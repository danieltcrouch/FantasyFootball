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scrouch\Desktop\Dropbox\FFA\"/>
    </mc:Choice>
  </mc:AlternateContent>
  <bookViews>
    <workbookView xWindow="-15" yWindow="-15" windowWidth="10245" windowHeight="6780" tabRatio="864" activeTab="2"/>
  </bookViews>
  <sheets>
    <sheet name="Read Me" sheetId="10" r:id="rId1"/>
    <sheet name="Input" sheetId="5" r:id="rId2"/>
    <sheet name="Draft Center" sheetId="23" r:id="rId3"/>
    <sheet name="Players" sheetId="2" r:id="rId4"/>
    <sheet name="Schedule" sheetId="11" state="veryHidden" r:id="rId5"/>
  </sheets>
  <definedNames>
    <definedName name="_xlnm._FilterDatabase" localSheetId="3" hidden="1">Players!$A$1:$AI$2433</definedName>
    <definedName name="_xlnm.Print_Area" localSheetId="0">'Read Me'!$A$1:$J$20</definedName>
    <definedName name="solver_adj" localSheetId="2" hidden="1">'Draft Center'!#REF!</definedName>
    <definedName name="solver_adj" localSheetId="3" hidden="1">Players!$AA$2:$AA$201</definedName>
    <definedName name="solver_cvg" localSheetId="3" hidden="1">0.000001</definedName>
    <definedName name="solver_drv" localSheetId="3" hidden="1">1</definedName>
    <definedName name="solver_eng" localSheetId="2" hidden="1">2</definedName>
    <definedName name="solver_eng" localSheetId="3" hidden="1">2</definedName>
    <definedName name="solver_est" localSheetId="3" hidden="1">1</definedName>
    <definedName name="solver_itr" localSheetId="3" hidden="1">2147483647</definedName>
    <definedName name="solver_lhs0" localSheetId="3" hidden="1">Players!$Z$3</definedName>
    <definedName name="solver_lhs1" localSheetId="3" hidden="1">Players!$Z$9</definedName>
    <definedName name="solver_lhs10" localSheetId="3" hidden="1">Players!$AA$2:$AA$201</definedName>
    <definedName name="solver_lhs11" localSheetId="3" hidden="1">Players!$Z$10</definedName>
    <definedName name="solver_lhs12" localSheetId="3" hidden="1">Players!$Z$2</definedName>
    <definedName name="solver_lhs2" localSheetId="3" hidden="1">Players!$Z$8</definedName>
    <definedName name="solver_lhs3" localSheetId="3" hidden="1">Players!$Z$8</definedName>
    <definedName name="solver_lhs4" localSheetId="3" hidden="1">Players!$Z$7</definedName>
    <definedName name="solver_lhs5" localSheetId="3" hidden="1">Players!$Z$7</definedName>
    <definedName name="solver_lhs6" localSheetId="3" hidden="1">Players!$Z$6</definedName>
    <definedName name="solver_lhs7" localSheetId="3" hidden="1">Players!$Z$6</definedName>
    <definedName name="solver_lhs8" localSheetId="3" hidden="1">Players!$Z$5</definedName>
    <definedName name="solver_lhs9" localSheetId="3" hidden="1">Players!$Z$3</definedName>
    <definedName name="solver_lin" localSheetId="3" hidden="1">2</definedName>
    <definedName name="solver_mip" localSheetId="3" hidden="1">2147483647</definedName>
    <definedName name="solver_mni" localSheetId="3" hidden="1">30</definedName>
    <definedName name="solver_mrt" localSheetId="3" hidden="1">0.075</definedName>
    <definedName name="solver_msl" localSheetId="3" hidden="1">2</definedName>
    <definedName name="solver_neg" localSheetId="3" hidden="1">1</definedName>
    <definedName name="solver_nod" localSheetId="3" hidden="1">2147483647</definedName>
    <definedName name="solver_num" localSheetId="3" hidden="1">12</definedName>
    <definedName name="solver_nwt" localSheetId="3" hidden="1">1</definedName>
    <definedName name="solver_opt" localSheetId="2" hidden="1">'Draft Center'!#REF!</definedName>
    <definedName name="solver_opt" localSheetId="3" hidden="1">Players!$Y$4</definedName>
    <definedName name="solver_pre" localSheetId="3" hidden="1">0.000001</definedName>
    <definedName name="solver_rbv" localSheetId="3" hidden="1">1</definedName>
    <definedName name="solver_rel0" localSheetId="3" hidden="1">1</definedName>
    <definedName name="solver_rel1" localSheetId="3" hidden="1">2</definedName>
    <definedName name="solver_rel10" localSheetId="3" hidden="1">5</definedName>
    <definedName name="solver_rel11" localSheetId="3" hidden="1">2</definedName>
    <definedName name="solver_rel12" localSheetId="3" hidden="1">2</definedName>
    <definedName name="solver_rel2" localSheetId="3" hidden="1">3</definedName>
    <definedName name="solver_rel3" localSheetId="3" hidden="1">1</definedName>
    <definedName name="solver_rel4" localSheetId="3" hidden="1">3</definedName>
    <definedName name="solver_rel5" localSheetId="3" hidden="1">1</definedName>
    <definedName name="solver_rel6" localSheetId="3" hidden="1">3</definedName>
    <definedName name="solver_rel7" localSheetId="3" hidden="1">1</definedName>
    <definedName name="solver_rel8" localSheetId="3" hidden="1">2</definedName>
    <definedName name="solver_rel9" localSheetId="3" hidden="1">1</definedName>
    <definedName name="solver_rhs0" localSheetId="3" hidden="1">Players!$Y$3</definedName>
    <definedName name="solver_rhs1" localSheetId="3" hidden="1">Players!$Y$9</definedName>
    <definedName name="solver_rhs10" localSheetId="3" hidden="1">binary</definedName>
    <definedName name="solver_rhs11" localSheetId="3" hidden="1">Players!$Y$10</definedName>
    <definedName name="solver_rhs12" localSheetId="3" hidden="1">Players!$Y$2</definedName>
    <definedName name="solver_rhs2" localSheetId="3" hidden="1">Players!$Y$8</definedName>
    <definedName name="solver_rhs3" localSheetId="3" hidden="1">1+Players!$Y$8</definedName>
    <definedName name="solver_rhs4" localSheetId="3" hidden="1">Players!$Y$7</definedName>
    <definedName name="solver_rhs5" localSheetId="3" hidden="1">1+Players!$Y$7</definedName>
    <definedName name="solver_rhs6" localSheetId="3" hidden="1">Players!$Y$6</definedName>
    <definedName name="solver_rhs7" localSheetId="3" hidden="1">1+Players!$Y$6</definedName>
    <definedName name="solver_rhs8" localSheetId="3" hidden="1">Players!$Y$5</definedName>
    <definedName name="solver_rhs9" localSheetId="3" hidden="1">Players!$Y$3</definedName>
    <definedName name="solver_rlx" localSheetId="3" hidden="1">2</definedName>
    <definedName name="solver_rsd" localSheetId="3" hidden="1">0</definedName>
    <definedName name="solver_scl" localSheetId="3" hidden="1">1</definedName>
    <definedName name="solver_sho" localSheetId="3" hidden="1">2</definedName>
    <definedName name="solver_ssz" localSheetId="3" hidden="1">100</definedName>
    <definedName name="solver_tim" localSheetId="3" hidden="1">2147483647</definedName>
    <definedName name="solver_tol" localSheetId="3" hidden="1">0</definedName>
    <definedName name="solver_typ" localSheetId="2" hidden="1">1</definedName>
    <definedName name="solver_typ" localSheetId="3" hidden="1">1</definedName>
    <definedName name="solver_val" localSheetId="2" hidden="1">0</definedName>
    <definedName name="solver_val" localSheetId="3" hidden="1">0</definedName>
    <definedName name="solver_ver" localSheetId="3" hidden="1">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R58" i="23" l="1"/>
  <c r="R57" i="23"/>
  <c r="R56" i="23"/>
  <c r="R55" i="23"/>
  <c r="R54" i="23"/>
  <c r="R53" i="23"/>
  <c r="R52" i="23"/>
  <c r="R51" i="23"/>
  <c r="R50" i="23"/>
  <c r="R49" i="23"/>
  <c r="B9" i="23" l="1"/>
  <c r="F4" i="23" l="1"/>
  <c r="CC3" i="2" l="1"/>
  <c r="CC4" i="2"/>
  <c r="CC5" i="2"/>
  <c r="CC6" i="2"/>
  <c r="CC7" i="2"/>
  <c r="CC8" i="2"/>
  <c r="CC9" i="2"/>
  <c r="CC10" i="2"/>
  <c r="CC11" i="2"/>
  <c r="CC12" i="2"/>
  <c r="CC13" i="2"/>
  <c r="CC14" i="2"/>
  <c r="CC15" i="2"/>
  <c r="CC16" i="2"/>
  <c r="CC17" i="2"/>
  <c r="CC18" i="2"/>
  <c r="CC19" i="2"/>
  <c r="CC20" i="2"/>
  <c r="CC21" i="2"/>
  <c r="CC22" i="2"/>
  <c r="CC23" i="2"/>
  <c r="CC24" i="2"/>
  <c r="CC25" i="2"/>
  <c r="CC26" i="2"/>
  <c r="CC27" i="2"/>
  <c r="CC28" i="2"/>
  <c r="CC29" i="2"/>
  <c r="CC30" i="2"/>
  <c r="CC31" i="2"/>
  <c r="CC32" i="2"/>
  <c r="CC33" i="2"/>
  <c r="CC34" i="2"/>
  <c r="CC35" i="2"/>
  <c r="CC36" i="2"/>
  <c r="CC37" i="2"/>
  <c r="CC38" i="2"/>
  <c r="CC39" i="2"/>
  <c r="CC40" i="2"/>
  <c r="CC41" i="2"/>
  <c r="CC42" i="2"/>
  <c r="CC43" i="2"/>
  <c r="CC44" i="2"/>
  <c r="CC45" i="2"/>
  <c r="CC46" i="2"/>
  <c r="CC47" i="2"/>
  <c r="CC48" i="2"/>
  <c r="CC49" i="2"/>
  <c r="CC50" i="2"/>
  <c r="CC51" i="2"/>
  <c r="CC52" i="2"/>
  <c r="CC53" i="2"/>
  <c r="CC54" i="2"/>
  <c r="CC55" i="2"/>
  <c r="CC56" i="2"/>
  <c r="CC57" i="2"/>
  <c r="CC58" i="2"/>
  <c r="CC59" i="2"/>
  <c r="CC60" i="2"/>
  <c r="CC61" i="2"/>
  <c r="CC62" i="2"/>
  <c r="CC63" i="2"/>
  <c r="CC64" i="2"/>
  <c r="CC65" i="2"/>
  <c r="CC66" i="2"/>
  <c r="CC67" i="2"/>
  <c r="CC68" i="2"/>
  <c r="CC69" i="2"/>
  <c r="CC70" i="2"/>
  <c r="CC71" i="2"/>
  <c r="CC72" i="2"/>
  <c r="CC73" i="2"/>
  <c r="CC74" i="2"/>
  <c r="CC75" i="2"/>
  <c r="CC76" i="2"/>
  <c r="CC77" i="2"/>
  <c r="CC78" i="2"/>
  <c r="CC79" i="2"/>
  <c r="CC80" i="2"/>
  <c r="CC81" i="2"/>
  <c r="CC82" i="2"/>
  <c r="CC83" i="2"/>
  <c r="CC84" i="2"/>
  <c r="CC85" i="2"/>
  <c r="CC86" i="2"/>
  <c r="CC87" i="2"/>
  <c r="CC88" i="2"/>
  <c r="CC89" i="2"/>
  <c r="CC90" i="2"/>
  <c r="CC91" i="2"/>
  <c r="CC92" i="2"/>
  <c r="CC93" i="2"/>
  <c r="CC94" i="2"/>
  <c r="CC95" i="2"/>
  <c r="CC96" i="2"/>
  <c r="CC97" i="2"/>
  <c r="CC98" i="2"/>
  <c r="CC99" i="2"/>
  <c r="CC100" i="2"/>
  <c r="CC101" i="2"/>
  <c r="CC102" i="2"/>
  <c r="CC103" i="2"/>
  <c r="CC104" i="2"/>
  <c r="CC105" i="2"/>
  <c r="CC106" i="2"/>
  <c r="CC107" i="2"/>
  <c r="CC108" i="2"/>
  <c r="CC109" i="2"/>
  <c r="CC110" i="2"/>
  <c r="CC111" i="2"/>
  <c r="CC112" i="2"/>
  <c r="CC113" i="2"/>
  <c r="CC114" i="2"/>
  <c r="CC115" i="2"/>
  <c r="CC116" i="2"/>
  <c r="CC117" i="2"/>
  <c r="CC118" i="2"/>
  <c r="CC119" i="2"/>
  <c r="CC120" i="2"/>
  <c r="CC121" i="2"/>
  <c r="CC122" i="2"/>
  <c r="CC123" i="2"/>
  <c r="CC124" i="2"/>
  <c r="CC125" i="2"/>
  <c r="CC126" i="2"/>
  <c r="CC127" i="2"/>
  <c r="CC128" i="2"/>
  <c r="CC129" i="2"/>
  <c r="CC130" i="2"/>
  <c r="CC131" i="2"/>
  <c r="CC132" i="2"/>
  <c r="CC133" i="2"/>
  <c r="CC134" i="2"/>
  <c r="CC135" i="2"/>
  <c r="CC136" i="2"/>
  <c r="CC137" i="2"/>
  <c r="CC138" i="2"/>
  <c r="CC139" i="2"/>
  <c r="CC140" i="2"/>
  <c r="CC141" i="2"/>
  <c r="CC142" i="2"/>
  <c r="CC143" i="2"/>
  <c r="CC144" i="2"/>
  <c r="CC145" i="2"/>
  <c r="CC146" i="2"/>
  <c r="CC147" i="2"/>
  <c r="CC148" i="2"/>
  <c r="CC149" i="2"/>
  <c r="CC150" i="2"/>
  <c r="CC151" i="2"/>
  <c r="CC152" i="2"/>
  <c r="CC153" i="2"/>
  <c r="CC154" i="2"/>
  <c r="CC155" i="2"/>
  <c r="CC156" i="2"/>
  <c r="CC157" i="2"/>
  <c r="CC158" i="2"/>
  <c r="CC159" i="2"/>
  <c r="CC160" i="2"/>
  <c r="CC161" i="2"/>
  <c r="CC162" i="2"/>
  <c r="CC163" i="2"/>
  <c r="CC164" i="2"/>
  <c r="CC165" i="2"/>
  <c r="CC166" i="2"/>
  <c r="CC167" i="2"/>
  <c r="CC168" i="2"/>
  <c r="CC169" i="2"/>
  <c r="CC170" i="2"/>
  <c r="CC171" i="2"/>
  <c r="CC172" i="2"/>
  <c r="CC173" i="2"/>
  <c r="CC174" i="2"/>
  <c r="CC175" i="2"/>
  <c r="CC176" i="2"/>
  <c r="CC177" i="2"/>
  <c r="CC178" i="2"/>
  <c r="CC179" i="2"/>
  <c r="CC180" i="2"/>
  <c r="CC181" i="2"/>
  <c r="CC182" i="2"/>
  <c r="CC183" i="2"/>
  <c r="CC184" i="2"/>
  <c r="CC185" i="2"/>
  <c r="CC186" i="2"/>
  <c r="CC187" i="2"/>
  <c r="CC188" i="2"/>
  <c r="CC189" i="2"/>
  <c r="CC190" i="2"/>
  <c r="CC191" i="2"/>
  <c r="CC192" i="2"/>
  <c r="CC193" i="2"/>
  <c r="CC194" i="2"/>
  <c r="CC195" i="2"/>
  <c r="CC196" i="2"/>
  <c r="CC197" i="2"/>
  <c r="CC198" i="2"/>
  <c r="CC199" i="2"/>
  <c r="CC200" i="2"/>
  <c r="CC201" i="2"/>
  <c r="CC202" i="2"/>
  <c r="CC203" i="2"/>
  <c r="CC204" i="2"/>
  <c r="CC205" i="2"/>
  <c r="CC206" i="2"/>
  <c r="CC207" i="2"/>
  <c r="CC208" i="2"/>
  <c r="CC209" i="2"/>
  <c r="CC210" i="2"/>
  <c r="CC211" i="2"/>
  <c r="CC212" i="2"/>
  <c r="CC213" i="2"/>
  <c r="CC214" i="2"/>
  <c r="CC215" i="2"/>
  <c r="CC216" i="2"/>
  <c r="CC217" i="2"/>
  <c r="CC218" i="2"/>
  <c r="CC219" i="2"/>
  <c r="CC220" i="2"/>
  <c r="CC221" i="2"/>
  <c r="CC222" i="2"/>
  <c r="CC223" i="2"/>
  <c r="CC224" i="2"/>
  <c r="CC225" i="2"/>
  <c r="CC226" i="2"/>
  <c r="CC227" i="2"/>
  <c r="CC228" i="2"/>
  <c r="CC229" i="2"/>
  <c r="CC230" i="2"/>
  <c r="CC231" i="2"/>
  <c r="CC232" i="2"/>
  <c r="CC233" i="2"/>
  <c r="CC234" i="2"/>
  <c r="CC235" i="2"/>
  <c r="CC236" i="2"/>
  <c r="CC237" i="2"/>
  <c r="CC238" i="2"/>
  <c r="CC239" i="2"/>
  <c r="CC240" i="2"/>
  <c r="CC241" i="2"/>
  <c r="CC242" i="2"/>
  <c r="CC243" i="2"/>
  <c r="CC244" i="2"/>
  <c r="CC245" i="2"/>
  <c r="CC246" i="2"/>
  <c r="CC247" i="2"/>
  <c r="CC248" i="2"/>
  <c r="CC249" i="2"/>
  <c r="CC250" i="2"/>
  <c r="CC251" i="2"/>
  <c r="CC252" i="2"/>
  <c r="CC253" i="2"/>
  <c r="CC254" i="2"/>
  <c r="CC255" i="2"/>
  <c r="CC256" i="2"/>
  <c r="CC257" i="2"/>
  <c r="CC258" i="2"/>
  <c r="CC259" i="2"/>
  <c r="CC260" i="2"/>
  <c r="CC261" i="2"/>
  <c r="CC262" i="2"/>
  <c r="CC263" i="2"/>
  <c r="CC264" i="2"/>
  <c r="CC265" i="2"/>
  <c r="CC266" i="2"/>
  <c r="CC267" i="2"/>
  <c r="CC268" i="2"/>
  <c r="CC269" i="2"/>
  <c r="CC270" i="2"/>
  <c r="CC271" i="2"/>
  <c r="CC272" i="2"/>
  <c r="CC273" i="2"/>
  <c r="CC274" i="2"/>
  <c r="CC275" i="2"/>
  <c r="CC276" i="2"/>
  <c r="CC277" i="2"/>
  <c r="CC278" i="2"/>
  <c r="CC279" i="2"/>
  <c r="CC280" i="2"/>
  <c r="CC281" i="2"/>
  <c r="CC282" i="2"/>
  <c r="CC283" i="2"/>
  <c r="CC284" i="2"/>
  <c r="CC285" i="2"/>
  <c r="CC286" i="2"/>
  <c r="CC287" i="2"/>
  <c r="CC288" i="2"/>
  <c r="CC289" i="2"/>
  <c r="CC290" i="2"/>
  <c r="CC291" i="2"/>
  <c r="CC292" i="2"/>
  <c r="CC293" i="2"/>
  <c r="CC294" i="2"/>
  <c r="CC295" i="2"/>
  <c r="CC296" i="2"/>
  <c r="CC297" i="2"/>
  <c r="CC298" i="2"/>
  <c r="CC299" i="2"/>
  <c r="CC300" i="2"/>
  <c r="CC301" i="2"/>
  <c r="CC302" i="2"/>
  <c r="CC303" i="2"/>
  <c r="CC304" i="2"/>
  <c r="CC305" i="2"/>
  <c r="CC306" i="2"/>
  <c r="CC307" i="2"/>
  <c r="CC308" i="2"/>
  <c r="CC309" i="2"/>
  <c r="CC310" i="2"/>
  <c r="CC311" i="2"/>
  <c r="CC312" i="2"/>
  <c r="CC313" i="2"/>
  <c r="CC314" i="2"/>
  <c r="CC315" i="2"/>
  <c r="CC316" i="2"/>
  <c r="CC317" i="2"/>
  <c r="CC318" i="2"/>
  <c r="CC319" i="2"/>
  <c r="CC320" i="2"/>
  <c r="CC321" i="2"/>
  <c r="CC322" i="2"/>
  <c r="CC323" i="2"/>
  <c r="CC324" i="2"/>
  <c r="CC325" i="2"/>
  <c r="CC326" i="2"/>
  <c r="CC327" i="2"/>
  <c r="CC328" i="2"/>
  <c r="CC329" i="2"/>
  <c r="CC330" i="2"/>
  <c r="CC331" i="2"/>
  <c r="CC332" i="2"/>
  <c r="CC333" i="2"/>
  <c r="CC334" i="2"/>
  <c r="CC335" i="2"/>
  <c r="CC336" i="2"/>
  <c r="CC337" i="2"/>
  <c r="CC338" i="2"/>
  <c r="CC339" i="2"/>
  <c r="CC340" i="2"/>
  <c r="CC341" i="2"/>
  <c r="CC342" i="2"/>
  <c r="CC343" i="2"/>
  <c r="CC344" i="2"/>
  <c r="CC345" i="2"/>
  <c r="CC346" i="2"/>
  <c r="CC347" i="2"/>
  <c r="CC348" i="2"/>
  <c r="CC349" i="2"/>
  <c r="CC350" i="2"/>
  <c r="CC351" i="2"/>
  <c r="CC352" i="2"/>
  <c r="CC353" i="2"/>
  <c r="CC354" i="2"/>
  <c r="CC355" i="2"/>
  <c r="CC356" i="2"/>
  <c r="CC357" i="2"/>
  <c r="CC358" i="2"/>
  <c r="CC359" i="2"/>
  <c r="CC360" i="2"/>
  <c r="CC361" i="2"/>
  <c r="CC362" i="2"/>
  <c r="CC363" i="2"/>
  <c r="CC364" i="2"/>
  <c r="CC365" i="2"/>
  <c r="CC366" i="2"/>
  <c r="CC367" i="2"/>
  <c r="CC368" i="2"/>
  <c r="CC369" i="2"/>
  <c r="CC370" i="2"/>
  <c r="CC371" i="2"/>
  <c r="CC372" i="2"/>
  <c r="CC373" i="2"/>
  <c r="CC374" i="2"/>
  <c r="CC375" i="2"/>
  <c r="CC376" i="2"/>
  <c r="CC377" i="2"/>
  <c r="CC378" i="2"/>
  <c r="CC379" i="2"/>
  <c r="CC380" i="2"/>
  <c r="CC381" i="2"/>
  <c r="CC382" i="2"/>
  <c r="CC383" i="2"/>
  <c r="CC384" i="2"/>
  <c r="CC385" i="2"/>
  <c r="CC386" i="2"/>
  <c r="CC387" i="2"/>
  <c r="CC388" i="2"/>
  <c r="CC389" i="2"/>
  <c r="CC390" i="2"/>
  <c r="CC391" i="2"/>
  <c r="CC392" i="2"/>
  <c r="CC393" i="2"/>
  <c r="CC394" i="2"/>
  <c r="CC395" i="2"/>
  <c r="CC396" i="2"/>
  <c r="CC397" i="2"/>
  <c r="CC398" i="2"/>
  <c r="CC399" i="2"/>
  <c r="CC400" i="2"/>
  <c r="CC401" i="2"/>
  <c r="CC402" i="2"/>
  <c r="CC403" i="2"/>
  <c r="CC404" i="2"/>
  <c r="CC405" i="2"/>
  <c r="CC406" i="2"/>
  <c r="CC407" i="2"/>
  <c r="CC408" i="2"/>
  <c r="CC409" i="2"/>
  <c r="CC410" i="2"/>
  <c r="CC411" i="2"/>
  <c r="CC412" i="2"/>
  <c r="CC413" i="2"/>
  <c r="CC414" i="2"/>
  <c r="CC415" i="2"/>
  <c r="CC416" i="2"/>
  <c r="CC417" i="2"/>
  <c r="CC418" i="2"/>
  <c r="CC419" i="2"/>
  <c r="CC420" i="2"/>
  <c r="CC421" i="2"/>
  <c r="CC422" i="2"/>
  <c r="CC423" i="2"/>
  <c r="CC424" i="2"/>
  <c r="CC425" i="2"/>
  <c r="CC426" i="2"/>
  <c r="CC427" i="2"/>
  <c r="CC428" i="2"/>
  <c r="CC429" i="2"/>
  <c r="CC430" i="2"/>
  <c r="CC431" i="2"/>
  <c r="CC432" i="2"/>
  <c r="CC433" i="2"/>
  <c r="CC434" i="2"/>
  <c r="CC435" i="2"/>
  <c r="CC436" i="2"/>
  <c r="CC437" i="2"/>
  <c r="CC438" i="2"/>
  <c r="CC439" i="2"/>
  <c r="CC440" i="2"/>
  <c r="CC441" i="2"/>
  <c r="CC442" i="2"/>
  <c r="CC443" i="2"/>
  <c r="CC444" i="2"/>
  <c r="CC445" i="2"/>
  <c r="CC446" i="2"/>
  <c r="CC447" i="2"/>
  <c r="CC448" i="2"/>
  <c r="CC449" i="2"/>
  <c r="CC450" i="2"/>
  <c r="CC451" i="2"/>
  <c r="CC452" i="2"/>
  <c r="CC453" i="2"/>
  <c r="CC454" i="2"/>
  <c r="CC455" i="2"/>
  <c r="CC456" i="2"/>
  <c r="CC457" i="2"/>
  <c r="CC458" i="2"/>
  <c r="CC459" i="2"/>
  <c r="CC460" i="2"/>
  <c r="CC461" i="2"/>
  <c r="CC462" i="2"/>
  <c r="CC463" i="2"/>
  <c r="CC464" i="2"/>
  <c r="CC465" i="2"/>
  <c r="CC466" i="2"/>
  <c r="CC467" i="2"/>
  <c r="CC468" i="2"/>
  <c r="CC469" i="2"/>
  <c r="CC470" i="2"/>
  <c r="CC471" i="2"/>
  <c r="CC472" i="2"/>
  <c r="CC473" i="2"/>
  <c r="CC474" i="2"/>
  <c r="CC475" i="2"/>
  <c r="CC476" i="2"/>
  <c r="CC477" i="2"/>
  <c r="CC478" i="2"/>
  <c r="CC479" i="2"/>
  <c r="CC480" i="2"/>
  <c r="CC481" i="2"/>
  <c r="CC482" i="2"/>
  <c r="CC483" i="2"/>
  <c r="CC484" i="2"/>
  <c r="CC485" i="2"/>
  <c r="CC486" i="2"/>
  <c r="CC487" i="2"/>
  <c r="CC488" i="2"/>
  <c r="CC489" i="2"/>
  <c r="CC490" i="2"/>
  <c r="CC491" i="2"/>
  <c r="CC492" i="2"/>
  <c r="CC493" i="2"/>
  <c r="CC494" i="2"/>
  <c r="CC495" i="2"/>
  <c r="CC496" i="2"/>
  <c r="CC497" i="2"/>
  <c r="CC498" i="2"/>
  <c r="CC499" i="2"/>
  <c r="CC500" i="2"/>
  <c r="CC501" i="2"/>
  <c r="CC502" i="2"/>
  <c r="CC503" i="2"/>
  <c r="CC504" i="2"/>
  <c r="CC505" i="2"/>
  <c r="CC506" i="2"/>
  <c r="CC507" i="2"/>
  <c r="CC508" i="2"/>
  <c r="CC509" i="2"/>
  <c r="CC510" i="2"/>
  <c r="CC511" i="2"/>
  <c r="CC512" i="2"/>
  <c r="CC513" i="2"/>
  <c r="CC514" i="2"/>
  <c r="CC515" i="2"/>
  <c r="CC516" i="2"/>
  <c r="CC517" i="2"/>
  <c r="CC518" i="2"/>
  <c r="CC519" i="2"/>
  <c r="CC520" i="2"/>
  <c r="CC521" i="2"/>
  <c r="CC522" i="2"/>
  <c r="CC523" i="2"/>
  <c r="CC524" i="2"/>
  <c r="CC525" i="2"/>
  <c r="CC526" i="2"/>
  <c r="CC527" i="2"/>
  <c r="CC528" i="2"/>
  <c r="CC529" i="2"/>
  <c r="CC530" i="2"/>
  <c r="CC531" i="2"/>
  <c r="CC532" i="2"/>
  <c r="CC533" i="2"/>
  <c r="CC534" i="2"/>
  <c r="CC535" i="2"/>
  <c r="CC536" i="2"/>
  <c r="CC537" i="2"/>
  <c r="CC538" i="2"/>
  <c r="CC539" i="2"/>
  <c r="CC540" i="2"/>
  <c r="CC541" i="2"/>
  <c r="CC542" i="2"/>
  <c r="CC543" i="2"/>
  <c r="CC544" i="2"/>
  <c r="CC545" i="2"/>
  <c r="CC546" i="2"/>
  <c r="CC547" i="2"/>
  <c r="CC548" i="2"/>
  <c r="CC549" i="2"/>
  <c r="CC550" i="2"/>
  <c r="CC551" i="2"/>
  <c r="CC552" i="2"/>
  <c r="CC553" i="2"/>
  <c r="CC554" i="2"/>
  <c r="CC555" i="2"/>
  <c r="CC556" i="2"/>
  <c r="CC557" i="2"/>
  <c r="CC558" i="2"/>
  <c r="CC559" i="2"/>
  <c r="CC560" i="2"/>
  <c r="CC561" i="2"/>
  <c r="CC562" i="2"/>
  <c r="CC563" i="2"/>
  <c r="CC564" i="2"/>
  <c r="CC565" i="2"/>
  <c r="CC566" i="2"/>
  <c r="CC567" i="2"/>
  <c r="CC568" i="2"/>
  <c r="CC569" i="2"/>
  <c r="CC570" i="2"/>
  <c r="CC571" i="2"/>
  <c r="CC572" i="2"/>
  <c r="CC573" i="2"/>
  <c r="CC574" i="2"/>
  <c r="CC575" i="2"/>
  <c r="CC576" i="2"/>
  <c r="CC577" i="2"/>
  <c r="CC578" i="2"/>
  <c r="CC579" i="2"/>
  <c r="CC580" i="2"/>
  <c r="CC581" i="2"/>
  <c r="CC582" i="2"/>
  <c r="CC583" i="2"/>
  <c r="CC584" i="2"/>
  <c r="CC585" i="2"/>
  <c r="CC586" i="2"/>
  <c r="CC587" i="2"/>
  <c r="CC588" i="2"/>
  <c r="CC589" i="2"/>
  <c r="CC590" i="2"/>
  <c r="CC591" i="2"/>
  <c r="CC592" i="2"/>
  <c r="CC593" i="2"/>
  <c r="CC594" i="2"/>
  <c r="CC595" i="2"/>
  <c r="CC596" i="2"/>
  <c r="CC597" i="2"/>
  <c r="CC598" i="2"/>
  <c r="CC599" i="2"/>
  <c r="CC600" i="2"/>
  <c r="CC601" i="2"/>
  <c r="CC602" i="2"/>
  <c r="CC603" i="2"/>
  <c r="CC604" i="2"/>
  <c r="CC605" i="2"/>
  <c r="CC606" i="2"/>
  <c r="CC607" i="2"/>
  <c r="CC608" i="2"/>
  <c r="CC609" i="2"/>
  <c r="CC610" i="2"/>
  <c r="CC611" i="2"/>
  <c r="CC612" i="2"/>
  <c r="CC613" i="2"/>
  <c r="CC614" i="2"/>
  <c r="CC615" i="2"/>
  <c r="CC616" i="2"/>
  <c r="CC617" i="2"/>
  <c r="CC618" i="2"/>
  <c r="CC619" i="2"/>
  <c r="CC620" i="2"/>
  <c r="CC621" i="2"/>
  <c r="CC622" i="2"/>
  <c r="CC623" i="2"/>
  <c r="CC624" i="2"/>
  <c r="CC625" i="2"/>
  <c r="CC626" i="2"/>
  <c r="CC627" i="2"/>
  <c r="CC628" i="2"/>
  <c r="CC629" i="2"/>
  <c r="CC630" i="2"/>
  <c r="CC631" i="2"/>
  <c r="CC632" i="2"/>
  <c r="CC633" i="2"/>
  <c r="CC634" i="2"/>
  <c r="CC635" i="2"/>
  <c r="CC636" i="2"/>
  <c r="CC637" i="2"/>
  <c r="CC638" i="2"/>
  <c r="CC639" i="2"/>
  <c r="CC640" i="2"/>
  <c r="CC641" i="2"/>
  <c r="CC642" i="2"/>
  <c r="CC643" i="2"/>
  <c r="CC644" i="2"/>
  <c r="CC645" i="2"/>
  <c r="CC646" i="2"/>
  <c r="CC647" i="2"/>
  <c r="CC648" i="2"/>
  <c r="CC649" i="2"/>
  <c r="CC650" i="2"/>
  <c r="CC651" i="2"/>
  <c r="CC652" i="2"/>
  <c r="CC653" i="2"/>
  <c r="CC654" i="2"/>
  <c r="CC655" i="2"/>
  <c r="CC656" i="2"/>
  <c r="CC657" i="2"/>
  <c r="CC658" i="2"/>
  <c r="CC659" i="2"/>
  <c r="CC660" i="2"/>
  <c r="CC661" i="2"/>
  <c r="CC662" i="2"/>
  <c r="CC663" i="2"/>
  <c r="CC664" i="2"/>
  <c r="CC665" i="2"/>
  <c r="CC666" i="2"/>
  <c r="CC667" i="2"/>
  <c r="CC668" i="2"/>
  <c r="CC669" i="2"/>
  <c r="CC670" i="2"/>
  <c r="CC671" i="2"/>
  <c r="CC672" i="2"/>
  <c r="CC673" i="2"/>
  <c r="CC674" i="2"/>
  <c r="CC675" i="2"/>
  <c r="CC676" i="2"/>
  <c r="CC677" i="2"/>
  <c r="CC678" i="2"/>
  <c r="CC679" i="2"/>
  <c r="CC680" i="2"/>
  <c r="CC681" i="2"/>
  <c r="CC682" i="2"/>
  <c r="CC683" i="2"/>
  <c r="CC684" i="2"/>
  <c r="CC685" i="2"/>
  <c r="CC686" i="2"/>
  <c r="CC687" i="2"/>
  <c r="CC688" i="2"/>
  <c r="CC689" i="2"/>
  <c r="CC690" i="2"/>
  <c r="CC691" i="2"/>
  <c r="CC692" i="2"/>
  <c r="CC693" i="2"/>
  <c r="CC694" i="2"/>
  <c r="CC695" i="2"/>
  <c r="CC696" i="2"/>
  <c r="CC697" i="2"/>
  <c r="CC698" i="2"/>
  <c r="CC699" i="2"/>
  <c r="CC700" i="2"/>
  <c r="CC701" i="2"/>
  <c r="CC702" i="2"/>
  <c r="CC703" i="2"/>
  <c r="CC704" i="2"/>
  <c r="CC705" i="2"/>
  <c r="CC706" i="2"/>
  <c r="CC707" i="2"/>
  <c r="CC708" i="2"/>
  <c r="CC709" i="2"/>
  <c r="CC710" i="2"/>
  <c r="CC711" i="2"/>
  <c r="CC712" i="2"/>
  <c r="CC713" i="2"/>
  <c r="CC714" i="2"/>
  <c r="CC715" i="2"/>
  <c r="CC716" i="2"/>
  <c r="CC717" i="2"/>
  <c r="CC718" i="2"/>
  <c r="CC719" i="2"/>
  <c r="CC720" i="2"/>
  <c r="CC721" i="2"/>
  <c r="CC722" i="2"/>
  <c r="CC723" i="2"/>
  <c r="CC724" i="2"/>
  <c r="CC725" i="2"/>
  <c r="CC726" i="2"/>
  <c r="CC727" i="2"/>
  <c r="CC728" i="2"/>
  <c r="CC729" i="2"/>
  <c r="CC730" i="2"/>
  <c r="CC731" i="2"/>
  <c r="CC732" i="2"/>
  <c r="CC733" i="2"/>
  <c r="CC734" i="2"/>
  <c r="CC735" i="2"/>
  <c r="CC736" i="2"/>
  <c r="CC737" i="2"/>
  <c r="CC738" i="2"/>
  <c r="CC739" i="2"/>
  <c r="CC740" i="2"/>
  <c r="CC741" i="2"/>
  <c r="CC742" i="2"/>
  <c r="CC743" i="2"/>
  <c r="CC744" i="2"/>
  <c r="CC745" i="2"/>
  <c r="CC746" i="2"/>
  <c r="CC747" i="2"/>
  <c r="CC748" i="2"/>
  <c r="CC749" i="2"/>
  <c r="CC750" i="2"/>
  <c r="CC751" i="2"/>
  <c r="CC752" i="2"/>
  <c r="CC753" i="2"/>
  <c r="CC754" i="2"/>
  <c r="CC755" i="2"/>
  <c r="CC756" i="2"/>
  <c r="CC757" i="2"/>
  <c r="CC758" i="2"/>
  <c r="CC759" i="2"/>
  <c r="CC760" i="2"/>
  <c r="CC761" i="2"/>
  <c r="CC762" i="2"/>
  <c r="CC763" i="2"/>
  <c r="CC764" i="2"/>
  <c r="CC765" i="2"/>
  <c r="CC766" i="2"/>
  <c r="CC767" i="2"/>
  <c r="CC768" i="2"/>
  <c r="CC769" i="2"/>
  <c r="CC770" i="2"/>
  <c r="CC771" i="2"/>
  <c r="CC772" i="2"/>
  <c r="CC773" i="2"/>
  <c r="CC774" i="2"/>
  <c r="CC775" i="2"/>
  <c r="CC776" i="2"/>
  <c r="CC777" i="2"/>
  <c r="CC778" i="2"/>
  <c r="CC779" i="2"/>
  <c r="CC780" i="2"/>
  <c r="CC781" i="2"/>
  <c r="CC782" i="2"/>
  <c r="CC783" i="2"/>
  <c r="CC784" i="2"/>
  <c r="CC785" i="2"/>
  <c r="CC786" i="2"/>
  <c r="CC787" i="2"/>
  <c r="CC788" i="2"/>
  <c r="CC789" i="2"/>
  <c r="CC790" i="2"/>
  <c r="CC791" i="2"/>
  <c r="CC792" i="2"/>
  <c r="CC793" i="2"/>
  <c r="CC794" i="2"/>
  <c r="CC795" i="2"/>
  <c r="CC796" i="2"/>
  <c r="CC797" i="2"/>
  <c r="CC798" i="2"/>
  <c r="CC799" i="2"/>
  <c r="CC800" i="2"/>
  <c r="CC801" i="2"/>
  <c r="CC802" i="2"/>
  <c r="CC803" i="2"/>
  <c r="CC804" i="2"/>
  <c r="CC805" i="2"/>
  <c r="CC806" i="2"/>
  <c r="CC807" i="2"/>
  <c r="CC808" i="2"/>
  <c r="CC809" i="2"/>
  <c r="CC810" i="2"/>
  <c r="CC811" i="2"/>
  <c r="CC812" i="2"/>
  <c r="CC813" i="2"/>
  <c r="CC814" i="2"/>
  <c r="CC815" i="2"/>
  <c r="CC816" i="2"/>
  <c r="CC817" i="2"/>
  <c r="CC818" i="2"/>
  <c r="CC819" i="2"/>
  <c r="CC820" i="2"/>
  <c r="CC821" i="2"/>
  <c r="CC822" i="2"/>
  <c r="CC823" i="2"/>
  <c r="CC824" i="2"/>
  <c r="CC825" i="2"/>
  <c r="CC826" i="2"/>
  <c r="CC827" i="2"/>
  <c r="CC828" i="2"/>
  <c r="CC829" i="2"/>
  <c r="CC830" i="2"/>
  <c r="CC831" i="2"/>
  <c r="CC832" i="2"/>
  <c r="CC833" i="2"/>
  <c r="CC834" i="2"/>
  <c r="CC835" i="2"/>
  <c r="CC836" i="2"/>
  <c r="CC837" i="2"/>
  <c r="CC838" i="2"/>
  <c r="CC839" i="2"/>
  <c r="CC840" i="2"/>
  <c r="CC841" i="2"/>
  <c r="CC842" i="2"/>
  <c r="CC843" i="2"/>
  <c r="CC844" i="2"/>
  <c r="CC845" i="2"/>
  <c r="CC846" i="2"/>
  <c r="CC847" i="2"/>
  <c r="CC848" i="2"/>
  <c r="CC849" i="2"/>
  <c r="CC850" i="2"/>
  <c r="CC851" i="2"/>
  <c r="CC852" i="2"/>
  <c r="CC853" i="2"/>
  <c r="CC854" i="2"/>
  <c r="CC855" i="2"/>
  <c r="CC856" i="2"/>
  <c r="CC857" i="2"/>
  <c r="CC858" i="2"/>
  <c r="CC859" i="2"/>
  <c r="CC860" i="2"/>
  <c r="CC861" i="2"/>
  <c r="CC862" i="2"/>
  <c r="CC863" i="2"/>
  <c r="CC864" i="2"/>
  <c r="CC865" i="2"/>
  <c r="CC866" i="2"/>
  <c r="CC867" i="2"/>
  <c r="CC868" i="2"/>
  <c r="CC869" i="2"/>
  <c r="CC870" i="2"/>
  <c r="CC871" i="2"/>
  <c r="CC872" i="2"/>
  <c r="CC873" i="2"/>
  <c r="CC874" i="2"/>
  <c r="CC875" i="2"/>
  <c r="CC876" i="2"/>
  <c r="CC877" i="2"/>
  <c r="CC878" i="2"/>
  <c r="CC879" i="2"/>
  <c r="CC880" i="2"/>
  <c r="CC881" i="2"/>
  <c r="CC882" i="2"/>
  <c r="CC883" i="2"/>
  <c r="CC884" i="2"/>
  <c r="CC885" i="2"/>
  <c r="CC886" i="2"/>
  <c r="CC887" i="2"/>
  <c r="CC888" i="2"/>
  <c r="CC889" i="2"/>
  <c r="CC890" i="2"/>
  <c r="CC891" i="2"/>
  <c r="CC892" i="2"/>
  <c r="CC893" i="2"/>
  <c r="CC894" i="2"/>
  <c r="CC895" i="2"/>
  <c r="CC896" i="2"/>
  <c r="CC897" i="2"/>
  <c r="CC898" i="2"/>
  <c r="CC899" i="2"/>
  <c r="CC900" i="2"/>
  <c r="CC901" i="2"/>
  <c r="CC902" i="2"/>
  <c r="CC903" i="2"/>
  <c r="CC904" i="2"/>
  <c r="CC905" i="2"/>
  <c r="CC906" i="2"/>
  <c r="CC907" i="2"/>
  <c r="CC908" i="2"/>
  <c r="CC909" i="2"/>
  <c r="CC910" i="2"/>
  <c r="CC911" i="2"/>
  <c r="CC912" i="2"/>
  <c r="CC913" i="2"/>
  <c r="CC914" i="2"/>
  <c r="CC915" i="2"/>
  <c r="CC916" i="2"/>
  <c r="CC917" i="2"/>
  <c r="CC918" i="2"/>
  <c r="CC919" i="2"/>
  <c r="CC920" i="2"/>
  <c r="CC921" i="2"/>
  <c r="CC922" i="2"/>
  <c r="CC923" i="2"/>
  <c r="CC924" i="2"/>
  <c r="CC925" i="2"/>
  <c r="CC926" i="2"/>
  <c r="CC927" i="2"/>
  <c r="CC928" i="2"/>
  <c r="CC929" i="2"/>
  <c r="CC930" i="2"/>
  <c r="CC2" i="2"/>
  <c r="CD1" i="2"/>
  <c r="CD5" i="2" l="1"/>
  <c r="CD9" i="2"/>
  <c r="CD13" i="2"/>
  <c r="CD17" i="2"/>
  <c r="CD21" i="2"/>
  <c r="CD25" i="2"/>
  <c r="CD29" i="2"/>
  <c r="CD33" i="2"/>
  <c r="CD37" i="2"/>
  <c r="CD41" i="2"/>
  <c r="CD45" i="2"/>
  <c r="CD49" i="2"/>
  <c r="CD53" i="2"/>
  <c r="CD57" i="2"/>
  <c r="CD61" i="2"/>
  <c r="CD65" i="2"/>
  <c r="CD69" i="2"/>
  <c r="CD73" i="2"/>
  <c r="CD77" i="2"/>
  <c r="CD81" i="2"/>
  <c r="CD85" i="2"/>
  <c r="CD89" i="2"/>
  <c r="CD93" i="2"/>
  <c r="CD97" i="2"/>
  <c r="CD101" i="2"/>
  <c r="CD105" i="2"/>
  <c r="CD109" i="2"/>
  <c r="CD113" i="2"/>
  <c r="CD117" i="2"/>
  <c r="CD121" i="2"/>
  <c r="CD125" i="2"/>
  <c r="CD129" i="2"/>
  <c r="CD133" i="2"/>
  <c r="CD137" i="2"/>
  <c r="CD141" i="2"/>
  <c r="CD145" i="2"/>
  <c r="CD149" i="2"/>
  <c r="CD153" i="2"/>
  <c r="CD157" i="2"/>
  <c r="CD161" i="2"/>
  <c r="CD165" i="2"/>
  <c r="CD169" i="2"/>
  <c r="CD173" i="2"/>
  <c r="CD177" i="2"/>
  <c r="CD181" i="2"/>
  <c r="CD185" i="2"/>
  <c r="CD189" i="2"/>
  <c r="CD193" i="2"/>
  <c r="CD197" i="2"/>
  <c r="CD201" i="2"/>
  <c r="CD205" i="2"/>
  <c r="CD209" i="2"/>
  <c r="CD213" i="2"/>
  <c r="CD217" i="2"/>
  <c r="CD221" i="2"/>
  <c r="CD225" i="2"/>
  <c r="CD229" i="2"/>
  <c r="CD233" i="2"/>
  <c r="CD237" i="2"/>
  <c r="CD241" i="2"/>
  <c r="CD245" i="2"/>
  <c r="CD249" i="2"/>
  <c r="CD253" i="2"/>
  <c r="CD257" i="2"/>
  <c r="CD261" i="2"/>
  <c r="CD265" i="2"/>
  <c r="CD269" i="2"/>
  <c r="CD273" i="2"/>
  <c r="CD277" i="2"/>
  <c r="CD281" i="2"/>
  <c r="CD285" i="2"/>
  <c r="CD289" i="2"/>
  <c r="CD293" i="2"/>
  <c r="CD297" i="2"/>
  <c r="CD301" i="2"/>
  <c r="CD305" i="2"/>
  <c r="CD309" i="2"/>
  <c r="CD313" i="2"/>
  <c r="CD317" i="2"/>
  <c r="CD321" i="2"/>
  <c r="CD325" i="2"/>
  <c r="CD329" i="2"/>
  <c r="CD333" i="2"/>
  <c r="CD337" i="2"/>
  <c r="CD341" i="2"/>
  <c r="CD4" i="2"/>
  <c r="CD10" i="2"/>
  <c r="CD15" i="2"/>
  <c r="CD20" i="2"/>
  <c r="CD26" i="2"/>
  <c r="CD31" i="2"/>
  <c r="CD36" i="2"/>
  <c r="CD42" i="2"/>
  <c r="CD47" i="2"/>
  <c r="CD52" i="2"/>
  <c r="CD58" i="2"/>
  <c r="CD63" i="2"/>
  <c r="CD68" i="2"/>
  <c r="CD74" i="2"/>
  <c r="CD79" i="2"/>
  <c r="CD84" i="2"/>
  <c r="CD90" i="2"/>
  <c r="CD95" i="2"/>
  <c r="CD100" i="2"/>
  <c r="CD106" i="2"/>
  <c r="CD111" i="2"/>
  <c r="CD116" i="2"/>
  <c r="CD122" i="2"/>
  <c r="CD127" i="2"/>
  <c r="CD132" i="2"/>
  <c r="CD138" i="2"/>
  <c r="CD143" i="2"/>
  <c r="CD148" i="2"/>
  <c r="CD154" i="2"/>
  <c r="CD159" i="2"/>
  <c r="CD164" i="2"/>
  <c r="CD170" i="2"/>
  <c r="CD175" i="2"/>
  <c r="CD180" i="2"/>
  <c r="CD186" i="2"/>
  <c r="CD191" i="2"/>
  <c r="CD196" i="2"/>
  <c r="CD202" i="2"/>
  <c r="CD207" i="2"/>
  <c r="CD212" i="2"/>
  <c r="CD218" i="2"/>
  <c r="CD223" i="2"/>
  <c r="CD228" i="2"/>
  <c r="CD234" i="2"/>
  <c r="CD239" i="2"/>
  <c r="CD244" i="2"/>
  <c r="CD250" i="2"/>
  <c r="CD255" i="2"/>
  <c r="CD260" i="2"/>
  <c r="CD266" i="2"/>
  <c r="CD271" i="2"/>
  <c r="CD276" i="2"/>
  <c r="CD282" i="2"/>
  <c r="CD287" i="2"/>
  <c r="CD292" i="2"/>
  <c r="CD298" i="2"/>
  <c r="CD303" i="2"/>
  <c r="CD308" i="2"/>
  <c r="CD314" i="2"/>
  <c r="CD319" i="2"/>
  <c r="CD324" i="2"/>
  <c r="CD330" i="2"/>
  <c r="CD335" i="2"/>
  <c r="CD340" i="2"/>
  <c r="CD345" i="2"/>
  <c r="CD349" i="2"/>
  <c r="CD353" i="2"/>
  <c r="CD357" i="2"/>
  <c r="CD361" i="2"/>
  <c r="CD365" i="2"/>
  <c r="CD369" i="2"/>
  <c r="CD373" i="2"/>
  <c r="CD377" i="2"/>
  <c r="CD381" i="2"/>
  <c r="CD385" i="2"/>
  <c r="CD389" i="2"/>
  <c r="CD393" i="2"/>
  <c r="CD397" i="2"/>
  <c r="CD401" i="2"/>
  <c r="CD405" i="2"/>
  <c r="CD409" i="2"/>
  <c r="CD413" i="2"/>
  <c r="CD417" i="2"/>
  <c r="CD421" i="2"/>
  <c r="CD425" i="2"/>
  <c r="CD3" i="2"/>
  <c r="CD11" i="2"/>
  <c r="CD18" i="2"/>
  <c r="CD24" i="2"/>
  <c r="CD32" i="2"/>
  <c r="CD39" i="2"/>
  <c r="CD46" i="2"/>
  <c r="CD54" i="2"/>
  <c r="CD60" i="2"/>
  <c r="CD67" i="2"/>
  <c r="CD75" i="2"/>
  <c r="CD82" i="2"/>
  <c r="CD88" i="2"/>
  <c r="CD96" i="2"/>
  <c r="CD103" i="2"/>
  <c r="CD110" i="2"/>
  <c r="CD118" i="2"/>
  <c r="CD124" i="2"/>
  <c r="CD131" i="2"/>
  <c r="CD139" i="2"/>
  <c r="CD146" i="2"/>
  <c r="CD152" i="2"/>
  <c r="CD160" i="2"/>
  <c r="CD167" i="2"/>
  <c r="CD174" i="2"/>
  <c r="CD182" i="2"/>
  <c r="CD188" i="2"/>
  <c r="CD195" i="2"/>
  <c r="CD203" i="2"/>
  <c r="CD210" i="2"/>
  <c r="CD216" i="2"/>
  <c r="CD224" i="2"/>
  <c r="CD231" i="2"/>
  <c r="CD238" i="2"/>
  <c r="CD246" i="2"/>
  <c r="CD252" i="2"/>
  <c r="CD259" i="2"/>
  <c r="CD267" i="2"/>
  <c r="CD274" i="2"/>
  <c r="CD280" i="2"/>
  <c r="CD288" i="2"/>
  <c r="CD295" i="2"/>
  <c r="CD302" i="2"/>
  <c r="CD310" i="2"/>
  <c r="CD316" i="2"/>
  <c r="CD323" i="2"/>
  <c r="CD331" i="2"/>
  <c r="CD338" i="2"/>
  <c r="CD344" i="2"/>
  <c r="CD350" i="2"/>
  <c r="CD355" i="2"/>
  <c r="CD360" i="2"/>
  <c r="CD366" i="2"/>
  <c r="CD371" i="2"/>
  <c r="CD376" i="2"/>
  <c r="CD382" i="2"/>
  <c r="CD387" i="2"/>
  <c r="CD392" i="2"/>
  <c r="CD398" i="2"/>
  <c r="CD403" i="2"/>
  <c r="CD408" i="2"/>
  <c r="CD414" i="2"/>
  <c r="CD419" i="2"/>
  <c r="CD424" i="2"/>
  <c r="CD429" i="2"/>
  <c r="CD433" i="2"/>
  <c r="CD437" i="2"/>
  <c r="CD441" i="2"/>
  <c r="CD445" i="2"/>
  <c r="CD449" i="2"/>
  <c r="CD453" i="2"/>
  <c r="CD457" i="2"/>
  <c r="CD461" i="2"/>
  <c r="CD465" i="2"/>
  <c r="CD469" i="2"/>
  <c r="CD473" i="2"/>
  <c r="CD477" i="2"/>
  <c r="CD481" i="2"/>
  <c r="CD485" i="2"/>
  <c r="CD489" i="2"/>
  <c r="CD493" i="2"/>
  <c r="CD497" i="2"/>
  <c r="CD501" i="2"/>
  <c r="CD505" i="2"/>
  <c r="CD509" i="2"/>
  <c r="CD7" i="2"/>
  <c r="CD16" i="2"/>
  <c r="CD27" i="2"/>
  <c r="CD35" i="2"/>
  <c r="CD44" i="2"/>
  <c r="CD55" i="2"/>
  <c r="CD64" i="2"/>
  <c r="CD72" i="2"/>
  <c r="CD83" i="2"/>
  <c r="CD92" i="2"/>
  <c r="CD102" i="2"/>
  <c r="CD112" i="2"/>
  <c r="CD120" i="2"/>
  <c r="CD130" i="2"/>
  <c r="CD140" i="2"/>
  <c r="CD150" i="2"/>
  <c r="CD158" i="2"/>
  <c r="CD168" i="2"/>
  <c r="CD178" i="2"/>
  <c r="CD187" i="2"/>
  <c r="CD198" i="2"/>
  <c r="CD206" i="2"/>
  <c r="CD215" i="2"/>
  <c r="CD226" i="2"/>
  <c r="CD235" i="2"/>
  <c r="CD243" i="2"/>
  <c r="CD254" i="2"/>
  <c r="CD263" i="2"/>
  <c r="CD272" i="2"/>
  <c r="CD283" i="2"/>
  <c r="CD291" i="2"/>
  <c r="CD300" i="2"/>
  <c r="CD311" i="2"/>
  <c r="CD320" i="2"/>
  <c r="CD328" i="2"/>
  <c r="CD339" i="2"/>
  <c r="CD347" i="2"/>
  <c r="CD354" i="2"/>
  <c r="CD362" i="2"/>
  <c r="CD368" i="2"/>
  <c r="CD375" i="2"/>
  <c r="CD383" i="2"/>
  <c r="CD390" i="2"/>
  <c r="CD396" i="2"/>
  <c r="CD404" i="2"/>
  <c r="CD411" i="2"/>
  <c r="CD418" i="2"/>
  <c r="CD426" i="2"/>
  <c r="CD431" i="2"/>
  <c r="CD436" i="2"/>
  <c r="CD442" i="2"/>
  <c r="CD447" i="2"/>
  <c r="CD452" i="2"/>
  <c r="CD458" i="2"/>
  <c r="CD463" i="2"/>
  <c r="CD468" i="2"/>
  <c r="CD474" i="2"/>
  <c r="CD479" i="2"/>
  <c r="CD484" i="2"/>
  <c r="CD490" i="2"/>
  <c r="CD495" i="2"/>
  <c r="CD500" i="2"/>
  <c r="CD506" i="2"/>
  <c r="CD511" i="2"/>
  <c r="CD515" i="2"/>
  <c r="CD519" i="2"/>
  <c r="CD523" i="2"/>
  <c r="CD527" i="2"/>
  <c r="CD531" i="2"/>
  <c r="CD535" i="2"/>
  <c r="CD539" i="2"/>
  <c r="CD543" i="2"/>
  <c r="CD547" i="2"/>
  <c r="CD551" i="2"/>
  <c r="CD555" i="2"/>
  <c r="CD559" i="2"/>
  <c r="CD563" i="2"/>
  <c r="CD567" i="2"/>
  <c r="CD571" i="2"/>
  <c r="CD575" i="2"/>
  <c r="CD579" i="2"/>
  <c r="CD583" i="2"/>
  <c r="CD587" i="2"/>
  <c r="CD591" i="2"/>
  <c r="CD595" i="2"/>
  <c r="CD599" i="2"/>
  <c r="CD603" i="2"/>
  <c r="CD607" i="2"/>
  <c r="CD611" i="2"/>
  <c r="CD615" i="2"/>
  <c r="CD619" i="2"/>
  <c r="CD623" i="2"/>
  <c r="CD627" i="2"/>
  <c r="CD631" i="2"/>
  <c r="CD635" i="2"/>
  <c r="CD639" i="2"/>
  <c r="CD643" i="2"/>
  <c r="CD647" i="2"/>
  <c r="CD651" i="2"/>
  <c r="CD655" i="2"/>
  <c r="CD659" i="2"/>
  <c r="CD663" i="2"/>
  <c r="CD667" i="2"/>
  <c r="CD671" i="2"/>
  <c r="CD675" i="2"/>
  <c r="CD679" i="2"/>
  <c r="CD683" i="2"/>
  <c r="CD687" i="2"/>
  <c r="CD691" i="2"/>
  <c r="CD695" i="2"/>
  <c r="CD699" i="2"/>
  <c r="CD703" i="2"/>
  <c r="CD707" i="2"/>
  <c r="CD711" i="2"/>
  <c r="CD715" i="2"/>
  <c r="CD719" i="2"/>
  <c r="CD723" i="2"/>
  <c r="CD727" i="2"/>
  <c r="CD731" i="2"/>
  <c r="CD735" i="2"/>
  <c r="CD739" i="2"/>
  <c r="CD743" i="2"/>
  <c r="CD747" i="2"/>
  <c r="CD751" i="2"/>
  <c r="CD755" i="2"/>
  <c r="CD759" i="2"/>
  <c r="CD763" i="2"/>
  <c r="CD767" i="2"/>
  <c r="CD771" i="2"/>
  <c r="CD775" i="2"/>
  <c r="CD779" i="2"/>
  <c r="CD783" i="2"/>
  <c r="CD787" i="2"/>
  <c r="CD791" i="2"/>
  <c r="CD795" i="2"/>
  <c r="CD799" i="2"/>
  <c r="CD803" i="2"/>
  <c r="CD807" i="2"/>
  <c r="CD811" i="2"/>
  <c r="CD815" i="2"/>
  <c r="CD819" i="2"/>
  <c r="CD823" i="2"/>
  <c r="CD827" i="2"/>
  <c r="CD831" i="2"/>
  <c r="CD835" i="2"/>
  <c r="CD839" i="2"/>
  <c r="CD843" i="2"/>
  <c r="CD847" i="2"/>
  <c r="CD851" i="2"/>
  <c r="CD855" i="2"/>
  <c r="CD859" i="2"/>
  <c r="CD863" i="2"/>
  <c r="CD867" i="2"/>
  <c r="CD871" i="2"/>
  <c r="CD875" i="2"/>
  <c r="CD879" i="2"/>
  <c r="CD883" i="2"/>
  <c r="CD887" i="2"/>
  <c r="CD891" i="2"/>
  <c r="CD895" i="2"/>
  <c r="CD899" i="2"/>
  <c r="CD903" i="2"/>
  <c r="CD907" i="2"/>
  <c r="CD911" i="2"/>
  <c r="CD915" i="2"/>
  <c r="CD919" i="2"/>
  <c r="CD923" i="2"/>
  <c r="CD927" i="2"/>
  <c r="CD2" i="2"/>
  <c r="CD8" i="2"/>
  <c r="CD6" i="2"/>
  <c r="CD22" i="2"/>
  <c r="CD34" i="2"/>
  <c r="CD48" i="2"/>
  <c r="CD59" i="2"/>
  <c r="CD71" i="2"/>
  <c r="CD86" i="2"/>
  <c r="CD98" i="2"/>
  <c r="CD108" i="2"/>
  <c r="CD123" i="2"/>
  <c r="CD135" i="2"/>
  <c r="CD147" i="2"/>
  <c r="CD162" i="2"/>
  <c r="CD172" i="2"/>
  <c r="CD184" i="2"/>
  <c r="CD199" i="2"/>
  <c r="CD211" i="2"/>
  <c r="CD222" i="2"/>
  <c r="CD236" i="2"/>
  <c r="CD248" i="2"/>
  <c r="CD262" i="2"/>
  <c r="CD275" i="2"/>
  <c r="CD286" i="2"/>
  <c r="CD299" i="2"/>
  <c r="CD312" i="2"/>
  <c r="CD326" i="2"/>
  <c r="CD336" i="2"/>
  <c r="CD348" i="2"/>
  <c r="CD358" i="2"/>
  <c r="CD367" i="2"/>
  <c r="CD378" i="2"/>
  <c r="CD386" i="2"/>
  <c r="CD395" i="2"/>
  <c r="CD406" i="2"/>
  <c r="CD415" i="2"/>
  <c r="CD423" i="2"/>
  <c r="CD432" i="2"/>
  <c r="CD439" i="2"/>
  <c r="CD446" i="2"/>
  <c r="CD454" i="2"/>
  <c r="CD460" i="2"/>
  <c r="CD467" i="2"/>
  <c r="CD475" i="2"/>
  <c r="CD482" i="2"/>
  <c r="CD488" i="2"/>
  <c r="CD496" i="2"/>
  <c r="CD503" i="2"/>
  <c r="CD510" i="2"/>
  <c r="CD516" i="2"/>
  <c r="CD521" i="2"/>
  <c r="CD526" i="2"/>
  <c r="CD532" i="2"/>
  <c r="CD537" i="2"/>
  <c r="CD542" i="2"/>
  <c r="CD548" i="2"/>
  <c r="CD553" i="2"/>
  <c r="CD558" i="2"/>
  <c r="CD564" i="2"/>
  <c r="CD569" i="2"/>
  <c r="CD574" i="2"/>
  <c r="CD580" i="2"/>
  <c r="CD585" i="2"/>
  <c r="CD590" i="2"/>
  <c r="CD596" i="2"/>
  <c r="CD601" i="2"/>
  <c r="CD606" i="2"/>
  <c r="CD612" i="2"/>
  <c r="CD617" i="2"/>
  <c r="CD622" i="2"/>
  <c r="CD628" i="2"/>
  <c r="CD633" i="2"/>
  <c r="CD638" i="2"/>
  <c r="CD644" i="2"/>
  <c r="CD649" i="2"/>
  <c r="CD654" i="2"/>
  <c r="CD660" i="2"/>
  <c r="CD665" i="2"/>
  <c r="CD670" i="2"/>
  <c r="CD676" i="2"/>
  <c r="CD681" i="2"/>
  <c r="CD686" i="2"/>
  <c r="CD692" i="2"/>
  <c r="CD697" i="2"/>
  <c r="CD702" i="2"/>
  <c r="CD708" i="2"/>
  <c r="CD713" i="2"/>
  <c r="CD718" i="2"/>
  <c r="CD724" i="2"/>
  <c r="CD729" i="2"/>
  <c r="CD734" i="2"/>
  <c r="CD740" i="2"/>
  <c r="CD745" i="2"/>
  <c r="CD750" i="2"/>
  <c r="CD756" i="2"/>
  <c r="CD761" i="2"/>
  <c r="CD766" i="2"/>
  <c r="CD772" i="2"/>
  <c r="CD777" i="2"/>
  <c r="CD782" i="2"/>
  <c r="CD788" i="2"/>
  <c r="CD793" i="2"/>
  <c r="CD798" i="2"/>
  <c r="CD804" i="2"/>
  <c r="CD809" i="2"/>
  <c r="CD814" i="2"/>
  <c r="CD820" i="2"/>
  <c r="CD825" i="2"/>
  <c r="CD830" i="2"/>
  <c r="CD836" i="2"/>
  <c r="CD841" i="2"/>
  <c r="CD846" i="2"/>
  <c r="CD852" i="2"/>
  <c r="CD857" i="2"/>
  <c r="CD862" i="2"/>
  <c r="CD868" i="2"/>
  <c r="CD873" i="2"/>
  <c r="CD878" i="2"/>
  <c r="CD884" i="2"/>
  <c r="CD889" i="2"/>
  <c r="CD894" i="2"/>
  <c r="CD900" i="2"/>
  <c r="CD905" i="2"/>
  <c r="CD910" i="2"/>
  <c r="CD916" i="2"/>
  <c r="CD921" i="2"/>
  <c r="CD926" i="2"/>
  <c r="CD12" i="2"/>
  <c r="CD23" i="2"/>
  <c r="CD38" i="2"/>
  <c r="CD50" i="2"/>
  <c r="CD62" i="2"/>
  <c r="CD76" i="2"/>
  <c r="CD87" i="2"/>
  <c r="CD99" i="2"/>
  <c r="CD114" i="2"/>
  <c r="CD126" i="2"/>
  <c r="CD136" i="2"/>
  <c r="CD151" i="2"/>
  <c r="CD163" i="2"/>
  <c r="CD176" i="2"/>
  <c r="CD190" i="2"/>
  <c r="CD200" i="2"/>
  <c r="CD214" i="2"/>
  <c r="CD227" i="2"/>
  <c r="CD240" i="2"/>
  <c r="CD251" i="2"/>
  <c r="CD264" i="2"/>
  <c r="CD278" i="2"/>
  <c r="CD290" i="2"/>
  <c r="CD304" i="2"/>
  <c r="CD315" i="2"/>
  <c r="CD327" i="2"/>
  <c r="CD342" i="2"/>
  <c r="CD351" i="2"/>
  <c r="CD359" i="2"/>
  <c r="CD370" i="2"/>
  <c r="CD379" i="2"/>
  <c r="CD388" i="2"/>
  <c r="CD399" i="2"/>
  <c r="CD407" i="2"/>
  <c r="CD416" i="2"/>
  <c r="CD427" i="2"/>
  <c r="CD434" i="2"/>
  <c r="CD440" i="2"/>
  <c r="CD448" i="2"/>
  <c r="CD455" i="2"/>
  <c r="CD462" i="2"/>
  <c r="CD470" i="2"/>
  <c r="CD476" i="2"/>
  <c r="CD483" i="2"/>
  <c r="CD19" i="2"/>
  <c r="CD43" i="2"/>
  <c r="CD70" i="2"/>
  <c r="CD94" i="2"/>
  <c r="CD119" i="2"/>
  <c r="CD144" i="2"/>
  <c r="CD171" i="2"/>
  <c r="CD194" i="2"/>
  <c r="CD220" i="2"/>
  <c r="CD247" i="2"/>
  <c r="CD270" i="2"/>
  <c r="CD296" i="2"/>
  <c r="CD322" i="2"/>
  <c r="CD346" i="2"/>
  <c r="CD364" i="2"/>
  <c r="CD384" i="2"/>
  <c r="CD402" i="2"/>
  <c r="CD422" i="2"/>
  <c r="CD438" i="2"/>
  <c r="CD451" i="2"/>
  <c r="CD466" i="2"/>
  <c r="CD480" i="2"/>
  <c r="CD492" i="2"/>
  <c r="CD502" i="2"/>
  <c r="CD512" i="2"/>
  <c r="CD518" i="2"/>
  <c r="CD525" i="2"/>
  <c r="CD533" i="2"/>
  <c r="CD540" i="2"/>
  <c r="CD546" i="2"/>
  <c r="CD554" i="2"/>
  <c r="CD561" i="2"/>
  <c r="CD568" i="2"/>
  <c r="CD576" i="2"/>
  <c r="CD582" i="2"/>
  <c r="CD589" i="2"/>
  <c r="CD597" i="2"/>
  <c r="CD604" i="2"/>
  <c r="CD610" i="2"/>
  <c r="CD618" i="2"/>
  <c r="CD625" i="2"/>
  <c r="CD632" i="2"/>
  <c r="CD640" i="2"/>
  <c r="CD646" i="2"/>
  <c r="CD653" i="2"/>
  <c r="CD661" i="2"/>
  <c r="CD668" i="2"/>
  <c r="CD674" i="2"/>
  <c r="CD682" i="2"/>
  <c r="CD689" i="2"/>
  <c r="CD696" i="2"/>
  <c r="CD704" i="2"/>
  <c r="CD710" i="2"/>
  <c r="CD717" i="2"/>
  <c r="CD725" i="2"/>
  <c r="CD732" i="2"/>
  <c r="CD738" i="2"/>
  <c r="CD746" i="2"/>
  <c r="CD753" i="2"/>
  <c r="CD760" i="2"/>
  <c r="CD768" i="2"/>
  <c r="CD774" i="2"/>
  <c r="CD781" i="2"/>
  <c r="CD789" i="2"/>
  <c r="CD796" i="2"/>
  <c r="CD802" i="2"/>
  <c r="CD810" i="2"/>
  <c r="CD817" i="2"/>
  <c r="CD824" i="2"/>
  <c r="CD832" i="2"/>
  <c r="CD838" i="2"/>
  <c r="CD845" i="2"/>
  <c r="CD853" i="2"/>
  <c r="CD860" i="2"/>
  <c r="CD866" i="2"/>
  <c r="CD874" i="2"/>
  <c r="CD881" i="2"/>
  <c r="CD888" i="2"/>
  <c r="CD896" i="2"/>
  <c r="CD902" i="2"/>
  <c r="CD909" i="2"/>
  <c r="CD917" i="2"/>
  <c r="CD924" i="2"/>
  <c r="CD930" i="2"/>
  <c r="CD28" i="2"/>
  <c r="CD51" i="2"/>
  <c r="CD78" i="2"/>
  <c r="CD104" i="2"/>
  <c r="CD128" i="2"/>
  <c r="CD155" i="2"/>
  <c r="CD179" i="2"/>
  <c r="CD204" i="2"/>
  <c r="CD230" i="2"/>
  <c r="CD256" i="2"/>
  <c r="CD279" i="2"/>
  <c r="CD306" i="2"/>
  <c r="CD332" i="2"/>
  <c r="CD352" i="2"/>
  <c r="CD372" i="2"/>
  <c r="CD391" i="2"/>
  <c r="CD410" i="2"/>
  <c r="CD428" i="2"/>
  <c r="CD443" i="2"/>
  <c r="CD456" i="2"/>
  <c r="CD471" i="2"/>
  <c r="CD486" i="2"/>
  <c r="CD494" i="2"/>
  <c r="CD504" i="2"/>
  <c r="CD513" i="2"/>
  <c r="CD520" i="2"/>
  <c r="CD528" i="2"/>
  <c r="CD534" i="2"/>
  <c r="CD541" i="2"/>
  <c r="CD549" i="2"/>
  <c r="CD556" i="2"/>
  <c r="CD562" i="2"/>
  <c r="CD570" i="2"/>
  <c r="CD577" i="2"/>
  <c r="CD584" i="2"/>
  <c r="CD592" i="2"/>
  <c r="CD598" i="2"/>
  <c r="CD605" i="2"/>
  <c r="CD613" i="2"/>
  <c r="CD620" i="2"/>
  <c r="CD626" i="2"/>
  <c r="CD634" i="2"/>
  <c r="CD641" i="2"/>
  <c r="CD648" i="2"/>
  <c r="CD656" i="2"/>
  <c r="CD662" i="2"/>
  <c r="CD669" i="2"/>
  <c r="CD677" i="2"/>
  <c r="CD684" i="2"/>
  <c r="CD690" i="2"/>
  <c r="CD698" i="2"/>
  <c r="CD705" i="2"/>
  <c r="CD712" i="2"/>
  <c r="CD720" i="2"/>
  <c r="CD726" i="2"/>
  <c r="CD733" i="2"/>
  <c r="CD741" i="2"/>
  <c r="CD748" i="2"/>
  <c r="CD754" i="2"/>
  <c r="CD762" i="2"/>
  <c r="CD769" i="2"/>
  <c r="CD776" i="2"/>
  <c r="CD784" i="2"/>
  <c r="CD790" i="2"/>
  <c r="CD797" i="2"/>
  <c r="CD805" i="2"/>
  <c r="CD812" i="2"/>
  <c r="CD818" i="2"/>
  <c r="CD826" i="2"/>
  <c r="CD833" i="2"/>
  <c r="CD840" i="2"/>
  <c r="CD848" i="2"/>
  <c r="CD854" i="2"/>
  <c r="CD861" i="2"/>
  <c r="CD869" i="2"/>
  <c r="CD876" i="2"/>
  <c r="CD882" i="2"/>
  <c r="CD890" i="2"/>
  <c r="CD897" i="2"/>
  <c r="CD904" i="2"/>
  <c r="CD912" i="2"/>
  <c r="CD918" i="2"/>
  <c r="CD925" i="2"/>
  <c r="CD30" i="2"/>
  <c r="CD56" i="2"/>
  <c r="CD80" i="2"/>
  <c r="CD107" i="2"/>
  <c r="CD134" i="2"/>
  <c r="CD156" i="2"/>
  <c r="CD183" i="2"/>
  <c r="CD208" i="2"/>
  <c r="CD232" i="2"/>
  <c r="CD258" i="2"/>
  <c r="CD284" i="2"/>
  <c r="CD307" i="2"/>
  <c r="CD334" i="2"/>
  <c r="CD356" i="2"/>
  <c r="CD374" i="2"/>
  <c r="CD394" i="2"/>
  <c r="CD412" i="2"/>
  <c r="CD430" i="2"/>
  <c r="CD444" i="2"/>
  <c r="CD459" i="2"/>
  <c r="CD472" i="2"/>
  <c r="CD487" i="2"/>
  <c r="CD498" i="2"/>
  <c r="CD507" i="2"/>
  <c r="CD514" i="2"/>
  <c r="CD522" i="2"/>
  <c r="CD529" i="2"/>
  <c r="CD536" i="2"/>
  <c r="CD544" i="2"/>
  <c r="CD550" i="2"/>
  <c r="CD557" i="2"/>
  <c r="CD565" i="2"/>
  <c r="CD572" i="2"/>
  <c r="CD578" i="2"/>
  <c r="CD586" i="2"/>
  <c r="CD593" i="2"/>
  <c r="CD600" i="2"/>
  <c r="CD608" i="2"/>
  <c r="CD614" i="2"/>
  <c r="CD621" i="2"/>
  <c r="CD629" i="2"/>
  <c r="CD636" i="2"/>
  <c r="CD642" i="2"/>
  <c r="CD650" i="2"/>
  <c r="CD657" i="2"/>
  <c r="CD664" i="2"/>
  <c r="CD672" i="2"/>
  <c r="CD678" i="2"/>
  <c r="CD685" i="2"/>
  <c r="CD693" i="2"/>
  <c r="CD700" i="2"/>
  <c r="CD706" i="2"/>
  <c r="CD714" i="2"/>
  <c r="CD721" i="2"/>
  <c r="CD728" i="2"/>
  <c r="CD736" i="2"/>
  <c r="CD742" i="2"/>
  <c r="CD749" i="2"/>
  <c r="CD757" i="2"/>
  <c r="CD764" i="2"/>
  <c r="CD770" i="2"/>
  <c r="CD778" i="2"/>
  <c r="CD785" i="2"/>
  <c r="CD792" i="2"/>
  <c r="CD800" i="2"/>
  <c r="CD806" i="2"/>
  <c r="CD813" i="2"/>
  <c r="CD821" i="2"/>
  <c r="CD828" i="2"/>
  <c r="CD834" i="2"/>
  <c r="CD842" i="2"/>
  <c r="CD849" i="2"/>
  <c r="CD856" i="2"/>
  <c r="CD864" i="2"/>
  <c r="CD870" i="2"/>
  <c r="CD877" i="2"/>
  <c r="CD885" i="2"/>
  <c r="CD892" i="2"/>
  <c r="CD898" i="2"/>
  <c r="CD906" i="2"/>
  <c r="CD913" i="2"/>
  <c r="CD920" i="2"/>
  <c r="CD928" i="2"/>
  <c r="CD14" i="2"/>
  <c r="CD40" i="2"/>
  <c r="CD66" i="2"/>
  <c r="CD91" i="2"/>
  <c r="CD115" i="2"/>
  <c r="CD142" i="2"/>
  <c r="CD166" i="2"/>
  <c r="CD192" i="2"/>
  <c r="CD219" i="2"/>
  <c r="CD242" i="2"/>
  <c r="CD268" i="2"/>
  <c r="CD294" i="2"/>
  <c r="CD318" i="2"/>
  <c r="CD343" i="2"/>
  <c r="CD363" i="2"/>
  <c r="CD380" i="2"/>
  <c r="CD400" i="2"/>
  <c r="CD420" i="2"/>
  <c r="CD435" i="2"/>
  <c r="CD450" i="2"/>
  <c r="CD464" i="2"/>
  <c r="CD478" i="2"/>
  <c r="CD491" i="2"/>
  <c r="CD499" i="2"/>
  <c r="CD508" i="2"/>
  <c r="CD517" i="2"/>
  <c r="CD524" i="2"/>
  <c r="CD530" i="2"/>
  <c r="CD538" i="2"/>
  <c r="CD545" i="2"/>
  <c r="CD552" i="2"/>
  <c r="CD560" i="2"/>
  <c r="CD566" i="2"/>
  <c r="CD573" i="2"/>
  <c r="CD581" i="2"/>
  <c r="CD588" i="2"/>
  <c r="CD594" i="2"/>
  <c r="CD602" i="2"/>
  <c r="CD609" i="2"/>
  <c r="CD616" i="2"/>
  <c r="CD624" i="2"/>
  <c r="CD630" i="2"/>
  <c r="CD637" i="2"/>
  <c r="CD645" i="2"/>
  <c r="CD652" i="2"/>
  <c r="CD658" i="2"/>
  <c r="CD666" i="2"/>
  <c r="CD673" i="2"/>
  <c r="CD680" i="2"/>
  <c r="CD688" i="2"/>
  <c r="CD694" i="2"/>
  <c r="CD701" i="2"/>
  <c r="CD709" i="2"/>
  <c r="CD716" i="2"/>
  <c r="CD722" i="2"/>
  <c r="CD730" i="2"/>
  <c r="CD737" i="2"/>
  <c r="CD744" i="2"/>
  <c r="CD752" i="2"/>
  <c r="CD758" i="2"/>
  <c r="CD765" i="2"/>
  <c r="CD773" i="2"/>
  <c r="CD780" i="2"/>
  <c r="CD786" i="2"/>
  <c r="CD794" i="2"/>
  <c r="CD801" i="2"/>
  <c r="CD808" i="2"/>
  <c r="CD816" i="2"/>
  <c r="CD822" i="2"/>
  <c r="CD829" i="2"/>
  <c r="CD837" i="2"/>
  <c r="CD844" i="2"/>
  <c r="CD850" i="2"/>
  <c r="CD858" i="2"/>
  <c r="CD865" i="2"/>
  <c r="CD872" i="2"/>
  <c r="CD880" i="2"/>
  <c r="CD886" i="2"/>
  <c r="CD893" i="2"/>
  <c r="CD901" i="2"/>
  <c r="CD908" i="2"/>
  <c r="CD914" i="2"/>
  <c r="CD922" i="2"/>
  <c r="CD929" i="2"/>
  <c r="F5" i="23"/>
  <c r="D8" i="23" l="1"/>
  <c r="E8" i="23"/>
  <c r="F8" i="23"/>
  <c r="G8" i="23"/>
  <c r="H8" i="23"/>
  <c r="I8" i="23"/>
  <c r="J8" i="23"/>
  <c r="K8" i="23"/>
  <c r="C8" i="23"/>
  <c r="AQ12" i="2"/>
  <c r="Y12" i="2"/>
  <c r="AQ11" i="2"/>
  <c r="AZ1" i="5" l="1"/>
  <c r="B11" i="23" s="1"/>
  <c r="BA1" i="5"/>
  <c r="C11" i="23" s="1"/>
  <c r="AB2" i="5"/>
  <c r="AF2" i="5"/>
  <c r="AG2" i="5"/>
  <c r="AH2" i="5"/>
  <c r="AJ2" i="5"/>
  <c r="AK2" i="5"/>
  <c r="AL2" i="5" s="1"/>
  <c r="AO2" i="5"/>
  <c r="AP11" i="5" s="1"/>
  <c r="AQ10" i="5" s="1"/>
  <c r="AR9" i="5" s="1"/>
  <c r="AS8" i="5" s="1"/>
  <c r="AT7" i="5" s="1"/>
  <c r="AU6" i="5" s="1"/>
  <c r="AV5" i="5" s="1"/>
  <c r="AW4" i="5" s="1"/>
  <c r="AX3" i="5" s="1"/>
  <c r="AZ2" i="5"/>
  <c r="AZ3" i="5" s="1"/>
  <c r="AZ4" i="5" s="1"/>
  <c r="AZ5" i="5" s="1"/>
  <c r="AZ6" i="5" s="1"/>
  <c r="AZ7" i="5" s="1"/>
  <c r="AZ8" i="5" s="1"/>
  <c r="AZ9" i="5" s="1"/>
  <c r="AZ10" i="5" s="1"/>
  <c r="AZ11" i="5" s="1"/>
  <c r="AZ12" i="5" s="1"/>
  <c r="AZ13" i="5" s="1"/>
  <c r="AZ14" i="5" s="1"/>
  <c r="AZ15" i="5" s="1"/>
  <c r="AZ16" i="5" s="1"/>
  <c r="AZ17" i="5" s="1"/>
  <c r="AZ18" i="5" s="1"/>
  <c r="AZ19" i="5" s="1"/>
  <c r="AZ20" i="5" s="1"/>
  <c r="AZ21" i="5" s="1"/>
  <c r="AZ22" i="5" s="1"/>
  <c r="AZ23" i="5" s="1"/>
  <c r="AZ24" i="5" s="1"/>
  <c r="AZ25" i="5" s="1"/>
  <c r="AZ26" i="5" s="1"/>
  <c r="AZ27" i="5" s="1"/>
  <c r="AZ28" i="5" s="1"/>
  <c r="AZ29" i="5" s="1"/>
  <c r="AZ30" i="5" s="1"/>
  <c r="AZ31" i="5" s="1"/>
  <c r="AZ32" i="5" s="1"/>
  <c r="AZ33" i="5" s="1"/>
  <c r="AZ34" i="5" s="1"/>
  <c r="AZ35" i="5" s="1"/>
  <c r="AZ36" i="5" s="1"/>
  <c r="AZ37" i="5" s="1"/>
  <c r="AZ38" i="5" s="1"/>
  <c r="AZ39" i="5" s="1"/>
  <c r="AZ40" i="5" s="1"/>
  <c r="AZ41" i="5" s="1"/>
  <c r="AZ42" i="5" s="1"/>
  <c r="AZ43" i="5" s="1"/>
  <c r="AZ44" i="5" s="1"/>
  <c r="AZ45" i="5" s="1"/>
  <c r="AZ46" i="5" s="1"/>
  <c r="AZ47" i="5" s="1"/>
  <c r="AZ48" i="5" s="1"/>
  <c r="AZ49" i="5" s="1"/>
  <c r="AZ50" i="5" s="1"/>
  <c r="AZ51" i="5" s="1"/>
  <c r="AZ52" i="5" s="1"/>
  <c r="AZ53" i="5" s="1"/>
  <c r="AZ54" i="5" s="1"/>
  <c r="AZ55" i="5" s="1"/>
  <c r="AZ56" i="5" s="1"/>
  <c r="AZ57" i="5" s="1"/>
  <c r="AZ58" i="5" s="1"/>
  <c r="AZ59" i="5" s="1"/>
  <c r="AZ60" i="5" s="1"/>
  <c r="AZ61" i="5" s="1"/>
  <c r="AZ62" i="5" s="1"/>
  <c r="AZ63" i="5" s="1"/>
  <c r="AZ64" i="5" s="1"/>
  <c r="AZ65" i="5" s="1"/>
  <c r="AZ66" i="5" s="1"/>
  <c r="AZ67" i="5" s="1"/>
  <c r="AZ68" i="5" s="1"/>
  <c r="AZ69" i="5" s="1"/>
  <c r="AZ70" i="5" s="1"/>
  <c r="AZ71" i="5" s="1"/>
  <c r="AZ72" i="5" s="1"/>
  <c r="AZ73" i="5" s="1"/>
  <c r="AZ74" i="5" s="1"/>
  <c r="AZ75" i="5" s="1"/>
  <c r="AZ76" i="5" s="1"/>
  <c r="AZ77" i="5" s="1"/>
  <c r="AZ78" i="5" s="1"/>
  <c r="AZ79" i="5" s="1"/>
  <c r="AZ80" i="5" s="1"/>
  <c r="AZ81" i="5" s="1"/>
  <c r="AZ82" i="5" s="1"/>
  <c r="AZ83" i="5" s="1"/>
  <c r="AZ84" i="5" s="1"/>
  <c r="AZ85" i="5" s="1"/>
  <c r="AZ86" i="5" s="1"/>
  <c r="AZ87" i="5" s="1"/>
  <c r="AZ88" i="5" s="1"/>
  <c r="AZ89" i="5" s="1"/>
  <c r="AZ90" i="5" s="1"/>
  <c r="AZ91" i="5" s="1"/>
  <c r="AZ92" i="5" s="1"/>
  <c r="AZ93" i="5" s="1"/>
  <c r="AZ94" i="5" s="1"/>
  <c r="AZ95" i="5" s="1"/>
  <c r="AZ96" i="5" s="1"/>
  <c r="AZ97" i="5" s="1"/>
  <c r="AZ98" i="5" s="1"/>
  <c r="AZ99" i="5" s="1"/>
  <c r="AZ100" i="5" s="1"/>
  <c r="AZ101" i="5" s="1"/>
  <c r="AZ102" i="5" s="1"/>
  <c r="AZ103" i="5" s="1"/>
  <c r="AZ104" i="5" s="1"/>
  <c r="AZ105" i="5" s="1"/>
  <c r="AZ106" i="5" s="1"/>
  <c r="AZ107" i="5" s="1"/>
  <c r="AZ108" i="5" s="1"/>
  <c r="AZ109" i="5" s="1"/>
  <c r="AZ110" i="5" s="1"/>
  <c r="AZ111" i="5" s="1"/>
  <c r="AZ112" i="5" s="1"/>
  <c r="AZ113" i="5" s="1"/>
  <c r="AZ114" i="5" s="1"/>
  <c r="AZ115" i="5" s="1"/>
  <c r="AZ116" i="5" s="1"/>
  <c r="AZ117" i="5" s="1"/>
  <c r="AZ118" i="5" s="1"/>
  <c r="AZ119" i="5" s="1"/>
  <c r="AZ120" i="5" s="1"/>
  <c r="AZ121" i="5" s="1"/>
  <c r="AZ122" i="5" s="1"/>
  <c r="AZ123" i="5" s="1"/>
  <c r="AZ124" i="5" s="1"/>
  <c r="AZ125" i="5" s="1"/>
  <c r="AZ126" i="5" s="1"/>
  <c r="AZ127" i="5" s="1"/>
  <c r="AZ128" i="5" s="1"/>
  <c r="AZ129" i="5" s="1"/>
  <c r="AZ130" i="5" s="1"/>
  <c r="AZ131" i="5" s="1"/>
  <c r="AZ132" i="5" s="1"/>
  <c r="AZ133" i="5" s="1"/>
  <c r="AZ134" i="5" s="1"/>
  <c r="AZ135" i="5" s="1"/>
  <c r="AZ136" i="5" s="1"/>
  <c r="AZ137" i="5" s="1"/>
  <c r="AZ138" i="5" s="1"/>
  <c r="AZ139" i="5" s="1"/>
  <c r="AZ140" i="5" s="1"/>
  <c r="AZ141" i="5" s="1"/>
  <c r="AZ142" i="5" s="1"/>
  <c r="AZ143" i="5" s="1"/>
  <c r="AZ144" i="5" s="1"/>
  <c r="AZ145" i="5" s="1"/>
  <c r="AZ146" i="5" s="1"/>
  <c r="AZ147" i="5" s="1"/>
  <c r="AZ148" i="5" s="1"/>
  <c r="AZ149" i="5" s="1"/>
  <c r="AZ150" i="5" s="1"/>
  <c r="AZ151" i="5" s="1"/>
  <c r="AZ152" i="5" s="1"/>
  <c r="AZ153" i="5" s="1"/>
  <c r="AZ154" i="5" s="1"/>
  <c r="AZ155" i="5" s="1"/>
  <c r="AZ156" i="5" s="1"/>
  <c r="AZ157" i="5" s="1"/>
  <c r="AZ158" i="5" s="1"/>
  <c r="AZ159" i="5" s="1"/>
  <c r="AZ160" i="5" s="1"/>
  <c r="AZ161" i="5" s="1"/>
  <c r="AB3" i="5"/>
  <c r="AF3" i="5"/>
  <c r="AG3" i="5"/>
  <c r="AH3" i="5"/>
  <c r="AJ3" i="5"/>
  <c r="AK3" i="5"/>
  <c r="AO3" i="5"/>
  <c r="AP2" i="5" s="1"/>
  <c r="AQ11" i="5" s="1"/>
  <c r="AR10" i="5" s="1"/>
  <c r="AS9" i="5" s="1"/>
  <c r="AT8" i="5" s="1"/>
  <c r="AU7" i="5" s="1"/>
  <c r="AV6" i="5" s="1"/>
  <c r="AW5" i="5" s="1"/>
  <c r="AX4" i="5" s="1"/>
  <c r="AB4" i="5"/>
  <c r="AF4" i="5"/>
  <c r="AG4" i="5"/>
  <c r="AH4" i="5"/>
  <c r="AJ4" i="5"/>
  <c r="AK4" i="5"/>
  <c r="AO4" i="5"/>
  <c r="AP3" i="5" s="1"/>
  <c r="AQ2" i="5" s="1"/>
  <c r="AR11" i="5" s="1"/>
  <c r="AS10" i="5" s="1"/>
  <c r="AT9" i="5" s="1"/>
  <c r="AU8" i="5" s="1"/>
  <c r="AV7" i="5" s="1"/>
  <c r="AW6" i="5" s="1"/>
  <c r="AX5" i="5" s="1"/>
  <c r="AB5" i="5"/>
  <c r="AF5" i="5"/>
  <c r="AG5" i="5"/>
  <c r="AH5" i="5"/>
  <c r="AJ5" i="5"/>
  <c r="AK5" i="5"/>
  <c r="AO5" i="5"/>
  <c r="AP4" i="5" s="1"/>
  <c r="AQ3" i="5" s="1"/>
  <c r="AR2" i="5" s="1"/>
  <c r="AS11" i="5" s="1"/>
  <c r="AT10" i="5" s="1"/>
  <c r="AU9" i="5" s="1"/>
  <c r="AV8" i="5" s="1"/>
  <c r="AW7" i="5" s="1"/>
  <c r="AX6" i="5" s="1"/>
  <c r="AB6" i="5"/>
  <c r="AF6" i="5"/>
  <c r="AG6" i="5"/>
  <c r="AH6" i="5"/>
  <c r="AJ6" i="5"/>
  <c r="AK6" i="5"/>
  <c r="AO6" i="5"/>
  <c r="AP5" i="5" s="1"/>
  <c r="AQ4" i="5" s="1"/>
  <c r="AR3" i="5" s="1"/>
  <c r="AS2" i="5" s="1"/>
  <c r="AT11" i="5" s="1"/>
  <c r="AU10" i="5" s="1"/>
  <c r="AV9" i="5" s="1"/>
  <c r="AW8" i="5" s="1"/>
  <c r="AX7" i="5" s="1"/>
  <c r="AB7" i="5"/>
  <c r="AF7" i="5"/>
  <c r="AG7" i="5"/>
  <c r="AH7" i="5"/>
  <c r="AJ7" i="5"/>
  <c r="AK7" i="5"/>
  <c r="AO7" i="5"/>
  <c r="AP6" i="5" s="1"/>
  <c r="AQ5" i="5" s="1"/>
  <c r="AR4" i="5" s="1"/>
  <c r="AS3" i="5" s="1"/>
  <c r="AT2" i="5" s="1"/>
  <c r="AU11" i="5" s="1"/>
  <c r="AV10" i="5" s="1"/>
  <c r="AW9" i="5" s="1"/>
  <c r="AX8" i="5" s="1"/>
  <c r="AB8" i="5"/>
  <c r="AF8" i="5"/>
  <c r="AG8" i="5"/>
  <c r="AH8" i="5"/>
  <c r="AJ8" i="5"/>
  <c r="AK8" i="5"/>
  <c r="AO8" i="5"/>
  <c r="AP7" i="5" s="1"/>
  <c r="AQ6" i="5" s="1"/>
  <c r="AR5" i="5" s="1"/>
  <c r="AS4" i="5" s="1"/>
  <c r="AT3" i="5" s="1"/>
  <c r="AU2" i="5" s="1"/>
  <c r="AV11" i="5" s="1"/>
  <c r="AW10" i="5" s="1"/>
  <c r="AX9" i="5" s="1"/>
  <c r="AB9" i="5"/>
  <c r="AF9" i="5"/>
  <c r="AG9" i="5"/>
  <c r="AH9" i="5"/>
  <c r="AJ9" i="5"/>
  <c r="AK9" i="5"/>
  <c r="AO9" i="5"/>
  <c r="AP8" i="5" s="1"/>
  <c r="AQ7" i="5" s="1"/>
  <c r="AR6" i="5" s="1"/>
  <c r="AS5" i="5" s="1"/>
  <c r="AT4" i="5" s="1"/>
  <c r="AU3" i="5" s="1"/>
  <c r="AV2" i="5" s="1"/>
  <c r="AW11" i="5" s="1"/>
  <c r="AX10" i="5" s="1"/>
  <c r="AB10" i="5"/>
  <c r="AF10" i="5"/>
  <c r="AG10" i="5"/>
  <c r="AH10" i="5"/>
  <c r="AJ10" i="5"/>
  <c r="AK10" i="5"/>
  <c r="AO10" i="5"/>
  <c r="AP9" i="5" s="1"/>
  <c r="AQ8" i="5" s="1"/>
  <c r="AR7" i="5" s="1"/>
  <c r="AS6" i="5" s="1"/>
  <c r="AT5" i="5" s="1"/>
  <c r="AU4" i="5" s="1"/>
  <c r="AV3" i="5" s="1"/>
  <c r="AW2" i="5" s="1"/>
  <c r="AX11" i="5" s="1"/>
  <c r="AB11" i="5"/>
  <c r="AF11" i="5"/>
  <c r="AG11" i="5"/>
  <c r="AH11" i="5"/>
  <c r="AJ11" i="5"/>
  <c r="AK11" i="5"/>
  <c r="AO11" i="5"/>
  <c r="AP10" i="5" s="1"/>
  <c r="AQ9" i="5" s="1"/>
  <c r="AR8" i="5" s="1"/>
  <c r="AS7" i="5" s="1"/>
  <c r="AT6" i="5" s="1"/>
  <c r="AU5" i="5" s="1"/>
  <c r="AV4" i="5" s="1"/>
  <c r="AW3" i="5" s="1"/>
  <c r="AX2" i="5" s="1"/>
  <c r="AB12" i="5"/>
  <c r="AF12" i="5"/>
  <c r="AG12" i="5"/>
  <c r="AH12" i="5"/>
  <c r="AK12" i="5"/>
  <c r="AB13" i="5"/>
  <c r="AF13" i="5"/>
  <c r="AG13" i="5"/>
  <c r="AH13" i="5"/>
  <c r="AK13" i="5"/>
  <c r="AB14" i="5"/>
  <c r="AF14" i="5"/>
  <c r="AG14" i="5"/>
  <c r="AH14" i="5"/>
  <c r="AK14" i="5"/>
  <c r="AB15" i="5"/>
  <c r="AF15" i="5"/>
  <c r="AG15" i="5"/>
  <c r="AH15" i="5"/>
  <c r="AK15" i="5"/>
  <c r="AB16" i="5"/>
  <c r="AF16" i="5"/>
  <c r="AG16" i="5"/>
  <c r="AH16" i="5"/>
  <c r="AK16" i="5"/>
  <c r="AB17" i="5"/>
  <c r="AF17" i="5"/>
  <c r="AG17" i="5"/>
  <c r="AH17" i="5"/>
  <c r="AK17" i="5"/>
  <c r="AB18" i="5"/>
  <c r="AF18" i="5"/>
  <c r="AG18" i="5"/>
  <c r="AH18" i="5"/>
  <c r="AK18" i="5"/>
  <c r="AB19" i="5"/>
  <c r="AF19" i="5"/>
  <c r="AG19" i="5"/>
  <c r="AH19" i="5"/>
  <c r="AK19" i="5"/>
  <c r="AB20" i="5"/>
  <c r="AF20" i="5"/>
  <c r="AG20" i="5"/>
  <c r="AH20" i="5"/>
  <c r="AK20" i="5"/>
  <c r="AB21" i="5"/>
  <c r="AF21" i="5"/>
  <c r="AG21" i="5"/>
  <c r="AH21" i="5"/>
  <c r="AK21" i="5"/>
  <c r="AB22" i="5"/>
  <c r="AF22" i="5"/>
  <c r="AG22" i="5"/>
  <c r="AH22" i="5"/>
  <c r="AK22" i="5"/>
  <c r="AB23" i="5"/>
  <c r="AF23" i="5"/>
  <c r="AG23" i="5"/>
  <c r="AH23" i="5"/>
  <c r="AK23" i="5"/>
  <c r="AB24" i="5"/>
  <c r="AF24" i="5"/>
  <c r="AG24" i="5"/>
  <c r="AH24" i="5"/>
  <c r="AK24" i="5"/>
  <c r="AB25" i="5"/>
  <c r="AF25" i="5"/>
  <c r="AG25" i="5"/>
  <c r="AH25" i="5"/>
  <c r="AK25" i="5"/>
  <c r="AB26" i="5"/>
  <c r="AF26" i="5"/>
  <c r="AG26" i="5"/>
  <c r="AH26" i="5"/>
  <c r="AK26" i="5"/>
  <c r="AB27" i="5"/>
  <c r="AF27" i="5"/>
  <c r="AG27" i="5"/>
  <c r="AH27" i="5"/>
  <c r="AK27" i="5"/>
  <c r="AB28" i="5"/>
  <c r="AF28" i="5"/>
  <c r="AG28" i="5"/>
  <c r="AH28" i="5"/>
  <c r="AK28" i="5"/>
  <c r="AB29" i="5"/>
  <c r="AF29" i="5"/>
  <c r="AG29" i="5"/>
  <c r="AH29" i="5"/>
  <c r="AK29" i="5"/>
  <c r="AB30" i="5"/>
  <c r="AF30" i="5"/>
  <c r="AG30" i="5"/>
  <c r="AH30" i="5"/>
  <c r="AK30" i="5"/>
  <c r="AB31" i="5"/>
  <c r="AF31" i="5"/>
  <c r="AG31" i="5"/>
  <c r="AH31" i="5"/>
  <c r="AK31" i="5"/>
  <c r="AB32" i="5"/>
  <c r="AF32" i="5"/>
  <c r="AG32" i="5"/>
  <c r="AH32" i="5"/>
  <c r="AK32" i="5"/>
  <c r="AB33" i="5"/>
  <c r="AF33" i="5"/>
  <c r="AG33" i="5"/>
  <c r="AH33" i="5"/>
  <c r="AK33" i="5"/>
  <c r="AB34" i="5"/>
  <c r="AF34" i="5"/>
  <c r="AG34" i="5"/>
  <c r="AH34" i="5"/>
  <c r="AK34" i="5"/>
  <c r="AB35" i="5"/>
  <c r="AF35" i="5"/>
  <c r="AG35" i="5"/>
  <c r="AH35" i="5"/>
  <c r="AK35" i="5"/>
  <c r="AB36" i="5"/>
  <c r="AF36" i="5"/>
  <c r="AG36" i="5"/>
  <c r="AH36" i="5"/>
  <c r="AK36" i="5"/>
  <c r="AB37" i="5"/>
  <c r="AF37" i="5"/>
  <c r="AG37" i="5"/>
  <c r="AH37" i="5"/>
  <c r="AK37" i="5"/>
  <c r="AB38" i="5"/>
  <c r="AF38" i="5"/>
  <c r="AG38" i="5"/>
  <c r="AH38" i="5"/>
  <c r="AK38" i="5"/>
  <c r="AB39" i="5"/>
  <c r="AF39" i="5"/>
  <c r="AG39" i="5"/>
  <c r="AH39" i="5"/>
  <c r="AK39" i="5"/>
  <c r="AB40" i="5"/>
  <c r="AF40" i="5"/>
  <c r="AG40" i="5"/>
  <c r="AH40" i="5"/>
  <c r="AK40" i="5"/>
  <c r="AB41" i="5"/>
  <c r="AF41" i="5"/>
  <c r="AG41" i="5"/>
  <c r="AH41" i="5"/>
  <c r="AK41" i="5"/>
  <c r="AB42" i="5"/>
  <c r="AF42" i="5"/>
  <c r="AG42" i="5"/>
  <c r="AH42" i="5"/>
  <c r="AK42" i="5"/>
  <c r="AB43" i="5"/>
  <c r="AF43" i="5"/>
  <c r="AG43" i="5"/>
  <c r="AH43" i="5"/>
  <c r="AK43" i="5"/>
  <c r="AB44" i="5"/>
  <c r="AF44" i="5"/>
  <c r="AG44" i="5"/>
  <c r="AH44" i="5"/>
  <c r="AK44" i="5"/>
  <c r="AB45" i="5"/>
  <c r="AF45" i="5"/>
  <c r="AG45" i="5"/>
  <c r="AH45" i="5"/>
  <c r="AK45" i="5"/>
  <c r="AB46" i="5"/>
  <c r="AF46" i="5"/>
  <c r="AG46" i="5"/>
  <c r="AH46" i="5"/>
  <c r="AK46" i="5"/>
  <c r="AB47" i="5"/>
  <c r="AF47" i="5"/>
  <c r="AG47" i="5"/>
  <c r="AH47" i="5"/>
  <c r="AK47" i="5"/>
  <c r="AB48" i="5"/>
  <c r="AF48" i="5"/>
  <c r="AG48" i="5"/>
  <c r="AH48" i="5"/>
  <c r="AK48" i="5"/>
  <c r="AB49" i="5"/>
  <c r="AF49" i="5"/>
  <c r="AG49" i="5"/>
  <c r="AH49" i="5"/>
  <c r="AK49" i="5"/>
  <c r="AB50" i="5"/>
  <c r="AF50" i="5"/>
  <c r="AG50" i="5"/>
  <c r="AH50" i="5"/>
  <c r="AK50" i="5"/>
  <c r="AB51" i="5"/>
  <c r="AF51" i="5"/>
  <c r="AG51" i="5"/>
  <c r="AH51" i="5"/>
  <c r="AK51" i="5"/>
  <c r="AB52" i="5"/>
  <c r="AF52" i="5"/>
  <c r="AG52" i="5"/>
  <c r="AH52" i="5"/>
  <c r="AK52" i="5"/>
  <c r="AB53" i="5"/>
  <c r="AF53" i="5"/>
  <c r="AG53" i="5"/>
  <c r="AH53" i="5"/>
  <c r="AK53" i="5"/>
  <c r="AB54" i="5"/>
  <c r="AF54" i="5"/>
  <c r="AG54" i="5"/>
  <c r="AH54" i="5"/>
  <c r="AK54" i="5"/>
  <c r="AB55" i="5"/>
  <c r="AF55" i="5"/>
  <c r="AG55" i="5"/>
  <c r="AH55" i="5"/>
  <c r="AK55" i="5"/>
  <c r="AB56" i="5"/>
  <c r="AF56" i="5"/>
  <c r="AG56" i="5"/>
  <c r="AH56" i="5"/>
  <c r="AK56" i="5"/>
  <c r="AB57" i="5"/>
  <c r="AF57" i="5"/>
  <c r="AG57" i="5"/>
  <c r="AH57" i="5"/>
  <c r="AK57" i="5"/>
  <c r="AB58" i="5"/>
  <c r="AF58" i="5"/>
  <c r="AG58" i="5"/>
  <c r="AH58" i="5"/>
  <c r="AK58" i="5"/>
  <c r="AB59" i="5"/>
  <c r="AF59" i="5"/>
  <c r="AG59" i="5"/>
  <c r="AH59" i="5"/>
  <c r="AK59" i="5"/>
  <c r="AB60" i="5"/>
  <c r="AF60" i="5"/>
  <c r="AG60" i="5"/>
  <c r="AH60" i="5"/>
  <c r="AK60" i="5"/>
  <c r="AB61" i="5"/>
  <c r="AF61" i="5"/>
  <c r="AG61" i="5"/>
  <c r="AH61" i="5"/>
  <c r="AK61" i="5"/>
  <c r="AB62" i="5"/>
  <c r="AF62" i="5"/>
  <c r="AG62" i="5"/>
  <c r="AH62" i="5"/>
  <c r="AK62" i="5"/>
  <c r="AB63" i="5"/>
  <c r="AF63" i="5"/>
  <c r="AG63" i="5"/>
  <c r="AH63" i="5"/>
  <c r="AK63" i="5"/>
  <c r="AB64" i="5"/>
  <c r="AF64" i="5"/>
  <c r="AG64" i="5"/>
  <c r="AH64" i="5"/>
  <c r="AK64" i="5"/>
  <c r="AB65" i="5"/>
  <c r="AF65" i="5"/>
  <c r="AG65" i="5"/>
  <c r="AH65" i="5"/>
  <c r="AK65" i="5"/>
  <c r="AB66" i="5"/>
  <c r="AF66" i="5"/>
  <c r="AG66" i="5"/>
  <c r="AH66" i="5"/>
  <c r="AK66" i="5"/>
  <c r="AB67" i="5"/>
  <c r="AF67" i="5"/>
  <c r="AG67" i="5"/>
  <c r="AH67" i="5"/>
  <c r="AK67" i="5"/>
  <c r="AB68" i="5"/>
  <c r="AF68" i="5"/>
  <c r="AG68" i="5"/>
  <c r="AH68" i="5"/>
  <c r="AK68" i="5"/>
  <c r="AB69" i="5"/>
  <c r="AF69" i="5"/>
  <c r="AG69" i="5"/>
  <c r="AH69" i="5"/>
  <c r="AK69" i="5"/>
  <c r="AB70" i="5"/>
  <c r="AF70" i="5"/>
  <c r="AG70" i="5"/>
  <c r="AH70" i="5"/>
  <c r="AK70" i="5"/>
  <c r="AB71" i="5"/>
  <c r="AF71" i="5"/>
  <c r="AG71" i="5"/>
  <c r="AH71" i="5"/>
  <c r="AK71" i="5"/>
  <c r="AB72" i="5"/>
  <c r="AF72" i="5"/>
  <c r="AG72" i="5"/>
  <c r="AH72" i="5"/>
  <c r="AK72" i="5"/>
  <c r="AB73" i="5"/>
  <c r="AF73" i="5"/>
  <c r="AG73" i="5"/>
  <c r="AH73" i="5"/>
  <c r="AK73" i="5"/>
  <c r="AB74" i="5"/>
  <c r="AF74" i="5"/>
  <c r="AG74" i="5"/>
  <c r="AH74" i="5"/>
  <c r="AK74" i="5"/>
  <c r="AB75" i="5"/>
  <c r="AF75" i="5"/>
  <c r="AG75" i="5"/>
  <c r="AH75" i="5"/>
  <c r="AK75" i="5"/>
  <c r="AB76" i="5"/>
  <c r="AF76" i="5"/>
  <c r="AG76" i="5"/>
  <c r="AH76" i="5"/>
  <c r="AK76" i="5"/>
  <c r="AB77" i="5"/>
  <c r="AF77" i="5"/>
  <c r="AG77" i="5"/>
  <c r="AH77" i="5"/>
  <c r="AK77" i="5"/>
  <c r="AB78" i="5"/>
  <c r="AF78" i="5"/>
  <c r="AG78" i="5"/>
  <c r="AH78" i="5"/>
  <c r="AK78" i="5"/>
  <c r="AB79" i="5"/>
  <c r="AF79" i="5"/>
  <c r="AG79" i="5"/>
  <c r="AH79" i="5"/>
  <c r="AK79" i="5"/>
  <c r="AB80" i="5"/>
  <c r="AF80" i="5"/>
  <c r="AG80" i="5"/>
  <c r="AH80" i="5"/>
  <c r="AK80" i="5"/>
  <c r="AB81" i="5"/>
  <c r="AF81" i="5"/>
  <c r="AG81" i="5"/>
  <c r="AH81" i="5"/>
  <c r="AK81" i="5"/>
  <c r="AB82" i="5"/>
  <c r="AF82" i="5"/>
  <c r="AG82" i="5"/>
  <c r="AH82" i="5"/>
  <c r="AK82" i="5"/>
  <c r="AB83" i="5"/>
  <c r="AF83" i="5"/>
  <c r="AG83" i="5"/>
  <c r="AH83" i="5"/>
  <c r="AK83" i="5"/>
  <c r="AB84" i="5"/>
  <c r="AF84" i="5"/>
  <c r="AG84" i="5"/>
  <c r="AH84" i="5"/>
  <c r="AK84" i="5"/>
  <c r="AB85" i="5"/>
  <c r="AF85" i="5"/>
  <c r="AG85" i="5"/>
  <c r="AH85" i="5"/>
  <c r="AK85" i="5"/>
  <c r="AB86" i="5"/>
  <c r="AF86" i="5"/>
  <c r="AG86" i="5"/>
  <c r="AH86" i="5"/>
  <c r="AK86" i="5"/>
  <c r="AB87" i="5"/>
  <c r="AF87" i="5"/>
  <c r="AG87" i="5"/>
  <c r="AH87" i="5"/>
  <c r="AK87" i="5"/>
  <c r="AB88" i="5"/>
  <c r="AF88" i="5"/>
  <c r="AG88" i="5"/>
  <c r="AH88" i="5"/>
  <c r="AK88" i="5"/>
  <c r="AB89" i="5"/>
  <c r="AF89" i="5"/>
  <c r="AG89" i="5"/>
  <c r="AH89" i="5"/>
  <c r="AK89" i="5"/>
  <c r="AB90" i="5"/>
  <c r="AF90" i="5"/>
  <c r="AG90" i="5"/>
  <c r="AH90" i="5"/>
  <c r="AK90" i="5"/>
  <c r="AB91" i="5"/>
  <c r="AF91" i="5"/>
  <c r="AG91" i="5"/>
  <c r="AH91" i="5"/>
  <c r="AK91" i="5"/>
  <c r="AB92" i="5"/>
  <c r="AF92" i="5"/>
  <c r="AG92" i="5"/>
  <c r="AH92" i="5"/>
  <c r="AK92" i="5"/>
  <c r="AB93" i="5"/>
  <c r="AF93" i="5"/>
  <c r="AG93" i="5"/>
  <c r="AH93" i="5"/>
  <c r="AK93" i="5"/>
  <c r="AB94" i="5"/>
  <c r="AF94" i="5"/>
  <c r="AG94" i="5"/>
  <c r="AH94" i="5"/>
  <c r="AK94" i="5"/>
  <c r="AB95" i="5"/>
  <c r="AF95" i="5"/>
  <c r="AG95" i="5"/>
  <c r="AH95" i="5"/>
  <c r="AK95" i="5"/>
  <c r="AB96" i="5"/>
  <c r="AF96" i="5"/>
  <c r="AG96" i="5"/>
  <c r="AH96" i="5"/>
  <c r="AK96" i="5"/>
  <c r="AB97" i="5"/>
  <c r="AF97" i="5"/>
  <c r="AG97" i="5"/>
  <c r="AH97" i="5"/>
  <c r="AK97" i="5"/>
  <c r="AB98" i="5"/>
  <c r="AF98" i="5"/>
  <c r="AG98" i="5"/>
  <c r="AH98" i="5"/>
  <c r="AK98" i="5"/>
  <c r="AB99" i="5"/>
  <c r="AF99" i="5"/>
  <c r="AG99" i="5"/>
  <c r="AH99" i="5"/>
  <c r="AK99" i="5"/>
  <c r="AB100" i="5"/>
  <c r="AF100" i="5"/>
  <c r="AG100" i="5"/>
  <c r="AH100" i="5"/>
  <c r="AK100" i="5"/>
  <c r="AB101" i="5"/>
  <c r="AF101" i="5"/>
  <c r="AG101" i="5"/>
  <c r="AH101" i="5"/>
  <c r="AK101" i="5"/>
  <c r="AB102" i="5"/>
  <c r="AF102" i="5"/>
  <c r="AG102" i="5"/>
  <c r="AH102" i="5"/>
  <c r="AK102" i="5"/>
  <c r="AB103" i="5"/>
  <c r="AF103" i="5"/>
  <c r="AG103" i="5"/>
  <c r="AH103" i="5"/>
  <c r="AK103" i="5"/>
  <c r="AB104" i="5"/>
  <c r="AF104" i="5"/>
  <c r="AG104" i="5"/>
  <c r="AH104" i="5"/>
  <c r="AK104" i="5"/>
  <c r="AB105" i="5"/>
  <c r="AF105" i="5"/>
  <c r="AG105" i="5"/>
  <c r="AH105" i="5"/>
  <c r="AK105" i="5"/>
  <c r="AB106" i="5"/>
  <c r="AF106" i="5"/>
  <c r="AG106" i="5"/>
  <c r="AH106" i="5"/>
  <c r="AK106" i="5"/>
  <c r="AB107" i="5"/>
  <c r="AF107" i="5"/>
  <c r="AG107" i="5"/>
  <c r="AH107" i="5"/>
  <c r="AK107" i="5"/>
  <c r="AB108" i="5"/>
  <c r="AF108" i="5"/>
  <c r="AG108" i="5"/>
  <c r="AH108" i="5"/>
  <c r="AK108" i="5"/>
  <c r="AB109" i="5"/>
  <c r="AF109" i="5"/>
  <c r="AG109" i="5"/>
  <c r="AH109" i="5"/>
  <c r="AK109" i="5"/>
  <c r="AB110" i="5"/>
  <c r="AF110" i="5"/>
  <c r="AG110" i="5"/>
  <c r="AH110" i="5"/>
  <c r="AK110" i="5"/>
  <c r="AB111" i="5"/>
  <c r="AF111" i="5"/>
  <c r="AG111" i="5"/>
  <c r="AH111" i="5"/>
  <c r="AK111" i="5"/>
  <c r="AB112" i="5"/>
  <c r="AF112" i="5"/>
  <c r="AG112" i="5"/>
  <c r="AH112" i="5"/>
  <c r="AK112" i="5"/>
  <c r="AB113" i="5"/>
  <c r="AF113" i="5"/>
  <c r="AG113" i="5"/>
  <c r="AH113" i="5"/>
  <c r="AK113" i="5"/>
  <c r="AB114" i="5"/>
  <c r="AF114" i="5"/>
  <c r="AG114" i="5"/>
  <c r="AH114" i="5"/>
  <c r="AK114" i="5"/>
  <c r="AB115" i="5"/>
  <c r="AF115" i="5"/>
  <c r="AG115" i="5"/>
  <c r="AH115" i="5"/>
  <c r="AK115" i="5"/>
  <c r="AB116" i="5"/>
  <c r="AF116" i="5"/>
  <c r="AG116" i="5"/>
  <c r="AH116" i="5"/>
  <c r="AK116" i="5"/>
  <c r="AB117" i="5"/>
  <c r="AF117" i="5"/>
  <c r="AG117" i="5"/>
  <c r="AH117" i="5"/>
  <c r="AK117" i="5"/>
  <c r="AB118" i="5"/>
  <c r="AF118" i="5"/>
  <c r="AG118" i="5"/>
  <c r="AH118" i="5"/>
  <c r="AK118" i="5"/>
  <c r="AB119" i="5"/>
  <c r="AF119" i="5"/>
  <c r="AG119" i="5"/>
  <c r="AH119" i="5"/>
  <c r="AK119" i="5"/>
  <c r="AB120" i="5"/>
  <c r="AF120" i="5"/>
  <c r="AG120" i="5"/>
  <c r="AH120" i="5"/>
  <c r="AK120" i="5"/>
  <c r="AB121" i="5"/>
  <c r="AF121" i="5"/>
  <c r="AG121" i="5"/>
  <c r="AH121" i="5"/>
  <c r="AK121" i="5"/>
  <c r="AB122" i="5"/>
  <c r="AF122" i="5"/>
  <c r="AG122" i="5"/>
  <c r="AH122" i="5"/>
  <c r="AK122" i="5"/>
  <c r="AB123" i="5"/>
  <c r="AF123" i="5"/>
  <c r="AG123" i="5"/>
  <c r="AH123" i="5"/>
  <c r="AK123" i="5"/>
  <c r="AB124" i="5"/>
  <c r="AF124" i="5"/>
  <c r="AG124" i="5"/>
  <c r="AH124" i="5"/>
  <c r="AK124" i="5"/>
  <c r="AB125" i="5"/>
  <c r="AF125" i="5"/>
  <c r="AG125" i="5"/>
  <c r="AH125" i="5"/>
  <c r="AK125" i="5"/>
  <c r="AB126" i="5"/>
  <c r="AF126" i="5"/>
  <c r="AG126" i="5"/>
  <c r="AH126" i="5"/>
  <c r="AK126" i="5"/>
  <c r="AB127" i="5"/>
  <c r="AF127" i="5"/>
  <c r="AG127" i="5"/>
  <c r="AH127" i="5"/>
  <c r="AK127" i="5"/>
  <c r="AB128" i="5"/>
  <c r="AF128" i="5"/>
  <c r="AG128" i="5"/>
  <c r="AH128" i="5"/>
  <c r="AK128" i="5"/>
  <c r="AB129" i="5"/>
  <c r="AF129" i="5"/>
  <c r="AG129" i="5"/>
  <c r="AH129" i="5"/>
  <c r="AK129" i="5"/>
  <c r="AB130" i="5"/>
  <c r="AF130" i="5"/>
  <c r="AG130" i="5"/>
  <c r="AH130" i="5"/>
  <c r="AK130" i="5"/>
  <c r="AB131" i="5"/>
  <c r="AF131" i="5"/>
  <c r="AG131" i="5"/>
  <c r="AH131" i="5"/>
  <c r="AK131" i="5"/>
  <c r="AB132" i="5"/>
  <c r="AF132" i="5"/>
  <c r="AG132" i="5"/>
  <c r="AH132" i="5"/>
  <c r="AK132" i="5"/>
  <c r="AB133" i="5"/>
  <c r="AF133" i="5"/>
  <c r="AG133" i="5"/>
  <c r="AH133" i="5"/>
  <c r="AK133" i="5"/>
  <c r="AB134" i="5"/>
  <c r="AF134" i="5"/>
  <c r="AG134" i="5"/>
  <c r="AH134" i="5"/>
  <c r="AK134" i="5"/>
  <c r="AB135" i="5"/>
  <c r="AF135" i="5"/>
  <c r="AG135" i="5"/>
  <c r="AH135" i="5"/>
  <c r="AK135" i="5"/>
  <c r="AB136" i="5"/>
  <c r="AF136" i="5"/>
  <c r="AG136" i="5"/>
  <c r="AH136" i="5"/>
  <c r="AK136" i="5"/>
  <c r="AB137" i="5"/>
  <c r="AF137" i="5"/>
  <c r="AG137" i="5"/>
  <c r="AH137" i="5"/>
  <c r="AK137" i="5"/>
  <c r="AB138" i="5"/>
  <c r="AF138" i="5"/>
  <c r="AG138" i="5"/>
  <c r="AH138" i="5"/>
  <c r="AK138" i="5"/>
  <c r="AB139" i="5"/>
  <c r="AF139" i="5"/>
  <c r="AG139" i="5"/>
  <c r="AH139" i="5"/>
  <c r="AK139" i="5"/>
  <c r="AB140" i="5"/>
  <c r="AF140" i="5"/>
  <c r="AG140" i="5"/>
  <c r="AH140" i="5"/>
  <c r="AK140" i="5"/>
  <c r="AB141" i="5"/>
  <c r="AF141" i="5"/>
  <c r="AG141" i="5"/>
  <c r="AH141" i="5"/>
  <c r="AK141" i="5"/>
  <c r="AB142" i="5"/>
  <c r="AF142" i="5"/>
  <c r="AG142" i="5"/>
  <c r="AH142" i="5"/>
  <c r="AK142" i="5"/>
  <c r="AB143" i="5"/>
  <c r="AF143" i="5"/>
  <c r="AG143" i="5"/>
  <c r="AH143" i="5"/>
  <c r="AK143" i="5"/>
  <c r="AB144" i="5"/>
  <c r="AF144" i="5"/>
  <c r="AG144" i="5"/>
  <c r="AH144" i="5"/>
  <c r="AK144" i="5"/>
  <c r="AB145" i="5"/>
  <c r="AF145" i="5"/>
  <c r="AG145" i="5"/>
  <c r="AH145" i="5"/>
  <c r="AK145" i="5"/>
  <c r="AB146" i="5"/>
  <c r="AF146" i="5"/>
  <c r="AG146" i="5"/>
  <c r="AH146" i="5"/>
  <c r="AK146" i="5"/>
  <c r="AB147" i="5"/>
  <c r="AF147" i="5"/>
  <c r="AG147" i="5"/>
  <c r="AH147" i="5"/>
  <c r="AK147" i="5"/>
  <c r="AB148" i="5"/>
  <c r="AF148" i="5"/>
  <c r="AG148" i="5"/>
  <c r="AH148" i="5"/>
  <c r="AK148" i="5"/>
  <c r="AB149" i="5"/>
  <c r="AF149" i="5"/>
  <c r="AG149" i="5"/>
  <c r="AH149" i="5"/>
  <c r="AK149" i="5"/>
  <c r="AB150" i="5"/>
  <c r="AF150" i="5"/>
  <c r="AG150" i="5"/>
  <c r="AH150" i="5"/>
  <c r="AK150" i="5"/>
  <c r="AB151" i="5"/>
  <c r="AF151" i="5"/>
  <c r="AG151" i="5"/>
  <c r="AH151" i="5"/>
  <c r="AK151" i="5"/>
  <c r="AB152" i="5"/>
  <c r="AF152" i="5"/>
  <c r="AG152" i="5"/>
  <c r="AH152" i="5"/>
  <c r="AK152" i="5"/>
  <c r="AB153" i="5"/>
  <c r="AF153" i="5"/>
  <c r="AG153" i="5"/>
  <c r="AH153" i="5"/>
  <c r="AK153" i="5"/>
  <c r="AB154" i="5"/>
  <c r="AF154" i="5"/>
  <c r="AG154" i="5"/>
  <c r="AH154" i="5"/>
  <c r="AK154" i="5"/>
  <c r="AB155" i="5"/>
  <c r="AF155" i="5"/>
  <c r="AG155" i="5"/>
  <c r="AH155" i="5"/>
  <c r="AK155" i="5"/>
  <c r="AB156" i="5"/>
  <c r="AF156" i="5"/>
  <c r="AG156" i="5"/>
  <c r="AH156" i="5"/>
  <c r="AK156" i="5"/>
  <c r="AB157" i="5"/>
  <c r="AF157" i="5"/>
  <c r="AG157" i="5"/>
  <c r="AH157" i="5"/>
  <c r="AK157" i="5"/>
  <c r="AB158" i="5"/>
  <c r="AF158" i="5"/>
  <c r="AG158" i="5"/>
  <c r="AH158" i="5"/>
  <c r="AK158" i="5"/>
  <c r="AB159" i="5"/>
  <c r="AF159" i="5"/>
  <c r="AG159" i="5"/>
  <c r="AH159" i="5"/>
  <c r="AK159" i="5"/>
  <c r="AB160" i="5"/>
  <c r="AF160" i="5"/>
  <c r="AG160" i="5"/>
  <c r="AH160" i="5"/>
  <c r="AK160" i="5"/>
  <c r="AB161" i="5"/>
  <c r="AH161" i="5"/>
  <c r="AK161" i="5"/>
  <c r="AC163" i="5"/>
  <c r="AD163" i="5"/>
  <c r="AC164" i="5"/>
  <c r="AD164" i="5"/>
  <c r="AC165" i="5"/>
  <c r="AD165" i="5"/>
  <c r="AC166" i="5"/>
  <c r="AD166" i="5"/>
  <c r="AC167" i="5"/>
  <c r="AD167" i="5"/>
  <c r="AC168" i="5"/>
  <c r="AD168" i="5"/>
  <c r="AC169" i="5"/>
  <c r="AD169" i="5"/>
  <c r="AC170" i="5"/>
  <c r="AD170" i="5"/>
  <c r="AC171" i="5"/>
  <c r="AD171" i="5"/>
  <c r="AC172" i="5"/>
  <c r="AD172" i="5"/>
  <c r="AC173" i="5"/>
  <c r="AC174" i="5"/>
  <c r="AC175" i="5"/>
  <c r="AC176" i="5"/>
  <c r="AC177" i="5"/>
  <c r="AC178" i="5"/>
  <c r="AC179" i="5"/>
  <c r="AC180" i="5"/>
  <c r="AC181" i="5"/>
  <c r="AC182" i="5"/>
  <c r="AC183" i="5"/>
  <c r="AC184" i="5"/>
  <c r="AC185" i="5"/>
  <c r="AC186" i="5"/>
  <c r="AC187" i="5"/>
  <c r="AC188" i="5"/>
  <c r="AC189" i="5"/>
  <c r="AC190" i="5"/>
  <c r="AC191" i="5"/>
  <c r="AC192" i="5"/>
  <c r="AC193" i="5"/>
  <c r="AC194" i="5"/>
  <c r="AC195" i="5"/>
  <c r="AC196" i="5"/>
  <c r="AC197" i="5"/>
  <c r="AC198" i="5"/>
  <c r="AC199" i="5"/>
  <c r="AC200" i="5"/>
  <c r="AC201" i="5"/>
  <c r="AC202" i="5"/>
  <c r="AC203" i="5"/>
  <c r="AC204" i="5"/>
  <c r="AC205" i="5"/>
  <c r="AC206" i="5"/>
  <c r="AC207" i="5"/>
  <c r="AC208" i="5"/>
  <c r="AC209" i="5"/>
  <c r="AC210" i="5"/>
  <c r="AC211" i="5"/>
  <c r="AC212" i="5"/>
  <c r="AC213" i="5"/>
  <c r="AC214" i="5"/>
  <c r="AC215" i="5"/>
  <c r="AC216" i="5"/>
  <c r="AC217" i="5"/>
  <c r="AC218" i="5"/>
  <c r="AC219" i="5"/>
  <c r="AC220" i="5"/>
  <c r="AC221" i="5"/>
  <c r="AC222" i="5"/>
  <c r="AC223" i="5"/>
  <c r="AC224" i="5"/>
  <c r="AC225" i="5"/>
  <c r="AC226" i="5"/>
  <c r="AC227" i="5"/>
  <c r="AC228" i="5"/>
  <c r="AC229" i="5"/>
  <c r="AC230" i="5"/>
  <c r="AC231" i="5"/>
  <c r="AC232" i="5"/>
  <c r="AC233" i="5"/>
  <c r="AC234" i="5"/>
  <c r="AC235" i="5"/>
  <c r="AC236" i="5"/>
  <c r="AC237" i="5"/>
  <c r="AC238" i="5"/>
  <c r="AC239" i="5"/>
  <c r="AC240" i="5"/>
  <c r="AC241" i="5"/>
  <c r="AC242" i="5"/>
  <c r="AC243" i="5"/>
  <c r="AC244" i="5"/>
  <c r="AC245" i="5"/>
  <c r="AC246" i="5"/>
  <c r="AC247" i="5"/>
  <c r="AC248" i="5"/>
  <c r="AC249" i="5"/>
  <c r="AC250" i="5"/>
  <c r="AC251" i="5"/>
  <c r="AC252" i="5"/>
  <c r="AC253" i="5"/>
  <c r="AC254" i="5"/>
  <c r="AC255" i="5"/>
  <c r="AC256" i="5"/>
  <c r="AC257" i="5"/>
  <c r="AC258" i="5"/>
  <c r="AC259" i="5"/>
  <c r="AC260" i="5"/>
  <c r="AC261" i="5"/>
  <c r="AC262" i="5"/>
  <c r="AC263" i="5"/>
  <c r="AC264" i="5"/>
  <c r="AC265" i="5"/>
  <c r="AC266" i="5"/>
  <c r="AC267" i="5"/>
  <c r="AC268" i="5"/>
  <c r="AC269" i="5"/>
  <c r="AC270" i="5"/>
  <c r="AC271" i="5"/>
  <c r="AC272" i="5"/>
  <c r="AC273" i="5"/>
  <c r="AC274" i="5"/>
  <c r="AC275" i="5"/>
  <c r="AC276" i="5"/>
  <c r="AC277" i="5"/>
  <c r="AC278" i="5"/>
  <c r="AC279" i="5"/>
  <c r="AC280" i="5"/>
  <c r="AC281" i="5"/>
  <c r="AC282" i="5"/>
  <c r="AC283" i="5"/>
  <c r="AC284" i="5"/>
  <c r="AC285" i="5"/>
  <c r="AC286" i="5"/>
  <c r="AC287" i="5"/>
  <c r="AC288" i="5"/>
  <c r="AC289" i="5"/>
  <c r="AC290" i="5"/>
  <c r="AC291" i="5"/>
  <c r="AC292" i="5"/>
  <c r="AC293" i="5"/>
  <c r="AC294" i="5"/>
  <c r="AC295" i="5"/>
  <c r="AC296" i="5"/>
  <c r="AC297" i="5"/>
  <c r="AC298" i="5"/>
  <c r="AC299" i="5"/>
  <c r="AC300" i="5"/>
  <c r="AC301" i="5"/>
  <c r="AC302" i="5"/>
  <c r="AC303" i="5"/>
  <c r="AC304" i="5"/>
  <c r="AC305" i="5"/>
  <c r="AC306" i="5"/>
  <c r="AC307" i="5"/>
  <c r="AC308" i="5"/>
  <c r="AC309" i="5"/>
  <c r="AC310" i="5"/>
  <c r="AC311" i="5"/>
  <c r="AC312" i="5"/>
  <c r="AC313" i="5"/>
  <c r="AC314" i="5"/>
  <c r="AC315" i="5"/>
  <c r="AC316" i="5"/>
  <c r="AC317" i="5"/>
  <c r="AC318" i="5"/>
  <c r="AC319" i="5"/>
  <c r="AC320" i="5"/>
  <c r="AC321" i="5"/>
  <c r="AC322" i="5"/>
  <c r="AC323" i="5"/>
  <c r="AC324" i="5"/>
  <c r="AC325" i="5"/>
  <c r="AC326" i="5"/>
  <c r="AC327" i="5"/>
  <c r="AC328" i="5"/>
  <c r="AC329" i="5"/>
  <c r="AC330" i="5"/>
  <c r="AC331" i="5"/>
  <c r="AC332" i="5"/>
  <c r="AC333" i="5"/>
  <c r="AC334" i="5"/>
  <c r="AC335" i="5"/>
  <c r="AC336" i="5"/>
  <c r="AC337" i="5"/>
  <c r="AC338" i="5"/>
  <c r="AC339" i="5"/>
  <c r="AC340" i="5"/>
  <c r="AC341" i="5"/>
  <c r="AC342" i="5"/>
  <c r="AC343" i="5"/>
  <c r="AC344" i="5"/>
  <c r="AC345" i="5"/>
  <c r="AC346" i="5"/>
  <c r="AC347" i="5"/>
  <c r="AC348" i="5"/>
  <c r="AC349" i="5"/>
  <c r="AC350" i="5"/>
  <c r="AC351" i="5"/>
  <c r="AC352" i="5"/>
  <c r="AC353" i="5"/>
  <c r="AC354" i="5"/>
  <c r="AC355" i="5"/>
  <c r="AC356" i="5"/>
  <c r="AC357" i="5"/>
  <c r="AC358" i="5"/>
  <c r="AC359" i="5"/>
  <c r="AC360" i="5"/>
  <c r="AC361" i="5"/>
  <c r="AC362" i="5"/>
  <c r="AC363" i="5"/>
  <c r="AC364" i="5"/>
  <c r="AC365" i="5"/>
  <c r="AC366" i="5"/>
  <c r="AC367" i="5"/>
  <c r="AC368" i="5"/>
  <c r="AC369" i="5"/>
  <c r="AC370" i="5"/>
  <c r="AC371" i="5"/>
  <c r="AC372" i="5"/>
  <c r="AC373" i="5"/>
  <c r="AC374" i="5"/>
  <c r="AC375" i="5"/>
  <c r="AC376" i="5"/>
  <c r="AC377" i="5"/>
  <c r="AC378" i="5"/>
  <c r="AC379" i="5"/>
  <c r="AC380" i="5"/>
  <c r="AC381" i="5"/>
  <c r="AC382" i="5"/>
  <c r="AC383" i="5"/>
  <c r="AC384" i="5"/>
  <c r="AC385" i="5"/>
  <c r="AC386" i="5"/>
  <c r="AC387" i="5"/>
  <c r="AC388" i="5"/>
  <c r="AC389" i="5"/>
  <c r="AC390" i="5"/>
  <c r="AC391" i="5"/>
  <c r="AC392" i="5"/>
  <c r="AC393" i="5"/>
  <c r="AC394" i="5"/>
  <c r="AC395" i="5"/>
  <c r="AC396" i="5"/>
  <c r="AC397" i="5"/>
  <c r="AC398" i="5"/>
  <c r="AC399" i="5"/>
  <c r="AC400" i="5"/>
  <c r="AC401" i="5"/>
  <c r="AC402" i="5"/>
  <c r="AC403" i="5"/>
  <c r="AC404" i="5"/>
  <c r="AC405" i="5"/>
  <c r="AC406" i="5"/>
  <c r="AC407" i="5"/>
  <c r="AC408" i="5"/>
  <c r="AC409" i="5"/>
  <c r="AC410" i="5"/>
  <c r="AC411" i="5"/>
  <c r="AC412" i="5"/>
  <c r="AC413" i="5"/>
  <c r="AC414" i="5"/>
  <c r="AC415" i="5"/>
  <c r="AC416" i="5"/>
  <c r="AC417" i="5"/>
  <c r="AC418" i="5"/>
  <c r="AC419" i="5"/>
  <c r="AC420" i="5"/>
  <c r="AC421" i="5"/>
  <c r="AC422" i="5"/>
  <c r="AC423" i="5"/>
  <c r="AC424" i="5"/>
  <c r="AC425" i="5"/>
  <c r="AC426" i="5"/>
  <c r="AC427" i="5"/>
  <c r="AC428" i="5"/>
  <c r="AC429" i="5"/>
  <c r="AC430" i="5"/>
  <c r="AC431" i="5"/>
  <c r="AC432" i="5"/>
  <c r="AC433" i="5"/>
  <c r="AC434" i="5"/>
  <c r="AC435" i="5"/>
  <c r="AC436" i="5"/>
  <c r="AC437" i="5"/>
  <c r="AC438" i="5"/>
  <c r="AC439" i="5"/>
  <c r="AC440" i="5"/>
  <c r="AC441" i="5"/>
  <c r="AC442" i="5"/>
  <c r="AC443" i="5"/>
  <c r="AC444" i="5"/>
  <c r="AC445" i="5"/>
  <c r="AC446" i="5"/>
  <c r="AC447" i="5"/>
  <c r="AC448" i="5"/>
  <c r="AC449" i="5"/>
  <c r="AC450" i="5"/>
  <c r="AC451" i="5"/>
  <c r="AC452" i="5"/>
  <c r="AC453" i="5"/>
  <c r="AC454" i="5"/>
  <c r="AC455" i="5"/>
  <c r="AC456" i="5"/>
  <c r="AC457" i="5"/>
  <c r="AC458" i="5"/>
  <c r="AC459" i="5"/>
  <c r="AC460" i="5"/>
  <c r="AC461" i="5"/>
  <c r="AC462" i="5"/>
  <c r="AC463" i="5"/>
  <c r="AC464" i="5"/>
  <c r="AC465" i="5"/>
  <c r="AC466" i="5"/>
  <c r="AC467" i="5"/>
  <c r="AC468" i="5"/>
  <c r="AC469" i="5"/>
  <c r="AC470" i="5"/>
  <c r="AC471" i="5"/>
  <c r="AC472" i="5"/>
  <c r="AC473" i="5"/>
  <c r="AC474" i="5"/>
  <c r="AC475" i="5"/>
  <c r="AC476" i="5"/>
  <c r="AC477" i="5"/>
  <c r="AC478" i="5"/>
  <c r="AC479" i="5"/>
  <c r="AC480" i="5"/>
  <c r="AC481" i="5"/>
  <c r="AC482" i="5"/>
  <c r="AC483" i="5"/>
  <c r="AC484" i="5"/>
  <c r="AC485" i="5"/>
  <c r="AC486" i="5"/>
  <c r="AC487" i="5"/>
  <c r="AC488" i="5"/>
  <c r="AC489" i="5"/>
  <c r="AC490" i="5"/>
  <c r="AC491" i="5"/>
  <c r="AC492" i="5"/>
  <c r="AC493" i="5"/>
  <c r="AC494" i="5"/>
  <c r="AC495" i="5"/>
  <c r="AC496" i="5"/>
  <c r="AC497" i="5"/>
  <c r="AC498" i="5"/>
  <c r="AC499" i="5"/>
  <c r="AC500" i="5"/>
  <c r="AC501" i="5"/>
  <c r="AC502" i="5"/>
  <c r="AC503" i="5"/>
  <c r="AC504" i="5"/>
  <c r="AC505" i="5"/>
  <c r="AC506" i="5"/>
  <c r="AC507" i="5"/>
  <c r="AC508" i="5"/>
  <c r="AC509" i="5"/>
  <c r="AC510" i="5"/>
  <c r="AC511" i="5"/>
  <c r="AC512" i="5"/>
  <c r="AC513" i="5"/>
  <c r="AC514" i="5"/>
  <c r="AC515" i="5"/>
  <c r="AC516" i="5"/>
  <c r="AC517" i="5"/>
  <c r="AC518" i="5"/>
  <c r="AC519" i="5"/>
  <c r="AC520" i="5"/>
  <c r="AC521" i="5"/>
  <c r="AC522" i="5"/>
  <c r="AC523" i="5"/>
  <c r="AC524" i="5"/>
  <c r="AC525" i="5"/>
  <c r="AC526" i="5"/>
  <c r="AC527" i="5"/>
  <c r="AC528" i="5"/>
  <c r="AC529" i="5"/>
  <c r="AC530" i="5"/>
  <c r="AC531" i="5"/>
  <c r="AC532" i="5"/>
  <c r="AC533" i="5"/>
  <c r="AC534" i="5"/>
  <c r="AC535" i="5"/>
  <c r="AC536" i="5"/>
  <c r="AC537" i="5"/>
  <c r="AC538" i="5"/>
  <c r="AC539" i="5"/>
  <c r="AC540" i="5"/>
  <c r="AC541" i="5"/>
  <c r="AC542" i="5"/>
  <c r="AC543" i="5"/>
  <c r="AC544" i="5"/>
  <c r="AC545" i="5"/>
  <c r="AC546" i="5"/>
  <c r="AC547" i="5"/>
  <c r="AC548" i="5"/>
  <c r="AC549" i="5"/>
  <c r="AC550" i="5"/>
  <c r="AC551" i="5"/>
  <c r="AC552" i="5"/>
  <c r="AC553" i="5"/>
  <c r="AC554" i="5"/>
  <c r="AC555" i="5"/>
  <c r="AC556" i="5"/>
  <c r="AC557" i="5"/>
  <c r="AC558" i="5"/>
  <c r="AC559" i="5"/>
  <c r="AC560" i="5"/>
  <c r="AC561" i="5"/>
  <c r="AC562" i="5"/>
  <c r="AC563" i="5"/>
  <c r="AC564" i="5"/>
  <c r="AC565" i="5"/>
  <c r="AC566" i="5"/>
  <c r="AC567" i="5"/>
  <c r="AC568" i="5"/>
  <c r="AC569" i="5"/>
  <c r="AC570" i="5"/>
  <c r="AC571" i="5"/>
  <c r="AC572" i="5"/>
  <c r="AC573" i="5"/>
  <c r="AC574" i="5"/>
  <c r="AC575" i="5"/>
  <c r="AC576" i="5"/>
  <c r="AC577" i="5"/>
  <c r="AC578" i="5"/>
  <c r="AC579" i="5"/>
  <c r="AC580" i="5"/>
  <c r="AC581" i="5"/>
  <c r="AC582" i="5"/>
  <c r="AC583" i="5"/>
  <c r="AC584" i="5"/>
  <c r="AC585" i="5"/>
  <c r="AC586" i="5"/>
  <c r="AC587" i="5"/>
  <c r="AC588" i="5"/>
  <c r="AC589" i="5"/>
  <c r="AC590" i="5"/>
  <c r="AC591" i="5"/>
  <c r="AC592" i="5"/>
  <c r="AC593" i="5"/>
  <c r="AC594" i="5"/>
  <c r="AC595" i="5"/>
  <c r="AC596" i="5"/>
  <c r="AC597" i="5"/>
  <c r="AC598" i="5"/>
  <c r="AC599" i="5"/>
  <c r="AC600" i="5"/>
  <c r="AC601" i="5"/>
  <c r="AC602" i="5"/>
  <c r="AC603" i="5"/>
  <c r="AC604" i="5"/>
  <c r="AC605" i="5"/>
  <c r="AC606" i="5"/>
  <c r="AC607" i="5"/>
  <c r="AC608" i="5"/>
  <c r="AC609" i="5"/>
  <c r="AC610" i="5"/>
  <c r="AC611" i="5"/>
  <c r="AC612" i="5"/>
  <c r="AC613" i="5"/>
  <c r="AC614" i="5"/>
  <c r="AC615" i="5"/>
  <c r="AC616" i="5"/>
  <c r="AC617" i="5"/>
  <c r="AC618" i="5"/>
  <c r="AC619" i="5"/>
  <c r="AC620" i="5"/>
  <c r="AC621" i="5"/>
  <c r="AC622" i="5"/>
  <c r="AC623" i="5"/>
  <c r="AC624" i="5"/>
  <c r="AC625" i="5"/>
  <c r="AC626" i="5"/>
  <c r="AC627" i="5"/>
  <c r="AC628" i="5"/>
  <c r="AC629" i="5"/>
  <c r="AC630" i="5"/>
  <c r="AC631" i="5"/>
  <c r="AC632" i="5"/>
  <c r="AC633" i="5"/>
  <c r="AC634" i="5"/>
  <c r="AC635" i="5"/>
  <c r="AC636" i="5"/>
  <c r="AC637" i="5"/>
  <c r="AC638" i="5"/>
  <c r="AC639" i="5"/>
  <c r="AC640" i="5"/>
  <c r="AC641" i="5"/>
  <c r="AC642" i="5"/>
  <c r="AC643" i="5"/>
  <c r="AC644" i="5"/>
  <c r="AC645" i="5"/>
  <c r="AC646" i="5"/>
  <c r="AC647" i="5"/>
  <c r="AC648" i="5"/>
  <c r="AC649" i="5"/>
  <c r="AC650" i="5"/>
  <c r="AC651" i="5"/>
  <c r="AC652" i="5"/>
  <c r="AC653" i="5"/>
  <c r="AC654" i="5"/>
  <c r="AC655" i="5"/>
  <c r="AC656" i="5"/>
  <c r="AC657" i="5"/>
  <c r="AC658" i="5"/>
  <c r="AC659" i="5"/>
  <c r="AC660" i="5"/>
  <c r="AC661" i="5"/>
  <c r="AC662" i="5"/>
  <c r="AC663" i="5"/>
  <c r="AC664" i="5"/>
  <c r="AC665" i="5"/>
  <c r="AC666" i="5"/>
  <c r="AC667" i="5"/>
  <c r="AC668" i="5"/>
  <c r="AC669" i="5"/>
  <c r="AC670" i="5"/>
  <c r="AC671" i="5"/>
  <c r="AC672" i="5"/>
  <c r="AC673" i="5"/>
  <c r="AC674" i="5"/>
  <c r="AC675" i="5"/>
  <c r="AC676" i="5"/>
  <c r="AC677" i="5"/>
  <c r="AC678" i="5"/>
  <c r="AC679" i="5"/>
  <c r="AC680" i="5"/>
  <c r="AC681" i="5"/>
  <c r="AC682" i="5"/>
  <c r="AC683" i="5"/>
  <c r="AC684" i="5"/>
  <c r="AC685" i="5"/>
  <c r="AC686" i="5"/>
  <c r="AC687" i="5"/>
  <c r="AC688" i="5"/>
  <c r="AC689" i="5"/>
  <c r="AC690" i="5"/>
  <c r="AC691" i="5"/>
  <c r="AC692" i="5"/>
  <c r="AC693" i="5"/>
  <c r="AC694" i="5"/>
  <c r="AC695" i="5"/>
  <c r="AC696" i="5"/>
  <c r="AC697" i="5"/>
  <c r="AC698" i="5"/>
  <c r="AC699" i="5"/>
  <c r="AC700" i="5"/>
  <c r="AC701" i="5"/>
  <c r="AC702" i="5"/>
  <c r="AC703" i="5"/>
  <c r="AC704" i="5"/>
  <c r="AC705" i="5"/>
  <c r="AC706" i="5"/>
  <c r="AC707" i="5"/>
  <c r="AC708" i="5"/>
  <c r="AC709" i="5"/>
  <c r="AC710" i="5"/>
  <c r="AC711" i="5"/>
  <c r="AC712" i="5"/>
  <c r="AC713" i="5"/>
  <c r="AC714" i="5"/>
  <c r="AC715" i="5"/>
  <c r="AC716" i="5"/>
  <c r="AC717" i="5"/>
  <c r="AC718" i="5"/>
  <c r="AC719" i="5"/>
  <c r="AC720" i="5"/>
  <c r="AC721" i="5"/>
  <c r="AC722" i="5"/>
  <c r="AC723" i="5"/>
  <c r="AC724" i="5"/>
  <c r="AC725" i="5"/>
  <c r="AC726" i="5"/>
  <c r="AC727" i="5"/>
  <c r="AC728" i="5"/>
  <c r="AC729" i="5"/>
  <c r="AC730" i="5"/>
  <c r="AC731" i="5"/>
  <c r="AC732" i="5"/>
  <c r="AC733" i="5"/>
  <c r="AC734" i="5"/>
  <c r="AC735" i="5"/>
  <c r="AC736" i="5"/>
  <c r="AC737" i="5"/>
  <c r="AC738" i="5"/>
  <c r="AC739" i="5"/>
  <c r="AC740" i="5"/>
  <c r="AC741" i="5"/>
  <c r="AC742" i="5"/>
  <c r="AC743" i="5"/>
  <c r="AC744" i="5"/>
  <c r="AC745" i="5"/>
  <c r="AC746" i="5"/>
  <c r="AC747" i="5"/>
  <c r="AC748" i="5"/>
  <c r="AC749" i="5"/>
  <c r="AC750" i="5"/>
  <c r="AC751" i="5"/>
  <c r="AC752" i="5"/>
  <c r="AC753" i="5"/>
  <c r="AC754" i="5"/>
  <c r="AC755" i="5"/>
  <c r="AC756" i="5"/>
  <c r="AC757" i="5"/>
  <c r="AC758" i="5"/>
  <c r="AC759" i="5"/>
  <c r="AC760" i="5"/>
  <c r="AC761" i="5"/>
  <c r="AC762" i="5"/>
  <c r="AC763" i="5"/>
  <c r="AC764" i="5"/>
  <c r="AC765" i="5"/>
  <c r="AC766" i="5"/>
  <c r="AC767" i="5"/>
  <c r="AC768" i="5"/>
  <c r="AC769" i="5"/>
  <c r="AC770" i="5"/>
  <c r="AC771" i="5"/>
  <c r="AC772" i="5"/>
  <c r="AC773" i="5"/>
  <c r="AC774" i="5"/>
  <c r="AC775" i="5"/>
  <c r="AC776" i="5"/>
  <c r="AC777" i="5"/>
  <c r="AC778" i="5"/>
  <c r="AC779" i="5"/>
  <c r="AC780" i="5"/>
  <c r="AC781" i="5"/>
  <c r="AC782" i="5"/>
  <c r="AC783" i="5"/>
  <c r="AC784" i="5"/>
  <c r="AC785" i="5"/>
  <c r="AC786" i="5"/>
  <c r="AC787" i="5"/>
  <c r="AC788" i="5"/>
  <c r="AC789" i="5"/>
  <c r="AC790" i="5"/>
  <c r="AC791" i="5"/>
  <c r="AC792" i="5"/>
  <c r="AC793" i="5"/>
  <c r="AC794" i="5"/>
  <c r="AC795" i="5"/>
  <c r="AC796" i="5"/>
  <c r="AC797" i="5"/>
  <c r="AC798" i="5"/>
  <c r="AC799" i="5"/>
  <c r="AC800" i="5"/>
  <c r="AC801" i="5"/>
  <c r="AC802" i="5"/>
  <c r="AC803" i="5"/>
  <c r="AC804" i="5"/>
  <c r="AC805" i="5"/>
  <c r="AC806" i="5"/>
  <c r="AC807" i="5"/>
  <c r="AC808" i="5"/>
  <c r="AC809" i="5"/>
  <c r="AC810" i="5"/>
  <c r="AC811" i="5"/>
  <c r="AC812" i="5"/>
  <c r="AC813" i="5"/>
  <c r="AC814" i="5"/>
  <c r="AC815" i="5"/>
  <c r="AC816" i="5"/>
  <c r="AC817" i="5"/>
  <c r="AC818" i="5"/>
  <c r="AC819" i="5"/>
  <c r="AC820" i="5"/>
  <c r="AC821" i="5"/>
  <c r="AC822" i="5"/>
  <c r="AC823" i="5"/>
  <c r="AC824" i="5"/>
  <c r="AC825" i="5"/>
  <c r="AC826" i="5"/>
  <c r="AC827" i="5"/>
  <c r="AC828" i="5"/>
  <c r="AC829" i="5"/>
  <c r="AC830" i="5"/>
  <c r="AC831" i="5"/>
  <c r="AC832" i="5"/>
  <c r="AC833" i="5"/>
  <c r="AC834" i="5"/>
  <c r="AC835" i="5"/>
  <c r="AC836" i="5"/>
  <c r="AC837" i="5"/>
  <c r="AC838" i="5"/>
  <c r="AC839" i="5"/>
  <c r="AC840" i="5"/>
  <c r="AC841" i="5"/>
  <c r="AC842" i="5"/>
  <c r="AC843" i="5"/>
  <c r="AC844" i="5"/>
  <c r="AC845" i="5"/>
  <c r="AC846" i="5"/>
  <c r="AC847" i="5"/>
  <c r="AC848" i="5"/>
  <c r="AC849" i="5"/>
  <c r="AC850" i="5"/>
  <c r="AC851" i="5"/>
  <c r="AC852" i="5"/>
  <c r="AC853" i="5"/>
  <c r="AC854" i="5"/>
  <c r="AC855" i="5"/>
  <c r="AC856" i="5"/>
  <c r="AC857" i="5"/>
  <c r="AC858" i="5"/>
  <c r="AC859" i="5"/>
  <c r="AC860" i="5"/>
  <c r="AC861" i="5"/>
  <c r="AC862" i="5"/>
  <c r="AC863" i="5"/>
  <c r="AC864" i="5"/>
  <c r="AC865" i="5"/>
  <c r="AC866" i="5"/>
  <c r="AC867" i="5"/>
  <c r="AC868" i="5"/>
  <c r="AC869" i="5"/>
  <c r="AC870" i="5"/>
  <c r="AC871" i="5"/>
  <c r="AC872" i="5"/>
  <c r="AC873" i="5"/>
  <c r="AC874" i="5"/>
  <c r="AC875" i="5"/>
  <c r="AC876" i="5"/>
  <c r="AC877" i="5"/>
  <c r="AC878" i="5"/>
  <c r="AC879" i="5"/>
  <c r="AC880" i="5"/>
  <c r="AC881" i="5"/>
  <c r="AC882" i="5"/>
  <c r="AC883" i="5"/>
  <c r="AC884" i="5"/>
  <c r="AC885" i="5"/>
  <c r="AC886" i="5"/>
  <c r="AC887" i="5"/>
  <c r="AC888" i="5"/>
  <c r="AC889" i="5"/>
  <c r="AC890" i="5"/>
  <c r="AC891" i="5"/>
  <c r="AC892" i="5"/>
  <c r="AC893" i="5"/>
  <c r="AC894" i="5"/>
  <c r="AC895" i="5"/>
  <c r="AC896" i="5"/>
  <c r="AC897" i="5"/>
  <c r="AC898" i="5"/>
  <c r="AC899" i="5"/>
  <c r="AC900" i="5"/>
  <c r="AC901" i="5"/>
  <c r="AC902" i="5"/>
  <c r="AC903" i="5"/>
  <c r="AC904" i="5"/>
  <c r="AC905" i="5"/>
  <c r="AC906" i="5"/>
  <c r="AC907" i="5"/>
  <c r="AC908" i="5"/>
  <c r="AC909" i="5"/>
  <c r="AC910" i="5"/>
  <c r="AC911" i="5"/>
  <c r="AC912" i="5"/>
  <c r="AC913" i="5"/>
  <c r="AC914" i="5"/>
  <c r="AC915" i="5"/>
  <c r="AC916" i="5"/>
  <c r="AC917" i="5"/>
  <c r="AC918" i="5"/>
  <c r="AC919" i="5"/>
  <c r="AC920" i="5"/>
  <c r="AC921" i="5"/>
  <c r="AC922" i="5"/>
  <c r="AC923" i="5"/>
  <c r="AC924" i="5"/>
  <c r="AC925" i="5"/>
  <c r="AC926" i="5"/>
  <c r="AC927" i="5"/>
  <c r="AC928" i="5"/>
  <c r="AC929" i="5"/>
  <c r="AC930" i="5"/>
  <c r="AC931" i="5"/>
  <c r="AC932" i="5"/>
  <c r="AC933" i="5"/>
  <c r="AC934" i="5"/>
  <c r="AC935" i="5"/>
  <c r="AC936" i="5"/>
  <c r="AC937" i="5"/>
  <c r="AC938" i="5"/>
  <c r="AC939" i="5"/>
  <c r="AC940" i="5"/>
  <c r="AC941" i="5"/>
  <c r="AC942" i="5"/>
  <c r="AC943" i="5"/>
  <c r="AC944" i="5"/>
  <c r="AC945" i="5"/>
  <c r="AC946" i="5"/>
  <c r="AC947" i="5"/>
  <c r="AC948" i="5"/>
  <c r="AC949" i="5"/>
  <c r="AC950" i="5"/>
  <c r="AC951" i="5"/>
  <c r="AC952" i="5"/>
  <c r="AC953" i="5"/>
  <c r="AC954" i="5"/>
  <c r="AC955" i="5"/>
  <c r="AC956" i="5"/>
  <c r="AC957" i="5"/>
  <c r="AC958" i="5"/>
  <c r="AC959" i="5"/>
  <c r="AC960" i="5"/>
  <c r="AC961" i="5"/>
  <c r="AC962" i="5"/>
  <c r="AC963" i="5"/>
  <c r="AC964" i="5"/>
  <c r="AC965" i="5"/>
  <c r="AC966" i="5"/>
  <c r="AC967" i="5"/>
  <c r="AC968" i="5"/>
  <c r="AC969" i="5"/>
  <c r="AC970" i="5"/>
  <c r="AC971" i="5"/>
  <c r="AC972" i="5"/>
  <c r="AC973" i="5"/>
  <c r="AC974" i="5"/>
  <c r="AC975" i="5"/>
  <c r="AC976" i="5"/>
  <c r="AC977" i="5"/>
  <c r="AC978" i="5"/>
  <c r="AC979" i="5"/>
  <c r="AC980" i="5"/>
  <c r="AC981" i="5"/>
  <c r="AC982" i="5"/>
  <c r="AC983" i="5"/>
  <c r="AC984" i="5"/>
  <c r="AC985" i="5"/>
  <c r="AC986" i="5"/>
  <c r="AC987" i="5"/>
  <c r="AC988" i="5"/>
  <c r="AC989" i="5"/>
  <c r="AC990" i="5"/>
  <c r="AC991" i="5"/>
  <c r="AC992" i="5"/>
  <c r="AC993" i="5"/>
  <c r="AC994" i="5"/>
  <c r="AC995" i="5"/>
  <c r="AC996" i="5"/>
  <c r="AC997" i="5"/>
  <c r="AC998" i="5"/>
  <c r="AC999" i="5"/>
  <c r="AC1000" i="5"/>
  <c r="AC1001" i="5"/>
  <c r="AC1002" i="5"/>
  <c r="AC1003" i="5"/>
  <c r="AC1004" i="5"/>
  <c r="AC1005" i="5"/>
  <c r="AC1006" i="5"/>
  <c r="AC1007" i="5"/>
  <c r="AC1008" i="5"/>
  <c r="AC1009" i="5"/>
  <c r="AC1010" i="5"/>
  <c r="AC1011" i="5"/>
  <c r="AC1012" i="5"/>
  <c r="AC1013" i="5"/>
  <c r="AC1014" i="5"/>
  <c r="AC1015" i="5"/>
  <c r="AC1016" i="5"/>
  <c r="AC1017" i="5"/>
  <c r="AC1018" i="5"/>
  <c r="AC1019" i="5"/>
  <c r="AC1020" i="5"/>
  <c r="AC1021" i="5"/>
  <c r="AC1022" i="5"/>
  <c r="AC1023" i="5"/>
  <c r="AC1024" i="5"/>
  <c r="AC1025" i="5"/>
  <c r="AC1026" i="5"/>
  <c r="AC1027" i="5"/>
  <c r="AC1028" i="5"/>
  <c r="AC1029" i="5"/>
  <c r="AC1030" i="5"/>
  <c r="AC1031" i="5"/>
  <c r="AC1032" i="5"/>
  <c r="AC1033" i="5"/>
  <c r="AC1034" i="5"/>
  <c r="AC1035" i="5"/>
  <c r="AC1036" i="5"/>
  <c r="AC1037" i="5"/>
  <c r="AC1038" i="5"/>
  <c r="AC1039" i="5"/>
  <c r="AC1040" i="5"/>
  <c r="AC1041" i="5"/>
  <c r="AC1042" i="5"/>
  <c r="AC1043" i="5"/>
  <c r="AC1044" i="5"/>
  <c r="AC1045" i="5"/>
  <c r="AC1046" i="5"/>
  <c r="Y14" i="2" l="1"/>
  <c r="AD18" i="23"/>
  <c r="AD27" i="23" s="1"/>
  <c r="AD1" i="23"/>
  <c r="AD3" i="23" s="1"/>
  <c r="AJ12" i="5"/>
  <c r="AJ13" i="5" s="1"/>
  <c r="AJ14" i="5" s="1"/>
  <c r="AJ15" i="5" s="1"/>
  <c r="AJ16" i="5" s="1"/>
  <c r="AJ17" i="5" s="1"/>
  <c r="AJ18" i="5" s="1"/>
  <c r="AJ19" i="5" s="1"/>
  <c r="AJ20" i="5" s="1"/>
  <c r="AJ21" i="5" s="1"/>
  <c r="AJ22" i="5" s="1"/>
  <c r="AJ23" i="5" s="1"/>
  <c r="AJ24" i="5" s="1"/>
  <c r="AJ25" i="5" s="1"/>
  <c r="AJ26" i="5" s="1"/>
  <c r="AJ27" i="5" s="1"/>
  <c r="AJ28" i="5" s="1"/>
  <c r="AJ29" i="5" s="1"/>
  <c r="AJ30" i="5" s="1"/>
  <c r="AJ31" i="5" s="1"/>
  <c r="AJ32" i="5" s="1"/>
  <c r="AJ33" i="5" s="1"/>
  <c r="AJ34" i="5" s="1"/>
  <c r="AJ35" i="5" s="1"/>
  <c r="AJ36" i="5" s="1"/>
  <c r="AJ37" i="5" s="1"/>
  <c r="AJ38" i="5" s="1"/>
  <c r="AJ39" i="5" s="1"/>
  <c r="AJ40" i="5" s="1"/>
  <c r="AJ41" i="5" s="1"/>
  <c r="AJ42" i="5" s="1"/>
  <c r="AJ43" i="5" s="1"/>
  <c r="AJ44" i="5" s="1"/>
  <c r="AJ45" i="5" s="1"/>
  <c r="AJ46" i="5" s="1"/>
  <c r="AJ47" i="5" s="1"/>
  <c r="AJ48" i="5" s="1"/>
  <c r="AJ49" i="5" s="1"/>
  <c r="AJ50" i="5" s="1"/>
  <c r="AJ51" i="5" s="1"/>
  <c r="AJ52" i="5" s="1"/>
  <c r="AJ53" i="5" s="1"/>
  <c r="AJ54" i="5" s="1"/>
  <c r="AJ55" i="5" s="1"/>
  <c r="AJ56" i="5" s="1"/>
  <c r="AJ57" i="5" s="1"/>
  <c r="AJ58" i="5" s="1"/>
  <c r="AJ59" i="5" s="1"/>
  <c r="AJ60" i="5" s="1"/>
  <c r="AJ61" i="5" s="1"/>
  <c r="AJ62" i="5" s="1"/>
  <c r="AJ63" i="5" s="1"/>
  <c r="AJ64" i="5" s="1"/>
  <c r="AJ65" i="5" s="1"/>
  <c r="AJ66" i="5" s="1"/>
  <c r="AJ67" i="5" s="1"/>
  <c r="AJ68" i="5" s="1"/>
  <c r="AJ69" i="5" s="1"/>
  <c r="AJ70" i="5" s="1"/>
  <c r="AJ71" i="5" s="1"/>
  <c r="AJ72" i="5" s="1"/>
  <c r="AJ73" i="5" s="1"/>
  <c r="AJ74" i="5" s="1"/>
  <c r="AJ75" i="5" s="1"/>
  <c r="AJ76" i="5" s="1"/>
  <c r="AJ77" i="5" s="1"/>
  <c r="AJ78" i="5" s="1"/>
  <c r="AJ79" i="5" s="1"/>
  <c r="AJ80" i="5" s="1"/>
  <c r="AJ81" i="5" s="1"/>
  <c r="AJ82" i="5" s="1"/>
  <c r="AJ83" i="5" s="1"/>
  <c r="AJ84" i="5" s="1"/>
  <c r="AJ85" i="5" s="1"/>
  <c r="AJ86" i="5" s="1"/>
  <c r="AJ87" i="5" s="1"/>
  <c r="AJ88" i="5" s="1"/>
  <c r="AJ89" i="5" s="1"/>
  <c r="AJ90" i="5" s="1"/>
  <c r="AJ91" i="5" s="1"/>
  <c r="AJ92" i="5" s="1"/>
  <c r="AJ93" i="5" s="1"/>
  <c r="AJ94" i="5" s="1"/>
  <c r="AJ95" i="5" s="1"/>
  <c r="AJ96" i="5" s="1"/>
  <c r="AJ97" i="5" s="1"/>
  <c r="AJ98" i="5" s="1"/>
  <c r="AJ99" i="5" s="1"/>
  <c r="AJ100" i="5" s="1"/>
  <c r="AJ101" i="5" s="1"/>
  <c r="AJ102" i="5" s="1"/>
  <c r="AJ103" i="5" s="1"/>
  <c r="AJ104" i="5" s="1"/>
  <c r="AJ105" i="5" s="1"/>
  <c r="AJ106" i="5" s="1"/>
  <c r="AJ107" i="5" s="1"/>
  <c r="AJ108" i="5" s="1"/>
  <c r="AJ109" i="5" s="1"/>
  <c r="AJ110" i="5" s="1"/>
  <c r="AJ111" i="5" s="1"/>
  <c r="AJ112" i="5" s="1"/>
  <c r="AJ113" i="5" s="1"/>
  <c r="AJ114" i="5" s="1"/>
  <c r="AJ115" i="5" s="1"/>
  <c r="AJ116" i="5" s="1"/>
  <c r="AJ117" i="5" s="1"/>
  <c r="AJ118" i="5" s="1"/>
  <c r="AJ119" i="5" s="1"/>
  <c r="AJ120" i="5" s="1"/>
  <c r="AJ121" i="5" s="1"/>
  <c r="AJ122" i="5" s="1"/>
  <c r="AJ123" i="5" s="1"/>
  <c r="AJ124" i="5" s="1"/>
  <c r="AJ125" i="5" s="1"/>
  <c r="AJ126" i="5" s="1"/>
  <c r="AJ127" i="5" s="1"/>
  <c r="AJ128" i="5" s="1"/>
  <c r="AJ129" i="5" s="1"/>
  <c r="AJ130" i="5" s="1"/>
  <c r="AJ131" i="5" s="1"/>
  <c r="AJ132" i="5" s="1"/>
  <c r="AJ133" i="5" s="1"/>
  <c r="AJ134" i="5" s="1"/>
  <c r="AJ135" i="5" s="1"/>
  <c r="AJ136" i="5" s="1"/>
  <c r="AJ137" i="5" s="1"/>
  <c r="AJ138" i="5" s="1"/>
  <c r="AJ139" i="5" s="1"/>
  <c r="AJ140" i="5" s="1"/>
  <c r="AJ141" i="5" s="1"/>
  <c r="AJ142" i="5" s="1"/>
  <c r="AJ143" i="5" s="1"/>
  <c r="AJ144" i="5" s="1"/>
  <c r="AJ145" i="5" s="1"/>
  <c r="AJ146" i="5" s="1"/>
  <c r="AJ147" i="5" s="1"/>
  <c r="AJ148" i="5" s="1"/>
  <c r="AJ149" i="5" s="1"/>
  <c r="AJ150" i="5" s="1"/>
  <c r="AJ151" i="5" s="1"/>
  <c r="AJ152" i="5" s="1"/>
  <c r="AJ153" i="5" s="1"/>
  <c r="AJ154" i="5" s="1"/>
  <c r="AJ155" i="5" s="1"/>
  <c r="AJ156" i="5" s="1"/>
  <c r="AJ157" i="5" s="1"/>
  <c r="AJ158" i="5" s="1"/>
  <c r="AJ159" i="5" s="1"/>
  <c r="AJ160" i="5" s="1"/>
  <c r="AJ161" i="5" s="1"/>
  <c r="AL143" i="5"/>
  <c r="AL30" i="5"/>
  <c r="AL159" i="5"/>
  <c r="AL137" i="5"/>
  <c r="AL155" i="5"/>
  <c r="AL139" i="5"/>
  <c r="AL34" i="5"/>
  <c r="AL9" i="5"/>
  <c r="AL3" i="5"/>
  <c r="AL151" i="5"/>
  <c r="AL125" i="5"/>
  <c r="AL38" i="5"/>
  <c r="AL51" i="5"/>
  <c r="AL161" i="5"/>
  <c r="AL147" i="5"/>
  <c r="AL133" i="5"/>
  <c r="AL42" i="5"/>
  <c r="AL26" i="5"/>
  <c r="AL5" i="5"/>
  <c r="AL158" i="5"/>
  <c r="AL154" i="5"/>
  <c r="AL150" i="5"/>
  <c r="AL146" i="5"/>
  <c r="AL142" i="5"/>
  <c r="AL130" i="5"/>
  <c r="AL157" i="5"/>
  <c r="AL153" i="5"/>
  <c r="AL149" i="5"/>
  <c r="AL145" i="5"/>
  <c r="AL141" i="5"/>
  <c r="AL138" i="5"/>
  <c r="AL136" i="5"/>
  <c r="AL134" i="5"/>
  <c r="AL123" i="5"/>
  <c r="AL127" i="5"/>
  <c r="AL131" i="5"/>
  <c r="AL135" i="5"/>
  <c r="AL111" i="5"/>
  <c r="AL114" i="5"/>
  <c r="AL118" i="5"/>
  <c r="AL124" i="5"/>
  <c r="AL128" i="5"/>
  <c r="AL132" i="5"/>
  <c r="AL91" i="5"/>
  <c r="AL95" i="5"/>
  <c r="AL99" i="5"/>
  <c r="AL103" i="5"/>
  <c r="AL107" i="5"/>
  <c r="AL109" i="5"/>
  <c r="AL113" i="5"/>
  <c r="AL115" i="5"/>
  <c r="AL117" i="5"/>
  <c r="AL119" i="5"/>
  <c r="AL121" i="5"/>
  <c r="AL122" i="5"/>
  <c r="AL126" i="5"/>
  <c r="AL160" i="5"/>
  <c r="AL156" i="5"/>
  <c r="AL152" i="5"/>
  <c r="AL148" i="5"/>
  <c r="AL144" i="5"/>
  <c r="AL140" i="5"/>
  <c r="AL129" i="5"/>
  <c r="AL59" i="5"/>
  <c r="AL61" i="5"/>
  <c r="AL65" i="5"/>
  <c r="AL69" i="5"/>
  <c r="AL73" i="5"/>
  <c r="AL77" i="5"/>
  <c r="AL81" i="5"/>
  <c r="AL85" i="5"/>
  <c r="AL88" i="5"/>
  <c r="AL92" i="5"/>
  <c r="AL96" i="5"/>
  <c r="AL100" i="5"/>
  <c r="AL104" i="5"/>
  <c r="AL108" i="5"/>
  <c r="AL112" i="5"/>
  <c r="AL116" i="5"/>
  <c r="AL120" i="5"/>
  <c r="AL89" i="5"/>
  <c r="AL93" i="5"/>
  <c r="AL97" i="5"/>
  <c r="AL101" i="5"/>
  <c r="AL105" i="5"/>
  <c r="AL63" i="5"/>
  <c r="AL67" i="5"/>
  <c r="AL71" i="5"/>
  <c r="AL75" i="5"/>
  <c r="AL79" i="5"/>
  <c r="AL83" i="5"/>
  <c r="AL87" i="5"/>
  <c r="AL90" i="5"/>
  <c r="AL94" i="5"/>
  <c r="AL98" i="5"/>
  <c r="AL102" i="5"/>
  <c r="AL106" i="5"/>
  <c r="AL110" i="5"/>
  <c r="AL48" i="5"/>
  <c r="AL52" i="5"/>
  <c r="AL56" i="5"/>
  <c r="AL60" i="5"/>
  <c r="AL64" i="5"/>
  <c r="AL68" i="5"/>
  <c r="AL72" i="5"/>
  <c r="AL76" i="5"/>
  <c r="AL80" i="5"/>
  <c r="AL84" i="5"/>
  <c r="AL19" i="5"/>
  <c r="AL21" i="5"/>
  <c r="AL24" i="5"/>
  <c r="AL28" i="5"/>
  <c r="AL32" i="5"/>
  <c r="AL36" i="5"/>
  <c r="AL40" i="5"/>
  <c r="AL44" i="5"/>
  <c r="AL49" i="5"/>
  <c r="AL53" i="5"/>
  <c r="AL57" i="5"/>
  <c r="AL46" i="5"/>
  <c r="AL50" i="5"/>
  <c r="AL54" i="5"/>
  <c r="AL58" i="5"/>
  <c r="AL62" i="5"/>
  <c r="AL66" i="5"/>
  <c r="AL70" i="5"/>
  <c r="AL74" i="5"/>
  <c r="AL78" i="5"/>
  <c r="AL82" i="5"/>
  <c r="AL86" i="5"/>
  <c r="AL55" i="5"/>
  <c r="AL47" i="5"/>
  <c r="AL45" i="5"/>
  <c r="AL15" i="5"/>
  <c r="AL22" i="5"/>
  <c r="AL25" i="5"/>
  <c r="AL29" i="5"/>
  <c r="AL33" i="5"/>
  <c r="AL37" i="5"/>
  <c r="AL41" i="5"/>
  <c r="AL23" i="5"/>
  <c r="AL27" i="5"/>
  <c r="AL31" i="5"/>
  <c r="AL35" i="5"/>
  <c r="AL39" i="5"/>
  <c r="AL43" i="5"/>
  <c r="BA2" i="5"/>
  <c r="BA3" i="5" s="1"/>
  <c r="BA4" i="5" s="1"/>
  <c r="BA5" i="5" s="1"/>
  <c r="BA6" i="5" s="1"/>
  <c r="BA7" i="5" s="1"/>
  <c r="BA8" i="5" s="1"/>
  <c r="BA9" i="5" s="1"/>
  <c r="BA10" i="5" s="1"/>
  <c r="BA11" i="5" s="1"/>
  <c r="BA12" i="5" s="1"/>
  <c r="BA13" i="5" s="1"/>
  <c r="BA14" i="5" s="1"/>
  <c r="BA15" i="5" s="1"/>
  <c r="BA16" i="5" s="1"/>
  <c r="BA17" i="5" s="1"/>
  <c r="BA18" i="5" s="1"/>
  <c r="BA19" i="5" s="1"/>
  <c r="BA20" i="5" s="1"/>
  <c r="BA21" i="5" s="1"/>
  <c r="BA22" i="5" s="1"/>
  <c r="BA23" i="5" s="1"/>
  <c r="BA24" i="5" s="1"/>
  <c r="BA25" i="5" s="1"/>
  <c r="BA26" i="5" s="1"/>
  <c r="BA27" i="5" s="1"/>
  <c r="BA28" i="5" s="1"/>
  <c r="BA29" i="5" s="1"/>
  <c r="BA30" i="5" s="1"/>
  <c r="BA31" i="5" s="1"/>
  <c r="BA32" i="5" s="1"/>
  <c r="BA33" i="5" s="1"/>
  <c r="BA34" i="5" s="1"/>
  <c r="BA35" i="5" s="1"/>
  <c r="BA36" i="5" s="1"/>
  <c r="BA37" i="5" s="1"/>
  <c r="BA38" i="5" s="1"/>
  <c r="BA39" i="5" s="1"/>
  <c r="BA40" i="5" s="1"/>
  <c r="BA41" i="5" s="1"/>
  <c r="BA42" i="5" s="1"/>
  <c r="BA43" i="5" s="1"/>
  <c r="BA44" i="5" s="1"/>
  <c r="BA45" i="5" s="1"/>
  <c r="BA46" i="5" s="1"/>
  <c r="BA47" i="5" s="1"/>
  <c r="BA48" i="5" s="1"/>
  <c r="BA49" i="5" s="1"/>
  <c r="BA50" i="5" s="1"/>
  <c r="BA51" i="5" s="1"/>
  <c r="BA52" i="5" s="1"/>
  <c r="BA53" i="5" s="1"/>
  <c r="BA54" i="5" s="1"/>
  <c r="BA55" i="5" s="1"/>
  <c r="BA56" i="5" s="1"/>
  <c r="BA57" i="5" s="1"/>
  <c r="BA58" i="5" s="1"/>
  <c r="BA59" i="5" s="1"/>
  <c r="BA60" i="5" s="1"/>
  <c r="BA61" i="5" s="1"/>
  <c r="BA62" i="5" s="1"/>
  <c r="BA63" i="5" s="1"/>
  <c r="BA64" i="5" s="1"/>
  <c r="BA65" i="5" s="1"/>
  <c r="BA66" i="5" s="1"/>
  <c r="BA67" i="5" s="1"/>
  <c r="BA68" i="5" s="1"/>
  <c r="BA69" i="5" s="1"/>
  <c r="BA70" i="5" s="1"/>
  <c r="BA71" i="5" s="1"/>
  <c r="BA72" i="5" s="1"/>
  <c r="BA73" i="5" s="1"/>
  <c r="BA74" i="5" s="1"/>
  <c r="BA75" i="5" s="1"/>
  <c r="BA76" i="5" s="1"/>
  <c r="BA77" i="5" s="1"/>
  <c r="BA78" i="5" s="1"/>
  <c r="BA79" i="5" s="1"/>
  <c r="BA80" i="5" s="1"/>
  <c r="BA81" i="5" s="1"/>
  <c r="BA82" i="5" s="1"/>
  <c r="BA83" i="5" s="1"/>
  <c r="BA84" i="5" s="1"/>
  <c r="BA85" i="5" s="1"/>
  <c r="BA86" i="5" s="1"/>
  <c r="BA87" i="5" s="1"/>
  <c r="BA88" i="5" s="1"/>
  <c r="BA89" i="5" s="1"/>
  <c r="BA90" i="5" s="1"/>
  <c r="BA91" i="5" s="1"/>
  <c r="BA92" i="5" s="1"/>
  <c r="BA93" i="5" s="1"/>
  <c r="BA94" i="5" s="1"/>
  <c r="BA95" i="5" s="1"/>
  <c r="BA96" i="5" s="1"/>
  <c r="BA97" i="5" s="1"/>
  <c r="BA98" i="5" s="1"/>
  <c r="BA99" i="5" s="1"/>
  <c r="BA100" i="5" s="1"/>
  <c r="BA101" i="5" s="1"/>
  <c r="BA102" i="5" s="1"/>
  <c r="BA103" i="5" s="1"/>
  <c r="BA104" i="5" s="1"/>
  <c r="BA105" i="5" s="1"/>
  <c r="BA106" i="5" s="1"/>
  <c r="BA107" i="5" s="1"/>
  <c r="BA108" i="5" s="1"/>
  <c r="BA109" i="5" s="1"/>
  <c r="BA110" i="5" s="1"/>
  <c r="BA111" i="5" s="1"/>
  <c r="BA112" i="5" s="1"/>
  <c r="BA113" i="5" s="1"/>
  <c r="BA114" i="5" s="1"/>
  <c r="BA115" i="5" s="1"/>
  <c r="BA116" i="5" s="1"/>
  <c r="BA117" i="5" s="1"/>
  <c r="BA118" i="5" s="1"/>
  <c r="BA119" i="5" s="1"/>
  <c r="BA120" i="5" s="1"/>
  <c r="BA121" i="5" s="1"/>
  <c r="BA122" i="5" s="1"/>
  <c r="BA123" i="5" s="1"/>
  <c r="BA124" i="5" s="1"/>
  <c r="BA125" i="5" s="1"/>
  <c r="BA126" i="5" s="1"/>
  <c r="BA127" i="5" s="1"/>
  <c r="BA128" i="5" s="1"/>
  <c r="BA129" i="5" s="1"/>
  <c r="BA130" i="5" s="1"/>
  <c r="BA131" i="5" s="1"/>
  <c r="BA132" i="5" s="1"/>
  <c r="BA133" i="5" s="1"/>
  <c r="BA134" i="5" s="1"/>
  <c r="BA135" i="5" s="1"/>
  <c r="BA136" i="5" s="1"/>
  <c r="BA137" i="5" s="1"/>
  <c r="BA138" i="5" s="1"/>
  <c r="BA139" i="5" s="1"/>
  <c r="BA140" i="5" s="1"/>
  <c r="BA141" i="5" s="1"/>
  <c r="BA142" i="5" s="1"/>
  <c r="BA143" i="5" s="1"/>
  <c r="BA144" i="5" s="1"/>
  <c r="BA145" i="5" s="1"/>
  <c r="BA146" i="5" s="1"/>
  <c r="BA147" i="5" s="1"/>
  <c r="BA148" i="5" s="1"/>
  <c r="BA149" i="5" s="1"/>
  <c r="BA150" i="5" s="1"/>
  <c r="BA151" i="5" s="1"/>
  <c r="BA152" i="5" s="1"/>
  <c r="BA153" i="5" s="1"/>
  <c r="BA154" i="5" s="1"/>
  <c r="BA155" i="5" s="1"/>
  <c r="BA156" i="5" s="1"/>
  <c r="BA157" i="5" s="1"/>
  <c r="BA158" i="5" s="1"/>
  <c r="BA159" i="5" s="1"/>
  <c r="BA160" i="5" s="1"/>
  <c r="BA161" i="5" s="1"/>
  <c r="BB1" i="5"/>
  <c r="AL6" i="5"/>
  <c r="AL10" i="5"/>
  <c r="AL14" i="5"/>
  <c r="AL18" i="5"/>
  <c r="AL4" i="5"/>
  <c r="AL8" i="5"/>
  <c r="AL12" i="5"/>
  <c r="AL16" i="5"/>
  <c r="AL20" i="5"/>
  <c r="AL7" i="5"/>
  <c r="AL11" i="5"/>
  <c r="AL13" i="5"/>
  <c r="AL17" i="5"/>
  <c r="Y11" i="2"/>
  <c r="AD9" i="23" l="1"/>
  <c r="AE9" i="23" s="1"/>
  <c r="AD8" i="23"/>
  <c r="AE8" i="23" s="1"/>
  <c r="AD17" i="23"/>
  <c r="AE17" i="23" s="1"/>
  <c r="AD10" i="23"/>
  <c r="AE10" i="23" s="1"/>
  <c r="AD4" i="23"/>
  <c r="AE4" i="23" s="1"/>
  <c r="AD15" i="23"/>
  <c r="AE15" i="23" s="1"/>
  <c r="AD12" i="23"/>
  <c r="AE12" i="23" s="1"/>
  <c r="AD5" i="23"/>
  <c r="AE5" i="23" s="1"/>
  <c r="AD2" i="23"/>
  <c r="AE2" i="23" s="1"/>
  <c r="AD11" i="23"/>
  <c r="AE11" i="23" s="1"/>
  <c r="AD6" i="23"/>
  <c r="AE6" i="23" s="1"/>
  <c r="AD14" i="23"/>
  <c r="AE14" i="23" s="1"/>
  <c r="AD13" i="23"/>
  <c r="AE13" i="23" s="1"/>
  <c r="AD7" i="23"/>
  <c r="AE7" i="23" s="1"/>
  <c r="AD16" i="23"/>
  <c r="AE16" i="23" s="1"/>
  <c r="AD28" i="23"/>
  <c r="AE28" i="23" s="1"/>
  <c r="AD32" i="23"/>
  <c r="AE32" i="23" s="1"/>
  <c r="AD25" i="23"/>
  <c r="AE25" i="23" s="1"/>
  <c r="AD34" i="23"/>
  <c r="AE34" i="23" s="1"/>
  <c r="AD31" i="23"/>
  <c r="AE31" i="23" s="1"/>
  <c r="AD23" i="23"/>
  <c r="AE23" i="23" s="1"/>
  <c r="AD33" i="23"/>
  <c r="AE33" i="23" s="1"/>
  <c r="AD29" i="23"/>
  <c r="AE29" i="23" s="1"/>
  <c r="AD26" i="23"/>
  <c r="AE26" i="23" s="1"/>
  <c r="AD30" i="23"/>
  <c r="AE30" i="23" s="1"/>
  <c r="AD22" i="23"/>
  <c r="AE22" i="23" s="1"/>
  <c r="AD21" i="23"/>
  <c r="AE21" i="23" s="1"/>
  <c r="AD20" i="23"/>
  <c r="AE20" i="23" s="1"/>
  <c r="AD24" i="23"/>
  <c r="AE24" i="23" s="1"/>
  <c r="AD19" i="23"/>
  <c r="AE19" i="23" s="1"/>
  <c r="AE3" i="23"/>
  <c r="D11" i="23"/>
  <c r="AD35" i="23"/>
  <c r="AE27" i="23"/>
  <c r="BC1" i="5"/>
  <c r="BD1" i="5" s="1"/>
  <c r="BB2" i="5"/>
  <c r="BB3" i="5" s="1"/>
  <c r="BB4" i="5" s="1"/>
  <c r="BB5" i="5" s="1"/>
  <c r="BB6" i="5" s="1"/>
  <c r="BB7" i="5" s="1"/>
  <c r="BB8" i="5" s="1"/>
  <c r="BB9" i="5" s="1"/>
  <c r="BB10" i="5" s="1"/>
  <c r="BB11" i="5" s="1"/>
  <c r="BB12" i="5" s="1"/>
  <c r="BB13" i="5" s="1"/>
  <c r="BB14" i="5" s="1"/>
  <c r="BB15" i="5" s="1"/>
  <c r="BB16" i="5" s="1"/>
  <c r="BB17" i="5" s="1"/>
  <c r="BB18" i="5" s="1"/>
  <c r="BB19" i="5" s="1"/>
  <c r="BB20" i="5" s="1"/>
  <c r="BB21" i="5" s="1"/>
  <c r="BB22" i="5" s="1"/>
  <c r="BB23" i="5" s="1"/>
  <c r="BB24" i="5" s="1"/>
  <c r="BB25" i="5" s="1"/>
  <c r="BB26" i="5" s="1"/>
  <c r="BB27" i="5" s="1"/>
  <c r="BB28" i="5" s="1"/>
  <c r="BB29" i="5" s="1"/>
  <c r="BB30" i="5" s="1"/>
  <c r="BB31" i="5" s="1"/>
  <c r="BB32" i="5" s="1"/>
  <c r="BB33" i="5" s="1"/>
  <c r="BB34" i="5" s="1"/>
  <c r="BB35" i="5" s="1"/>
  <c r="BB36" i="5" s="1"/>
  <c r="BB37" i="5" s="1"/>
  <c r="BB38" i="5" s="1"/>
  <c r="BB39" i="5" s="1"/>
  <c r="BB40" i="5" s="1"/>
  <c r="BB41" i="5" s="1"/>
  <c r="BB42" i="5" s="1"/>
  <c r="BB43" i="5" s="1"/>
  <c r="BB44" i="5" s="1"/>
  <c r="BB45" i="5" s="1"/>
  <c r="BB46" i="5" s="1"/>
  <c r="BB47" i="5" s="1"/>
  <c r="BB48" i="5" s="1"/>
  <c r="BB49" i="5" s="1"/>
  <c r="BB50" i="5" s="1"/>
  <c r="BB51" i="5" s="1"/>
  <c r="BB52" i="5" s="1"/>
  <c r="BB53" i="5" s="1"/>
  <c r="BB54" i="5" s="1"/>
  <c r="BB55" i="5" s="1"/>
  <c r="BB56" i="5" s="1"/>
  <c r="BB57" i="5" s="1"/>
  <c r="BB58" i="5" s="1"/>
  <c r="BB59" i="5" s="1"/>
  <c r="BB60" i="5" s="1"/>
  <c r="BB61" i="5" s="1"/>
  <c r="BB62" i="5" s="1"/>
  <c r="BB63" i="5" s="1"/>
  <c r="BB64" i="5" s="1"/>
  <c r="BB65" i="5" s="1"/>
  <c r="BB66" i="5" s="1"/>
  <c r="BB67" i="5" s="1"/>
  <c r="BB68" i="5" s="1"/>
  <c r="BB69" i="5" s="1"/>
  <c r="BB70" i="5" s="1"/>
  <c r="BB71" i="5" s="1"/>
  <c r="BB72" i="5" s="1"/>
  <c r="BB73" i="5" s="1"/>
  <c r="BB74" i="5" s="1"/>
  <c r="BB75" i="5" s="1"/>
  <c r="BB76" i="5" s="1"/>
  <c r="BB77" i="5" s="1"/>
  <c r="BB78" i="5" s="1"/>
  <c r="BB79" i="5" s="1"/>
  <c r="BB80" i="5" s="1"/>
  <c r="BB81" i="5" s="1"/>
  <c r="BB82" i="5" s="1"/>
  <c r="BB83" i="5" s="1"/>
  <c r="BB84" i="5" s="1"/>
  <c r="BB85" i="5" s="1"/>
  <c r="BB86" i="5" s="1"/>
  <c r="BB87" i="5" s="1"/>
  <c r="BB88" i="5" s="1"/>
  <c r="BB89" i="5" s="1"/>
  <c r="BB90" i="5" s="1"/>
  <c r="BB91" i="5" s="1"/>
  <c r="BB92" i="5" s="1"/>
  <c r="BB93" i="5" s="1"/>
  <c r="BB94" i="5" s="1"/>
  <c r="BB95" i="5" s="1"/>
  <c r="BB96" i="5" s="1"/>
  <c r="BB97" i="5" s="1"/>
  <c r="BB98" i="5" s="1"/>
  <c r="BB99" i="5" s="1"/>
  <c r="BB100" i="5" s="1"/>
  <c r="BB101" i="5" s="1"/>
  <c r="BB102" i="5" s="1"/>
  <c r="BB103" i="5" s="1"/>
  <c r="BB104" i="5" s="1"/>
  <c r="BB105" i="5" s="1"/>
  <c r="BB106" i="5" s="1"/>
  <c r="BB107" i="5" s="1"/>
  <c r="BB108" i="5" s="1"/>
  <c r="BB109" i="5" s="1"/>
  <c r="BB110" i="5" s="1"/>
  <c r="BB111" i="5" s="1"/>
  <c r="BB112" i="5" s="1"/>
  <c r="BB113" i="5" s="1"/>
  <c r="BB114" i="5" s="1"/>
  <c r="BB115" i="5" s="1"/>
  <c r="BB116" i="5" s="1"/>
  <c r="BB117" i="5" s="1"/>
  <c r="BB118" i="5" s="1"/>
  <c r="BB119" i="5" s="1"/>
  <c r="BB120" i="5" s="1"/>
  <c r="BB121" i="5" s="1"/>
  <c r="BB122" i="5" s="1"/>
  <c r="BB123" i="5" s="1"/>
  <c r="BB124" i="5" s="1"/>
  <c r="BB125" i="5" s="1"/>
  <c r="BB126" i="5" s="1"/>
  <c r="BB127" i="5" s="1"/>
  <c r="BB128" i="5" s="1"/>
  <c r="BB129" i="5" s="1"/>
  <c r="BB130" i="5" s="1"/>
  <c r="BB131" i="5" s="1"/>
  <c r="BB132" i="5" s="1"/>
  <c r="BB133" i="5" s="1"/>
  <c r="BB134" i="5" s="1"/>
  <c r="BB135" i="5" s="1"/>
  <c r="BB136" i="5" s="1"/>
  <c r="BB137" i="5" s="1"/>
  <c r="BB138" i="5" s="1"/>
  <c r="BB139" i="5" s="1"/>
  <c r="BB140" i="5" s="1"/>
  <c r="BB141" i="5" s="1"/>
  <c r="BB142" i="5" s="1"/>
  <c r="BB143" i="5" s="1"/>
  <c r="BB144" i="5" s="1"/>
  <c r="BB145" i="5" s="1"/>
  <c r="BB146" i="5" s="1"/>
  <c r="BB147" i="5" s="1"/>
  <c r="BB148" i="5" s="1"/>
  <c r="BB149" i="5" s="1"/>
  <c r="BB150" i="5" s="1"/>
  <c r="BB151" i="5" s="1"/>
  <c r="BB152" i="5" s="1"/>
  <c r="BB153" i="5" s="1"/>
  <c r="BB154" i="5" s="1"/>
  <c r="BB155" i="5" s="1"/>
  <c r="BB156" i="5" s="1"/>
  <c r="BB157" i="5" s="1"/>
  <c r="BB158" i="5" s="1"/>
  <c r="BB159" i="5" s="1"/>
  <c r="BB160" i="5" s="1"/>
  <c r="BB161" i="5" s="1"/>
  <c r="F11" i="23" l="1"/>
  <c r="BE1" i="5"/>
  <c r="BD2" i="5"/>
  <c r="BD3" i="5" s="1"/>
  <c r="BD4" i="5" s="1"/>
  <c r="BD5" i="5" s="1"/>
  <c r="BD6" i="5" s="1"/>
  <c r="BD7" i="5" s="1"/>
  <c r="BD8" i="5" s="1"/>
  <c r="BD9" i="5" s="1"/>
  <c r="BD10" i="5" s="1"/>
  <c r="BD11" i="5" s="1"/>
  <c r="BD12" i="5" s="1"/>
  <c r="BD13" i="5" s="1"/>
  <c r="BD14" i="5" s="1"/>
  <c r="BD15" i="5" s="1"/>
  <c r="BD16" i="5" s="1"/>
  <c r="BD17" i="5" s="1"/>
  <c r="BD18" i="5" s="1"/>
  <c r="BD19" i="5" s="1"/>
  <c r="BD20" i="5" s="1"/>
  <c r="BD21" i="5" s="1"/>
  <c r="BD22" i="5" s="1"/>
  <c r="BD23" i="5" s="1"/>
  <c r="BD24" i="5" s="1"/>
  <c r="BD25" i="5" s="1"/>
  <c r="BD26" i="5" s="1"/>
  <c r="BD27" i="5" s="1"/>
  <c r="BD28" i="5" s="1"/>
  <c r="BD29" i="5" s="1"/>
  <c r="BD30" i="5" s="1"/>
  <c r="BD31" i="5" s="1"/>
  <c r="BD32" i="5" s="1"/>
  <c r="BD33" i="5" s="1"/>
  <c r="BD34" i="5" s="1"/>
  <c r="BD35" i="5" s="1"/>
  <c r="BD36" i="5" s="1"/>
  <c r="BD37" i="5" s="1"/>
  <c r="BD38" i="5" s="1"/>
  <c r="BD39" i="5" s="1"/>
  <c r="BD40" i="5" s="1"/>
  <c r="BD41" i="5" s="1"/>
  <c r="BD42" i="5" s="1"/>
  <c r="BD43" i="5" s="1"/>
  <c r="BD44" i="5" s="1"/>
  <c r="BD45" i="5" s="1"/>
  <c r="BD46" i="5" s="1"/>
  <c r="BD47" i="5" s="1"/>
  <c r="BD48" i="5" s="1"/>
  <c r="BD49" i="5" s="1"/>
  <c r="BD50" i="5" s="1"/>
  <c r="BD51" i="5" s="1"/>
  <c r="BD52" i="5" s="1"/>
  <c r="BD53" i="5" s="1"/>
  <c r="BD54" i="5" s="1"/>
  <c r="BD55" i="5" s="1"/>
  <c r="BD56" i="5" s="1"/>
  <c r="BD57" i="5" s="1"/>
  <c r="BD58" i="5" s="1"/>
  <c r="BD59" i="5" s="1"/>
  <c r="BD60" i="5" s="1"/>
  <c r="BD61" i="5" s="1"/>
  <c r="BD62" i="5" s="1"/>
  <c r="BD63" i="5" s="1"/>
  <c r="BD64" i="5" s="1"/>
  <c r="BD65" i="5" s="1"/>
  <c r="BD66" i="5" s="1"/>
  <c r="BD67" i="5" s="1"/>
  <c r="BD68" i="5" s="1"/>
  <c r="BD69" i="5" s="1"/>
  <c r="BD70" i="5" s="1"/>
  <c r="BD71" i="5" s="1"/>
  <c r="BD72" i="5" s="1"/>
  <c r="BD73" i="5" s="1"/>
  <c r="BD74" i="5" s="1"/>
  <c r="BD75" i="5" s="1"/>
  <c r="BD76" i="5" s="1"/>
  <c r="BD77" i="5" s="1"/>
  <c r="BD78" i="5" s="1"/>
  <c r="BD79" i="5" s="1"/>
  <c r="BD80" i="5" s="1"/>
  <c r="BD81" i="5" s="1"/>
  <c r="BD82" i="5" s="1"/>
  <c r="BD83" i="5" s="1"/>
  <c r="BD84" i="5" s="1"/>
  <c r="BD85" i="5" s="1"/>
  <c r="BD86" i="5" s="1"/>
  <c r="BD87" i="5" s="1"/>
  <c r="BD88" i="5" s="1"/>
  <c r="BD89" i="5" s="1"/>
  <c r="BD90" i="5" s="1"/>
  <c r="BD91" i="5" s="1"/>
  <c r="BD92" i="5" s="1"/>
  <c r="BD93" i="5" s="1"/>
  <c r="BD94" i="5" s="1"/>
  <c r="BD95" i="5" s="1"/>
  <c r="BD96" i="5" s="1"/>
  <c r="BD97" i="5" s="1"/>
  <c r="BD98" i="5" s="1"/>
  <c r="BD99" i="5" s="1"/>
  <c r="BD100" i="5" s="1"/>
  <c r="BD101" i="5" s="1"/>
  <c r="BD102" i="5" s="1"/>
  <c r="BD103" i="5" s="1"/>
  <c r="BD104" i="5" s="1"/>
  <c r="BD105" i="5" s="1"/>
  <c r="BD106" i="5" s="1"/>
  <c r="BD107" i="5" s="1"/>
  <c r="BD108" i="5" s="1"/>
  <c r="BD109" i="5" s="1"/>
  <c r="BD110" i="5" s="1"/>
  <c r="BD111" i="5" s="1"/>
  <c r="BD112" i="5" s="1"/>
  <c r="BD113" i="5" s="1"/>
  <c r="BD114" i="5" s="1"/>
  <c r="BD115" i="5" s="1"/>
  <c r="BD116" i="5" s="1"/>
  <c r="BD117" i="5" s="1"/>
  <c r="BD118" i="5" s="1"/>
  <c r="BD119" i="5" s="1"/>
  <c r="BD120" i="5" s="1"/>
  <c r="BD121" i="5" s="1"/>
  <c r="BD122" i="5" s="1"/>
  <c r="BD123" i="5" s="1"/>
  <c r="BD124" i="5" s="1"/>
  <c r="BD125" i="5" s="1"/>
  <c r="BD126" i="5" s="1"/>
  <c r="BD127" i="5" s="1"/>
  <c r="BD128" i="5" s="1"/>
  <c r="BD129" i="5" s="1"/>
  <c r="BD130" i="5" s="1"/>
  <c r="BD131" i="5" s="1"/>
  <c r="BD132" i="5" s="1"/>
  <c r="BD133" i="5" s="1"/>
  <c r="BD134" i="5" s="1"/>
  <c r="BD135" i="5" s="1"/>
  <c r="BD136" i="5" s="1"/>
  <c r="BD137" i="5" s="1"/>
  <c r="BD138" i="5" s="1"/>
  <c r="BD139" i="5" s="1"/>
  <c r="BD140" i="5" s="1"/>
  <c r="BD141" i="5" s="1"/>
  <c r="BD142" i="5" s="1"/>
  <c r="BD143" i="5" s="1"/>
  <c r="BD144" i="5" s="1"/>
  <c r="BD145" i="5" s="1"/>
  <c r="BD146" i="5" s="1"/>
  <c r="BD147" i="5" s="1"/>
  <c r="BD148" i="5" s="1"/>
  <c r="BD149" i="5" s="1"/>
  <c r="BD150" i="5" s="1"/>
  <c r="BD151" i="5" s="1"/>
  <c r="BD152" i="5" s="1"/>
  <c r="BD153" i="5" s="1"/>
  <c r="BD154" i="5" s="1"/>
  <c r="BD155" i="5" s="1"/>
  <c r="BD156" i="5" s="1"/>
  <c r="BD157" i="5" s="1"/>
  <c r="BD158" i="5" s="1"/>
  <c r="BD159" i="5" s="1"/>
  <c r="BD160" i="5" s="1"/>
  <c r="BD161" i="5" s="1"/>
  <c r="F28" i="23" s="1"/>
  <c r="AD69" i="23"/>
  <c r="AF34" i="23"/>
  <c r="AD44" i="23"/>
  <c r="AE44" i="23" s="1"/>
  <c r="AD41" i="23"/>
  <c r="AE41" i="23" s="1"/>
  <c r="AD37" i="23"/>
  <c r="AE37" i="23" s="1"/>
  <c r="AD38" i="23"/>
  <c r="AE38" i="23" s="1"/>
  <c r="AD48" i="23"/>
  <c r="AE48" i="23" s="1"/>
  <c r="AD46" i="23"/>
  <c r="AE46" i="23" s="1"/>
  <c r="AD42" i="23"/>
  <c r="AE42" i="23" s="1"/>
  <c r="AD43" i="23"/>
  <c r="AE43" i="23" s="1"/>
  <c r="AD45" i="23"/>
  <c r="AE45" i="23" s="1"/>
  <c r="AD39" i="23"/>
  <c r="AE39" i="23" s="1"/>
  <c r="AD36" i="23"/>
  <c r="AE36" i="23" s="1"/>
  <c r="AD51" i="23"/>
  <c r="AE51" i="23" s="1"/>
  <c r="AD47" i="23"/>
  <c r="AE47" i="23" s="1"/>
  <c r="AD49" i="23"/>
  <c r="AE49" i="23" s="1"/>
  <c r="AD50" i="23"/>
  <c r="AE50" i="23" s="1"/>
  <c r="AD40" i="23"/>
  <c r="AE40" i="23" s="1"/>
  <c r="AF30" i="23"/>
  <c r="AF21" i="23"/>
  <c r="AF19" i="23"/>
  <c r="AM19" i="23" s="1" a="1"/>
  <c r="AM19" i="23" s="1"/>
  <c r="AG19" i="23" s="1"/>
  <c r="AH19" i="23" s="1"/>
  <c r="AI19" i="23" s="1"/>
  <c r="AJ19" i="23" s="1"/>
  <c r="AF20" i="23"/>
  <c r="AF22" i="23"/>
  <c r="AF25" i="23"/>
  <c r="AF23" i="23"/>
  <c r="AF24" i="23"/>
  <c r="AF26" i="23"/>
  <c r="AF17" i="23"/>
  <c r="AF13" i="23"/>
  <c r="AF9" i="23"/>
  <c r="AF5" i="23"/>
  <c r="AF15" i="23"/>
  <c r="AF11" i="23"/>
  <c r="AF7" i="23"/>
  <c r="AF3" i="23"/>
  <c r="AF14" i="23"/>
  <c r="AF10" i="23"/>
  <c r="AF6" i="23"/>
  <c r="AF2" i="23"/>
  <c r="AM2" i="23" s="1" a="1"/>
  <c r="AM2" i="23" s="1"/>
  <c r="AG2" i="23" s="1"/>
  <c r="AH2" i="23" s="1"/>
  <c r="AI2" i="23" s="1"/>
  <c r="AJ2" i="23" s="1"/>
  <c r="AF16" i="23"/>
  <c r="AF12" i="23"/>
  <c r="AF8" i="23"/>
  <c r="AF4" i="23"/>
  <c r="AF29" i="23"/>
  <c r="AF27" i="23"/>
  <c r="AF28" i="23"/>
  <c r="AF33" i="23"/>
  <c r="AF31" i="23"/>
  <c r="AF32" i="23"/>
  <c r="E11" i="23"/>
  <c r="AD52" i="23"/>
  <c r="BC2" i="5"/>
  <c r="BC3" i="5" s="1"/>
  <c r="BC4" i="5" s="1"/>
  <c r="BC5" i="5" s="1"/>
  <c r="BC6" i="5" s="1"/>
  <c r="BC7" i="5" s="1"/>
  <c r="BC8" i="5" s="1"/>
  <c r="BC9" i="5" s="1"/>
  <c r="BC10" i="5" s="1"/>
  <c r="BC11" i="5" s="1"/>
  <c r="BC12" i="5" s="1"/>
  <c r="BC13" i="5" s="1"/>
  <c r="BC14" i="5" s="1"/>
  <c r="BC15" i="5" s="1"/>
  <c r="BC16" i="5" s="1"/>
  <c r="BC17" i="5" s="1"/>
  <c r="BC18" i="5" s="1"/>
  <c r="BC19" i="5" s="1"/>
  <c r="BC20" i="5" s="1"/>
  <c r="BC21" i="5" s="1"/>
  <c r="BC22" i="5" s="1"/>
  <c r="BC23" i="5" s="1"/>
  <c r="BC24" i="5" s="1"/>
  <c r="BC25" i="5" s="1"/>
  <c r="BC26" i="5" s="1"/>
  <c r="BC27" i="5" s="1"/>
  <c r="BC28" i="5" s="1"/>
  <c r="BC29" i="5" s="1"/>
  <c r="BC30" i="5" s="1"/>
  <c r="BC31" i="5" s="1"/>
  <c r="BC32" i="5" s="1"/>
  <c r="BC33" i="5" s="1"/>
  <c r="BC34" i="5" s="1"/>
  <c r="BC35" i="5" s="1"/>
  <c r="BC36" i="5" s="1"/>
  <c r="BC37" i="5" s="1"/>
  <c r="BC38" i="5" s="1"/>
  <c r="BC39" i="5" s="1"/>
  <c r="BC40" i="5" s="1"/>
  <c r="BC41" i="5" s="1"/>
  <c r="BC42" i="5" s="1"/>
  <c r="BC43" i="5" s="1"/>
  <c r="BC44" i="5" s="1"/>
  <c r="BC45" i="5" s="1"/>
  <c r="BC46" i="5" s="1"/>
  <c r="BC47" i="5" s="1"/>
  <c r="BC48" i="5" s="1"/>
  <c r="BC49" i="5" s="1"/>
  <c r="BC50" i="5" s="1"/>
  <c r="BC51" i="5" s="1"/>
  <c r="BC52" i="5" s="1"/>
  <c r="BC53" i="5" s="1"/>
  <c r="BC54" i="5" s="1"/>
  <c r="BC55" i="5" s="1"/>
  <c r="BC56" i="5" s="1"/>
  <c r="BC57" i="5" s="1"/>
  <c r="BC58" i="5" s="1"/>
  <c r="BC59" i="5" s="1"/>
  <c r="BC60" i="5" s="1"/>
  <c r="BC61" i="5" s="1"/>
  <c r="BC62" i="5" s="1"/>
  <c r="BC63" i="5" s="1"/>
  <c r="BC64" i="5" s="1"/>
  <c r="BC65" i="5" s="1"/>
  <c r="BC66" i="5" s="1"/>
  <c r="BC67" i="5" s="1"/>
  <c r="BC68" i="5" s="1"/>
  <c r="BC69" i="5" s="1"/>
  <c r="BC70" i="5" s="1"/>
  <c r="BC71" i="5" s="1"/>
  <c r="BC72" i="5" s="1"/>
  <c r="BC73" i="5" s="1"/>
  <c r="BC74" i="5" s="1"/>
  <c r="BC75" i="5" s="1"/>
  <c r="BC76" i="5" s="1"/>
  <c r="BC77" i="5" s="1"/>
  <c r="BC78" i="5" s="1"/>
  <c r="BC79" i="5" s="1"/>
  <c r="BC80" i="5" s="1"/>
  <c r="BC81" i="5" s="1"/>
  <c r="BC82" i="5" s="1"/>
  <c r="BC83" i="5" s="1"/>
  <c r="BC84" i="5" s="1"/>
  <c r="BC85" i="5" s="1"/>
  <c r="BC86" i="5" s="1"/>
  <c r="BC87" i="5" s="1"/>
  <c r="BC88" i="5" s="1"/>
  <c r="BC89" i="5" s="1"/>
  <c r="BC90" i="5" s="1"/>
  <c r="BC91" i="5" s="1"/>
  <c r="BC92" i="5" s="1"/>
  <c r="BC93" i="5" s="1"/>
  <c r="BC94" i="5" s="1"/>
  <c r="BC95" i="5" s="1"/>
  <c r="BC96" i="5" s="1"/>
  <c r="BC97" i="5" s="1"/>
  <c r="BC98" i="5" s="1"/>
  <c r="BC99" i="5" s="1"/>
  <c r="BC100" i="5" s="1"/>
  <c r="BC101" i="5" s="1"/>
  <c r="BC102" i="5" s="1"/>
  <c r="BC103" i="5" s="1"/>
  <c r="BC104" i="5" s="1"/>
  <c r="BC105" i="5" s="1"/>
  <c r="BC106" i="5" s="1"/>
  <c r="BC107" i="5" s="1"/>
  <c r="BC108" i="5" s="1"/>
  <c r="BC109" i="5" s="1"/>
  <c r="BC110" i="5" s="1"/>
  <c r="BC111" i="5" s="1"/>
  <c r="BC112" i="5" s="1"/>
  <c r="BC113" i="5" s="1"/>
  <c r="BC114" i="5" s="1"/>
  <c r="BC115" i="5" s="1"/>
  <c r="BC116" i="5" s="1"/>
  <c r="BC117" i="5" s="1"/>
  <c r="BC118" i="5" s="1"/>
  <c r="BC119" i="5" s="1"/>
  <c r="BC120" i="5" s="1"/>
  <c r="BC121" i="5" s="1"/>
  <c r="BC122" i="5" s="1"/>
  <c r="BC123" i="5" s="1"/>
  <c r="BC124" i="5" s="1"/>
  <c r="BC125" i="5" s="1"/>
  <c r="BC126" i="5" s="1"/>
  <c r="BC127" i="5" s="1"/>
  <c r="BC128" i="5" s="1"/>
  <c r="BC129" i="5" s="1"/>
  <c r="BC130" i="5" s="1"/>
  <c r="BC131" i="5" s="1"/>
  <c r="BC132" i="5" s="1"/>
  <c r="BC133" i="5" s="1"/>
  <c r="BC134" i="5" s="1"/>
  <c r="BC135" i="5" s="1"/>
  <c r="BC136" i="5" s="1"/>
  <c r="BC137" i="5" s="1"/>
  <c r="BC138" i="5" s="1"/>
  <c r="BC139" i="5" s="1"/>
  <c r="BC140" i="5" s="1"/>
  <c r="BC141" i="5" s="1"/>
  <c r="BC142" i="5" s="1"/>
  <c r="BC143" i="5" s="1"/>
  <c r="BC144" i="5" s="1"/>
  <c r="BC145" i="5" s="1"/>
  <c r="BC146" i="5" s="1"/>
  <c r="BC147" i="5" s="1"/>
  <c r="BC148" i="5" s="1"/>
  <c r="BC149" i="5" s="1"/>
  <c r="BC150" i="5" s="1"/>
  <c r="BC151" i="5" s="1"/>
  <c r="BC152" i="5" s="1"/>
  <c r="BC153" i="5" s="1"/>
  <c r="BC154" i="5" s="1"/>
  <c r="BC155" i="5" s="1"/>
  <c r="BC156" i="5" s="1"/>
  <c r="BC157" i="5" s="1"/>
  <c r="BC158" i="5" s="1"/>
  <c r="BC159" i="5" s="1"/>
  <c r="BC160" i="5" s="1"/>
  <c r="BC161" i="5" s="1"/>
  <c r="Y1" i="2"/>
  <c r="AD74" i="23" l="1"/>
  <c r="AE74" i="23" s="1"/>
  <c r="AD78" i="23"/>
  <c r="AE78" i="23" s="1"/>
  <c r="AD72" i="23"/>
  <c r="AE72" i="23" s="1"/>
  <c r="AD70" i="23"/>
  <c r="AE70" i="23" s="1"/>
  <c r="AD84" i="23"/>
  <c r="AE84" i="23" s="1"/>
  <c r="AD85" i="23"/>
  <c r="AE85" i="23" s="1"/>
  <c r="AD75" i="23"/>
  <c r="AE75" i="23" s="1"/>
  <c r="AD79" i="23"/>
  <c r="AE79" i="23" s="1"/>
  <c r="AD83" i="23"/>
  <c r="AE83" i="23" s="1"/>
  <c r="AD82" i="23"/>
  <c r="AE82" i="23" s="1"/>
  <c r="AD77" i="23"/>
  <c r="AE77" i="23" s="1"/>
  <c r="AD76" i="23"/>
  <c r="AE76" i="23" s="1"/>
  <c r="AD81" i="23"/>
  <c r="AE81" i="23" s="1"/>
  <c r="AD71" i="23"/>
  <c r="AE71" i="23" s="1"/>
  <c r="AD73" i="23"/>
  <c r="AE73" i="23" s="1"/>
  <c r="AD80" i="23"/>
  <c r="AE80" i="23" s="1"/>
  <c r="G11" i="23"/>
  <c r="AD86" i="23"/>
  <c r="BE2" i="5"/>
  <c r="BE3" i="5" s="1"/>
  <c r="BE4" i="5" s="1"/>
  <c r="BE5" i="5" s="1"/>
  <c r="BE6" i="5" s="1"/>
  <c r="BE7" i="5" s="1"/>
  <c r="BE8" i="5" s="1"/>
  <c r="BE9" i="5" s="1"/>
  <c r="BE10" i="5" s="1"/>
  <c r="BE11" i="5" s="1"/>
  <c r="BE12" i="5" s="1"/>
  <c r="BE13" i="5" s="1"/>
  <c r="BE14" i="5" s="1"/>
  <c r="BE15" i="5" s="1"/>
  <c r="BE16" i="5" s="1"/>
  <c r="BE17" i="5" s="1"/>
  <c r="BE18" i="5" s="1"/>
  <c r="BE19" i="5" s="1"/>
  <c r="BE20" i="5" s="1"/>
  <c r="BE21" i="5" s="1"/>
  <c r="BE22" i="5" s="1"/>
  <c r="BE23" i="5" s="1"/>
  <c r="BE24" i="5" s="1"/>
  <c r="BE25" i="5" s="1"/>
  <c r="BE26" i="5" s="1"/>
  <c r="BE27" i="5" s="1"/>
  <c r="BE28" i="5" s="1"/>
  <c r="BE29" i="5" s="1"/>
  <c r="BE30" i="5" s="1"/>
  <c r="BE31" i="5" s="1"/>
  <c r="BE32" i="5" s="1"/>
  <c r="BE33" i="5" s="1"/>
  <c r="BE34" i="5" s="1"/>
  <c r="BE35" i="5" s="1"/>
  <c r="BE36" i="5" s="1"/>
  <c r="BE37" i="5" s="1"/>
  <c r="BE38" i="5" s="1"/>
  <c r="BE39" i="5" s="1"/>
  <c r="BE40" i="5" s="1"/>
  <c r="BE41" i="5" s="1"/>
  <c r="BE42" i="5" s="1"/>
  <c r="BE43" i="5" s="1"/>
  <c r="BE44" i="5" s="1"/>
  <c r="BE45" i="5" s="1"/>
  <c r="BE46" i="5" s="1"/>
  <c r="BE47" i="5" s="1"/>
  <c r="BE48" i="5" s="1"/>
  <c r="BE49" i="5" s="1"/>
  <c r="BE50" i="5" s="1"/>
  <c r="BE51" i="5" s="1"/>
  <c r="BE52" i="5" s="1"/>
  <c r="BE53" i="5" s="1"/>
  <c r="BE54" i="5" s="1"/>
  <c r="BE55" i="5" s="1"/>
  <c r="BE56" i="5" s="1"/>
  <c r="BE57" i="5" s="1"/>
  <c r="BE58" i="5" s="1"/>
  <c r="BE59" i="5" s="1"/>
  <c r="BE60" i="5" s="1"/>
  <c r="BE61" i="5" s="1"/>
  <c r="BE62" i="5" s="1"/>
  <c r="BE63" i="5" s="1"/>
  <c r="BE64" i="5" s="1"/>
  <c r="BE65" i="5" s="1"/>
  <c r="BE66" i="5" s="1"/>
  <c r="BE67" i="5" s="1"/>
  <c r="BE68" i="5" s="1"/>
  <c r="BE69" i="5" s="1"/>
  <c r="BE70" i="5" s="1"/>
  <c r="BE71" i="5" s="1"/>
  <c r="BE72" i="5" s="1"/>
  <c r="BE73" i="5" s="1"/>
  <c r="BE74" i="5" s="1"/>
  <c r="BE75" i="5" s="1"/>
  <c r="BE76" i="5" s="1"/>
  <c r="BE77" i="5" s="1"/>
  <c r="BE78" i="5" s="1"/>
  <c r="BE79" i="5" s="1"/>
  <c r="BE80" i="5" s="1"/>
  <c r="BE81" i="5" s="1"/>
  <c r="BE82" i="5" s="1"/>
  <c r="BE83" i="5" s="1"/>
  <c r="BE84" i="5" s="1"/>
  <c r="BE85" i="5" s="1"/>
  <c r="BE86" i="5" s="1"/>
  <c r="BE87" i="5" s="1"/>
  <c r="BE88" i="5" s="1"/>
  <c r="BE89" i="5" s="1"/>
  <c r="BE90" i="5" s="1"/>
  <c r="BE91" i="5" s="1"/>
  <c r="BE92" i="5" s="1"/>
  <c r="BE93" i="5" s="1"/>
  <c r="BE94" i="5" s="1"/>
  <c r="BE95" i="5" s="1"/>
  <c r="BE96" i="5" s="1"/>
  <c r="BE97" i="5" s="1"/>
  <c r="BE98" i="5" s="1"/>
  <c r="BE99" i="5" s="1"/>
  <c r="BE100" i="5" s="1"/>
  <c r="BE101" i="5" s="1"/>
  <c r="BE102" i="5" s="1"/>
  <c r="BE103" i="5" s="1"/>
  <c r="BE104" i="5" s="1"/>
  <c r="BE105" i="5" s="1"/>
  <c r="BE106" i="5" s="1"/>
  <c r="BE107" i="5" s="1"/>
  <c r="BE108" i="5" s="1"/>
  <c r="BE109" i="5" s="1"/>
  <c r="BE110" i="5" s="1"/>
  <c r="BE111" i="5" s="1"/>
  <c r="BE112" i="5" s="1"/>
  <c r="BE113" i="5" s="1"/>
  <c r="BE114" i="5" s="1"/>
  <c r="BE115" i="5" s="1"/>
  <c r="BE116" i="5" s="1"/>
  <c r="BE117" i="5" s="1"/>
  <c r="BE118" i="5" s="1"/>
  <c r="BE119" i="5" s="1"/>
  <c r="BE120" i="5" s="1"/>
  <c r="BE121" i="5" s="1"/>
  <c r="BE122" i="5" s="1"/>
  <c r="BE123" i="5" s="1"/>
  <c r="BE124" i="5" s="1"/>
  <c r="BE125" i="5" s="1"/>
  <c r="BE126" i="5" s="1"/>
  <c r="BE127" i="5" s="1"/>
  <c r="BE128" i="5" s="1"/>
  <c r="BE129" i="5" s="1"/>
  <c r="BE130" i="5" s="1"/>
  <c r="BE131" i="5" s="1"/>
  <c r="BE132" i="5" s="1"/>
  <c r="BE133" i="5" s="1"/>
  <c r="BE134" i="5" s="1"/>
  <c r="BE135" i="5" s="1"/>
  <c r="BE136" i="5" s="1"/>
  <c r="BE137" i="5" s="1"/>
  <c r="BE138" i="5" s="1"/>
  <c r="BE139" i="5" s="1"/>
  <c r="BE140" i="5" s="1"/>
  <c r="BE141" i="5" s="1"/>
  <c r="BE142" i="5" s="1"/>
  <c r="BE143" i="5" s="1"/>
  <c r="BE144" i="5" s="1"/>
  <c r="BE145" i="5" s="1"/>
  <c r="BE146" i="5" s="1"/>
  <c r="BE147" i="5" s="1"/>
  <c r="BE148" i="5" s="1"/>
  <c r="BE149" i="5" s="1"/>
  <c r="BE150" i="5" s="1"/>
  <c r="BE151" i="5" s="1"/>
  <c r="BE152" i="5" s="1"/>
  <c r="BE153" i="5" s="1"/>
  <c r="BE154" i="5" s="1"/>
  <c r="BE155" i="5" s="1"/>
  <c r="BE156" i="5" s="1"/>
  <c r="BE157" i="5" s="1"/>
  <c r="BE158" i="5" s="1"/>
  <c r="BE159" i="5" s="1"/>
  <c r="BE160" i="5" s="1"/>
  <c r="BE161" i="5" s="1"/>
  <c r="BF1" i="5"/>
  <c r="AD64" i="23"/>
  <c r="AE64" i="23" s="1"/>
  <c r="AD61" i="23"/>
  <c r="AE61" i="23" s="1"/>
  <c r="AD67" i="23"/>
  <c r="AE67" i="23" s="1"/>
  <c r="AD58" i="23"/>
  <c r="AE58" i="23" s="1"/>
  <c r="AD68" i="23"/>
  <c r="AE68" i="23" s="1"/>
  <c r="AD65" i="23"/>
  <c r="AE65" i="23" s="1"/>
  <c r="AD60" i="23"/>
  <c r="AE60" i="23" s="1"/>
  <c r="AD56" i="23"/>
  <c r="AE56" i="23" s="1"/>
  <c r="AD53" i="23"/>
  <c r="AE53" i="23" s="1"/>
  <c r="AD55" i="23"/>
  <c r="AE55" i="23" s="1"/>
  <c r="AD63" i="23"/>
  <c r="AE63" i="23" s="1"/>
  <c r="AD54" i="23"/>
  <c r="AE54" i="23" s="1"/>
  <c r="AD62" i="23"/>
  <c r="AD57" i="23"/>
  <c r="AE57" i="23" s="1"/>
  <c r="AD66" i="23"/>
  <c r="AE66" i="23" s="1"/>
  <c r="AD59" i="23"/>
  <c r="AE59" i="23" s="1"/>
  <c r="AF51" i="23"/>
  <c r="AF47" i="23"/>
  <c r="AF43" i="23"/>
  <c r="AF39" i="23"/>
  <c r="AF49" i="23"/>
  <c r="AF45" i="23"/>
  <c r="AF41" i="23"/>
  <c r="AF37" i="23"/>
  <c r="AF48" i="23"/>
  <c r="AF44" i="23"/>
  <c r="AF40" i="23"/>
  <c r="AF36" i="23"/>
  <c r="AM36" i="23" s="1" a="1"/>
  <c r="AM36" i="23" s="1"/>
  <c r="AF50" i="23"/>
  <c r="AF46" i="23"/>
  <c r="AF42" i="23"/>
  <c r="AF38" i="23"/>
  <c r="AM4" i="23" a="1"/>
  <c r="AM4" i="23" s="1"/>
  <c r="AG4" i="23" s="1"/>
  <c r="AM23" i="23" a="1"/>
  <c r="AM23" i="23" s="1"/>
  <c r="AG23" i="23" s="1"/>
  <c r="AM10" i="23" a="1"/>
  <c r="AM10" i="23" s="1"/>
  <c r="AG10" i="23" s="1"/>
  <c r="AM3" i="23" a="1"/>
  <c r="AM3" i="23" s="1"/>
  <c r="AM25" i="23" a="1"/>
  <c r="AM25" i="23" s="1"/>
  <c r="AG25" i="23" s="1"/>
  <c r="AM5" i="23" a="1"/>
  <c r="AM5" i="23" s="1"/>
  <c r="AM15" i="23" a="1"/>
  <c r="AM15" i="23" s="1"/>
  <c r="AK15" i="23" s="1"/>
  <c r="AM16" i="23" a="1"/>
  <c r="AM16" i="23" s="1"/>
  <c r="AK16" i="23" s="1"/>
  <c r="AM27" i="23" a="1"/>
  <c r="AM27" i="23" s="1"/>
  <c r="AG27" i="23" s="1"/>
  <c r="AM34" i="23" a="1"/>
  <c r="AM34" i="23" s="1"/>
  <c r="AK34" i="23" s="1"/>
  <c r="AM11" i="23" a="1"/>
  <c r="AM11" i="23" s="1"/>
  <c r="AK11" i="23" s="1"/>
  <c r="AM17" i="23" a="1"/>
  <c r="AM17" i="23" s="1"/>
  <c r="AK17" i="23" s="1"/>
  <c r="AM24" i="23" a="1"/>
  <c r="AM24" i="23" s="1"/>
  <c r="AG24" i="23" s="1"/>
  <c r="AM13" i="23" a="1"/>
  <c r="AM13" i="23" s="1"/>
  <c r="AG13" i="23" s="1"/>
  <c r="AM14" i="23" a="1"/>
  <c r="AM14" i="23" s="1"/>
  <c r="AG14" i="23" s="1"/>
  <c r="AM29" i="23" a="1"/>
  <c r="AM29" i="23" s="1"/>
  <c r="AG29" i="23" s="1"/>
  <c r="AM32" i="23" a="1"/>
  <c r="AM32" i="23" s="1"/>
  <c r="AK32" i="23" s="1"/>
  <c r="AM28" i="23" a="1"/>
  <c r="AM28" i="23" s="1"/>
  <c r="AK28" i="23" s="1"/>
  <c r="AM33" i="23" a="1"/>
  <c r="AM33" i="23" s="1"/>
  <c r="AG33" i="23" s="1"/>
  <c r="AM8" i="23" a="1"/>
  <c r="AM8" i="23" s="1"/>
  <c r="AM26" i="23" a="1"/>
  <c r="AM26" i="23" s="1"/>
  <c r="AG26" i="23" s="1"/>
  <c r="AM31" i="23" a="1"/>
  <c r="AM31" i="23" s="1"/>
  <c r="AK31" i="23" s="1"/>
  <c r="AM6" i="23" a="1"/>
  <c r="AM6" i="23" s="1"/>
  <c r="AG6" i="23" s="1"/>
  <c r="AM7" i="23" a="1"/>
  <c r="AM7" i="23" s="1"/>
  <c r="AG7" i="23" s="1"/>
  <c r="AM9" i="23" a="1"/>
  <c r="AM9" i="23" s="1"/>
  <c r="AG9" i="23" s="1"/>
  <c r="AM12" i="23" a="1"/>
  <c r="AM12" i="23" s="1"/>
  <c r="AK12" i="23" s="1"/>
  <c r="AM22" i="23" a="1"/>
  <c r="AM22" i="23" s="1"/>
  <c r="AG22" i="23" s="1"/>
  <c r="AM30" i="23" a="1"/>
  <c r="AM30" i="23" s="1"/>
  <c r="AK30" i="23" s="1"/>
  <c r="AE62" i="23"/>
  <c r="AM21" i="23" a="1"/>
  <c r="AM21" i="23" s="1"/>
  <c r="AG21" i="23" s="1"/>
  <c r="AM20" i="23" a="1"/>
  <c r="AM20" i="23" s="1"/>
  <c r="AG20" i="23" s="1"/>
  <c r="AH20" i="23" s="1"/>
  <c r="AI20" i="23" s="1"/>
  <c r="AJ20" i="23" s="1"/>
  <c r="E50" i="5" a="1"/>
  <c r="E50" i="5" s="1"/>
  <c r="E51" i="5" a="1"/>
  <c r="E51" i="5" s="1"/>
  <c r="E52" i="5" a="1"/>
  <c r="E52" i="5" s="1"/>
  <c r="E53" i="5" a="1"/>
  <c r="E53" i="5" s="1"/>
  <c r="E54" i="5" a="1"/>
  <c r="E54" i="5" s="1"/>
  <c r="E55" i="5" a="1"/>
  <c r="E55" i="5" s="1"/>
  <c r="E56" i="5" a="1"/>
  <c r="E56" i="5" s="1"/>
  <c r="E57" i="5" a="1"/>
  <c r="E57" i="5" s="1"/>
  <c r="E58" i="5" a="1"/>
  <c r="E58" i="5" s="1"/>
  <c r="E49" i="5" a="1"/>
  <c r="E49" i="5" s="1"/>
  <c r="E40" i="5" a="1"/>
  <c r="E40" i="5" s="1"/>
  <c r="E41" i="5" a="1"/>
  <c r="E41" i="5" s="1"/>
  <c r="E42" i="5" a="1"/>
  <c r="E42" i="5" s="1"/>
  <c r="E43" i="5" a="1"/>
  <c r="E43" i="5" s="1"/>
  <c r="E44" i="5" a="1"/>
  <c r="E44" i="5" s="1"/>
  <c r="E45" i="5" a="1"/>
  <c r="E45" i="5" s="1"/>
  <c r="E46" i="5" a="1"/>
  <c r="E46" i="5" s="1"/>
  <c r="E47" i="5" a="1"/>
  <c r="E47" i="5" s="1"/>
  <c r="E48" i="5" a="1"/>
  <c r="E48" i="5" s="1"/>
  <c r="E39" i="5" a="1"/>
  <c r="E39" i="5" s="1"/>
  <c r="E30" i="5" a="1"/>
  <c r="E30" i="5" s="1"/>
  <c r="E31" i="5" a="1"/>
  <c r="E31" i="5" s="1"/>
  <c r="E32" i="5" a="1"/>
  <c r="E32" i="5" s="1"/>
  <c r="E33" i="5" a="1"/>
  <c r="E33" i="5" s="1"/>
  <c r="E34" i="5" a="1"/>
  <c r="E34" i="5" s="1"/>
  <c r="E35" i="5" a="1"/>
  <c r="E35" i="5" s="1"/>
  <c r="E36" i="5" a="1"/>
  <c r="E36" i="5" s="1"/>
  <c r="E37" i="5" a="1"/>
  <c r="E37" i="5" s="1"/>
  <c r="E38" i="5" a="1"/>
  <c r="E38" i="5" s="1"/>
  <c r="E29" i="5" a="1"/>
  <c r="E29" i="5" s="1"/>
  <c r="BG1" i="5" l="1"/>
  <c r="H11" i="23"/>
  <c r="BF2" i="5"/>
  <c r="BF3" i="5" s="1"/>
  <c r="BF4" i="5" s="1"/>
  <c r="BF5" i="5" s="1"/>
  <c r="BF6" i="5" s="1"/>
  <c r="BF7" i="5" s="1"/>
  <c r="BF8" i="5" s="1"/>
  <c r="BF9" i="5" s="1"/>
  <c r="BF10" i="5" s="1"/>
  <c r="BF11" i="5" s="1"/>
  <c r="BF12" i="5" s="1"/>
  <c r="BF13" i="5" s="1"/>
  <c r="BF14" i="5" s="1"/>
  <c r="BF15" i="5" s="1"/>
  <c r="BF16" i="5" s="1"/>
  <c r="BF17" i="5" s="1"/>
  <c r="BF18" i="5" s="1"/>
  <c r="BF19" i="5" s="1"/>
  <c r="BF20" i="5" s="1"/>
  <c r="BF21" i="5" s="1"/>
  <c r="BF22" i="5" s="1"/>
  <c r="BF23" i="5" s="1"/>
  <c r="BF24" i="5" s="1"/>
  <c r="BF25" i="5" s="1"/>
  <c r="BF26" i="5" s="1"/>
  <c r="BF27" i="5" s="1"/>
  <c r="BF28" i="5" s="1"/>
  <c r="BF29" i="5" s="1"/>
  <c r="BF30" i="5" s="1"/>
  <c r="BF31" i="5" s="1"/>
  <c r="BF32" i="5" s="1"/>
  <c r="BF33" i="5" s="1"/>
  <c r="BF34" i="5" s="1"/>
  <c r="BF35" i="5" s="1"/>
  <c r="BF36" i="5" s="1"/>
  <c r="BF37" i="5" s="1"/>
  <c r="BF38" i="5" s="1"/>
  <c r="BF39" i="5" s="1"/>
  <c r="BF40" i="5" s="1"/>
  <c r="BF41" i="5" s="1"/>
  <c r="BF42" i="5" s="1"/>
  <c r="BF43" i="5" s="1"/>
  <c r="BF44" i="5" s="1"/>
  <c r="BF45" i="5" s="1"/>
  <c r="BF46" i="5" s="1"/>
  <c r="BF47" i="5" s="1"/>
  <c r="BF48" i="5" s="1"/>
  <c r="BF49" i="5" s="1"/>
  <c r="BF50" i="5" s="1"/>
  <c r="BF51" i="5" s="1"/>
  <c r="BF52" i="5" s="1"/>
  <c r="BF53" i="5" s="1"/>
  <c r="BF54" i="5" s="1"/>
  <c r="BF55" i="5" s="1"/>
  <c r="BF56" i="5" s="1"/>
  <c r="BF57" i="5" s="1"/>
  <c r="BF58" i="5" s="1"/>
  <c r="BF59" i="5" s="1"/>
  <c r="BF60" i="5" s="1"/>
  <c r="BF61" i="5" s="1"/>
  <c r="BF62" i="5" s="1"/>
  <c r="BF63" i="5" s="1"/>
  <c r="BF64" i="5" s="1"/>
  <c r="BF65" i="5" s="1"/>
  <c r="BF66" i="5" s="1"/>
  <c r="BF67" i="5" s="1"/>
  <c r="BF68" i="5" s="1"/>
  <c r="BF69" i="5" s="1"/>
  <c r="BF70" i="5" s="1"/>
  <c r="BF71" i="5" s="1"/>
  <c r="BF72" i="5" s="1"/>
  <c r="BF73" i="5" s="1"/>
  <c r="BF74" i="5" s="1"/>
  <c r="BF75" i="5" s="1"/>
  <c r="BF76" i="5" s="1"/>
  <c r="BF77" i="5" s="1"/>
  <c r="BF78" i="5" s="1"/>
  <c r="BF79" i="5" s="1"/>
  <c r="BF80" i="5" s="1"/>
  <c r="BF81" i="5" s="1"/>
  <c r="BF82" i="5" s="1"/>
  <c r="BF83" i="5" s="1"/>
  <c r="BF84" i="5" s="1"/>
  <c r="BF85" i="5" s="1"/>
  <c r="BF86" i="5" s="1"/>
  <c r="BF87" i="5" s="1"/>
  <c r="BF88" i="5" s="1"/>
  <c r="BF89" i="5" s="1"/>
  <c r="BF90" i="5" s="1"/>
  <c r="BF91" i="5" s="1"/>
  <c r="BF92" i="5" s="1"/>
  <c r="BF93" i="5" s="1"/>
  <c r="BF94" i="5" s="1"/>
  <c r="BF95" i="5" s="1"/>
  <c r="BF96" i="5" s="1"/>
  <c r="BF97" i="5" s="1"/>
  <c r="BF98" i="5" s="1"/>
  <c r="BF99" i="5" s="1"/>
  <c r="BF100" i="5" s="1"/>
  <c r="BF101" i="5" s="1"/>
  <c r="BF102" i="5" s="1"/>
  <c r="BF103" i="5" s="1"/>
  <c r="BF104" i="5" s="1"/>
  <c r="BF105" i="5" s="1"/>
  <c r="BF106" i="5" s="1"/>
  <c r="BF107" i="5" s="1"/>
  <c r="BF108" i="5" s="1"/>
  <c r="BF109" i="5" s="1"/>
  <c r="BF110" i="5" s="1"/>
  <c r="BF111" i="5" s="1"/>
  <c r="BF112" i="5" s="1"/>
  <c r="BF113" i="5" s="1"/>
  <c r="BF114" i="5" s="1"/>
  <c r="BF115" i="5" s="1"/>
  <c r="BF116" i="5" s="1"/>
  <c r="BF117" i="5" s="1"/>
  <c r="BF118" i="5" s="1"/>
  <c r="BF119" i="5" s="1"/>
  <c r="BF120" i="5" s="1"/>
  <c r="BF121" i="5" s="1"/>
  <c r="BF122" i="5" s="1"/>
  <c r="BF123" i="5" s="1"/>
  <c r="BF124" i="5" s="1"/>
  <c r="BF125" i="5" s="1"/>
  <c r="BF126" i="5" s="1"/>
  <c r="BF127" i="5" s="1"/>
  <c r="BF128" i="5" s="1"/>
  <c r="BF129" i="5" s="1"/>
  <c r="BF130" i="5" s="1"/>
  <c r="BF131" i="5" s="1"/>
  <c r="BF132" i="5" s="1"/>
  <c r="BF133" i="5" s="1"/>
  <c r="BF134" i="5" s="1"/>
  <c r="BF135" i="5" s="1"/>
  <c r="BF136" i="5" s="1"/>
  <c r="BF137" i="5" s="1"/>
  <c r="BF138" i="5" s="1"/>
  <c r="BF139" i="5" s="1"/>
  <c r="BF140" i="5" s="1"/>
  <c r="BF141" i="5" s="1"/>
  <c r="BF142" i="5" s="1"/>
  <c r="BF143" i="5" s="1"/>
  <c r="BF144" i="5" s="1"/>
  <c r="BF145" i="5" s="1"/>
  <c r="BF146" i="5" s="1"/>
  <c r="BF147" i="5" s="1"/>
  <c r="BF148" i="5" s="1"/>
  <c r="BF149" i="5" s="1"/>
  <c r="BF150" i="5" s="1"/>
  <c r="BF151" i="5" s="1"/>
  <c r="BF152" i="5" s="1"/>
  <c r="BF153" i="5" s="1"/>
  <c r="BF154" i="5" s="1"/>
  <c r="BF155" i="5" s="1"/>
  <c r="BF156" i="5" s="1"/>
  <c r="BF157" i="5" s="1"/>
  <c r="BF158" i="5" s="1"/>
  <c r="BF159" i="5" s="1"/>
  <c r="BF160" i="5" s="1"/>
  <c r="BF161" i="5" s="1"/>
  <c r="AD103" i="23"/>
  <c r="AF81" i="23"/>
  <c r="AF72" i="23"/>
  <c r="AF76" i="23"/>
  <c r="AF78" i="23"/>
  <c r="AF70" i="23"/>
  <c r="AF74" i="23"/>
  <c r="AF79" i="23"/>
  <c r="AF84" i="23"/>
  <c r="AF71" i="23"/>
  <c r="AF75" i="23"/>
  <c r="AF82" i="23"/>
  <c r="AF85" i="23"/>
  <c r="AF73" i="23"/>
  <c r="AF77" i="23"/>
  <c r="AF80" i="23"/>
  <c r="AF83" i="23"/>
  <c r="AD98" i="23"/>
  <c r="AE98" i="23" s="1"/>
  <c r="AD94" i="23"/>
  <c r="AE94" i="23" s="1"/>
  <c r="AD100" i="23"/>
  <c r="AE100" i="23" s="1"/>
  <c r="AD99" i="23"/>
  <c r="AE99" i="23" s="1"/>
  <c r="AD96" i="23"/>
  <c r="AE96" i="23" s="1"/>
  <c r="AD101" i="23"/>
  <c r="AE101" i="23" s="1"/>
  <c r="AD102" i="23"/>
  <c r="AE102" i="23" s="1"/>
  <c r="AD95" i="23"/>
  <c r="AE95" i="23" s="1"/>
  <c r="AD88" i="23"/>
  <c r="AE88" i="23" s="1"/>
  <c r="AD87" i="23"/>
  <c r="AE87" i="23" s="1"/>
  <c r="AD97" i="23"/>
  <c r="AE97" i="23" s="1"/>
  <c r="AD92" i="23"/>
  <c r="AE92" i="23" s="1"/>
  <c r="AD91" i="23"/>
  <c r="AE91" i="23" s="1"/>
  <c r="AD90" i="23"/>
  <c r="AE90" i="23" s="1"/>
  <c r="AD93" i="23"/>
  <c r="AE93" i="23" s="1"/>
  <c r="AD89" i="23"/>
  <c r="AE89" i="23" s="1"/>
  <c r="AG11" i="23"/>
  <c r="AK10" i="23"/>
  <c r="AG31" i="23"/>
  <c r="AK14" i="23"/>
  <c r="AF68" i="23"/>
  <c r="AF64" i="23"/>
  <c r="AF60" i="23"/>
  <c r="AF56" i="23"/>
  <c r="AF66" i="23"/>
  <c r="AF62" i="23"/>
  <c r="AF58" i="23"/>
  <c r="AF54" i="23"/>
  <c r="AF65" i="23"/>
  <c r="AF61" i="23"/>
  <c r="AF57" i="23"/>
  <c r="AF53" i="23"/>
  <c r="AM53" i="23" s="1" a="1"/>
  <c r="AM53" i="23" s="1"/>
  <c r="AF67" i="23"/>
  <c r="AF63" i="23"/>
  <c r="AF59" i="23"/>
  <c r="AF55" i="23"/>
  <c r="AG16" i="23"/>
  <c r="AG8" i="23"/>
  <c r="AG5" i="23"/>
  <c r="AH23" i="23"/>
  <c r="AI23" i="23" s="1"/>
  <c r="AG3" i="23"/>
  <c r="AH3" i="23" s="1"/>
  <c r="AI3" i="23" s="1"/>
  <c r="AJ3" i="23" s="1"/>
  <c r="AK9" i="23"/>
  <c r="AG15" i="23"/>
  <c r="AG17" i="23"/>
  <c r="AG32" i="23"/>
  <c r="AK33" i="23"/>
  <c r="AK13" i="23"/>
  <c r="AG34" i="23"/>
  <c r="AH26" i="23"/>
  <c r="AI26" i="23" s="1"/>
  <c r="AH22" i="23"/>
  <c r="AI22" i="23" s="1"/>
  <c r="AK29" i="23"/>
  <c r="AG28" i="23"/>
  <c r="AH29" i="23" s="1"/>
  <c r="AI29" i="23" s="1"/>
  <c r="AM49" i="23" a="1"/>
  <c r="AM49" i="23" s="1"/>
  <c r="AM45" i="23" a="1"/>
  <c r="AM45" i="23" s="1"/>
  <c r="AM37" i="23" a="1"/>
  <c r="AM37" i="23" s="1"/>
  <c r="AM38" i="23" a="1"/>
  <c r="AM38" i="23" s="1"/>
  <c r="AG12" i="23"/>
  <c r="AG30" i="23"/>
  <c r="AM46" i="23" a="1"/>
  <c r="AM46" i="23" s="1"/>
  <c r="AM44" i="23" a="1"/>
  <c r="AM44" i="23" s="1"/>
  <c r="AM47" i="23" a="1"/>
  <c r="AM47" i="23" s="1"/>
  <c r="AM48" i="23" a="1"/>
  <c r="AM48" i="23" s="1"/>
  <c r="AM41" i="23" a="1"/>
  <c r="AM41" i="23" s="1"/>
  <c r="AG41" i="23" s="1"/>
  <c r="AM39" i="23" a="1"/>
  <c r="AM39" i="23" s="1"/>
  <c r="AG39" i="23" s="1"/>
  <c r="AM42" i="23" a="1"/>
  <c r="AM42" i="23" s="1"/>
  <c r="AG42" i="23" s="1"/>
  <c r="AH25" i="23"/>
  <c r="AI25" i="23" s="1"/>
  <c r="AH27" i="23"/>
  <c r="AI27" i="23" s="1"/>
  <c r="AH24" i="23"/>
  <c r="AI24" i="23" s="1"/>
  <c r="AM40" i="23" a="1"/>
  <c r="AM40" i="23" s="1"/>
  <c r="AM43" i="23" a="1"/>
  <c r="AM43" i="23" s="1"/>
  <c r="AM51" i="23" a="1"/>
  <c r="AM51" i="23" s="1"/>
  <c r="AM50" i="23" a="1"/>
  <c r="AM50" i="23" s="1"/>
  <c r="AH21" i="23"/>
  <c r="AI21" i="23" s="1"/>
  <c r="AJ21" i="23" s="1"/>
  <c r="AG36" i="23"/>
  <c r="AH36" i="23" s="1"/>
  <c r="AI36" i="23" s="1"/>
  <c r="AJ36" i="23" s="1"/>
  <c r="F37" i="5"/>
  <c r="F53" i="5"/>
  <c r="F41" i="5"/>
  <c r="F57" i="5"/>
  <c r="F30" i="5"/>
  <c r="F45" i="5"/>
  <c r="F33" i="5"/>
  <c r="F49" i="5"/>
  <c r="F56" i="5"/>
  <c r="F52" i="5"/>
  <c r="F48" i="5"/>
  <c r="F44" i="5"/>
  <c r="F40" i="5"/>
  <c r="F36" i="5"/>
  <c r="F32" i="5"/>
  <c r="F55" i="5"/>
  <c r="F51" i="5"/>
  <c r="F47" i="5"/>
  <c r="F43" i="5"/>
  <c r="F39" i="5"/>
  <c r="F35" i="5"/>
  <c r="F31" i="5"/>
  <c r="F58" i="5"/>
  <c r="F54" i="5"/>
  <c r="F50" i="5"/>
  <c r="F46" i="5"/>
  <c r="F42" i="5"/>
  <c r="F38" i="5"/>
  <c r="F34" i="5"/>
  <c r="F29" i="5"/>
  <c r="L766" i="2"/>
  <c r="B19" i="5"/>
  <c r="B20" i="5"/>
  <c r="B21" i="5"/>
  <c r="B22" i="5"/>
  <c r="B18" i="5"/>
  <c r="AM75" i="23" l="1" a="1"/>
  <c r="AM75" i="23" s="1"/>
  <c r="AK75" i="23" s="1"/>
  <c r="AM83" i="23" a="1"/>
  <c r="AM83" i="23" s="1"/>
  <c r="AK83" i="23" s="1"/>
  <c r="AM78" i="23" a="1"/>
  <c r="AM78" i="23" s="1"/>
  <c r="AG78" i="23" s="1"/>
  <c r="AM74" i="23" a="1"/>
  <c r="AM74" i="23" s="1"/>
  <c r="AG74" i="23" s="1"/>
  <c r="AM77" i="23" a="1"/>
  <c r="AM77" i="23" s="1"/>
  <c r="AG77" i="23" s="1"/>
  <c r="AM72" i="23" a="1"/>
  <c r="AM72" i="23" s="1"/>
  <c r="AG72" i="23" s="1"/>
  <c r="AM85" i="23" a="1"/>
  <c r="AM85" i="23" s="1"/>
  <c r="AM84" i="23" a="1"/>
  <c r="AM84" i="23" s="1"/>
  <c r="AD115" i="23"/>
  <c r="AE115" i="23" s="1"/>
  <c r="AD118" i="23"/>
  <c r="AE118" i="23" s="1"/>
  <c r="AD113" i="23"/>
  <c r="AE113" i="23" s="1"/>
  <c r="AD104" i="23"/>
  <c r="AE104" i="23" s="1"/>
  <c r="AD112" i="23"/>
  <c r="AE112" i="23" s="1"/>
  <c r="AD105" i="23"/>
  <c r="AE105" i="23" s="1"/>
  <c r="AD111" i="23"/>
  <c r="AE111" i="23" s="1"/>
  <c r="AD108" i="23"/>
  <c r="AE108" i="23" s="1"/>
  <c r="AD110" i="23"/>
  <c r="AE110" i="23" s="1"/>
  <c r="AD119" i="23"/>
  <c r="AE119" i="23" s="1"/>
  <c r="AD109" i="23"/>
  <c r="AE109" i="23" s="1"/>
  <c r="AD106" i="23"/>
  <c r="AE106" i="23" s="1"/>
  <c r="AD117" i="23"/>
  <c r="AE117" i="23" s="1"/>
  <c r="AD114" i="23"/>
  <c r="AE114" i="23" s="1"/>
  <c r="AD116" i="23"/>
  <c r="AE116" i="23" s="1"/>
  <c r="AD107" i="23"/>
  <c r="AE107" i="23" s="1"/>
  <c r="AM80" i="23" a="1"/>
  <c r="AM80" i="23" s="1"/>
  <c r="AM82" i="23" a="1"/>
  <c r="AM82" i="23" s="1"/>
  <c r="AM79" i="23" a="1"/>
  <c r="AM79" i="23" s="1"/>
  <c r="AM76" i="23" a="1"/>
  <c r="AM76" i="23" s="1"/>
  <c r="AF102" i="23"/>
  <c r="AF95" i="23"/>
  <c r="AF89" i="23"/>
  <c r="AF100" i="23"/>
  <c r="AF94" i="23"/>
  <c r="AF96" i="23"/>
  <c r="AF98" i="23"/>
  <c r="AF88" i="23"/>
  <c r="AF101" i="23"/>
  <c r="AF91" i="23"/>
  <c r="AF97" i="23"/>
  <c r="AF90" i="23"/>
  <c r="AF99" i="23"/>
  <c r="AF92" i="23"/>
  <c r="AF87" i="23"/>
  <c r="AM87" i="23" s="1" a="1"/>
  <c r="AM87" i="23" s="1"/>
  <c r="AF93" i="23"/>
  <c r="AM73" i="23" a="1"/>
  <c r="AM73" i="23" s="1"/>
  <c r="AM71" i="23" a="1"/>
  <c r="AM71" i="23" s="1"/>
  <c r="AM70" i="23" a="1"/>
  <c r="AM70" i="23" s="1"/>
  <c r="AM81" i="23" a="1"/>
  <c r="AM81" i="23" s="1"/>
  <c r="I11" i="23"/>
  <c r="BG2" i="5"/>
  <c r="BG3" i="5" s="1"/>
  <c r="BG4" i="5" s="1"/>
  <c r="BG5" i="5" s="1"/>
  <c r="BG6" i="5" s="1"/>
  <c r="BG7" i="5" s="1"/>
  <c r="BG8" i="5" s="1"/>
  <c r="BG9" i="5" s="1"/>
  <c r="BG10" i="5" s="1"/>
  <c r="BG11" i="5" s="1"/>
  <c r="BG12" i="5" s="1"/>
  <c r="BG13" i="5" s="1"/>
  <c r="BG14" i="5" s="1"/>
  <c r="BG15" i="5" s="1"/>
  <c r="BG16" i="5" s="1"/>
  <c r="BG17" i="5" s="1"/>
  <c r="BG18" i="5" s="1"/>
  <c r="BG19" i="5" s="1"/>
  <c r="BG20" i="5" s="1"/>
  <c r="BG21" i="5" s="1"/>
  <c r="BG22" i="5" s="1"/>
  <c r="BG23" i="5" s="1"/>
  <c r="BG24" i="5" s="1"/>
  <c r="BG25" i="5" s="1"/>
  <c r="BG26" i="5" s="1"/>
  <c r="BG27" i="5" s="1"/>
  <c r="BG28" i="5" s="1"/>
  <c r="BG29" i="5" s="1"/>
  <c r="BG30" i="5" s="1"/>
  <c r="BG31" i="5" s="1"/>
  <c r="BG32" i="5" s="1"/>
  <c r="BG33" i="5" s="1"/>
  <c r="BG34" i="5" s="1"/>
  <c r="BG35" i="5" s="1"/>
  <c r="BG36" i="5" s="1"/>
  <c r="BG37" i="5" s="1"/>
  <c r="BG38" i="5" s="1"/>
  <c r="BG39" i="5" s="1"/>
  <c r="BG40" i="5" s="1"/>
  <c r="BG41" i="5" s="1"/>
  <c r="BG42" i="5" s="1"/>
  <c r="BG43" i="5" s="1"/>
  <c r="BG44" i="5" s="1"/>
  <c r="BG45" i="5" s="1"/>
  <c r="BG46" i="5" s="1"/>
  <c r="BG47" i="5" s="1"/>
  <c r="BG48" i="5" s="1"/>
  <c r="BG49" i="5" s="1"/>
  <c r="BG50" i="5" s="1"/>
  <c r="BG51" i="5" s="1"/>
  <c r="BG52" i="5" s="1"/>
  <c r="BG53" i="5" s="1"/>
  <c r="BG54" i="5" s="1"/>
  <c r="BG55" i="5" s="1"/>
  <c r="BG56" i="5" s="1"/>
  <c r="BG57" i="5" s="1"/>
  <c r="BG58" i="5" s="1"/>
  <c r="BG59" i="5" s="1"/>
  <c r="BG60" i="5" s="1"/>
  <c r="BG61" i="5" s="1"/>
  <c r="BG62" i="5" s="1"/>
  <c r="BG63" i="5" s="1"/>
  <c r="BG64" i="5" s="1"/>
  <c r="BG65" i="5" s="1"/>
  <c r="BG66" i="5" s="1"/>
  <c r="BG67" i="5" s="1"/>
  <c r="BG68" i="5" s="1"/>
  <c r="BG69" i="5" s="1"/>
  <c r="BG70" i="5" s="1"/>
  <c r="BG71" i="5" s="1"/>
  <c r="BG72" i="5" s="1"/>
  <c r="BG73" i="5" s="1"/>
  <c r="BG74" i="5" s="1"/>
  <c r="BG75" i="5" s="1"/>
  <c r="BG76" i="5" s="1"/>
  <c r="BG77" i="5" s="1"/>
  <c r="BG78" i="5" s="1"/>
  <c r="BG79" i="5" s="1"/>
  <c r="BG80" i="5" s="1"/>
  <c r="BG81" i="5" s="1"/>
  <c r="BG82" i="5" s="1"/>
  <c r="BG83" i="5" s="1"/>
  <c r="BG84" i="5" s="1"/>
  <c r="BG85" i="5" s="1"/>
  <c r="BG86" i="5" s="1"/>
  <c r="BG87" i="5" s="1"/>
  <c r="BG88" i="5" s="1"/>
  <c r="BG89" i="5" s="1"/>
  <c r="BG90" i="5" s="1"/>
  <c r="BG91" i="5" s="1"/>
  <c r="BG92" i="5" s="1"/>
  <c r="BG93" i="5" s="1"/>
  <c r="BG94" i="5" s="1"/>
  <c r="BG95" i="5" s="1"/>
  <c r="BG96" i="5" s="1"/>
  <c r="BG97" i="5" s="1"/>
  <c r="BG98" i="5" s="1"/>
  <c r="BG99" i="5" s="1"/>
  <c r="BG100" i="5" s="1"/>
  <c r="BG101" i="5" s="1"/>
  <c r="BG102" i="5" s="1"/>
  <c r="BG103" i="5" s="1"/>
  <c r="BG104" i="5" s="1"/>
  <c r="BG105" i="5" s="1"/>
  <c r="BG106" i="5" s="1"/>
  <c r="BG107" i="5" s="1"/>
  <c r="BG108" i="5" s="1"/>
  <c r="BG109" i="5" s="1"/>
  <c r="BG110" i="5" s="1"/>
  <c r="BG111" i="5" s="1"/>
  <c r="BG112" i="5" s="1"/>
  <c r="BG113" i="5" s="1"/>
  <c r="BG114" i="5" s="1"/>
  <c r="BG115" i="5" s="1"/>
  <c r="BG116" i="5" s="1"/>
  <c r="BG117" i="5" s="1"/>
  <c r="BG118" i="5" s="1"/>
  <c r="BG119" i="5" s="1"/>
  <c r="BG120" i="5" s="1"/>
  <c r="BG121" i="5" s="1"/>
  <c r="BG122" i="5" s="1"/>
  <c r="BG123" i="5" s="1"/>
  <c r="BG124" i="5" s="1"/>
  <c r="BG125" i="5" s="1"/>
  <c r="BG126" i="5" s="1"/>
  <c r="BG127" i="5" s="1"/>
  <c r="BG128" i="5" s="1"/>
  <c r="BG129" i="5" s="1"/>
  <c r="BG130" i="5" s="1"/>
  <c r="BG131" i="5" s="1"/>
  <c r="BG132" i="5" s="1"/>
  <c r="BG133" i="5" s="1"/>
  <c r="BG134" i="5" s="1"/>
  <c r="BG135" i="5" s="1"/>
  <c r="BG136" i="5" s="1"/>
  <c r="BG137" i="5" s="1"/>
  <c r="BG138" i="5" s="1"/>
  <c r="BG139" i="5" s="1"/>
  <c r="BG140" i="5" s="1"/>
  <c r="BG141" i="5" s="1"/>
  <c r="BG142" i="5" s="1"/>
  <c r="BG143" i="5" s="1"/>
  <c r="BG144" i="5" s="1"/>
  <c r="BG145" i="5" s="1"/>
  <c r="BG146" i="5" s="1"/>
  <c r="BG147" i="5" s="1"/>
  <c r="BG148" i="5" s="1"/>
  <c r="BG149" i="5" s="1"/>
  <c r="BG150" i="5" s="1"/>
  <c r="BG151" i="5" s="1"/>
  <c r="BG152" i="5" s="1"/>
  <c r="BG153" i="5" s="1"/>
  <c r="BG154" i="5" s="1"/>
  <c r="BG155" i="5" s="1"/>
  <c r="BG156" i="5" s="1"/>
  <c r="BG157" i="5" s="1"/>
  <c r="BG158" i="5" s="1"/>
  <c r="BG159" i="5" s="1"/>
  <c r="BG160" i="5" s="1"/>
  <c r="BG161" i="5" s="1"/>
  <c r="AD120" i="23"/>
  <c r="BH1" i="5"/>
  <c r="AH5" i="23"/>
  <c r="AI5" i="23" s="1"/>
  <c r="AH10" i="23"/>
  <c r="AI10" i="23" s="1"/>
  <c r="AH6" i="23"/>
  <c r="AI6" i="23" s="1"/>
  <c r="AH11" i="23"/>
  <c r="AI11" i="23" s="1"/>
  <c r="AH9" i="23"/>
  <c r="AI9" i="23" s="1"/>
  <c r="AH8" i="23"/>
  <c r="AI8" i="23" s="1"/>
  <c r="AH4" i="23"/>
  <c r="AI4" i="23" s="1"/>
  <c r="AJ4" i="23" s="1"/>
  <c r="AH33" i="23"/>
  <c r="AI33" i="23" s="1"/>
  <c r="AH13" i="23"/>
  <c r="AI13" i="23" s="1"/>
  <c r="AH7" i="23"/>
  <c r="AI7" i="23" s="1"/>
  <c r="AH32" i="23"/>
  <c r="AI32" i="23" s="1"/>
  <c r="AH31" i="23"/>
  <c r="AI31" i="23" s="1"/>
  <c r="AM59" i="23" a="1"/>
  <c r="AM59" i="23" s="1"/>
  <c r="AG59" i="23" s="1"/>
  <c r="AH28" i="23"/>
  <c r="AI28" i="23" s="1"/>
  <c r="AJ29" i="23" s="1"/>
  <c r="AH30" i="23"/>
  <c r="AI30" i="23" s="1"/>
  <c r="AH17" i="23"/>
  <c r="AI17" i="23" s="1"/>
  <c r="AH15" i="23"/>
  <c r="AI15" i="23" s="1"/>
  <c r="AM58" i="23" a="1"/>
  <c r="AM58" i="23" s="1"/>
  <c r="AM62" i="23" a="1"/>
  <c r="AM62" i="23" s="1"/>
  <c r="AH16" i="23"/>
  <c r="AI16" i="23" s="1"/>
  <c r="AH14" i="23"/>
  <c r="AI14" i="23" s="1"/>
  <c r="AH12" i="23"/>
  <c r="AI12" i="23" s="1"/>
  <c r="AM63" i="23" a="1"/>
  <c r="AM63" i="23" s="1"/>
  <c r="AK63" i="23" s="1"/>
  <c r="AM61" i="23" a="1"/>
  <c r="AM61" i="23" s="1"/>
  <c r="AG61" i="23" s="1"/>
  <c r="AM68" i="23" a="1"/>
  <c r="AM68" i="23" s="1"/>
  <c r="AK68" i="23" s="1"/>
  <c r="AM57" i="23" a="1"/>
  <c r="AM57" i="23" s="1"/>
  <c r="AM54" i="23" a="1"/>
  <c r="AM54" i="23" s="1"/>
  <c r="AM65" i="23" a="1"/>
  <c r="AM65" i="23" s="1"/>
  <c r="AG65" i="23" s="1"/>
  <c r="AK51" i="23"/>
  <c r="AG51" i="23"/>
  <c r="AK48" i="23"/>
  <c r="AG48" i="23"/>
  <c r="AG38" i="23"/>
  <c r="AH34" i="23"/>
  <c r="AI34" i="23" s="1"/>
  <c r="AM56" i="23" a="1"/>
  <c r="AM56" i="23" s="1"/>
  <c r="AM60" i="23" a="1"/>
  <c r="AM60" i="23" s="1"/>
  <c r="AG60" i="23" s="1"/>
  <c r="AG43" i="23"/>
  <c r="AG47" i="23"/>
  <c r="AK47" i="23"/>
  <c r="AG37" i="23"/>
  <c r="AH37" i="23" s="1"/>
  <c r="AI37" i="23" s="1"/>
  <c r="AJ37" i="23" s="1"/>
  <c r="AM55" i="23" a="1"/>
  <c r="AM55" i="23" s="1"/>
  <c r="AG55" i="23" s="1"/>
  <c r="AG40" i="23"/>
  <c r="AG44" i="23"/>
  <c r="AG45" i="23"/>
  <c r="AJ26" i="23"/>
  <c r="AM66" i="23" a="1"/>
  <c r="AM66" i="23" s="1"/>
  <c r="AK66" i="23" s="1"/>
  <c r="AM67" i="23" a="1"/>
  <c r="AM67" i="23" s="1"/>
  <c r="AG67" i="23" s="1"/>
  <c r="AM64" i="23" a="1"/>
  <c r="AM64" i="23" s="1"/>
  <c r="AK64" i="23" s="1"/>
  <c r="AK50" i="23"/>
  <c r="AG50" i="23"/>
  <c r="AG46" i="23"/>
  <c r="AG49" i="23"/>
  <c r="AK49" i="23"/>
  <c r="AG53" i="23"/>
  <c r="AH53" i="23" s="1"/>
  <c r="AI53" i="23" s="1"/>
  <c r="AJ53" i="23" s="1"/>
  <c r="AJ22" i="23"/>
  <c r="AJ24" i="23"/>
  <c r="AJ25" i="23"/>
  <c r="AJ23" i="23"/>
  <c r="AJ27" i="23"/>
  <c r="F27" i="5"/>
  <c r="B17" i="5" s="1"/>
  <c r="F25" i="5"/>
  <c r="F26" i="5"/>
  <c r="K275" i="2"/>
  <c r="K293" i="2"/>
  <c r="K315" i="2"/>
  <c r="K316" i="2"/>
  <c r="K317" i="2"/>
  <c r="K318" i="2"/>
  <c r="K322" i="2"/>
  <c r="K323" i="2"/>
  <c r="K324" i="2"/>
  <c r="K427" i="2"/>
  <c r="K435" i="2"/>
  <c r="K458" i="2"/>
  <c r="K479" i="2"/>
  <c r="K480" i="2"/>
  <c r="K481" i="2"/>
  <c r="K487" i="2"/>
  <c r="K488" i="2"/>
  <c r="K490" i="2"/>
  <c r="K492" i="2"/>
  <c r="K494" i="2"/>
  <c r="K495" i="2"/>
  <c r="K496" i="2"/>
  <c r="K497" i="2"/>
  <c r="K498" i="2"/>
  <c r="K499" i="2"/>
  <c r="K501" i="2"/>
  <c r="K502" i="2"/>
  <c r="K507" i="2"/>
  <c r="K510" i="2"/>
  <c r="K594" i="2"/>
  <c r="K608" i="2"/>
  <c r="K609" i="2"/>
  <c r="K610" i="2"/>
  <c r="K611" i="2"/>
  <c r="K612" i="2"/>
  <c r="K613" i="2"/>
  <c r="K614" i="2"/>
  <c r="K615" i="2"/>
  <c r="K616" i="2"/>
  <c r="K617" i="2"/>
  <c r="K618" i="2"/>
  <c r="K619" i="2"/>
  <c r="K623" i="2"/>
  <c r="K624" i="2"/>
  <c r="K627" i="2"/>
  <c r="K628" i="2"/>
  <c r="K629" i="2"/>
  <c r="K631" i="2"/>
  <c r="K632" i="2"/>
  <c r="K634" i="2"/>
  <c r="K635" i="2"/>
  <c r="K638" i="2"/>
  <c r="K640" i="2"/>
  <c r="K642" i="2"/>
  <c r="K645" i="2"/>
  <c r="K646" i="2"/>
  <c r="K647" i="2"/>
  <c r="K648" i="2"/>
  <c r="K650" i="2"/>
  <c r="K652" i="2"/>
  <c r="K656" i="2"/>
  <c r="K657" i="2"/>
  <c r="K666" i="2"/>
  <c r="K667" i="2"/>
  <c r="K668" i="2"/>
  <c r="K669" i="2"/>
  <c r="K735" i="2"/>
  <c r="K736" i="2"/>
  <c r="K738" i="2"/>
  <c r="K739" i="2"/>
  <c r="K741" i="2"/>
  <c r="K742" i="2"/>
  <c r="K743" i="2"/>
  <c r="K744" i="2"/>
  <c r="K745" i="2"/>
  <c r="K746" i="2"/>
  <c r="K747" i="2"/>
  <c r="K748" i="2"/>
  <c r="K749" i="2"/>
  <c r="K750" i="2"/>
  <c r="K751" i="2"/>
  <c r="K752" i="2"/>
  <c r="K753" i="2"/>
  <c r="K754" i="2"/>
  <c r="K755" i="2"/>
  <c r="K757" i="2"/>
  <c r="K758" i="2"/>
  <c r="K759" i="2"/>
  <c r="K760" i="2"/>
  <c r="K761" i="2"/>
  <c r="K765" i="2"/>
  <c r="K768" i="2"/>
  <c r="K769" i="2"/>
  <c r="K770" i="2"/>
  <c r="K771" i="2"/>
  <c r="K773" i="2"/>
  <c r="K774" i="2"/>
  <c r="K776" i="2"/>
  <c r="K781" i="2"/>
  <c r="K782" i="2"/>
  <c r="K783" i="2"/>
  <c r="K784" i="2"/>
  <c r="K785" i="2"/>
  <c r="K787" i="2"/>
  <c r="K790" i="2"/>
  <c r="K792" i="2"/>
  <c r="K796" i="2"/>
  <c r="K799" i="2"/>
  <c r="K801" i="2"/>
  <c r="K802" i="2"/>
  <c r="K804" i="2"/>
  <c r="K807" i="2"/>
  <c r="K811" i="2"/>
  <c r="K817" i="2"/>
  <c r="K824" i="2"/>
  <c r="K826" i="2"/>
  <c r="K869" i="2"/>
  <c r="K886" i="2"/>
  <c r="K887" i="2"/>
  <c r="K889" i="2"/>
  <c r="K890" i="2"/>
  <c r="K893" i="2"/>
  <c r="K894" i="2"/>
  <c r="K895" i="2"/>
  <c r="K897" i="2"/>
  <c r="K901" i="2"/>
  <c r="K902" i="2"/>
  <c r="K906" i="2"/>
  <c r="K907" i="2"/>
  <c r="K916" i="2"/>
  <c r="K917" i="2"/>
  <c r="K918" i="2"/>
  <c r="K919" i="2"/>
  <c r="K920" i="2"/>
  <c r="K921" i="2"/>
  <c r="K922" i="2"/>
  <c r="K923" i="2"/>
  <c r="K924" i="2"/>
  <c r="K925" i="2"/>
  <c r="K926" i="2"/>
  <c r="K927" i="2"/>
  <c r="K928" i="2"/>
  <c r="K929" i="2"/>
  <c r="K930" i="2"/>
  <c r="AK65" i="23" l="1"/>
  <c r="AG83" i="23"/>
  <c r="AG75" i="23"/>
  <c r="AK78" i="23"/>
  <c r="AK77" i="23"/>
  <c r="AM88" i="23" a="1"/>
  <c r="AM88" i="23" s="1"/>
  <c r="AM95" i="23" a="1"/>
  <c r="AM95" i="23" s="1"/>
  <c r="AK95" i="23" s="1"/>
  <c r="AM100" i="23" a="1"/>
  <c r="AM100" i="23" s="1"/>
  <c r="AG100" i="23" s="1"/>
  <c r="AJ28" i="23"/>
  <c r="AM92" i="23" a="1"/>
  <c r="AM92" i="23" s="1"/>
  <c r="AG92" i="23" s="1"/>
  <c r="AM98" i="23" a="1"/>
  <c r="AM98" i="23" s="1"/>
  <c r="AG98" i="23" s="1"/>
  <c r="AM99" i="23" a="1"/>
  <c r="AM99" i="23" s="1"/>
  <c r="AG99" i="23" s="1"/>
  <c r="AM97" i="23" a="1"/>
  <c r="AM97" i="23" s="1"/>
  <c r="AK97" i="23" s="1"/>
  <c r="AM89" i="23" a="1"/>
  <c r="AM89" i="23" s="1"/>
  <c r="AD129" i="23"/>
  <c r="AE129" i="23" s="1"/>
  <c r="AD130" i="23"/>
  <c r="AE130" i="23" s="1"/>
  <c r="AD121" i="23"/>
  <c r="AE121" i="23" s="1"/>
  <c r="AD125" i="23"/>
  <c r="AE125" i="23" s="1"/>
  <c r="AD122" i="23"/>
  <c r="AE122" i="23" s="1"/>
  <c r="AD128" i="23"/>
  <c r="AE128" i="23" s="1"/>
  <c r="AD123" i="23"/>
  <c r="AE123" i="23" s="1"/>
  <c r="AD135" i="23"/>
  <c r="AE135" i="23" s="1"/>
  <c r="AD134" i="23"/>
  <c r="AE134" i="23" s="1"/>
  <c r="AD136" i="23"/>
  <c r="AE136" i="23" s="1"/>
  <c r="AD126" i="23"/>
  <c r="AE126" i="23" s="1"/>
  <c r="AD131" i="23"/>
  <c r="AE131" i="23" s="1"/>
  <c r="AD132" i="23"/>
  <c r="AE132" i="23" s="1"/>
  <c r="AD133" i="23"/>
  <c r="AE133" i="23" s="1"/>
  <c r="AD124" i="23"/>
  <c r="AE124" i="23" s="1"/>
  <c r="AD127" i="23"/>
  <c r="AE127" i="23" s="1"/>
  <c r="AG70" i="23"/>
  <c r="AM96" i="23" a="1"/>
  <c r="AM96" i="23" s="1"/>
  <c r="AG79" i="23"/>
  <c r="AK79" i="23"/>
  <c r="AG71" i="23"/>
  <c r="AM102" i="23" a="1"/>
  <c r="AM102" i="23" s="1"/>
  <c r="AM93" i="23" a="1"/>
  <c r="AM93" i="23" s="1"/>
  <c r="AG82" i="23"/>
  <c r="AK82" i="23"/>
  <c r="AG73" i="23"/>
  <c r="AM91" i="23" a="1"/>
  <c r="AM91" i="23" s="1"/>
  <c r="AG87" i="23"/>
  <c r="AH87" i="23" s="1"/>
  <c r="AG80" i="23"/>
  <c r="AK80" i="23"/>
  <c r="AF111" i="23"/>
  <c r="AF109" i="23"/>
  <c r="AF108" i="23"/>
  <c r="AF110" i="23"/>
  <c r="AF107" i="23"/>
  <c r="AF105" i="23"/>
  <c r="AF104" i="23"/>
  <c r="AM104" i="23" s="1" a="1"/>
  <c r="AM104" i="23" s="1"/>
  <c r="AF106" i="23"/>
  <c r="AF119" i="23"/>
  <c r="AF117" i="23"/>
  <c r="AF116" i="23"/>
  <c r="AF118" i="23"/>
  <c r="AF115" i="23"/>
  <c r="AF113" i="23"/>
  <c r="AF112" i="23"/>
  <c r="AF114" i="23"/>
  <c r="AG84" i="23"/>
  <c r="AK84" i="23"/>
  <c r="AD137" i="23"/>
  <c r="BH2" i="5"/>
  <c r="BH3" i="5" s="1"/>
  <c r="BH4" i="5" s="1"/>
  <c r="BH5" i="5" s="1"/>
  <c r="BH6" i="5" s="1"/>
  <c r="BH7" i="5" s="1"/>
  <c r="BH8" i="5" s="1"/>
  <c r="BH9" i="5" s="1"/>
  <c r="BH10" i="5" s="1"/>
  <c r="BH11" i="5" s="1"/>
  <c r="BH12" i="5" s="1"/>
  <c r="BH13" i="5" s="1"/>
  <c r="BH14" i="5" s="1"/>
  <c r="BH15" i="5" s="1"/>
  <c r="BH16" i="5" s="1"/>
  <c r="BH17" i="5" s="1"/>
  <c r="BH18" i="5" s="1"/>
  <c r="BH19" i="5" s="1"/>
  <c r="BH20" i="5" s="1"/>
  <c r="BH21" i="5" s="1"/>
  <c r="BH22" i="5" s="1"/>
  <c r="BH23" i="5" s="1"/>
  <c r="BH24" i="5" s="1"/>
  <c r="BH25" i="5" s="1"/>
  <c r="BH26" i="5" s="1"/>
  <c r="BH27" i="5" s="1"/>
  <c r="BH28" i="5" s="1"/>
  <c r="BH29" i="5" s="1"/>
  <c r="BH30" i="5" s="1"/>
  <c r="BH31" i="5" s="1"/>
  <c r="BH32" i="5" s="1"/>
  <c r="BH33" i="5" s="1"/>
  <c r="BH34" i="5" s="1"/>
  <c r="BH35" i="5" s="1"/>
  <c r="BH36" i="5" s="1"/>
  <c r="BH37" i="5" s="1"/>
  <c r="BH38" i="5" s="1"/>
  <c r="BH39" i="5" s="1"/>
  <c r="BH40" i="5" s="1"/>
  <c r="BH41" i="5" s="1"/>
  <c r="BH42" i="5" s="1"/>
  <c r="BH43" i="5" s="1"/>
  <c r="BH44" i="5" s="1"/>
  <c r="BH45" i="5" s="1"/>
  <c r="BH46" i="5" s="1"/>
  <c r="BH47" i="5" s="1"/>
  <c r="BH48" i="5" s="1"/>
  <c r="BH49" i="5" s="1"/>
  <c r="BH50" i="5" s="1"/>
  <c r="BH51" i="5" s="1"/>
  <c r="BH52" i="5" s="1"/>
  <c r="BH53" i="5" s="1"/>
  <c r="BH54" i="5" s="1"/>
  <c r="BH55" i="5" s="1"/>
  <c r="BH56" i="5" s="1"/>
  <c r="BH57" i="5" s="1"/>
  <c r="BH58" i="5" s="1"/>
  <c r="BH59" i="5" s="1"/>
  <c r="BH60" i="5" s="1"/>
  <c r="BH61" i="5" s="1"/>
  <c r="BH62" i="5" s="1"/>
  <c r="BH63" i="5" s="1"/>
  <c r="BH64" i="5" s="1"/>
  <c r="BH65" i="5" s="1"/>
  <c r="BH66" i="5" s="1"/>
  <c r="BH67" i="5" s="1"/>
  <c r="BH68" i="5" s="1"/>
  <c r="BH69" i="5" s="1"/>
  <c r="BH70" i="5" s="1"/>
  <c r="BH71" i="5" s="1"/>
  <c r="BH72" i="5" s="1"/>
  <c r="BH73" i="5" s="1"/>
  <c r="BH74" i="5" s="1"/>
  <c r="BH75" i="5" s="1"/>
  <c r="BH76" i="5" s="1"/>
  <c r="BH77" i="5" s="1"/>
  <c r="BH78" i="5" s="1"/>
  <c r="BH79" i="5" s="1"/>
  <c r="BH80" i="5" s="1"/>
  <c r="BH81" i="5" s="1"/>
  <c r="BH82" i="5" s="1"/>
  <c r="BH83" i="5" s="1"/>
  <c r="BH84" i="5" s="1"/>
  <c r="BH85" i="5" s="1"/>
  <c r="BH86" i="5" s="1"/>
  <c r="BH87" i="5" s="1"/>
  <c r="BH88" i="5" s="1"/>
  <c r="BH89" i="5" s="1"/>
  <c r="BH90" i="5" s="1"/>
  <c r="BH91" i="5" s="1"/>
  <c r="BH92" i="5" s="1"/>
  <c r="BH93" i="5" s="1"/>
  <c r="BH94" i="5" s="1"/>
  <c r="BH95" i="5" s="1"/>
  <c r="BH96" i="5" s="1"/>
  <c r="BH97" i="5" s="1"/>
  <c r="BH98" i="5" s="1"/>
  <c r="BH99" i="5" s="1"/>
  <c r="BH100" i="5" s="1"/>
  <c r="BH101" i="5" s="1"/>
  <c r="BH102" i="5" s="1"/>
  <c r="BH103" i="5" s="1"/>
  <c r="BH104" i="5" s="1"/>
  <c r="BH105" i="5" s="1"/>
  <c r="BH106" i="5" s="1"/>
  <c r="BH107" i="5" s="1"/>
  <c r="BH108" i="5" s="1"/>
  <c r="BH109" i="5" s="1"/>
  <c r="BH110" i="5" s="1"/>
  <c r="BH111" i="5" s="1"/>
  <c r="BH112" i="5" s="1"/>
  <c r="BH113" i="5" s="1"/>
  <c r="BH114" i="5" s="1"/>
  <c r="BH115" i="5" s="1"/>
  <c r="BH116" i="5" s="1"/>
  <c r="BH117" i="5" s="1"/>
  <c r="BH118" i="5" s="1"/>
  <c r="BH119" i="5" s="1"/>
  <c r="BH120" i="5" s="1"/>
  <c r="BH121" i="5" s="1"/>
  <c r="BH122" i="5" s="1"/>
  <c r="BH123" i="5" s="1"/>
  <c r="BH124" i="5" s="1"/>
  <c r="BH125" i="5" s="1"/>
  <c r="BH126" i="5" s="1"/>
  <c r="BH127" i="5" s="1"/>
  <c r="BH128" i="5" s="1"/>
  <c r="BH129" i="5" s="1"/>
  <c r="BH130" i="5" s="1"/>
  <c r="BH131" i="5" s="1"/>
  <c r="BH132" i="5" s="1"/>
  <c r="BH133" i="5" s="1"/>
  <c r="BH134" i="5" s="1"/>
  <c r="BH135" i="5" s="1"/>
  <c r="BH136" i="5" s="1"/>
  <c r="BH137" i="5" s="1"/>
  <c r="BH138" i="5" s="1"/>
  <c r="BH139" i="5" s="1"/>
  <c r="BH140" i="5" s="1"/>
  <c r="BH141" i="5" s="1"/>
  <c r="BH142" i="5" s="1"/>
  <c r="BH143" i="5" s="1"/>
  <c r="BH144" i="5" s="1"/>
  <c r="BH145" i="5" s="1"/>
  <c r="BH146" i="5" s="1"/>
  <c r="BH147" i="5" s="1"/>
  <c r="BH148" i="5" s="1"/>
  <c r="BH149" i="5" s="1"/>
  <c r="BH150" i="5" s="1"/>
  <c r="BH151" i="5" s="1"/>
  <c r="BH152" i="5" s="1"/>
  <c r="BH153" i="5" s="1"/>
  <c r="BH154" i="5" s="1"/>
  <c r="BH155" i="5" s="1"/>
  <c r="BH156" i="5" s="1"/>
  <c r="BH157" i="5" s="1"/>
  <c r="BH158" i="5" s="1"/>
  <c r="BH159" i="5" s="1"/>
  <c r="BH160" i="5" s="1"/>
  <c r="BH161" i="5" s="1"/>
  <c r="BI1" i="5"/>
  <c r="J11" i="23"/>
  <c r="AK81" i="23"/>
  <c r="AG81" i="23"/>
  <c r="AM90" i="23" a="1"/>
  <c r="AM90" i="23" s="1"/>
  <c r="AM101" i="23" a="1"/>
  <c r="AM101" i="23" s="1"/>
  <c r="AM94" i="23" a="1"/>
  <c r="AM94" i="23" s="1"/>
  <c r="AK76" i="23"/>
  <c r="AG76" i="23"/>
  <c r="AK85" i="23"/>
  <c r="AG85" i="23"/>
  <c r="AJ7" i="23"/>
  <c r="AJ9" i="23"/>
  <c r="AJ5" i="23"/>
  <c r="AJ6" i="23"/>
  <c r="AJ11" i="23"/>
  <c r="AG58" i="23"/>
  <c r="AG57" i="23"/>
  <c r="AJ31" i="23"/>
  <c r="B13" i="23"/>
  <c r="AJ8" i="23"/>
  <c r="AJ12" i="23"/>
  <c r="AJ10" i="23"/>
  <c r="AJ30" i="23"/>
  <c r="AJ14" i="23"/>
  <c r="AJ32" i="23"/>
  <c r="AJ33" i="23"/>
  <c r="C20" i="23"/>
  <c r="AH38" i="23"/>
  <c r="AI38" i="23" s="1"/>
  <c r="AJ38" i="23" s="1"/>
  <c r="AH39" i="23"/>
  <c r="AI39" i="23" s="1"/>
  <c r="B20" i="23"/>
  <c r="AH40" i="23"/>
  <c r="AI40" i="23" s="1"/>
  <c r="B12" i="23"/>
  <c r="C13" i="23"/>
  <c r="AG68" i="23"/>
  <c r="AG62" i="23"/>
  <c r="AG63" i="23"/>
  <c r="AJ34" i="23"/>
  <c r="B18" i="23"/>
  <c r="AK67" i="23"/>
  <c r="AJ16" i="23"/>
  <c r="AJ15" i="23"/>
  <c r="B21" i="23"/>
  <c r="B17" i="23"/>
  <c r="AJ17" i="23"/>
  <c r="B14" i="23"/>
  <c r="AJ13" i="23"/>
  <c r="AG54" i="23"/>
  <c r="AH54" i="23" s="1"/>
  <c r="AI54" i="23" s="1"/>
  <c r="AJ54" i="23" s="1"/>
  <c r="AG64" i="23"/>
  <c r="B15" i="23"/>
  <c r="B16" i="23"/>
  <c r="AG66" i="23"/>
  <c r="C21" i="23"/>
  <c r="AH45" i="23"/>
  <c r="AI45" i="23" s="1"/>
  <c r="C15" i="23"/>
  <c r="C18" i="23"/>
  <c r="C12" i="23"/>
  <c r="C16" i="23"/>
  <c r="AG56" i="23"/>
  <c r="AH50" i="23"/>
  <c r="AI50" i="23" s="1"/>
  <c r="AH41" i="23"/>
  <c r="AH47" i="23"/>
  <c r="AI47" i="23" s="1"/>
  <c r="AH51" i="23"/>
  <c r="AI51" i="23" s="1"/>
  <c r="AH42" i="23"/>
  <c r="AI42" i="23" s="1"/>
  <c r="AH43" i="23"/>
  <c r="AI43" i="23" s="1"/>
  <c r="AH48" i="23"/>
  <c r="AI48" i="23" s="1"/>
  <c r="C17" i="23"/>
  <c r="C14" i="23"/>
  <c r="AH49" i="23"/>
  <c r="AI49" i="23" s="1"/>
  <c r="AH46" i="23"/>
  <c r="AI46" i="23" s="1"/>
  <c r="AH44" i="23"/>
  <c r="AI44" i="23" s="1"/>
  <c r="L83" i="23"/>
  <c r="AK20" i="23" l="1"/>
  <c r="AP2" i="23"/>
  <c r="AG88" i="23"/>
  <c r="AH88" i="23" s="1"/>
  <c r="AI88" i="23" s="1"/>
  <c r="AG95" i="23"/>
  <c r="AK99" i="23"/>
  <c r="AK98" i="23"/>
  <c r="AK100" i="23"/>
  <c r="AG89" i="23"/>
  <c r="AG97" i="23"/>
  <c r="AM114" i="23" a="1"/>
  <c r="AM114" i="23" s="1"/>
  <c r="AG114" i="23" s="1"/>
  <c r="AM109" i="23" a="1"/>
  <c r="AM109" i="23" s="1"/>
  <c r="AM115" i="23" a="1"/>
  <c r="AM115" i="23" s="1"/>
  <c r="AG115" i="23" s="1"/>
  <c r="AM113" i="23" a="1"/>
  <c r="AM113" i="23" s="1"/>
  <c r="AH81" i="23"/>
  <c r="AI81" i="23" s="1"/>
  <c r="AM112" i="23" a="1"/>
  <c r="AM112" i="23" s="1"/>
  <c r="AM116" i="23" a="1"/>
  <c r="AM116" i="23" s="1"/>
  <c r="AM108" i="23" a="1"/>
  <c r="AM108" i="23" s="1"/>
  <c r="AG108" i="23" s="1"/>
  <c r="AM110" i="23" a="1"/>
  <c r="AM110" i="23" s="1"/>
  <c r="AM118" i="23" a="1"/>
  <c r="AM118" i="23" s="1"/>
  <c r="AK118" i="23" s="1"/>
  <c r="AH79" i="23"/>
  <c r="AI79" i="23" s="1"/>
  <c r="AG91" i="23"/>
  <c r="AH82" i="23"/>
  <c r="AI82" i="23" s="1"/>
  <c r="AH85" i="23"/>
  <c r="AI85" i="23" s="1"/>
  <c r="AK94" i="23"/>
  <c r="AG94" i="23"/>
  <c r="AD139" i="23"/>
  <c r="AE139" i="23" s="1"/>
  <c r="AD150" i="23"/>
  <c r="AE150" i="23" s="1"/>
  <c r="AD145" i="23"/>
  <c r="AE145" i="23" s="1"/>
  <c r="AD144" i="23"/>
  <c r="AE144" i="23" s="1"/>
  <c r="AD151" i="23"/>
  <c r="AE151" i="23" s="1"/>
  <c r="AD146" i="23"/>
  <c r="AE146" i="23" s="1"/>
  <c r="AD140" i="23"/>
  <c r="AE140" i="23" s="1"/>
  <c r="AD141" i="23"/>
  <c r="AE141" i="23" s="1"/>
  <c r="AD148" i="23"/>
  <c r="AE148" i="23" s="1"/>
  <c r="AD149" i="23"/>
  <c r="AE149" i="23" s="1"/>
  <c r="AD143" i="23"/>
  <c r="AE143" i="23" s="1"/>
  <c r="AD138" i="23"/>
  <c r="AE138" i="23" s="1"/>
  <c r="AD153" i="23"/>
  <c r="AE153" i="23" s="1"/>
  <c r="AD147" i="23"/>
  <c r="AE147" i="23" s="1"/>
  <c r="AD152" i="23"/>
  <c r="AE152" i="23" s="1"/>
  <c r="AD142" i="23"/>
  <c r="AE142" i="23" s="1"/>
  <c r="AM105" i="23" a="1"/>
  <c r="AM105" i="23" s="1"/>
  <c r="AM106" i="23" a="1"/>
  <c r="AM106" i="23" s="1"/>
  <c r="AH80" i="23"/>
  <c r="AI80" i="23" s="1"/>
  <c r="AH73" i="23"/>
  <c r="AI73" i="23" s="1"/>
  <c r="AG93" i="23"/>
  <c r="AK93" i="23"/>
  <c r="AF124" i="23"/>
  <c r="AF122" i="23"/>
  <c r="AF121" i="23"/>
  <c r="AM121" i="23" s="1" a="1"/>
  <c r="AM121" i="23" s="1"/>
  <c r="AF123" i="23"/>
  <c r="AF136" i="23"/>
  <c r="AF134" i="23"/>
  <c r="AF133" i="23"/>
  <c r="AF135" i="23"/>
  <c r="AF126" i="23"/>
  <c r="AF127" i="23"/>
  <c r="AF132" i="23"/>
  <c r="AF130" i="23"/>
  <c r="AF129" i="23"/>
  <c r="AF131" i="23"/>
  <c r="AF128" i="23"/>
  <c r="AF125" i="23"/>
  <c r="AK101" i="23"/>
  <c r="AG101" i="23"/>
  <c r="AM119" i="23" a="1"/>
  <c r="AM119" i="23" s="1"/>
  <c r="AM117" i="23" a="1"/>
  <c r="AM117" i="23" s="1"/>
  <c r="AK102" i="23"/>
  <c r="AG102" i="23"/>
  <c r="AH70" i="23"/>
  <c r="AH74" i="23"/>
  <c r="AI74" i="23" s="1"/>
  <c r="AH83" i="23"/>
  <c r="AI83" i="23" s="1"/>
  <c r="AH78" i="23"/>
  <c r="AI78" i="23" s="1"/>
  <c r="AH75" i="23"/>
  <c r="AI75" i="23" s="1"/>
  <c r="AH72" i="23"/>
  <c r="AI72" i="23" s="1"/>
  <c r="AH77" i="23"/>
  <c r="AI77" i="23" s="1"/>
  <c r="AH76" i="23"/>
  <c r="AI76" i="23" s="1"/>
  <c r="AG90" i="23"/>
  <c r="AD154" i="23"/>
  <c r="K11" i="23"/>
  <c r="BI2" i="5"/>
  <c r="BI3" i="5" s="1"/>
  <c r="BI4" i="5" s="1"/>
  <c r="BI5" i="5" s="1"/>
  <c r="BI6" i="5" s="1"/>
  <c r="BI7" i="5" s="1"/>
  <c r="BI8" i="5" s="1"/>
  <c r="BI9" i="5" s="1"/>
  <c r="BI10" i="5" s="1"/>
  <c r="BI11" i="5" s="1"/>
  <c r="BI12" i="5" s="1"/>
  <c r="BI13" i="5" s="1"/>
  <c r="BI14" i="5" s="1"/>
  <c r="BI15" i="5" s="1"/>
  <c r="BI16" i="5" s="1"/>
  <c r="BI17" i="5" s="1"/>
  <c r="BI18" i="5" s="1"/>
  <c r="BI19" i="5" s="1"/>
  <c r="BI20" i="5" s="1"/>
  <c r="BI21" i="5" s="1"/>
  <c r="BI22" i="5" s="1"/>
  <c r="BI23" i="5" s="1"/>
  <c r="BI24" i="5" s="1"/>
  <c r="BI25" i="5" s="1"/>
  <c r="BI26" i="5" s="1"/>
  <c r="BI27" i="5" s="1"/>
  <c r="BI28" i="5" s="1"/>
  <c r="BI29" i="5" s="1"/>
  <c r="BI30" i="5" s="1"/>
  <c r="BI31" i="5" s="1"/>
  <c r="BI32" i="5" s="1"/>
  <c r="BI33" i="5" s="1"/>
  <c r="BI34" i="5" s="1"/>
  <c r="BI35" i="5" s="1"/>
  <c r="BI36" i="5" s="1"/>
  <c r="BI37" i="5" s="1"/>
  <c r="BI38" i="5" s="1"/>
  <c r="BI39" i="5" s="1"/>
  <c r="BI40" i="5" s="1"/>
  <c r="BI41" i="5" s="1"/>
  <c r="BI42" i="5" s="1"/>
  <c r="BI43" i="5" s="1"/>
  <c r="BI44" i="5" s="1"/>
  <c r="BI45" i="5" s="1"/>
  <c r="BI46" i="5" s="1"/>
  <c r="BI47" i="5" s="1"/>
  <c r="BI48" i="5" s="1"/>
  <c r="BI49" i="5" s="1"/>
  <c r="BI50" i="5" s="1"/>
  <c r="BI51" i="5" s="1"/>
  <c r="BI52" i="5" s="1"/>
  <c r="BI53" i="5" s="1"/>
  <c r="BI54" i="5" s="1"/>
  <c r="BI55" i="5" s="1"/>
  <c r="BI56" i="5" s="1"/>
  <c r="BI57" i="5" s="1"/>
  <c r="BI58" i="5" s="1"/>
  <c r="BI59" i="5" s="1"/>
  <c r="BI60" i="5" s="1"/>
  <c r="BI61" i="5" s="1"/>
  <c r="BI62" i="5" s="1"/>
  <c r="BI63" i="5" s="1"/>
  <c r="BI64" i="5" s="1"/>
  <c r="BI65" i="5" s="1"/>
  <c r="BI66" i="5" s="1"/>
  <c r="BI67" i="5" s="1"/>
  <c r="BI68" i="5" s="1"/>
  <c r="BI69" i="5" s="1"/>
  <c r="BI70" i="5" s="1"/>
  <c r="BI71" i="5" s="1"/>
  <c r="BI72" i="5" s="1"/>
  <c r="BI73" i="5" s="1"/>
  <c r="BI74" i="5" s="1"/>
  <c r="BI75" i="5" s="1"/>
  <c r="BI76" i="5" s="1"/>
  <c r="BI77" i="5" s="1"/>
  <c r="BI78" i="5" s="1"/>
  <c r="BI79" i="5" s="1"/>
  <c r="BI80" i="5" s="1"/>
  <c r="BI81" i="5" s="1"/>
  <c r="BI82" i="5" s="1"/>
  <c r="BI83" i="5" s="1"/>
  <c r="BI84" i="5" s="1"/>
  <c r="BI85" i="5" s="1"/>
  <c r="BI86" i="5" s="1"/>
  <c r="BI87" i="5" s="1"/>
  <c r="BI88" i="5" s="1"/>
  <c r="BI89" i="5" s="1"/>
  <c r="BI90" i="5" s="1"/>
  <c r="BI91" i="5" s="1"/>
  <c r="BI92" i="5" s="1"/>
  <c r="BI93" i="5" s="1"/>
  <c r="BI94" i="5" s="1"/>
  <c r="BI95" i="5" s="1"/>
  <c r="BI96" i="5" s="1"/>
  <c r="BI97" i="5" s="1"/>
  <c r="BI98" i="5" s="1"/>
  <c r="BI99" i="5" s="1"/>
  <c r="BI100" i="5" s="1"/>
  <c r="BI101" i="5" s="1"/>
  <c r="BI102" i="5" s="1"/>
  <c r="BI103" i="5" s="1"/>
  <c r="BI104" i="5" s="1"/>
  <c r="BI105" i="5" s="1"/>
  <c r="BI106" i="5" s="1"/>
  <c r="BI107" i="5" s="1"/>
  <c r="BI108" i="5" s="1"/>
  <c r="BI109" i="5" s="1"/>
  <c r="BI110" i="5" s="1"/>
  <c r="BI111" i="5" s="1"/>
  <c r="BI112" i="5" s="1"/>
  <c r="BI113" i="5" s="1"/>
  <c r="BI114" i="5" s="1"/>
  <c r="BI115" i="5" s="1"/>
  <c r="BI116" i="5" s="1"/>
  <c r="BI117" i="5" s="1"/>
  <c r="BI118" i="5" s="1"/>
  <c r="BI119" i="5" s="1"/>
  <c r="BI120" i="5" s="1"/>
  <c r="BI121" i="5" s="1"/>
  <c r="BI122" i="5" s="1"/>
  <c r="BI123" i="5" s="1"/>
  <c r="BI124" i="5" s="1"/>
  <c r="BI125" i="5" s="1"/>
  <c r="BI126" i="5" s="1"/>
  <c r="BI127" i="5" s="1"/>
  <c r="BI128" i="5" s="1"/>
  <c r="BI129" i="5" s="1"/>
  <c r="BI130" i="5" s="1"/>
  <c r="BI131" i="5" s="1"/>
  <c r="BI132" i="5" s="1"/>
  <c r="BI133" i="5" s="1"/>
  <c r="BI134" i="5" s="1"/>
  <c r="BI135" i="5" s="1"/>
  <c r="BI136" i="5" s="1"/>
  <c r="BI137" i="5" s="1"/>
  <c r="BI138" i="5" s="1"/>
  <c r="BI139" i="5" s="1"/>
  <c r="BI140" i="5" s="1"/>
  <c r="BI141" i="5" s="1"/>
  <c r="BI142" i="5" s="1"/>
  <c r="BI143" i="5" s="1"/>
  <c r="BI144" i="5" s="1"/>
  <c r="BI145" i="5" s="1"/>
  <c r="BI146" i="5" s="1"/>
  <c r="BI147" i="5" s="1"/>
  <c r="BI148" i="5" s="1"/>
  <c r="BI149" i="5" s="1"/>
  <c r="BI150" i="5" s="1"/>
  <c r="BI151" i="5" s="1"/>
  <c r="BI152" i="5" s="1"/>
  <c r="BI153" i="5" s="1"/>
  <c r="BI154" i="5" s="1"/>
  <c r="BI155" i="5" s="1"/>
  <c r="BI156" i="5" s="1"/>
  <c r="BI157" i="5" s="1"/>
  <c r="BI158" i="5" s="1"/>
  <c r="BI159" i="5" s="1"/>
  <c r="BI160" i="5" s="1"/>
  <c r="BI161" i="5" s="1"/>
  <c r="AH84" i="23"/>
  <c r="AI84" i="23" s="1"/>
  <c r="AM107" i="23" a="1"/>
  <c r="AM107" i="23" s="1"/>
  <c r="AM111" i="23" a="1"/>
  <c r="AM111" i="23" s="1"/>
  <c r="AG104" i="23"/>
  <c r="AH104" i="23" s="1"/>
  <c r="AI104" i="23" s="1"/>
  <c r="AJ104" i="23" s="1"/>
  <c r="AI87" i="23"/>
  <c r="AJ87" i="23" s="1"/>
  <c r="AH71" i="23"/>
  <c r="AI71" i="23" s="1"/>
  <c r="AK96" i="23"/>
  <c r="AG96" i="23"/>
  <c r="AK19" i="23"/>
  <c r="AP25" i="23"/>
  <c r="C91" i="23"/>
  <c r="C73" i="23"/>
  <c r="AO5" i="23"/>
  <c r="B88" i="23"/>
  <c r="B70" i="23"/>
  <c r="AO7" i="23"/>
  <c r="B90" i="23"/>
  <c r="B72" i="23"/>
  <c r="B67" i="23"/>
  <c r="B85" i="23"/>
  <c r="AO24" i="23"/>
  <c r="C90" i="23"/>
  <c r="C72" i="23"/>
  <c r="AO23" i="23"/>
  <c r="C71" i="23"/>
  <c r="C89" i="23"/>
  <c r="AO28" i="23"/>
  <c r="C94" i="23"/>
  <c r="C76" i="23"/>
  <c r="AP4" i="23"/>
  <c r="B87" i="23"/>
  <c r="B69" i="23"/>
  <c r="AP11" i="23"/>
  <c r="B94" i="23"/>
  <c r="B76" i="23"/>
  <c r="AP3" i="23"/>
  <c r="B86" i="23"/>
  <c r="B68" i="23"/>
  <c r="AO2" i="23"/>
  <c r="AP19" i="23"/>
  <c r="C85" i="23"/>
  <c r="C67" i="23"/>
  <c r="AP10" i="23"/>
  <c r="B93" i="23"/>
  <c r="B75" i="23"/>
  <c r="AP27" i="23"/>
  <c r="C93" i="23"/>
  <c r="C75" i="23"/>
  <c r="C87" i="23"/>
  <c r="C69" i="23"/>
  <c r="AO22" i="23"/>
  <c r="C88" i="23"/>
  <c r="C70" i="23"/>
  <c r="AQ8" i="2"/>
  <c r="AO6" i="23"/>
  <c r="B71" i="23"/>
  <c r="B89" i="23"/>
  <c r="AO8" i="23"/>
  <c r="B91" i="23"/>
  <c r="B73" i="23"/>
  <c r="AP20" i="23"/>
  <c r="C86" i="23"/>
  <c r="C68" i="23"/>
  <c r="AO27" i="23"/>
  <c r="AQ10" i="2"/>
  <c r="AO3" i="23"/>
  <c r="AO20" i="23"/>
  <c r="AP22" i="23"/>
  <c r="AJ39" i="23"/>
  <c r="AJ40" i="23"/>
  <c r="AQ9" i="2"/>
  <c r="AO10" i="23"/>
  <c r="C19" i="23"/>
  <c r="AK21" i="23" s="1"/>
  <c r="AO11" i="23"/>
  <c r="AP8" i="23"/>
  <c r="AH55" i="23"/>
  <c r="AI55" i="23" s="1"/>
  <c r="AQ6" i="2"/>
  <c r="AH68" i="23"/>
  <c r="AI68" i="23" s="1"/>
  <c r="AP6" i="23"/>
  <c r="AO4" i="23"/>
  <c r="AP23" i="23"/>
  <c r="AP28" i="23"/>
  <c r="B19" i="23"/>
  <c r="AP5" i="23"/>
  <c r="D12" i="23"/>
  <c r="D13" i="23"/>
  <c r="AP7" i="23"/>
  <c r="AO25" i="23"/>
  <c r="AH56" i="23"/>
  <c r="AI56" i="23" s="1"/>
  <c r="AH64" i="23"/>
  <c r="AI64" i="23" s="1"/>
  <c r="AH58" i="23"/>
  <c r="AI58" i="23" s="1"/>
  <c r="AH65" i="23"/>
  <c r="AI65" i="23" s="1"/>
  <c r="AO19" i="23"/>
  <c r="AQ5" i="2"/>
  <c r="AH67" i="23"/>
  <c r="AI67" i="23" s="1"/>
  <c r="AQ7" i="2"/>
  <c r="D17" i="23"/>
  <c r="AH66" i="23"/>
  <c r="AI66" i="23" s="1"/>
  <c r="AH63" i="23"/>
  <c r="AI63" i="23" s="1"/>
  <c r="D18" i="23"/>
  <c r="AH59" i="23"/>
  <c r="AI59" i="23" s="1"/>
  <c r="D16" i="23"/>
  <c r="AP24" i="23"/>
  <c r="AH57" i="23"/>
  <c r="AI57" i="23" s="1"/>
  <c r="AH60" i="23"/>
  <c r="AI60" i="23" s="1"/>
  <c r="AH62" i="23"/>
  <c r="AI62" i="23" s="1"/>
  <c r="AO21" i="23"/>
  <c r="AP21" i="23"/>
  <c r="D21" i="23"/>
  <c r="AH61" i="23"/>
  <c r="AI61" i="23" s="1"/>
  <c r="D20" i="23"/>
  <c r="D14" i="23"/>
  <c r="AI41" i="23"/>
  <c r="AJ49" i="23" s="1"/>
  <c r="D15" i="23"/>
  <c r="AK27" i="23"/>
  <c r="AK26" i="23"/>
  <c r="B1" i="23"/>
  <c r="AY36" i="2"/>
  <c r="AX36" i="2"/>
  <c r="AW36" i="2"/>
  <c r="AV36" i="2"/>
  <c r="AU36" i="2"/>
  <c r="AT36" i="2"/>
  <c r="AS36" i="2"/>
  <c r="AR36" i="2"/>
  <c r="AY35" i="2"/>
  <c r="AX35" i="2"/>
  <c r="AW35" i="2"/>
  <c r="AV35" i="2"/>
  <c r="AU35" i="2"/>
  <c r="AT35" i="2"/>
  <c r="AS35" i="2"/>
  <c r="AR35" i="2"/>
  <c r="AY25" i="2"/>
  <c r="AX25" i="2"/>
  <c r="AW25" i="2"/>
  <c r="AV25" i="2"/>
  <c r="AU25" i="2"/>
  <c r="AT25" i="2"/>
  <c r="AS25" i="2"/>
  <c r="AR25" i="2"/>
  <c r="AY22" i="2"/>
  <c r="AX22" i="2"/>
  <c r="AW22" i="2"/>
  <c r="AV22" i="2"/>
  <c r="AU22" i="2"/>
  <c r="AT22" i="2"/>
  <c r="AS22" i="2"/>
  <c r="AR22" i="2"/>
  <c r="AQ36" i="2"/>
  <c r="AQ35" i="2"/>
  <c r="AQ25" i="2"/>
  <c r="AQ22" i="2"/>
  <c r="AK25" i="23" l="1"/>
  <c r="AK24" i="23"/>
  <c r="AK23" i="23"/>
  <c r="AK22" i="23"/>
  <c r="AK3" i="23"/>
  <c r="AK8" i="23"/>
  <c r="AK7" i="23"/>
  <c r="AK2" i="23"/>
  <c r="AL2" i="23" s="1"/>
  <c r="AD155" i="23"/>
  <c r="AE155" i="23" s="1"/>
  <c r="AD168" i="23"/>
  <c r="AE168" i="23" s="1"/>
  <c r="AD169" i="23"/>
  <c r="AE169" i="23" s="1"/>
  <c r="AD170" i="23"/>
  <c r="AE170" i="23" s="1"/>
  <c r="AD156" i="23"/>
  <c r="AE156" i="23" s="1"/>
  <c r="AD157" i="23"/>
  <c r="AE157" i="23" s="1"/>
  <c r="AD158" i="23"/>
  <c r="AE158" i="23" s="1"/>
  <c r="AD159" i="23"/>
  <c r="AE159" i="23" s="1"/>
  <c r="AD160" i="23"/>
  <c r="AE160" i="23" s="1"/>
  <c r="AD161" i="23"/>
  <c r="AE161" i="23" s="1"/>
  <c r="AD162" i="23"/>
  <c r="AE162" i="23" s="1"/>
  <c r="AD163" i="23"/>
  <c r="AE163" i="23" s="1"/>
  <c r="AD164" i="23"/>
  <c r="AE164" i="23" s="1"/>
  <c r="AD165" i="23"/>
  <c r="AE165" i="23" s="1"/>
  <c r="AD166" i="23"/>
  <c r="AE166" i="23" s="1"/>
  <c r="AD167" i="23"/>
  <c r="AE167" i="23" s="1"/>
  <c r="AK39" i="23"/>
  <c r="AK37" i="23"/>
  <c r="AK36" i="23"/>
  <c r="AK6" i="23"/>
  <c r="AK5" i="23"/>
  <c r="AK4" i="23"/>
  <c r="AG109" i="23"/>
  <c r="AH89" i="23"/>
  <c r="AI89" i="23" s="1"/>
  <c r="AH90" i="23"/>
  <c r="AI90" i="23" s="1"/>
  <c r="AG112" i="23"/>
  <c r="AG113" i="23"/>
  <c r="AG118" i="23"/>
  <c r="AM125" i="23" a="1"/>
  <c r="AM125" i="23" s="1"/>
  <c r="AG125" i="23" s="1"/>
  <c r="AG110" i="23"/>
  <c r="AH92" i="23"/>
  <c r="AI92" i="23" s="1"/>
  <c r="AM134" i="23" a="1"/>
  <c r="AM134" i="23" s="1"/>
  <c r="AK134" i="23" s="1"/>
  <c r="AM129" i="23" a="1"/>
  <c r="AM129" i="23" s="1"/>
  <c r="AG129" i="23" s="1"/>
  <c r="AH102" i="23"/>
  <c r="AI102" i="23" s="1"/>
  <c r="AM128" i="23" a="1"/>
  <c r="AM128" i="23" s="1"/>
  <c r="AG128" i="23" s="1"/>
  <c r="AG116" i="23"/>
  <c r="AM124" i="23" a="1"/>
  <c r="AM124" i="23" s="1"/>
  <c r="AG124" i="23" s="1"/>
  <c r="AM130" i="23" a="1"/>
  <c r="AM130" i="23" s="1"/>
  <c r="AM132" i="23" a="1"/>
  <c r="AM132" i="23" s="1"/>
  <c r="AM133" i="23" a="1"/>
  <c r="AM133" i="23" s="1"/>
  <c r="AG133" i="23" s="1"/>
  <c r="AG107" i="23"/>
  <c r="AK119" i="23"/>
  <c r="AG119" i="23"/>
  <c r="AG121" i="23"/>
  <c r="AH121" i="23" s="1"/>
  <c r="AI121" i="23" s="1"/>
  <c r="AJ121" i="23" s="1"/>
  <c r="AH97" i="23"/>
  <c r="AI97" i="23" s="1"/>
  <c r="AH98" i="23"/>
  <c r="AI98" i="23" s="1"/>
  <c r="AJ88" i="23"/>
  <c r="AM127" i="23" a="1"/>
  <c r="AM127" i="23" s="1"/>
  <c r="AM131" i="23" a="1"/>
  <c r="AM131" i="23" s="1"/>
  <c r="AH94" i="23"/>
  <c r="AI94" i="23" s="1"/>
  <c r="AI70" i="23"/>
  <c r="AJ72" i="23" s="1"/>
  <c r="F13" i="23"/>
  <c r="F21" i="23"/>
  <c r="F12" i="23"/>
  <c r="F18" i="23"/>
  <c r="F17" i="23"/>
  <c r="F20" i="23"/>
  <c r="F16" i="23"/>
  <c r="F15" i="23"/>
  <c r="F14" i="23"/>
  <c r="AH101" i="23"/>
  <c r="AI101" i="23" s="1"/>
  <c r="AM135" i="23" a="1"/>
  <c r="AM135" i="23" s="1"/>
  <c r="AM122" i="23" a="1"/>
  <c r="AM122" i="23" s="1"/>
  <c r="AM126" i="23" a="1"/>
  <c r="AM126" i="23" s="1"/>
  <c r="AM136" i="23" a="1"/>
  <c r="AM136" i="23" s="1"/>
  <c r="AG106" i="23"/>
  <c r="AF149" i="23"/>
  <c r="AF147" i="23"/>
  <c r="AF146" i="23"/>
  <c r="AF148" i="23"/>
  <c r="AF145" i="23"/>
  <c r="AF143" i="23"/>
  <c r="AF142" i="23"/>
  <c r="AF144" i="23"/>
  <c r="AF141" i="23"/>
  <c r="AF139" i="23"/>
  <c r="AF138" i="23"/>
  <c r="AM138" i="23" s="1" a="1"/>
  <c r="AM138" i="23" s="1"/>
  <c r="AF140" i="23"/>
  <c r="AF153" i="23"/>
  <c r="AF151" i="23"/>
  <c r="AF150" i="23"/>
  <c r="AF152" i="23"/>
  <c r="AH96" i="23"/>
  <c r="AI96" i="23" s="1"/>
  <c r="AG111" i="23"/>
  <c r="AH100" i="23"/>
  <c r="AI100" i="23" s="1"/>
  <c r="AG117" i="23"/>
  <c r="AH99" i="23"/>
  <c r="AI99" i="23" s="1"/>
  <c r="AM123" i="23" a="1"/>
  <c r="AM123" i="23" s="1"/>
  <c r="AH93" i="23"/>
  <c r="AI93" i="23" s="1"/>
  <c r="AG105" i="23"/>
  <c r="AH105" i="23" s="1"/>
  <c r="AH95" i="23"/>
  <c r="AI95" i="23" s="1"/>
  <c r="AH91" i="23"/>
  <c r="AL21" i="23"/>
  <c r="AL19" i="23"/>
  <c r="AL20" i="23"/>
  <c r="D93" i="23"/>
  <c r="D75" i="23"/>
  <c r="D88" i="23"/>
  <c r="D70" i="23"/>
  <c r="D87" i="23"/>
  <c r="D69" i="23"/>
  <c r="AO37" i="23"/>
  <c r="D86" i="23"/>
  <c r="D68" i="23"/>
  <c r="AQ2" i="2"/>
  <c r="C92" i="23"/>
  <c r="C74" i="23"/>
  <c r="AO26" i="23"/>
  <c r="P50" i="23" s="1"/>
  <c r="AP45" i="23"/>
  <c r="D94" i="23"/>
  <c r="D76" i="23"/>
  <c r="D89" i="23"/>
  <c r="D71" i="23"/>
  <c r="AO36" i="23"/>
  <c r="D85" i="23"/>
  <c r="D67" i="23"/>
  <c r="AP9" i="23"/>
  <c r="B92" i="23"/>
  <c r="B74" i="23"/>
  <c r="D91" i="23"/>
  <c r="D73" i="23"/>
  <c r="D72" i="23"/>
  <c r="D90" i="23"/>
  <c r="AP26" i="23"/>
  <c r="AO9" i="23"/>
  <c r="P49" i="23" s="1"/>
  <c r="E18" i="23"/>
  <c r="AP59" i="23" s="1"/>
  <c r="AP37" i="23"/>
  <c r="E15" i="23"/>
  <c r="E14" i="23"/>
  <c r="AO55" i="23" s="1"/>
  <c r="AJ66" i="23"/>
  <c r="AP36" i="23"/>
  <c r="AJ47" i="23"/>
  <c r="AR5" i="2"/>
  <c r="E21" i="23"/>
  <c r="E12" i="23"/>
  <c r="E13" i="23"/>
  <c r="AJ51" i="23"/>
  <c r="AO44" i="23"/>
  <c r="AP44" i="23"/>
  <c r="AR8" i="2"/>
  <c r="AO42" i="23"/>
  <c r="AP42" i="23"/>
  <c r="AJ67" i="23"/>
  <c r="E20" i="23"/>
  <c r="AJ43" i="23"/>
  <c r="AJ50" i="23"/>
  <c r="AJ45" i="23"/>
  <c r="AJ41" i="23"/>
  <c r="AJ44" i="23"/>
  <c r="AJ42" i="23"/>
  <c r="AP38" i="23"/>
  <c r="AO38" i="23"/>
  <c r="AR6" i="2"/>
  <c r="AR7" i="2"/>
  <c r="AP40" i="23"/>
  <c r="AO40" i="23"/>
  <c r="AO41" i="23"/>
  <c r="AP41" i="23"/>
  <c r="AJ46" i="23"/>
  <c r="AP39" i="23"/>
  <c r="AO39" i="23"/>
  <c r="AR9" i="2"/>
  <c r="E16" i="23"/>
  <c r="E17" i="23"/>
  <c r="AR10" i="2"/>
  <c r="AO45" i="23"/>
  <c r="AJ48" i="23"/>
  <c r="AJ55" i="23"/>
  <c r="AJ59" i="23"/>
  <c r="AJ62" i="23"/>
  <c r="AJ65" i="23"/>
  <c r="AJ56" i="23"/>
  <c r="AJ68" i="23"/>
  <c r="AJ60" i="23"/>
  <c r="AJ64" i="23"/>
  <c r="AJ61" i="23"/>
  <c r="AJ63" i="23"/>
  <c r="AJ57" i="23"/>
  <c r="AJ58" i="23"/>
  <c r="X36" i="2"/>
  <c r="X35" i="2"/>
  <c r="X32" i="2" a="1"/>
  <c r="X32" i="2" s="1"/>
  <c r="X22" i="2"/>
  <c r="BR202" i="2"/>
  <c r="BS202" i="2" s="1"/>
  <c r="BQ202" i="2"/>
  <c r="BP202" i="2"/>
  <c r="BO202" i="2"/>
  <c r="BN202" i="2"/>
  <c r="BL202" i="2"/>
  <c r="BR201" i="2"/>
  <c r="BS201" i="2" s="1"/>
  <c r="BQ201" i="2"/>
  <c r="BP201" i="2"/>
  <c r="BO201" i="2"/>
  <c r="BN201" i="2"/>
  <c r="BL201" i="2"/>
  <c r="BR200" i="2"/>
  <c r="BS200" i="2" s="1"/>
  <c r="BQ200" i="2"/>
  <c r="BP200" i="2"/>
  <c r="BO200" i="2"/>
  <c r="BN200" i="2"/>
  <c r="BL200" i="2"/>
  <c r="BR199" i="2"/>
  <c r="BS199" i="2" s="1"/>
  <c r="BQ199" i="2"/>
  <c r="BP199" i="2"/>
  <c r="BO199" i="2"/>
  <c r="BN199" i="2"/>
  <c r="BL199" i="2"/>
  <c r="BR198" i="2"/>
  <c r="BS198" i="2" s="1"/>
  <c r="BQ198" i="2"/>
  <c r="BP198" i="2"/>
  <c r="BO198" i="2"/>
  <c r="BN198" i="2"/>
  <c r="BL198" i="2"/>
  <c r="BR197" i="2"/>
  <c r="BS197" i="2" s="1"/>
  <c r="BQ197" i="2"/>
  <c r="BP197" i="2"/>
  <c r="BO197" i="2"/>
  <c r="BN197" i="2"/>
  <c r="BL197" i="2"/>
  <c r="BR196" i="2"/>
  <c r="BS196" i="2" s="1"/>
  <c r="BQ196" i="2"/>
  <c r="BP196" i="2"/>
  <c r="BO196" i="2"/>
  <c r="BN196" i="2"/>
  <c r="BL196" i="2"/>
  <c r="BR195" i="2"/>
  <c r="BS195" i="2" s="1"/>
  <c r="BQ195" i="2"/>
  <c r="BP195" i="2"/>
  <c r="BO195" i="2"/>
  <c r="BN195" i="2"/>
  <c r="BL195" i="2"/>
  <c r="BR194" i="2"/>
  <c r="BS194" i="2" s="1"/>
  <c r="BQ194" i="2"/>
  <c r="BP194" i="2"/>
  <c r="BO194" i="2"/>
  <c r="BN194" i="2"/>
  <c r="BL194" i="2"/>
  <c r="BR193" i="2"/>
  <c r="BS193" i="2" s="1"/>
  <c r="BQ193" i="2"/>
  <c r="BP193" i="2"/>
  <c r="BO193" i="2"/>
  <c r="BN193" i="2"/>
  <c r="BL193" i="2"/>
  <c r="BR192" i="2"/>
  <c r="BS192" i="2" s="1"/>
  <c r="BQ192" i="2"/>
  <c r="BP192" i="2"/>
  <c r="BO192" i="2"/>
  <c r="BN192" i="2"/>
  <c r="BL192" i="2"/>
  <c r="BR191" i="2"/>
  <c r="BS191" i="2" s="1"/>
  <c r="BQ191" i="2"/>
  <c r="BP191" i="2"/>
  <c r="BO191" i="2"/>
  <c r="BN191" i="2"/>
  <c r="BL191" i="2"/>
  <c r="BR190" i="2"/>
  <c r="BS190" i="2" s="1"/>
  <c r="BQ190" i="2"/>
  <c r="BP190" i="2"/>
  <c r="BO190" i="2"/>
  <c r="BN190" i="2"/>
  <c r="BL190" i="2"/>
  <c r="BR189" i="2"/>
  <c r="BS189" i="2" s="1"/>
  <c r="BQ189" i="2"/>
  <c r="BP189" i="2"/>
  <c r="BO189" i="2"/>
  <c r="BN189" i="2"/>
  <c r="BL189" i="2"/>
  <c r="BR188" i="2"/>
  <c r="BS188" i="2" s="1"/>
  <c r="BQ188" i="2"/>
  <c r="BP188" i="2"/>
  <c r="BO188" i="2"/>
  <c r="BN188" i="2"/>
  <c r="BL188" i="2"/>
  <c r="BR187" i="2"/>
  <c r="BS187" i="2" s="1"/>
  <c r="BQ187" i="2"/>
  <c r="BP187" i="2"/>
  <c r="BO187" i="2"/>
  <c r="BN187" i="2"/>
  <c r="BL187" i="2"/>
  <c r="BR186" i="2"/>
  <c r="BS186" i="2" s="1"/>
  <c r="BQ186" i="2"/>
  <c r="BP186" i="2"/>
  <c r="BO186" i="2"/>
  <c r="BN186" i="2"/>
  <c r="BL186" i="2"/>
  <c r="BR185" i="2"/>
  <c r="BS185" i="2" s="1"/>
  <c r="BQ185" i="2"/>
  <c r="BP185" i="2"/>
  <c r="BO185" i="2"/>
  <c r="BN185" i="2"/>
  <c r="BL185" i="2"/>
  <c r="BR184" i="2"/>
  <c r="BS184" i="2" s="1"/>
  <c r="BQ184" i="2"/>
  <c r="BP184" i="2"/>
  <c r="BO184" i="2"/>
  <c r="BN184" i="2"/>
  <c r="BL184" i="2"/>
  <c r="BR183" i="2"/>
  <c r="BS183" i="2" s="1"/>
  <c r="BQ183" i="2"/>
  <c r="BP183" i="2"/>
  <c r="BO183" i="2"/>
  <c r="BN183" i="2"/>
  <c r="BL183" i="2"/>
  <c r="BR182" i="2"/>
  <c r="BS182" i="2" s="1"/>
  <c r="BQ182" i="2"/>
  <c r="BP182" i="2"/>
  <c r="BO182" i="2"/>
  <c r="BN182" i="2"/>
  <c r="BL182" i="2"/>
  <c r="BR181" i="2"/>
  <c r="BS181" i="2" s="1"/>
  <c r="BQ181" i="2"/>
  <c r="BP181" i="2"/>
  <c r="BO181" i="2"/>
  <c r="BN181" i="2"/>
  <c r="BL181" i="2"/>
  <c r="BR180" i="2"/>
  <c r="BS180" i="2" s="1"/>
  <c r="BQ180" i="2"/>
  <c r="BP180" i="2"/>
  <c r="BO180" i="2"/>
  <c r="BN180" i="2"/>
  <c r="BL180" i="2"/>
  <c r="BR179" i="2"/>
  <c r="BS179" i="2" s="1"/>
  <c r="BQ179" i="2"/>
  <c r="BP179" i="2"/>
  <c r="BO179" i="2"/>
  <c r="BN179" i="2"/>
  <c r="BL179" i="2"/>
  <c r="BR178" i="2"/>
  <c r="BS178" i="2" s="1"/>
  <c r="BQ178" i="2"/>
  <c r="BP178" i="2"/>
  <c r="BO178" i="2"/>
  <c r="BN178" i="2"/>
  <c r="BL178" i="2"/>
  <c r="BR177" i="2"/>
  <c r="BS177" i="2" s="1"/>
  <c r="BQ177" i="2"/>
  <c r="BP177" i="2"/>
  <c r="BO177" i="2"/>
  <c r="BN177" i="2"/>
  <c r="BL177" i="2"/>
  <c r="BR176" i="2"/>
  <c r="BS176" i="2" s="1"/>
  <c r="BQ176" i="2"/>
  <c r="BP176" i="2"/>
  <c r="BO176" i="2"/>
  <c r="BN176" i="2"/>
  <c r="BL176" i="2"/>
  <c r="BR175" i="2"/>
  <c r="BS175" i="2" s="1"/>
  <c r="BQ175" i="2"/>
  <c r="BP175" i="2"/>
  <c r="BO175" i="2"/>
  <c r="BN175" i="2"/>
  <c r="BL175" i="2"/>
  <c r="BR174" i="2"/>
  <c r="BS174" i="2" s="1"/>
  <c r="BQ174" i="2"/>
  <c r="BP174" i="2"/>
  <c r="BO174" i="2"/>
  <c r="BN174" i="2"/>
  <c r="BL174" i="2"/>
  <c r="BR173" i="2"/>
  <c r="BS173" i="2" s="1"/>
  <c r="BQ173" i="2"/>
  <c r="BP173" i="2"/>
  <c r="BO173" i="2"/>
  <c r="BN173" i="2"/>
  <c r="BL173" i="2"/>
  <c r="BR172" i="2"/>
  <c r="BS172" i="2" s="1"/>
  <c r="BQ172" i="2"/>
  <c r="BP172" i="2"/>
  <c r="BO172" i="2"/>
  <c r="BN172" i="2"/>
  <c r="BL172" i="2"/>
  <c r="BR171" i="2"/>
  <c r="BS171" i="2" s="1"/>
  <c r="BQ171" i="2"/>
  <c r="BP171" i="2"/>
  <c r="BO171" i="2"/>
  <c r="BN171" i="2"/>
  <c r="BL171" i="2"/>
  <c r="BR170" i="2"/>
  <c r="BS170" i="2" s="1"/>
  <c r="BQ170" i="2"/>
  <c r="BP170" i="2"/>
  <c r="BO170" i="2"/>
  <c r="BN170" i="2"/>
  <c r="BL170" i="2"/>
  <c r="BR169" i="2"/>
  <c r="BS169" i="2" s="1"/>
  <c r="BQ169" i="2"/>
  <c r="BP169" i="2"/>
  <c r="BO169" i="2"/>
  <c r="BN169" i="2"/>
  <c r="BL169" i="2"/>
  <c r="BR168" i="2"/>
  <c r="BS168" i="2" s="1"/>
  <c r="BQ168" i="2"/>
  <c r="BP168" i="2"/>
  <c r="BO168" i="2"/>
  <c r="BN168" i="2"/>
  <c r="BL168" i="2"/>
  <c r="BR167" i="2"/>
  <c r="BS167" i="2" s="1"/>
  <c r="BQ167" i="2"/>
  <c r="BP167" i="2"/>
  <c r="BO167" i="2"/>
  <c r="BN167" i="2"/>
  <c r="BL167" i="2"/>
  <c r="BR166" i="2"/>
  <c r="BS166" i="2" s="1"/>
  <c r="BQ166" i="2"/>
  <c r="BP166" i="2"/>
  <c r="BO166" i="2"/>
  <c r="BN166" i="2"/>
  <c r="BL166" i="2"/>
  <c r="BR165" i="2"/>
  <c r="BS165" i="2" s="1"/>
  <c r="BQ165" i="2"/>
  <c r="BP165" i="2"/>
  <c r="BO165" i="2"/>
  <c r="BN165" i="2"/>
  <c r="BL165" i="2"/>
  <c r="BR164" i="2"/>
  <c r="BS164" i="2" s="1"/>
  <c r="BQ164" i="2"/>
  <c r="BP164" i="2"/>
  <c r="BO164" i="2"/>
  <c r="BN164" i="2"/>
  <c r="BL164" i="2"/>
  <c r="BR163" i="2"/>
  <c r="BS163" i="2" s="1"/>
  <c r="BQ163" i="2"/>
  <c r="BP163" i="2"/>
  <c r="BO163" i="2"/>
  <c r="BN163" i="2"/>
  <c r="BL163" i="2"/>
  <c r="BR162" i="2"/>
  <c r="BS162" i="2" s="1"/>
  <c r="BQ162" i="2"/>
  <c r="BP162" i="2"/>
  <c r="BO162" i="2"/>
  <c r="BN162" i="2"/>
  <c r="BL162" i="2"/>
  <c r="BR161" i="2"/>
  <c r="BS161" i="2" s="1"/>
  <c r="BQ161" i="2"/>
  <c r="BP161" i="2"/>
  <c r="BO161" i="2"/>
  <c r="BN161" i="2"/>
  <c r="BL161" i="2"/>
  <c r="BR160" i="2"/>
  <c r="BS160" i="2" s="1"/>
  <c r="BQ160" i="2"/>
  <c r="BP160" i="2"/>
  <c r="BO160" i="2"/>
  <c r="BN160" i="2"/>
  <c r="BL160" i="2"/>
  <c r="BR159" i="2"/>
  <c r="BS159" i="2" s="1"/>
  <c r="BQ159" i="2"/>
  <c r="BP159" i="2"/>
  <c r="BO159" i="2"/>
  <c r="BN159" i="2"/>
  <c r="BL159" i="2"/>
  <c r="BR158" i="2"/>
  <c r="BS158" i="2" s="1"/>
  <c r="BQ158" i="2"/>
  <c r="BP158" i="2"/>
  <c r="BO158" i="2"/>
  <c r="BN158" i="2"/>
  <c r="BL158" i="2"/>
  <c r="BR157" i="2"/>
  <c r="BS157" i="2" s="1"/>
  <c r="BQ157" i="2"/>
  <c r="BP157" i="2"/>
  <c r="BO157" i="2"/>
  <c r="BN157" i="2"/>
  <c r="BL157" i="2"/>
  <c r="BR156" i="2"/>
  <c r="BS156" i="2" s="1"/>
  <c r="BQ156" i="2"/>
  <c r="BP156" i="2"/>
  <c r="BO156" i="2"/>
  <c r="BN156" i="2"/>
  <c r="BL156" i="2"/>
  <c r="BR155" i="2"/>
  <c r="BS155" i="2" s="1"/>
  <c r="BQ155" i="2"/>
  <c r="BP155" i="2"/>
  <c r="BO155" i="2"/>
  <c r="BN155" i="2"/>
  <c r="BL155" i="2"/>
  <c r="BR154" i="2"/>
  <c r="BS154" i="2" s="1"/>
  <c r="BQ154" i="2"/>
  <c r="BP154" i="2"/>
  <c r="BO154" i="2"/>
  <c r="BN154" i="2"/>
  <c r="BL154" i="2"/>
  <c r="BR153" i="2"/>
  <c r="BS153" i="2" s="1"/>
  <c r="BQ153" i="2"/>
  <c r="BP153" i="2"/>
  <c r="BO153" i="2"/>
  <c r="BN153" i="2"/>
  <c r="BL153" i="2"/>
  <c r="BR152" i="2"/>
  <c r="BS152" i="2" s="1"/>
  <c r="BQ152" i="2"/>
  <c r="BP152" i="2"/>
  <c r="BO152" i="2"/>
  <c r="BN152" i="2"/>
  <c r="BL152" i="2"/>
  <c r="BR151" i="2"/>
  <c r="BS151" i="2" s="1"/>
  <c r="BQ151" i="2"/>
  <c r="BP151" i="2"/>
  <c r="BO151" i="2"/>
  <c r="BN151" i="2"/>
  <c r="BL151" i="2"/>
  <c r="BR150" i="2"/>
  <c r="BS150" i="2" s="1"/>
  <c r="BQ150" i="2"/>
  <c r="BP150" i="2"/>
  <c r="BO150" i="2"/>
  <c r="BN150" i="2"/>
  <c r="BL150" i="2"/>
  <c r="BR149" i="2"/>
  <c r="BS149" i="2" s="1"/>
  <c r="BQ149" i="2"/>
  <c r="BP149" i="2"/>
  <c r="BO149" i="2"/>
  <c r="BN149" i="2"/>
  <c r="BL149" i="2"/>
  <c r="BR148" i="2"/>
  <c r="BS148" i="2" s="1"/>
  <c r="BQ148" i="2"/>
  <c r="BP148" i="2"/>
  <c r="BO148" i="2"/>
  <c r="BN148" i="2"/>
  <c r="BL148" i="2"/>
  <c r="BR147" i="2"/>
  <c r="BS147" i="2" s="1"/>
  <c r="BQ147" i="2"/>
  <c r="BP147" i="2"/>
  <c r="BO147" i="2"/>
  <c r="BN147" i="2"/>
  <c r="BL147" i="2"/>
  <c r="BR146" i="2"/>
  <c r="BS146" i="2" s="1"/>
  <c r="BQ146" i="2"/>
  <c r="BP146" i="2"/>
  <c r="BO146" i="2"/>
  <c r="BN146" i="2"/>
  <c r="BL146" i="2"/>
  <c r="BR145" i="2"/>
  <c r="BS145" i="2" s="1"/>
  <c r="BQ145" i="2"/>
  <c r="BP145" i="2"/>
  <c r="BO145" i="2"/>
  <c r="BN145" i="2"/>
  <c r="BL145" i="2"/>
  <c r="BR144" i="2"/>
  <c r="BS144" i="2" s="1"/>
  <c r="BQ144" i="2"/>
  <c r="BP144" i="2"/>
  <c r="BO144" i="2"/>
  <c r="BN144" i="2"/>
  <c r="BL144" i="2"/>
  <c r="BR143" i="2"/>
  <c r="BS143" i="2" s="1"/>
  <c r="BQ143" i="2"/>
  <c r="BP143" i="2"/>
  <c r="BO143" i="2"/>
  <c r="BN143" i="2"/>
  <c r="BL143" i="2"/>
  <c r="BR142" i="2"/>
  <c r="BS142" i="2" s="1"/>
  <c r="BQ142" i="2"/>
  <c r="BP142" i="2"/>
  <c r="BO142" i="2"/>
  <c r="BN142" i="2"/>
  <c r="BL142" i="2"/>
  <c r="BR141" i="2"/>
  <c r="BS141" i="2" s="1"/>
  <c r="BQ141" i="2"/>
  <c r="BP141" i="2"/>
  <c r="BO141" i="2"/>
  <c r="BN141" i="2"/>
  <c r="BL141" i="2"/>
  <c r="BR140" i="2"/>
  <c r="BS140" i="2" s="1"/>
  <c r="BQ140" i="2"/>
  <c r="BP140" i="2"/>
  <c r="BO140" i="2"/>
  <c r="BN140" i="2"/>
  <c r="BL140" i="2"/>
  <c r="BR139" i="2"/>
  <c r="BS139" i="2" s="1"/>
  <c r="BQ139" i="2"/>
  <c r="BP139" i="2"/>
  <c r="BO139" i="2"/>
  <c r="BN139" i="2"/>
  <c r="BL139" i="2"/>
  <c r="BR138" i="2"/>
  <c r="BS138" i="2" s="1"/>
  <c r="BQ138" i="2"/>
  <c r="BP138" i="2"/>
  <c r="BO138" i="2"/>
  <c r="BN138" i="2"/>
  <c r="BL138" i="2"/>
  <c r="BR137" i="2"/>
  <c r="BS137" i="2" s="1"/>
  <c r="BQ137" i="2"/>
  <c r="BP137" i="2"/>
  <c r="BO137" i="2"/>
  <c r="BN137" i="2"/>
  <c r="BL137" i="2"/>
  <c r="BR136" i="2"/>
  <c r="BS136" i="2" s="1"/>
  <c r="BQ136" i="2"/>
  <c r="BP136" i="2"/>
  <c r="BO136" i="2"/>
  <c r="BN136" i="2"/>
  <c r="BL136" i="2"/>
  <c r="BR135" i="2"/>
  <c r="BS135" i="2" s="1"/>
  <c r="BQ135" i="2"/>
  <c r="BP135" i="2"/>
  <c r="BO135" i="2"/>
  <c r="BN135" i="2"/>
  <c r="BL135" i="2"/>
  <c r="BR134" i="2"/>
  <c r="BS134" i="2" s="1"/>
  <c r="BQ134" i="2"/>
  <c r="BP134" i="2"/>
  <c r="BO134" i="2"/>
  <c r="BN134" i="2"/>
  <c r="BL134" i="2"/>
  <c r="BR133" i="2"/>
  <c r="BS133" i="2" s="1"/>
  <c r="BQ133" i="2"/>
  <c r="BP133" i="2"/>
  <c r="BO133" i="2"/>
  <c r="BN133" i="2"/>
  <c r="BL133" i="2"/>
  <c r="BR132" i="2"/>
  <c r="BS132" i="2" s="1"/>
  <c r="BQ132" i="2"/>
  <c r="BP132" i="2"/>
  <c r="BO132" i="2"/>
  <c r="BN132" i="2"/>
  <c r="BL132" i="2"/>
  <c r="BR131" i="2"/>
  <c r="BS131" i="2" s="1"/>
  <c r="BQ131" i="2"/>
  <c r="BP131" i="2"/>
  <c r="BO131" i="2"/>
  <c r="BN131" i="2"/>
  <c r="BL131" i="2"/>
  <c r="BR130" i="2"/>
  <c r="BS130" i="2" s="1"/>
  <c r="BQ130" i="2"/>
  <c r="BP130" i="2"/>
  <c r="BO130" i="2"/>
  <c r="BN130" i="2"/>
  <c r="BL130" i="2"/>
  <c r="BR129" i="2"/>
  <c r="BS129" i="2" s="1"/>
  <c r="BQ129" i="2"/>
  <c r="BP129" i="2"/>
  <c r="BO129" i="2"/>
  <c r="BN129" i="2"/>
  <c r="BL129" i="2"/>
  <c r="BR128" i="2"/>
  <c r="BS128" i="2" s="1"/>
  <c r="BQ128" i="2"/>
  <c r="BP128" i="2"/>
  <c r="BO128" i="2"/>
  <c r="BN128" i="2"/>
  <c r="BL128" i="2"/>
  <c r="BR127" i="2"/>
  <c r="BS127" i="2" s="1"/>
  <c r="BQ127" i="2"/>
  <c r="BP127" i="2"/>
  <c r="BO127" i="2"/>
  <c r="BN127" i="2"/>
  <c r="BL127" i="2"/>
  <c r="BR126" i="2"/>
  <c r="BS126" i="2" s="1"/>
  <c r="BQ126" i="2"/>
  <c r="BP126" i="2"/>
  <c r="BO126" i="2"/>
  <c r="BN126" i="2"/>
  <c r="BL126" i="2"/>
  <c r="BR125" i="2"/>
  <c r="BS125" i="2" s="1"/>
  <c r="BQ125" i="2"/>
  <c r="BP125" i="2"/>
  <c r="BO125" i="2"/>
  <c r="BN125" i="2"/>
  <c r="BL125" i="2"/>
  <c r="BR124" i="2"/>
  <c r="BS124" i="2" s="1"/>
  <c r="BQ124" i="2"/>
  <c r="BP124" i="2"/>
  <c r="BO124" i="2"/>
  <c r="BN124" i="2"/>
  <c r="BL124" i="2"/>
  <c r="BR123" i="2"/>
  <c r="BS123" i="2" s="1"/>
  <c r="BQ123" i="2"/>
  <c r="BP123" i="2"/>
  <c r="BO123" i="2"/>
  <c r="BN123" i="2"/>
  <c r="BL123" i="2"/>
  <c r="BR122" i="2"/>
  <c r="BS122" i="2" s="1"/>
  <c r="BQ122" i="2"/>
  <c r="BP122" i="2"/>
  <c r="BO122" i="2"/>
  <c r="BN122" i="2"/>
  <c r="BL122" i="2"/>
  <c r="BR121" i="2"/>
  <c r="BS121" i="2" s="1"/>
  <c r="BQ121" i="2"/>
  <c r="BP121" i="2"/>
  <c r="BO121" i="2"/>
  <c r="BN121" i="2"/>
  <c r="BL121" i="2"/>
  <c r="BR120" i="2"/>
  <c r="BS120" i="2" s="1"/>
  <c r="BQ120" i="2"/>
  <c r="BP120" i="2"/>
  <c r="BO120" i="2"/>
  <c r="BN120" i="2"/>
  <c r="BL120" i="2"/>
  <c r="BR119" i="2"/>
  <c r="BS119" i="2" s="1"/>
  <c r="BQ119" i="2"/>
  <c r="BP119" i="2"/>
  <c r="BO119" i="2"/>
  <c r="BN119" i="2"/>
  <c r="BL119" i="2"/>
  <c r="BR118" i="2"/>
  <c r="BS118" i="2" s="1"/>
  <c r="BQ118" i="2"/>
  <c r="BP118" i="2"/>
  <c r="BO118" i="2"/>
  <c r="BN118" i="2"/>
  <c r="BL118" i="2"/>
  <c r="BR117" i="2"/>
  <c r="BS117" i="2" s="1"/>
  <c r="BQ117" i="2"/>
  <c r="BP117" i="2"/>
  <c r="BO117" i="2"/>
  <c r="BN117" i="2"/>
  <c r="BL117" i="2"/>
  <c r="BR116" i="2"/>
  <c r="BS116" i="2" s="1"/>
  <c r="BQ116" i="2"/>
  <c r="BP116" i="2"/>
  <c r="BO116" i="2"/>
  <c r="BN116" i="2"/>
  <c r="BL116" i="2"/>
  <c r="BR115" i="2"/>
  <c r="BS115" i="2" s="1"/>
  <c r="BQ115" i="2"/>
  <c r="BP115" i="2"/>
  <c r="BO115" i="2"/>
  <c r="BN115" i="2"/>
  <c r="BL115" i="2"/>
  <c r="BR114" i="2"/>
  <c r="BS114" i="2" s="1"/>
  <c r="BQ114" i="2"/>
  <c r="BP114" i="2"/>
  <c r="BO114" i="2"/>
  <c r="BN114" i="2"/>
  <c r="BL114" i="2"/>
  <c r="BR113" i="2"/>
  <c r="BS113" i="2" s="1"/>
  <c r="BQ113" i="2"/>
  <c r="BP113" i="2"/>
  <c r="BO113" i="2"/>
  <c r="BN113" i="2"/>
  <c r="BL113" i="2"/>
  <c r="BR112" i="2"/>
  <c r="BS112" i="2" s="1"/>
  <c r="BQ112" i="2"/>
  <c r="BP112" i="2"/>
  <c r="BO112" i="2"/>
  <c r="BN112" i="2"/>
  <c r="BL112" i="2"/>
  <c r="BR111" i="2"/>
  <c r="BS111" i="2" s="1"/>
  <c r="BQ111" i="2"/>
  <c r="BP111" i="2"/>
  <c r="BO111" i="2"/>
  <c r="BN111" i="2"/>
  <c r="BL111" i="2"/>
  <c r="BR110" i="2"/>
  <c r="BS110" i="2" s="1"/>
  <c r="BQ110" i="2"/>
  <c r="BP110" i="2"/>
  <c r="BO110" i="2"/>
  <c r="BN110" i="2"/>
  <c r="BL110" i="2"/>
  <c r="BR109" i="2"/>
  <c r="BS109" i="2" s="1"/>
  <c r="BQ109" i="2"/>
  <c r="BP109" i="2"/>
  <c r="BO109" i="2"/>
  <c r="BN109" i="2"/>
  <c r="BL109" i="2"/>
  <c r="BR108" i="2"/>
  <c r="BS108" i="2" s="1"/>
  <c r="BQ108" i="2"/>
  <c r="BP108" i="2"/>
  <c r="BO108" i="2"/>
  <c r="BN108" i="2"/>
  <c r="BL108" i="2"/>
  <c r="BR107" i="2"/>
  <c r="BS107" i="2" s="1"/>
  <c r="BQ107" i="2"/>
  <c r="BP107" i="2"/>
  <c r="BO107" i="2"/>
  <c r="BN107" i="2"/>
  <c r="BL107" i="2"/>
  <c r="BR106" i="2"/>
  <c r="BS106" i="2" s="1"/>
  <c r="BQ106" i="2"/>
  <c r="BP106" i="2"/>
  <c r="BO106" i="2"/>
  <c r="BN106" i="2"/>
  <c r="BL106" i="2"/>
  <c r="BR105" i="2"/>
  <c r="BS105" i="2" s="1"/>
  <c r="BQ105" i="2"/>
  <c r="BP105" i="2"/>
  <c r="BO105" i="2"/>
  <c r="BN105" i="2"/>
  <c r="BL105" i="2"/>
  <c r="BR104" i="2"/>
  <c r="BS104" i="2" s="1"/>
  <c r="BQ104" i="2"/>
  <c r="BP104" i="2"/>
  <c r="BO104" i="2"/>
  <c r="BN104" i="2"/>
  <c r="BL104" i="2"/>
  <c r="BR103" i="2"/>
  <c r="BS103" i="2" s="1"/>
  <c r="BQ103" i="2"/>
  <c r="BP103" i="2"/>
  <c r="BO103" i="2"/>
  <c r="BN103" i="2"/>
  <c r="BL103" i="2"/>
  <c r="BR102" i="2"/>
  <c r="BS102" i="2" s="1"/>
  <c r="BQ102" i="2"/>
  <c r="BP102" i="2"/>
  <c r="BO102" i="2"/>
  <c r="BN102" i="2"/>
  <c r="BL102" i="2"/>
  <c r="BR101" i="2"/>
  <c r="BS101" i="2" s="1"/>
  <c r="BQ101" i="2"/>
  <c r="BP101" i="2"/>
  <c r="BO101" i="2"/>
  <c r="BN101" i="2"/>
  <c r="BL101" i="2"/>
  <c r="BR100" i="2"/>
  <c r="BS100" i="2" s="1"/>
  <c r="BQ100" i="2"/>
  <c r="BP100" i="2"/>
  <c r="BO100" i="2"/>
  <c r="BN100" i="2"/>
  <c r="BL100" i="2"/>
  <c r="BR99" i="2"/>
  <c r="BS99" i="2" s="1"/>
  <c r="BQ99" i="2"/>
  <c r="BP99" i="2"/>
  <c r="BO99" i="2"/>
  <c r="BN99" i="2"/>
  <c r="BL99" i="2"/>
  <c r="BR98" i="2"/>
  <c r="BS98" i="2" s="1"/>
  <c r="BQ98" i="2"/>
  <c r="BP98" i="2"/>
  <c r="BO98" i="2"/>
  <c r="BN98" i="2"/>
  <c r="BL98" i="2"/>
  <c r="BR97" i="2"/>
  <c r="BS97" i="2" s="1"/>
  <c r="BQ97" i="2"/>
  <c r="BP97" i="2"/>
  <c r="BO97" i="2"/>
  <c r="BN97" i="2"/>
  <c r="BL97" i="2"/>
  <c r="BR96" i="2"/>
  <c r="BS96" i="2" s="1"/>
  <c r="BQ96" i="2"/>
  <c r="BP96" i="2"/>
  <c r="BO96" i="2"/>
  <c r="BN96" i="2"/>
  <c r="BL96" i="2"/>
  <c r="BR95" i="2"/>
  <c r="BS95" i="2" s="1"/>
  <c r="BQ95" i="2"/>
  <c r="BP95" i="2"/>
  <c r="BO95" i="2"/>
  <c r="BN95" i="2"/>
  <c r="BL95" i="2"/>
  <c r="BR94" i="2"/>
  <c r="BS94" i="2" s="1"/>
  <c r="BQ94" i="2"/>
  <c r="BP94" i="2"/>
  <c r="BO94" i="2"/>
  <c r="BN94" i="2"/>
  <c r="BL94" i="2"/>
  <c r="BR93" i="2"/>
  <c r="BS93" i="2" s="1"/>
  <c r="BQ93" i="2"/>
  <c r="BP93" i="2"/>
  <c r="BO93" i="2"/>
  <c r="BN93" i="2"/>
  <c r="BL93" i="2"/>
  <c r="BR92" i="2"/>
  <c r="BS92" i="2" s="1"/>
  <c r="BQ92" i="2"/>
  <c r="BP92" i="2"/>
  <c r="BO92" i="2"/>
  <c r="BN92" i="2"/>
  <c r="BL92" i="2"/>
  <c r="BR91" i="2"/>
  <c r="BS91" i="2" s="1"/>
  <c r="BQ91" i="2"/>
  <c r="BP91" i="2"/>
  <c r="BO91" i="2"/>
  <c r="BN91" i="2"/>
  <c r="BL91" i="2"/>
  <c r="BR90" i="2"/>
  <c r="BS90" i="2" s="1"/>
  <c r="BQ90" i="2"/>
  <c r="BP90" i="2"/>
  <c r="BO90" i="2"/>
  <c r="BN90" i="2"/>
  <c r="BL90" i="2"/>
  <c r="BR89" i="2"/>
  <c r="BS89" i="2" s="1"/>
  <c r="BQ89" i="2"/>
  <c r="BP89" i="2"/>
  <c r="BO89" i="2"/>
  <c r="BN89" i="2"/>
  <c r="BL89" i="2"/>
  <c r="BR88" i="2"/>
  <c r="BS88" i="2" s="1"/>
  <c r="BQ88" i="2"/>
  <c r="BP88" i="2"/>
  <c r="BO88" i="2"/>
  <c r="BN88" i="2"/>
  <c r="BL88" i="2"/>
  <c r="BR87" i="2"/>
  <c r="BS87" i="2" s="1"/>
  <c r="BQ87" i="2"/>
  <c r="BP87" i="2"/>
  <c r="BO87" i="2"/>
  <c r="BN87" i="2"/>
  <c r="BL87" i="2"/>
  <c r="BR86" i="2"/>
  <c r="BS86" i="2" s="1"/>
  <c r="BQ86" i="2"/>
  <c r="BP86" i="2"/>
  <c r="BO86" i="2"/>
  <c r="BN86" i="2"/>
  <c r="BL86" i="2"/>
  <c r="BR85" i="2"/>
  <c r="BS85" i="2" s="1"/>
  <c r="BQ85" i="2"/>
  <c r="BP85" i="2"/>
  <c r="BO85" i="2"/>
  <c r="BN85" i="2"/>
  <c r="BL85" i="2"/>
  <c r="BR84" i="2"/>
  <c r="BS84" i="2" s="1"/>
  <c r="BQ84" i="2"/>
  <c r="BP84" i="2"/>
  <c r="BO84" i="2"/>
  <c r="BN84" i="2"/>
  <c r="BL84" i="2"/>
  <c r="BR83" i="2"/>
  <c r="BS83" i="2" s="1"/>
  <c r="BQ83" i="2"/>
  <c r="BP83" i="2"/>
  <c r="BO83" i="2"/>
  <c r="BN83" i="2"/>
  <c r="BL83" i="2"/>
  <c r="BR82" i="2"/>
  <c r="BS82" i="2" s="1"/>
  <c r="BQ82" i="2"/>
  <c r="BP82" i="2"/>
  <c r="BO82" i="2"/>
  <c r="BN82" i="2"/>
  <c r="BL82" i="2"/>
  <c r="BR81" i="2"/>
  <c r="BS81" i="2" s="1"/>
  <c r="BQ81" i="2"/>
  <c r="BP81" i="2"/>
  <c r="BO81" i="2"/>
  <c r="BN81" i="2"/>
  <c r="BL81" i="2"/>
  <c r="BR80" i="2"/>
  <c r="BS80" i="2" s="1"/>
  <c r="BQ80" i="2"/>
  <c r="BP80" i="2"/>
  <c r="BO80" i="2"/>
  <c r="BN80" i="2"/>
  <c r="BL80" i="2"/>
  <c r="BR79" i="2"/>
  <c r="BS79" i="2" s="1"/>
  <c r="BQ79" i="2"/>
  <c r="BP79" i="2"/>
  <c r="BO79" i="2"/>
  <c r="BN79" i="2"/>
  <c r="BL79" i="2"/>
  <c r="BR78" i="2"/>
  <c r="BS78" i="2" s="1"/>
  <c r="BQ78" i="2"/>
  <c r="BP78" i="2"/>
  <c r="BO78" i="2"/>
  <c r="BN78" i="2"/>
  <c r="BL78" i="2"/>
  <c r="BR77" i="2"/>
  <c r="BS77" i="2" s="1"/>
  <c r="BQ77" i="2"/>
  <c r="BP77" i="2"/>
  <c r="BO77" i="2"/>
  <c r="BN77" i="2"/>
  <c r="BL77" i="2"/>
  <c r="BR76" i="2"/>
  <c r="BS76" i="2" s="1"/>
  <c r="BQ76" i="2"/>
  <c r="BP76" i="2"/>
  <c r="BO76" i="2"/>
  <c r="BN76" i="2"/>
  <c r="BL76" i="2"/>
  <c r="BR75" i="2"/>
  <c r="BS75" i="2" s="1"/>
  <c r="BQ75" i="2"/>
  <c r="BP75" i="2"/>
  <c r="BO75" i="2"/>
  <c r="BN75" i="2"/>
  <c r="BL75" i="2"/>
  <c r="BR74" i="2"/>
  <c r="BS74" i="2" s="1"/>
  <c r="BQ74" i="2"/>
  <c r="BP74" i="2"/>
  <c r="BO74" i="2"/>
  <c r="BN74" i="2"/>
  <c r="BL74" i="2"/>
  <c r="BR73" i="2"/>
  <c r="BS73" i="2" s="1"/>
  <c r="BQ73" i="2"/>
  <c r="BP73" i="2"/>
  <c r="BO73" i="2"/>
  <c r="BN73" i="2"/>
  <c r="BL73" i="2"/>
  <c r="BR72" i="2"/>
  <c r="BS72" i="2" s="1"/>
  <c r="BQ72" i="2"/>
  <c r="BP72" i="2"/>
  <c r="BO72" i="2"/>
  <c r="BN72" i="2"/>
  <c r="BL72" i="2"/>
  <c r="BR71" i="2"/>
  <c r="BS71" i="2" s="1"/>
  <c r="BQ71" i="2"/>
  <c r="BP71" i="2"/>
  <c r="BO71" i="2"/>
  <c r="BN71" i="2"/>
  <c r="BL71" i="2"/>
  <c r="BR70" i="2"/>
  <c r="BS70" i="2" s="1"/>
  <c r="BQ70" i="2"/>
  <c r="BP70" i="2"/>
  <c r="BO70" i="2"/>
  <c r="BN70" i="2"/>
  <c r="BL70" i="2"/>
  <c r="BR69" i="2"/>
  <c r="BS69" i="2" s="1"/>
  <c r="BQ69" i="2"/>
  <c r="BP69" i="2"/>
  <c r="BO69" i="2"/>
  <c r="BN69" i="2"/>
  <c r="BL69" i="2"/>
  <c r="BR68" i="2"/>
  <c r="BS68" i="2" s="1"/>
  <c r="BQ68" i="2"/>
  <c r="BP68" i="2"/>
  <c r="BO68" i="2"/>
  <c r="BN68" i="2"/>
  <c r="BL68" i="2"/>
  <c r="BR67" i="2"/>
  <c r="BS67" i="2" s="1"/>
  <c r="BQ67" i="2"/>
  <c r="BP67" i="2"/>
  <c r="BO67" i="2"/>
  <c r="BN67" i="2"/>
  <c r="BL67" i="2"/>
  <c r="BR66" i="2"/>
  <c r="BS66" i="2" s="1"/>
  <c r="BQ66" i="2"/>
  <c r="BP66" i="2"/>
  <c r="BO66" i="2"/>
  <c r="BN66" i="2"/>
  <c r="BL66" i="2"/>
  <c r="BR65" i="2"/>
  <c r="BS65" i="2" s="1"/>
  <c r="BQ65" i="2"/>
  <c r="BP65" i="2"/>
  <c r="BO65" i="2"/>
  <c r="BN65" i="2"/>
  <c r="BL65" i="2"/>
  <c r="BR64" i="2"/>
  <c r="BS64" i="2" s="1"/>
  <c r="BQ64" i="2"/>
  <c r="BP64" i="2"/>
  <c r="BO64" i="2"/>
  <c r="BN64" i="2"/>
  <c r="BL64" i="2"/>
  <c r="BR63" i="2"/>
  <c r="BS63" i="2" s="1"/>
  <c r="BQ63" i="2"/>
  <c r="BP63" i="2"/>
  <c r="BO63" i="2"/>
  <c r="BN63" i="2"/>
  <c r="BL63" i="2"/>
  <c r="BR62" i="2"/>
  <c r="BS62" i="2" s="1"/>
  <c r="BQ62" i="2"/>
  <c r="BP62" i="2"/>
  <c r="BO62" i="2"/>
  <c r="BN62" i="2"/>
  <c r="BL62" i="2"/>
  <c r="BR61" i="2"/>
  <c r="BS61" i="2" s="1"/>
  <c r="BQ61" i="2"/>
  <c r="BP61" i="2"/>
  <c r="BO61" i="2"/>
  <c r="BN61" i="2"/>
  <c r="BL61" i="2"/>
  <c r="BR60" i="2"/>
  <c r="BS60" i="2" s="1"/>
  <c r="BQ60" i="2"/>
  <c r="BP60" i="2"/>
  <c r="BO60" i="2"/>
  <c r="BN60" i="2"/>
  <c r="BL60" i="2"/>
  <c r="BR59" i="2"/>
  <c r="BS59" i="2" s="1"/>
  <c r="BQ59" i="2"/>
  <c r="BP59" i="2"/>
  <c r="BO59" i="2"/>
  <c r="BN59" i="2"/>
  <c r="BL59" i="2"/>
  <c r="BR58" i="2"/>
  <c r="BS58" i="2" s="1"/>
  <c r="BQ58" i="2"/>
  <c r="BP58" i="2"/>
  <c r="BO58" i="2"/>
  <c r="BN58" i="2"/>
  <c r="BL58" i="2"/>
  <c r="BR57" i="2"/>
  <c r="BS57" i="2" s="1"/>
  <c r="BQ57" i="2"/>
  <c r="BP57" i="2"/>
  <c r="BO57" i="2"/>
  <c r="BN57" i="2"/>
  <c r="BL57" i="2"/>
  <c r="BR56" i="2"/>
  <c r="BS56" i="2" s="1"/>
  <c r="BQ56" i="2"/>
  <c r="BP56" i="2"/>
  <c r="BO56" i="2"/>
  <c r="BN56" i="2"/>
  <c r="BL56" i="2"/>
  <c r="BR55" i="2"/>
  <c r="BS55" i="2" s="1"/>
  <c r="BQ55" i="2"/>
  <c r="BP55" i="2"/>
  <c r="BO55" i="2"/>
  <c r="BN55" i="2"/>
  <c r="BL55" i="2"/>
  <c r="BR54" i="2"/>
  <c r="BS54" i="2" s="1"/>
  <c r="BQ54" i="2"/>
  <c r="BP54" i="2"/>
  <c r="BO54" i="2"/>
  <c r="BN54" i="2"/>
  <c r="BL54" i="2"/>
  <c r="BR53" i="2"/>
  <c r="BS53" i="2" s="1"/>
  <c r="BQ53" i="2"/>
  <c r="BP53" i="2"/>
  <c r="BO53" i="2"/>
  <c r="BN53" i="2"/>
  <c r="BL53" i="2"/>
  <c r="BR52" i="2"/>
  <c r="BS52" i="2" s="1"/>
  <c r="BQ52" i="2"/>
  <c r="BP52" i="2"/>
  <c r="BO52" i="2"/>
  <c r="BN52" i="2"/>
  <c r="BL52" i="2"/>
  <c r="BR51" i="2"/>
  <c r="BS51" i="2" s="1"/>
  <c r="BQ51" i="2"/>
  <c r="BP51" i="2"/>
  <c r="BO51" i="2"/>
  <c r="BN51" i="2"/>
  <c r="BL51" i="2"/>
  <c r="BR50" i="2"/>
  <c r="BS50" i="2" s="1"/>
  <c r="BQ50" i="2"/>
  <c r="BP50" i="2"/>
  <c r="BO50" i="2"/>
  <c r="BN50" i="2"/>
  <c r="BL50" i="2"/>
  <c r="BR49" i="2"/>
  <c r="BS49" i="2" s="1"/>
  <c r="BQ49" i="2"/>
  <c r="BP49" i="2"/>
  <c r="BO49" i="2"/>
  <c r="BN49" i="2"/>
  <c r="BL49" i="2"/>
  <c r="BR48" i="2"/>
  <c r="BS48" i="2" s="1"/>
  <c r="BQ48" i="2"/>
  <c r="BP48" i="2"/>
  <c r="BO48" i="2"/>
  <c r="BN48" i="2"/>
  <c r="BL48" i="2"/>
  <c r="BR47" i="2"/>
  <c r="BS47" i="2" s="1"/>
  <c r="BQ47" i="2"/>
  <c r="BP47" i="2"/>
  <c r="BO47" i="2"/>
  <c r="BN47" i="2"/>
  <c r="BL47" i="2"/>
  <c r="BR46" i="2"/>
  <c r="BS46" i="2" s="1"/>
  <c r="BQ46" i="2"/>
  <c r="BP46" i="2"/>
  <c r="BO46" i="2"/>
  <c r="BN46" i="2"/>
  <c r="BL46" i="2"/>
  <c r="BR45" i="2"/>
  <c r="BS45" i="2" s="1"/>
  <c r="BQ45" i="2"/>
  <c r="BP45" i="2"/>
  <c r="BO45" i="2"/>
  <c r="BN45" i="2"/>
  <c r="BL45" i="2"/>
  <c r="BR44" i="2"/>
  <c r="BS44" i="2" s="1"/>
  <c r="BQ44" i="2"/>
  <c r="BP44" i="2"/>
  <c r="BO44" i="2"/>
  <c r="BN44" i="2"/>
  <c r="BL44" i="2"/>
  <c r="BR43" i="2"/>
  <c r="BS43" i="2" s="1"/>
  <c r="BQ43" i="2"/>
  <c r="BP43" i="2"/>
  <c r="BO43" i="2"/>
  <c r="BN43" i="2"/>
  <c r="BL43" i="2"/>
  <c r="BR42" i="2"/>
  <c r="BS42" i="2" s="1"/>
  <c r="BQ42" i="2"/>
  <c r="BP42" i="2"/>
  <c r="BO42" i="2"/>
  <c r="BN42" i="2"/>
  <c r="BL42" i="2"/>
  <c r="BR41" i="2"/>
  <c r="BS41" i="2" s="1"/>
  <c r="BQ41" i="2"/>
  <c r="BP41" i="2"/>
  <c r="BO41" i="2"/>
  <c r="BN41" i="2"/>
  <c r="BL41" i="2"/>
  <c r="BR40" i="2"/>
  <c r="BS40" i="2" s="1"/>
  <c r="BQ40" i="2"/>
  <c r="BP40" i="2"/>
  <c r="BO40" i="2"/>
  <c r="BN40" i="2"/>
  <c r="BL40" i="2"/>
  <c r="BR39" i="2"/>
  <c r="BS39" i="2" s="1"/>
  <c r="BQ39" i="2"/>
  <c r="BP39" i="2"/>
  <c r="BO39" i="2"/>
  <c r="BN39" i="2"/>
  <c r="BL39" i="2"/>
  <c r="BR38" i="2"/>
  <c r="BS38" i="2" s="1"/>
  <c r="BQ38" i="2"/>
  <c r="BP38" i="2"/>
  <c r="BO38" i="2"/>
  <c r="BN38" i="2"/>
  <c r="BL38" i="2"/>
  <c r="BR37" i="2"/>
  <c r="BS37" i="2" s="1"/>
  <c r="BQ37" i="2"/>
  <c r="BP37" i="2"/>
  <c r="BO37" i="2"/>
  <c r="BN37" i="2"/>
  <c r="BL37" i="2"/>
  <c r="BR36" i="2"/>
  <c r="BS36" i="2" s="1"/>
  <c r="BQ36" i="2"/>
  <c r="BP36" i="2"/>
  <c r="BO36" i="2"/>
  <c r="BN36" i="2"/>
  <c r="BL36" i="2"/>
  <c r="BR35" i="2"/>
  <c r="BS35" i="2" s="1"/>
  <c r="BQ35" i="2"/>
  <c r="BP35" i="2"/>
  <c r="BO35" i="2"/>
  <c r="BN35" i="2"/>
  <c r="BL35" i="2"/>
  <c r="BR34" i="2"/>
  <c r="BS34" i="2" s="1"/>
  <c r="BQ34" i="2"/>
  <c r="BP34" i="2"/>
  <c r="BO34" i="2"/>
  <c r="BN34" i="2"/>
  <c r="BL34" i="2"/>
  <c r="BR33" i="2"/>
  <c r="BS33" i="2" s="1"/>
  <c r="BQ33" i="2"/>
  <c r="BP33" i="2"/>
  <c r="BO33" i="2"/>
  <c r="BN33" i="2"/>
  <c r="BL33" i="2"/>
  <c r="BR32" i="2"/>
  <c r="BS32" i="2" s="1"/>
  <c r="BQ32" i="2"/>
  <c r="BP32" i="2"/>
  <c r="BO32" i="2"/>
  <c r="BN32" i="2"/>
  <c r="BL32" i="2"/>
  <c r="BR31" i="2"/>
  <c r="BS31" i="2" s="1"/>
  <c r="BQ31" i="2"/>
  <c r="BP31" i="2"/>
  <c r="BO31" i="2"/>
  <c r="BN31" i="2"/>
  <c r="BL31" i="2"/>
  <c r="BR30" i="2"/>
  <c r="BS30" i="2" s="1"/>
  <c r="BQ30" i="2"/>
  <c r="BP30" i="2"/>
  <c r="BO30" i="2"/>
  <c r="BN30" i="2"/>
  <c r="BL30" i="2"/>
  <c r="BR29" i="2"/>
  <c r="BS29" i="2" s="1"/>
  <c r="BQ29" i="2"/>
  <c r="BP29" i="2"/>
  <c r="BO29" i="2"/>
  <c r="BN29" i="2"/>
  <c r="BL29" i="2"/>
  <c r="BR28" i="2"/>
  <c r="BS28" i="2" s="1"/>
  <c r="BQ28" i="2"/>
  <c r="BP28" i="2"/>
  <c r="BO28" i="2"/>
  <c r="BN28" i="2"/>
  <c r="BL28" i="2"/>
  <c r="BR27" i="2"/>
  <c r="BS27" i="2" s="1"/>
  <c r="BQ27" i="2"/>
  <c r="BP27" i="2"/>
  <c r="BO27" i="2"/>
  <c r="BN27" i="2"/>
  <c r="BL27" i="2"/>
  <c r="BR26" i="2"/>
  <c r="BS26" i="2" s="1"/>
  <c r="BQ26" i="2"/>
  <c r="BP26" i="2"/>
  <c r="BO26" i="2"/>
  <c r="BN26" i="2"/>
  <c r="BL26" i="2"/>
  <c r="BR25" i="2"/>
  <c r="BS25" i="2" s="1"/>
  <c r="BQ25" i="2"/>
  <c r="BP25" i="2"/>
  <c r="BO25" i="2"/>
  <c r="BN25" i="2"/>
  <c r="BL25" i="2"/>
  <c r="BR24" i="2"/>
  <c r="BS24" i="2" s="1"/>
  <c r="BQ24" i="2"/>
  <c r="BP24" i="2"/>
  <c r="BO24" i="2"/>
  <c r="BN24" i="2"/>
  <c r="BL24" i="2"/>
  <c r="BR23" i="2"/>
  <c r="BS23" i="2" s="1"/>
  <c r="BQ23" i="2"/>
  <c r="BP23" i="2"/>
  <c r="BO23" i="2"/>
  <c r="BN23" i="2"/>
  <c r="BL23" i="2"/>
  <c r="BR22" i="2"/>
  <c r="BS22" i="2" s="1"/>
  <c r="BQ22" i="2"/>
  <c r="BP22" i="2"/>
  <c r="BO22" i="2"/>
  <c r="BN22" i="2"/>
  <c r="BL22" i="2"/>
  <c r="BR21" i="2"/>
  <c r="BS21" i="2" s="1"/>
  <c r="BQ21" i="2"/>
  <c r="BP21" i="2"/>
  <c r="BO21" i="2"/>
  <c r="BN21" i="2"/>
  <c r="BL21" i="2"/>
  <c r="BR20" i="2"/>
  <c r="BS20" i="2" s="1"/>
  <c r="BQ20" i="2"/>
  <c r="BP20" i="2"/>
  <c r="BO20" i="2"/>
  <c r="BN20" i="2"/>
  <c r="BL20" i="2"/>
  <c r="BR19" i="2"/>
  <c r="BS19" i="2" s="1"/>
  <c r="BQ19" i="2"/>
  <c r="BP19" i="2"/>
  <c r="BO19" i="2"/>
  <c r="BN19" i="2"/>
  <c r="BL19" i="2"/>
  <c r="BR18" i="2"/>
  <c r="BS18" i="2" s="1"/>
  <c r="BQ18" i="2"/>
  <c r="BP18" i="2"/>
  <c r="BO18" i="2"/>
  <c r="BN18" i="2"/>
  <c r="BL18" i="2"/>
  <c r="BR17" i="2"/>
  <c r="BS17" i="2" s="1"/>
  <c r="BQ17" i="2"/>
  <c r="BP17" i="2"/>
  <c r="BO17" i="2"/>
  <c r="BN17" i="2"/>
  <c r="BL17" i="2"/>
  <c r="BR16" i="2"/>
  <c r="BS16" i="2" s="1"/>
  <c r="BQ16" i="2"/>
  <c r="BP16" i="2"/>
  <c r="BO16" i="2"/>
  <c r="BN16" i="2"/>
  <c r="BL16" i="2"/>
  <c r="BR15" i="2"/>
  <c r="BS15" i="2" s="1"/>
  <c r="BQ15" i="2"/>
  <c r="BP15" i="2"/>
  <c r="BO15" i="2"/>
  <c r="BN15" i="2"/>
  <c r="BL15" i="2"/>
  <c r="BR14" i="2"/>
  <c r="BS14" i="2" s="1"/>
  <c r="BQ14" i="2"/>
  <c r="BP14" i="2"/>
  <c r="BO14" i="2"/>
  <c r="BN14" i="2"/>
  <c r="BL14" i="2"/>
  <c r="BR13" i="2"/>
  <c r="BS13" i="2" s="1"/>
  <c r="BQ13" i="2"/>
  <c r="BP13" i="2"/>
  <c r="BO13" i="2"/>
  <c r="BN13" i="2"/>
  <c r="BL13" i="2"/>
  <c r="BR12" i="2"/>
  <c r="BS12" i="2" s="1"/>
  <c r="BQ12" i="2"/>
  <c r="BP12" i="2"/>
  <c r="BO12" i="2"/>
  <c r="BN12" i="2"/>
  <c r="BL12" i="2"/>
  <c r="BR11" i="2"/>
  <c r="BS11" i="2" s="1"/>
  <c r="BQ11" i="2"/>
  <c r="BP11" i="2"/>
  <c r="BO11" i="2"/>
  <c r="BN11" i="2"/>
  <c r="BL11" i="2"/>
  <c r="BR10" i="2"/>
  <c r="BS10" i="2" s="1"/>
  <c r="BQ10" i="2"/>
  <c r="BP10" i="2"/>
  <c r="BO10" i="2"/>
  <c r="BN10" i="2"/>
  <c r="BL10" i="2"/>
  <c r="BR9" i="2"/>
  <c r="BS9" i="2" s="1"/>
  <c r="BQ9" i="2"/>
  <c r="BP9" i="2"/>
  <c r="BO9" i="2"/>
  <c r="BN9" i="2"/>
  <c r="BL9" i="2"/>
  <c r="BR8" i="2"/>
  <c r="BS8" i="2" s="1"/>
  <c r="BQ8" i="2"/>
  <c r="BP8" i="2"/>
  <c r="BO8" i="2"/>
  <c r="BN8" i="2"/>
  <c r="BL8" i="2"/>
  <c r="BR7" i="2"/>
  <c r="BS7" i="2" s="1"/>
  <c r="BQ7" i="2"/>
  <c r="BP7" i="2"/>
  <c r="BO7" i="2"/>
  <c r="BN7" i="2"/>
  <c r="BL7" i="2"/>
  <c r="BR6" i="2"/>
  <c r="BS6" i="2" s="1"/>
  <c r="BQ6" i="2"/>
  <c r="BP6" i="2"/>
  <c r="BO6" i="2"/>
  <c r="BN6" i="2"/>
  <c r="BL6" i="2"/>
  <c r="BR5" i="2"/>
  <c r="BS5" i="2" s="1"/>
  <c r="BQ5" i="2"/>
  <c r="BP5" i="2"/>
  <c r="BO5" i="2"/>
  <c r="BN5" i="2"/>
  <c r="BL5" i="2"/>
  <c r="BR4" i="2"/>
  <c r="BS4" i="2" s="1"/>
  <c r="BQ4" i="2"/>
  <c r="BP4" i="2"/>
  <c r="BO4" i="2"/>
  <c r="BN4" i="2"/>
  <c r="BL4" i="2"/>
  <c r="BR3" i="2"/>
  <c r="BS3" i="2" s="1"/>
  <c r="BQ3" i="2"/>
  <c r="BP3" i="2"/>
  <c r="BO3" i="2"/>
  <c r="BN3" i="2"/>
  <c r="BL3" i="2"/>
  <c r="BR2" i="2"/>
  <c r="BS2" i="2" s="1"/>
  <c r="BQ2" i="2"/>
  <c r="BP2" i="2"/>
  <c r="BO2" i="2"/>
  <c r="BN2" i="2"/>
  <c r="BL2" i="2"/>
  <c r="AK62" i="23" l="1"/>
  <c r="AL23" i="23"/>
  <c r="AK74" i="23"/>
  <c r="AL34" i="23"/>
  <c r="AL25" i="23"/>
  <c r="AL32" i="23"/>
  <c r="AL33" i="23"/>
  <c r="AL31" i="23"/>
  <c r="AL22" i="23"/>
  <c r="AL27" i="23"/>
  <c r="AL28" i="23"/>
  <c r="AL29" i="23"/>
  <c r="AL26" i="23"/>
  <c r="AL30" i="23"/>
  <c r="AL24" i="23"/>
  <c r="AK73" i="23"/>
  <c r="AL3" i="23"/>
  <c r="AF170" i="23"/>
  <c r="AF158" i="23"/>
  <c r="AF162" i="23"/>
  <c r="AF166" i="23"/>
  <c r="AF163" i="23"/>
  <c r="AF165" i="23"/>
  <c r="AF167" i="23"/>
  <c r="AF155" i="23"/>
  <c r="AM155" i="23" s="1" a="1"/>
  <c r="AM155" i="23" s="1"/>
  <c r="AF159" i="23"/>
  <c r="AF168" i="23"/>
  <c r="AF156" i="23"/>
  <c r="AF160" i="23"/>
  <c r="AF164" i="23"/>
  <c r="AF169" i="23"/>
  <c r="AF157" i="23"/>
  <c r="AF161" i="23"/>
  <c r="AK54" i="23"/>
  <c r="AL36" i="23"/>
  <c r="AL37" i="23"/>
  <c r="AK53" i="23"/>
  <c r="AK71" i="23"/>
  <c r="AL8" i="23"/>
  <c r="AL9" i="23"/>
  <c r="AL13" i="23"/>
  <c r="AL17" i="23"/>
  <c r="AL6" i="23"/>
  <c r="AL5" i="23"/>
  <c r="AL15" i="23"/>
  <c r="AL10" i="23"/>
  <c r="AL14" i="23"/>
  <c r="AL12" i="23"/>
  <c r="AK70" i="23"/>
  <c r="AL16" i="23"/>
  <c r="AL4" i="23"/>
  <c r="AL7" i="23"/>
  <c r="AL11" i="23"/>
  <c r="AJ90" i="23"/>
  <c r="AJ89" i="23"/>
  <c r="AK133" i="23"/>
  <c r="AM140" i="23" a="1"/>
  <c r="AM140" i="23" s="1"/>
  <c r="AG140" i="23" s="1"/>
  <c r="AG134" i="23"/>
  <c r="AG132" i="23"/>
  <c r="G20" i="23"/>
  <c r="G75" i="23" s="1"/>
  <c r="AG130" i="23"/>
  <c r="AM151" i="23" a="1"/>
  <c r="AM151" i="23" s="1"/>
  <c r="AG151" i="23" s="1"/>
  <c r="AM142" i="23" a="1"/>
  <c r="AM142" i="23" s="1"/>
  <c r="AG142" i="23" s="1"/>
  <c r="AM144" i="23" a="1"/>
  <c r="AM144" i="23" s="1"/>
  <c r="AG144" i="23" s="1"/>
  <c r="AM143" i="23" a="1"/>
  <c r="AM143" i="23" s="1"/>
  <c r="AJ85" i="23"/>
  <c r="AM152" i="23" a="1"/>
  <c r="AM152" i="23" s="1"/>
  <c r="AG152" i="23" s="1"/>
  <c r="AM150" i="23" a="1"/>
  <c r="AM150" i="23" s="1"/>
  <c r="AG150" i="23" s="1"/>
  <c r="AM148" i="23" a="1"/>
  <c r="AM148" i="23" s="1"/>
  <c r="AG148" i="23" s="1"/>
  <c r="AH115" i="23"/>
  <c r="AI115" i="23" s="1"/>
  <c r="AM149" i="23" a="1"/>
  <c r="AM149" i="23" s="1"/>
  <c r="AK149" i="23" s="1"/>
  <c r="AI91" i="23"/>
  <c r="AJ100" i="23" s="1"/>
  <c r="G13" i="23"/>
  <c r="G21" i="23"/>
  <c r="G17" i="23"/>
  <c r="G12" i="23"/>
  <c r="AI105" i="23"/>
  <c r="AJ105" i="23" s="1"/>
  <c r="AH111" i="23"/>
  <c r="AI111" i="23" s="1"/>
  <c r="G15" i="23"/>
  <c r="AH116" i="23"/>
  <c r="AI116" i="23" s="1"/>
  <c r="AM147" i="23" a="1"/>
  <c r="AM147" i="23" s="1"/>
  <c r="AM146" i="23" a="1"/>
  <c r="AM146" i="23" s="1"/>
  <c r="AG136" i="23"/>
  <c r="AK136" i="23"/>
  <c r="AP73" i="23"/>
  <c r="F88" i="23"/>
  <c r="F70" i="23"/>
  <c r="AO73" i="23"/>
  <c r="AT8" i="2"/>
  <c r="F91" i="23"/>
  <c r="F73" i="23"/>
  <c r="AO76" i="23"/>
  <c r="AP76" i="23"/>
  <c r="AJ70" i="23"/>
  <c r="AJ79" i="23"/>
  <c r="AJ81" i="23"/>
  <c r="AH113" i="23"/>
  <c r="AI113" i="23" s="1"/>
  <c r="AG131" i="23"/>
  <c r="AJ84" i="23"/>
  <c r="G18" i="23"/>
  <c r="AJ73" i="23"/>
  <c r="AH119" i="23"/>
  <c r="AI119" i="23" s="1"/>
  <c r="AJ83" i="23"/>
  <c r="AH117" i="23"/>
  <c r="AI117" i="23" s="1"/>
  <c r="AJ78" i="23"/>
  <c r="AM145" i="23" a="1"/>
  <c r="AM145" i="23" s="1"/>
  <c r="AG126" i="23"/>
  <c r="F71" i="23"/>
  <c r="AP74" i="23"/>
  <c r="F89" i="23"/>
  <c r="AT7" i="2"/>
  <c r="AO74" i="23"/>
  <c r="F67" i="23"/>
  <c r="AT5" i="2"/>
  <c r="AO70" i="23"/>
  <c r="F85" i="23"/>
  <c r="AP70" i="23"/>
  <c r="AJ75" i="23"/>
  <c r="AH112" i="23"/>
  <c r="AI112" i="23" s="1"/>
  <c r="AJ82" i="23"/>
  <c r="AG127" i="23"/>
  <c r="AJ74" i="23"/>
  <c r="AJ71" i="23"/>
  <c r="AJ77" i="23"/>
  <c r="AH106" i="23"/>
  <c r="AI106" i="23" s="1"/>
  <c r="AG122" i="23"/>
  <c r="AH122" i="23" s="1"/>
  <c r="AT9" i="2"/>
  <c r="F75" i="23"/>
  <c r="AP78" i="23"/>
  <c r="AO78" i="23"/>
  <c r="F93" i="23"/>
  <c r="AO79" i="23"/>
  <c r="F94" i="23"/>
  <c r="AT10" i="2"/>
  <c r="F76" i="23"/>
  <c r="AP79" i="23"/>
  <c r="AH110" i="23"/>
  <c r="AI110" i="23" s="1"/>
  <c r="AH118" i="23"/>
  <c r="AI118" i="23" s="1"/>
  <c r="AH107" i="23"/>
  <c r="AI107" i="23" s="1"/>
  <c r="AH109" i="23"/>
  <c r="AI109" i="23" s="1"/>
  <c r="AG123" i="23"/>
  <c r="AJ76" i="23"/>
  <c r="G16" i="23"/>
  <c r="AM139" i="23" a="1"/>
  <c r="AM139" i="23" s="1"/>
  <c r="AM141" i="23" a="1"/>
  <c r="AM141" i="23" s="1"/>
  <c r="AM153" i="23" a="1"/>
  <c r="AM153" i="23" s="1"/>
  <c r="AG138" i="23"/>
  <c r="AH138" i="23" s="1"/>
  <c r="AI138" i="23" s="1"/>
  <c r="AJ138" i="23" s="1"/>
  <c r="AG135" i="23"/>
  <c r="AK135" i="23"/>
  <c r="F87" i="23"/>
  <c r="F69" i="23"/>
  <c r="AT6" i="2"/>
  <c r="AO72" i="23"/>
  <c r="AP72" i="23"/>
  <c r="F90" i="23"/>
  <c r="F72" i="23"/>
  <c r="AP75" i="23"/>
  <c r="AO75" i="23"/>
  <c r="AO71" i="23"/>
  <c r="AP71" i="23"/>
  <c r="F86" i="23"/>
  <c r="F68" i="23"/>
  <c r="AH114" i="23"/>
  <c r="AI114" i="23" s="1"/>
  <c r="AJ80" i="23"/>
  <c r="G14" i="23"/>
  <c r="AH108" i="23"/>
  <c r="AI108" i="23" s="1"/>
  <c r="AO59" i="23"/>
  <c r="E90" i="23"/>
  <c r="E72" i="23"/>
  <c r="AO58" i="23"/>
  <c r="AP55" i="23"/>
  <c r="E87" i="23"/>
  <c r="E69" i="23"/>
  <c r="AS8" i="2"/>
  <c r="E91" i="23"/>
  <c r="E73" i="23"/>
  <c r="AO57" i="23"/>
  <c r="E89" i="23"/>
  <c r="E71" i="23"/>
  <c r="AS9" i="2"/>
  <c r="E93" i="23"/>
  <c r="E75" i="23"/>
  <c r="AO62" i="23"/>
  <c r="E94" i="23"/>
  <c r="E76" i="23"/>
  <c r="E88" i="23"/>
  <c r="E70" i="23"/>
  <c r="AP61" i="23"/>
  <c r="AP54" i="23"/>
  <c r="E86" i="23"/>
  <c r="E68" i="23"/>
  <c r="AO53" i="23"/>
  <c r="E85" i="23"/>
  <c r="E67" i="23"/>
  <c r="AO54" i="23"/>
  <c r="AS7" i="2"/>
  <c r="AO61" i="23"/>
  <c r="AP53" i="23"/>
  <c r="AP58" i="23"/>
  <c r="AS6" i="2"/>
  <c r="AP56" i="23"/>
  <c r="AS5" i="2"/>
  <c r="AO56" i="23"/>
  <c r="AS10" i="2"/>
  <c r="AP62" i="23"/>
  <c r="AP57" i="23"/>
  <c r="D19" i="23"/>
  <c r="AK46" i="23" s="1"/>
  <c r="E19" i="23"/>
  <c r="AK57" i="23" s="1"/>
  <c r="AY12" i="2"/>
  <c r="AX12" i="2"/>
  <c r="AW12" i="2"/>
  <c r="AV12" i="2"/>
  <c r="AU12" i="2"/>
  <c r="AT12" i="2"/>
  <c r="AS12" i="2"/>
  <c r="AR12" i="2"/>
  <c r="AY11" i="2"/>
  <c r="AX11" i="2"/>
  <c r="AW11" i="2"/>
  <c r="AV11" i="2"/>
  <c r="AU11" i="2"/>
  <c r="AT11" i="2"/>
  <c r="AS11" i="2"/>
  <c r="AR11" i="2"/>
  <c r="AP11" i="2"/>
  <c r="AP10" i="2"/>
  <c r="AP9" i="2"/>
  <c r="AP8" i="2"/>
  <c r="AP7" i="2"/>
  <c r="AP6" i="2"/>
  <c r="AP5" i="2"/>
  <c r="AP3" i="2"/>
  <c r="AP2" i="2"/>
  <c r="AK61" i="23" l="1"/>
  <c r="C22" i="23"/>
  <c r="AK56" i="23"/>
  <c r="AK60" i="23"/>
  <c r="AK59" i="23"/>
  <c r="AK58" i="23"/>
  <c r="AK55" i="23"/>
  <c r="AL55" i="23" s="1"/>
  <c r="AK45" i="23"/>
  <c r="AK42" i="23"/>
  <c r="AK38" i="23"/>
  <c r="AK44" i="23"/>
  <c r="AK41" i="23"/>
  <c r="C23" i="23"/>
  <c r="AP30" i="23" s="1"/>
  <c r="AK40" i="23"/>
  <c r="AK43" i="23"/>
  <c r="C24" i="23"/>
  <c r="AP31" i="23" s="1"/>
  <c r="C26" i="23"/>
  <c r="AP33" i="23" s="1"/>
  <c r="C27" i="23"/>
  <c r="C100" i="23" s="1"/>
  <c r="C25" i="23"/>
  <c r="AP32" i="23" s="1"/>
  <c r="AM160" i="23" a="1"/>
  <c r="AM160" i="23" s="1"/>
  <c r="AG160" i="23" s="1"/>
  <c r="AM162" i="23" a="1"/>
  <c r="AM162" i="23" s="1"/>
  <c r="AG162" i="23" s="1"/>
  <c r="AM159" i="23" a="1"/>
  <c r="AM159" i="23" s="1"/>
  <c r="AG159" i="23" s="1"/>
  <c r="AM157" i="23" a="1"/>
  <c r="AM157" i="23" s="1"/>
  <c r="AG157" i="23" s="1"/>
  <c r="AM165" i="23" a="1"/>
  <c r="AM165" i="23" s="1"/>
  <c r="AK165" i="23" s="1"/>
  <c r="AM170" i="23" a="1"/>
  <c r="AM170" i="23" s="1"/>
  <c r="AK170" i="23" s="1"/>
  <c r="AM168" i="23" a="1"/>
  <c r="AM168" i="23" s="1"/>
  <c r="AG168" i="23" s="1"/>
  <c r="AM169" i="23" a="1"/>
  <c r="AM169" i="23" s="1"/>
  <c r="AK169" i="23" s="1"/>
  <c r="AM161" i="23" a="1"/>
  <c r="AM161" i="23" s="1"/>
  <c r="AM167" i="23" a="1"/>
  <c r="AM167" i="23" s="1"/>
  <c r="AK167" i="23" s="1"/>
  <c r="AM166" i="23" a="1"/>
  <c r="AM166" i="23" s="1"/>
  <c r="AG166" i="23" s="1"/>
  <c r="AM164" i="23" a="1"/>
  <c r="AM164" i="23" s="1"/>
  <c r="AG164" i="23" s="1"/>
  <c r="AM158" i="23" a="1"/>
  <c r="AM158" i="23" s="1"/>
  <c r="AG158" i="23" s="1"/>
  <c r="AM163" i="23" a="1"/>
  <c r="AM163" i="23" s="1"/>
  <c r="AM156" i="23" a="1"/>
  <c r="AM156" i="23" s="1"/>
  <c r="AG156" i="23" s="1"/>
  <c r="AK89" i="23"/>
  <c r="AK88" i="23"/>
  <c r="AL71" i="23"/>
  <c r="AL53" i="23"/>
  <c r="AL54" i="23"/>
  <c r="B24" i="23"/>
  <c r="AP14" i="23" s="1"/>
  <c r="AL70" i="23"/>
  <c r="B25" i="23"/>
  <c r="AP15" i="23" s="1"/>
  <c r="B23" i="23"/>
  <c r="B22" i="23"/>
  <c r="B95" i="23" s="1"/>
  <c r="B26" i="23"/>
  <c r="B27" i="23"/>
  <c r="AK87" i="23"/>
  <c r="AO95" i="23"/>
  <c r="AH124" i="23"/>
  <c r="AI124" i="23" s="1"/>
  <c r="AG149" i="23"/>
  <c r="AH123" i="23"/>
  <c r="AI123" i="23" s="1"/>
  <c r="AK151" i="23"/>
  <c r="AK150" i="23"/>
  <c r="AG155" i="23"/>
  <c r="AH155" i="23" s="1"/>
  <c r="AI155" i="23" s="1"/>
  <c r="AJ155" i="23" s="1"/>
  <c r="G93" i="23"/>
  <c r="AJ94" i="23"/>
  <c r="AP95" i="23"/>
  <c r="AU9" i="2"/>
  <c r="AJ98" i="23"/>
  <c r="AJ96" i="23"/>
  <c r="AJ95" i="23"/>
  <c r="AK152" i="23"/>
  <c r="AG143" i="23"/>
  <c r="AK148" i="23"/>
  <c r="AH125" i="23"/>
  <c r="AI125" i="23" s="1"/>
  <c r="AH133" i="23"/>
  <c r="AI133" i="23" s="1"/>
  <c r="AH134" i="23"/>
  <c r="AI134" i="23" s="1"/>
  <c r="AJ108" i="23"/>
  <c r="AH135" i="23"/>
  <c r="AI135" i="23" s="1"/>
  <c r="AJ107" i="23"/>
  <c r="AH128" i="23"/>
  <c r="AI128" i="23" s="1"/>
  <c r="AJ106" i="23"/>
  <c r="AH132" i="23"/>
  <c r="AI132" i="23" s="1"/>
  <c r="AH136" i="23"/>
  <c r="AI136" i="23" s="1"/>
  <c r="H13" i="23"/>
  <c r="AK145" i="23"/>
  <c r="AG145" i="23"/>
  <c r="AJ119" i="23"/>
  <c r="H16" i="23"/>
  <c r="G91" i="23"/>
  <c r="AO93" i="23"/>
  <c r="AP93" i="23"/>
  <c r="G73" i="23"/>
  <c r="AU8" i="2"/>
  <c r="AJ113" i="23"/>
  <c r="F19" i="23"/>
  <c r="AK72" i="23" s="1"/>
  <c r="AL75" i="23" s="1"/>
  <c r="AG147" i="23"/>
  <c r="AK147" i="23"/>
  <c r="H21" i="23"/>
  <c r="G85" i="23"/>
  <c r="AO87" i="23"/>
  <c r="AU5" i="2"/>
  <c r="AP87" i="23"/>
  <c r="G67" i="23"/>
  <c r="AJ93" i="23"/>
  <c r="AJ91" i="23"/>
  <c r="AJ92" i="23"/>
  <c r="AJ102" i="23"/>
  <c r="H15" i="23"/>
  <c r="G69" i="23"/>
  <c r="AU6" i="2"/>
  <c r="G87" i="23"/>
  <c r="AP89" i="23"/>
  <c r="AO89" i="23"/>
  <c r="AK153" i="23"/>
  <c r="AG153" i="23"/>
  <c r="H18" i="23"/>
  <c r="AJ109" i="23"/>
  <c r="AJ110" i="23"/>
  <c r="AJ112" i="23"/>
  <c r="AJ101" i="23"/>
  <c r="AJ117" i="23"/>
  <c r="AH130" i="23"/>
  <c r="AI130" i="23" s="1"/>
  <c r="AH129" i="23"/>
  <c r="AI129" i="23" s="1"/>
  <c r="AK146" i="23"/>
  <c r="AG146" i="23"/>
  <c r="AJ116" i="23"/>
  <c r="AJ99" i="23"/>
  <c r="H12" i="23"/>
  <c r="AO92" i="23"/>
  <c r="G72" i="23"/>
  <c r="G90" i="23"/>
  <c r="AP92" i="23"/>
  <c r="AJ114" i="23"/>
  <c r="AG141" i="23"/>
  <c r="G71" i="23"/>
  <c r="AO91" i="23"/>
  <c r="AU7" i="2"/>
  <c r="AP91" i="23"/>
  <c r="G89" i="23"/>
  <c r="G70" i="23"/>
  <c r="AO90" i="23"/>
  <c r="AP90" i="23"/>
  <c r="G88" i="23"/>
  <c r="H17" i="23"/>
  <c r="H20" i="23"/>
  <c r="G76" i="23"/>
  <c r="AU10" i="2"/>
  <c r="AO96" i="23"/>
  <c r="G94" i="23"/>
  <c r="AP96" i="23"/>
  <c r="AJ97" i="23"/>
  <c r="AG139" i="23"/>
  <c r="AH139" i="23" s="1"/>
  <c r="AJ118" i="23"/>
  <c r="AI122" i="23"/>
  <c r="AJ122" i="23" s="1"/>
  <c r="AJ115" i="23"/>
  <c r="AH127" i="23"/>
  <c r="AI127" i="23" s="1"/>
  <c r="AH126" i="23"/>
  <c r="AI126" i="23" s="1"/>
  <c r="AH131" i="23"/>
  <c r="AI131" i="23" s="1"/>
  <c r="AJ111" i="23"/>
  <c r="H14" i="23"/>
  <c r="G68" i="23"/>
  <c r="AP88" i="23"/>
  <c r="AO88" i="23"/>
  <c r="G86" i="23"/>
  <c r="C95" i="23"/>
  <c r="C77" i="23"/>
  <c r="E74" i="23"/>
  <c r="E92" i="23"/>
  <c r="D74" i="23"/>
  <c r="D92" i="23"/>
  <c r="AR2" i="2"/>
  <c r="AP43" i="23"/>
  <c r="AO43" i="23"/>
  <c r="AP60" i="23"/>
  <c r="AO60" i="23"/>
  <c r="AS2" i="2"/>
  <c r="AO29" i="23"/>
  <c r="AP29" i="23"/>
  <c r="O930" i="2"/>
  <c r="O929" i="2"/>
  <c r="O928" i="2"/>
  <c r="O927" i="2"/>
  <c r="O926" i="2"/>
  <c r="O925" i="2"/>
  <c r="O924" i="2"/>
  <c r="O923" i="2"/>
  <c r="O922" i="2"/>
  <c r="O921" i="2"/>
  <c r="O920" i="2"/>
  <c r="O919" i="2"/>
  <c r="O918" i="2"/>
  <c r="O917" i="2"/>
  <c r="O916" i="2"/>
  <c r="O915" i="2"/>
  <c r="O914" i="2"/>
  <c r="O913" i="2"/>
  <c r="O912" i="2"/>
  <c r="O911" i="2"/>
  <c r="O910" i="2"/>
  <c r="O909" i="2"/>
  <c r="O908" i="2"/>
  <c r="O907" i="2"/>
  <c r="O906" i="2"/>
  <c r="O905" i="2"/>
  <c r="O904" i="2"/>
  <c r="O903" i="2"/>
  <c r="O902" i="2"/>
  <c r="O901" i="2"/>
  <c r="O900" i="2"/>
  <c r="O899" i="2"/>
  <c r="O898" i="2"/>
  <c r="O897" i="2"/>
  <c r="O896" i="2"/>
  <c r="O895" i="2"/>
  <c r="O894" i="2"/>
  <c r="O893" i="2"/>
  <c r="O892" i="2"/>
  <c r="O891" i="2"/>
  <c r="O890" i="2"/>
  <c r="O889" i="2"/>
  <c r="O888" i="2"/>
  <c r="O887" i="2"/>
  <c r="O886" i="2"/>
  <c r="O885" i="2"/>
  <c r="O884" i="2"/>
  <c r="O883" i="2"/>
  <c r="O882" i="2"/>
  <c r="O881" i="2"/>
  <c r="O880" i="2"/>
  <c r="O879" i="2"/>
  <c r="O878" i="2"/>
  <c r="O877" i="2"/>
  <c r="O876" i="2"/>
  <c r="O875" i="2"/>
  <c r="O874" i="2"/>
  <c r="O873" i="2"/>
  <c r="O872" i="2"/>
  <c r="O871" i="2"/>
  <c r="O870" i="2"/>
  <c r="O869" i="2"/>
  <c r="O868" i="2"/>
  <c r="O867" i="2"/>
  <c r="O866" i="2"/>
  <c r="O865" i="2"/>
  <c r="O864" i="2"/>
  <c r="O863" i="2"/>
  <c r="O862" i="2"/>
  <c r="O861" i="2"/>
  <c r="O860" i="2"/>
  <c r="O859" i="2"/>
  <c r="O858" i="2"/>
  <c r="O857" i="2"/>
  <c r="O856" i="2"/>
  <c r="O855" i="2"/>
  <c r="O854" i="2"/>
  <c r="O853" i="2"/>
  <c r="O852" i="2"/>
  <c r="O851" i="2"/>
  <c r="O850" i="2"/>
  <c r="O849" i="2"/>
  <c r="O848" i="2"/>
  <c r="O847" i="2"/>
  <c r="O846" i="2"/>
  <c r="O845" i="2"/>
  <c r="O844" i="2"/>
  <c r="O843" i="2"/>
  <c r="O842" i="2"/>
  <c r="O841" i="2"/>
  <c r="O840" i="2"/>
  <c r="O839" i="2"/>
  <c r="O838" i="2"/>
  <c r="O837" i="2"/>
  <c r="O836" i="2"/>
  <c r="O835" i="2"/>
  <c r="O834" i="2"/>
  <c r="O833" i="2"/>
  <c r="O832" i="2"/>
  <c r="O831" i="2"/>
  <c r="O830" i="2"/>
  <c r="O829" i="2"/>
  <c r="O828" i="2"/>
  <c r="O827" i="2"/>
  <c r="O826" i="2"/>
  <c r="O825" i="2"/>
  <c r="O824" i="2"/>
  <c r="O823" i="2"/>
  <c r="O822" i="2"/>
  <c r="O821" i="2"/>
  <c r="O820" i="2"/>
  <c r="O819" i="2"/>
  <c r="O818" i="2"/>
  <c r="O817" i="2"/>
  <c r="O816" i="2"/>
  <c r="O815" i="2"/>
  <c r="O814" i="2"/>
  <c r="O813" i="2"/>
  <c r="O812" i="2"/>
  <c r="O811" i="2"/>
  <c r="O810" i="2"/>
  <c r="O809" i="2"/>
  <c r="O808" i="2"/>
  <c r="O807" i="2"/>
  <c r="O806" i="2"/>
  <c r="O805" i="2"/>
  <c r="O804" i="2"/>
  <c r="O803" i="2"/>
  <c r="O802" i="2"/>
  <c r="O801" i="2"/>
  <c r="O800" i="2"/>
  <c r="O799" i="2"/>
  <c r="O798" i="2"/>
  <c r="O797" i="2"/>
  <c r="O796" i="2"/>
  <c r="O795" i="2"/>
  <c r="O794" i="2"/>
  <c r="O793" i="2"/>
  <c r="O792" i="2"/>
  <c r="O791" i="2"/>
  <c r="O790" i="2"/>
  <c r="O789" i="2"/>
  <c r="O788" i="2"/>
  <c r="O787" i="2"/>
  <c r="O786" i="2"/>
  <c r="O785" i="2"/>
  <c r="O784" i="2"/>
  <c r="O783" i="2"/>
  <c r="O782" i="2"/>
  <c r="O781" i="2"/>
  <c r="O780" i="2"/>
  <c r="O779" i="2"/>
  <c r="O778" i="2"/>
  <c r="O777" i="2"/>
  <c r="O776" i="2"/>
  <c r="O775" i="2"/>
  <c r="O774" i="2"/>
  <c r="O773" i="2"/>
  <c r="O772" i="2"/>
  <c r="O771" i="2"/>
  <c r="O770" i="2"/>
  <c r="O769" i="2"/>
  <c r="O768" i="2"/>
  <c r="O767" i="2"/>
  <c r="O766" i="2"/>
  <c r="O765" i="2"/>
  <c r="O764" i="2"/>
  <c r="O763" i="2"/>
  <c r="O762" i="2"/>
  <c r="O761" i="2"/>
  <c r="O760" i="2"/>
  <c r="O759" i="2"/>
  <c r="O758" i="2"/>
  <c r="O757" i="2"/>
  <c r="O756" i="2"/>
  <c r="O755" i="2"/>
  <c r="O754" i="2"/>
  <c r="O753" i="2"/>
  <c r="O752" i="2"/>
  <c r="O751" i="2"/>
  <c r="O750" i="2"/>
  <c r="O749" i="2"/>
  <c r="O748" i="2"/>
  <c r="O747" i="2"/>
  <c r="O746" i="2"/>
  <c r="O745" i="2"/>
  <c r="O744" i="2"/>
  <c r="O743" i="2"/>
  <c r="O742" i="2"/>
  <c r="O741" i="2"/>
  <c r="O740" i="2"/>
  <c r="O739" i="2"/>
  <c r="O738" i="2"/>
  <c r="O737" i="2"/>
  <c r="O736" i="2"/>
  <c r="O735" i="2"/>
  <c r="O734" i="2"/>
  <c r="O733" i="2"/>
  <c r="O732" i="2"/>
  <c r="O731" i="2"/>
  <c r="O730" i="2"/>
  <c r="O729" i="2"/>
  <c r="O728" i="2"/>
  <c r="O727" i="2"/>
  <c r="O726" i="2"/>
  <c r="O725" i="2"/>
  <c r="O724" i="2"/>
  <c r="O723" i="2"/>
  <c r="O722" i="2"/>
  <c r="O721" i="2"/>
  <c r="O720" i="2"/>
  <c r="O719" i="2"/>
  <c r="O718" i="2"/>
  <c r="O717" i="2"/>
  <c r="O716" i="2"/>
  <c r="O715" i="2"/>
  <c r="O714" i="2"/>
  <c r="O713" i="2"/>
  <c r="O712" i="2"/>
  <c r="O711" i="2"/>
  <c r="O710" i="2"/>
  <c r="O709" i="2"/>
  <c r="O708" i="2"/>
  <c r="O707" i="2"/>
  <c r="O706" i="2"/>
  <c r="O705" i="2"/>
  <c r="O704" i="2"/>
  <c r="O703" i="2"/>
  <c r="O702" i="2"/>
  <c r="O701" i="2"/>
  <c r="O700" i="2"/>
  <c r="O699" i="2"/>
  <c r="O698" i="2"/>
  <c r="O697" i="2"/>
  <c r="O696" i="2"/>
  <c r="O695" i="2"/>
  <c r="O694" i="2"/>
  <c r="O693" i="2"/>
  <c r="O692" i="2"/>
  <c r="O691" i="2"/>
  <c r="O690" i="2"/>
  <c r="O689" i="2"/>
  <c r="O688" i="2"/>
  <c r="O687" i="2"/>
  <c r="O686" i="2"/>
  <c r="O685" i="2"/>
  <c r="O684" i="2"/>
  <c r="O683" i="2"/>
  <c r="O682" i="2"/>
  <c r="O681" i="2"/>
  <c r="O680" i="2"/>
  <c r="O679" i="2"/>
  <c r="O678" i="2"/>
  <c r="O677" i="2"/>
  <c r="O676" i="2"/>
  <c r="O675" i="2"/>
  <c r="O674" i="2"/>
  <c r="O673" i="2"/>
  <c r="O672" i="2"/>
  <c r="O671" i="2"/>
  <c r="O670" i="2"/>
  <c r="O669" i="2"/>
  <c r="O668" i="2"/>
  <c r="O667" i="2"/>
  <c r="O666" i="2"/>
  <c r="O665" i="2"/>
  <c r="O664" i="2"/>
  <c r="O663" i="2"/>
  <c r="O662" i="2"/>
  <c r="O661" i="2"/>
  <c r="O660" i="2"/>
  <c r="O659" i="2"/>
  <c r="O658" i="2"/>
  <c r="O657" i="2"/>
  <c r="O656" i="2"/>
  <c r="O655" i="2"/>
  <c r="O654" i="2"/>
  <c r="O653" i="2"/>
  <c r="O652" i="2"/>
  <c r="O651" i="2"/>
  <c r="O650" i="2"/>
  <c r="O649" i="2"/>
  <c r="O648" i="2"/>
  <c r="O647" i="2"/>
  <c r="O646" i="2"/>
  <c r="O645" i="2"/>
  <c r="O644" i="2"/>
  <c r="O643" i="2"/>
  <c r="O642" i="2"/>
  <c r="O641" i="2"/>
  <c r="O640" i="2"/>
  <c r="O639" i="2"/>
  <c r="O638" i="2"/>
  <c r="O637" i="2"/>
  <c r="O636" i="2"/>
  <c r="O635" i="2"/>
  <c r="O634" i="2"/>
  <c r="O633" i="2"/>
  <c r="O632" i="2"/>
  <c r="O631" i="2"/>
  <c r="O630" i="2"/>
  <c r="O629" i="2"/>
  <c r="O628" i="2"/>
  <c r="O627" i="2"/>
  <c r="O626" i="2"/>
  <c r="O625" i="2"/>
  <c r="O624" i="2"/>
  <c r="O623" i="2"/>
  <c r="O622" i="2"/>
  <c r="O621" i="2"/>
  <c r="O620" i="2"/>
  <c r="O619" i="2"/>
  <c r="O618" i="2"/>
  <c r="O617" i="2"/>
  <c r="O616" i="2"/>
  <c r="O615" i="2"/>
  <c r="O614" i="2"/>
  <c r="O613" i="2"/>
  <c r="O612" i="2"/>
  <c r="O611" i="2"/>
  <c r="O610" i="2"/>
  <c r="O609" i="2"/>
  <c r="O608" i="2"/>
  <c r="O607" i="2"/>
  <c r="O606" i="2"/>
  <c r="O605" i="2"/>
  <c r="O604" i="2"/>
  <c r="O603" i="2"/>
  <c r="O602" i="2"/>
  <c r="O601" i="2"/>
  <c r="O600" i="2"/>
  <c r="O599" i="2"/>
  <c r="O598" i="2"/>
  <c r="O597" i="2"/>
  <c r="O596" i="2"/>
  <c r="O595" i="2"/>
  <c r="O594" i="2"/>
  <c r="O593" i="2"/>
  <c r="O592" i="2"/>
  <c r="O591" i="2"/>
  <c r="O590" i="2"/>
  <c r="O589" i="2"/>
  <c r="O588" i="2"/>
  <c r="O587" i="2"/>
  <c r="O586" i="2"/>
  <c r="O585" i="2"/>
  <c r="O584" i="2"/>
  <c r="O583" i="2"/>
  <c r="O582" i="2"/>
  <c r="O581" i="2"/>
  <c r="O580" i="2"/>
  <c r="O579" i="2"/>
  <c r="O578" i="2"/>
  <c r="O577" i="2"/>
  <c r="O576" i="2"/>
  <c r="O575" i="2"/>
  <c r="O574" i="2"/>
  <c r="O573" i="2"/>
  <c r="O572" i="2"/>
  <c r="O571" i="2"/>
  <c r="O570" i="2"/>
  <c r="O569" i="2"/>
  <c r="O568" i="2"/>
  <c r="O567" i="2"/>
  <c r="O566" i="2"/>
  <c r="O565" i="2"/>
  <c r="O564" i="2"/>
  <c r="O563" i="2"/>
  <c r="O562" i="2"/>
  <c r="O561" i="2"/>
  <c r="O560" i="2"/>
  <c r="O559" i="2"/>
  <c r="O558" i="2"/>
  <c r="O557" i="2"/>
  <c r="O556" i="2"/>
  <c r="O555" i="2"/>
  <c r="O554" i="2"/>
  <c r="O553" i="2"/>
  <c r="O552" i="2"/>
  <c r="O551" i="2"/>
  <c r="O550" i="2"/>
  <c r="O549" i="2"/>
  <c r="O548" i="2"/>
  <c r="O547" i="2"/>
  <c r="O546" i="2"/>
  <c r="O545" i="2"/>
  <c r="O544" i="2"/>
  <c r="O543" i="2"/>
  <c r="O542" i="2"/>
  <c r="O541" i="2"/>
  <c r="O540" i="2"/>
  <c r="O539" i="2"/>
  <c r="O538" i="2"/>
  <c r="O537" i="2"/>
  <c r="O536" i="2"/>
  <c r="O535" i="2"/>
  <c r="O534" i="2"/>
  <c r="O533" i="2"/>
  <c r="O532" i="2"/>
  <c r="O531" i="2"/>
  <c r="O530" i="2"/>
  <c r="O529" i="2"/>
  <c r="O528" i="2"/>
  <c r="O527" i="2"/>
  <c r="O526" i="2"/>
  <c r="O525" i="2"/>
  <c r="O524" i="2"/>
  <c r="O523" i="2"/>
  <c r="O522" i="2"/>
  <c r="O521" i="2"/>
  <c r="O520" i="2"/>
  <c r="O519" i="2"/>
  <c r="O518" i="2"/>
  <c r="O517" i="2"/>
  <c r="O516" i="2"/>
  <c r="O515" i="2"/>
  <c r="O514" i="2"/>
  <c r="O513" i="2"/>
  <c r="O512" i="2"/>
  <c r="O511" i="2"/>
  <c r="O510" i="2"/>
  <c r="O509" i="2"/>
  <c r="O508" i="2"/>
  <c r="O507" i="2"/>
  <c r="O506" i="2"/>
  <c r="O505" i="2"/>
  <c r="O504" i="2"/>
  <c r="O503" i="2"/>
  <c r="O502" i="2"/>
  <c r="O501" i="2"/>
  <c r="O500" i="2"/>
  <c r="O499" i="2"/>
  <c r="O498" i="2"/>
  <c r="O497" i="2"/>
  <c r="O496" i="2"/>
  <c r="O495" i="2"/>
  <c r="O494" i="2"/>
  <c r="O493" i="2"/>
  <c r="O492" i="2"/>
  <c r="O491" i="2"/>
  <c r="O490" i="2"/>
  <c r="O489" i="2"/>
  <c r="O488" i="2"/>
  <c r="O487" i="2"/>
  <c r="O486" i="2"/>
  <c r="O485" i="2"/>
  <c r="O484" i="2"/>
  <c r="O483" i="2"/>
  <c r="O482" i="2"/>
  <c r="O481" i="2"/>
  <c r="O480" i="2"/>
  <c r="O479" i="2"/>
  <c r="O478" i="2"/>
  <c r="O477" i="2"/>
  <c r="O476" i="2"/>
  <c r="O475" i="2"/>
  <c r="O474" i="2"/>
  <c r="O473" i="2"/>
  <c r="O472" i="2"/>
  <c r="O471" i="2"/>
  <c r="O470" i="2"/>
  <c r="O469" i="2"/>
  <c r="O468" i="2"/>
  <c r="O467" i="2"/>
  <c r="O466" i="2"/>
  <c r="O465" i="2"/>
  <c r="O464" i="2"/>
  <c r="O463" i="2"/>
  <c r="O462" i="2"/>
  <c r="O461" i="2"/>
  <c r="O460" i="2"/>
  <c r="O459" i="2"/>
  <c r="O458" i="2"/>
  <c r="O457" i="2"/>
  <c r="O456" i="2"/>
  <c r="O455" i="2"/>
  <c r="O454" i="2"/>
  <c r="O453" i="2"/>
  <c r="O452" i="2"/>
  <c r="O451" i="2"/>
  <c r="O450" i="2"/>
  <c r="O449" i="2"/>
  <c r="O448" i="2"/>
  <c r="O447" i="2"/>
  <c r="O446" i="2"/>
  <c r="O445" i="2"/>
  <c r="O444" i="2"/>
  <c r="O443" i="2"/>
  <c r="O442" i="2"/>
  <c r="O441" i="2"/>
  <c r="O440" i="2"/>
  <c r="O439" i="2"/>
  <c r="O438" i="2"/>
  <c r="O437" i="2"/>
  <c r="O436" i="2"/>
  <c r="O435" i="2"/>
  <c r="O434" i="2"/>
  <c r="O433" i="2"/>
  <c r="O432" i="2"/>
  <c r="O431" i="2"/>
  <c r="O430" i="2"/>
  <c r="O429" i="2"/>
  <c r="O428" i="2"/>
  <c r="O427" i="2"/>
  <c r="O426" i="2"/>
  <c r="O425" i="2"/>
  <c r="O424" i="2"/>
  <c r="O423" i="2"/>
  <c r="O422" i="2"/>
  <c r="O421" i="2"/>
  <c r="O420" i="2"/>
  <c r="O419" i="2"/>
  <c r="O418" i="2"/>
  <c r="O417" i="2"/>
  <c r="O416" i="2"/>
  <c r="O415" i="2"/>
  <c r="O414" i="2"/>
  <c r="O413" i="2"/>
  <c r="O412" i="2"/>
  <c r="O411" i="2"/>
  <c r="O410" i="2"/>
  <c r="O409" i="2"/>
  <c r="O408" i="2"/>
  <c r="O407" i="2"/>
  <c r="O406" i="2"/>
  <c r="O405" i="2"/>
  <c r="O404" i="2"/>
  <c r="O403" i="2"/>
  <c r="O402" i="2"/>
  <c r="O401" i="2"/>
  <c r="O400" i="2"/>
  <c r="O399" i="2"/>
  <c r="O398" i="2"/>
  <c r="O397" i="2"/>
  <c r="O396" i="2"/>
  <c r="O395" i="2"/>
  <c r="O394" i="2"/>
  <c r="O393" i="2"/>
  <c r="O392" i="2"/>
  <c r="O391" i="2"/>
  <c r="O390" i="2"/>
  <c r="O389" i="2"/>
  <c r="O388" i="2"/>
  <c r="O387" i="2"/>
  <c r="O386" i="2"/>
  <c r="O385" i="2"/>
  <c r="O384" i="2"/>
  <c r="O383" i="2"/>
  <c r="O382" i="2"/>
  <c r="O381" i="2"/>
  <c r="O380" i="2"/>
  <c r="O379" i="2"/>
  <c r="O378" i="2"/>
  <c r="O377" i="2"/>
  <c r="O376" i="2"/>
  <c r="O375" i="2"/>
  <c r="O374" i="2"/>
  <c r="O373" i="2"/>
  <c r="O372" i="2"/>
  <c r="O371" i="2"/>
  <c r="O370" i="2"/>
  <c r="O369" i="2"/>
  <c r="O368" i="2"/>
  <c r="O367" i="2"/>
  <c r="O366" i="2"/>
  <c r="O365" i="2"/>
  <c r="O364" i="2"/>
  <c r="O363" i="2"/>
  <c r="O362" i="2"/>
  <c r="O361" i="2"/>
  <c r="O360" i="2"/>
  <c r="O359" i="2"/>
  <c r="O358" i="2"/>
  <c r="O357" i="2"/>
  <c r="O356" i="2"/>
  <c r="O355" i="2"/>
  <c r="O354" i="2"/>
  <c r="O353" i="2"/>
  <c r="O352" i="2"/>
  <c r="O351" i="2"/>
  <c r="O350" i="2"/>
  <c r="O349" i="2"/>
  <c r="O348" i="2"/>
  <c r="O347" i="2"/>
  <c r="O346" i="2"/>
  <c r="O345" i="2"/>
  <c r="O344" i="2"/>
  <c r="O343" i="2"/>
  <c r="O342" i="2"/>
  <c r="O341" i="2"/>
  <c r="O340" i="2"/>
  <c r="O339" i="2"/>
  <c r="O338" i="2"/>
  <c r="O337" i="2"/>
  <c r="O336" i="2"/>
  <c r="O335" i="2"/>
  <c r="O334" i="2"/>
  <c r="O333" i="2"/>
  <c r="O332" i="2"/>
  <c r="O331" i="2"/>
  <c r="O330" i="2"/>
  <c r="O329" i="2"/>
  <c r="O328" i="2"/>
  <c r="O327" i="2"/>
  <c r="O326" i="2"/>
  <c r="O325" i="2"/>
  <c r="O324" i="2"/>
  <c r="O323" i="2"/>
  <c r="O322" i="2"/>
  <c r="O321" i="2"/>
  <c r="O320" i="2"/>
  <c r="O319" i="2"/>
  <c r="O318" i="2"/>
  <c r="O317" i="2"/>
  <c r="O316" i="2"/>
  <c r="O315" i="2"/>
  <c r="O314" i="2"/>
  <c r="O313" i="2"/>
  <c r="O312" i="2"/>
  <c r="O311" i="2"/>
  <c r="O310" i="2"/>
  <c r="O309" i="2"/>
  <c r="O308" i="2"/>
  <c r="O307" i="2"/>
  <c r="O306" i="2"/>
  <c r="O305" i="2"/>
  <c r="O304" i="2"/>
  <c r="O303" i="2"/>
  <c r="O302" i="2"/>
  <c r="O301" i="2"/>
  <c r="O300" i="2"/>
  <c r="O299" i="2"/>
  <c r="O298" i="2"/>
  <c r="O297" i="2"/>
  <c r="O296" i="2"/>
  <c r="O295" i="2"/>
  <c r="O294" i="2"/>
  <c r="O293" i="2"/>
  <c r="O292" i="2"/>
  <c r="O291" i="2"/>
  <c r="O290" i="2"/>
  <c r="O289" i="2"/>
  <c r="O288" i="2"/>
  <c r="O287" i="2"/>
  <c r="O286" i="2"/>
  <c r="O285" i="2"/>
  <c r="O284" i="2"/>
  <c r="O283" i="2"/>
  <c r="O282" i="2"/>
  <c r="O281" i="2"/>
  <c r="O280" i="2"/>
  <c r="O279" i="2"/>
  <c r="O278" i="2"/>
  <c r="O277" i="2"/>
  <c r="O276" i="2"/>
  <c r="O275" i="2"/>
  <c r="O274" i="2"/>
  <c r="O273" i="2"/>
  <c r="O272" i="2"/>
  <c r="O271" i="2"/>
  <c r="O270" i="2"/>
  <c r="O269" i="2"/>
  <c r="O268" i="2"/>
  <c r="O267" i="2"/>
  <c r="O266" i="2"/>
  <c r="O265" i="2"/>
  <c r="O264" i="2"/>
  <c r="O263" i="2"/>
  <c r="O262" i="2"/>
  <c r="O261" i="2"/>
  <c r="O260" i="2"/>
  <c r="O259" i="2"/>
  <c r="O258" i="2"/>
  <c r="O257" i="2"/>
  <c r="O256" i="2"/>
  <c r="O255" i="2"/>
  <c r="O254" i="2"/>
  <c r="O253" i="2"/>
  <c r="O252" i="2"/>
  <c r="O251" i="2"/>
  <c r="O250" i="2"/>
  <c r="O249" i="2"/>
  <c r="O248" i="2"/>
  <c r="O247" i="2"/>
  <c r="O246" i="2"/>
  <c r="O245" i="2"/>
  <c r="O244" i="2"/>
  <c r="O243" i="2"/>
  <c r="O242" i="2"/>
  <c r="O241" i="2"/>
  <c r="O240" i="2"/>
  <c r="O239" i="2"/>
  <c r="O238" i="2"/>
  <c r="O237" i="2"/>
  <c r="O236" i="2"/>
  <c r="O235" i="2"/>
  <c r="O234" i="2"/>
  <c r="O233" i="2"/>
  <c r="O232" i="2"/>
  <c r="O231" i="2"/>
  <c r="O230" i="2"/>
  <c r="O229" i="2"/>
  <c r="O228" i="2"/>
  <c r="O227" i="2"/>
  <c r="O226" i="2"/>
  <c r="O225" i="2"/>
  <c r="O224" i="2"/>
  <c r="O223" i="2"/>
  <c r="O222" i="2"/>
  <c r="O221" i="2"/>
  <c r="O220" i="2"/>
  <c r="O219" i="2"/>
  <c r="O218" i="2"/>
  <c r="O217" i="2"/>
  <c r="O216" i="2"/>
  <c r="O215" i="2"/>
  <c r="O214" i="2"/>
  <c r="O213" i="2"/>
  <c r="O212" i="2"/>
  <c r="O211" i="2"/>
  <c r="O210" i="2"/>
  <c r="O209" i="2"/>
  <c r="O208" i="2"/>
  <c r="O207" i="2"/>
  <c r="O206" i="2"/>
  <c r="O205" i="2"/>
  <c r="O204" i="2"/>
  <c r="O203" i="2"/>
  <c r="O202" i="2"/>
  <c r="O201" i="2"/>
  <c r="O200" i="2"/>
  <c r="O199" i="2"/>
  <c r="O198" i="2"/>
  <c r="O197" i="2"/>
  <c r="O196" i="2"/>
  <c r="O195" i="2"/>
  <c r="O194" i="2"/>
  <c r="O193" i="2"/>
  <c r="O192" i="2"/>
  <c r="O191" i="2"/>
  <c r="O190" i="2"/>
  <c r="O189" i="2"/>
  <c r="O188" i="2"/>
  <c r="O187" i="2"/>
  <c r="O186" i="2"/>
  <c r="O185" i="2"/>
  <c r="O184" i="2"/>
  <c r="O183" i="2"/>
  <c r="O182" i="2"/>
  <c r="O181" i="2"/>
  <c r="O180" i="2"/>
  <c r="O179" i="2"/>
  <c r="O178" i="2"/>
  <c r="O177" i="2"/>
  <c r="O176" i="2"/>
  <c r="O175" i="2"/>
  <c r="O174" i="2"/>
  <c r="O173" i="2"/>
  <c r="O172" i="2"/>
  <c r="O171" i="2"/>
  <c r="O170" i="2"/>
  <c r="O169" i="2"/>
  <c r="O168" i="2"/>
  <c r="O167" i="2"/>
  <c r="O166" i="2"/>
  <c r="O165" i="2"/>
  <c r="O164" i="2"/>
  <c r="O163" i="2"/>
  <c r="O162" i="2"/>
  <c r="O161" i="2"/>
  <c r="O160" i="2"/>
  <c r="O159" i="2"/>
  <c r="O158" i="2"/>
  <c r="O157" i="2"/>
  <c r="O156" i="2"/>
  <c r="O155" i="2"/>
  <c r="O154" i="2"/>
  <c r="O153" i="2"/>
  <c r="O152" i="2"/>
  <c r="O151" i="2"/>
  <c r="O150" i="2"/>
  <c r="O149" i="2"/>
  <c r="O148" i="2"/>
  <c r="O147" i="2"/>
  <c r="O146" i="2"/>
  <c r="O145" i="2"/>
  <c r="O144" i="2"/>
  <c r="O143" i="2"/>
  <c r="O142" i="2"/>
  <c r="O141" i="2"/>
  <c r="O140" i="2"/>
  <c r="O139" i="2"/>
  <c r="O138" i="2"/>
  <c r="O137" i="2"/>
  <c r="O136" i="2"/>
  <c r="O135" i="2"/>
  <c r="O134" i="2"/>
  <c r="O133" i="2"/>
  <c r="O132" i="2"/>
  <c r="O131" i="2"/>
  <c r="O130" i="2"/>
  <c r="O129" i="2"/>
  <c r="O128" i="2"/>
  <c r="O127" i="2"/>
  <c r="O126" i="2"/>
  <c r="O125" i="2"/>
  <c r="O124" i="2"/>
  <c r="O123" i="2"/>
  <c r="O122" i="2"/>
  <c r="O121" i="2"/>
  <c r="O120" i="2"/>
  <c r="O119" i="2"/>
  <c r="O118" i="2"/>
  <c r="O117" i="2"/>
  <c r="O116" i="2"/>
  <c r="O115" i="2"/>
  <c r="O114" i="2"/>
  <c r="O113" i="2"/>
  <c r="O112" i="2"/>
  <c r="O111" i="2"/>
  <c r="O110" i="2"/>
  <c r="O109" i="2"/>
  <c r="O108" i="2"/>
  <c r="O107" i="2"/>
  <c r="O106" i="2"/>
  <c r="O105" i="2"/>
  <c r="O104" i="2"/>
  <c r="O103" i="2"/>
  <c r="O102" i="2"/>
  <c r="O101" i="2"/>
  <c r="O100" i="2"/>
  <c r="O99" i="2"/>
  <c r="O98" i="2"/>
  <c r="O97" i="2"/>
  <c r="O96" i="2"/>
  <c r="O95" i="2"/>
  <c r="O94" i="2"/>
  <c r="O93" i="2"/>
  <c r="O92" i="2"/>
  <c r="O91" i="2"/>
  <c r="O90" i="2"/>
  <c r="O89" i="2"/>
  <c r="O88" i="2"/>
  <c r="O87" i="2"/>
  <c r="O86" i="2"/>
  <c r="O85" i="2"/>
  <c r="O84" i="2"/>
  <c r="O83" i="2"/>
  <c r="O82" i="2"/>
  <c r="O81" i="2"/>
  <c r="O80" i="2"/>
  <c r="O79" i="2"/>
  <c r="O78" i="2"/>
  <c r="O77" i="2"/>
  <c r="O76" i="2"/>
  <c r="O75" i="2"/>
  <c r="O74" i="2"/>
  <c r="O73" i="2"/>
  <c r="O72" i="2"/>
  <c r="O71" i="2"/>
  <c r="O70" i="2"/>
  <c r="O69" i="2"/>
  <c r="O68" i="2"/>
  <c r="O67" i="2"/>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O33" i="2"/>
  <c r="O32" i="2"/>
  <c r="O31" i="2"/>
  <c r="O30" i="2"/>
  <c r="O29" i="2"/>
  <c r="O28" i="2"/>
  <c r="O27" i="2"/>
  <c r="O26" i="2"/>
  <c r="O25" i="2"/>
  <c r="O24" i="2"/>
  <c r="O23" i="2"/>
  <c r="O22" i="2"/>
  <c r="O21" i="2"/>
  <c r="O20" i="2"/>
  <c r="O19" i="2"/>
  <c r="O18" i="2"/>
  <c r="O17" i="2"/>
  <c r="O16" i="2"/>
  <c r="O15" i="2"/>
  <c r="O14" i="2"/>
  <c r="O13" i="2"/>
  <c r="O12" i="2"/>
  <c r="O11" i="2"/>
  <c r="O10" i="2"/>
  <c r="O9" i="2"/>
  <c r="O8" i="2"/>
  <c r="O7" i="2"/>
  <c r="O6" i="2"/>
  <c r="O5" i="2"/>
  <c r="O4" i="2"/>
  <c r="O3" i="2"/>
  <c r="AL59" i="23" l="1"/>
  <c r="AL56" i="23"/>
  <c r="AL68" i="23"/>
  <c r="AL66" i="23"/>
  <c r="AL57" i="23"/>
  <c r="AL61" i="23"/>
  <c r="AL67" i="23"/>
  <c r="AL65" i="23"/>
  <c r="AL58" i="23"/>
  <c r="AL62" i="23"/>
  <c r="AL63" i="23"/>
  <c r="AL64" i="23"/>
  <c r="AL60" i="23"/>
  <c r="C81" i="23"/>
  <c r="C78" i="23"/>
  <c r="C96" i="23"/>
  <c r="AL41" i="23"/>
  <c r="AL39" i="23"/>
  <c r="AL38" i="23"/>
  <c r="AP34" i="23"/>
  <c r="AL47" i="23"/>
  <c r="AL43" i="23"/>
  <c r="AL40" i="23"/>
  <c r="AL44" i="23"/>
  <c r="AL49" i="23"/>
  <c r="C82" i="23"/>
  <c r="AL48" i="23"/>
  <c r="AL46" i="23"/>
  <c r="AL51" i="23"/>
  <c r="AL42" i="23"/>
  <c r="AL50" i="23"/>
  <c r="C97" i="23"/>
  <c r="C79" i="23"/>
  <c r="AL45" i="23"/>
  <c r="C99" i="23"/>
  <c r="C80" i="23"/>
  <c r="C83" i="23"/>
  <c r="C98" i="23"/>
  <c r="AL73" i="23"/>
  <c r="AL81" i="23"/>
  <c r="AL77" i="23"/>
  <c r="AL74" i="23"/>
  <c r="AL72" i="23"/>
  <c r="AL79" i="23"/>
  <c r="AL82" i="23"/>
  <c r="AL80" i="23"/>
  <c r="AL76" i="23"/>
  <c r="AL83" i="23"/>
  <c r="AL85" i="23"/>
  <c r="AL78" i="23"/>
  <c r="AL84" i="23"/>
  <c r="AK168" i="23"/>
  <c r="AG165" i="23"/>
  <c r="AG169" i="23"/>
  <c r="AG163" i="23"/>
  <c r="AG167" i="23"/>
  <c r="AG170" i="23"/>
  <c r="AK166" i="23"/>
  <c r="AG161" i="23"/>
  <c r="E22" i="23"/>
  <c r="E23" i="23"/>
  <c r="E24" i="23"/>
  <c r="E25" i="23"/>
  <c r="E26" i="23"/>
  <c r="AK105" i="23"/>
  <c r="B97" i="23"/>
  <c r="B79" i="23"/>
  <c r="B98" i="23"/>
  <c r="B80" i="23"/>
  <c r="B83" i="23"/>
  <c r="B81" i="23"/>
  <c r="B99" i="23"/>
  <c r="AP16" i="23"/>
  <c r="B77" i="23"/>
  <c r="AP12" i="23"/>
  <c r="AO12" i="23"/>
  <c r="B82" i="23"/>
  <c r="AP17" i="23"/>
  <c r="B100" i="23"/>
  <c r="B96" i="23"/>
  <c r="AP13" i="23"/>
  <c r="B78" i="23"/>
  <c r="AL87" i="23"/>
  <c r="AL88" i="23"/>
  <c r="AL89" i="23"/>
  <c r="AK104" i="23"/>
  <c r="AH157" i="23"/>
  <c r="AI157" i="23" s="1"/>
  <c r="AH156" i="23"/>
  <c r="AI156" i="23" s="1"/>
  <c r="AJ156" i="23" s="1"/>
  <c r="AH151" i="23"/>
  <c r="AI151" i="23" s="1"/>
  <c r="AH149" i="23"/>
  <c r="AI149" i="23" s="1"/>
  <c r="AH152" i="23"/>
  <c r="AI152" i="23" s="1"/>
  <c r="AH144" i="23"/>
  <c r="AI144" i="23" s="1"/>
  <c r="AH142" i="23"/>
  <c r="AI142" i="23" s="1"/>
  <c r="AJ127" i="23"/>
  <c r="AH141" i="23"/>
  <c r="AI141" i="23" s="1"/>
  <c r="AH147" i="23"/>
  <c r="AI147" i="23" s="1"/>
  <c r="AH145" i="23"/>
  <c r="AI145" i="23" s="1"/>
  <c r="H19" i="23"/>
  <c r="AP111" i="23" s="1"/>
  <c r="AJ131" i="23"/>
  <c r="I15" i="23"/>
  <c r="I12" i="23"/>
  <c r="AJ133" i="23"/>
  <c r="AJ129" i="23"/>
  <c r="AH150" i="23"/>
  <c r="AI150" i="23" s="1"/>
  <c r="H94" i="23"/>
  <c r="H76" i="23"/>
  <c r="AV10" i="2"/>
  <c r="AO113" i="23"/>
  <c r="AP113" i="23"/>
  <c r="H71" i="23"/>
  <c r="AO108" i="23"/>
  <c r="AV7" i="2"/>
  <c r="H89" i="23"/>
  <c r="AP108" i="23"/>
  <c r="H68" i="23"/>
  <c r="AO105" i="23"/>
  <c r="H86" i="23"/>
  <c r="AP105" i="23"/>
  <c r="AJ132" i="23"/>
  <c r="AJ126" i="23"/>
  <c r="I21" i="23"/>
  <c r="I16" i="23"/>
  <c r="AI139" i="23"/>
  <c r="AJ139" i="23" s="1"/>
  <c r="AH159" i="23"/>
  <c r="AI159" i="23" s="1"/>
  <c r="H93" i="23"/>
  <c r="AP112" i="23"/>
  <c r="H75" i="23"/>
  <c r="AV9" i="2"/>
  <c r="AO112" i="23"/>
  <c r="AJ136" i="23"/>
  <c r="AJ134" i="23"/>
  <c r="AH143" i="23"/>
  <c r="AI143" i="23" s="1"/>
  <c r="AH146" i="23"/>
  <c r="AI146" i="23" s="1"/>
  <c r="AJ130" i="23"/>
  <c r="AH140" i="23"/>
  <c r="AI140" i="23" s="1"/>
  <c r="AJ135" i="23"/>
  <c r="F74" i="23"/>
  <c r="AP77" i="23"/>
  <c r="F92" i="23"/>
  <c r="AT2" i="2"/>
  <c r="AO77" i="23"/>
  <c r="H69" i="23"/>
  <c r="AV6" i="2"/>
  <c r="AO106" i="23"/>
  <c r="AP106" i="23"/>
  <c r="H87" i="23"/>
  <c r="I18" i="23"/>
  <c r="I17" i="23"/>
  <c r="I14" i="23"/>
  <c r="H90" i="23"/>
  <c r="AP109" i="23"/>
  <c r="H72" i="23"/>
  <c r="AO109" i="23"/>
  <c r="AP104" i="23"/>
  <c r="AV5" i="2"/>
  <c r="AO104" i="23"/>
  <c r="H85" i="23"/>
  <c r="H67" i="23"/>
  <c r="AV8" i="2"/>
  <c r="AO110" i="23"/>
  <c r="H91" i="23"/>
  <c r="AP110" i="23"/>
  <c r="H73" i="23"/>
  <c r="AH158" i="23"/>
  <c r="AH160" i="23"/>
  <c r="AI160" i="23" s="1"/>
  <c r="I13" i="23"/>
  <c r="I20" i="23"/>
  <c r="AJ123" i="23"/>
  <c r="AJ124" i="23"/>
  <c r="AH148" i="23"/>
  <c r="AI148" i="23" s="1"/>
  <c r="AJ125" i="23"/>
  <c r="AJ128" i="23"/>
  <c r="AH153" i="23"/>
  <c r="AI153" i="23" s="1"/>
  <c r="H70" i="23"/>
  <c r="AO107" i="23"/>
  <c r="H88" i="23"/>
  <c r="AP107" i="23"/>
  <c r="G19" i="23"/>
  <c r="AK92" i="23" s="1"/>
  <c r="P51" i="23"/>
  <c r="P52" i="23"/>
  <c r="Z3"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N502" i="2"/>
  <c r="N503" i="2"/>
  <c r="N504" i="2"/>
  <c r="N505" i="2"/>
  <c r="N506" i="2"/>
  <c r="N507" i="2"/>
  <c r="N508" i="2"/>
  <c r="N509" i="2"/>
  <c r="N510" i="2"/>
  <c r="N511" i="2"/>
  <c r="N512" i="2"/>
  <c r="N513" i="2"/>
  <c r="N514" i="2"/>
  <c r="N515" i="2"/>
  <c r="N516" i="2"/>
  <c r="N517" i="2"/>
  <c r="N518" i="2"/>
  <c r="N519" i="2"/>
  <c r="N520" i="2"/>
  <c r="N521" i="2"/>
  <c r="N522" i="2"/>
  <c r="N523" i="2"/>
  <c r="N524" i="2"/>
  <c r="N525" i="2"/>
  <c r="N526" i="2"/>
  <c r="N527" i="2"/>
  <c r="N528" i="2"/>
  <c r="N529" i="2"/>
  <c r="N530" i="2"/>
  <c r="N531" i="2"/>
  <c r="N532" i="2"/>
  <c r="N533" i="2"/>
  <c r="N534" i="2"/>
  <c r="N535" i="2"/>
  <c r="N536" i="2"/>
  <c r="N537" i="2"/>
  <c r="N538" i="2"/>
  <c r="N539" i="2"/>
  <c r="N540" i="2"/>
  <c r="N541" i="2"/>
  <c r="N542" i="2"/>
  <c r="N543" i="2"/>
  <c r="N544" i="2"/>
  <c r="N545" i="2"/>
  <c r="N546" i="2"/>
  <c r="N547" i="2"/>
  <c r="N548" i="2"/>
  <c r="N549" i="2"/>
  <c r="N550" i="2"/>
  <c r="N551" i="2"/>
  <c r="N552" i="2"/>
  <c r="N553" i="2"/>
  <c r="N554" i="2"/>
  <c r="N555" i="2"/>
  <c r="N556" i="2"/>
  <c r="N557" i="2"/>
  <c r="N558" i="2"/>
  <c r="N559" i="2"/>
  <c r="N560" i="2"/>
  <c r="N561" i="2"/>
  <c r="N562" i="2"/>
  <c r="N563" i="2"/>
  <c r="N564" i="2"/>
  <c r="N565" i="2"/>
  <c r="N566" i="2"/>
  <c r="N567" i="2"/>
  <c r="N568" i="2"/>
  <c r="N569" i="2"/>
  <c r="N570" i="2"/>
  <c r="N571" i="2"/>
  <c r="N572" i="2"/>
  <c r="N573" i="2"/>
  <c r="N574" i="2"/>
  <c r="N575" i="2"/>
  <c r="N576" i="2"/>
  <c r="N577" i="2"/>
  <c r="N578" i="2"/>
  <c r="N579" i="2"/>
  <c r="N580" i="2"/>
  <c r="N581" i="2"/>
  <c r="N582" i="2"/>
  <c r="N583" i="2"/>
  <c r="N584" i="2"/>
  <c r="N585" i="2"/>
  <c r="N586" i="2"/>
  <c r="N587" i="2"/>
  <c r="N588" i="2"/>
  <c r="N589" i="2"/>
  <c r="N590" i="2"/>
  <c r="N591" i="2"/>
  <c r="N592" i="2"/>
  <c r="N593" i="2"/>
  <c r="N594" i="2"/>
  <c r="N595" i="2"/>
  <c r="N596" i="2"/>
  <c r="N597" i="2"/>
  <c r="N598" i="2"/>
  <c r="N599" i="2"/>
  <c r="N600" i="2"/>
  <c r="N601" i="2"/>
  <c r="N602" i="2"/>
  <c r="N603" i="2"/>
  <c r="N604" i="2"/>
  <c r="N605" i="2"/>
  <c r="N606" i="2"/>
  <c r="N607" i="2"/>
  <c r="N608" i="2"/>
  <c r="N609" i="2"/>
  <c r="N610" i="2"/>
  <c r="N611" i="2"/>
  <c r="N612" i="2"/>
  <c r="N613" i="2"/>
  <c r="N614" i="2"/>
  <c r="N615" i="2"/>
  <c r="N616" i="2"/>
  <c r="N617" i="2"/>
  <c r="N618" i="2"/>
  <c r="N619" i="2"/>
  <c r="N620" i="2"/>
  <c r="N621" i="2"/>
  <c r="N622" i="2"/>
  <c r="N623" i="2"/>
  <c r="N624" i="2"/>
  <c r="N625" i="2"/>
  <c r="N626" i="2"/>
  <c r="N627" i="2"/>
  <c r="N628" i="2"/>
  <c r="N629" i="2"/>
  <c r="N630" i="2"/>
  <c r="N631" i="2"/>
  <c r="N632" i="2"/>
  <c r="N633" i="2"/>
  <c r="N634" i="2"/>
  <c r="N635" i="2"/>
  <c r="N636" i="2"/>
  <c r="N637" i="2"/>
  <c r="N638" i="2"/>
  <c r="N639" i="2"/>
  <c r="N640" i="2"/>
  <c r="N641" i="2"/>
  <c r="N642" i="2"/>
  <c r="N643" i="2"/>
  <c r="N644" i="2"/>
  <c r="N645" i="2"/>
  <c r="N646" i="2"/>
  <c r="N647" i="2"/>
  <c r="N648" i="2"/>
  <c r="N649" i="2"/>
  <c r="N650" i="2"/>
  <c r="N651" i="2"/>
  <c r="N652" i="2"/>
  <c r="N653" i="2"/>
  <c r="N654" i="2"/>
  <c r="N655" i="2"/>
  <c r="N656" i="2"/>
  <c r="N657" i="2"/>
  <c r="N658" i="2"/>
  <c r="N659" i="2"/>
  <c r="N660" i="2"/>
  <c r="N661" i="2"/>
  <c r="N662" i="2"/>
  <c r="N663" i="2"/>
  <c r="N664" i="2"/>
  <c r="N665" i="2"/>
  <c r="N666" i="2"/>
  <c r="N667" i="2"/>
  <c r="N668" i="2"/>
  <c r="N669" i="2"/>
  <c r="N670" i="2"/>
  <c r="N671" i="2"/>
  <c r="N672" i="2"/>
  <c r="N673" i="2"/>
  <c r="N674" i="2"/>
  <c r="N675" i="2"/>
  <c r="N676" i="2"/>
  <c r="N677" i="2"/>
  <c r="N678" i="2"/>
  <c r="N679" i="2"/>
  <c r="N680" i="2"/>
  <c r="N681" i="2"/>
  <c r="N682" i="2"/>
  <c r="N683" i="2"/>
  <c r="N684" i="2"/>
  <c r="N685" i="2"/>
  <c r="N686" i="2"/>
  <c r="N687" i="2"/>
  <c r="N688" i="2"/>
  <c r="N689" i="2"/>
  <c r="N690" i="2"/>
  <c r="N691" i="2"/>
  <c r="N692" i="2"/>
  <c r="N693" i="2"/>
  <c r="N694" i="2"/>
  <c r="N695" i="2"/>
  <c r="N696" i="2"/>
  <c r="N697" i="2"/>
  <c r="N698" i="2"/>
  <c r="N699" i="2"/>
  <c r="N700" i="2"/>
  <c r="N701" i="2"/>
  <c r="N702" i="2"/>
  <c r="N703" i="2"/>
  <c r="N704" i="2"/>
  <c r="N705" i="2"/>
  <c r="N706" i="2"/>
  <c r="N707" i="2"/>
  <c r="N708" i="2"/>
  <c r="N709" i="2"/>
  <c r="N710" i="2"/>
  <c r="N711" i="2"/>
  <c r="N712" i="2"/>
  <c r="N713" i="2"/>
  <c r="N714" i="2"/>
  <c r="N715" i="2"/>
  <c r="N716" i="2"/>
  <c r="N717" i="2"/>
  <c r="N718" i="2"/>
  <c r="N719" i="2"/>
  <c r="N720" i="2"/>
  <c r="N721" i="2"/>
  <c r="N722" i="2"/>
  <c r="N723" i="2"/>
  <c r="N724" i="2"/>
  <c r="N725" i="2"/>
  <c r="N726" i="2"/>
  <c r="N727" i="2"/>
  <c r="N728" i="2"/>
  <c r="N729" i="2"/>
  <c r="N730" i="2"/>
  <c r="N731" i="2"/>
  <c r="N732" i="2"/>
  <c r="N733" i="2"/>
  <c r="N734" i="2"/>
  <c r="N735" i="2"/>
  <c r="N736" i="2"/>
  <c r="N737" i="2"/>
  <c r="N738" i="2"/>
  <c r="N739" i="2"/>
  <c r="N740" i="2"/>
  <c r="N741" i="2"/>
  <c r="N742" i="2"/>
  <c r="N743" i="2"/>
  <c r="N744" i="2"/>
  <c r="N745" i="2"/>
  <c r="N746" i="2"/>
  <c r="N747" i="2"/>
  <c r="N748" i="2"/>
  <c r="N749" i="2"/>
  <c r="N750" i="2"/>
  <c r="N751" i="2"/>
  <c r="N752" i="2"/>
  <c r="N753" i="2"/>
  <c r="N754" i="2"/>
  <c r="N755" i="2"/>
  <c r="N756" i="2"/>
  <c r="N757" i="2"/>
  <c r="N758" i="2"/>
  <c r="N759" i="2"/>
  <c r="N760" i="2"/>
  <c r="N761" i="2"/>
  <c r="N762" i="2"/>
  <c r="N763" i="2"/>
  <c r="N764" i="2"/>
  <c r="N765" i="2"/>
  <c r="N766" i="2"/>
  <c r="N767" i="2"/>
  <c r="N768" i="2"/>
  <c r="N769" i="2"/>
  <c r="N770" i="2"/>
  <c r="N771" i="2"/>
  <c r="N772" i="2"/>
  <c r="N773" i="2"/>
  <c r="N774" i="2"/>
  <c r="N775" i="2"/>
  <c r="N776" i="2"/>
  <c r="N777" i="2"/>
  <c r="N778" i="2"/>
  <c r="N779" i="2"/>
  <c r="N780" i="2"/>
  <c r="N781" i="2"/>
  <c r="N782" i="2"/>
  <c r="N783" i="2"/>
  <c r="N784" i="2"/>
  <c r="N785" i="2"/>
  <c r="N786" i="2"/>
  <c r="N787" i="2"/>
  <c r="N788" i="2"/>
  <c r="N789" i="2"/>
  <c r="N790" i="2"/>
  <c r="N791" i="2"/>
  <c r="N792" i="2"/>
  <c r="N793" i="2"/>
  <c r="N794" i="2"/>
  <c r="N795" i="2"/>
  <c r="N796" i="2"/>
  <c r="N797" i="2"/>
  <c r="N798" i="2"/>
  <c r="N799" i="2"/>
  <c r="N800" i="2"/>
  <c r="N801" i="2"/>
  <c r="N802" i="2"/>
  <c r="N803" i="2"/>
  <c r="N804" i="2"/>
  <c r="N805" i="2"/>
  <c r="N806" i="2"/>
  <c r="N807" i="2"/>
  <c r="N808" i="2"/>
  <c r="N809" i="2"/>
  <c r="N810" i="2"/>
  <c r="N811" i="2"/>
  <c r="N812" i="2"/>
  <c r="N813" i="2"/>
  <c r="N814" i="2"/>
  <c r="N815" i="2"/>
  <c r="N816" i="2"/>
  <c r="N817" i="2"/>
  <c r="N818" i="2"/>
  <c r="N819" i="2"/>
  <c r="N820" i="2"/>
  <c r="N821" i="2"/>
  <c r="N822" i="2"/>
  <c r="N823" i="2"/>
  <c r="N824" i="2"/>
  <c r="N825" i="2"/>
  <c r="N826" i="2"/>
  <c r="N827" i="2"/>
  <c r="N828" i="2"/>
  <c r="N829" i="2"/>
  <c r="N830" i="2"/>
  <c r="N831" i="2"/>
  <c r="N832" i="2"/>
  <c r="N833" i="2"/>
  <c r="N834" i="2"/>
  <c r="N835" i="2"/>
  <c r="N836" i="2"/>
  <c r="N837" i="2"/>
  <c r="N838" i="2"/>
  <c r="N839" i="2"/>
  <c r="N840" i="2"/>
  <c r="N841" i="2"/>
  <c r="N842" i="2"/>
  <c r="N843" i="2"/>
  <c r="N844" i="2"/>
  <c r="N845" i="2"/>
  <c r="N846" i="2"/>
  <c r="N847" i="2"/>
  <c r="N848" i="2"/>
  <c r="N849" i="2"/>
  <c r="N850" i="2"/>
  <c r="N851" i="2"/>
  <c r="N852" i="2"/>
  <c r="N853" i="2"/>
  <c r="N854" i="2"/>
  <c r="N855" i="2"/>
  <c r="N856" i="2"/>
  <c r="N857" i="2"/>
  <c r="N858" i="2"/>
  <c r="N859" i="2"/>
  <c r="N860" i="2"/>
  <c r="N861" i="2"/>
  <c r="N862" i="2"/>
  <c r="N863" i="2"/>
  <c r="N864" i="2"/>
  <c r="N865" i="2"/>
  <c r="N866" i="2"/>
  <c r="N867" i="2"/>
  <c r="N868" i="2"/>
  <c r="N869" i="2"/>
  <c r="N870" i="2"/>
  <c r="N871" i="2"/>
  <c r="N872" i="2"/>
  <c r="N873" i="2"/>
  <c r="N874" i="2"/>
  <c r="N875" i="2"/>
  <c r="N876" i="2"/>
  <c r="N877" i="2"/>
  <c r="N878" i="2"/>
  <c r="N879" i="2"/>
  <c r="N880" i="2"/>
  <c r="N881" i="2"/>
  <c r="N882" i="2"/>
  <c r="N883" i="2"/>
  <c r="N884" i="2"/>
  <c r="N885" i="2"/>
  <c r="N886" i="2"/>
  <c r="P886" i="2" s="1"/>
  <c r="N887" i="2"/>
  <c r="P887" i="2" s="1"/>
  <c r="N888" i="2"/>
  <c r="P888" i="2" s="1"/>
  <c r="N889" i="2"/>
  <c r="P889" i="2" s="1"/>
  <c r="N890" i="2"/>
  <c r="P890" i="2" s="1"/>
  <c r="N891" i="2"/>
  <c r="P891" i="2" s="1"/>
  <c r="N892" i="2"/>
  <c r="P892" i="2" s="1"/>
  <c r="N893" i="2"/>
  <c r="P893" i="2" s="1"/>
  <c r="N894" i="2"/>
  <c r="P894" i="2" s="1"/>
  <c r="N895" i="2"/>
  <c r="P895" i="2" s="1"/>
  <c r="N896" i="2"/>
  <c r="P896" i="2" s="1"/>
  <c r="N897" i="2"/>
  <c r="P897" i="2" s="1"/>
  <c r="N898" i="2"/>
  <c r="P898" i="2" s="1"/>
  <c r="N899" i="2"/>
  <c r="N900" i="2"/>
  <c r="N901" i="2"/>
  <c r="P901" i="2" s="1"/>
  <c r="N902" i="2"/>
  <c r="P902" i="2" s="1"/>
  <c r="N903" i="2"/>
  <c r="P903" i="2" s="1"/>
  <c r="N904" i="2"/>
  <c r="P904" i="2" s="1"/>
  <c r="N905" i="2"/>
  <c r="P905" i="2" s="1"/>
  <c r="N906" i="2"/>
  <c r="P906" i="2" s="1"/>
  <c r="N907" i="2"/>
  <c r="P907" i="2" s="1"/>
  <c r="N908" i="2"/>
  <c r="P908" i="2" s="1"/>
  <c r="N909" i="2"/>
  <c r="P909" i="2" s="1"/>
  <c r="N910" i="2"/>
  <c r="P910" i="2" s="1"/>
  <c r="N911" i="2"/>
  <c r="P911" i="2" s="1"/>
  <c r="N912" i="2"/>
  <c r="N913" i="2"/>
  <c r="N914" i="2"/>
  <c r="N915" i="2"/>
  <c r="N916" i="2"/>
  <c r="P916" i="2" s="1"/>
  <c r="N917" i="2"/>
  <c r="P917" i="2" s="1"/>
  <c r="N918" i="2"/>
  <c r="P918" i="2" s="1"/>
  <c r="N919" i="2"/>
  <c r="P919" i="2" s="1"/>
  <c r="N920" i="2"/>
  <c r="P920" i="2" s="1"/>
  <c r="N921" i="2"/>
  <c r="P921" i="2" s="1"/>
  <c r="N922" i="2"/>
  <c r="P922" i="2" s="1"/>
  <c r="N923" i="2"/>
  <c r="P923" i="2" s="1"/>
  <c r="N924" i="2"/>
  <c r="P924" i="2" s="1"/>
  <c r="N925" i="2"/>
  <c r="P925" i="2" s="1"/>
  <c r="N926" i="2"/>
  <c r="P926" i="2" s="1"/>
  <c r="N927" i="2"/>
  <c r="P927" i="2" s="1"/>
  <c r="N928" i="2"/>
  <c r="P928" i="2" s="1"/>
  <c r="N929" i="2"/>
  <c r="P929" i="2" s="1"/>
  <c r="N930" i="2"/>
  <c r="P930" i="2" s="1"/>
  <c r="N2" i="2"/>
  <c r="E27" i="23" l="1"/>
  <c r="AK117" i="23"/>
  <c r="AK116" i="23"/>
  <c r="AK108" i="23"/>
  <c r="AK115" i="23"/>
  <c r="AK110" i="23"/>
  <c r="AK114" i="23"/>
  <c r="AK113" i="23"/>
  <c r="AK109" i="23"/>
  <c r="AK112" i="23"/>
  <c r="AK111" i="23"/>
  <c r="D26" i="23"/>
  <c r="D81" i="23" s="1"/>
  <c r="D22" i="23"/>
  <c r="AO46" i="23" s="1"/>
  <c r="D23" i="23"/>
  <c r="D96" i="23" s="1"/>
  <c r="D27" i="23"/>
  <c r="D82" i="23" s="1"/>
  <c r="D25" i="23"/>
  <c r="AP49" i="23" s="1"/>
  <c r="D24" i="23"/>
  <c r="D79" i="23" s="1"/>
  <c r="AK90" i="23"/>
  <c r="AL90" i="23" s="1"/>
  <c r="AK91" i="23"/>
  <c r="F22" i="23"/>
  <c r="AP80" i="23" s="1"/>
  <c r="AK106" i="23"/>
  <c r="AL106" i="23" s="1"/>
  <c r="F24" i="23"/>
  <c r="F97" i="23" s="1"/>
  <c r="F25" i="23"/>
  <c r="AP83" i="23" s="1"/>
  <c r="F23" i="23"/>
  <c r="F78" i="23" s="1"/>
  <c r="AH164" i="23"/>
  <c r="AI164" i="23" s="1"/>
  <c r="F27" i="23"/>
  <c r="AP85" i="23" s="1"/>
  <c r="F26" i="23"/>
  <c r="F81" i="23" s="1"/>
  <c r="AH163" i="23"/>
  <c r="AI163" i="23" s="1"/>
  <c r="AH162" i="23"/>
  <c r="AI162" i="23" s="1"/>
  <c r="AH167" i="23"/>
  <c r="AI167" i="23" s="1"/>
  <c r="AH168" i="23"/>
  <c r="AI168" i="23" s="1"/>
  <c r="AH161" i="23"/>
  <c r="AI161" i="23" s="1"/>
  <c r="AH170" i="23"/>
  <c r="AI170" i="23" s="1"/>
  <c r="AH166" i="23"/>
  <c r="AI166" i="23" s="1"/>
  <c r="AH169" i="23"/>
  <c r="AI169" i="23" s="1"/>
  <c r="AH165" i="23"/>
  <c r="AI165" i="23" s="1"/>
  <c r="AP46" i="23"/>
  <c r="D97" i="23"/>
  <c r="D77" i="23"/>
  <c r="D95" i="23"/>
  <c r="AK107" i="23"/>
  <c r="AP66" i="23"/>
  <c r="E98" i="23"/>
  <c r="E80" i="23"/>
  <c r="E79" i="23"/>
  <c r="AP65" i="23"/>
  <c r="E97" i="23"/>
  <c r="AP68" i="23"/>
  <c r="E82" i="23"/>
  <c r="E100" i="23"/>
  <c r="E96" i="23"/>
  <c r="E78" i="23"/>
  <c r="AP64" i="23"/>
  <c r="E99" i="23"/>
  <c r="E81" i="23"/>
  <c r="AP67" i="23"/>
  <c r="AO63" i="23"/>
  <c r="AP63" i="23"/>
  <c r="E95" i="23"/>
  <c r="E77" i="23"/>
  <c r="E83" i="23"/>
  <c r="AK122" i="23"/>
  <c r="AK121" i="23"/>
  <c r="AV2" i="2"/>
  <c r="AL104" i="23"/>
  <c r="AL105" i="23"/>
  <c r="AJ140" i="23"/>
  <c r="H92" i="23"/>
  <c r="AJ147" i="23"/>
  <c r="H74" i="23"/>
  <c r="AJ141" i="23"/>
  <c r="AO111" i="23"/>
  <c r="P55" i="23" s="1"/>
  <c r="AJ144" i="23"/>
  <c r="I19" i="23"/>
  <c r="AO128" i="23" s="1"/>
  <c r="AP94" i="23"/>
  <c r="G92" i="23"/>
  <c r="AO94" i="23"/>
  <c r="G74" i="23"/>
  <c r="AU2" i="2"/>
  <c r="I90" i="23"/>
  <c r="AP126" i="23"/>
  <c r="AO126" i="23"/>
  <c r="I72" i="23"/>
  <c r="AJ146" i="23"/>
  <c r="J17" i="23"/>
  <c r="J18" i="23"/>
  <c r="I76" i="23"/>
  <c r="AW10" i="2"/>
  <c r="AP130" i="23"/>
  <c r="AO130" i="23"/>
  <c r="I94" i="23"/>
  <c r="I67" i="23"/>
  <c r="AW5" i="2"/>
  <c r="AP121" i="23"/>
  <c r="I85" i="23"/>
  <c r="AO121" i="23"/>
  <c r="I93" i="23"/>
  <c r="AO129" i="23"/>
  <c r="I75" i="23"/>
  <c r="AW9" i="2"/>
  <c r="AP129" i="23"/>
  <c r="I91" i="23"/>
  <c r="AW8" i="2"/>
  <c r="I73" i="23"/>
  <c r="AP127" i="23"/>
  <c r="AO127" i="23"/>
  <c r="J21" i="23"/>
  <c r="J13" i="23"/>
  <c r="AJ150" i="23"/>
  <c r="AJ157" i="23"/>
  <c r="I88" i="23"/>
  <c r="I70" i="23"/>
  <c r="AO124" i="23"/>
  <c r="AP124" i="23"/>
  <c r="I68" i="23"/>
  <c r="AP122" i="23"/>
  <c r="AO122" i="23"/>
  <c r="I86" i="23"/>
  <c r="P53" i="23"/>
  <c r="AJ143" i="23"/>
  <c r="J12" i="23"/>
  <c r="J16" i="23"/>
  <c r="J14" i="23"/>
  <c r="AJ149" i="23"/>
  <c r="AJ142" i="23"/>
  <c r="AJ153" i="23"/>
  <c r="AJ148" i="23"/>
  <c r="AJ145" i="23"/>
  <c r="AI158" i="23"/>
  <c r="AJ159" i="23" s="1"/>
  <c r="AJ152" i="23"/>
  <c r="I69" i="23"/>
  <c r="AO123" i="23"/>
  <c r="AW6" i="2"/>
  <c r="I87" i="23"/>
  <c r="AP123" i="23"/>
  <c r="J15" i="23"/>
  <c r="J20" i="23"/>
  <c r="AP125" i="23"/>
  <c r="AO125" i="23"/>
  <c r="AW7" i="2"/>
  <c r="I89" i="23"/>
  <c r="I71" i="23"/>
  <c r="AJ151" i="23"/>
  <c r="AP4" i="2"/>
  <c r="U34" i="11"/>
  <c r="U33" i="11"/>
  <c r="U32" i="11"/>
  <c r="U31" i="11"/>
  <c r="U30" i="11"/>
  <c r="U29" i="11"/>
  <c r="U28" i="11"/>
  <c r="U27" i="11"/>
  <c r="U26" i="11"/>
  <c r="U25" i="11"/>
  <c r="U24" i="11"/>
  <c r="U23" i="11"/>
  <c r="U22" i="11"/>
  <c r="U21" i="11"/>
  <c r="U20" i="11"/>
  <c r="U19" i="11"/>
  <c r="U18" i="11"/>
  <c r="U17" i="11"/>
  <c r="U16" i="11"/>
  <c r="U15" i="11"/>
  <c r="U14" i="11"/>
  <c r="U13" i="11"/>
  <c r="U12" i="11"/>
  <c r="U11" i="11"/>
  <c r="U10" i="11"/>
  <c r="U9" i="11"/>
  <c r="U8" i="11"/>
  <c r="U7" i="11"/>
  <c r="U6" i="11"/>
  <c r="U5" i="11"/>
  <c r="U4" i="11"/>
  <c r="U3" i="11"/>
  <c r="M930" i="2" a="1"/>
  <c r="M930" i="2" s="1"/>
  <c r="U930" i="2"/>
  <c r="L930" i="2"/>
  <c r="M929" i="2" a="1"/>
  <c r="M929" i="2" s="1"/>
  <c r="U929" i="2"/>
  <c r="L929" i="2"/>
  <c r="M928" i="2" a="1"/>
  <c r="M928" i="2" s="1"/>
  <c r="U928" i="2"/>
  <c r="L928" i="2"/>
  <c r="M927" i="2" a="1"/>
  <c r="M927" i="2" s="1"/>
  <c r="U927" i="2"/>
  <c r="L927" i="2"/>
  <c r="M926" i="2" a="1"/>
  <c r="M926" i="2" s="1"/>
  <c r="U926" i="2"/>
  <c r="L926" i="2"/>
  <c r="M925" i="2" a="1"/>
  <c r="M925" i="2" s="1"/>
  <c r="U925" i="2"/>
  <c r="L925" i="2"/>
  <c r="M924" i="2" a="1"/>
  <c r="M924" i="2" s="1"/>
  <c r="U924" i="2"/>
  <c r="L924" i="2"/>
  <c r="M923" i="2" a="1"/>
  <c r="M923" i="2" s="1"/>
  <c r="U923" i="2"/>
  <c r="L923" i="2"/>
  <c r="M922" i="2" a="1"/>
  <c r="M922" i="2" s="1"/>
  <c r="U922" i="2"/>
  <c r="L922" i="2"/>
  <c r="M921" i="2" a="1"/>
  <c r="M921" i="2" s="1"/>
  <c r="U921" i="2"/>
  <c r="L921" i="2"/>
  <c r="M920" i="2" a="1"/>
  <c r="M920" i="2" s="1"/>
  <c r="U920" i="2"/>
  <c r="L920" i="2"/>
  <c r="M919" i="2" a="1"/>
  <c r="M919" i="2" s="1"/>
  <c r="U919" i="2"/>
  <c r="L919" i="2"/>
  <c r="M918" i="2" a="1"/>
  <c r="M918" i="2" s="1"/>
  <c r="U918" i="2"/>
  <c r="L918" i="2"/>
  <c r="M917" i="2" a="1"/>
  <c r="M917" i="2" s="1"/>
  <c r="U917" i="2"/>
  <c r="L917" i="2"/>
  <c r="M916" i="2" a="1"/>
  <c r="M916" i="2" s="1"/>
  <c r="U916" i="2"/>
  <c r="L916" i="2"/>
  <c r="M915" i="2" a="1"/>
  <c r="M915" i="2" s="1"/>
  <c r="U915" i="2"/>
  <c r="L915" i="2"/>
  <c r="M914" i="2" a="1"/>
  <c r="M914" i="2" s="1"/>
  <c r="U914" i="2"/>
  <c r="L914" i="2"/>
  <c r="M913" i="2" a="1"/>
  <c r="M913" i="2" s="1"/>
  <c r="U913" i="2"/>
  <c r="L913" i="2"/>
  <c r="M912" i="2" a="1"/>
  <c r="M912" i="2" s="1"/>
  <c r="U912" i="2"/>
  <c r="L912" i="2"/>
  <c r="M911" i="2" a="1"/>
  <c r="M911" i="2" s="1"/>
  <c r="U911" i="2"/>
  <c r="L911" i="2"/>
  <c r="M910" i="2" a="1"/>
  <c r="M910" i="2" s="1"/>
  <c r="U910" i="2"/>
  <c r="L910" i="2"/>
  <c r="M909" i="2" a="1"/>
  <c r="M909" i="2" s="1"/>
  <c r="U909" i="2"/>
  <c r="L909" i="2"/>
  <c r="M908" i="2" a="1"/>
  <c r="M908" i="2" s="1"/>
  <c r="U908" i="2"/>
  <c r="L908" i="2"/>
  <c r="M907" i="2" a="1"/>
  <c r="M907" i="2" s="1"/>
  <c r="U907" i="2"/>
  <c r="L907" i="2"/>
  <c r="M906" i="2" a="1"/>
  <c r="M906" i="2" s="1"/>
  <c r="U906" i="2"/>
  <c r="L906" i="2"/>
  <c r="M905" i="2" a="1"/>
  <c r="M905" i="2" s="1"/>
  <c r="U905" i="2"/>
  <c r="L905" i="2"/>
  <c r="M904" i="2" a="1"/>
  <c r="M904" i="2" s="1"/>
  <c r="U904" i="2"/>
  <c r="L904" i="2"/>
  <c r="M903" i="2" a="1"/>
  <c r="M903" i="2" s="1"/>
  <c r="U903" i="2"/>
  <c r="L903" i="2"/>
  <c r="M902" i="2" a="1"/>
  <c r="M902" i="2" s="1"/>
  <c r="U902" i="2"/>
  <c r="L902" i="2"/>
  <c r="M901" i="2" a="1"/>
  <c r="M901" i="2" s="1"/>
  <c r="U901" i="2"/>
  <c r="L901" i="2"/>
  <c r="M900" i="2" a="1"/>
  <c r="M900" i="2" s="1"/>
  <c r="U900" i="2"/>
  <c r="L900" i="2"/>
  <c r="M899" i="2" a="1"/>
  <c r="M899" i="2" s="1"/>
  <c r="U899" i="2"/>
  <c r="L899" i="2"/>
  <c r="M898" i="2" a="1"/>
  <c r="M898" i="2" s="1"/>
  <c r="U898" i="2"/>
  <c r="L898" i="2"/>
  <c r="M897" i="2" a="1"/>
  <c r="M897" i="2" s="1"/>
  <c r="U897" i="2"/>
  <c r="L897" i="2"/>
  <c r="M896" i="2" a="1"/>
  <c r="M896" i="2" s="1"/>
  <c r="U896" i="2"/>
  <c r="L896" i="2"/>
  <c r="M895" i="2" a="1"/>
  <c r="M895" i="2" s="1"/>
  <c r="U895" i="2"/>
  <c r="L895" i="2"/>
  <c r="M894" i="2" a="1"/>
  <c r="M894" i="2" s="1"/>
  <c r="U894" i="2"/>
  <c r="L894" i="2"/>
  <c r="M893" i="2" a="1"/>
  <c r="M893" i="2" s="1"/>
  <c r="U893" i="2"/>
  <c r="L893" i="2"/>
  <c r="M892" i="2" a="1"/>
  <c r="M892" i="2" s="1"/>
  <c r="U892" i="2"/>
  <c r="L892" i="2"/>
  <c r="M891" i="2" a="1"/>
  <c r="M891" i="2" s="1"/>
  <c r="U891" i="2"/>
  <c r="L891" i="2"/>
  <c r="M890" i="2" a="1"/>
  <c r="M890" i="2" s="1"/>
  <c r="U890" i="2"/>
  <c r="L890" i="2"/>
  <c r="M889" i="2" a="1"/>
  <c r="M889" i="2" s="1"/>
  <c r="U889" i="2"/>
  <c r="L889" i="2"/>
  <c r="M888" i="2" a="1"/>
  <c r="M888" i="2" s="1"/>
  <c r="U888" i="2"/>
  <c r="L888" i="2"/>
  <c r="M887" i="2" a="1"/>
  <c r="M887" i="2" s="1"/>
  <c r="U887" i="2"/>
  <c r="L887" i="2"/>
  <c r="M886" i="2" a="1"/>
  <c r="M886" i="2" s="1"/>
  <c r="U886" i="2"/>
  <c r="L886" i="2"/>
  <c r="M885" i="2" a="1"/>
  <c r="M885" i="2" s="1"/>
  <c r="U885" i="2"/>
  <c r="L885" i="2"/>
  <c r="M884" i="2" a="1"/>
  <c r="M884" i="2" s="1"/>
  <c r="U884" i="2"/>
  <c r="L884" i="2"/>
  <c r="M883" i="2" a="1"/>
  <c r="M883" i="2" s="1"/>
  <c r="U883" i="2"/>
  <c r="L883" i="2"/>
  <c r="M882" i="2" a="1"/>
  <c r="M882" i="2" s="1"/>
  <c r="U882" i="2"/>
  <c r="L882" i="2"/>
  <c r="M881" i="2" a="1"/>
  <c r="M881" i="2" s="1"/>
  <c r="U881" i="2"/>
  <c r="L881" i="2"/>
  <c r="M880" i="2" a="1"/>
  <c r="M880" i="2" s="1"/>
  <c r="U880" i="2"/>
  <c r="L880" i="2"/>
  <c r="M879" i="2" a="1"/>
  <c r="M879" i="2" s="1"/>
  <c r="U879" i="2"/>
  <c r="L879" i="2"/>
  <c r="M878" i="2" a="1"/>
  <c r="M878" i="2" s="1"/>
  <c r="U878" i="2"/>
  <c r="L878" i="2"/>
  <c r="M877" i="2" a="1"/>
  <c r="M877" i="2" s="1"/>
  <c r="U877" i="2"/>
  <c r="L877" i="2"/>
  <c r="M876" i="2" a="1"/>
  <c r="M876" i="2" s="1"/>
  <c r="U876" i="2"/>
  <c r="L876" i="2"/>
  <c r="M875" i="2" a="1"/>
  <c r="M875" i="2" s="1"/>
  <c r="U875" i="2"/>
  <c r="L875" i="2"/>
  <c r="M874" i="2" a="1"/>
  <c r="M874" i="2" s="1"/>
  <c r="U874" i="2"/>
  <c r="L874" i="2"/>
  <c r="M873" i="2" a="1"/>
  <c r="M873" i="2" s="1"/>
  <c r="U873" i="2"/>
  <c r="L873" i="2"/>
  <c r="M872" i="2" a="1"/>
  <c r="M872" i="2" s="1"/>
  <c r="U872" i="2"/>
  <c r="L872" i="2"/>
  <c r="M871" i="2" a="1"/>
  <c r="M871" i="2" s="1"/>
  <c r="U871" i="2"/>
  <c r="L871" i="2"/>
  <c r="M870" i="2" a="1"/>
  <c r="M870" i="2" s="1"/>
  <c r="U870" i="2"/>
  <c r="L870" i="2"/>
  <c r="M869" i="2" a="1"/>
  <c r="M869" i="2" s="1"/>
  <c r="U869" i="2"/>
  <c r="L869" i="2"/>
  <c r="M868" i="2" a="1"/>
  <c r="M868" i="2" s="1"/>
  <c r="U868" i="2"/>
  <c r="L868" i="2"/>
  <c r="M867" i="2" a="1"/>
  <c r="M867" i="2" s="1"/>
  <c r="U867" i="2"/>
  <c r="L867" i="2"/>
  <c r="M866" i="2" a="1"/>
  <c r="M866" i="2" s="1"/>
  <c r="U866" i="2"/>
  <c r="L866" i="2"/>
  <c r="M865" i="2" a="1"/>
  <c r="M865" i="2" s="1"/>
  <c r="U865" i="2"/>
  <c r="L865" i="2"/>
  <c r="M864" i="2" a="1"/>
  <c r="M864" i="2" s="1"/>
  <c r="U864" i="2"/>
  <c r="L864" i="2"/>
  <c r="M863" i="2" a="1"/>
  <c r="M863" i="2" s="1"/>
  <c r="U863" i="2"/>
  <c r="L863" i="2"/>
  <c r="M862" i="2" a="1"/>
  <c r="M862" i="2" s="1"/>
  <c r="U862" i="2"/>
  <c r="L862" i="2"/>
  <c r="M861" i="2" a="1"/>
  <c r="M861" i="2" s="1"/>
  <c r="U861" i="2"/>
  <c r="L861" i="2"/>
  <c r="M860" i="2" a="1"/>
  <c r="M860" i="2" s="1"/>
  <c r="U860" i="2"/>
  <c r="L860" i="2"/>
  <c r="M859" i="2" a="1"/>
  <c r="M859" i="2" s="1"/>
  <c r="U859" i="2"/>
  <c r="L859" i="2"/>
  <c r="M858" i="2" a="1"/>
  <c r="M858" i="2" s="1"/>
  <c r="U858" i="2"/>
  <c r="L858" i="2"/>
  <c r="M857" i="2" a="1"/>
  <c r="M857" i="2" s="1"/>
  <c r="U857" i="2"/>
  <c r="L857" i="2"/>
  <c r="M856" i="2" a="1"/>
  <c r="M856" i="2" s="1"/>
  <c r="U856" i="2"/>
  <c r="L856" i="2"/>
  <c r="M855" i="2" a="1"/>
  <c r="M855" i="2" s="1"/>
  <c r="U855" i="2"/>
  <c r="L855" i="2"/>
  <c r="M854" i="2" a="1"/>
  <c r="M854" i="2" s="1"/>
  <c r="U854" i="2"/>
  <c r="L854" i="2"/>
  <c r="M853" i="2" a="1"/>
  <c r="M853" i="2" s="1"/>
  <c r="U853" i="2"/>
  <c r="L853" i="2"/>
  <c r="M852" i="2" a="1"/>
  <c r="M852" i="2" s="1"/>
  <c r="U852" i="2"/>
  <c r="L852" i="2"/>
  <c r="M851" i="2" a="1"/>
  <c r="M851" i="2" s="1"/>
  <c r="U851" i="2"/>
  <c r="L851" i="2"/>
  <c r="M850" i="2" a="1"/>
  <c r="M850" i="2" s="1"/>
  <c r="U850" i="2"/>
  <c r="L850" i="2"/>
  <c r="M849" i="2" a="1"/>
  <c r="M849" i="2" s="1"/>
  <c r="U849" i="2"/>
  <c r="L849" i="2"/>
  <c r="M848" i="2" a="1"/>
  <c r="M848" i="2" s="1"/>
  <c r="U848" i="2"/>
  <c r="L848" i="2"/>
  <c r="M847" i="2" a="1"/>
  <c r="M847" i="2" s="1"/>
  <c r="U847" i="2"/>
  <c r="L847" i="2"/>
  <c r="M846" i="2" a="1"/>
  <c r="M846" i="2" s="1"/>
  <c r="U846" i="2"/>
  <c r="L846" i="2"/>
  <c r="M845" i="2" a="1"/>
  <c r="M845" i="2" s="1"/>
  <c r="U845" i="2"/>
  <c r="L845" i="2"/>
  <c r="M844" i="2" a="1"/>
  <c r="M844" i="2" s="1"/>
  <c r="U844" i="2"/>
  <c r="L844" i="2"/>
  <c r="M843" i="2" a="1"/>
  <c r="M843" i="2" s="1"/>
  <c r="U843" i="2"/>
  <c r="L843" i="2"/>
  <c r="M842" i="2" a="1"/>
  <c r="M842" i="2" s="1"/>
  <c r="U842" i="2"/>
  <c r="L842" i="2"/>
  <c r="M841" i="2" a="1"/>
  <c r="M841" i="2" s="1"/>
  <c r="U841" i="2"/>
  <c r="L841" i="2"/>
  <c r="M840" i="2" a="1"/>
  <c r="M840" i="2" s="1"/>
  <c r="U840" i="2"/>
  <c r="L840" i="2"/>
  <c r="M839" i="2" a="1"/>
  <c r="M839" i="2" s="1"/>
  <c r="U839" i="2"/>
  <c r="L839" i="2"/>
  <c r="M838" i="2" a="1"/>
  <c r="M838" i="2" s="1"/>
  <c r="U838" i="2"/>
  <c r="L838" i="2"/>
  <c r="M837" i="2" a="1"/>
  <c r="M837" i="2" s="1"/>
  <c r="U837" i="2"/>
  <c r="L837" i="2"/>
  <c r="M836" i="2" a="1"/>
  <c r="M836" i="2" s="1"/>
  <c r="U836" i="2"/>
  <c r="L836" i="2"/>
  <c r="M835" i="2" a="1"/>
  <c r="M835" i="2" s="1"/>
  <c r="U835" i="2"/>
  <c r="L835" i="2"/>
  <c r="M834" i="2" a="1"/>
  <c r="M834" i="2" s="1"/>
  <c r="U834" i="2"/>
  <c r="L834" i="2"/>
  <c r="M833" i="2" a="1"/>
  <c r="M833" i="2" s="1"/>
  <c r="U833" i="2"/>
  <c r="L833" i="2"/>
  <c r="M832" i="2" a="1"/>
  <c r="M832" i="2" s="1"/>
  <c r="U832" i="2"/>
  <c r="L832" i="2"/>
  <c r="M831" i="2" a="1"/>
  <c r="M831" i="2" s="1"/>
  <c r="U831" i="2"/>
  <c r="L831" i="2"/>
  <c r="M830" i="2" a="1"/>
  <c r="M830" i="2" s="1"/>
  <c r="U830" i="2"/>
  <c r="L830" i="2"/>
  <c r="M829" i="2" a="1"/>
  <c r="M829" i="2" s="1"/>
  <c r="U829" i="2"/>
  <c r="L829" i="2"/>
  <c r="M828" i="2" a="1"/>
  <c r="M828" i="2" s="1"/>
  <c r="U828" i="2"/>
  <c r="L828" i="2"/>
  <c r="M827" i="2" a="1"/>
  <c r="M827" i="2" s="1"/>
  <c r="U827" i="2"/>
  <c r="L827" i="2"/>
  <c r="M826" i="2" a="1"/>
  <c r="M826" i="2" s="1"/>
  <c r="U826" i="2"/>
  <c r="L826" i="2"/>
  <c r="M825" i="2" a="1"/>
  <c r="M825" i="2" s="1"/>
  <c r="U825" i="2"/>
  <c r="L825" i="2"/>
  <c r="M824" i="2" a="1"/>
  <c r="M824" i="2" s="1"/>
  <c r="U824" i="2"/>
  <c r="L824" i="2"/>
  <c r="M823" i="2" a="1"/>
  <c r="M823" i="2" s="1"/>
  <c r="U823" i="2"/>
  <c r="L823" i="2"/>
  <c r="M822" i="2" a="1"/>
  <c r="M822" i="2" s="1"/>
  <c r="U822" i="2"/>
  <c r="L822" i="2"/>
  <c r="M821" i="2" a="1"/>
  <c r="M821" i="2" s="1"/>
  <c r="U821" i="2"/>
  <c r="L821" i="2"/>
  <c r="M820" i="2" a="1"/>
  <c r="M820" i="2" s="1"/>
  <c r="U820" i="2"/>
  <c r="L820" i="2"/>
  <c r="M819" i="2" a="1"/>
  <c r="M819" i="2" s="1"/>
  <c r="U819" i="2"/>
  <c r="L819" i="2"/>
  <c r="M818" i="2" a="1"/>
  <c r="M818" i="2" s="1"/>
  <c r="U818" i="2"/>
  <c r="L818" i="2"/>
  <c r="M817" i="2" a="1"/>
  <c r="M817" i="2" s="1"/>
  <c r="U817" i="2"/>
  <c r="L817" i="2"/>
  <c r="M816" i="2" a="1"/>
  <c r="M816" i="2" s="1"/>
  <c r="U816" i="2"/>
  <c r="L816" i="2"/>
  <c r="M815" i="2" a="1"/>
  <c r="M815" i="2" s="1"/>
  <c r="U815" i="2"/>
  <c r="L815" i="2"/>
  <c r="M814" i="2" a="1"/>
  <c r="M814" i="2" s="1"/>
  <c r="U814" i="2"/>
  <c r="L814" i="2"/>
  <c r="M813" i="2" a="1"/>
  <c r="M813" i="2" s="1"/>
  <c r="U813" i="2"/>
  <c r="L813" i="2"/>
  <c r="M812" i="2" a="1"/>
  <c r="M812" i="2" s="1"/>
  <c r="U812" i="2"/>
  <c r="L812" i="2"/>
  <c r="M811" i="2" a="1"/>
  <c r="M811" i="2" s="1"/>
  <c r="U811" i="2"/>
  <c r="L811" i="2"/>
  <c r="M810" i="2" a="1"/>
  <c r="M810" i="2" s="1"/>
  <c r="U810" i="2"/>
  <c r="L810" i="2"/>
  <c r="M809" i="2" a="1"/>
  <c r="M809" i="2" s="1"/>
  <c r="U809" i="2"/>
  <c r="L809" i="2"/>
  <c r="M808" i="2" a="1"/>
  <c r="M808" i="2" s="1"/>
  <c r="U808" i="2"/>
  <c r="L808" i="2"/>
  <c r="M807" i="2" a="1"/>
  <c r="M807" i="2" s="1"/>
  <c r="U807" i="2"/>
  <c r="L807" i="2"/>
  <c r="M806" i="2" a="1"/>
  <c r="M806" i="2" s="1"/>
  <c r="U806" i="2"/>
  <c r="L806" i="2"/>
  <c r="M805" i="2" a="1"/>
  <c r="M805" i="2" s="1"/>
  <c r="U805" i="2"/>
  <c r="L805" i="2"/>
  <c r="M804" i="2" a="1"/>
  <c r="M804" i="2" s="1"/>
  <c r="U804" i="2"/>
  <c r="L804" i="2"/>
  <c r="M803" i="2" a="1"/>
  <c r="M803" i="2" s="1"/>
  <c r="U803" i="2"/>
  <c r="L803" i="2"/>
  <c r="M802" i="2" a="1"/>
  <c r="M802" i="2" s="1"/>
  <c r="U802" i="2"/>
  <c r="L802" i="2"/>
  <c r="M801" i="2" a="1"/>
  <c r="M801" i="2" s="1"/>
  <c r="U801" i="2"/>
  <c r="L801" i="2"/>
  <c r="M800" i="2" a="1"/>
  <c r="M800" i="2" s="1"/>
  <c r="U800" i="2"/>
  <c r="L800" i="2"/>
  <c r="M799" i="2" a="1"/>
  <c r="M799" i="2" s="1"/>
  <c r="U799" i="2"/>
  <c r="L799" i="2"/>
  <c r="M798" i="2" a="1"/>
  <c r="M798" i="2" s="1"/>
  <c r="U798" i="2"/>
  <c r="L798" i="2"/>
  <c r="M797" i="2" a="1"/>
  <c r="M797" i="2" s="1"/>
  <c r="U797" i="2"/>
  <c r="L797" i="2"/>
  <c r="M796" i="2" a="1"/>
  <c r="M796" i="2" s="1"/>
  <c r="U796" i="2"/>
  <c r="L796" i="2"/>
  <c r="M795" i="2" a="1"/>
  <c r="M795" i="2" s="1"/>
  <c r="U795" i="2"/>
  <c r="L795" i="2"/>
  <c r="M794" i="2" a="1"/>
  <c r="M794" i="2" s="1"/>
  <c r="U794" i="2"/>
  <c r="L794" i="2"/>
  <c r="M793" i="2" a="1"/>
  <c r="M793" i="2" s="1"/>
  <c r="U793" i="2"/>
  <c r="L793" i="2"/>
  <c r="M792" i="2" a="1"/>
  <c r="M792" i="2" s="1"/>
  <c r="U792" i="2"/>
  <c r="L792" i="2"/>
  <c r="M791" i="2" a="1"/>
  <c r="M791" i="2" s="1"/>
  <c r="U791" i="2"/>
  <c r="L791" i="2"/>
  <c r="M790" i="2" a="1"/>
  <c r="M790" i="2" s="1"/>
  <c r="U790" i="2"/>
  <c r="L790" i="2"/>
  <c r="M789" i="2" a="1"/>
  <c r="M789" i="2" s="1"/>
  <c r="U789" i="2"/>
  <c r="L789" i="2"/>
  <c r="M788" i="2" a="1"/>
  <c r="M788" i="2" s="1"/>
  <c r="U788" i="2"/>
  <c r="L788" i="2"/>
  <c r="M787" i="2" a="1"/>
  <c r="M787" i="2" s="1"/>
  <c r="U787" i="2"/>
  <c r="L787" i="2"/>
  <c r="M786" i="2" a="1"/>
  <c r="M786" i="2" s="1"/>
  <c r="U786" i="2"/>
  <c r="L786" i="2"/>
  <c r="M785" i="2" a="1"/>
  <c r="M785" i="2" s="1"/>
  <c r="U785" i="2"/>
  <c r="L785" i="2"/>
  <c r="M784" i="2" a="1"/>
  <c r="M784" i="2" s="1"/>
  <c r="U784" i="2"/>
  <c r="L784" i="2"/>
  <c r="M783" i="2" a="1"/>
  <c r="M783" i="2" s="1"/>
  <c r="U783" i="2"/>
  <c r="L783" i="2"/>
  <c r="M782" i="2" a="1"/>
  <c r="M782" i="2" s="1"/>
  <c r="U782" i="2"/>
  <c r="L782" i="2"/>
  <c r="M781" i="2" a="1"/>
  <c r="M781" i="2" s="1"/>
  <c r="U781" i="2"/>
  <c r="L781" i="2"/>
  <c r="M780" i="2" a="1"/>
  <c r="M780" i="2" s="1"/>
  <c r="U780" i="2"/>
  <c r="L780" i="2"/>
  <c r="M779" i="2" a="1"/>
  <c r="M779" i="2" s="1"/>
  <c r="U779" i="2"/>
  <c r="L779" i="2"/>
  <c r="M778" i="2" a="1"/>
  <c r="M778" i="2" s="1"/>
  <c r="U778" i="2"/>
  <c r="L778" i="2"/>
  <c r="M777" i="2" a="1"/>
  <c r="M777" i="2" s="1"/>
  <c r="U777" i="2"/>
  <c r="L777" i="2"/>
  <c r="M776" i="2" a="1"/>
  <c r="M776" i="2" s="1"/>
  <c r="U776" i="2"/>
  <c r="L776" i="2"/>
  <c r="M775" i="2" a="1"/>
  <c r="M775" i="2" s="1"/>
  <c r="U775" i="2"/>
  <c r="L775" i="2"/>
  <c r="M774" i="2" a="1"/>
  <c r="M774" i="2" s="1"/>
  <c r="U774" i="2"/>
  <c r="L774" i="2"/>
  <c r="M773" i="2" a="1"/>
  <c r="M773" i="2" s="1"/>
  <c r="U773" i="2"/>
  <c r="L773" i="2"/>
  <c r="M772" i="2" a="1"/>
  <c r="M772" i="2" s="1"/>
  <c r="U772" i="2"/>
  <c r="L772" i="2"/>
  <c r="M771" i="2" a="1"/>
  <c r="M771" i="2" s="1"/>
  <c r="U771" i="2"/>
  <c r="L771" i="2"/>
  <c r="M770" i="2" a="1"/>
  <c r="M770" i="2" s="1"/>
  <c r="U770" i="2"/>
  <c r="L770" i="2"/>
  <c r="M769" i="2" a="1"/>
  <c r="M769" i="2" s="1"/>
  <c r="U769" i="2"/>
  <c r="L769" i="2"/>
  <c r="M768" i="2" a="1"/>
  <c r="M768" i="2" s="1"/>
  <c r="U768" i="2"/>
  <c r="L768" i="2"/>
  <c r="M767" i="2" a="1"/>
  <c r="M767" i="2" s="1"/>
  <c r="U767" i="2"/>
  <c r="L767" i="2"/>
  <c r="M766" i="2" a="1"/>
  <c r="M766" i="2" s="1"/>
  <c r="U766" i="2"/>
  <c r="M765" i="2" a="1"/>
  <c r="M765" i="2" s="1"/>
  <c r="U765" i="2"/>
  <c r="L765" i="2"/>
  <c r="M764" i="2" a="1"/>
  <c r="M764" i="2" s="1"/>
  <c r="U764" i="2"/>
  <c r="L764" i="2"/>
  <c r="M763" i="2" a="1"/>
  <c r="M763" i="2" s="1"/>
  <c r="U763" i="2"/>
  <c r="L763" i="2"/>
  <c r="M762" i="2" a="1"/>
  <c r="M762" i="2" s="1"/>
  <c r="U762" i="2"/>
  <c r="L762" i="2"/>
  <c r="M761" i="2" a="1"/>
  <c r="M761" i="2" s="1"/>
  <c r="U761" i="2"/>
  <c r="L761" i="2"/>
  <c r="M760" i="2" a="1"/>
  <c r="M760" i="2" s="1"/>
  <c r="U760" i="2"/>
  <c r="L760" i="2"/>
  <c r="M759" i="2" a="1"/>
  <c r="M759" i="2" s="1"/>
  <c r="U759" i="2"/>
  <c r="L759" i="2"/>
  <c r="M758" i="2" a="1"/>
  <c r="M758" i="2" s="1"/>
  <c r="U758" i="2"/>
  <c r="L758" i="2"/>
  <c r="M757" i="2" a="1"/>
  <c r="M757" i="2" s="1"/>
  <c r="U757" i="2"/>
  <c r="L757" i="2"/>
  <c r="M756" i="2" a="1"/>
  <c r="M756" i="2" s="1"/>
  <c r="U756" i="2"/>
  <c r="L756" i="2"/>
  <c r="M755" i="2" a="1"/>
  <c r="M755" i="2" s="1"/>
  <c r="U755" i="2"/>
  <c r="L755" i="2"/>
  <c r="M754" i="2" a="1"/>
  <c r="M754" i="2" s="1"/>
  <c r="U754" i="2"/>
  <c r="L754" i="2"/>
  <c r="M753" i="2" a="1"/>
  <c r="M753" i="2" s="1"/>
  <c r="U753" i="2"/>
  <c r="L753" i="2"/>
  <c r="M752" i="2" a="1"/>
  <c r="M752" i="2" s="1"/>
  <c r="U752" i="2"/>
  <c r="L752" i="2"/>
  <c r="M751" i="2" a="1"/>
  <c r="M751" i="2" s="1"/>
  <c r="U751" i="2"/>
  <c r="L751" i="2"/>
  <c r="M750" i="2" a="1"/>
  <c r="M750" i="2" s="1"/>
  <c r="U750" i="2"/>
  <c r="L750" i="2"/>
  <c r="M749" i="2" a="1"/>
  <c r="M749" i="2" s="1"/>
  <c r="U749" i="2"/>
  <c r="L749" i="2"/>
  <c r="M748" i="2" a="1"/>
  <c r="M748" i="2" s="1"/>
  <c r="U748" i="2"/>
  <c r="L748" i="2"/>
  <c r="M747" i="2" a="1"/>
  <c r="M747" i="2" s="1"/>
  <c r="U747" i="2"/>
  <c r="L747" i="2"/>
  <c r="M746" i="2" a="1"/>
  <c r="M746" i="2" s="1"/>
  <c r="U746" i="2"/>
  <c r="L746" i="2"/>
  <c r="M745" i="2" a="1"/>
  <c r="M745" i="2" s="1"/>
  <c r="U745" i="2"/>
  <c r="L745" i="2"/>
  <c r="M744" i="2" a="1"/>
  <c r="M744" i="2" s="1"/>
  <c r="U744" i="2"/>
  <c r="L744" i="2"/>
  <c r="M743" i="2" a="1"/>
  <c r="M743" i="2" s="1"/>
  <c r="U743" i="2"/>
  <c r="L743" i="2"/>
  <c r="M742" i="2" a="1"/>
  <c r="M742" i="2" s="1"/>
  <c r="U742" i="2"/>
  <c r="L742" i="2"/>
  <c r="M741" i="2" a="1"/>
  <c r="M741" i="2" s="1"/>
  <c r="U741" i="2"/>
  <c r="L741" i="2"/>
  <c r="M740" i="2" a="1"/>
  <c r="M740" i="2" s="1"/>
  <c r="U740" i="2"/>
  <c r="L740" i="2"/>
  <c r="M739" i="2" a="1"/>
  <c r="M739" i="2" s="1"/>
  <c r="U739" i="2"/>
  <c r="L739" i="2"/>
  <c r="M738" i="2" a="1"/>
  <c r="M738" i="2" s="1"/>
  <c r="U738" i="2"/>
  <c r="L738" i="2"/>
  <c r="M737" i="2" a="1"/>
  <c r="M737" i="2" s="1"/>
  <c r="U737" i="2"/>
  <c r="L737" i="2"/>
  <c r="M736" i="2" a="1"/>
  <c r="M736" i="2" s="1"/>
  <c r="U736" i="2"/>
  <c r="L736" i="2"/>
  <c r="M735" i="2" a="1"/>
  <c r="M735" i="2" s="1"/>
  <c r="U735" i="2"/>
  <c r="L735" i="2"/>
  <c r="M734" i="2" a="1"/>
  <c r="M734" i="2" s="1"/>
  <c r="U734" i="2"/>
  <c r="L734" i="2"/>
  <c r="M733" i="2" a="1"/>
  <c r="M733" i="2" s="1"/>
  <c r="U733" i="2"/>
  <c r="L733" i="2"/>
  <c r="M732" i="2" a="1"/>
  <c r="M732" i="2" s="1"/>
  <c r="U732" i="2"/>
  <c r="L732" i="2"/>
  <c r="M731" i="2" a="1"/>
  <c r="M731" i="2" s="1"/>
  <c r="U731" i="2"/>
  <c r="L731" i="2"/>
  <c r="M730" i="2" a="1"/>
  <c r="M730" i="2" s="1"/>
  <c r="U730" i="2"/>
  <c r="L730" i="2"/>
  <c r="M729" i="2" a="1"/>
  <c r="M729" i="2" s="1"/>
  <c r="U729" i="2"/>
  <c r="L729" i="2"/>
  <c r="M728" i="2" a="1"/>
  <c r="M728" i="2" s="1"/>
  <c r="U728" i="2"/>
  <c r="L728" i="2"/>
  <c r="M727" i="2" a="1"/>
  <c r="M727" i="2" s="1"/>
  <c r="U727" i="2"/>
  <c r="L727" i="2"/>
  <c r="M726" i="2" a="1"/>
  <c r="M726" i="2" s="1"/>
  <c r="U726" i="2"/>
  <c r="L726" i="2"/>
  <c r="M725" i="2" a="1"/>
  <c r="M725" i="2" s="1"/>
  <c r="U725" i="2"/>
  <c r="L725" i="2"/>
  <c r="M724" i="2" a="1"/>
  <c r="M724" i="2" s="1"/>
  <c r="U724" i="2"/>
  <c r="L724" i="2"/>
  <c r="M723" i="2" a="1"/>
  <c r="M723" i="2" s="1"/>
  <c r="U723" i="2"/>
  <c r="L723" i="2"/>
  <c r="M722" i="2" a="1"/>
  <c r="M722" i="2" s="1"/>
  <c r="U722" i="2"/>
  <c r="L722" i="2"/>
  <c r="M721" i="2" a="1"/>
  <c r="M721" i="2" s="1"/>
  <c r="U721" i="2"/>
  <c r="L721" i="2"/>
  <c r="M720" i="2" a="1"/>
  <c r="M720" i="2" s="1"/>
  <c r="U720" i="2"/>
  <c r="L720" i="2"/>
  <c r="M719" i="2" a="1"/>
  <c r="M719" i="2" s="1"/>
  <c r="U719" i="2"/>
  <c r="L719" i="2"/>
  <c r="M718" i="2" a="1"/>
  <c r="M718" i="2" s="1"/>
  <c r="U718" i="2"/>
  <c r="L718" i="2"/>
  <c r="M717" i="2" a="1"/>
  <c r="M717" i="2" s="1"/>
  <c r="U717" i="2"/>
  <c r="L717" i="2"/>
  <c r="M716" i="2" a="1"/>
  <c r="M716" i="2" s="1"/>
  <c r="U716" i="2"/>
  <c r="L716" i="2"/>
  <c r="M715" i="2" a="1"/>
  <c r="M715" i="2" s="1"/>
  <c r="U715" i="2"/>
  <c r="L715" i="2"/>
  <c r="M714" i="2" a="1"/>
  <c r="M714" i="2" s="1"/>
  <c r="U714" i="2"/>
  <c r="L714" i="2"/>
  <c r="M713" i="2" a="1"/>
  <c r="M713" i="2" s="1"/>
  <c r="U713" i="2"/>
  <c r="L713" i="2"/>
  <c r="M712" i="2" a="1"/>
  <c r="M712" i="2" s="1"/>
  <c r="U712" i="2"/>
  <c r="L712" i="2"/>
  <c r="M711" i="2" a="1"/>
  <c r="M711" i="2" s="1"/>
  <c r="U711" i="2"/>
  <c r="L711" i="2"/>
  <c r="M710" i="2" a="1"/>
  <c r="M710" i="2" s="1"/>
  <c r="U710" i="2"/>
  <c r="L710" i="2"/>
  <c r="M709" i="2" a="1"/>
  <c r="M709" i="2" s="1"/>
  <c r="U709" i="2"/>
  <c r="L709" i="2"/>
  <c r="M708" i="2" a="1"/>
  <c r="M708" i="2" s="1"/>
  <c r="U708" i="2"/>
  <c r="L708" i="2"/>
  <c r="M707" i="2" a="1"/>
  <c r="M707" i="2" s="1"/>
  <c r="U707" i="2"/>
  <c r="L707" i="2"/>
  <c r="M706" i="2" a="1"/>
  <c r="M706" i="2" s="1"/>
  <c r="U706" i="2"/>
  <c r="L706" i="2"/>
  <c r="M705" i="2" a="1"/>
  <c r="M705" i="2" s="1"/>
  <c r="U705" i="2"/>
  <c r="L705" i="2"/>
  <c r="M704" i="2" a="1"/>
  <c r="M704" i="2" s="1"/>
  <c r="U704" i="2"/>
  <c r="L704" i="2"/>
  <c r="M703" i="2" a="1"/>
  <c r="M703" i="2" s="1"/>
  <c r="U703" i="2"/>
  <c r="L703" i="2"/>
  <c r="M702" i="2" a="1"/>
  <c r="M702" i="2" s="1"/>
  <c r="U702" i="2"/>
  <c r="L702" i="2"/>
  <c r="M701" i="2" a="1"/>
  <c r="M701" i="2" s="1"/>
  <c r="U701" i="2"/>
  <c r="L701" i="2"/>
  <c r="M700" i="2" a="1"/>
  <c r="M700" i="2" s="1"/>
  <c r="U700" i="2"/>
  <c r="L700" i="2"/>
  <c r="M699" i="2" a="1"/>
  <c r="M699" i="2" s="1"/>
  <c r="U699" i="2"/>
  <c r="L699" i="2"/>
  <c r="M698" i="2" a="1"/>
  <c r="M698" i="2" s="1"/>
  <c r="U698" i="2"/>
  <c r="L698" i="2"/>
  <c r="M697" i="2" a="1"/>
  <c r="M697" i="2" s="1"/>
  <c r="U697" i="2"/>
  <c r="L697" i="2"/>
  <c r="M696" i="2" a="1"/>
  <c r="M696" i="2" s="1"/>
  <c r="U696" i="2"/>
  <c r="L696" i="2"/>
  <c r="M695" i="2" a="1"/>
  <c r="M695" i="2" s="1"/>
  <c r="U695" i="2"/>
  <c r="L695" i="2"/>
  <c r="M694" i="2" a="1"/>
  <c r="M694" i="2" s="1"/>
  <c r="U694" i="2"/>
  <c r="L694" i="2"/>
  <c r="M693" i="2" a="1"/>
  <c r="M693" i="2" s="1"/>
  <c r="U693" i="2"/>
  <c r="L693" i="2"/>
  <c r="M692" i="2" a="1"/>
  <c r="M692" i="2" s="1"/>
  <c r="U692" i="2"/>
  <c r="L692" i="2"/>
  <c r="M691" i="2" a="1"/>
  <c r="M691" i="2" s="1"/>
  <c r="U691" i="2"/>
  <c r="L691" i="2"/>
  <c r="M690" i="2" a="1"/>
  <c r="M690" i="2" s="1"/>
  <c r="U690" i="2"/>
  <c r="L690" i="2"/>
  <c r="M689" i="2" a="1"/>
  <c r="M689" i="2" s="1"/>
  <c r="U689" i="2"/>
  <c r="L689" i="2"/>
  <c r="M688" i="2" a="1"/>
  <c r="M688" i="2" s="1"/>
  <c r="U688" i="2"/>
  <c r="L688" i="2"/>
  <c r="M687" i="2" a="1"/>
  <c r="M687" i="2" s="1"/>
  <c r="U687" i="2"/>
  <c r="L687" i="2"/>
  <c r="M686" i="2" a="1"/>
  <c r="M686" i="2" s="1"/>
  <c r="U686" i="2"/>
  <c r="L686" i="2"/>
  <c r="M685" i="2" a="1"/>
  <c r="M685" i="2" s="1"/>
  <c r="U685" i="2"/>
  <c r="L685" i="2"/>
  <c r="M684" i="2" a="1"/>
  <c r="M684" i="2" s="1"/>
  <c r="U684" i="2"/>
  <c r="L684" i="2"/>
  <c r="M683" i="2" a="1"/>
  <c r="M683" i="2" s="1"/>
  <c r="U683" i="2"/>
  <c r="L683" i="2"/>
  <c r="M682" i="2" a="1"/>
  <c r="M682" i="2" s="1"/>
  <c r="U682" i="2"/>
  <c r="L682" i="2"/>
  <c r="M681" i="2" a="1"/>
  <c r="M681" i="2" s="1"/>
  <c r="U681" i="2"/>
  <c r="L681" i="2"/>
  <c r="M680" i="2" a="1"/>
  <c r="M680" i="2" s="1"/>
  <c r="U680" i="2"/>
  <c r="L680" i="2"/>
  <c r="M679" i="2" a="1"/>
  <c r="M679" i="2" s="1"/>
  <c r="U679" i="2"/>
  <c r="L679" i="2"/>
  <c r="M678" i="2" a="1"/>
  <c r="M678" i="2" s="1"/>
  <c r="U678" i="2"/>
  <c r="L678" i="2"/>
  <c r="M677" i="2" a="1"/>
  <c r="M677" i="2" s="1"/>
  <c r="U677" i="2"/>
  <c r="L677" i="2"/>
  <c r="M676" i="2" a="1"/>
  <c r="M676" i="2" s="1"/>
  <c r="U676" i="2"/>
  <c r="L676" i="2"/>
  <c r="M675" i="2" a="1"/>
  <c r="M675" i="2" s="1"/>
  <c r="U675" i="2"/>
  <c r="L675" i="2"/>
  <c r="M674" i="2" a="1"/>
  <c r="M674" i="2" s="1"/>
  <c r="U674" i="2"/>
  <c r="L674" i="2"/>
  <c r="M673" i="2" a="1"/>
  <c r="M673" i="2" s="1"/>
  <c r="U673" i="2"/>
  <c r="L673" i="2"/>
  <c r="M672" i="2" a="1"/>
  <c r="M672" i="2" s="1"/>
  <c r="U672" i="2"/>
  <c r="L672" i="2"/>
  <c r="M671" i="2" a="1"/>
  <c r="M671" i="2" s="1"/>
  <c r="U671" i="2"/>
  <c r="L671" i="2"/>
  <c r="M670" i="2" a="1"/>
  <c r="M670" i="2" s="1"/>
  <c r="U670" i="2"/>
  <c r="L670" i="2"/>
  <c r="M669" i="2" a="1"/>
  <c r="M669" i="2" s="1"/>
  <c r="U669" i="2"/>
  <c r="L669" i="2"/>
  <c r="M668" i="2" a="1"/>
  <c r="M668" i="2" s="1"/>
  <c r="U668" i="2"/>
  <c r="L668" i="2"/>
  <c r="M667" i="2" a="1"/>
  <c r="M667" i="2" s="1"/>
  <c r="U667" i="2"/>
  <c r="L667" i="2"/>
  <c r="M666" i="2" a="1"/>
  <c r="M666" i="2" s="1"/>
  <c r="U666" i="2"/>
  <c r="L666" i="2"/>
  <c r="M665" i="2" a="1"/>
  <c r="M665" i="2" s="1"/>
  <c r="U665" i="2"/>
  <c r="L665" i="2"/>
  <c r="M664" i="2" a="1"/>
  <c r="M664" i="2" s="1"/>
  <c r="U664" i="2"/>
  <c r="L664" i="2"/>
  <c r="M663" i="2" a="1"/>
  <c r="M663" i="2" s="1"/>
  <c r="U663" i="2"/>
  <c r="L663" i="2"/>
  <c r="M662" i="2" a="1"/>
  <c r="M662" i="2" s="1"/>
  <c r="U662" i="2"/>
  <c r="L662" i="2"/>
  <c r="M661" i="2" a="1"/>
  <c r="M661" i="2" s="1"/>
  <c r="U661" i="2"/>
  <c r="L661" i="2"/>
  <c r="M660" i="2" a="1"/>
  <c r="M660" i="2" s="1"/>
  <c r="U660" i="2"/>
  <c r="L660" i="2"/>
  <c r="M659" i="2" a="1"/>
  <c r="M659" i="2" s="1"/>
  <c r="U659" i="2"/>
  <c r="L659" i="2"/>
  <c r="M658" i="2" a="1"/>
  <c r="M658" i="2" s="1"/>
  <c r="U658" i="2"/>
  <c r="L658" i="2"/>
  <c r="M657" i="2" a="1"/>
  <c r="M657" i="2" s="1"/>
  <c r="U657" i="2"/>
  <c r="L657" i="2"/>
  <c r="M656" i="2" a="1"/>
  <c r="M656" i="2" s="1"/>
  <c r="U656" i="2"/>
  <c r="L656" i="2"/>
  <c r="M655" i="2" a="1"/>
  <c r="M655" i="2" s="1"/>
  <c r="U655" i="2"/>
  <c r="L655" i="2"/>
  <c r="M654" i="2" a="1"/>
  <c r="M654" i="2" s="1"/>
  <c r="U654" i="2"/>
  <c r="L654" i="2"/>
  <c r="M653" i="2" a="1"/>
  <c r="M653" i="2" s="1"/>
  <c r="U653" i="2"/>
  <c r="L653" i="2"/>
  <c r="M652" i="2" a="1"/>
  <c r="M652" i="2" s="1"/>
  <c r="U652" i="2"/>
  <c r="L652" i="2"/>
  <c r="M651" i="2" a="1"/>
  <c r="M651" i="2" s="1"/>
  <c r="U651" i="2"/>
  <c r="L651" i="2"/>
  <c r="M650" i="2" a="1"/>
  <c r="M650" i="2" s="1"/>
  <c r="U650" i="2"/>
  <c r="L650" i="2"/>
  <c r="M649" i="2" a="1"/>
  <c r="M649" i="2" s="1"/>
  <c r="U649" i="2"/>
  <c r="L649" i="2"/>
  <c r="M648" i="2" a="1"/>
  <c r="M648" i="2" s="1"/>
  <c r="U648" i="2"/>
  <c r="L648" i="2"/>
  <c r="M647" i="2" a="1"/>
  <c r="M647" i="2" s="1"/>
  <c r="U647" i="2"/>
  <c r="L647" i="2"/>
  <c r="M646" i="2" a="1"/>
  <c r="M646" i="2" s="1"/>
  <c r="U646" i="2"/>
  <c r="L646" i="2"/>
  <c r="M645" i="2" a="1"/>
  <c r="M645" i="2" s="1"/>
  <c r="U645" i="2"/>
  <c r="L645" i="2"/>
  <c r="M644" i="2" a="1"/>
  <c r="M644" i="2" s="1"/>
  <c r="U644" i="2"/>
  <c r="L644" i="2"/>
  <c r="M643" i="2" a="1"/>
  <c r="M643" i="2" s="1"/>
  <c r="U643" i="2"/>
  <c r="L643" i="2"/>
  <c r="M642" i="2" a="1"/>
  <c r="M642" i="2" s="1"/>
  <c r="U642" i="2"/>
  <c r="L642" i="2"/>
  <c r="M641" i="2" a="1"/>
  <c r="M641" i="2" s="1"/>
  <c r="U641" i="2"/>
  <c r="L641" i="2"/>
  <c r="M640" i="2" a="1"/>
  <c r="M640" i="2" s="1"/>
  <c r="U640" i="2"/>
  <c r="L640" i="2"/>
  <c r="M639" i="2" a="1"/>
  <c r="M639" i="2" s="1"/>
  <c r="U639" i="2"/>
  <c r="L639" i="2"/>
  <c r="M638" i="2" a="1"/>
  <c r="M638" i="2" s="1"/>
  <c r="U638" i="2"/>
  <c r="L638" i="2"/>
  <c r="M637" i="2" a="1"/>
  <c r="M637" i="2" s="1"/>
  <c r="U637" i="2"/>
  <c r="L637" i="2"/>
  <c r="M636" i="2" a="1"/>
  <c r="M636" i="2" s="1"/>
  <c r="U636" i="2"/>
  <c r="L636" i="2"/>
  <c r="M635" i="2" a="1"/>
  <c r="M635" i="2" s="1"/>
  <c r="U635" i="2"/>
  <c r="L635" i="2"/>
  <c r="M634" i="2" a="1"/>
  <c r="M634" i="2" s="1"/>
  <c r="U634" i="2"/>
  <c r="L634" i="2"/>
  <c r="M633" i="2" a="1"/>
  <c r="M633" i="2" s="1"/>
  <c r="U633" i="2"/>
  <c r="L633" i="2"/>
  <c r="M632" i="2" a="1"/>
  <c r="M632" i="2" s="1"/>
  <c r="U632" i="2"/>
  <c r="L632" i="2"/>
  <c r="M631" i="2" a="1"/>
  <c r="M631" i="2" s="1"/>
  <c r="U631" i="2"/>
  <c r="L631" i="2"/>
  <c r="M630" i="2" a="1"/>
  <c r="M630" i="2" s="1"/>
  <c r="U630" i="2"/>
  <c r="L630" i="2"/>
  <c r="M629" i="2" a="1"/>
  <c r="M629" i="2" s="1"/>
  <c r="U629" i="2"/>
  <c r="L629" i="2"/>
  <c r="M628" i="2" a="1"/>
  <c r="M628" i="2" s="1"/>
  <c r="U628" i="2"/>
  <c r="L628" i="2"/>
  <c r="M627" i="2" a="1"/>
  <c r="M627" i="2" s="1"/>
  <c r="U627" i="2"/>
  <c r="L627" i="2"/>
  <c r="M626" i="2" a="1"/>
  <c r="M626" i="2" s="1"/>
  <c r="U626" i="2"/>
  <c r="L626" i="2"/>
  <c r="M625" i="2" a="1"/>
  <c r="M625" i="2" s="1"/>
  <c r="U625" i="2"/>
  <c r="L625" i="2"/>
  <c r="M624" i="2" a="1"/>
  <c r="M624" i="2" s="1"/>
  <c r="U624" i="2"/>
  <c r="L624" i="2"/>
  <c r="M623" i="2" a="1"/>
  <c r="M623" i="2" s="1"/>
  <c r="U623" i="2"/>
  <c r="L623" i="2"/>
  <c r="M622" i="2" a="1"/>
  <c r="M622" i="2" s="1"/>
  <c r="U622" i="2"/>
  <c r="L622" i="2"/>
  <c r="M621" i="2" a="1"/>
  <c r="M621" i="2" s="1"/>
  <c r="U621" i="2"/>
  <c r="L621" i="2"/>
  <c r="M620" i="2" a="1"/>
  <c r="M620" i="2" s="1"/>
  <c r="U620" i="2"/>
  <c r="L620" i="2"/>
  <c r="M619" i="2" a="1"/>
  <c r="M619" i="2" s="1"/>
  <c r="U619" i="2"/>
  <c r="L619" i="2"/>
  <c r="M618" i="2" a="1"/>
  <c r="M618" i="2" s="1"/>
  <c r="U618" i="2"/>
  <c r="L618" i="2"/>
  <c r="M617" i="2" a="1"/>
  <c r="M617" i="2" s="1"/>
  <c r="U617" i="2"/>
  <c r="L617" i="2"/>
  <c r="M616" i="2" a="1"/>
  <c r="M616" i="2" s="1"/>
  <c r="U616" i="2"/>
  <c r="L616" i="2"/>
  <c r="M615" i="2" a="1"/>
  <c r="M615" i="2" s="1"/>
  <c r="U615" i="2"/>
  <c r="L615" i="2"/>
  <c r="M614" i="2" a="1"/>
  <c r="M614" i="2" s="1"/>
  <c r="U614" i="2"/>
  <c r="L614" i="2"/>
  <c r="M613" i="2" a="1"/>
  <c r="M613" i="2" s="1"/>
  <c r="U613" i="2"/>
  <c r="L613" i="2"/>
  <c r="M612" i="2" a="1"/>
  <c r="M612" i="2" s="1"/>
  <c r="U612" i="2"/>
  <c r="L612" i="2"/>
  <c r="M611" i="2" a="1"/>
  <c r="M611" i="2" s="1"/>
  <c r="U611" i="2"/>
  <c r="L611" i="2"/>
  <c r="M610" i="2" a="1"/>
  <c r="M610" i="2" s="1"/>
  <c r="U610" i="2"/>
  <c r="L610" i="2"/>
  <c r="M609" i="2" a="1"/>
  <c r="M609" i="2" s="1"/>
  <c r="U609" i="2"/>
  <c r="L609" i="2"/>
  <c r="M608" i="2" a="1"/>
  <c r="M608" i="2" s="1"/>
  <c r="U608" i="2"/>
  <c r="L608" i="2"/>
  <c r="M607" i="2" a="1"/>
  <c r="M607" i="2" s="1"/>
  <c r="U607" i="2"/>
  <c r="L607" i="2"/>
  <c r="M606" i="2" a="1"/>
  <c r="M606" i="2" s="1"/>
  <c r="U606" i="2"/>
  <c r="L606" i="2"/>
  <c r="M605" i="2" a="1"/>
  <c r="M605" i="2" s="1"/>
  <c r="U605" i="2"/>
  <c r="L605" i="2"/>
  <c r="M604" i="2" a="1"/>
  <c r="M604" i="2" s="1"/>
  <c r="U604" i="2"/>
  <c r="L604" i="2"/>
  <c r="M603" i="2" a="1"/>
  <c r="M603" i="2" s="1"/>
  <c r="U603" i="2"/>
  <c r="L603" i="2"/>
  <c r="M602" i="2" a="1"/>
  <c r="M602" i="2" s="1"/>
  <c r="U602" i="2"/>
  <c r="L602" i="2"/>
  <c r="M601" i="2" a="1"/>
  <c r="M601" i="2" s="1"/>
  <c r="U601" i="2"/>
  <c r="L601" i="2"/>
  <c r="M600" i="2" a="1"/>
  <c r="M600" i="2" s="1"/>
  <c r="U600" i="2"/>
  <c r="L600" i="2"/>
  <c r="M599" i="2" a="1"/>
  <c r="M599" i="2" s="1"/>
  <c r="U599" i="2"/>
  <c r="L599" i="2"/>
  <c r="M598" i="2" a="1"/>
  <c r="M598" i="2" s="1"/>
  <c r="U598" i="2"/>
  <c r="L598" i="2"/>
  <c r="M597" i="2" a="1"/>
  <c r="M597" i="2" s="1"/>
  <c r="U597" i="2"/>
  <c r="L597" i="2"/>
  <c r="M596" i="2" a="1"/>
  <c r="M596" i="2" s="1"/>
  <c r="U596" i="2"/>
  <c r="L596" i="2"/>
  <c r="M595" i="2" a="1"/>
  <c r="M595" i="2" s="1"/>
  <c r="U595" i="2"/>
  <c r="L595" i="2"/>
  <c r="M594" i="2" a="1"/>
  <c r="M594" i="2" s="1"/>
  <c r="U594" i="2"/>
  <c r="L594" i="2"/>
  <c r="M593" i="2" a="1"/>
  <c r="M593" i="2" s="1"/>
  <c r="U593" i="2"/>
  <c r="L593" i="2"/>
  <c r="M592" i="2" a="1"/>
  <c r="M592" i="2" s="1"/>
  <c r="U592" i="2"/>
  <c r="L592" i="2"/>
  <c r="M591" i="2" a="1"/>
  <c r="M591" i="2" s="1"/>
  <c r="U591" i="2"/>
  <c r="L591" i="2"/>
  <c r="M590" i="2" a="1"/>
  <c r="M590" i="2" s="1"/>
  <c r="U590" i="2"/>
  <c r="L590" i="2"/>
  <c r="M589" i="2" a="1"/>
  <c r="M589" i="2" s="1"/>
  <c r="U589" i="2"/>
  <c r="L589" i="2"/>
  <c r="M588" i="2" a="1"/>
  <c r="M588" i="2" s="1"/>
  <c r="U588" i="2"/>
  <c r="L588" i="2"/>
  <c r="M587" i="2" a="1"/>
  <c r="M587" i="2" s="1"/>
  <c r="U587" i="2"/>
  <c r="L587" i="2"/>
  <c r="M586" i="2" a="1"/>
  <c r="M586" i="2" s="1"/>
  <c r="U586" i="2"/>
  <c r="L586" i="2"/>
  <c r="M585" i="2" a="1"/>
  <c r="M585" i="2" s="1"/>
  <c r="U585" i="2"/>
  <c r="L585" i="2"/>
  <c r="M584" i="2" a="1"/>
  <c r="M584" i="2" s="1"/>
  <c r="U584" i="2"/>
  <c r="L584" i="2"/>
  <c r="M583" i="2" a="1"/>
  <c r="M583" i="2" s="1"/>
  <c r="U583" i="2"/>
  <c r="L583" i="2"/>
  <c r="M582" i="2" a="1"/>
  <c r="M582" i="2" s="1"/>
  <c r="U582" i="2"/>
  <c r="L582" i="2"/>
  <c r="M581" i="2" a="1"/>
  <c r="M581" i="2" s="1"/>
  <c r="U581" i="2"/>
  <c r="L581" i="2"/>
  <c r="M580" i="2" a="1"/>
  <c r="M580" i="2" s="1"/>
  <c r="U580" i="2"/>
  <c r="L580" i="2"/>
  <c r="M579" i="2" a="1"/>
  <c r="M579" i="2" s="1"/>
  <c r="U579" i="2"/>
  <c r="L579" i="2"/>
  <c r="M578" i="2" a="1"/>
  <c r="M578" i="2" s="1"/>
  <c r="U578" i="2"/>
  <c r="L578" i="2"/>
  <c r="M577" i="2" a="1"/>
  <c r="M577" i="2" s="1"/>
  <c r="U577" i="2"/>
  <c r="L577" i="2"/>
  <c r="M576" i="2" a="1"/>
  <c r="M576" i="2" s="1"/>
  <c r="U576" i="2"/>
  <c r="L576" i="2"/>
  <c r="M575" i="2" a="1"/>
  <c r="M575" i="2" s="1"/>
  <c r="U575" i="2"/>
  <c r="L575" i="2"/>
  <c r="M574" i="2" a="1"/>
  <c r="M574" i="2" s="1"/>
  <c r="U574" i="2"/>
  <c r="L574" i="2"/>
  <c r="M573" i="2" a="1"/>
  <c r="M573" i="2" s="1"/>
  <c r="U573" i="2"/>
  <c r="L573" i="2"/>
  <c r="M572" i="2" a="1"/>
  <c r="M572" i="2" s="1"/>
  <c r="U572" i="2"/>
  <c r="L572" i="2"/>
  <c r="M571" i="2" a="1"/>
  <c r="M571" i="2" s="1"/>
  <c r="U571" i="2"/>
  <c r="L571" i="2"/>
  <c r="M570" i="2" a="1"/>
  <c r="M570" i="2" s="1"/>
  <c r="U570" i="2"/>
  <c r="L570" i="2"/>
  <c r="M569" i="2" a="1"/>
  <c r="M569" i="2" s="1"/>
  <c r="U569" i="2"/>
  <c r="L569" i="2"/>
  <c r="M568" i="2" a="1"/>
  <c r="M568" i="2" s="1"/>
  <c r="U568" i="2"/>
  <c r="L568" i="2"/>
  <c r="M567" i="2" a="1"/>
  <c r="M567" i="2" s="1"/>
  <c r="U567" i="2"/>
  <c r="L567" i="2"/>
  <c r="M566" i="2" a="1"/>
  <c r="M566" i="2" s="1"/>
  <c r="U566" i="2"/>
  <c r="L566" i="2"/>
  <c r="M565" i="2" a="1"/>
  <c r="M565" i="2" s="1"/>
  <c r="U565" i="2"/>
  <c r="L565" i="2"/>
  <c r="M564" i="2" a="1"/>
  <c r="M564" i="2" s="1"/>
  <c r="U564" i="2"/>
  <c r="L564" i="2"/>
  <c r="M563" i="2" a="1"/>
  <c r="M563" i="2" s="1"/>
  <c r="U563" i="2"/>
  <c r="L563" i="2"/>
  <c r="M562" i="2" a="1"/>
  <c r="M562" i="2" s="1"/>
  <c r="U562" i="2"/>
  <c r="L562" i="2"/>
  <c r="M561" i="2" a="1"/>
  <c r="M561" i="2" s="1"/>
  <c r="U561" i="2"/>
  <c r="L561" i="2"/>
  <c r="M560" i="2" a="1"/>
  <c r="M560" i="2" s="1"/>
  <c r="U560" i="2"/>
  <c r="L560" i="2"/>
  <c r="M559" i="2" a="1"/>
  <c r="M559" i="2" s="1"/>
  <c r="U559" i="2"/>
  <c r="L559" i="2"/>
  <c r="M558" i="2" a="1"/>
  <c r="M558" i="2" s="1"/>
  <c r="U558" i="2"/>
  <c r="L558" i="2"/>
  <c r="M557" i="2" a="1"/>
  <c r="M557" i="2" s="1"/>
  <c r="U557" i="2"/>
  <c r="L557" i="2"/>
  <c r="M556" i="2" a="1"/>
  <c r="M556" i="2" s="1"/>
  <c r="U556" i="2"/>
  <c r="L556" i="2"/>
  <c r="M555" i="2" a="1"/>
  <c r="M555" i="2" s="1"/>
  <c r="U555" i="2"/>
  <c r="L555" i="2"/>
  <c r="M554" i="2" a="1"/>
  <c r="M554" i="2" s="1"/>
  <c r="U554" i="2"/>
  <c r="L554" i="2"/>
  <c r="M553" i="2" a="1"/>
  <c r="M553" i="2" s="1"/>
  <c r="U553" i="2"/>
  <c r="L553" i="2"/>
  <c r="M552" i="2" a="1"/>
  <c r="M552" i="2" s="1"/>
  <c r="U552" i="2"/>
  <c r="L552" i="2"/>
  <c r="M551" i="2" a="1"/>
  <c r="M551" i="2" s="1"/>
  <c r="U551" i="2"/>
  <c r="L551" i="2"/>
  <c r="M550" i="2" a="1"/>
  <c r="M550" i="2" s="1"/>
  <c r="U550" i="2"/>
  <c r="L550" i="2"/>
  <c r="M549" i="2" a="1"/>
  <c r="M549" i="2" s="1"/>
  <c r="U549" i="2"/>
  <c r="L549" i="2"/>
  <c r="M548" i="2" a="1"/>
  <c r="M548" i="2" s="1"/>
  <c r="U548" i="2"/>
  <c r="L548" i="2"/>
  <c r="M547" i="2" a="1"/>
  <c r="M547" i="2" s="1"/>
  <c r="U547" i="2"/>
  <c r="L547" i="2"/>
  <c r="M546" i="2" a="1"/>
  <c r="M546" i="2" s="1"/>
  <c r="U546" i="2"/>
  <c r="L546" i="2"/>
  <c r="M545" i="2" a="1"/>
  <c r="M545" i="2" s="1"/>
  <c r="U545" i="2"/>
  <c r="L545" i="2"/>
  <c r="M544" i="2" a="1"/>
  <c r="M544" i="2" s="1"/>
  <c r="U544" i="2"/>
  <c r="L544" i="2"/>
  <c r="M543" i="2" a="1"/>
  <c r="M543" i="2" s="1"/>
  <c r="U543" i="2"/>
  <c r="L543" i="2"/>
  <c r="M542" i="2" a="1"/>
  <c r="M542" i="2" s="1"/>
  <c r="U542" i="2"/>
  <c r="L542" i="2"/>
  <c r="M541" i="2" a="1"/>
  <c r="M541" i="2" s="1"/>
  <c r="U541" i="2"/>
  <c r="L541" i="2"/>
  <c r="M540" i="2" a="1"/>
  <c r="M540" i="2" s="1"/>
  <c r="U540" i="2"/>
  <c r="L540" i="2"/>
  <c r="M539" i="2" a="1"/>
  <c r="M539" i="2" s="1"/>
  <c r="U539" i="2"/>
  <c r="L539" i="2"/>
  <c r="M538" i="2" a="1"/>
  <c r="M538" i="2" s="1"/>
  <c r="U538" i="2"/>
  <c r="L538" i="2"/>
  <c r="M537" i="2" a="1"/>
  <c r="M537" i="2" s="1"/>
  <c r="U537" i="2"/>
  <c r="L537" i="2"/>
  <c r="M536" i="2" a="1"/>
  <c r="M536" i="2" s="1"/>
  <c r="U536" i="2"/>
  <c r="L536" i="2"/>
  <c r="M535" i="2" a="1"/>
  <c r="M535" i="2" s="1"/>
  <c r="U535" i="2"/>
  <c r="L535" i="2"/>
  <c r="M534" i="2" a="1"/>
  <c r="M534" i="2" s="1"/>
  <c r="U534" i="2"/>
  <c r="L534" i="2"/>
  <c r="M533" i="2" a="1"/>
  <c r="M533" i="2" s="1"/>
  <c r="U533" i="2"/>
  <c r="L533" i="2"/>
  <c r="M532" i="2" a="1"/>
  <c r="M532" i="2" s="1"/>
  <c r="U532" i="2"/>
  <c r="L532" i="2"/>
  <c r="M531" i="2" a="1"/>
  <c r="M531" i="2" s="1"/>
  <c r="U531" i="2"/>
  <c r="L531" i="2"/>
  <c r="M530" i="2" a="1"/>
  <c r="M530" i="2" s="1"/>
  <c r="U530" i="2"/>
  <c r="L530" i="2"/>
  <c r="M529" i="2" a="1"/>
  <c r="M529" i="2" s="1"/>
  <c r="U529" i="2"/>
  <c r="L529" i="2"/>
  <c r="M528" i="2" a="1"/>
  <c r="M528" i="2" s="1"/>
  <c r="U528" i="2"/>
  <c r="L528" i="2"/>
  <c r="M527" i="2" a="1"/>
  <c r="M527" i="2" s="1"/>
  <c r="U527" i="2"/>
  <c r="L527" i="2"/>
  <c r="M526" i="2" a="1"/>
  <c r="M526" i="2" s="1"/>
  <c r="U526" i="2"/>
  <c r="L526" i="2"/>
  <c r="M525" i="2" a="1"/>
  <c r="M525" i="2" s="1"/>
  <c r="U525" i="2"/>
  <c r="L525" i="2"/>
  <c r="M524" i="2" a="1"/>
  <c r="M524" i="2" s="1"/>
  <c r="U524" i="2"/>
  <c r="L524" i="2"/>
  <c r="M523" i="2" a="1"/>
  <c r="M523" i="2" s="1"/>
  <c r="U523" i="2"/>
  <c r="L523" i="2"/>
  <c r="M522" i="2" a="1"/>
  <c r="M522" i="2" s="1"/>
  <c r="U522" i="2"/>
  <c r="L522" i="2"/>
  <c r="M521" i="2" a="1"/>
  <c r="M521" i="2" s="1"/>
  <c r="U521" i="2"/>
  <c r="L521" i="2"/>
  <c r="M520" i="2" a="1"/>
  <c r="M520" i="2" s="1"/>
  <c r="U520" i="2"/>
  <c r="L520" i="2"/>
  <c r="M519" i="2" a="1"/>
  <c r="M519" i="2" s="1"/>
  <c r="U519" i="2"/>
  <c r="L519" i="2"/>
  <c r="M518" i="2" a="1"/>
  <c r="M518" i="2" s="1"/>
  <c r="U518" i="2"/>
  <c r="L518" i="2"/>
  <c r="M517" i="2" a="1"/>
  <c r="M517" i="2" s="1"/>
  <c r="U517" i="2"/>
  <c r="L517" i="2"/>
  <c r="M516" i="2" a="1"/>
  <c r="M516" i="2" s="1"/>
  <c r="U516" i="2"/>
  <c r="L516" i="2"/>
  <c r="M515" i="2" a="1"/>
  <c r="M515" i="2" s="1"/>
  <c r="U515" i="2"/>
  <c r="L515" i="2"/>
  <c r="M514" i="2" a="1"/>
  <c r="M514" i="2" s="1"/>
  <c r="U514" i="2"/>
  <c r="L514" i="2"/>
  <c r="M513" i="2" a="1"/>
  <c r="M513" i="2" s="1"/>
  <c r="U513" i="2"/>
  <c r="L513" i="2"/>
  <c r="M512" i="2" a="1"/>
  <c r="M512" i="2" s="1"/>
  <c r="U512" i="2"/>
  <c r="L512" i="2"/>
  <c r="M511" i="2" a="1"/>
  <c r="M511" i="2" s="1"/>
  <c r="U511" i="2"/>
  <c r="L511" i="2"/>
  <c r="M510" i="2" a="1"/>
  <c r="M510" i="2" s="1"/>
  <c r="U510" i="2"/>
  <c r="L510" i="2"/>
  <c r="M509" i="2" a="1"/>
  <c r="M509" i="2" s="1"/>
  <c r="U509" i="2"/>
  <c r="L509" i="2"/>
  <c r="M508" i="2" a="1"/>
  <c r="M508" i="2" s="1"/>
  <c r="U508" i="2"/>
  <c r="L508" i="2"/>
  <c r="M507" i="2" a="1"/>
  <c r="M507" i="2" s="1"/>
  <c r="U507" i="2"/>
  <c r="L507" i="2"/>
  <c r="M506" i="2" a="1"/>
  <c r="M506" i="2" s="1"/>
  <c r="U506" i="2"/>
  <c r="L506" i="2"/>
  <c r="M505" i="2" a="1"/>
  <c r="M505" i="2" s="1"/>
  <c r="U505" i="2"/>
  <c r="L505" i="2"/>
  <c r="M504" i="2" a="1"/>
  <c r="M504" i="2" s="1"/>
  <c r="U504" i="2"/>
  <c r="L504" i="2"/>
  <c r="M503" i="2" a="1"/>
  <c r="M503" i="2" s="1"/>
  <c r="U503" i="2"/>
  <c r="L503" i="2"/>
  <c r="M502" i="2" a="1"/>
  <c r="M502" i="2" s="1"/>
  <c r="U502" i="2"/>
  <c r="L502" i="2"/>
  <c r="M501" i="2" a="1"/>
  <c r="M501" i="2" s="1"/>
  <c r="U501" i="2"/>
  <c r="L501" i="2"/>
  <c r="M500" i="2" a="1"/>
  <c r="M500" i="2" s="1"/>
  <c r="U500" i="2"/>
  <c r="L500" i="2"/>
  <c r="M499" i="2" a="1"/>
  <c r="M499" i="2" s="1"/>
  <c r="U499" i="2"/>
  <c r="L499" i="2"/>
  <c r="M498" i="2" a="1"/>
  <c r="M498" i="2" s="1"/>
  <c r="U498" i="2"/>
  <c r="L498" i="2"/>
  <c r="M497" i="2" a="1"/>
  <c r="M497" i="2" s="1"/>
  <c r="U497" i="2"/>
  <c r="L497" i="2"/>
  <c r="M496" i="2" a="1"/>
  <c r="M496" i="2" s="1"/>
  <c r="U496" i="2"/>
  <c r="L496" i="2"/>
  <c r="M495" i="2" a="1"/>
  <c r="M495" i="2" s="1"/>
  <c r="U495" i="2"/>
  <c r="L495" i="2"/>
  <c r="M494" i="2" a="1"/>
  <c r="M494" i="2" s="1"/>
  <c r="U494" i="2"/>
  <c r="L494" i="2"/>
  <c r="M493" i="2" a="1"/>
  <c r="M493" i="2" s="1"/>
  <c r="U493" i="2"/>
  <c r="L493" i="2"/>
  <c r="M492" i="2" a="1"/>
  <c r="M492" i="2" s="1"/>
  <c r="U492" i="2"/>
  <c r="L492" i="2"/>
  <c r="M491" i="2" a="1"/>
  <c r="M491" i="2" s="1"/>
  <c r="U491" i="2"/>
  <c r="L491" i="2"/>
  <c r="M490" i="2" a="1"/>
  <c r="M490" i="2" s="1"/>
  <c r="U490" i="2"/>
  <c r="L490" i="2"/>
  <c r="M489" i="2" a="1"/>
  <c r="M489" i="2" s="1"/>
  <c r="U489" i="2"/>
  <c r="L489" i="2"/>
  <c r="M488" i="2" a="1"/>
  <c r="M488" i="2" s="1"/>
  <c r="U488" i="2"/>
  <c r="L488" i="2"/>
  <c r="M487" i="2" a="1"/>
  <c r="M487" i="2" s="1"/>
  <c r="U487" i="2"/>
  <c r="L487" i="2"/>
  <c r="M486" i="2" a="1"/>
  <c r="M486" i="2" s="1"/>
  <c r="U486" i="2"/>
  <c r="L486" i="2"/>
  <c r="M485" i="2" a="1"/>
  <c r="M485" i="2" s="1"/>
  <c r="U485" i="2"/>
  <c r="L485" i="2"/>
  <c r="M484" i="2" a="1"/>
  <c r="M484" i="2" s="1"/>
  <c r="U484" i="2"/>
  <c r="L484" i="2"/>
  <c r="M483" i="2" a="1"/>
  <c r="M483" i="2" s="1"/>
  <c r="U483" i="2"/>
  <c r="L483" i="2"/>
  <c r="M482" i="2" a="1"/>
  <c r="M482" i="2" s="1"/>
  <c r="U482" i="2"/>
  <c r="L482" i="2"/>
  <c r="M481" i="2" a="1"/>
  <c r="M481" i="2" s="1"/>
  <c r="U481" i="2"/>
  <c r="L481" i="2"/>
  <c r="M480" i="2" a="1"/>
  <c r="M480" i="2" s="1"/>
  <c r="U480" i="2"/>
  <c r="L480" i="2"/>
  <c r="M479" i="2" a="1"/>
  <c r="M479" i="2" s="1"/>
  <c r="U479" i="2"/>
  <c r="L479" i="2"/>
  <c r="M478" i="2" a="1"/>
  <c r="M478" i="2" s="1"/>
  <c r="U478" i="2"/>
  <c r="L478" i="2"/>
  <c r="M477" i="2" a="1"/>
  <c r="M477" i="2" s="1"/>
  <c r="U477" i="2"/>
  <c r="L477" i="2"/>
  <c r="M476" i="2" a="1"/>
  <c r="M476" i="2" s="1"/>
  <c r="U476" i="2"/>
  <c r="L476" i="2"/>
  <c r="M475" i="2" a="1"/>
  <c r="M475" i="2" s="1"/>
  <c r="U475" i="2"/>
  <c r="L475" i="2"/>
  <c r="M474" i="2" a="1"/>
  <c r="M474" i="2" s="1"/>
  <c r="U474" i="2"/>
  <c r="L474" i="2"/>
  <c r="M473" i="2" a="1"/>
  <c r="M473" i="2" s="1"/>
  <c r="U473" i="2"/>
  <c r="L473" i="2"/>
  <c r="M472" i="2" a="1"/>
  <c r="M472" i="2" s="1"/>
  <c r="U472" i="2"/>
  <c r="L472" i="2"/>
  <c r="M471" i="2" a="1"/>
  <c r="M471" i="2" s="1"/>
  <c r="U471" i="2"/>
  <c r="L471" i="2"/>
  <c r="M470" i="2" a="1"/>
  <c r="M470" i="2" s="1"/>
  <c r="U470" i="2"/>
  <c r="L470" i="2"/>
  <c r="M469" i="2" a="1"/>
  <c r="M469" i="2" s="1"/>
  <c r="U469" i="2"/>
  <c r="L469" i="2"/>
  <c r="M468" i="2" a="1"/>
  <c r="M468" i="2" s="1"/>
  <c r="U468" i="2"/>
  <c r="L468" i="2"/>
  <c r="M467" i="2" a="1"/>
  <c r="M467" i="2" s="1"/>
  <c r="U467" i="2"/>
  <c r="L467" i="2"/>
  <c r="M466" i="2" a="1"/>
  <c r="M466" i="2" s="1"/>
  <c r="U466" i="2"/>
  <c r="L466" i="2"/>
  <c r="M465" i="2" a="1"/>
  <c r="M465" i="2" s="1"/>
  <c r="U465" i="2"/>
  <c r="L465" i="2"/>
  <c r="M464" i="2" a="1"/>
  <c r="M464" i="2" s="1"/>
  <c r="U464" i="2"/>
  <c r="L464" i="2"/>
  <c r="M463" i="2" a="1"/>
  <c r="M463" i="2" s="1"/>
  <c r="U463" i="2"/>
  <c r="L463" i="2"/>
  <c r="M462" i="2" a="1"/>
  <c r="M462" i="2" s="1"/>
  <c r="U462" i="2"/>
  <c r="L462" i="2"/>
  <c r="M461" i="2" a="1"/>
  <c r="M461" i="2" s="1"/>
  <c r="U461" i="2"/>
  <c r="L461" i="2"/>
  <c r="M460" i="2" a="1"/>
  <c r="M460" i="2" s="1"/>
  <c r="U460" i="2"/>
  <c r="L460" i="2"/>
  <c r="M459" i="2" a="1"/>
  <c r="M459" i="2" s="1"/>
  <c r="U459" i="2"/>
  <c r="L459" i="2"/>
  <c r="M458" i="2" a="1"/>
  <c r="M458" i="2" s="1"/>
  <c r="U458" i="2"/>
  <c r="L458" i="2"/>
  <c r="M457" i="2" a="1"/>
  <c r="M457" i="2" s="1"/>
  <c r="U457" i="2"/>
  <c r="L457" i="2"/>
  <c r="M456" i="2" a="1"/>
  <c r="M456" i="2" s="1"/>
  <c r="U456" i="2"/>
  <c r="L456" i="2"/>
  <c r="M455" i="2" a="1"/>
  <c r="M455" i="2" s="1"/>
  <c r="U455" i="2"/>
  <c r="L455" i="2"/>
  <c r="M454" i="2" a="1"/>
  <c r="M454" i="2" s="1"/>
  <c r="U454" i="2"/>
  <c r="L454" i="2"/>
  <c r="M453" i="2" a="1"/>
  <c r="M453" i="2" s="1"/>
  <c r="U453" i="2"/>
  <c r="L453" i="2"/>
  <c r="M452" i="2" a="1"/>
  <c r="M452" i="2" s="1"/>
  <c r="U452" i="2"/>
  <c r="L452" i="2"/>
  <c r="M451" i="2" a="1"/>
  <c r="M451" i="2" s="1"/>
  <c r="U451" i="2"/>
  <c r="L451" i="2"/>
  <c r="M450" i="2" a="1"/>
  <c r="M450" i="2" s="1"/>
  <c r="U450" i="2"/>
  <c r="L450" i="2"/>
  <c r="M449" i="2" a="1"/>
  <c r="M449" i="2" s="1"/>
  <c r="U449" i="2"/>
  <c r="L449" i="2"/>
  <c r="M448" i="2" a="1"/>
  <c r="M448" i="2" s="1"/>
  <c r="U448" i="2"/>
  <c r="L448" i="2"/>
  <c r="M447" i="2" a="1"/>
  <c r="M447" i="2" s="1"/>
  <c r="U447" i="2"/>
  <c r="L447" i="2"/>
  <c r="M446" i="2" a="1"/>
  <c r="M446" i="2" s="1"/>
  <c r="U446" i="2"/>
  <c r="L446" i="2"/>
  <c r="M445" i="2" a="1"/>
  <c r="M445" i="2" s="1"/>
  <c r="U445" i="2"/>
  <c r="L445" i="2"/>
  <c r="M444" i="2" a="1"/>
  <c r="M444" i="2" s="1"/>
  <c r="U444" i="2"/>
  <c r="L444" i="2"/>
  <c r="M443" i="2" a="1"/>
  <c r="M443" i="2" s="1"/>
  <c r="U443" i="2"/>
  <c r="L443" i="2"/>
  <c r="M442" i="2" a="1"/>
  <c r="M442" i="2" s="1"/>
  <c r="U442" i="2"/>
  <c r="L442" i="2"/>
  <c r="M441" i="2" a="1"/>
  <c r="M441" i="2" s="1"/>
  <c r="U441" i="2"/>
  <c r="L441" i="2"/>
  <c r="M440" i="2" a="1"/>
  <c r="M440" i="2" s="1"/>
  <c r="U440" i="2"/>
  <c r="L440" i="2"/>
  <c r="M439" i="2" a="1"/>
  <c r="M439" i="2" s="1"/>
  <c r="U439" i="2"/>
  <c r="L439" i="2"/>
  <c r="M438" i="2" a="1"/>
  <c r="M438" i="2" s="1"/>
  <c r="U438" i="2"/>
  <c r="L438" i="2"/>
  <c r="M437" i="2" a="1"/>
  <c r="M437" i="2" s="1"/>
  <c r="U437" i="2"/>
  <c r="L437" i="2"/>
  <c r="M436" i="2" a="1"/>
  <c r="M436" i="2" s="1"/>
  <c r="U436" i="2"/>
  <c r="L436" i="2"/>
  <c r="M435" i="2" a="1"/>
  <c r="M435" i="2" s="1"/>
  <c r="U435" i="2"/>
  <c r="L435" i="2"/>
  <c r="M434" i="2" a="1"/>
  <c r="M434" i="2" s="1"/>
  <c r="U434" i="2"/>
  <c r="L434" i="2"/>
  <c r="M433" i="2" a="1"/>
  <c r="M433" i="2" s="1"/>
  <c r="U433" i="2"/>
  <c r="L433" i="2"/>
  <c r="M432" i="2" a="1"/>
  <c r="M432" i="2" s="1"/>
  <c r="U432" i="2"/>
  <c r="L432" i="2"/>
  <c r="M431" i="2" a="1"/>
  <c r="M431" i="2" s="1"/>
  <c r="U431" i="2"/>
  <c r="L431" i="2"/>
  <c r="M430" i="2" a="1"/>
  <c r="M430" i="2" s="1"/>
  <c r="U430" i="2"/>
  <c r="L430" i="2"/>
  <c r="M429" i="2" a="1"/>
  <c r="M429" i="2" s="1"/>
  <c r="U429" i="2"/>
  <c r="L429" i="2"/>
  <c r="M428" i="2" a="1"/>
  <c r="M428" i="2" s="1"/>
  <c r="U428" i="2"/>
  <c r="L428" i="2"/>
  <c r="M427" i="2" a="1"/>
  <c r="M427" i="2" s="1"/>
  <c r="U427" i="2"/>
  <c r="L427" i="2"/>
  <c r="M426" i="2" a="1"/>
  <c r="M426" i="2" s="1"/>
  <c r="U426" i="2"/>
  <c r="L426" i="2"/>
  <c r="M425" i="2" a="1"/>
  <c r="M425" i="2" s="1"/>
  <c r="U425" i="2"/>
  <c r="L425" i="2"/>
  <c r="M424" i="2" a="1"/>
  <c r="M424" i="2" s="1"/>
  <c r="U424" i="2"/>
  <c r="L424" i="2"/>
  <c r="M423" i="2" a="1"/>
  <c r="M423" i="2" s="1"/>
  <c r="U423" i="2"/>
  <c r="L423" i="2"/>
  <c r="M422" i="2" a="1"/>
  <c r="M422" i="2" s="1"/>
  <c r="U422" i="2"/>
  <c r="L422" i="2"/>
  <c r="M421" i="2" a="1"/>
  <c r="M421" i="2" s="1"/>
  <c r="U421" i="2"/>
  <c r="L421" i="2"/>
  <c r="M420" i="2" a="1"/>
  <c r="M420" i="2" s="1"/>
  <c r="U420" i="2"/>
  <c r="L420" i="2"/>
  <c r="M419" i="2" a="1"/>
  <c r="M419" i="2" s="1"/>
  <c r="U419" i="2"/>
  <c r="L419" i="2"/>
  <c r="M418" i="2" a="1"/>
  <c r="M418" i="2" s="1"/>
  <c r="U418" i="2"/>
  <c r="L418" i="2"/>
  <c r="M417" i="2" a="1"/>
  <c r="M417" i="2" s="1"/>
  <c r="U417" i="2"/>
  <c r="L417" i="2"/>
  <c r="M416" i="2" a="1"/>
  <c r="M416" i="2" s="1"/>
  <c r="U416" i="2"/>
  <c r="L416" i="2"/>
  <c r="M415" i="2" a="1"/>
  <c r="M415" i="2" s="1"/>
  <c r="U415" i="2"/>
  <c r="L415" i="2"/>
  <c r="M414" i="2" a="1"/>
  <c r="M414" i="2" s="1"/>
  <c r="U414" i="2"/>
  <c r="L414" i="2"/>
  <c r="M413" i="2" a="1"/>
  <c r="M413" i="2" s="1"/>
  <c r="U413" i="2"/>
  <c r="L413" i="2"/>
  <c r="M412" i="2" a="1"/>
  <c r="M412" i="2" s="1"/>
  <c r="U412" i="2"/>
  <c r="L412" i="2"/>
  <c r="M411" i="2" a="1"/>
  <c r="M411" i="2" s="1"/>
  <c r="U411" i="2"/>
  <c r="L411" i="2"/>
  <c r="M410" i="2" a="1"/>
  <c r="M410" i="2" s="1"/>
  <c r="U410" i="2"/>
  <c r="L410" i="2"/>
  <c r="M409" i="2" a="1"/>
  <c r="M409" i="2" s="1"/>
  <c r="U409" i="2"/>
  <c r="L409" i="2"/>
  <c r="M408" i="2" a="1"/>
  <c r="M408" i="2" s="1"/>
  <c r="U408" i="2"/>
  <c r="L408" i="2"/>
  <c r="M407" i="2" a="1"/>
  <c r="M407" i="2" s="1"/>
  <c r="U407" i="2"/>
  <c r="L407" i="2"/>
  <c r="M406" i="2" a="1"/>
  <c r="M406" i="2" s="1"/>
  <c r="U406" i="2"/>
  <c r="L406" i="2"/>
  <c r="M405" i="2" a="1"/>
  <c r="M405" i="2" s="1"/>
  <c r="U405" i="2"/>
  <c r="L405" i="2"/>
  <c r="M404" i="2" a="1"/>
  <c r="M404" i="2" s="1"/>
  <c r="U404" i="2"/>
  <c r="L404" i="2"/>
  <c r="M403" i="2" a="1"/>
  <c r="M403" i="2" s="1"/>
  <c r="U403" i="2"/>
  <c r="L403" i="2"/>
  <c r="M402" i="2" a="1"/>
  <c r="M402" i="2" s="1"/>
  <c r="U402" i="2"/>
  <c r="L402" i="2"/>
  <c r="M401" i="2" a="1"/>
  <c r="M401" i="2" s="1"/>
  <c r="U401" i="2"/>
  <c r="L401" i="2"/>
  <c r="M400" i="2" a="1"/>
  <c r="M400" i="2" s="1"/>
  <c r="U400" i="2"/>
  <c r="L400" i="2"/>
  <c r="M399" i="2" a="1"/>
  <c r="M399" i="2" s="1"/>
  <c r="U399" i="2"/>
  <c r="L399" i="2"/>
  <c r="M398" i="2" a="1"/>
  <c r="M398" i="2" s="1"/>
  <c r="U398" i="2"/>
  <c r="L398" i="2"/>
  <c r="M397" i="2" a="1"/>
  <c r="M397" i="2" s="1"/>
  <c r="U397" i="2"/>
  <c r="L397" i="2"/>
  <c r="M396" i="2" a="1"/>
  <c r="M396" i="2" s="1"/>
  <c r="U396" i="2"/>
  <c r="L396" i="2"/>
  <c r="M395" i="2" a="1"/>
  <c r="M395" i="2" s="1"/>
  <c r="U395" i="2"/>
  <c r="L395" i="2"/>
  <c r="M394" i="2" a="1"/>
  <c r="M394" i="2" s="1"/>
  <c r="U394" i="2"/>
  <c r="L394" i="2"/>
  <c r="M393" i="2" a="1"/>
  <c r="M393" i="2" s="1"/>
  <c r="U393" i="2"/>
  <c r="L393" i="2"/>
  <c r="M392" i="2" a="1"/>
  <c r="M392" i="2" s="1"/>
  <c r="U392" i="2"/>
  <c r="L392" i="2"/>
  <c r="M391" i="2" a="1"/>
  <c r="M391" i="2" s="1"/>
  <c r="U391" i="2"/>
  <c r="L391" i="2"/>
  <c r="M390" i="2" a="1"/>
  <c r="M390" i="2" s="1"/>
  <c r="U390" i="2"/>
  <c r="L390" i="2"/>
  <c r="M389" i="2" a="1"/>
  <c r="M389" i="2" s="1"/>
  <c r="U389" i="2"/>
  <c r="L389" i="2"/>
  <c r="M388" i="2" a="1"/>
  <c r="M388" i="2" s="1"/>
  <c r="U388" i="2"/>
  <c r="L388" i="2"/>
  <c r="M387" i="2" a="1"/>
  <c r="M387" i="2" s="1"/>
  <c r="U387" i="2"/>
  <c r="L387" i="2"/>
  <c r="M386" i="2" a="1"/>
  <c r="M386" i="2" s="1"/>
  <c r="U386" i="2"/>
  <c r="L386" i="2"/>
  <c r="M385" i="2" a="1"/>
  <c r="M385" i="2" s="1"/>
  <c r="U385" i="2"/>
  <c r="L385" i="2"/>
  <c r="M384" i="2" a="1"/>
  <c r="M384" i="2" s="1"/>
  <c r="U384" i="2"/>
  <c r="L384" i="2"/>
  <c r="M383" i="2" a="1"/>
  <c r="M383" i="2" s="1"/>
  <c r="U383" i="2"/>
  <c r="L383" i="2"/>
  <c r="M382" i="2" a="1"/>
  <c r="M382" i="2" s="1"/>
  <c r="U382" i="2"/>
  <c r="L382" i="2"/>
  <c r="M381" i="2" a="1"/>
  <c r="M381" i="2" s="1"/>
  <c r="U381" i="2"/>
  <c r="L381" i="2"/>
  <c r="M380" i="2" a="1"/>
  <c r="M380" i="2" s="1"/>
  <c r="U380" i="2"/>
  <c r="L380" i="2"/>
  <c r="M379" i="2" a="1"/>
  <c r="M379" i="2" s="1"/>
  <c r="U379" i="2"/>
  <c r="L379" i="2"/>
  <c r="M378" i="2" a="1"/>
  <c r="M378" i="2" s="1"/>
  <c r="U378" i="2"/>
  <c r="L378" i="2"/>
  <c r="M377" i="2" a="1"/>
  <c r="M377" i="2" s="1"/>
  <c r="U377" i="2"/>
  <c r="L377" i="2"/>
  <c r="M376" i="2" a="1"/>
  <c r="M376" i="2" s="1"/>
  <c r="U376" i="2"/>
  <c r="L376" i="2"/>
  <c r="M375" i="2" a="1"/>
  <c r="M375" i="2" s="1"/>
  <c r="U375" i="2"/>
  <c r="L375" i="2"/>
  <c r="M374" i="2" a="1"/>
  <c r="M374" i="2" s="1"/>
  <c r="U374" i="2"/>
  <c r="L374" i="2"/>
  <c r="M373" i="2" a="1"/>
  <c r="M373" i="2" s="1"/>
  <c r="U373" i="2"/>
  <c r="L373" i="2"/>
  <c r="M372" i="2" a="1"/>
  <c r="M372" i="2" s="1"/>
  <c r="U372" i="2"/>
  <c r="L372" i="2"/>
  <c r="M371" i="2" a="1"/>
  <c r="M371" i="2" s="1"/>
  <c r="U371" i="2"/>
  <c r="L371" i="2"/>
  <c r="M370" i="2" a="1"/>
  <c r="M370" i="2" s="1"/>
  <c r="U370" i="2"/>
  <c r="L370" i="2"/>
  <c r="M369" i="2" a="1"/>
  <c r="M369" i="2" s="1"/>
  <c r="U369" i="2"/>
  <c r="L369" i="2"/>
  <c r="M368" i="2" a="1"/>
  <c r="M368" i="2" s="1"/>
  <c r="U368" i="2"/>
  <c r="L368" i="2"/>
  <c r="M367" i="2" a="1"/>
  <c r="M367" i="2" s="1"/>
  <c r="U367" i="2"/>
  <c r="L367" i="2"/>
  <c r="M366" i="2" a="1"/>
  <c r="M366" i="2" s="1"/>
  <c r="U366" i="2"/>
  <c r="L366" i="2"/>
  <c r="M365" i="2" a="1"/>
  <c r="M365" i="2" s="1"/>
  <c r="U365" i="2"/>
  <c r="L365" i="2"/>
  <c r="M364" i="2" a="1"/>
  <c r="M364" i="2" s="1"/>
  <c r="U364" i="2"/>
  <c r="L364" i="2"/>
  <c r="M363" i="2" a="1"/>
  <c r="M363" i="2" s="1"/>
  <c r="U363" i="2"/>
  <c r="L363" i="2"/>
  <c r="M362" i="2" a="1"/>
  <c r="M362" i="2" s="1"/>
  <c r="U362" i="2"/>
  <c r="L362" i="2"/>
  <c r="M361" i="2" a="1"/>
  <c r="M361" i="2" s="1"/>
  <c r="U361" i="2"/>
  <c r="L361" i="2"/>
  <c r="M360" i="2" a="1"/>
  <c r="M360" i="2" s="1"/>
  <c r="U360" i="2"/>
  <c r="L360" i="2"/>
  <c r="M359" i="2" a="1"/>
  <c r="M359" i="2" s="1"/>
  <c r="U359" i="2"/>
  <c r="L359" i="2"/>
  <c r="M358" i="2" a="1"/>
  <c r="M358" i="2" s="1"/>
  <c r="U358" i="2"/>
  <c r="L358" i="2"/>
  <c r="M357" i="2" a="1"/>
  <c r="M357" i="2" s="1"/>
  <c r="U357" i="2"/>
  <c r="L357" i="2"/>
  <c r="M356" i="2" a="1"/>
  <c r="M356" i="2" s="1"/>
  <c r="U356" i="2"/>
  <c r="L356" i="2"/>
  <c r="M355" i="2" a="1"/>
  <c r="M355" i="2" s="1"/>
  <c r="U355" i="2"/>
  <c r="L355" i="2"/>
  <c r="M354" i="2" a="1"/>
  <c r="M354" i="2" s="1"/>
  <c r="U354" i="2"/>
  <c r="L354" i="2"/>
  <c r="M353" i="2" a="1"/>
  <c r="M353" i="2" s="1"/>
  <c r="U353" i="2"/>
  <c r="L353" i="2"/>
  <c r="M352" i="2" a="1"/>
  <c r="M352" i="2" s="1"/>
  <c r="U352" i="2"/>
  <c r="L352" i="2"/>
  <c r="M351" i="2" a="1"/>
  <c r="M351" i="2" s="1"/>
  <c r="U351" i="2"/>
  <c r="L351" i="2"/>
  <c r="M350" i="2" a="1"/>
  <c r="M350" i="2" s="1"/>
  <c r="U350" i="2"/>
  <c r="L350" i="2"/>
  <c r="M349" i="2" a="1"/>
  <c r="M349" i="2" s="1"/>
  <c r="U349" i="2"/>
  <c r="L349" i="2"/>
  <c r="M348" i="2" a="1"/>
  <c r="M348" i="2" s="1"/>
  <c r="U348" i="2"/>
  <c r="L348" i="2"/>
  <c r="M347" i="2" a="1"/>
  <c r="M347" i="2" s="1"/>
  <c r="U347" i="2"/>
  <c r="L347" i="2"/>
  <c r="M346" i="2" a="1"/>
  <c r="M346" i="2" s="1"/>
  <c r="U346" i="2"/>
  <c r="L346" i="2"/>
  <c r="M345" i="2" a="1"/>
  <c r="M345" i="2" s="1"/>
  <c r="U345" i="2"/>
  <c r="L345" i="2"/>
  <c r="M344" i="2" a="1"/>
  <c r="M344" i="2" s="1"/>
  <c r="U344" i="2"/>
  <c r="L344" i="2"/>
  <c r="M343" i="2" a="1"/>
  <c r="M343" i="2" s="1"/>
  <c r="U343" i="2"/>
  <c r="L343" i="2"/>
  <c r="M342" i="2" a="1"/>
  <c r="M342" i="2" s="1"/>
  <c r="U342" i="2"/>
  <c r="L342" i="2"/>
  <c r="M341" i="2" a="1"/>
  <c r="M341" i="2" s="1"/>
  <c r="U341" i="2"/>
  <c r="L341" i="2"/>
  <c r="M340" i="2" a="1"/>
  <c r="M340" i="2" s="1"/>
  <c r="U340" i="2"/>
  <c r="L340" i="2"/>
  <c r="M339" i="2" a="1"/>
  <c r="M339" i="2" s="1"/>
  <c r="U339" i="2"/>
  <c r="L339" i="2"/>
  <c r="M338" i="2" a="1"/>
  <c r="M338" i="2" s="1"/>
  <c r="U338" i="2"/>
  <c r="L338" i="2"/>
  <c r="M337" i="2" a="1"/>
  <c r="M337" i="2" s="1"/>
  <c r="U337" i="2"/>
  <c r="L337" i="2"/>
  <c r="M336" i="2" a="1"/>
  <c r="M336" i="2" s="1"/>
  <c r="U336" i="2"/>
  <c r="L336" i="2"/>
  <c r="M335" i="2" a="1"/>
  <c r="M335" i="2" s="1"/>
  <c r="U335" i="2"/>
  <c r="L335" i="2"/>
  <c r="M334" i="2" a="1"/>
  <c r="M334" i="2" s="1"/>
  <c r="U334" i="2"/>
  <c r="L334" i="2"/>
  <c r="M333" i="2" a="1"/>
  <c r="M333" i="2" s="1"/>
  <c r="U333" i="2"/>
  <c r="L333" i="2"/>
  <c r="M332" i="2" a="1"/>
  <c r="M332" i="2" s="1"/>
  <c r="U332" i="2"/>
  <c r="L332" i="2"/>
  <c r="M331" i="2" a="1"/>
  <c r="M331" i="2" s="1"/>
  <c r="U331" i="2"/>
  <c r="L331" i="2"/>
  <c r="M330" i="2" a="1"/>
  <c r="M330" i="2" s="1"/>
  <c r="U330" i="2"/>
  <c r="L330" i="2"/>
  <c r="M329" i="2" a="1"/>
  <c r="M329" i="2" s="1"/>
  <c r="U329" i="2"/>
  <c r="L329" i="2"/>
  <c r="M328" i="2" a="1"/>
  <c r="M328" i="2" s="1"/>
  <c r="U328" i="2"/>
  <c r="L328" i="2"/>
  <c r="M327" i="2" a="1"/>
  <c r="M327" i="2" s="1"/>
  <c r="U327" i="2"/>
  <c r="L327" i="2"/>
  <c r="M326" i="2" a="1"/>
  <c r="M326" i="2" s="1"/>
  <c r="U326" i="2"/>
  <c r="L326" i="2"/>
  <c r="M325" i="2" a="1"/>
  <c r="M325" i="2" s="1"/>
  <c r="U325" i="2"/>
  <c r="L325" i="2"/>
  <c r="M324" i="2" a="1"/>
  <c r="M324" i="2" s="1"/>
  <c r="U324" i="2"/>
  <c r="L324" i="2"/>
  <c r="M323" i="2" a="1"/>
  <c r="M323" i="2" s="1"/>
  <c r="U323" i="2"/>
  <c r="L323" i="2"/>
  <c r="M322" i="2" a="1"/>
  <c r="M322" i="2" s="1"/>
  <c r="U322" i="2"/>
  <c r="L322" i="2"/>
  <c r="M321" i="2" a="1"/>
  <c r="M321" i="2" s="1"/>
  <c r="U321" i="2"/>
  <c r="L321" i="2"/>
  <c r="M320" i="2" a="1"/>
  <c r="M320" i="2" s="1"/>
  <c r="U320" i="2"/>
  <c r="L320" i="2"/>
  <c r="M319" i="2" a="1"/>
  <c r="M319" i="2" s="1"/>
  <c r="U319" i="2"/>
  <c r="L319" i="2"/>
  <c r="M318" i="2" a="1"/>
  <c r="M318" i="2" s="1"/>
  <c r="U318" i="2"/>
  <c r="L318" i="2"/>
  <c r="M317" i="2" a="1"/>
  <c r="M317" i="2" s="1"/>
  <c r="U317" i="2"/>
  <c r="L317" i="2"/>
  <c r="M316" i="2" a="1"/>
  <c r="M316" i="2" s="1"/>
  <c r="U316" i="2"/>
  <c r="L316" i="2"/>
  <c r="M315" i="2" a="1"/>
  <c r="M315" i="2" s="1"/>
  <c r="U315" i="2"/>
  <c r="L315" i="2"/>
  <c r="M314" i="2" a="1"/>
  <c r="M314" i="2" s="1"/>
  <c r="U314" i="2"/>
  <c r="L314" i="2"/>
  <c r="M313" i="2" a="1"/>
  <c r="M313" i="2" s="1"/>
  <c r="U313" i="2"/>
  <c r="L313" i="2"/>
  <c r="M312" i="2" a="1"/>
  <c r="M312" i="2" s="1"/>
  <c r="U312" i="2"/>
  <c r="L312" i="2"/>
  <c r="M311" i="2" a="1"/>
  <c r="M311" i="2" s="1"/>
  <c r="U311" i="2"/>
  <c r="L311" i="2"/>
  <c r="M310" i="2" a="1"/>
  <c r="M310" i="2" s="1"/>
  <c r="U310" i="2"/>
  <c r="L310" i="2"/>
  <c r="M309" i="2" a="1"/>
  <c r="M309" i="2" s="1"/>
  <c r="U309" i="2"/>
  <c r="L309" i="2"/>
  <c r="M308" i="2" a="1"/>
  <c r="M308" i="2" s="1"/>
  <c r="U308" i="2"/>
  <c r="L308" i="2"/>
  <c r="M307" i="2" a="1"/>
  <c r="M307" i="2" s="1"/>
  <c r="U307" i="2"/>
  <c r="L307" i="2"/>
  <c r="M306" i="2" a="1"/>
  <c r="M306" i="2" s="1"/>
  <c r="U306" i="2"/>
  <c r="L306" i="2"/>
  <c r="M305" i="2" a="1"/>
  <c r="M305" i="2" s="1"/>
  <c r="U305" i="2"/>
  <c r="L305" i="2"/>
  <c r="M304" i="2" a="1"/>
  <c r="M304" i="2" s="1"/>
  <c r="U304" i="2"/>
  <c r="L304" i="2"/>
  <c r="M303" i="2" a="1"/>
  <c r="M303" i="2" s="1"/>
  <c r="U303" i="2"/>
  <c r="L303" i="2"/>
  <c r="M302" i="2" a="1"/>
  <c r="M302" i="2" s="1"/>
  <c r="U302" i="2"/>
  <c r="L302" i="2"/>
  <c r="M301" i="2" a="1"/>
  <c r="M301" i="2" s="1"/>
  <c r="U301" i="2"/>
  <c r="L301" i="2"/>
  <c r="M300" i="2" a="1"/>
  <c r="M300" i="2" s="1"/>
  <c r="U300" i="2"/>
  <c r="L300" i="2"/>
  <c r="M299" i="2" a="1"/>
  <c r="M299" i="2" s="1"/>
  <c r="U299" i="2"/>
  <c r="L299" i="2"/>
  <c r="M298" i="2" a="1"/>
  <c r="M298" i="2" s="1"/>
  <c r="U298" i="2"/>
  <c r="L298" i="2"/>
  <c r="M297" i="2" a="1"/>
  <c r="M297" i="2" s="1"/>
  <c r="U297" i="2"/>
  <c r="L297" i="2"/>
  <c r="M296" i="2" a="1"/>
  <c r="M296" i="2" s="1"/>
  <c r="U296" i="2"/>
  <c r="L296" i="2"/>
  <c r="M295" i="2" a="1"/>
  <c r="M295" i="2" s="1"/>
  <c r="U295" i="2"/>
  <c r="L295" i="2"/>
  <c r="M294" i="2" a="1"/>
  <c r="M294" i="2" s="1"/>
  <c r="U294" i="2"/>
  <c r="L294" i="2"/>
  <c r="M293" i="2" a="1"/>
  <c r="M293" i="2" s="1"/>
  <c r="U293" i="2"/>
  <c r="L293" i="2"/>
  <c r="M292" i="2" a="1"/>
  <c r="M292" i="2" s="1"/>
  <c r="U292" i="2"/>
  <c r="L292" i="2"/>
  <c r="M291" i="2" a="1"/>
  <c r="M291" i="2" s="1"/>
  <c r="U291" i="2"/>
  <c r="L291" i="2"/>
  <c r="M290" i="2" a="1"/>
  <c r="M290" i="2" s="1"/>
  <c r="U290" i="2"/>
  <c r="L290" i="2"/>
  <c r="M289" i="2" a="1"/>
  <c r="M289" i="2" s="1"/>
  <c r="U289" i="2"/>
  <c r="L289" i="2"/>
  <c r="M288" i="2" a="1"/>
  <c r="M288" i="2" s="1"/>
  <c r="U288" i="2"/>
  <c r="L288" i="2"/>
  <c r="M287" i="2" a="1"/>
  <c r="M287" i="2" s="1"/>
  <c r="U287" i="2"/>
  <c r="L287" i="2"/>
  <c r="M286" i="2" a="1"/>
  <c r="M286" i="2" s="1"/>
  <c r="U286" i="2"/>
  <c r="L286" i="2"/>
  <c r="M285" i="2" a="1"/>
  <c r="M285" i="2" s="1"/>
  <c r="U285" i="2"/>
  <c r="L285" i="2"/>
  <c r="M284" i="2" a="1"/>
  <c r="M284" i="2" s="1"/>
  <c r="U284" i="2"/>
  <c r="L284" i="2"/>
  <c r="M283" i="2" a="1"/>
  <c r="M283" i="2" s="1"/>
  <c r="U283" i="2"/>
  <c r="L283" i="2"/>
  <c r="M282" i="2" a="1"/>
  <c r="M282" i="2" s="1"/>
  <c r="U282" i="2"/>
  <c r="L282" i="2"/>
  <c r="M281" i="2" a="1"/>
  <c r="M281" i="2" s="1"/>
  <c r="U281" i="2"/>
  <c r="L281" i="2"/>
  <c r="M280" i="2" a="1"/>
  <c r="M280" i="2" s="1"/>
  <c r="U280" i="2"/>
  <c r="L280" i="2"/>
  <c r="M279" i="2" a="1"/>
  <c r="M279" i="2" s="1"/>
  <c r="U279" i="2"/>
  <c r="L279" i="2"/>
  <c r="M278" i="2" a="1"/>
  <c r="M278" i="2" s="1"/>
  <c r="U278" i="2"/>
  <c r="L278" i="2"/>
  <c r="M277" i="2" a="1"/>
  <c r="M277" i="2" s="1"/>
  <c r="U277" i="2"/>
  <c r="L277" i="2"/>
  <c r="M276" i="2" a="1"/>
  <c r="M276" i="2" s="1"/>
  <c r="U276" i="2"/>
  <c r="L276" i="2"/>
  <c r="M275" i="2" a="1"/>
  <c r="M275" i="2" s="1"/>
  <c r="U275" i="2"/>
  <c r="L275" i="2"/>
  <c r="M274" i="2" a="1"/>
  <c r="M274" i="2" s="1"/>
  <c r="U274" i="2"/>
  <c r="L274" i="2"/>
  <c r="M273" i="2" a="1"/>
  <c r="M273" i="2" s="1"/>
  <c r="U273" i="2"/>
  <c r="L273" i="2"/>
  <c r="M272" i="2" a="1"/>
  <c r="M272" i="2" s="1"/>
  <c r="U272" i="2"/>
  <c r="L272" i="2"/>
  <c r="M271" i="2" a="1"/>
  <c r="M271" i="2" s="1"/>
  <c r="U271" i="2"/>
  <c r="L271" i="2"/>
  <c r="M270" i="2" a="1"/>
  <c r="M270" i="2" s="1"/>
  <c r="U270" i="2"/>
  <c r="L270" i="2"/>
  <c r="M269" i="2" a="1"/>
  <c r="M269" i="2" s="1"/>
  <c r="U269" i="2"/>
  <c r="L269" i="2"/>
  <c r="M268" i="2" a="1"/>
  <c r="M268" i="2" s="1"/>
  <c r="U268" i="2"/>
  <c r="L268" i="2"/>
  <c r="M267" i="2" a="1"/>
  <c r="M267" i="2" s="1"/>
  <c r="U267" i="2"/>
  <c r="L267" i="2"/>
  <c r="M266" i="2" a="1"/>
  <c r="M266" i="2" s="1"/>
  <c r="U266" i="2"/>
  <c r="L266" i="2"/>
  <c r="M265" i="2" a="1"/>
  <c r="M265" i="2" s="1"/>
  <c r="U265" i="2"/>
  <c r="L265" i="2"/>
  <c r="M264" i="2" a="1"/>
  <c r="M264" i="2" s="1"/>
  <c r="U264" i="2"/>
  <c r="L264" i="2"/>
  <c r="M263" i="2" a="1"/>
  <c r="M263" i="2" s="1"/>
  <c r="U263" i="2"/>
  <c r="L263" i="2"/>
  <c r="M262" i="2" a="1"/>
  <c r="M262" i="2" s="1"/>
  <c r="U262" i="2"/>
  <c r="L262" i="2"/>
  <c r="M261" i="2" a="1"/>
  <c r="M261" i="2" s="1"/>
  <c r="U261" i="2"/>
  <c r="L261" i="2"/>
  <c r="M260" i="2" a="1"/>
  <c r="M260" i="2" s="1"/>
  <c r="U260" i="2"/>
  <c r="L260" i="2"/>
  <c r="M259" i="2" a="1"/>
  <c r="M259" i="2" s="1"/>
  <c r="U259" i="2"/>
  <c r="L259" i="2"/>
  <c r="M258" i="2" a="1"/>
  <c r="M258" i="2" s="1"/>
  <c r="U258" i="2"/>
  <c r="L258" i="2"/>
  <c r="M257" i="2" a="1"/>
  <c r="M257" i="2" s="1"/>
  <c r="U257" i="2"/>
  <c r="L257" i="2"/>
  <c r="M256" i="2" a="1"/>
  <c r="M256" i="2" s="1"/>
  <c r="U256" i="2"/>
  <c r="L256" i="2"/>
  <c r="M255" i="2" a="1"/>
  <c r="M255" i="2" s="1"/>
  <c r="U255" i="2"/>
  <c r="L255" i="2"/>
  <c r="M254" i="2" a="1"/>
  <c r="M254" i="2" s="1"/>
  <c r="U254" i="2"/>
  <c r="L254" i="2"/>
  <c r="M253" i="2" a="1"/>
  <c r="M253" i="2" s="1"/>
  <c r="U253" i="2"/>
  <c r="L253" i="2"/>
  <c r="M252" i="2" a="1"/>
  <c r="M252" i="2" s="1"/>
  <c r="U252" i="2"/>
  <c r="L252" i="2"/>
  <c r="M251" i="2" a="1"/>
  <c r="M251" i="2" s="1"/>
  <c r="U251" i="2"/>
  <c r="L251" i="2"/>
  <c r="M250" i="2" a="1"/>
  <c r="M250" i="2" s="1"/>
  <c r="U250" i="2"/>
  <c r="L250" i="2"/>
  <c r="M249" i="2" a="1"/>
  <c r="M249" i="2" s="1"/>
  <c r="U249" i="2"/>
  <c r="L249" i="2"/>
  <c r="M248" i="2" a="1"/>
  <c r="M248" i="2" s="1"/>
  <c r="U248" i="2"/>
  <c r="L248" i="2"/>
  <c r="M247" i="2" a="1"/>
  <c r="M247" i="2" s="1"/>
  <c r="U247" i="2"/>
  <c r="L247" i="2"/>
  <c r="M246" i="2" a="1"/>
  <c r="M246" i="2" s="1"/>
  <c r="U246" i="2"/>
  <c r="L246" i="2"/>
  <c r="M245" i="2" a="1"/>
  <c r="M245" i="2" s="1"/>
  <c r="U245" i="2"/>
  <c r="L245" i="2"/>
  <c r="M244" i="2" a="1"/>
  <c r="M244" i="2" s="1"/>
  <c r="U244" i="2"/>
  <c r="L244" i="2"/>
  <c r="M243" i="2" a="1"/>
  <c r="M243" i="2" s="1"/>
  <c r="U243" i="2"/>
  <c r="L243" i="2"/>
  <c r="M242" i="2" a="1"/>
  <c r="M242" i="2" s="1"/>
  <c r="U242" i="2"/>
  <c r="L242" i="2"/>
  <c r="M241" i="2" a="1"/>
  <c r="M241" i="2" s="1"/>
  <c r="U241" i="2"/>
  <c r="L241" i="2"/>
  <c r="M240" i="2" a="1"/>
  <c r="M240" i="2" s="1"/>
  <c r="U240" i="2"/>
  <c r="L240" i="2"/>
  <c r="M239" i="2" a="1"/>
  <c r="M239" i="2" s="1"/>
  <c r="U239" i="2"/>
  <c r="L239" i="2"/>
  <c r="M238" i="2" a="1"/>
  <c r="M238" i="2" s="1"/>
  <c r="U238" i="2"/>
  <c r="L238" i="2"/>
  <c r="M237" i="2" a="1"/>
  <c r="M237" i="2" s="1"/>
  <c r="U237" i="2"/>
  <c r="L237" i="2"/>
  <c r="M236" i="2" a="1"/>
  <c r="M236" i="2" s="1"/>
  <c r="U236" i="2"/>
  <c r="L236" i="2"/>
  <c r="M235" i="2" a="1"/>
  <c r="M235" i="2" s="1"/>
  <c r="U235" i="2"/>
  <c r="L235" i="2"/>
  <c r="M234" i="2" a="1"/>
  <c r="M234" i="2" s="1"/>
  <c r="U234" i="2"/>
  <c r="L234" i="2"/>
  <c r="M233" i="2" a="1"/>
  <c r="M233" i="2" s="1"/>
  <c r="U233" i="2"/>
  <c r="L233" i="2"/>
  <c r="M232" i="2" a="1"/>
  <c r="M232" i="2" s="1"/>
  <c r="U232" i="2"/>
  <c r="L232" i="2"/>
  <c r="M231" i="2" a="1"/>
  <c r="M231" i="2" s="1"/>
  <c r="U231" i="2"/>
  <c r="L231" i="2"/>
  <c r="M230" i="2" a="1"/>
  <c r="M230" i="2" s="1"/>
  <c r="U230" i="2"/>
  <c r="L230" i="2"/>
  <c r="M229" i="2" a="1"/>
  <c r="M229" i="2" s="1"/>
  <c r="U229" i="2"/>
  <c r="L229" i="2"/>
  <c r="M228" i="2" a="1"/>
  <c r="M228" i="2" s="1"/>
  <c r="U228" i="2"/>
  <c r="L228" i="2"/>
  <c r="M227" i="2" a="1"/>
  <c r="M227" i="2" s="1"/>
  <c r="U227" i="2"/>
  <c r="L227" i="2"/>
  <c r="M226" i="2" a="1"/>
  <c r="M226" i="2" s="1"/>
  <c r="U226" i="2"/>
  <c r="L226" i="2"/>
  <c r="M225" i="2" a="1"/>
  <c r="M225" i="2" s="1"/>
  <c r="U225" i="2"/>
  <c r="L225" i="2"/>
  <c r="M224" i="2" a="1"/>
  <c r="M224" i="2" s="1"/>
  <c r="U224" i="2"/>
  <c r="L224" i="2"/>
  <c r="M223" i="2" a="1"/>
  <c r="M223" i="2" s="1"/>
  <c r="U223" i="2"/>
  <c r="L223" i="2"/>
  <c r="M222" i="2" a="1"/>
  <c r="M222" i="2" s="1"/>
  <c r="U222" i="2"/>
  <c r="L222" i="2"/>
  <c r="M221" i="2" a="1"/>
  <c r="M221" i="2" s="1"/>
  <c r="U221" i="2"/>
  <c r="L221" i="2"/>
  <c r="M220" i="2" a="1"/>
  <c r="M220" i="2" s="1"/>
  <c r="U220" i="2"/>
  <c r="L220" i="2"/>
  <c r="M219" i="2" a="1"/>
  <c r="M219" i="2" s="1"/>
  <c r="U219" i="2"/>
  <c r="L219" i="2"/>
  <c r="M218" i="2" a="1"/>
  <c r="M218" i="2" s="1"/>
  <c r="U218" i="2"/>
  <c r="L218" i="2"/>
  <c r="M217" i="2" a="1"/>
  <c r="M217" i="2" s="1"/>
  <c r="U217" i="2"/>
  <c r="L217" i="2"/>
  <c r="M216" i="2" a="1"/>
  <c r="M216" i="2" s="1"/>
  <c r="U216" i="2"/>
  <c r="L216" i="2"/>
  <c r="M215" i="2" a="1"/>
  <c r="M215" i="2" s="1"/>
  <c r="U215" i="2"/>
  <c r="L215" i="2"/>
  <c r="M214" i="2" a="1"/>
  <c r="M214" i="2" s="1"/>
  <c r="U214" i="2"/>
  <c r="L214" i="2"/>
  <c r="M213" i="2" a="1"/>
  <c r="M213" i="2" s="1"/>
  <c r="U213" i="2"/>
  <c r="L213" i="2"/>
  <c r="M212" i="2" a="1"/>
  <c r="M212" i="2" s="1"/>
  <c r="U212" i="2"/>
  <c r="L212" i="2"/>
  <c r="M211" i="2" a="1"/>
  <c r="M211" i="2" s="1"/>
  <c r="U211" i="2"/>
  <c r="L211" i="2"/>
  <c r="M210" i="2" a="1"/>
  <c r="M210" i="2" s="1"/>
  <c r="U210" i="2"/>
  <c r="L210" i="2"/>
  <c r="M209" i="2" a="1"/>
  <c r="M209" i="2" s="1"/>
  <c r="U209" i="2"/>
  <c r="L209" i="2"/>
  <c r="M208" i="2" a="1"/>
  <c r="M208" i="2" s="1"/>
  <c r="U208" i="2"/>
  <c r="L208" i="2"/>
  <c r="M207" i="2" a="1"/>
  <c r="M207" i="2" s="1"/>
  <c r="U207" i="2"/>
  <c r="L207" i="2"/>
  <c r="M206" i="2" a="1"/>
  <c r="M206" i="2" s="1"/>
  <c r="U206" i="2"/>
  <c r="L206" i="2"/>
  <c r="M205" i="2" a="1"/>
  <c r="M205" i="2" s="1"/>
  <c r="U205" i="2"/>
  <c r="L205" i="2"/>
  <c r="M204" i="2" a="1"/>
  <c r="M204" i="2" s="1"/>
  <c r="U204" i="2"/>
  <c r="L204" i="2"/>
  <c r="M203" i="2" a="1"/>
  <c r="M203" i="2" s="1"/>
  <c r="U203" i="2"/>
  <c r="L203" i="2"/>
  <c r="AH202" i="2"/>
  <c r="AI202" i="2" s="1"/>
  <c r="AG202" i="2"/>
  <c r="AF202" i="2"/>
  <c r="AE202" i="2"/>
  <c r="AD202" i="2"/>
  <c r="AC202" i="2"/>
  <c r="AB202" i="2"/>
  <c r="M202" i="2" a="1"/>
  <c r="M202" i="2" s="1"/>
  <c r="U202" i="2"/>
  <c r="L202" i="2"/>
  <c r="AH201" i="2"/>
  <c r="AI201" i="2" s="1"/>
  <c r="AG201" i="2"/>
  <c r="AF201" i="2"/>
  <c r="AE201" i="2"/>
  <c r="AD201" i="2"/>
  <c r="AC201" i="2"/>
  <c r="AB201" i="2"/>
  <c r="M201" i="2" a="1"/>
  <c r="M201" i="2" s="1"/>
  <c r="U201" i="2"/>
  <c r="L201" i="2"/>
  <c r="AH200" i="2"/>
  <c r="AI200" i="2" s="1"/>
  <c r="AG200" i="2"/>
  <c r="AF200" i="2"/>
  <c r="AE200" i="2"/>
  <c r="AD200" i="2"/>
  <c r="AC200" i="2"/>
  <c r="AB200" i="2"/>
  <c r="M200" i="2" a="1"/>
  <c r="M200" i="2" s="1"/>
  <c r="U200" i="2"/>
  <c r="L200" i="2"/>
  <c r="AH199" i="2"/>
  <c r="AI199" i="2" s="1"/>
  <c r="AG199" i="2"/>
  <c r="AF199" i="2"/>
  <c r="AE199" i="2"/>
  <c r="AD199" i="2"/>
  <c r="AC199" i="2"/>
  <c r="AB199" i="2"/>
  <c r="M199" i="2" a="1"/>
  <c r="M199" i="2" s="1"/>
  <c r="U199" i="2"/>
  <c r="L199" i="2"/>
  <c r="AH198" i="2"/>
  <c r="AI198" i="2" s="1"/>
  <c r="AG198" i="2"/>
  <c r="AF198" i="2"/>
  <c r="AE198" i="2"/>
  <c r="AD198" i="2"/>
  <c r="AC198" i="2"/>
  <c r="AB198" i="2"/>
  <c r="M198" i="2" a="1"/>
  <c r="M198" i="2" s="1"/>
  <c r="U198" i="2"/>
  <c r="L198" i="2"/>
  <c r="AH197" i="2"/>
  <c r="AI197" i="2" s="1"/>
  <c r="AG197" i="2"/>
  <c r="AF197" i="2"/>
  <c r="AE197" i="2"/>
  <c r="AD197" i="2"/>
  <c r="AC197" i="2"/>
  <c r="AB197" i="2"/>
  <c r="M197" i="2" a="1"/>
  <c r="M197" i="2" s="1"/>
  <c r="U197" i="2"/>
  <c r="L197" i="2"/>
  <c r="AH196" i="2"/>
  <c r="AI196" i="2" s="1"/>
  <c r="AG196" i="2"/>
  <c r="AF196" i="2"/>
  <c r="AE196" i="2"/>
  <c r="AD196" i="2"/>
  <c r="AC196" i="2"/>
  <c r="AB196" i="2"/>
  <c r="M196" i="2" a="1"/>
  <c r="M196" i="2" s="1"/>
  <c r="U196" i="2"/>
  <c r="L196" i="2"/>
  <c r="AH195" i="2"/>
  <c r="AI195" i="2" s="1"/>
  <c r="AG195" i="2"/>
  <c r="AF195" i="2"/>
  <c r="AE195" i="2"/>
  <c r="AD195" i="2"/>
  <c r="AC195" i="2"/>
  <c r="AB195" i="2"/>
  <c r="M195" i="2" a="1"/>
  <c r="M195" i="2" s="1"/>
  <c r="U195" i="2"/>
  <c r="L195" i="2"/>
  <c r="AH194" i="2"/>
  <c r="AI194" i="2" s="1"/>
  <c r="AG194" i="2"/>
  <c r="AF194" i="2"/>
  <c r="AE194" i="2"/>
  <c r="AD194" i="2"/>
  <c r="AC194" i="2"/>
  <c r="AB194" i="2"/>
  <c r="M194" i="2" a="1"/>
  <c r="M194" i="2" s="1"/>
  <c r="U194" i="2"/>
  <c r="L194" i="2"/>
  <c r="AH193" i="2"/>
  <c r="AI193" i="2" s="1"/>
  <c r="AG193" i="2"/>
  <c r="AF193" i="2"/>
  <c r="AE193" i="2"/>
  <c r="AD193" i="2"/>
  <c r="AC193" i="2"/>
  <c r="AB193" i="2"/>
  <c r="M193" i="2" a="1"/>
  <c r="M193" i="2" s="1"/>
  <c r="U193" i="2"/>
  <c r="L193" i="2"/>
  <c r="AH192" i="2"/>
  <c r="AI192" i="2" s="1"/>
  <c r="AG192" i="2"/>
  <c r="AF192" i="2"/>
  <c r="AE192" i="2"/>
  <c r="AD192" i="2"/>
  <c r="AC192" i="2"/>
  <c r="AB192" i="2"/>
  <c r="M192" i="2" a="1"/>
  <c r="M192" i="2" s="1"/>
  <c r="U192" i="2"/>
  <c r="L192" i="2"/>
  <c r="AH191" i="2"/>
  <c r="AI191" i="2" s="1"/>
  <c r="AG191" i="2"/>
  <c r="AF191" i="2"/>
  <c r="AE191" i="2"/>
  <c r="AD191" i="2"/>
  <c r="AC191" i="2"/>
  <c r="AB191" i="2"/>
  <c r="M191" i="2" a="1"/>
  <c r="M191" i="2" s="1"/>
  <c r="U191" i="2"/>
  <c r="L191" i="2"/>
  <c r="AH190" i="2"/>
  <c r="AI190" i="2" s="1"/>
  <c r="AG190" i="2"/>
  <c r="AF190" i="2"/>
  <c r="AE190" i="2"/>
  <c r="AD190" i="2"/>
  <c r="AC190" i="2"/>
  <c r="AB190" i="2"/>
  <c r="M190" i="2" a="1"/>
  <c r="M190" i="2" s="1"/>
  <c r="U190" i="2"/>
  <c r="L190" i="2"/>
  <c r="AH189" i="2"/>
  <c r="AI189" i="2" s="1"/>
  <c r="AG189" i="2"/>
  <c r="AF189" i="2"/>
  <c r="AE189" i="2"/>
  <c r="AD189" i="2"/>
  <c r="AC189" i="2"/>
  <c r="AB189" i="2"/>
  <c r="M189" i="2" a="1"/>
  <c r="M189" i="2" s="1"/>
  <c r="U189" i="2"/>
  <c r="L189" i="2"/>
  <c r="AH188" i="2"/>
  <c r="AI188" i="2" s="1"/>
  <c r="AG188" i="2"/>
  <c r="AF188" i="2"/>
  <c r="AE188" i="2"/>
  <c r="AD188" i="2"/>
  <c r="AC188" i="2"/>
  <c r="AB188" i="2"/>
  <c r="M188" i="2" a="1"/>
  <c r="M188" i="2" s="1"/>
  <c r="U188" i="2"/>
  <c r="L188" i="2"/>
  <c r="AH187" i="2"/>
  <c r="AI187" i="2" s="1"/>
  <c r="AG187" i="2"/>
  <c r="AF187" i="2"/>
  <c r="AE187" i="2"/>
  <c r="AD187" i="2"/>
  <c r="AC187" i="2"/>
  <c r="AB187" i="2"/>
  <c r="M187" i="2" a="1"/>
  <c r="M187" i="2" s="1"/>
  <c r="U187" i="2"/>
  <c r="L187" i="2"/>
  <c r="AH186" i="2"/>
  <c r="AI186" i="2" s="1"/>
  <c r="AG186" i="2"/>
  <c r="AF186" i="2"/>
  <c r="AE186" i="2"/>
  <c r="AD186" i="2"/>
  <c r="AC186" i="2"/>
  <c r="AB186" i="2"/>
  <c r="M186" i="2" a="1"/>
  <c r="M186" i="2" s="1"/>
  <c r="U186" i="2"/>
  <c r="L186" i="2"/>
  <c r="AH185" i="2"/>
  <c r="AI185" i="2" s="1"/>
  <c r="AG185" i="2"/>
  <c r="AF185" i="2"/>
  <c r="AE185" i="2"/>
  <c r="AD185" i="2"/>
  <c r="AC185" i="2"/>
  <c r="AB185" i="2"/>
  <c r="M185" i="2" a="1"/>
  <c r="M185" i="2" s="1"/>
  <c r="U185" i="2"/>
  <c r="L185" i="2"/>
  <c r="AH184" i="2"/>
  <c r="AI184" i="2" s="1"/>
  <c r="AG184" i="2"/>
  <c r="AF184" i="2"/>
  <c r="AE184" i="2"/>
  <c r="AD184" i="2"/>
  <c r="AC184" i="2"/>
  <c r="AB184" i="2"/>
  <c r="M184" i="2" a="1"/>
  <c r="M184" i="2" s="1"/>
  <c r="U184" i="2"/>
  <c r="L184" i="2"/>
  <c r="AH183" i="2"/>
  <c r="AI183" i="2" s="1"/>
  <c r="AG183" i="2"/>
  <c r="AF183" i="2"/>
  <c r="AE183" i="2"/>
  <c r="AD183" i="2"/>
  <c r="AC183" i="2"/>
  <c r="AB183" i="2"/>
  <c r="M183" i="2" a="1"/>
  <c r="M183" i="2" s="1"/>
  <c r="U183" i="2"/>
  <c r="L183" i="2"/>
  <c r="AH182" i="2"/>
  <c r="AI182" i="2" s="1"/>
  <c r="AG182" i="2"/>
  <c r="AF182" i="2"/>
  <c r="AE182" i="2"/>
  <c r="AD182" i="2"/>
  <c r="AC182" i="2"/>
  <c r="AB182" i="2"/>
  <c r="M182" i="2" a="1"/>
  <c r="M182" i="2" s="1"/>
  <c r="U182" i="2"/>
  <c r="L182" i="2"/>
  <c r="AH181" i="2"/>
  <c r="AI181" i="2" s="1"/>
  <c r="AG181" i="2"/>
  <c r="AF181" i="2"/>
  <c r="AE181" i="2"/>
  <c r="AD181" i="2"/>
  <c r="AC181" i="2"/>
  <c r="AB181" i="2"/>
  <c r="M181" i="2" a="1"/>
  <c r="M181" i="2" s="1"/>
  <c r="U181" i="2"/>
  <c r="L181" i="2"/>
  <c r="AH180" i="2"/>
  <c r="AI180" i="2" s="1"/>
  <c r="AG180" i="2"/>
  <c r="AF180" i="2"/>
  <c r="AE180" i="2"/>
  <c r="AD180" i="2"/>
  <c r="AC180" i="2"/>
  <c r="AB180" i="2"/>
  <c r="M180" i="2" a="1"/>
  <c r="M180" i="2" s="1"/>
  <c r="U180" i="2"/>
  <c r="L180" i="2"/>
  <c r="AH179" i="2"/>
  <c r="AI179" i="2" s="1"/>
  <c r="AG179" i="2"/>
  <c r="AF179" i="2"/>
  <c r="AE179" i="2"/>
  <c r="AD179" i="2"/>
  <c r="AC179" i="2"/>
  <c r="AB179" i="2"/>
  <c r="M179" i="2" a="1"/>
  <c r="M179" i="2" s="1"/>
  <c r="U179" i="2"/>
  <c r="L179" i="2"/>
  <c r="AH178" i="2"/>
  <c r="AI178" i="2" s="1"/>
  <c r="AG178" i="2"/>
  <c r="AF178" i="2"/>
  <c r="AE178" i="2"/>
  <c r="AD178" i="2"/>
  <c r="AC178" i="2"/>
  <c r="AB178" i="2"/>
  <c r="M178" i="2" a="1"/>
  <c r="M178" i="2" s="1"/>
  <c r="U178" i="2"/>
  <c r="L178" i="2"/>
  <c r="AH177" i="2"/>
  <c r="AI177" i="2" s="1"/>
  <c r="AG177" i="2"/>
  <c r="AF177" i="2"/>
  <c r="AE177" i="2"/>
  <c r="AD177" i="2"/>
  <c r="AC177" i="2"/>
  <c r="AB177" i="2"/>
  <c r="M177" i="2" a="1"/>
  <c r="M177" i="2" s="1"/>
  <c r="U177" i="2"/>
  <c r="L177" i="2"/>
  <c r="AH176" i="2"/>
  <c r="AI176" i="2" s="1"/>
  <c r="AG176" i="2"/>
  <c r="AF176" i="2"/>
  <c r="AE176" i="2"/>
  <c r="AD176" i="2"/>
  <c r="AC176" i="2"/>
  <c r="AB176" i="2"/>
  <c r="M176" i="2" a="1"/>
  <c r="M176" i="2" s="1"/>
  <c r="U176" i="2"/>
  <c r="L176" i="2"/>
  <c r="AH175" i="2"/>
  <c r="AI175" i="2" s="1"/>
  <c r="AG175" i="2"/>
  <c r="AF175" i="2"/>
  <c r="AE175" i="2"/>
  <c r="AD175" i="2"/>
  <c r="AC175" i="2"/>
  <c r="AB175" i="2"/>
  <c r="M175" i="2" a="1"/>
  <c r="M175" i="2" s="1"/>
  <c r="U175" i="2"/>
  <c r="L175" i="2"/>
  <c r="AH174" i="2"/>
  <c r="AI174" i="2" s="1"/>
  <c r="AG174" i="2"/>
  <c r="AF174" i="2"/>
  <c r="AE174" i="2"/>
  <c r="AD174" i="2"/>
  <c r="AC174" i="2"/>
  <c r="AB174" i="2"/>
  <c r="M174" i="2" a="1"/>
  <c r="M174" i="2" s="1"/>
  <c r="U174" i="2"/>
  <c r="L174" i="2"/>
  <c r="AH173" i="2"/>
  <c r="AI173" i="2" s="1"/>
  <c r="AG173" i="2"/>
  <c r="AF173" i="2"/>
  <c r="AE173" i="2"/>
  <c r="AD173" i="2"/>
  <c r="AC173" i="2"/>
  <c r="AB173" i="2"/>
  <c r="M173" i="2" a="1"/>
  <c r="M173" i="2" s="1"/>
  <c r="U173" i="2"/>
  <c r="L173" i="2"/>
  <c r="AH172" i="2"/>
  <c r="AI172" i="2" s="1"/>
  <c r="AG172" i="2"/>
  <c r="AF172" i="2"/>
  <c r="AE172" i="2"/>
  <c r="AD172" i="2"/>
  <c r="AC172" i="2"/>
  <c r="AB172" i="2"/>
  <c r="M172" i="2" a="1"/>
  <c r="M172" i="2" s="1"/>
  <c r="U172" i="2"/>
  <c r="L172" i="2"/>
  <c r="AH171" i="2"/>
  <c r="AI171" i="2" s="1"/>
  <c r="AG171" i="2"/>
  <c r="AF171" i="2"/>
  <c r="AE171" i="2"/>
  <c r="AD171" i="2"/>
  <c r="AC171" i="2"/>
  <c r="AB171" i="2"/>
  <c r="M171" i="2" a="1"/>
  <c r="M171" i="2" s="1"/>
  <c r="U171" i="2"/>
  <c r="L171" i="2"/>
  <c r="AH170" i="2"/>
  <c r="AI170" i="2" s="1"/>
  <c r="AG170" i="2"/>
  <c r="AF170" i="2"/>
  <c r="AE170" i="2"/>
  <c r="AD170" i="2"/>
  <c r="AC170" i="2"/>
  <c r="AB170" i="2"/>
  <c r="M170" i="2" a="1"/>
  <c r="M170" i="2" s="1"/>
  <c r="U170" i="2"/>
  <c r="L170" i="2"/>
  <c r="AH169" i="2"/>
  <c r="AI169" i="2" s="1"/>
  <c r="AG169" i="2"/>
  <c r="AF169" i="2"/>
  <c r="AE169" i="2"/>
  <c r="AD169" i="2"/>
  <c r="AC169" i="2"/>
  <c r="AB169" i="2"/>
  <c r="M169" i="2" a="1"/>
  <c r="M169" i="2" s="1"/>
  <c r="U169" i="2"/>
  <c r="L169" i="2"/>
  <c r="AH168" i="2"/>
  <c r="AI168" i="2" s="1"/>
  <c r="AG168" i="2"/>
  <c r="AF168" i="2"/>
  <c r="AE168" i="2"/>
  <c r="AD168" i="2"/>
  <c r="AC168" i="2"/>
  <c r="AB168" i="2"/>
  <c r="M168" i="2" a="1"/>
  <c r="M168" i="2" s="1"/>
  <c r="U168" i="2"/>
  <c r="L168" i="2"/>
  <c r="AH167" i="2"/>
  <c r="AI167" i="2" s="1"/>
  <c r="AG167" i="2"/>
  <c r="AF167" i="2"/>
  <c r="AE167" i="2"/>
  <c r="AD167" i="2"/>
  <c r="AC167" i="2"/>
  <c r="AB167" i="2"/>
  <c r="M167" i="2" a="1"/>
  <c r="M167" i="2" s="1"/>
  <c r="U167" i="2"/>
  <c r="L167" i="2"/>
  <c r="AH166" i="2"/>
  <c r="AI166" i="2" s="1"/>
  <c r="AG166" i="2"/>
  <c r="AF166" i="2"/>
  <c r="AE166" i="2"/>
  <c r="AD166" i="2"/>
  <c r="AC166" i="2"/>
  <c r="AB166" i="2"/>
  <c r="M166" i="2" a="1"/>
  <c r="M166" i="2" s="1"/>
  <c r="U166" i="2"/>
  <c r="L166" i="2"/>
  <c r="AH165" i="2"/>
  <c r="AI165" i="2" s="1"/>
  <c r="AG165" i="2"/>
  <c r="AF165" i="2"/>
  <c r="AE165" i="2"/>
  <c r="AD165" i="2"/>
  <c r="AC165" i="2"/>
  <c r="AB165" i="2"/>
  <c r="M165" i="2" a="1"/>
  <c r="M165" i="2" s="1"/>
  <c r="U165" i="2"/>
  <c r="L165" i="2"/>
  <c r="AH164" i="2"/>
  <c r="AI164" i="2" s="1"/>
  <c r="AG164" i="2"/>
  <c r="AF164" i="2"/>
  <c r="AE164" i="2"/>
  <c r="AD164" i="2"/>
  <c r="AC164" i="2"/>
  <c r="AB164" i="2"/>
  <c r="M164" i="2" a="1"/>
  <c r="M164" i="2" s="1"/>
  <c r="U164" i="2"/>
  <c r="L164" i="2"/>
  <c r="AH163" i="2"/>
  <c r="AI163" i="2" s="1"/>
  <c r="AG163" i="2"/>
  <c r="AF163" i="2"/>
  <c r="AE163" i="2"/>
  <c r="AD163" i="2"/>
  <c r="AC163" i="2"/>
  <c r="AB163" i="2"/>
  <c r="M163" i="2" a="1"/>
  <c r="M163" i="2" s="1"/>
  <c r="U163" i="2"/>
  <c r="L163" i="2"/>
  <c r="AH162" i="2"/>
  <c r="AI162" i="2" s="1"/>
  <c r="AG162" i="2"/>
  <c r="AF162" i="2"/>
  <c r="AE162" i="2"/>
  <c r="AD162" i="2"/>
  <c r="AC162" i="2"/>
  <c r="AB162" i="2"/>
  <c r="M162" i="2" a="1"/>
  <c r="M162" i="2" s="1"/>
  <c r="U162" i="2"/>
  <c r="L162" i="2"/>
  <c r="AH161" i="2"/>
  <c r="AI161" i="2" s="1"/>
  <c r="AG161" i="2"/>
  <c r="AF161" i="2"/>
  <c r="AE161" i="2"/>
  <c r="AD161" i="2"/>
  <c r="AC161" i="2"/>
  <c r="AB161" i="2"/>
  <c r="M161" i="2" a="1"/>
  <c r="M161" i="2" s="1"/>
  <c r="U161" i="2"/>
  <c r="L161" i="2"/>
  <c r="AH160" i="2"/>
  <c r="AI160" i="2" s="1"/>
  <c r="AG160" i="2"/>
  <c r="AF160" i="2"/>
  <c r="AE160" i="2"/>
  <c r="AD160" i="2"/>
  <c r="AC160" i="2"/>
  <c r="AB160" i="2"/>
  <c r="M160" i="2" a="1"/>
  <c r="M160" i="2" s="1"/>
  <c r="U160" i="2"/>
  <c r="L160" i="2"/>
  <c r="AH159" i="2"/>
  <c r="AI159" i="2" s="1"/>
  <c r="AG159" i="2"/>
  <c r="AF159" i="2"/>
  <c r="AE159" i="2"/>
  <c r="AD159" i="2"/>
  <c r="AC159" i="2"/>
  <c r="AB159" i="2"/>
  <c r="M159" i="2" a="1"/>
  <c r="M159" i="2" s="1"/>
  <c r="U159" i="2"/>
  <c r="L159" i="2"/>
  <c r="AH158" i="2"/>
  <c r="AI158" i="2" s="1"/>
  <c r="AG158" i="2"/>
  <c r="AF158" i="2"/>
  <c r="AE158" i="2"/>
  <c r="AD158" i="2"/>
  <c r="AC158" i="2"/>
  <c r="AB158" i="2"/>
  <c r="M158" i="2" a="1"/>
  <c r="M158" i="2" s="1"/>
  <c r="U158" i="2"/>
  <c r="L158" i="2"/>
  <c r="AH157" i="2"/>
  <c r="AI157" i="2" s="1"/>
  <c r="AG157" i="2"/>
  <c r="AF157" i="2"/>
  <c r="AE157" i="2"/>
  <c r="AD157" i="2"/>
  <c r="AC157" i="2"/>
  <c r="AB157" i="2"/>
  <c r="M157" i="2" a="1"/>
  <c r="M157" i="2" s="1"/>
  <c r="U157" i="2"/>
  <c r="L157" i="2"/>
  <c r="AH156" i="2"/>
  <c r="AI156" i="2" s="1"/>
  <c r="AG156" i="2"/>
  <c r="AF156" i="2"/>
  <c r="AE156" i="2"/>
  <c r="AD156" i="2"/>
  <c r="AC156" i="2"/>
  <c r="AB156" i="2"/>
  <c r="M156" i="2" a="1"/>
  <c r="M156" i="2" s="1"/>
  <c r="U156" i="2"/>
  <c r="L156" i="2"/>
  <c r="AH155" i="2"/>
  <c r="AI155" i="2" s="1"/>
  <c r="AG155" i="2"/>
  <c r="AF155" i="2"/>
  <c r="AE155" i="2"/>
  <c r="AD155" i="2"/>
  <c r="AC155" i="2"/>
  <c r="AB155" i="2"/>
  <c r="M155" i="2" a="1"/>
  <c r="M155" i="2" s="1"/>
  <c r="U155" i="2"/>
  <c r="L155" i="2"/>
  <c r="AH154" i="2"/>
  <c r="AI154" i="2" s="1"/>
  <c r="AG154" i="2"/>
  <c r="AF154" i="2"/>
  <c r="AE154" i="2"/>
  <c r="AD154" i="2"/>
  <c r="AC154" i="2"/>
  <c r="AB154" i="2"/>
  <c r="M154" i="2" a="1"/>
  <c r="M154" i="2" s="1"/>
  <c r="U154" i="2"/>
  <c r="L154" i="2"/>
  <c r="AH153" i="2"/>
  <c r="AI153" i="2" s="1"/>
  <c r="AG153" i="2"/>
  <c r="AF153" i="2"/>
  <c r="AE153" i="2"/>
  <c r="AD153" i="2"/>
  <c r="AC153" i="2"/>
  <c r="AB153" i="2"/>
  <c r="M153" i="2" a="1"/>
  <c r="M153" i="2" s="1"/>
  <c r="U153" i="2"/>
  <c r="L153" i="2"/>
  <c r="AH152" i="2"/>
  <c r="AI152" i="2" s="1"/>
  <c r="AG152" i="2"/>
  <c r="AF152" i="2"/>
  <c r="AE152" i="2"/>
  <c r="AD152" i="2"/>
  <c r="AC152" i="2"/>
  <c r="AB152" i="2"/>
  <c r="M152" i="2" a="1"/>
  <c r="M152" i="2" s="1"/>
  <c r="U152" i="2"/>
  <c r="L152" i="2"/>
  <c r="AH151" i="2"/>
  <c r="AI151" i="2" s="1"/>
  <c r="AG151" i="2"/>
  <c r="AF151" i="2"/>
  <c r="AE151" i="2"/>
  <c r="AD151" i="2"/>
  <c r="AC151" i="2"/>
  <c r="AB151" i="2"/>
  <c r="M151" i="2" a="1"/>
  <c r="M151" i="2" s="1"/>
  <c r="U151" i="2"/>
  <c r="L151" i="2"/>
  <c r="AH150" i="2"/>
  <c r="AI150" i="2" s="1"/>
  <c r="AG150" i="2"/>
  <c r="AF150" i="2"/>
  <c r="AE150" i="2"/>
  <c r="AD150" i="2"/>
  <c r="AC150" i="2"/>
  <c r="AB150" i="2"/>
  <c r="M150" i="2" a="1"/>
  <c r="M150" i="2" s="1"/>
  <c r="U150" i="2"/>
  <c r="L150" i="2"/>
  <c r="AH149" i="2"/>
  <c r="AI149" i="2" s="1"/>
  <c r="AG149" i="2"/>
  <c r="AF149" i="2"/>
  <c r="AE149" i="2"/>
  <c r="AD149" i="2"/>
  <c r="AC149" i="2"/>
  <c r="AB149" i="2"/>
  <c r="M149" i="2" a="1"/>
  <c r="M149" i="2" s="1"/>
  <c r="U149" i="2"/>
  <c r="L149" i="2"/>
  <c r="AH148" i="2"/>
  <c r="AI148" i="2" s="1"/>
  <c r="AG148" i="2"/>
  <c r="AF148" i="2"/>
  <c r="AE148" i="2"/>
  <c r="AD148" i="2"/>
  <c r="AC148" i="2"/>
  <c r="AB148" i="2"/>
  <c r="M148" i="2" a="1"/>
  <c r="M148" i="2" s="1"/>
  <c r="U148" i="2"/>
  <c r="L148" i="2"/>
  <c r="AH147" i="2"/>
  <c r="AI147" i="2" s="1"/>
  <c r="AG147" i="2"/>
  <c r="AF147" i="2"/>
  <c r="AE147" i="2"/>
  <c r="AD147" i="2"/>
  <c r="AC147" i="2"/>
  <c r="AB147" i="2"/>
  <c r="M147" i="2" a="1"/>
  <c r="M147" i="2" s="1"/>
  <c r="U147" i="2"/>
  <c r="L147" i="2"/>
  <c r="AH146" i="2"/>
  <c r="AI146" i="2" s="1"/>
  <c r="AG146" i="2"/>
  <c r="AF146" i="2"/>
  <c r="AE146" i="2"/>
  <c r="AD146" i="2"/>
  <c r="AC146" i="2"/>
  <c r="AB146" i="2"/>
  <c r="M146" i="2" a="1"/>
  <c r="M146" i="2" s="1"/>
  <c r="U146" i="2"/>
  <c r="L146" i="2"/>
  <c r="AH145" i="2"/>
  <c r="AI145" i="2" s="1"/>
  <c r="AG145" i="2"/>
  <c r="AF145" i="2"/>
  <c r="AE145" i="2"/>
  <c r="AD145" i="2"/>
  <c r="AC145" i="2"/>
  <c r="AB145" i="2"/>
  <c r="M145" i="2" a="1"/>
  <c r="M145" i="2" s="1"/>
  <c r="U145" i="2"/>
  <c r="L145" i="2"/>
  <c r="AH144" i="2"/>
  <c r="AI144" i="2" s="1"/>
  <c r="AG144" i="2"/>
  <c r="AF144" i="2"/>
  <c r="AE144" i="2"/>
  <c r="AD144" i="2"/>
  <c r="AC144" i="2"/>
  <c r="AB144" i="2"/>
  <c r="M144" i="2" a="1"/>
  <c r="M144" i="2" s="1"/>
  <c r="U144" i="2"/>
  <c r="L144" i="2"/>
  <c r="AH143" i="2"/>
  <c r="AI143" i="2" s="1"/>
  <c r="AG143" i="2"/>
  <c r="AF143" i="2"/>
  <c r="AE143" i="2"/>
  <c r="AD143" i="2"/>
  <c r="AC143" i="2"/>
  <c r="AB143" i="2"/>
  <c r="M143" i="2" a="1"/>
  <c r="M143" i="2" s="1"/>
  <c r="U143" i="2"/>
  <c r="L143" i="2"/>
  <c r="AH142" i="2"/>
  <c r="AI142" i="2" s="1"/>
  <c r="AG142" i="2"/>
  <c r="AF142" i="2"/>
  <c r="AE142" i="2"/>
  <c r="AD142" i="2"/>
  <c r="AC142" i="2"/>
  <c r="AB142" i="2"/>
  <c r="M142" i="2" a="1"/>
  <c r="M142" i="2" s="1"/>
  <c r="U142" i="2"/>
  <c r="L142" i="2"/>
  <c r="AH141" i="2"/>
  <c r="AI141" i="2" s="1"/>
  <c r="AG141" i="2"/>
  <c r="AF141" i="2"/>
  <c r="AE141" i="2"/>
  <c r="AD141" i="2"/>
  <c r="AC141" i="2"/>
  <c r="AB141" i="2"/>
  <c r="M141" i="2" a="1"/>
  <c r="M141" i="2" s="1"/>
  <c r="U141" i="2"/>
  <c r="L141" i="2"/>
  <c r="AH140" i="2"/>
  <c r="AI140" i="2" s="1"/>
  <c r="AG140" i="2"/>
  <c r="AF140" i="2"/>
  <c r="AE140" i="2"/>
  <c r="AD140" i="2"/>
  <c r="AC140" i="2"/>
  <c r="AB140" i="2"/>
  <c r="M140" i="2" a="1"/>
  <c r="M140" i="2" s="1"/>
  <c r="U140" i="2"/>
  <c r="L140" i="2"/>
  <c r="AH139" i="2"/>
  <c r="AI139" i="2" s="1"/>
  <c r="AG139" i="2"/>
  <c r="AF139" i="2"/>
  <c r="AE139" i="2"/>
  <c r="AD139" i="2"/>
  <c r="AC139" i="2"/>
  <c r="AB139" i="2"/>
  <c r="M139" i="2" a="1"/>
  <c r="M139" i="2" s="1"/>
  <c r="U139" i="2"/>
  <c r="L139" i="2"/>
  <c r="AH138" i="2"/>
  <c r="AI138" i="2" s="1"/>
  <c r="AG138" i="2"/>
  <c r="AF138" i="2"/>
  <c r="AE138" i="2"/>
  <c r="AD138" i="2"/>
  <c r="AC138" i="2"/>
  <c r="AB138" i="2"/>
  <c r="M138" i="2" a="1"/>
  <c r="M138" i="2" s="1"/>
  <c r="U138" i="2"/>
  <c r="L138" i="2"/>
  <c r="AH137" i="2"/>
  <c r="AI137" i="2" s="1"/>
  <c r="AG137" i="2"/>
  <c r="AF137" i="2"/>
  <c r="AE137" i="2"/>
  <c r="AD137" i="2"/>
  <c r="AC137" i="2"/>
  <c r="AB137" i="2"/>
  <c r="M137" i="2" a="1"/>
  <c r="M137" i="2" s="1"/>
  <c r="U137" i="2"/>
  <c r="L137" i="2"/>
  <c r="AH136" i="2"/>
  <c r="AI136" i="2" s="1"/>
  <c r="AG136" i="2"/>
  <c r="AF136" i="2"/>
  <c r="AE136" i="2"/>
  <c r="AD136" i="2"/>
  <c r="AC136" i="2"/>
  <c r="AB136" i="2"/>
  <c r="M136" i="2" a="1"/>
  <c r="M136" i="2" s="1"/>
  <c r="U136" i="2"/>
  <c r="L136" i="2"/>
  <c r="AH135" i="2"/>
  <c r="AI135" i="2" s="1"/>
  <c r="AG135" i="2"/>
  <c r="AF135" i="2"/>
  <c r="AE135" i="2"/>
  <c r="AD135" i="2"/>
  <c r="AC135" i="2"/>
  <c r="AB135" i="2"/>
  <c r="M135" i="2" a="1"/>
  <c r="M135" i="2" s="1"/>
  <c r="U135" i="2"/>
  <c r="L135" i="2"/>
  <c r="AH134" i="2"/>
  <c r="AI134" i="2" s="1"/>
  <c r="AG134" i="2"/>
  <c r="AF134" i="2"/>
  <c r="AE134" i="2"/>
  <c r="AD134" i="2"/>
  <c r="AC134" i="2"/>
  <c r="AB134" i="2"/>
  <c r="M134" i="2" a="1"/>
  <c r="M134" i="2" s="1"/>
  <c r="U134" i="2"/>
  <c r="L134" i="2"/>
  <c r="AH133" i="2"/>
  <c r="AI133" i="2" s="1"/>
  <c r="AG133" i="2"/>
  <c r="AF133" i="2"/>
  <c r="AE133" i="2"/>
  <c r="AD133" i="2"/>
  <c r="AC133" i="2"/>
  <c r="AB133" i="2"/>
  <c r="M133" i="2" a="1"/>
  <c r="M133" i="2" s="1"/>
  <c r="U133" i="2"/>
  <c r="L133" i="2"/>
  <c r="AH132" i="2"/>
  <c r="AI132" i="2" s="1"/>
  <c r="AG132" i="2"/>
  <c r="AF132" i="2"/>
  <c r="AE132" i="2"/>
  <c r="AD132" i="2"/>
  <c r="AC132" i="2"/>
  <c r="AB132" i="2"/>
  <c r="M132" i="2" a="1"/>
  <c r="M132" i="2" s="1"/>
  <c r="U132" i="2"/>
  <c r="L132" i="2"/>
  <c r="AH131" i="2"/>
  <c r="AI131" i="2" s="1"/>
  <c r="AG131" i="2"/>
  <c r="AF131" i="2"/>
  <c r="AE131" i="2"/>
  <c r="AD131" i="2"/>
  <c r="AC131" i="2"/>
  <c r="AB131" i="2"/>
  <c r="M131" i="2" a="1"/>
  <c r="M131" i="2" s="1"/>
  <c r="U131" i="2"/>
  <c r="L131" i="2"/>
  <c r="AH130" i="2"/>
  <c r="AI130" i="2" s="1"/>
  <c r="AG130" i="2"/>
  <c r="AF130" i="2"/>
  <c r="AE130" i="2"/>
  <c r="AD130" i="2"/>
  <c r="AC130" i="2"/>
  <c r="AB130" i="2"/>
  <c r="M130" i="2" a="1"/>
  <c r="M130" i="2" s="1"/>
  <c r="U130" i="2"/>
  <c r="L130" i="2"/>
  <c r="AH129" i="2"/>
  <c r="AI129" i="2" s="1"/>
  <c r="AG129" i="2"/>
  <c r="AF129" i="2"/>
  <c r="AE129" i="2"/>
  <c r="AD129" i="2"/>
  <c r="AC129" i="2"/>
  <c r="AB129" i="2"/>
  <c r="M129" i="2" a="1"/>
  <c r="M129" i="2" s="1"/>
  <c r="U129" i="2"/>
  <c r="L129" i="2"/>
  <c r="AH128" i="2"/>
  <c r="AI128" i="2" s="1"/>
  <c r="AG128" i="2"/>
  <c r="AF128" i="2"/>
  <c r="AE128" i="2"/>
  <c r="AD128" i="2"/>
  <c r="AC128" i="2"/>
  <c r="AB128" i="2"/>
  <c r="M128" i="2" a="1"/>
  <c r="M128" i="2" s="1"/>
  <c r="U128" i="2"/>
  <c r="L128" i="2"/>
  <c r="AH127" i="2"/>
  <c r="AI127" i="2" s="1"/>
  <c r="AG127" i="2"/>
  <c r="AF127" i="2"/>
  <c r="AE127" i="2"/>
  <c r="AD127" i="2"/>
  <c r="AC127" i="2"/>
  <c r="AB127" i="2"/>
  <c r="M127" i="2" a="1"/>
  <c r="M127" i="2" s="1"/>
  <c r="U127" i="2"/>
  <c r="L127" i="2"/>
  <c r="AH126" i="2"/>
  <c r="AI126" i="2" s="1"/>
  <c r="AG126" i="2"/>
  <c r="AF126" i="2"/>
  <c r="AE126" i="2"/>
  <c r="AD126" i="2"/>
  <c r="AC126" i="2"/>
  <c r="AB126" i="2"/>
  <c r="M126" i="2" a="1"/>
  <c r="M126" i="2" s="1"/>
  <c r="U126" i="2"/>
  <c r="L126" i="2"/>
  <c r="AH125" i="2"/>
  <c r="AI125" i="2" s="1"/>
  <c r="AG125" i="2"/>
  <c r="AF125" i="2"/>
  <c r="AE125" i="2"/>
  <c r="AD125" i="2"/>
  <c r="AC125" i="2"/>
  <c r="AB125" i="2"/>
  <c r="M125" i="2" a="1"/>
  <c r="M125" i="2" s="1"/>
  <c r="U125" i="2"/>
  <c r="L125" i="2"/>
  <c r="AH124" i="2"/>
  <c r="AI124" i="2" s="1"/>
  <c r="AG124" i="2"/>
  <c r="AF124" i="2"/>
  <c r="AE124" i="2"/>
  <c r="AD124" i="2"/>
  <c r="AC124" i="2"/>
  <c r="AB124" i="2"/>
  <c r="M124" i="2" a="1"/>
  <c r="M124" i="2" s="1"/>
  <c r="U124" i="2"/>
  <c r="L124" i="2"/>
  <c r="AH123" i="2"/>
  <c r="AI123" i="2" s="1"/>
  <c r="AG123" i="2"/>
  <c r="AF123" i="2"/>
  <c r="AE123" i="2"/>
  <c r="AD123" i="2"/>
  <c r="AC123" i="2"/>
  <c r="AB123" i="2"/>
  <c r="M123" i="2" a="1"/>
  <c r="M123" i="2" s="1"/>
  <c r="U123" i="2"/>
  <c r="L123" i="2"/>
  <c r="AH122" i="2"/>
  <c r="AI122" i="2" s="1"/>
  <c r="AG122" i="2"/>
  <c r="AF122" i="2"/>
  <c r="AE122" i="2"/>
  <c r="AD122" i="2"/>
  <c r="AC122" i="2"/>
  <c r="AB122" i="2"/>
  <c r="M122" i="2" a="1"/>
  <c r="M122" i="2" s="1"/>
  <c r="U122" i="2"/>
  <c r="L122" i="2"/>
  <c r="AH121" i="2"/>
  <c r="AI121" i="2" s="1"/>
  <c r="AG121" i="2"/>
  <c r="AF121" i="2"/>
  <c r="AE121" i="2"/>
  <c r="AD121" i="2"/>
  <c r="AC121" i="2"/>
  <c r="AB121" i="2"/>
  <c r="M121" i="2" a="1"/>
  <c r="M121" i="2" s="1"/>
  <c r="U121" i="2"/>
  <c r="L121" i="2"/>
  <c r="AH120" i="2"/>
  <c r="AI120" i="2" s="1"/>
  <c r="AG120" i="2"/>
  <c r="AF120" i="2"/>
  <c r="AE120" i="2"/>
  <c r="AD120" i="2"/>
  <c r="AC120" i="2"/>
  <c r="AB120" i="2"/>
  <c r="M120" i="2" a="1"/>
  <c r="M120" i="2" s="1"/>
  <c r="U120" i="2"/>
  <c r="L120" i="2"/>
  <c r="AH119" i="2"/>
  <c r="AI119" i="2" s="1"/>
  <c r="AG119" i="2"/>
  <c r="AF119" i="2"/>
  <c r="AE119" i="2"/>
  <c r="AD119" i="2"/>
  <c r="AC119" i="2"/>
  <c r="AB119" i="2"/>
  <c r="M119" i="2" a="1"/>
  <c r="M119" i="2" s="1"/>
  <c r="U119" i="2"/>
  <c r="L119" i="2"/>
  <c r="AH118" i="2"/>
  <c r="AI118" i="2" s="1"/>
  <c r="AG118" i="2"/>
  <c r="AF118" i="2"/>
  <c r="AE118" i="2"/>
  <c r="AD118" i="2"/>
  <c r="AC118" i="2"/>
  <c r="AB118" i="2"/>
  <c r="M118" i="2" a="1"/>
  <c r="M118" i="2" s="1"/>
  <c r="U118" i="2"/>
  <c r="L118" i="2"/>
  <c r="AH117" i="2"/>
  <c r="AI117" i="2" s="1"/>
  <c r="AG117" i="2"/>
  <c r="AF117" i="2"/>
  <c r="AE117" i="2"/>
  <c r="AD117" i="2"/>
  <c r="AC117" i="2"/>
  <c r="AB117" i="2"/>
  <c r="M117" i="2" a="1"/>
  <c r="M117" i="2" s="1"/>
  <c r="U117" i="2"/>
  <c r="L117" i="2"/>
  <c r="AH116" i="2"/>
  <c r="AI116" i="2" s="1"/>
  <c r="AG116" i="2"/>
  <c r="AF116" i="2"/>
  <c r="AE116" i="2"/>
  <c r="AD116" i="2"/>
  <c r="AC116" i="2"/>
  <c r="AB116" i="2"/>
  <c r="M116" i="2" a="1"/>
  <c r="M116" i="2" s="1"/>
  <c r="U116" i="2"/>
  <c r="L116" i="2"/>
  <c r="AH115" i="2"/>
  <c r="AI115" i="2" s="1"/>
  <c r="AG115" i="2"/>
  <c r="AF115" i="2"/>
  <c r="AE115" i="2"/>
  <c r="AD115" i="2"/>
  <c r="AC115" i="2"/>
  <c r="AB115" i="2"/>
  <c r="M115" i="2" a="1"/>
  <c r="M115" i="2" s="1"/>
  <c r="U115" i="2"/>
  <c r="L115" i="2"/>
  <c r="AH114" i="2"/>
  <c r="AI114" i="2" s="1"/>
  <c r="AG114" i="2"/>
  <c r="AF114" i="2"/>
  <c r="AE114" i="2"/>
  <c r="AD114" i="2"/>
  <c r="AC114" i="2"/>
  <c r="AB114" i="2"/>
  <c r="M114" i="2" a="1"/>
  <c r="M114" i="2" s="1"/>
  <c r="U114" i="2"/>
  <c r="L114" i="2"/>
  <c r="AH113" i="2"/>
  <c r="AI113" i="2" s="1"/>
  <c r="AG113" i="2"/>
  <c r="AF113" i="2"/>
  <c r="AE113" i="2"/>
  <c r="AD113" i="2"/>
  <c r="AC113" i="2"/>
  <c r="AB113" i="2"/>
  <c r="M113" i="2" a="1"/>
  <c r="M113" i="2" s="1"/>
  <c r="U113" i="2"/>
  <c r="L113" i="2"/>
  <c r="AH112" i="2"/>
  <c r="AI112" i="2" s="1"/>
  <c r="AG112" i="2"/>
  <c r="AF112" i="2"/>
  <c r="AE112" i="2"/>
  <c r="AD112" i="2"/>
  <c r="AC112" i="2"/>
  <c r="AB112" i="2"/>
  <c r="M112" i="2" a="1"/>
  <c r="M112" i="2" s="1"/>
  <c r="U112" i="2"/>
  <c r="L112" i="2"/>
  <c r="AH111" i="2"/>
  <c r="AI111" i="2" s="1"/>
  <c r="AG111" i="2"/>
  <c r="AF111" i="2"/>
  <c r="AE111" i="2"/>
  <c r="AD111" i="2"/>
  <c r="AC111" i="2"/>
  <c r="AB111" i="2"/>
  <c r="M111" i="2" a="1"/>
  <c r="M111" i="2" s="1"/>
  <c r="U111" i="2"/>
  <c r="L111" i="2"/>
  <c r="AH110" i="2"/>
  <c r="AI110" i="2" s="1"/>
  <c r="AG110" i="2"/>
  <c r="AF110" i="2"/>
  <c r="AE110" i="2"/>
  <c r="AD110" i="2"/>
  <c r="AC110" i="2"/>
  <c r="AB110" i="2"/>
  <c r="M110" i="2" a="1"/>
  <c r="M110" i="2" s="1"/>
  <c r="U110" i="2"/>
  <c r="L110" i="2"/>
  <c r="AH109" i="2"/>
  <c r="AI109" i="2" s="1"/>
  <c r="AG109" i="2"/>
  <c r="AF109" i="2"/>
  <c r="AE109" i="2"/>
  <c r="AD109" i="2"/>
  <c r="AC109" i="2"/>
  <c r="AB109" i="2"/>
  <c r="M109" i="2" a="1"/>
  <c r="M109" i="2" s="1"/>
  <c r="U109" i="2"/>
  <c r="L109" i="2"/>
  <c r="AH108" i="2"/>
  <c r="AI108" i="2" s="1"/>
  <c r="AG108" i="2"/>
  <c r="AF108" i="2"/>
  <c r="AE108" i="2"/>
  <c r="AD108" i="2"/>
  <c r="AC108" i="2"/>
  <c r="AB108" i="2"/>
  <c r="M108" i="2" a="1"/>
  <c r="M108" i="2" s="1"/>
  <c r="U108" i="2"/>
  <c r="L108" i="2"/>
  <c r="AH107" i="2"/>
  <c r="AI107" i="2" s="1"/>
  <c r="AG107" i="2"/>
  <c r="AF107" i="2"/>
  <c r="AE107" i="2"/>
  <c r="AD107" i="2"/>
  <c r="AC107" i="2"/>
  <c r="AB107" i="2"/>
  <c r="M107" i="2" a="1"/>
  <c r="M107" i="2" s="1"/>
  <c r="U107" i="2"/>
  <c r="L107" i="2"/>
  <c r="AH106" i="2"/>
  <c r="AI106" i="2" s="1"/>
  <c r="AG106" i="2"/>
  <c r="AF106" i="2"/>
  <c r="AE106" i="2"/>
  <c r="AD106" i="2"/>
  <c r="AC106" i="2"/>
  <c r="AB106" i="2"/>
  <c r="M106" i="2" a="1"/>
  <c r="M106" i="2" s="1"/>
  <c r="U106" i="2"/>
  <c r="L106" i="2"/>
  <c r="AH105" i="2"/>
  <c r="AI105" i="2" s="1"/>
  <c r="AG105" i="2"/>
  <c r="AF105" i="2"/>
  <c r="AE105" i="2"/>
  <c r="AD105" i="2"/>
  <c r="AC105" i="2"/>
  <c r="AB105" i="2"/>
  <c r="M105" i="2" a="1"/>
  <c r="M105" i="2" s="1"/>
  <c r="U105" i="2"/>
  <c r="L105" i="2"/>
  <c r="AH104" i="2"/>
  <c r="AI104" i="2" s="1"/>
  <c r="AG104" i="2"/>
  <c r="AF104" i="2"/>
  <c r="AE104" i="2"/>
  <c r="AD104" i="2"/>
  <c r="AC104" i="2"/>
  <c r="AB104" i="2"/>
  <c r="M104" i="2" a="1"/>
  <c r="M104" i="2" s="1"/>
  <c r="U104" i="2"/>
  <c r="L104" i="2"/>
  <c r="AH103" i="2"/>
  <c r="AI103" i="2" s="1"/>
  <c r="AG103" i="2"/>
  <c r="AF103" i="2"/>
  <c r="AE103" i="2"/>
  <c r="AD103" i="2"/>
  <c r="AC103" i="2"/>
  <c r="AB103" i="2"/>
  <c r="M103" i="2" a="1"/>
  <c r="M103" i="2" s="1"/>
  <c r="U103" i="2"/>
  <c r="L103" i="2"/>
  <c r="AH102" i="2"/>
  <c r="AI102" i="2" s="1"/>
  <c r="AG102" i="2"/>
  <c r="AF102" i="2"/>
  <c r="AE102" i="2"/>
  <c r="AD102" i="2"/>
  <c r="AC102" i="2"/>
  <c r="AB102" i="2"/>
  <c r="M102" i="2" a="1"/>
  <c r="M102" i="2" s="1"/>
  <c r="U102" i="2"/>
  <c r="L102" i="2"/>
  <c r="AH101" i="2"/>
  <c r="AI101" i="2" s="1"/>
  <c r="AG101" i="2"/>
  <c r="AF101" i="2"/>
  <c r="AE101" i="2"/>
  <c r="AD101" i="2"/>
  <c r="AC101" i="2"/>
  <c r="AB101" i="2"/>
  <c r="M101" i="2" a="1"/>
  <c r="M101" i="2" s="1"/>
  <c r="U101" i="2"/>
  <c r="L101" i="2"/>
  <c r="AH100" i="2"/>
  <c r="AI100" i="2" s="1"/>
  <c r="AG100" i="2"/>
  <c r="AF100" i="2"/>
  <c r="AE100" i="2"/>
  <c r="AD100" i="2"/>
  <c r="AC100" i="2"/>
  <c r="AB100" i="2"/>
  <c r="M100" i="2" a="1"/>
  <c r="M100" i="2" s="1"/>
  <c r="U100" i="2"/>
  <c r="L100" i="2"/>
  <c r="AH99" i="2"/>
  <c r="AI99" i="2" s="1"/>
  <c r="AG99" i="2"/>
  <c r="AF99" i="2"/>
  <c r="AE99" i="2"/>
  <c r="AD99" i="2"/>
  <c r="AC99" i="2"/>
  <c r="AB99" i="2"/>
  <c r="M99" i="2" a="1"/>
  <c r="M99" i="2" s="1"/>
  <c r="U99" i="2"/>
  <c r="L99" i="2"/>
  <c r="AH98" i="2"/>
  <c r="AI98" i="2" s="1"/>
  <c r="AG98" i="2"/>
  <c r="AF98" i="2"/>
  <c r="AE98" i="2"/>
  <c r="AD98" i="2"/>
  <c r="AC98" i="2"/>
  <c r="AB98" i="2"/>
  <c r="M98" i="2" a="1"/>
  <c r="M98" i="2" s="1"/>
  <c r="U98" i="2"/>
  <c r="L98" i="2"/>
  <c r="AH97" i="2"/>
  <c r="AI97" i="2" s="1"/>
  <c r="AG97" i="2"/>
  <c r="AF97" i="2"/>
  <c r="AE97" i="2"/>
  <c r="AD97" i="2"/>
  <c r="AC97" i="2"/>
  <c r="AB97" i="2"/>
  <c r="M97" i="2" a="1"/>
  <c r="M97" i="2" s="1"/>
  <c r="U97" i="2"/>
  <c r="L97" i="2"/>
  <c r="AH96" i="2"/>
  <c r="AI96" i="2" s="1"/>
  <c r="AG96" i="2"/>
  <c r="AF96" i="2"/>
  <c r="AE96" i="2"/>
  <c r="AD96" i="2"/>
  <c r="AC96" i="2"/>
  <c r="AB96" i="2"/>
  <c r="M96" i="2" a="1"/>
  <c r="M96" i="2" s="1"/>
  <c r="U96" i="2"/>
  <c r="L96" i="2"/>
  <c r="AH95" i="2"/>
  <c r="AI95" i="2" s="1"/>
  <c r="AG95" i="2"/>
  <c r="AF95" i="2"/>
  <c r="AE95" i="2"/>
  <c r="AD95" i="2"/>
  <c r="AC95" i="2"/>
  <c r="AB95" i="2"/>
  <c r="M95" i="2" a="1"/>
  <c r="M95" i="2" s="1"/>
  <c r="U95" i="2"/>
  <c r="L95" i="2"/>
  <c r="AH94" i="2"/>
  <c r="AI94" i="2" s="1"/>
  <c r="AG94" i="2"/>
  <c r="AF94" i="2"/>
  <c r="AE94" i="2"/>
  <c r="AD94" i="2"/>
  <c r="AC94" i="2"/>
  <c r="AB94" i="2"/>
  <c r="M94" i="2" a="1"/>
  <c r="M94" i="2" s="1"/>
  <c r="U94" i="2"/>
  <c r="L94" i="2"/>
  <c r="AH93" i="2"/>
  <c r="AI93" i="2" s="1"/>
  <c r="AG93" i="2"/>
  <c r="AF93" i="2"/>
  <c r="AE93" i="2"/>
  <c r="AD93" i="2"/>
  <c r="AC93" i="2"/>
  <c r="AB93" i="2"/>
  <c r="M93" i="2" a="1"/>
  <c r="M93" i="2" s="1"/>
  <c r="U93" i="2"/>
  <c r="L93" i="2"/>
  <c r="AH92" i="2"/>
  <c r="AI92" i="2" s="1"/>
  <c r="AG92" i="2"/>
  <c r="AF92" i="2"/>
  <c r="AE92" i="2"/>
  <c r="AD92" i="2"/>
  <c r="AC92" i="2"/>
  <c r="AB92" i="2"/>
  <c r="M92" i="2" a="1"/>
  <c r="M92" i="2" s="1"/>
  <c r="U92" i="2"/>
  <c r="L92" i="2"/>
  <c r="AH91" i="2"/>
  <c r="AI91" i="2" s="1"/>
  <c r="AG91" i="2"/>
  <c r="AF91" i="2"/>
  <c r="AE91" i="2"/>
  <c r="AD91" i="2"/>
  <c r="AC91" i="2"/>
  <c r="AB91" i="2"/>
  <c r="M91" i="2" a="1"/>
  <c r="M91" i="2" s="1"/>
  <c r="U91" i="2"/>
  <c r="L91" i="2"/>
  <c r="AH90" i="2"/>
  <c r="AI90" i="2" s="1"/>
  <c r="AG90" i="2"/>
  <c r="AF90" i="2"/>
  <c r="AE90" i="2"/>
  <c r="AD90" i="2"/>
  <c r="AC90" i="2"/>
  <c r="AB90" i="2"/>
  <c r="M90" i="2" a="1"/>
  <c r="M90" i="2" s="1"/>
  <c r="U90" i="2"/>
  <c r="L90" i="2"/>
  <c r="AH89" i="2"/>
  <c r="AI89" i="2" s="1"/>
  <c r="AG89" i="2"/>
  <c r="AF89" i="2"/>
  <c r="AE89" i="2"/>
  <c r="AD89" i="2"/>
  <c r="AC89" i="2"/>
  <c r="AB89" i="2"/>
  <c r="M89" i="2" a="1"/>
  <c r="M89" i="2" s="1"/>
  <c r="U89" i="2"/>
  <c r="L89" i="2"/>
  <c r="AH88" i="2"/>
  <c r="AI88" i="2" s="1"/>
  <c r="AG88" i="2"/>
  <c r="AF88" i="2"/>
  <c r="AE88" i="2"/>
  <c r="AD88" i="2"/>
  <c r="AC88" i="2"/>
  <c r="AB88" i="2"/>
  <c r="M88" i="2" a="1"/>
  <c r="M88" i="2" s="1"/>
  <c r="U88" i="2"/>
  <c r="L88" i="2"/>
  <c r="AH87" i="2"/>
  <c r="AI87" i="2" s="1"/>
  <c r="AG87" i="2"/>
  <c r="AF87" i="2"/>
  <c r="AE87" i="2"/>
  <c r="AD87" i="2"/>
  <c r="AC87" i="2"/>
  <c r="AB87" i="2"/>
  <c r="M87" i="2" a="1"/>
  <c r="M87" i="2" s="1"/>
  <c r="U87" i="2"/>
  <c r="L87" i="2"/>
  <c r="AH86" i="2"/>
  <c r="AI86" i="2" s="1"/>
  <c r="AG86" i="2"/>
  <c r="AF86" i="2"/>
  <c r="AE86" i="2"/>
  <c r="AD86" i="2"/>
  <c r="AC86" i="2"/>
  <c r="AB86" i="2"/>
  <c r="M86" i="2" a="1"/>
  <c r="M86" i="2" s="1"/>
  <c r="U86" i="2"/>
  <c r="L86" i="2"/>
  <c r="AH85" i="2"/>
  <c r="AI85" i="2" s="1"/>
  <c r="AG85" i="2"/>
  <c r="AF85" i="2"/>
  <c r="AE85" i="2"/>
  <c r="AD85" i="2"/>
  <c r="AC85" i="2"/>
  <c r="AB85" i="2"/>
  <c r="M85" i="2" a="1"/>
  <c r="M85" i="2" s="1"/>
  <c r="U85" i="2"/>
  <c r="L85" i="2"/>
  <c r="AH84" i="2"/>
  <c r="AI84" i="2" s="1"/>
  <c r="AG84" i="2"/>
  <c r="AF84" i="2"/>
  <c r="AE84" i="2"/>
  <c r="AD84" i="2"/>
  <c r="AC84" i="2"/>
  <c r="AB84" i="2"/>
  <c r="M84" i="2" a="1"/>
  <c r="M84" i="2" s="1"/>
  <c r="U84" i="2"/>
  <c r="L84" i="2"/>
  <c r="AH83" i="2"/>
  <c r="AI83" i="2" s="1"/>
  <c r="AG83" i="2"/>
  <c r="AF83" i="2"/>
  <c r="AE83" i="2"/>
  <c r="AD83" i="2"/>
  <c r="AC83" i="2"/>
  <c r="AB83" i="2"/>
  <c r="M83" i="2" a="1"/>
  <c r="M83" i="2" s="1"/>
  <c r="U83" i="2"/>
  <c r="L83" i="2"/>
  <c r="AH82" i="2"/>
  <c r="AI82" i="2" s="1"/>
  <c r="AG82" i="2"/>
  <c r="AF82" i="2"/>
  <c r="AE82" i="2"/>
  <c r="AD82" i="2"/>
  <c r="AC82" i="2"/>
  <c r="AB82" i="2"/>
  <c r="M82" i="2" a="1"/>
  <c r="M82" i="2" s="1"/>
  <c r="U82" i="2"/>
  <c r="L82" i="2"/>
  <c r="AH81" i="2"/>
  <c r="AI81" i="2" s="1"/>
  <c r="AG81" i="2"/>
  <c r="AF81" i="2"/>
  <c r="AE81" i="2"/>
  <c r="AD81" i="2"/>
  <c r="AC81" i="2"/>
  <c r="AB81" i="2"/>
  <c r="M81" i="2" a="1"/>
  <c r="M81" i="2" s="1"/>
  <c r="U81" i="2"/>
  <c r="L81" i="2"/>
  <c r="AH80" i="2"/>
  <c r="AI80" i="2" s="1"/>
  <c r="AG80" i="2"/>
  <c r="AF80" i="2"/>
  <c r="AE80" i="2"/>
  <c r="AD80" i="2"/>
  <c r="AC80" i="2"/>
  <c r="AB80" i="2"/>
  <c r="M80" i="2" a="1"/>
  <c r="M80" i="2" s="1"/>
  <c r="U80" i="2"/>
  <c r="L80" i="2"/>
  <c r="AH79" i="2"/>
  <c r="AI79" i="2" s="1"/>
  <c r="AG79" i="2"/>
  <c r="AF79" i="2"/>
  <c r="AE79" i="2"/>
  <c r="AD79" i="2"/>
  <c r="AC79" i="2"/>
  <c r="AB79" i="2"/>
  <c r="M79" i="2" a="1"/>
  <c r="M79" i="2" s="1"/>
  <c r="U79" i="2"/>
  <c r="L79" i="2"/>
  <c r="AH78" i="2"/>
  <c r="AI78" i="2" s="1"/>
  <c r="AG78" i="2"/>
  <c r="AF78" i="2"/>
  <c r="AE78" i="2"/>
  <c r="AD78" i="2"/>
  <c r="AC78" i="2"/>
  <c r="AB78" i="2"/>
  <c r="M78" i="2" a="1"/>
  <c r="M78" i="2" s="1"/>
  <c r="U78" i="2"/>
  <c r="L78" i="2"/>
  <c r="AH77" i="2"/>
  <c r="AI77" i="2" s="1"/>
  <c r="AG77" i="2"/>
  <c r="AF77" i="2"/>
  <c r="AE77" i="2"/>
  <c r="AD77" i="2"/>
  <c r="AC77" i="2"/>
  <c r="AB77" i="2"/>
  <c r="M77" i="2" a="1"/>
  <c r="M77" i="2" s="1"/>
  <c r="U77" i="2"/>
  <c r="L77" i="2"/>
  <c r="AH76" i="2"/>
  <c r="AI76" i="2" s="1"/>
  <c r="AG76" i="2"/>
  <c r="AF76" i="2"/>
  <c r="AE76" i="2"/>
  <c r="AD76" i="2"/>
  <c r="AC76" i="2"/>
  <c r="AB76" i="2"/>
  <c r="M76" i="2" a="1"/>
  <c r="M76" i="2" s="1"/>
  <c r="U76" i="2"/>
  <c r="L76" i="2"/>
  <c r="AH75" i="2"/>
  <c r="AI75" i="2" s="1"/>
  <c r="AG75" i="2"/>
  <c r="AF75" i="2"/>
  <c r="AE75" i="2"/>
  <c r="AD75" i="2"/>
  <c r="AC75" i="2"/>
  <c r="AB75" i="2"/>
  <c r="M75" i="2" a="1"/>
  <c r="M75" i="2" s="1"/>
  <c r="U75" i="2"/>
  <c r="L75" i="2"/>
  <c r="AH74" i="2"/>
  <c r="AI74" i="2" s="1"/>
  <c r="AG74" i="2"/>
  <c r="AF74" i="2"/>
  <c r="AE74" i="2"/>
  <c r="AD74" i="2"/>
  <c r="AC74" i="2"/>
  <c r="AB74" i="2"/>
  <c r="M74" i="2" a="1"/>
  <c r="M74" i="2" s="1"/>
  <c r="U74" i="2"/>
  <c r="L74" i="2"/>
  <c r="AH73" i="2"/>
  <c r="AI73" i="2" s="1"/>
  <c r="AG73" i="2"/>
  <c r="AF73" i="2"/>
  <c r="AE73" i="2"/>
  <c r="AD73" i="2"/>
  <c r="AC73" i="2"/>
  <c r="AB73" i="2"/>
  <c r="M73" i="2" a="1"/>
  <c r="M73" i="2" s="1"/>
  <c r="U73" i="2"/>
  <c r="L73" i="2"/>
  <c r="AH72" i="2"/>
  <c r="AI72" i="2" s="1"/>
  <c r="AG72" i="2"/>
  <c r="AF72" i="2"/>
  <c r="AE72" i="2"/>
  <c r="AD72" i="2"/>
  <c r="AC72" i="2"/>
  <c r="AB72" i="2"/>
  <c r="M72" i="2" a="1"/>
  <c r="M72" i="2" s="1"/>
  <c r="U72" i="2"/>
  <c r="L72" i="2"/>
  <c r="AH71" i="2"/>
  <c r="AI71" i="2" s="1"/>
  <c r="AG71" i="2"/>
  <c r="AF71" i="2"/>
  <c r="AE71" i="2"/>
  <c r="AD71" i="2"/>
  <c r="AC71" i="2"/>
  <c r="AB71" i="2"/>
  <c r="M71" i="2" a="1"/>
  <c r="M71" i="2" s="1"/>
  <c r="U71" i="2"/>
  <c r="L71" i="2"/>
  <c r="AH70" i="2"/>
  <c r="AI70" i="2" s="1"/>
  <c r="AG70" i="2"/>
  <c r="AF70" i="2"/>
  <c r="AE70" i="2"/>
  <c r="AD70" i="2"/>
  <c r="AC70" i="2"/>
  <c r="AB70" i="2"/>
  <c r="M70" i="2" a="1"/>
  <c r="M70" i="2" s="1"/>
  <c r="U70" i="2"/>
  <c r="L70" i="2"/>
  <c r="AH69" i="2"/>
  <c r="AI69" i="2" s="1"/>
  <c r="AG69" i="2"/>
  <c r="AF69" i="2"/>
  <c r="AE69" i="2"/>
  <c r="AD69" i="2"/>
  <c r="AC69" i="2"/>
  <c r="AB69" i="2"/>
  <c r="M69" i="2" a="1"/>
  <c r="M69" i="2" s="1"/>
  <c r="U69" i="2"/>
  <c r="L69" i="2"/>
  <c r="AH68" i="2"/>
  <c r="AI68" i="2" s="1"/>
  <c r="AG68" i="2"/>
  <c r="AF68" i="2"/>
  <c r="AE68" i="2"/>
  <c r="AD68" i="2"/>
  <c r="AC68" i="2"/>
  <c r="AB68" i="2"/>
  <c r="M68" i="2" a="1"/>
  <c r="M68" i="2" s="1"/>
  <c r="U68" i="2"/>
  <c r="L68" i="2"/>
  <c r="AH67" i="2"/>
  <c r="AI67" i="2" s="1"/>
  <c r="AG67" i="2"/>
  <c r="AF67" i="2"/>
  <c r="AE67" i="2"/>
  <c r="AD67" i="2"/>
  <c r="AC67" i="2"/>
  <c r="AB67" i="2"/>
  <c r="M67" i="2" a="1"/>
  <c r="M67" i="2" s="1"/>
  <c r="U67" i="2"/>
  <c r="L67" i="2"/>
  <c r="AH66" i="2"/>
  <c r="AI66" i="2" s="1"/>
  <c r="AG66" i="2"/>
  <c r="AF66" i="2"/>
  <c r="AE66" i="2"/>
  <c r="AD66" i="2"/>
  <c r="AC66" i="2"/>
  <c r="AB66" i="2"/>
  <c r="M66" i="2" a="1"/>
  <c r="M66" i="2" s="1"/>
  <c r="U66" i="2"/>
  <c r="L66" i="2"/>
  <c r="AH65" i="2"/>
  <c r="AI65" i="2" s="1"/>
  <c r="AG65" i="2"/>
  <c r="AF65" i="2"/>
  <c r="AE65" i="2"/>
  <c r="AD65" i="2"/>
  <c r="AC65" i="2"/>
  <c r="AB65" i="2"/>
  <c r="M65" i="2" a="1"/>
  <c r="M65" i="2" s="1"/>
  <c r="U65" i="2"/>
  <c r="L65" i="2"/>
  <c r="AH64" i="2"/>
  <c r="AI64" i="2" s="1"/>
  <c r="AG64" i="2"/>
  <c r="AF64" i="2"/>
  <c r="AE64" i="2"/>
  <c r="AD64" i="2"/>
  <c r="AC64" i="2"/>
  <c r="AB64" i="2"/>
  <c r="M64" i="2" a="1"/>
  <c r="M64" i="2" s="1"/>
  <c r="U64" i="2"/>
  <c r="L64" i="2"/>
  <c r="AH63" i="2"/>
  <c r="AI63" i="2" s="1"/>
  <c r="AG63" i="2"/>
  <c r="AF63" i="2"/>
  <c r="AE63" i="2"/>
  <c r="AD63" i="2"/>
  <c r="AC63" i="2"/>
  <c r="AB63" i="2"/>
  <c r="M63" i="2" a="1"/>
  <c r="M63" i="2" s="1"/>
  <c r="U63" i="2"/>
  <c r="L63" i="2"/>
  <c r="AH62" i="2"/>
  <c r="AI62" i="2" s="1"/>
  <c r="AG62" i="2"/>
  <c r="AF62" i="2"/>
  <c r="AE62" i="2"/>
  <c r="AD62" i="2"/>
  <c r="AC62" i="2"/>
  <c r="AB62" i="2"/>
  <c r="M62" i="2" a="1"/>
  <c r="M62" i="2" s="1"/>
  <c r="U62" i="2"/>
  <c r="L62" i="2"/>
  <c r="AH61" i="2"/>
  <c r="AI61" i="2" s="1"/>
  <c r="AG61" i="2"/>
  <c r="AF61" i="2"/>
  <c r="AE61" i="2"/>
  <c r="AD61" i="2"/>
  <c r="AC61" i="2"/>
  <c r="AB61" i="2"/>
  <c r="M61" i="2" a="1"/>
  <c r="M61" i="2" s="1"/>
  <c r="U61" i="2"/>
  <c r="L61" i="2"/>
  <c r="AH60" i="2"/>
  <c r="AI60" i="2" s="1"/>
  <c r="AG60" i="2"/>
  <c r="AF60" i="2"/>
  <c r="AE60" i="2"/>
  <c r="AD60" i="2"/>
  <c r="AC60" i="2"/>
  <c r="AB60" i="2"/>
  <c r="M60" i="2" a="1"/>
  <c r="M60" i="2" s="1"/>
  <c r="U60" i="2"/>
  <c r="L60" i="2"/>
  <c r="AH59" i="2"/>
  <c r="AI59" i="2" s="1"/>
  <c r="AG59" i="2"/>
  <c r="AF59" i="2"/>
  <c r="AE59" i="2"/>
  <c r="AD59" i="2"/>
  <c r="AC59" i="2"/>
  <c r="AB59" i="2"/>
  <c r="M59" i="2" a="1"/>
  <c r="M59" i="2" s="1"/>
  <c r="U59" i="2"/>
  <c r="L59" i="2"/>
  <c r="AH58" i="2"/>
  <c r="AI58" i="2" s="1"/>
  <c r="AG58" i="2"/>
  <c r="AF58" i="2"/>
  <c r="AE58" i="2"/>
  <c r="AD58" i="2"/>
  <c r="AC58" i="2"/>
  <c r="AB58" i="2"/>
  <c r="M58" i="2" a="1"/>
  <c r="M58" i="2" s="1"/>
  <c r="U58" i="2"/>
  <c r="L58" i="2"/>
  <c r="AH57" i="2"/>
  <c r="AI57" i="2" s="1"/>
  <c r="AG57" i="2"/>
  <c r="AF57" i="2"/>
  <c r="AE57" i="2"/>
  <c r="AD57" i="2"/>
  <c r="AC57" i="2"/>
  <c r="AB57" i="2"/>
  <c r="M57" i="2" a="1"/>
  <c r="M57" i="2" s="1"/>
  <c r="U57" i="2"/>
  <c r="L57" i="2"/>
  <c r="AH56" i="2"/>
  <c r="AI56" i="2" s="1"/>
  <c r="AG56" i="2"/>
  <c r="AF56" i="2"/>
  <c r="AE56" i="2"/>
  <c r="AD56" i="2"/>
  <c r="AC56" i="2"/>
  <c r="AB56" i="2"/>
  <c r="M56" i="2" a="1"/>
  <c r="M56" i="2" s="1"/>
  <c r="U56" i="2"/>
  <c r="L56" i="2"/>
  <c r="AH55" i="2"/>
  <c r="AI55" i="2" s="1"/>
  <c r="AG55" i="2"/>
  <c r="AF55" i="2"/>
  <c r="AE55" i="2"/>
  <c r="AD55" i="2"/>
  <c r="AC55" i="2"/>
  <c r="AB55" i="2"/>
  <c r="M55" i="2" a="1"/>
  <c r="M55" i="2" s="1"/>
  <c r="U55" i="2"/>
  <c r="L55" i="2"/>
  <c r="AH54" i="2"/>
  <c r="AI54" i="2" s="1"/>
  <c r="AG54" i="2"/>
  <c r="AF54" i="2"/>
  <c r="AE54" i="2"/>
  <c r="AD54" i="2"/>
  <c r="AC54" i="2"/>
  <c r="AB54" i="2"/>
  <c r="M54" i="2" a="1"/>
  <c r="M54" i="2" s="1"/>
  <c r="U54" i="2"/>
  <c r="L54" i="2"/>
  <c r="AH53" i="2"/>
  <c r="AI53" i="2" s="1"/>
  <c r="AG53" i="2"/>
  <c r="AF53" i="2"/>
  <c r="AE53" i="2"/>
  <c r="AD53" i="2"/>
  <c r="AC53" i="2"/>
  <c r="AB53" i="2"/>
  <c r="M53" i="2" a="1"/>
  <c r="M53" i="2" s="1"/>
  <c r="U53" i="2"/>
  <c r="L53" i="2"/>
  <c r="AH52" i="2"/>
  <c r="AI52" i="2" s="1"/>
  <c r="AG52" i="2"/>
  <c r="AF52" i="2"/>
  <c r="AE52" i="2"/>
  <c r="AD52" i="2"/>
  <c r="AC52" i="2"/>
  <c r="AB52" i="2"/>
  <c r="M52" i="2" a="1"/>
  <c r="M52" i="2" s="1"/>
  <c r="U52" i="2"/>
  <c r="L52" i="2"/>
  <c r="AH51" i="2"/>
  <c r="AI51" i="2" s="1"/>
  <c r="AG51" i="2"/>
  <c r="AF51" i="2"/>
  <c r="AE51" i="2"/>
  <c r="AD51" i="2"/>
  <c r="AC51" i="2"/>
  <c r="AB51" i="2"/>
  <c r="M51" i="2" a="1"/>
  <c r="M51" i="2" s="1"/>
  <c r="U51" i="2"/>
  <c r="L51" i="2"/>
  <c r="AH50" i="2"/>
  <c r="AI50" i="2" s="1"/>
  <c r="AG50" i="2"/>
  <c r="AF50" i="2"/>
  <c r="AE50" i="2"/>
  <c r="AD50" i="2"/>
  <c r="AC50" i="2"/>
  <c r="AB50" i="2"/>
  <c r="M50" i="2" a="1"/>
  <c r="M50" i="2" s="1"/>
  <c r="U50" i="2"/>
  <c r="L50" i="2"/>
  <c r="AH49" i="2"/>
  <c r="AI49" i="2" s="1"/>
  <c r="AG49" i="2"/>
  <c r="AF49" i="2"/>
  <c r="AE49" i="2"/>
  <c r="AD49" i="2"/>
  <c r="AC49" i="2"/>
  <c r="AB49" i="2"/>
  <c r="M49" i="2" a="1"/>
  <c r="M49" i="2" s="1"/>
  <c r="U49" i="2"/>
  <c r="L49" i="2"/>
  <c r="AH48" i="2"/>
  <c r="AI48" i="2" s="1"/>
  <c r="AG48" i="2"/>
  <c r="AF48" i="2"/>
  <c r="AE48" i="2"/>
  <c r="AD48" i="2"/>
  <c r="AC48" i="2"/>
  <c r="AB48" i="2"/>
  <c r="M48" i="2" a="1"/>
  <c r="M48" i="2" s="1"/>
  <c r="U48" i="2"/>
  <c r="L48" i="2"/>
  <c r="AH47" i="2"/>
  <c r="AI47" i="2" s="1"/>
  <c r="AG47" i="2"/>
  <c r="AF47" i="2"/>
  <c r="AE47" i="2"/>
  <c r="AD47" i="2"/>
  <c r="AC47" i="2"/>
  <c r="AB47" i="2"/>
  <c r="M47" i="2" a="1"/>
  <c r="M47" i="2" s="1"/>
  <c r="U47" i="2"/>
  <c r="L47" i="2"/>
  <c r="AH46" i="2"/>
  <c r="AI46" i="2" s="1"/>
  <c r="AG46" i="2"/>
  <c r="AF46" i="2"/>
  <c r="AE46" i="2"/>
  <c r="AD46" i="2"/>
  <c r="AC46" i="2"/>
  <c r="AB46" i="2"/>
  <c r="M46" i="2" a="1"/>
  <c r="M46" i="2" s="1"/>
  <c r="U46" i="2"/>
  <c r="L46" i="2"/>
  <c r="AH45" i="2"/>
  <c r="AI45" i="2" s="1"/>
  <c r="AG45" i="2"/>
  <c r="AF45" i="2"/>
  <c r="AE45" i="2"/>
  <c r="AD45" i="2"/>
  <c r="AC45" i="2"/>
  <c r="AB45" i="2"/>
  <c r="M45" i="2" a="1"/>
  <c r="M45" i="2" s="1"/>
  <c r="U45" i="2"/>
  <c r="L45" i="2"/>
  <c r="AH44" i="2"/>
  <c r="AI44" i="2" s="1"/>
  <c r="AG44" i="2"/>
  <c r="AF44" i="2"/>
  <c r="AE44" i="2"/>
  <c r="AD44" i="2"/>
  <c r="AC44" i="2"/>
  <c r="AB44" i="2"/>
  <c r="M44" i="2" a="1"/>
  <c r="M44" i="2" s="1"/>
  <c r="U44" i="2"/>
  <c r="L44" i="2"/>
  <c r="AH43" i="2"/>
  <c r="AI43" i="2" s="1"/>
  <c r="AG43" i="2"/>
  <c r="AF43" i="2"/>
  <c r="AE43" i="2"/>
  <c r="AD43" i="2"/>
  <c r="AC43" i="2"/>
  <c r="AB43" i="2"/>
  <c r="M43" i="2" a="1"/>
  <c r="M43" i="2" s="1"/>
  <c r="U43" i="2"/>
  <c r="L43" i="2"/>
  <c r="AH42" i="2"/>
  <c r="AI42" i="2" s="1"/>
  <c r="AG42" i="2"/>
  <c r="AF42" i="2"/>
  <c r="AE42" i="2"/>
  <c r="AD42" i="2"/>
  <c r="AC42" i="2"/>
  <c r="AB42" i="2"/>
  <c r="M42" i="2" a="1"/>
  <c r="M42" i="2" s="1"/>
  <c r="U42" i="2"/>
  <c r="L42" i="2"/>
  <c r="AH41" i="2"/>
  <c r="AI41" i="2" s="1"/>
  <c r="AG41" i="2"/>
  <c r="AF41" i="2"/>
  <c r="AE41" i="2"/>
  <c r="AD41" i="2"/>
  <c r="AC41" i="2"/>
  <c r="AB41" i="2"/>
  <c r="M41" i="2" a="1"/>
  <c r="M41" i="2" s="1"/>
  <c r="U41" i="2"/>
  <c r="L41" i="2"/>
  <c r="AH40" i="2"/>
  <c r="AI40" i="2" s="1"/>
  <c r="AG40" i="2"/>
  <c r="AF40" i="2"/>
  <c r="AE40" i="2"/>
  <c r="AD40" i="2"/>
  <c r="AC40" i="2"/>
  <c r="AB40" i="2"/>
  <c r="M40" i="2" a="1"/>
  <c r="M40" i="2" s="1"/>
  <c r="U40" i="2"/>
  <c r="L40" i="2"/>
  <c r="AH39" i="2"/>
  <c r="AI39" i="2" s="1"/>
  <c r="AG39" i="2"/>
  <c r="AF39" i="2"/>
  <c r="AE39" i="2"/>
  <c r="AD39" i="2"/>
  <c r="AC39" i="2"/>
  <c r="AB39" i="2"/>
  <c r="M39" i="2" a="1"/>
  <c r="M39" i="2" s="1"/>
  <c r="U39" i="2"/>
  <c r="L39" i="2"/>
  <c r="AH38" i="2"/>
  <c r="AI38" i="2" s="1"/>
  <c r="AG38" i="2"/>
  <c r="AF38" i="2"/>
  <c r="AE38" i="2"/>
  <c r="AD38" i="2"/>
  <c r="AC38" i="2"/>
  <c r="AB38" i="2"/>
  <c r="M38" i="2" a="1"/>
  <c r="M38" i="2" s="1"/>
  <c r="U38" i="2"/>
  <c r="L38" i="2"/>
  <c r="AH37" i="2"/>
  <c r="AI37" i="2" s="1"/>
  <c r="AG37" i="2"/>
  <c r="AF37" i="2"/>
  <c r="AE37" i="2"/>
  <c r="AD37" i="2"/>
  <c r="AC37" i="2"/>
  <c r="AB37" i="2"/>
  <c r="M37" i="2" a="1"/>
  <c r="M37" i="2" s="1"/>
  <c r="U37" i="2"/>
  <c r="L37" i="2"/>
  <c r="AH36" i="2"/>
  <c r="AI36" i="2" s="1"/>
  <c r="AG36" i="2"/>
  <c r="AF36" i="2"/>
  <c r="AE36" i="2"/>
  <c r="AD36" i="2"/>
  <c r="AC36" i="2"/>
  <c r="AB36" i="2"/>
  <c r="M36" i="2" a="1"/>
  <c r="M36" i="2" s="1"/>
  <c r="U36" i="2"/>
  <c r="L36" i="2"/>
  <c r="AH35" i="2"/>
  <c r="AI35" i="2" s="1"/>
  <c r="AG35" i="2"/>
  <c r="AF35" i="2"/>
  <c r="AE35" i="2"/>
  <c r="AD35" i="2"/>
  <c r="AC35" i="2"/>
  <c r="AB35" i="2"/>
  <c r="M35" i="2" a="1"/>
  <c r="M35" i="2" s="1"/>
  <c r="U35" i="2"/>
  <c r="L35" i="2"/>
  <c r="AH34" i="2"/>
  <c r="AI34" i="2" s="1"/>
  <c r="AG34" i="2"/>
  <c r="AF34" i="2"/>
  <c r="AE34" i="2"/>
  <c r="AD34" i="2"/>
  <c r="AC34" i="2"/>
  <c r="AB34" i="2"/>
  <c r="M34" i="2" a="1"/>
  <c r="M34" i="2" s="1"/>
  <c r="U34" i="2"/>
  <c r="L34" i="2"/>
  <c r="AH33" i="2"/>
  <c r="AI33" i="2" s="1"/>
  <c r="AG33" i="2"/>
  <c r="AF33" i="2"/>
  <c r="AE33" i="2"/>
  <c r="AD33" i="2"/>
  <c r="AC33" i="2"/>
  <c r="AB33" i="2"/>
  <c r="M33" i="2" a="1"/>
  <c r="M33" i="2" s="1"/>
  <c r="U33" i="2"/>
  <c r="L33" i="2"/>
  <c r="AH32" i="2"/>
  <c r="AI32" i="2" s="1"/>
  <c r="AG32" i="2"/>
  <c r="AF32" i="2"/>
  <c r="AE32" i="2"/>
  <c r="AD32" i="2"/>
  <c r="AC32" i="2"/>
  <c r="AB32" i="2"/>
  <c r="M32" i="2" a="1"/>
  <c r="M32" i="2" s="1"/>
  <c r="U32" i="2"/>
  <c r="L32" i="2"/>
  <c r="AH31" i="2"/>
  <c r="AI31" i="2" s="1"/>
  <c r="AG31" i="2"/>
  <c r="AF31" i="2"/>
  <c r="AE31" i="2"/>
  <c r="AD31" i="2"/>
  <c r="AC31" i="2"/>
  <c r="AB31" i="2"/>
  <c r="M31" i="2" a="1"/>
  <c r="M31" i="2" s="1"/>
  <c r="U31" i="2"/>
  <c r="L31" i="2"/>
  <c r="AH30" i="2"/>
  <c r="AI30" i="2" s="1"/>
  <c r="AG30" i="2"/>
  <c r="AF30" i="2"/>
  <c r="AE30" i="2"/>
  <c r="AD30" i="2"/>
  <c r="AC30" i="2"/>
  <c r="AB30" i="2"/>
  <c r="M30" i="2" a="1"/>
  <c r="M30" i="2" s="1"/>
  <c r="U30" i="2"/>
  <c r="L30" i="2"/>
  <c r="AH29" i="2"/>
  <c r="AI29" i="2" s="1"/>
  <c r="AG29" i="2"/>
  <c r="AF29" i="2"/>
  <c r="AE29" i="2"/>
  <c r="AD29" i="2"/>
  <c r="AC29" i="2"/>
  <c r="AB29" i="2"/>
  <c r="M29" i="2" a="1"/>
  <c r="M29" i="2" s="1"/>
  <c r="U29" i="2"/>
  <c r="L29" i="2"/>
  <c r="AH28" i="2"/>
  <c r="AI28" i="2" s="1"/>
  <c r="AG28" i="2"/>
  <c r="AF28" i="2"/>
  <c r="AE28" i="2"/>
  <c r="AD28" i="2"/>
  <c r="AC28" i="2"/>
  <c r="AB28" i="2"/>
  <c r="M28" i="2" a="1"/>
  <c r="M28" i="2" s="1"/>
  <c r="U28" i="2"/>
  <c r="L28" i="2"/>
  <c r="AH27" i="2"/>
  <c r="AI27" i="2" s="1"/>
  <c r="AG27" i="2"/>
  <c r="AF27" i="2"/>
  <c r="AE27" i="2"/>
  <c r="AD27" i="2"/>
  <c r="AC27" i="2"/>
  <c r="AB27" i="2"/>
  <c r="M27" i="2" a="1"/>
  <c r="M27" i="2" s="1"/>
  <c r="U27" i="2"/>
  <c r="L27" i="2"/>
  <c r="AH26" i="2"/>
  <c r="AI26" i="2" s="1"/>
  <c r="AG26" i="2"/>
  <c r="AF26" i="2"/>
  <c r="AE26" i="2"/>
  <c r="AD26" i="2"/>
  <c r="AC26" i="2"/>
  <c r="AB26" i="2"/>
  <c r="M26" i="2" a="1"/>
  <c r="M26" i="2" s="1"/>
  <c r="U26" i="2"/>
  <c r="L26" i="2"/>
  <c r="AH25" i="2"/>
  <c r="AI25" i="2" s="1"/>
  <c r="AG25" i="2"/>
  <c r="AF25" i="2"/>
  <c r="AE25" i="2"/>
  <c r="AD25" i="2"/>
  <c r="AC25" i="2"/>
  <c r="AB25" i="2"/>
  <c r="M25" i="2" a="1"/>
  <c r="M25" i="2" s="1"/>
  <c r="U25" i="2"/>
  <c r="L25" i="2"/>
  <c r="AH24" i="2"/>
  <c r="AI24" i="2" s="1"/>
  <c r="AG24" i="2"/>
  <c r="AF24" i="2"/>
  <c r="AE24" i="2"/>
  <c r="AD24" i="2"/>
  <c r="AC24" i="2"/>
  <c r="AB24" i="2"/>
  <c r="M24" i="2" a="1"/>
  <c r="M24" i="2" s="1"/>
  <c r="U24" i="2"/>
  <c r="L24" i="2"/>
  <c r="AH23" i="2"/>
  <c r="AI23" i="2" s="1"/>
  <c r="AG23" i="2"/>
  <c r="AF23" i="2"/>
  <c r="AE23" i="2"/>
  <c r="AD23" i="2"/>
  <c r="AC23" i="2"/>
  <c r="AB23" i="2"/>
  <c r="M23" i="2" a="1"/>
  <c r="M23" i="2" s="1"/>
  <c r="U23" i="2"/>
  <c r="L23" i="2"/>
  <c r="AH22" i="2"/>
  <c r="AI22" i="2" s="1"/>
  <c r="AG22" i="2"/>
  <c r="AF22" i="2"/>
  <c r="AE22" i="2"/>
  <c r="AD22" i="2"/>
  <c r="AC22" i="2"/>
  <c r="AB22" i="2"/>
  <c r="M22" i="2" a="1"/>
  <c r="M22" i="2" s="1"/>
  <c r="U22" i="2"/>
  <c r="L22" i="2"/>
  <c r="AH21" i="2"/>
  <c r="AI21" i="2" s="1"/>
  <c r="AG21" i="2"/>
  <c r="AF21" i="2"/>
  <c r="AE21" i="2"/>
  <c r="AD21" i="2"/>
  <c r="AC21" i="2"/>
  <c r="AB21" i="2"/>
  <c r="M21" i="2" a="1"/>
  <c r="M21" i="2" s="1"/>
  <c r="U21" i="2"/>
  <c r="L21" i="2"/>
  <c r="AH20" i="2"/>
  <c r="AI20" i="2" s="1"/>
  <c r="AG20" i="2"/>
  <c r="AF20" i="2"/>
  <c r="AE20" i="2"/>
  <c r="AD20" i="2"/>
  <c r="AC20" i="2"/>
  <c r="AB20" i="2"/>
  <c r="M20" i="2" a="1"/>
  <c r="M20" i="2" s="1"/>
  <c r="U20" i="2"/>
  <c r="L20" i="2"/>
  <c r="AH19" i="2"/>
  <c r="AI19" i="2" s="1"/>
  <c r="AG19" i="2"/>
  <c r="AF19" i="2"/>
  <c r="AE19" i="2"/>
  <c r="AD19" i="2"/>
  <c r="AC19" i="2"/>
  <c r="AB19" i="2"/>
  <c r="M19" i="2" a="1"/>
  <c r="M19" i="2" s="1"/>
  <c r="U19" i="2"/>
  <c r="L19" i="2"/>
  <c r="AH18" i="2"/>
  <c r="AI18" i="2" s="1"/>
  <c r="AG18" i="2"/>
  <c r="AF18" i="2"/>
  <c r="AE18" i="2"/>
  <c r="AD18" i="2"/>
  <c r="AC18" i="2"/>
  <c r="AB18" i="2"/>
  <c r="M18" i="2" a="1"/>
  <c r="M18" i="2" s="1"/>
  <c r="U18" i="2"/>
  <c r="L18" i="2"/>
  <c r="AH17" i="2"/>
  <c r="AI17" i="2" s="1"/>
  <c r="AG17" i="2"/>
  <c r="AF17" i="2"/>
  <c r="AE17" i="2"/>
  <c r="AD17" i="2"/>
  <c r="AC17" i="2"/>
  <c r="AB17" i="2"/>
  <c r="M17" i="2" a="1"/>
  <c r="M17" i="2" s="1"/>
  <c r="U17" i="2"/>
  <c r="L17" i="2"/>
  <c r="AH16" i="2"/>
  <c r="AI16" i="2" s="1"/>
  <c r="AG16" i="2"/>
  <c r="AF16" i="2"/>
  <c r="AE16" i="2"/>
  <c r="AD16" i="2"/>
  <c r="AC16" i="2"/>
  <c r="AB16" i="2"/>
  <c r="M16" i="2" a="1"/>
  <c r="M16" i="2" s="1"/>
  <c r="U16" i="2"/>
  <c r="L16" i="2"/>
  <c r="AH15" i="2"/>
  <c r="AI15" i="2" s="1"/>
  <c r="AG15" i="2"/>
  <c r="AF15" i="2"/>
  <c r="AE15" i="2"/>
  <c r="AD15" i="2"/>
  <c r="AC15" i="2"/>
  <c r="AB15" i="2"/>
  <c r="M15" i="2" a="1"/>
  <c r="M15" i="2" s="1"/>
  <c r="U15" i="2"/>
  <c r="L15" i="2"/>
  <c r="AH14" i="2"/>
  <c r="AI14" i="2" s="1"/>
  <c r="AG14" i="2"/>
  <c r="AF14" i="2"/>
  <c r="AE14" i="2"/>
  <c r="AD14" i="2"/>
  <c r="AC14" i="2"/>
  <c r="AB14" i="2"/>
  <c r="M14" i="2" a="1"/>
  <c r="M14" i="2" s="1"/>
  <c r="U14" i="2"/>
  <c r="L14" i="2"/>
  <c r="AH13" i="2"/>
  <c r="AI13" i="2" s="1"/>
  <c r="AG13" i="2"/>
  <c r="AF13" i="2"/>
  <c r="AE13" i="2"/>
  <c r="AD13" i="2"/>
  <c r="AC13" i="2"/>
  <c r="AB13" i="2"/>
  <c r="M13" i="2" a="1"/>
  <c r="M13" i="2" s="1"/>
  <c r="U13" i="2"/>
  <c r="L13" i="2"/>
  <c r="AH12" i="2"/>
  <c r="AI12" i="2" s="1"/>
  <c r="AG12" i="2"/>
  <c r="AF12" i="2"/>
  <c r="AE12" i="2"/>
  <c r="AD12" i="2"/>
  <c r="AC12" i="2"/>
  <c r="AB12" i="2"/>
  <c r="M12" i="2" a="1"/>
  <c r="M12" i="2" s="1"/>
  <c r="U12" i="2"/>
  <c r="L12" i="2"/>
  <c r="AH11" i="2"/>
  <c r="AI11" i="2" s="1"/>
  <c r="AG11" i="2"/>
  <c r="AF11" i="2"/>
  <c r="AE11" i="2"/>
  <c r="AD11" i="2"/>
  <c r="AC11" i="2"/>
  <c r="AB11" i="2"/>
  <c r="M11" i="2" a="1"/>
  <c r="M11" i="2" s="1"/>
  <c r="U11" i="2"/>
  <c r="L11" i="2"/>
  <c r="AH10" i="2"/>
  <c r="AI10" i="2" s="1"/>
  <c r="AG10" i="2"/>
  <c r="AF10" i="2"/>
  <c r="AE10" i="2"/>
  <c r="AD10" i="2"/>
  <c r="AC10" i="2"/>
  <c r="AB10" i="2"/>
  <c r="M10" i="2" a="1"/>
  <c r="M10" i="2" s="1"/>
  <c r="U10" i="2"/>
  <c r="L10" i="2"/>
  <c r="AH9" i="2"/>
  <c r="AI9" i="2" s="1"/>
  <c r="AG9" i="2"/>
  <c r="AF9" i="2"/>
  <c r="AE9" i="2"/>
  <c r="AD9" i="2"/>
  <c r="AC9" i="2"/>
  <c r="AB9" i="2"/>
  <c r="M9" i="2" a="1"/>
  <c r="M9" i="2" s="1"/>
  <c r="U9" i="2"/>
  <c r="L9" i="2"/>
  <c r="AH8" i="2"/>
  <c r="AI8" i="2" s="1"/>
  <c r="AG8" i="2"/>
  <c r="AF8" i="2"/>
  <c r="AE8" i="2"/>
  <c r="AD8" i="2"/>
  <c r="AC8" i="2"/>
  <c r="AB8" i="2"/>
  <c r="M8" i="2" a="1"/>
  <c r="M8" i="2" s="1"/>
  <c r="U8" i="2"/>
  <c r="L8" i="2"/>
  <c r="AH7" i="2"/>
  <c r="AI7" i="2" s="1"/>
  <c r="AG7" i="2"/>
  <c r="AF7" i="2"/>
  <c r="AE7" i="2"/>
  <c r="AD7" i="2"/>
  <c r="AC7" i="2"/>
  <c r="AB7" i="2"/>
  <c r="M7" i="2" a="1"/>
  <c r="M7" i="2" s="1"/>
  <c r="U7" i="2"/>
  <c r="L7" i="2"/>
  <c r="AH6" i="2"/>
  <c r="AI6" i="2" s="1"/>
  <c r="AG6" i="2"/>
  <c r="AF6" i="2"/>
  <c r="AE6" i="2"/>
  <c r="AD6" i="2"/>
  <c r="AC6" i="2"/>
  <c r="AB6" i="2"/>
  <c r="M6" i="2" a="1"/>
  <c r="M6" i="2" s="1"/>
  <c r="U6" i="2"/>
  <c r="L6" i="2"/>
  <c r="AH5" i="2"/>
  <c r="AI5" i="2" s="1"/>
  <c r="AG5" i="2"/>
  <c r="AF5" i="2"/>
  <c r="AE5" i="2"/>
  <c r="AD5" i="2"/>
  <c r="AC5" i="2"/>
  <c r="AB5" i="2"/>
  <c r="M5" i="2" a="1"/>
  <c r="M5" i="2" s="1"/>
  <c r="U5" i="2"/>
  <c r="L5" i="2"/>
  <c r="AH4" i="2"/>
  <c r="AI4" i="2" s="1"/>
  <c r="AG4" i="2"/>
  <c r="AF4" i="2"/>
  <c r="AE4" i="2"/>
  <c r="AD4" i="2"/>
  <c r="AC4" i="2"/>
  <c r="AB4" i="2"/>
  <c r="M4" i="2" a="1"/>
  <c r="M4" i="2" s="1"/>
  <c r="U4" i="2"/>
  <c r="L4" i="2"/>
  <c r="AH3" i="2"/>
  <c r="AI3" i="2" s="1"/>
  <c r="AG3" i="2"/>
  <c r="AF3" i="2"/>
  <c r="AE3" i="2"/>
  <c r="AD3" i="2"/>
  <c r="AC3" i="2"/>
  <c r="AB3" i="2"/>
  <c r="M3" i="2" a="1"/>
  <c r="M3" i="2" s="1"/>
  <c r="U3" i="2"/>
  <c r="L3" i="2"/>
  <c r="AH2" i="2"/>
  <c r="AG2" i="2"/>
  <c r="AF2" i="2"/>
  <c r="AE2" i="2"/>
  <c r="AD2" i="2"/>
  <c r="AC2" i="2"/>
  <c r="AB2" i="2"/>
  <c r="Z2" i="2"/>
  <c r="M2" i="2" a="1"/>
  <c r="M2" i="2" s="1"/>
  <c r="U2" i="2"/>
  <c r="L2" i="2"/>
  <c r="P809" i="2" s="1"/>
  <c r="O2" i="2"/>
  <c r="B1042" i="23"/>
  <c r="B1041" i="23"/>
  <c r="B1040" i="23"/>
  <c r="B1039" i="23"/>
  <c r="B1038" i="23"/>
  <c r="B1037" i="23"/>
  <c r="B1036" i="23"/>
  <c r="B1035" i="23"/>
  <c r="B1034" i="23"/>
  <c r="B1033" i="23"/>
  <c r="B1032" i="23"/>
  <c r="B1030" i="23"/>
  <c r="B1029" i="23"/>
  <c r="B1028" i="23"/>
  <c r="B1027" i="23"/>
  <c r="B1026" i="23"/>
  <c r="B1025" i="23"/>
  <c r="B1024" i="23"/>
  <c r="B1023" i="23"/>
  <c r="B1022" i="23"/>
  <c r="B1021" i="23"/>
  <c r="B1020" i="23"/>
  <c r="B1019" i="23"/>
  <c r="B1018" i="23"/>
  <c r="B1017" i="23"/>
  <c r="B1016" i="23"/>
  <c r="B1015" i="23"/>
  <c r="B1014" i="23"/>
  <c r="B1013" i="23"/>
  <c r="B1012" i="23"/>
  <c r="B1011" i="23"/>
  <c r="B1010" i="23"/>
  <c r="B1009" i="23"/>
  <c r="B1008" i="23"/>
  <c r="B1007" i="23"/>
  <c r="B1006" i="23"/>
  <c r="B1005" i="23"/>
  <c r="B1004" i="23"/>
  <c r="B1003" i="23"/>
  <c r="B1002" i="23"/>
  <c r="B1001" i="23"/>
  <c r="B1000" i="23"/>
  <c r="B999" i="23"/>
  <c r="B998" i="23"/>
  <c r="B997" i="23"/>
  <c r="B996" i="23"/>
  <c r="B995" i="23"/>
  <c r="B994" i="23"/>
  <c r="B993" i="23"/>
  <c r="B992" i="23"/>
  <c r="B991" i="23"/>
  <c r="B990" i="23"/>
  <c r="B989" i="23"/>
  <c r="B988" i="23"/>
  <c r="B987" i="23"/>
  <c r="B986" i="23"/>
  <c r="B985" i="23"/>
  <c r="B984" i="23"/>
  <c r="B983" i="23"/>
  <c r="B982" i="23"/>
  <c r="B981" i="23"/>
  <c r="B980" i="23"/>
  <c r="B979" i="23"/>
  <c r="B978" i="23"/>
  <c r="B977" i="23"/>
  <c r="B976" i="23"/>
  <c r="B975" i="23"/>
  <c r="B974" i="23"/>
  <c r="B973" i="23"/>
  <c r="B972" i="23"/>
  <c r="B971" i="23"/>
  <c r="B970" i="23"/>
  <c r="B969" i="23"/>
  <c r="B968" i="23"/>
  <c r="B967" i="23"/>
  <c r="B966" i="23"/>
  <c r="B965" i="23"/>
  <c r="B964" i="23"/>
  <c r="B963" i="23"/>
  <c r="B962" i="23"/>
  <c r="B961" i="23"/>
  <c r="B960" i="23"/>
  <c r="B959" i="23"/>
  <c r="B958" i="23"/>
  <c r="B957" i="23"/>
  <c r="B956" i="23"/>
  <c r="B955" i="23"/>
  <c r="B954" i="23"/>
  <c r="B953" i="23"/>
  <c r="B952" i="23"/>
  <c r="B951" i="23"/>
  <c r="B950" i="23"/>
  <c r="B949" i="23"/>
  <c r="B948" i="23"/>
  <c r="B947" i="23"/>
  <c r="B946" i="23"/>
  <c r="B945" i="23"/>
  <c r="B944" i="23"/>
  <c r="B943" i="23"/>
  <c r="B942" i="23"/>
  <c r="B941" i="23"/>
  <c r="B940" i="23"/>
  <c r="B939" i="23"/>
  <c r="B938" i="23"/>
  <c r="B937" i="23"/>
  <c r="B936" i="23"/>
  <c r="B935" i="23"/>
  <c r="B934" i="23"/>
  <c r="B933" i="23"/>
  <c r="B932" i="23"/>
  <c r="B931" i="23"/>
  <c r="B930" i="23"/>
  <c r="B929" i="23"/>
  <c r="B928" i="23"/>
  <c r="B927" i="23"/>
  <c r="B926" i="23"/>
  <c r="B925" i="23"/>
  <c r="B924" i="23"/>
  <c r="B923" i="23"/>
  <c r="B922" i="23"/>
  <c r="B921" i="23"/>
  <c r="B920" i="23"/>
  <c r="B919" i="23"/>
  <c r="B918" i="23"/>
  <c r="B917" i="23"/>
  <c r="B916" i="23"/>
  <c r="B915" i="23"/>
  <c r="B914" i="23"/>
  <c r="B913" i="23"/>
  <c r="B912" i="23"/>
  <c r="B911" i="23"/>
  <c r="B910" i="23"/>
  <c r="B909" i="23"/>
  <c r="B908" i="23"/>
  <c r="B907" i="23"/>
  <c r="B906" i="23"/>
  <c r="B905" i="23"/>
  <c r="B904" i="23"/>
  <c r="B903" i="23"/>
  <c r="B902" i="23"/>
  <c r="B901" i="23"/>
  <c r="B900" i="23"/>
  <c r="B899" i="23"/>
  <c r="B898" i="23"/>
  <c r="B897" i="23"/>
  <c r="B896" i="23"/>
  <c r="B895" i="23"/>
  <c r="B894" i="23"/>
  <c r="B893" i="23"/>
  <c r="B892" i="23"/>
  <c r="B891" i="23"/>
  <c r="B890" i="23"/>
  <c r="B889" i="23"/>
  <c r="B888" i="23"/>
  <c r="B887" i="23"/>
  <c r="B886" i="23"/>
  <c r="B885" i="23"/>
  <c r="B884" i="23"/>
  <c r="B883" i="23"/>
  <c r="B882" i="23"/>
  <c r="B881" i="23"/>
  <c r="B880" i="23"/>
  <c r="B879" i="23"/>
  <c r="B878" i="23"/>
  <c r="B877" i="23"/>
  <c r="B876" i="23"/>
  <c r="B875" i="23"/>
  <c r="B874" i="23"/>
  <c r="B873" i="23"/>
  <c r="B872" i="23"/>
  <c r="B871" i="23"/>
  <c r="B870" i="23"/>
  <c r="B869" i="23"/>
  <c r="B868" i="23"/>
  <c r="B867" i="23"/>
  <c r="B866" i="23"/>
  <c r="B865" i="23"/>
  <c r="B864" i="23"/>
  <c r="B863" i="23"/>
  <c r="B862" i="23"/>
  <c r="B861" i="23"/>
  <c r="B860" i="23"/>
  <c r="B859" i="23"/>
  <c r="B858" i="23"/>
  <c r="B857" i="23"/>
  <c r="B856" i="23"/>
  <c r="B855" i="23"/>
  <c r="B854" i="23"/>
  <c r="B853" i="23"/>
  <c r="B852" i="23"/>
  <c r="B851" i="23"/>
  <c r="B850" i="23"/>
  <c r="B849" i="23"/>
  <c r="B848" i="23"/>
  <c r="B847" i="23"/>
  <c r="B846" i="23"/>
  <c r="B845" i="23"/>
  <c r="B844" i="23"/>
  <c r="B843" i="23"/>
  <c r="B842" i="23"/>
  <c r="B841" i="23"/>
  <c r="B840" i="23"/>
  <c r="B839" i="23"/>
  <c r="B838" i="23"/>
  <c r="B837" i="23"/>
  <c r="B836" i="23"/>
  <c r="B835" i="23"/>
  <c r="B834" i="23"/>
  <c r="B833" i="23"/>
  <c r="B832" i="23"/>
  <c r="B831" i="23"/>
  <c r="B830" i="23"/>
  <c r="B829" i="23"/>
  <c r="B828" i="23"/>
  <c r="B827" i="23"/>
  <c r="B826" i="23"/>
  <c r="B825" i="23"/>
  <c r="B824" i="23"/>
  <c r="B823" i="23"/>
  <c r="B822" i="23"/>
  <c r="B821" i="23"/>
  <c r="B820" i="23"/>
  <c r="B819" i="23"/>
  <c r="B818" i="23"/>
  <c r="B817" i="23"/>
  <c r="B816" i="23"/>
  <c r="B815" i="23"/>
  <c r="B814" i="23"/>
  <c r="B813" i="23"/>
  <c r="B812" i="23"/>
  <c r="B811" i="23"/>
  <c r="B810" i="23"/>
  <c r="B809" i="23"/>
  <c r="B808" i="23"/>
  <c r="B807" i="23"/>
  <c r="B806" i="23"/>
  <c r="B805" i="23"/>
  <c r="B804" i="23"/>
  <c r="B803" i="23"/>
  <c r="B802" i="23"/>
  <c r="B801" i="23"/>
  <c r="B800" i="23"/>
  <c r="B799" i="23"/>
  <c r="B798" i="23"/>
  <c r="B797" i="23"/>
  <c r="B796" i="23"/>
  <c r="B795" i="23"/>
  <c r="B794" i="23"/>
  <c r="B793" i="23"/>
  <c r="B792" i="23"/>
  <c r="B791" i="23"/>
  <c r="B790" i="23"/>
  <c r="B789" i="23"/>
  <c r="B788" i="23"/>
  <c r="B787" i="23"/>
  <c r="B786" i="23"/>
  <c r="B785" i="23"/>
  <c r="B784" i="23"/>
  <c r="B783" i="23"/>
  <c r="B782" i="23"/>
  <c r="B781" i="23"/>
  <c r="B780" i="23"/>
  <c r="B779" i="23"/>
  <c r="B778" i="23"/>
  <c r="B777" i="23"/>
  <c r="B776" i="23"/>
  <c r="B775" i="23"/>
  <c r="B774" i="23"/>
  <c r="B773" i="23"/>
  <c r="B772" i="23"/>
  <c r="B771" i="23"/>
  <c r="B770" i="23"/>
  <c r="B769" i="23"/>
  <c r="B768" i="23"/>
  <c r="B767" i="23"/>
  <c r="B766" i="23"/>
  <c r="B765" i="23"/>
  <c r="B764" i="23"/>
  <c r="B763" i="23"/>
  <c r="B762" i="23"/>
  <c r="B761" i="23"/>
  <c r="B760" i="23"/>
  <c r="B759" i="23"/>
  <c r="B758" i="23"/>
  <c r="B757" i="23"/>
  <c r="B756" i="23"/>
  <c r="B755" i="23"/>
  <c r="B754" i="23"/>
  <c r="B753" i="23"/>
  <c r="B752" i="23"/>
  <c r="B751" i="23"/>
  <c r="B750" i="23"/>
  <c r="B749" i="23"/>
  <c r="B748" i="23"/>
  <c r="B747" i="23"/>
  <c r="B746" i="23"/>
  <c r="B745" i="23"/>
  <c r="B744" i="23"/>
  <c r="B743" i="23"/>
  <c r="B742" i="23"/>
  <c r="B741" i="23"/>
  <c r="B740" i="23"/>
  <c r="B739" i="23"/>
  <c r="B738" i="23"/>
  <c r="B737" i="23"/>
  <c r="B736" i="23"/>
  <c r="B735" i="23"/>
  <c r="B734" i="23"/>
  <c r="B733" i="23"/>
  <c r="B732" i="23"/>
  <c r="B731" i="23"/>
  <c r="B730" i="23"/>
  <c r="B729" i="23"/>
  <c r="B728" i="23"/>
  <c r="B727" i="23"/>
  <c r="B726" i="23"/>
  <c r="B725" i="23"/>
  <c r="B724" i="23"/>
  <c r="B723" i="23"/>
  <c r="B722" i="23"/>
  <c r="B721" i="23"/>
  <c r="B720" i="23"/>
  <c r="B719" i="23"/>
  <c r="B718" i="23"/>
  <c r="B717" i="23"/>
  <c r="B716" i="23"/>
  <c r="B715" i="23"/>
  <c r="B714" i="23"/>
  <c r="B713" i="23"/>
  <c r="B712" i="23"/>
  <c r="B711" i="23"/>
  <c r="B710" i="23"/>
  <c r="B709" i="23"/>
  <c r="B708" i="23"/>
  <c r="B707" i="23"/>
  <c r="B706" i="23"/>
  <c r="B705" i="23"/>
  <c r="B704" i="23"/>
  <c r="B703" i="23"/>
  <c r="B702" i="23"/>
  <c r="B701" i="23"/>
  <c r="B700" i="23"/>
  <c r="B699" i="23"/>
  <c r="B698" i="23"/>
  <c r="B697" i="23"/>
  <c r="B696" i="23"/>
  <c r="B695" i="23"/>
  <c r="B694" i="23"/>
  <c r="B693" i="23"/>
  <c r="B692" i="23"/>
  <c r="B691" i="23"/>
  <c r="B690" i="23"/>
  <c r="B689" i="23"/>
  <c r="B688" i="23"/>
  <c r="B687" i="23"/>
  <c r="B686" i="23"/>
  <c r="B685" i="23"/>
  <c r="B684" i="23"/>
  <c r="B683" i="23"/>
  <c r="B682" i="23"/>
  <c r="B681" i="23"/>
  <c r="B680" i="23"/>
  <c r="B679" i="23"/>
  <c r="B678" i="23"/>
  <c r="B677" i="23"/>
  <c r="B676" i="23"/>
  <c r="B675" i="23"/>
  <c r="B674" i="23"/>
  <c r="B673" i="23"/>
  <c r="B672" i="23"/>
  <c r="B671" i="23"/>
  <c r="B670" i="23"/>
  <c r="B669" i="23"/>
  <c r="B668" i="23"/>
  <c r="B667" i="23"/>
  <c r="B666" i="23"/>
  <c r="B665" i="23"/>
  <c r="B664" i="23"/>
  <c r="B663" i="23"/>
  <c r="B662" i="23"/>
  <c r="B661" i="23"/>
  <c r="B660" i="23"/>
  <c r="B659" i="23"/>
  <c r="B658" i="23"/>
  <c r="B657" i="23"/>
  <c r="B656" i="23"/>
  <c r="B655" i="23"/>
  <c r="B654" i="23"/>
  <c r="B653" i="23"/>
  <c r="B652" i="23"/>
  <c r="B651" i="23"/>
  <c r="B650" i="23"/>
  <c r="B649" i="23"/>
  <c r="B648" i="23"/>
  <c r="B647" i="23"/>
  <c r="B646" i="23"/>
  <c r="B645" i="23"/>
  <c r="B644" i="23"/>
  <c r="B643" i="23"/>
  <c r="B642" i="23"/>
  <c r="B641" i="23"/>
  <c r="B640" i="23"/>
  <c r="B639" i="23"/>
  <c r="B638" i="23"/>
  <c r="B637" i="23"/>
  <c r="B636" i="23"/>
  <c r="B635" i="23"/>
  <c r="B634" i="23"/>
  <c r="B633" i="23"/>
  <c r="B632" i="23"/>
  <c r="B631" i="23"/>
  <c r="B630" i="23"/>
  <c r="B629" i="23"/>
  <c r="B628" i="23"/>
  <c r="B627" i="23"/>
  <c r="B626" i="23"/>
  <c r="B625" i="23"/>
  <c r="B624" i="23"/>
  <c r="B623" i="23"/>
  <c r="B622" i="23"/>
  <c r="B621" i="23"/>
  <c r="B620" i="23"/>
  <c r="B619" i="23"/>
  <c r="B618" i="23"/>
  <c r="B617" i="23"/>
  <c r="B616" i="23"/>
  <c r="B615" i="23"/>
  <c r="B614" i="23"/>
  <c r="B613" i="23"/>
  <c r="B612" i="23"/>
  <c r="B611" i="23"/>
  <c r="B610" i="23"/>
  <c r="B609" i="23"/>
  <c r="B608" i="23"/>
  <c r="B607" i="23"/>
  <c r="B606" i="23"/>
  <c r="B605" i="23"/>
  <c r="B604" i="23"/>
  <c r="B603" i="23"/>
  <c r="B602" i="23"/>
  <c r="B601" i="23"/>
  <c r="B600" i="23"/>
  <c r="B599" i="23"/>
  <c r="B598" i="23"/>
  <c r="B597" i="23"/>
  <c r="B596" i="23"/>
  <c r="B595" i="23"/>
  <c r="B594" i="23"/>
  <c r="B593" i="23"/>
  <c r="B592" i="23"/>
  <c r="B591" i="23"/>
  <c r="B590" i="23"/>
  <c r="B589" i="23"/>
  <c r="B588" i="23"/>
  <c r="B587" i="23"/>
  <c r="B586" i="23"/>
  <c r="B585" i="23"/>
  <c r="B584" i="23"/>
  <c r="B583" i="23"/>
  <c r="B582" i="23"/>
  <c r="B581" i="23"/>
  <c r="B580" i="23"/>
  <c r="B579" i="23"/>
  <c r="B578" i="23"/>
  <c r="B577" i="23"/>
  <c r="B576" i="23"/>
  <c r="B575" i="23"/>
  <c r="B574" i="23"/>
  <c r="B573" i="23"/>
  <c r="B572" i="23"/>
  <c r="B571" i="23"/>
  <c r="B570" i="23"/>
  <c r="B569" i="23"/>
  <c r="B568" i="23"/>
  <c r="B567" i="23"/>
  <c r="B566" i="23"/>
  <c r="B565" i="23"/>
  <c r="B564" i="23"/>
  <c r="B563" i="23"/>
  <c r="B562" i="23"/>
  <c r="B561" i="23"/>
  <c r="B560" i="23"/>
  <c r="B559" i="23"/>
  <c r="B558" i="23"/>
  <c r="B557" i="23"/>
  <c r="B556" i="23"/>
  <c r="B555" i="23"/>
  <c r="B554" i="23"/>
  <c r="B553" i="23"/>
  <c r="B552" i="23"/>
  <c r="B551" i="23"/>
  <c r="B550" i="23"/>
  <c r="B549" i="23"/>
  <c r="B548" i="23"/>
  <c r="B547" i="23"/>
  <c r="B546" i="23"/>
  <c r="B545" i="23"/>
  <c r="B544" i="23"/>
  <c r="B543" i="23"/>
  <c r="B542" i="23"/>
  <c r="B541" i="23"/>
  <c r="B540" i="23"/>
  <c r="B539" i="23"/>
  <c r="B538" i="23"/>
  <c r="B537" i="23"/>
  <c r="B536" i="23"/>
  <c r="B535" i="23"/>
  <c r="B534" i="23"/>
  <c r="B533" i="23"/>
  <c r="B532" i="23"/>
  <c r="B531" i="23"/>
  <c r="B530" i="23"/>
  <c r="B529" i="23"/>
  <c r="B528" i="23"/>
  <c r="B527" i="23"/>
  <c r="B526" i="23"/>
  <c r="B525" i="23"/>
  <c r="B524" i="23"/>
  <c r="B523" i="23"/>
  <c r="B522" i="23"/>
  <c r="B521" i="23"/>
  <c r="B520" i="23"/>
  <c r="B519" i="23"/>
  <c r="B518" i="23"/>
  <c r="B517" i="23"/>
  <c r="B516" i="23"/>
  <c r="B515" i="23"/>
  <c r="B514" i="23"/>
  <c r="B513" i="23"/>
  <c r="B512" i="23"/>
  <c r="B511" i="23"/>
  <c r="B510" i="23"/>
  <c r="B509" i="23"/>
  <c r="B508" i="23"/>
  <c r="B507" i="23"/>
  <c r="B506" i="23"/>
  <c r="B505" i="23"/>
  <c r="B504" i="23"/>
  <c r="B503" i="23"/>
  <c r="B502" i="23"/>
  <c r="B501" i="23"/>
  <c r="B500" i="23"/>
  <c r="B499" i="23"/>
  <c r="B498" i="23"/>
  <c r="B497" i="23"/>
  <c r="B496" i="23"/>
  <c r="B495" i="23"/>
  <c r="B494" i="23"/>
  <c r="B493" i="23"/>
  <c r="B492" i="23"/>
  <c r="B491" i="23"/>
  <c r="B490" i="23"/>
  <c r="B489" i="23"/>
  <c r="B488" i="23"/>
  <c r="B487" i="23"/>
  <c r="B486" i="23"/>
  <c r="B485" i="23"/>
  <c r="B484" i="23"/>
  <c r="B483" i="23"/>
  <c r="B482" i="23"/>
  <c r="B481" i="23"/>
  <c r="B480" i="23"/>
  <c r="B479" i="23"/>
  <c r="B478" i="23"/>
  <c r="B477" i="23"/>
  <c r="B476" i="23"/>
  <c r="B475" i="23"/>
  <c r="B474" i="23"/>
  <c r="B473" i="23"/>
  <c r="B472" i="23"/>
  <c r="B471" i="23"/>
  <c r="B470" i="23"/>
  <c r="B469" i="23"/>
  <c r="B468" i="23"/>
  <c r="B467" i="23"/>
  <c r="B466" i="23"/>
  <c r="B465" i="23"/>
  <c r="B464" i="23"/>
  <c r="B463" i="23"/>
  <c r="B462" i="23"/>
  <c r="B461" i="23"/>
  <c r="B460" i="23"/>
  <c r="B459" i="23"/>
  <c r="B458" i="23"/>
  <c r="B457" i="23"/>
  <c r="B456" i="23"/>
  <c r="B455" i="23"/>
  <c r="B454" i="23"/>
  <c r="B453" i="23"/>
  <c r="B452" i="23"/>
  <c r="B451" i="23"/>
  <c r="B450" i="23"/>
  <c r="B449" i="23"/>
  <c r="B448" i="23"/>
  <c r="B447" i="23"/>
  <c r="B446" i="23"/>
  <c r="B445" i="23"/>
  <c r="B444" i="23"/>
  <c r="B443" i="23"/>
  <c r="B442" i="23"/>
  <c r="B441" i="23"/>
  <c r="B440" i="23"/>
  <c r="B439" i="23"/>
  <c r="B438" i="23"/>
  <c r="B437" i="23"/>
  <c r="B436" i="23"/>
  <c r="B435" i="23"/>
  <c r="B434" i="23"/>
  <c r="B433" i="23"/>
  <c r="B432" i="23"/>
  <c r="B431" i="23"/>
  <c r="B430" i="23"/>
  <c r="B429" i="23"/>
  <c r="B428" i="23"/>
  <c r="B427" i="23"/>
  <c r="B426" i="23"/>
  <c r="B425" i="23"/>
  <c r="B424" i="23"/>
  <c r="B423" i="23"/>
  <c r="B422" i="23"/>
  <c r="B421" i="23"/>
  <c r="B420" i="23"/>
  <c r="B419" i="23"/>
  <c r="B418" i="23"/>
  <c r="B417" i="23"/>
  <c r="B416" i="23"/>
  <c r="B415" i="23"/>
  <c r="B414" i="23"/>
  <c r="B413" i="23"/>
  <c r="B412" i="23"/>
  <c r="B411" i="23"/>
  <c r="B410" i="23"/>
  <c r="B409" i="23"/>
  <c r="B408" i="23"/>
  <c r="B407" i="23"/>
  <c r="B406" i="23"/>
  <c r="B405" i="23"/>
  <c r="B404" i="23"/>
  <c r="B403" i="23"/>
  <c r="B402" i="23"/>
  <c r="B401" i="23"/>
  <c r="B400" i="23"/>
  <c r="B399" i="23"/>
  <c r="B398" i="23"/>
  <c r="B397" i="23"/>
  <c r="B396" i="23"/>
  <c r="B395" i="23"/>
  <c r="B394" i="23"/>
  <c r="B393" i="23"/>
  <c r="B392" i="23"/>
  <c r="B391" i="23"/>
  <c r="B390" i="23"/>
  <c r="B389" i="23"/>
  <c r="B388" i="23"/>
  <c r="B387" i="23"/>
  <c r="B386" i="23"/>
  <c r="B385" i="23"/>
  <c r="B384" i="23"/>
  <c r="B383" i="23"/>
  <c r="B382" i="23"/>
  <c r="B381" i="23"/>
  <c r="B380" i="23"/>
  <c r="B379" i="23"/>
  <c r="B378" i="23"/>
  <c r="B377" i="23"/>
  <c r="B376" i="23"/>
  <c r="B375" i="23"/>
  <c r="B374" i="23"/>
  <c r="B373" i="23"/>
  <c r="B372" i="23"/>
  <c r="B371" i="23"/>
  <c r="B370" i="23"/>
  <c r="B369" i="23"/>
  <c r="B368" i="23"/>
  <c r="B367" i="23"/>
  <c r="B366" i="23"/>
  <c r="B365" i="23"/>
  <c r="B364" i="23"/>
  <c r="B363" i="23"/>
  <c r="B362" i="23"/>
  <c r="B361" i="23"/>
  <c r="B360" i="23"/>
  <c r="B359" i="23"/>
  <c r="B358" i="23"/>
  <c r="B357" i="23"/>
  <c r="B356" i="23"/>
  <c r="B355" i="23"/>
  <c r="B354" i="23"/>
  <c r="B353" i="23"/>
  <c r="B352" i="23"/>
  <c r="B351" i="23"/>
  <c r="B350" i="23"/>
  <c r="B349" i="23"/>
  <c r="B348" i="23"/>
  <c r="B347" i="23"/>
  <c r="B346" i="23"/>
  <c r="B345" i="23"/>
  <c r="B344" i="23"/>
  <c r="B343" i="23"/>
  <c r="B342" i="23"/>
  <c r="B341" i="23"/>
  <c r="B340" i="23"/>
  <c r="B339" i="23"/>
  <c r="B338" i="23"/>
  <c r="B337" i="23"/>
  <c r="B336" i="23"/>
  <c r="B335" i="23"/>
  <c r="B334" i="23"/>
  <c r="B333" i="23"/>
  <c r="B332" i="23"/>
  <c r="B331" i="23"/>
  <c r="B330" i="23"/>
  <c r="B329" i="23"/>
  <c r="B328" i="23"/>
  <c r="B327" i="23"/>
  <c r="B326" i="23"/>
  <c r="B325" i="23"/>
  <c r="B324" i="23"/>
  <c r="B323" i="23"/>
  <c r="B322" i="23"/>
  <c r="B321" i="23"/>
  <c r="B320" i="23"/>
  <c r="B319" i="23"/>
  <c r="B318" i="23"/>
  <c r="B317" i="23"/>
  <c r="B316" i="23"/>
  <c r="B315" i="23"/>
  <c r="B314" i="23"/>
  <c r="B313" i="23"/>
  <c r="B312" i="23"/>
  <c r="B311" i="23"/>
  <c r="B310" i="23"/>
  <c r="B309" i="23"/>
  <c r="B308" i="23"/>
  <c r="B307" i="23"/>
  <c r="B306" i="23"/>
  <c r="B305" i="23"/>
  <c r="B304" i="23"/>
  <c r="B303" i="23"/>
  <c r="B302" i="23"/>
  <c r="B301" i="23"/>
  <c r="B300" i="23"/>
  <c r="B299" i="23"/>
  <c r="B298" i="23"/>
  <c r="B297" i="23"/>
  <c r="B296" i="23"/>
  <c r="B295" i="23"/>
  <c r="B294" i="23"/>
  <c r="B293" i="23"/>
  <c r="B292" i="23"/>
  <c r="B291" i="23"/>
  <c r="B290" i="23"/>
  <c r="B289" i="23"/>
  <c r="B288" i="23"/>
  <c r="B287" i="23"/>
  <c r="B286" i="23"/>
  <c r="B285" i="23"/>
  <c r="B284" i="23"/>
  <c r="B283" i="23"/>
  <c r="B282" i="23"/>
  <c r="B281" i="23"/>
  <c r="B280" i="23"/>
  <c r="B279" i="23"/>
  <c r="B278" i="23"/>
  <c r="B277" i="23"/>
  <c r="B276" i="23"/>
  <c r="B275" i="23"/>
  <c r="B274" i="23"/>
  <c r="B273" i="23"/>
  <c r="B272" i="23"/>
  <c r="B271" i="23"/>
  <c r="B270" i="23"/>
  <c r="B269" i="23"/>
  <c r="B268" i="23"/>
  <c r="B267" i="23"/>
  <c r="B266" i="23"/>
  <c r="B265" i="23"/>
  <c r="B264" i="23"/>
  <c r="B263" i="23"/>
  <c r="B262" i="23"/>
  <c r="B261" i="23"/>
  <c r="B260" i="23"/>
  <c r="B259" i="23"/>
  <c r="B258" i="23"/>
  <c r="B257" i="23"/>
  <c r="B256" i="23"/>
  <c r="B255" i="23"/>
  <c r="B254" i="23"/>
  <c r="B253" i="23"/>
  <c r="B252" i="23"/>
  <c r="B251" i="23"/>
  <c r="B250" i="23"/>
  <c r="B249" i="23"/>
  <c r="B248" i="23"/>
  <c r="B247" i="23"/>
  <c r="B246" i="23"/>
  <c r="B245" i="23"/>
  <c r="B244" i="23"/>
  <c r="B243" i="23"/>
  <c r="B242" i="23"/>
  <c r="B241" i="23"/>
  <c r="B240" i="23"/>
  <c r="B239" i="23"/>
  <c r="B238" i="23"/>
  <c r="B237" i="23"/>
  <c r="B236" i="23"/>
  <c r="B235" i="23"/>
  <c r="B234" i="23"/>
  <c r="B233" i="23"/>
  <c r="B232" i="23"/>
  <c r="B231" i="23"/>
  <c r="B230" i="23"/>
  <c r="B229" i="23"/>
  <c r="B228" i="23"/>
  <c r="B227" i="23"/>
  <c r="B226" i="23"/>
  <c r="B225" i="23"/>
  <c r="B224" i="23"/>
  <c r="B223" i="23"/>
  <c r="B222" i="23"/>
  <c r="B221" i="23"/>
  <c r="B220" i="23"/>
  <c r="B219" i="23"/>
  <c r="B218" i="23"/>
  <c r="B217" i="23"/>
  <c r="B216" i="23"/>
  <c r="B215" i="23"/>
  <c r="B214" i="23"/>
  <c r="B213" i="23"/>
  <c r="B212" i="23"/>
  <c r="B211" i="23"/>
  <c r="B210" i="23"/>
  <c r="B209" i="23"/>
  <c r="B208" i="23"/>
  <c r="B207" i="23"/>
  <c r="B206" i="23"/>
  <c r="B205" i="23"/>
  <c r="B204" i="23"/>
  <c r="B203" i="23"/>
  <c r="B202" i="23"/>
  <c r="B201" i="23"/>
  <c r="B200" i="23"/>
  <c r="B199" i="23"/>
  <c r="B198" i="23"/>
  <c r="B197" i="23"/>
  <c r="B196" i="23"/>
  <c r="B195" i="23"/>
  <c r="B194" i="23"/>
  <c r="B193" i="23"/>
  <c r="B192" i="23"/>
  <c r="B191" i="23"/>
  <c r="B190" i="23"/>
  <c r="B189" i="23"/>
  <c r="B188" i="23"/>
  <c r="B187" i="23"/>
  <c r="B186" i="23"/>
  <c r="B185" i="23"/>
  <c r="B184" i="23"/>
  <c r="B183" i="23"/>
  <c r="B182" i="23"/>
  <c r="B181" i="23"/>
  <c r="B180" i="23"/>
  <c r="B179" i="23"/>
  <c r="B178" i="23"/>
  <c r="B177" i="23"/>
  <c r="B176" i="23"/>
  <c r="B175" i="23"/>
  <c r="B174" i="23"/>
  <c r="B173" i="23"/>
  <c r="B172" i="23"/>
  <c r="B171" i="23"/>
  <c r="B170" i="23"/>
  <c r="B169" i="23"/>
  <c r="B168" i="23"/>
  <c r="B167" i="23"/>
  <c r="B166" i="23"/>
  <c r="B165" i="23"/>
  <c r="B164" i="23"/>
  <c r="B163" i="23"/>
  <c r="B162" i="23"/>
  <c r="B161" i="23"/>
  <c r="B160" i="23"/>
  <c r="B159" i="23"/>
  <c r="B158" i="23"/>
  <c r="B157" i="23"/>
  <c r="B156" i="23"/>
  <c r="B155" i="23"/>
  <c r="B154" i="23"/>
  <c r="B153" i="23"/>
  <c r="B152" i="23"/>
  <c r="B151" i="23"/>
  <c r="B150" i="23"/>
  <c r="B149" i="23"/>
  <c r="B148" i="23"/>
  <c r="B147" i="23"/>
  <c r="B146" i="23"/>
  <c r="B145" i="23"/>
  <c r="B144" i="23"/>
  <c r="B143" i="23"/>
  <c r="B142" i="23"/>
  <c r="B141" i="23"/>
  <c r="B140" i="23"/>
  <c r="B139" i="23"/>
  <c r="B138" i="23"/>
  <c r="B137" i="23"/>
  <c r="B136" i="23"/>
  <c r="B135" i="23"/>
  <c r="B134" i="23"/>
  <c r="B133" i="23"/>
  <c r="B132" i="23"/>
  <c r="B131" i="23"/>
  <c r="B130" i="23"/>
  <c r="B129" i="23"/>
  <c r="B128" i="23"/>
  <c r="B127" i="23"/>
  <c r="B126" i="23"/>
  <c r="B125" i="23"/>
  <c r="B124" i="23"/>
  <c r="B123" i="23"/>
  <c r="B122" i="23"/>
  <c r="B121" i="23"/>
  <c r="B120" i="23"/>
  <c r="B119" i="23"/>
  <c r="B118" i="23"/>
  <c r="B117" i="23"/>
  <c r="B116" i="23"/>
  <c r="B115" i="23"/>
  <c r="B114" i="23"/>
  <c r="B113" i="23"/>
  <c r="B112" i="23"/>
  <c r="B111" i="23"/>
  <c r="B110" i="23"/>
  <c r="B109" i="23"/>
  <c r="B108" i="23"/>
  <c r="B107" i="23"/>
  <c r="B106" i="23"/>
  <c r="B105" i="23"/>
  <c r="B104" i="23"/>
  <c r="B103" i="23"/>
  <c r="B102" i="23"/>
  <c r="N23" i="5"/>
  <c r="M23" i="5"/>
  <c r="E23" i="5"/>
  <c r="D23" i="5"/>
  <c r="B23" i="5"/>
  <c r="G22" i="5"/>
  <c r="I22" i="5" s="1"/>
  <c r="G21" i="5"/>
  <c r="I21" i="5" s="1"/>
  <c r="G20" i="5"/>
  <c r="I20" i="5" s="1"/>
  <c r="J19" i="5"/>
  <c r="L19" i="5" s="1"/>
  <c r="G19" i="5"/>
  <c r="I19" i="5" s="1"/>
  <c r="J18" i="5"/>
  <c r="K18" i="5" s="1"/>
  <c r="G18" i="5"/>
  <c r="I18" i="5" s="1"/>
  <c r="Q17" i="5"/>
  <c r="L17" i="5"/>
  <c r="K17" i="5"/>
  <c r="J17" i="5"/>
  <c r="G17" i="5"/>
  <c r="I17" i="5" s="1"/>
  <c r="L16" i="5"/>
  <c r="K16" i="5"/>
  <c r="J16" i="5"/>
  <c r="G16" i="5"/>
  <c r="I16" i="5" s="1"/>
  <c r="L15" i="5"/>
  <c r="K15" i="5"/>
  <c r="J15" i="5"/>
  <c r="G15" i="5"/>
  <c r="I15" i="5" s="1"/>
  <c r="L14" i="5"/>
  <c r="K14" i="5"/>
  <c r="J14" i="5"/>
  <c r="G14" i="5"/>
  <c r="P900" i="2" l="1"/>
  <c r="P899" i="2"/>
  <c r="AP50" i="23"/>
  <c r="F95" i="23"/>
  <c r="D99" i="23"/>
  <c r="AK132" i="23"/>
  <c r="AK131" i="23"/>
  <c r="AP47" i="23"/>
  <c r="D78" i="23"/>
  <c r="AK130" i="23"/>
  <c r="AK129" i="23"/>
  <c r="D100" i="23"/>
  <c r="AK128" i="23"/>
  <c r="AL92" i="23"/>
  <c r="AP51" i="23"/>
  <c r="D80" i="23"/>
  <c r="D98" i="23"/>
  <c r="AP48" i="23"/>
  <c r="D83" i="23"/>
  <c r="AK127" i="23"/>
  <c r="AK126" i="23"/>
  <c r="AL114" i="23"/>
  <c r="AL99" i="23"/>
  <c r="AL100" i="23"/>
  <c r="F98" i="23"/>
  <c r="AP82" i="23"/>
  <c r="AO80" i="23"/>
  <c r="F79" i="23"/>
  <c r="F77" i="23"/>
  <c r="AL97" i="23"/>
  <c r="AL93" i="23"/>
  <c r="AL98" i="23"/>
  <c r="AL101" i="23"/>
  <c r="AL94" i="23"/>
  <c r="AL102" i="23"/>
  <c r="AL95" i="23"/>
  <c r="AL96" i="23"/>
  <c r="AL91" i="23"/>
  <c r="F96" i="23"/>
  <c r="AP81" i="23"/>
  <c r="AP84" i="23"/>
  <c r="F99" i="23"/>
  <c r="F80" i="23"/>
  <c r="F83" i="23"/>
  <c r="F29" i="23"/>
  <c r="F100" i="23"/>
  <c r="F82" i="23"/>
  <c r="P820" i="2"/>
  <c r="P821" i="2"/>
  <c r="P823" i="2"/>
  <c r="P828" i="2"/>
  <c r="P825" i="2"/>
  <c r="P831" i="2"/>
  <c r="P832" i="2"/>
  <c r="P829" i="2"/>
  <c r="P826" i="2"/>
  <c r="P830" i="2"/>
  <c r="P822" i="2"/>
  <c r="P824" i="2"/>
  <c r="P827" i="2"/>
  <c r="P494" i="2"/>
  <c r="P480" i="2"/>
  <c r="P478" i="2"/>
  <c r="P485" i="2"/>
  <c r="P737" i="2"/>
  <c r="P742" i="2"/>
  <c r="P487" i="2"/>
  <c r="P739" i="2"/>
  <c r="P484" i="2"/>
  <c r="P740" i="2"/>
  <c r="P489" i="2"/>
  <c r="P741" i="2"/>
  <c r="P482" i="2"/>
  <c r="P491" i="2"/>
  <c r="P743" i="2"/>
  <c r="P488" i="2"/>
  <c r="P744" i="2"/>
  <c r="P493" i="2"/>
  <c r="P486" i="2"/>
  <c r="P479" i="2"/>
  <c r="P495" i="2"/>
  <c r="P738" i="2"/>
  <c r="P492" i="2"/>
  <c r="P490" i="2"/>
  <c r="P481" i="2"/>
  <c r="P617" i="2"/>
  <c r="P618" i="2"/>
  <c r="P483" i="2"/>
  <c r="P619" i="2"/>
  <c r="P496" i="2"/>
  <c r="K124" i="2"/>
  <c r="K136" i="2"/>
  <c r="K101" i="2"/>
  <c r="K285" i="2"/>
  <c r="K166" i="2"/>
  <c r="K190" i="2"/>
  <c r="K23" i="2"/>
  <c r="K115" i="2"/>
  <c r="K283" i="2"/>
  <c r="K327" i="2"/>
  <c r="K375" i="2"/>
  <c r="K467" i="2"/>
  <c r="K595" i="2"/>
  <c r="K544" i="2"/>
  <c r="K361" i="2"/>
  <c r="K437" i="2"/>
  <c r="K661" i="2"/>
  <c r="K685" i="2"/>
  <c r="K697" i="2"/>
  <c r="K514" i="2"/>
  <c r="K810" i="2"/>
  <c r="K830" i="2"/>
  <c r="K903" i="2"/>
  <c r="K780" i="2"/>
  <c r="K845" i="2"/>
  <c r="K4" i="2"/>
  <c r="K44" i="2"/>
  <c r="K252" i="2"/>
  <c r="K336" i="2"/>
  <c r="K125" i="2"/>
  <c r="K177" i="2"/>
  <c r="K197" i="2"/>
  <c r="K309" i="2"/>
  <c r="K325" i="2"/>
  <c r="K142" i="2"/>
  <c r="K170" i="2"/>
  <c r="K182" i="2"/>
  <c r="K431" i="2"/>
  <c r="K591" i="2"/>
  <c r="K412" i="2"/>
  <c r="K588" i="2"/>
  <c r="K672" i="2"/>
  <c r="K712" i="2"/>
  <c r="K716" i="2"/>
  <c r="K389" i="2"/>
  <c r="K425" i="2"/>
  <c r="K457" i="2"/>
  <c r="K537" i="2"/>
  <c r="K601" i="2"/>
  <c r="K705" i="2"/>
  <c r="K725" i="2"/>
  <c r="K534" i="2"/>
  <c r="K862" i="2"/>
  <c r="K904" i="2"/>
  <c r="K829" i="2"/>
  <c r="K112" i="2"/>
  <c r="K176" i="2"/>
  <c r="K192" i="2"/>
  <c r="K204" i="2"/>
  <c r="K220" i="2"/>
  <c r="K292" i="2"/>
  <c r="K296" i="2"/>
  <c r="K205" i="2"/>
  <c r="K250" i="2"/>
  <c r="K302" i="2"/>
  <c r="K63" i="2"/>
  <c r="K207" i="2"/>
  <c r="K279" i="2"/>
  <c r="K303" i="2"/>
  <c r="K491" i="2"/>
  <c r="K639" i="2"/>
  <c r="K663" i="2"/>
  <c r="K691" i="2"/>
  <c r="K364" i="2"/>
  <c r="K376" i="2"/>
  <c r="K460" i="2"/>
  <c r="K524" i="2"/>
  <c r="K684" i="2"/>
  <c r="K605" i="2"/>
  <c r="K713" i="2"/>
  <c r="K582" i="2"/>
  <c r="K766" i="2"/>
  <c r="K860" i="2"/>
  <c r="K837" i="2"/>
  <c r="K885" i="2"/>
  <c r="K120" i="2"/>
  <c r="K128" i="2"/>
  <c r="K224" i="2"/>
  <c r="K13" i="2"/>
  <c r="K313" i="2"/>
  <c r="K321" i="2"/>
  <c r="K74" i="2"/>
  <c r="K278" i="2"/>
  <c r="K342" i="2"/>
  <c r="K103" i="2"/>
  <c r="K111" i="2"/>
  <c r="K119" i="2"/>
  <c r="K396" i="2"/>
  <c r="K592" i="2"/>
  <c r="K429" i="2"/>
  <c r="K489" i="2"/>
  <c r="K709" i="2"/>
  <c r="K721" i="2"/>
  <c r="K658" i="2"/>
  <c r="K678" i="2"/>
  <c r="K726" i="2"/>
  <c r="K848" i="2"/>
  <c r="K733" i="2"/>
  <c r="K905" i="2"/>
  <c r="K56" i="2"/>
  <c r="K232" i="2"/>
  <c r="K41" i="2"/>
  <c r="K109" i="2"/>
  <c r="K130" i="2"/>
  <c r="K131" i="2"/>
  <c r="K155" i="2"/>
  <c r="K171" i="2"/>
  <c r="K175" i="2"/>
  <c r="K359" i="2"/>
  <c r="K535" i="2"/>
  <c r="K599" i="2"/>
  <c r="K360" i="2"/>
  <c r="K392" i="2"/>
  <c r="K548" i="2"/>
  <c r="K708" i="2"/>
  <c r="K405" i="2"/>
  <c r="K581" i="2"/>
  <c r="K506" i="2"/>
  <c r="K562" i="2"/>
  <c r="K690" i="2"/>
  <c r="K853" i="2"/>
  <c r="K20" i="2"/>
  <c r="K48" i="2"/>
  <c r="K108" i="2"/>
  <c r="K152" i="2"/>
  <c r="K137" i="2"/>
  <c r="K141" i="2"/>
  <c r="K161" i="2"/>
  <c r="K201" i="2"/>
  <c r="K306" i="2"/>
  <c r="K443" i="2"/>
  <c r="K352" i="2"/>
  <c r="K432" i="2"/>
  <c r="K564" i="2"/>
  <c r="K644" i="2"/>
  <c r="K385" i="2"/>
  <c r="K434" i="2"/>
  <c r="K554" i="2"/>
  <c r="K602" i="2"/>
  <c r="K806" i="2"/>
  <c r="K795" i="2"/>
  <c r="K863" i="2"/>
  <c r="K740" i="2"/>
  <c r="K816" i="2"/>
  <c r="K777" i="2"/>
  <c r="K308" i="2"/>
  <c r="K81" i="2"/>
  <c r="K181" i="2"/>
  <c r="K189" i="2"/>
  <c r="K22" i="2"/>
  <c r="K150" i="2"/>
  <c r="K334" i="2"/>
  <c r="K87" i="2"/>
  <c r="K227" i="2"/>
  <c r="K239" i="2"/>
  <c r="K367" i="2"/>
  <c r="K687" i="2"/>
  <c r="K353" i="2"/>
  <c r="K565" i="2"/>
  <c r="K378" i="2"/>
  <c r="K454" i="2"/>
  <c r="K682" i="2"/>
  <c r="K815" i="2"/>
  <c r="K857" i="2"/>
  <c r="K16" i="2"/>
  <c r="K60" i="2"/>
  <c r="K225" i="2"/>
  <c r="K78" i="2"/>
  <c r="K110" i="2"/>
  <c r="K122" i="2"/>
  <c r="K47" i="2"/>
  <c r="K183" i="2"/>
  <c r="K319" i="2"/>
  <c r="K371" i="2"/>
  <c r="K391" i="2"/>
  <c r="K471" i="2"/>
  <c r="K551" i="2"/>
  <c r="K643" i="2"/>
  <c r="K516" i="2"/>
  <c r="K680" i="2"/>
  <c r="K357" i="2"/>
  <c r="K409" i="2"/>
  <c r="K693" i="2"/>
  <c r="K438" i="2"/>
  <c r="K728" i="2"/>
  <c r="K775" i="2"/>
  <c r="K820" i="2"/>
  <c r="K844" i="2"/>
  <c r="K884" i="2"/>
  <c r="K825" i="2"/>
  <c r="K881" i="2"/>
  <c r="K12" i="2"/>
  <c r="K92" i="2"/>
  <c r="K180" i="2"/>
  <c r="K272" i="2"/>
  <c r="K129" i="2"/>
  <c r="K70" i="2"/>
  <c r="K126" i="2"/>
  <c r="K39" i="2"/>
  <c r="K191" i="2"/>
  <c r="K379" i="2"/>
  <c r="K483" i="2"/>
  <c r="K671" i="2"/>
  <c r="K436" i="2"/>
  <c r="K377" i="2"/>
  <c r="K449" i="2"/>
  <c r="K553" i="2"/>
  <c r="K370" i="2"/>
  <c r="K426" i="2"/>
  <c r="K542" i="2"/>
  <c r="K670" i="2"/>
  <c r="K870" i="2"/>
  <c r="K867" i="2"/>
  <c r="K236" i="2"/>
  <c r="K248" i="2"/>
  <c r="K304" i="2"/>
  <c r="K89" i="2"/>
  <c r="K117" i="2"/>
  <c r="K42" i="2"/>
  <c r="K162" i="2"/>
  <c r="K206" i="2"/>
  <c r="K314" i="2"/>
  <c r="K187" i="2"/>
  <c r="K251" i="2"/>
  <c r="K335" i="2"/>
  <c r="K419" i="2"/>
  <c r="K655" i="2"/>
  <c r="K711" i="2"/>
  <c r="K536" i="2"/>
  <c r="K365" i="2"/>
  <c r="K469" i="2"/>
  <c r="K450" i="2"/>
  <c r="K530" i="2"/>
  <c r="K538" i="2"/>
  <c r="K574" i="2"/>
  <c r="K822" i="2"/>
  <c r="K823" i="2"/>
  <c r="K849" i="2"/>
  <c r="K36" i="2"/>
  <c r="K84" i="2"/>
  <c r="K240" i="2"/>
  <c r="K340" i="2"/>
  <c r="K57" i="2"/>
  <c r="K61" i="2"/>
  <c r="K241" i="2"/>
  <c r="K269" i="2"/>
  <c r="K79" i="2"/>
  <c r="K347" i="2"/>
  <c r="K415" i="2"/>
  <c r="K447" i="2"/>
  <c r="K596" i="2"/>
  <c r="K636" i="2"/>
  <c r="K704" i="2"/>
  <c r="K433" i="2"/>
  <c r="K414" i="2"/>
  <c r="K566" i="2"/>
  <c r="K843" i="2"/>
  <c r="K788" i="2"/>
  <c r="K812" i="2"/>
  <c r="K840" i="2"/>
  <c r="K797" i="2"/>
  <c r="K140" i="2"/>
  <c r="K29" i="2"/>
  <c r="K165" i="2"/>
  <c r="K193" i="2"/>
  <c r="K301" i="2"/>
  <c r="K341" i="2"/>
  <c r="K349" i="2"/>
  <c r="K94" i="2"/>
  <c r="K198" i="2"/>
  <c r="K330" i="2"/>
  <c r="K147" i="2"/>
  <c r="K223" i="2"/>
  <c r="K451" i="2"/>
  <c r="K503" i="2"/>
  <c r="K531" i="2"/>
  <c r="K675" i="2"/>
  <c r="K724" i="2"/>
  <c r="K397" i="2"/>
  <c r="K621" i="2"/>
  <c r="K637" i="2"/>
  <c r="K718" i="2"/>
  <c r="K898" i="2"/>
  <c r="K819" i="2"/>
  <c r="K872" i="2"/>
  <c r="K208" i="2"/>
  <c r="K212" i="2"/>
  <c r="K21" i="2"/>
  <c r="K33" i="2"/>
  <c r="K65" i="2"/>
  <c r="K242" i="2"/>
  <c r="K282" i="2"/>
  <c r="K75" i="2"/>
  <c r="K211" i="2"/>
  <c r="K423" i="2"/>
  <c r="K463" i="2"/>
  <c r="K475" i="2"/>
  <c r="K597" i="2"/>
  <c r="K390" i="2"/>
  <c r="K410" i="2"/>
  <c r="K586" i="2"/>
  <c r="K662" i="2"/>
  <c r="K762" i="2"/>
  <c r="K794" i="2"/>
  <c r="K858" i="2"/>
  <c r="K828" i="2"/>
  <c r="K861" i="2"/>
  <c r="K2" i="2"/>
  <c r="K72" i="2"/>
  <c r="K148" i="2"/>
  <c r="K320" i="2"/>
  <c r="K113" i="2"/>
  <c r="K345" i="2"/>
  <c r="K38" i="2"/>
  <c r="K186" i="2"/>
  <c r="K226" i="2"/>
  <c r="K35" i="2"/>
  <c r="K343" i="2"/>
  <c r="K355" i="2"/>
  <c r="K567" i="2"/>
  <c r="K583" i="2"/>
  <c r="K683" i="2"/>
  <c r="K719" i="2"/>
  <c r="K727" i="2"/>
  <c r="K508" i="2"/>
  <c r="K560" i="2"/>
  <c r="K576" i="2"/>
  <c r="K373" i="2"/>
  <c r="K445" i="2"/>
  <c r="K477" i="2"/>
  <c r="K549" i="2"/>
  <c r="K654" i="2"/>
  <c r="K710" i="2"/>
  <c r="K767" i="2"/>
  <c r="K855" i="2"/>
  <c r="K873" i="2"/>
  <c r="K68" i="2"/>
  <c r="K100" i="2"/>
  <c r="K172" i="2"/>
  <c r="K202" i="2"/>
  <c r="K218" i="2"/>
  <c r="K338" i="2"/>
  <c r="K167" i="2"/>
  <c r="K195" i="2"/>
  <c r="K203" i="2"/>
  <c r="K299" i="2"/>
  <c r="K547" i="2"/>
  <c r="K679" i="2"/>
  <c r="K699" i="2"/>
  <c r="K715" i="2"/>
  <c r="K444" i="2"/>
  <c r="K568" i="2"/>
  <c r="K465" i="2"/>
  <c r="K418" i="2"/>
  <c r="K462" i="2"/>
  <c r="K466" i="2"/>
  <c r="K478" i="2"/>
  <c r="K526" i="2"/>
  <c r="K578" i="2"/>
  <c r="K818" i="2"/>
  <c r="K842" i="2"/>
  <c r="K850" i="2"/>
  <c r="K866" i="2"/>
  <c r="K827" i="2"/>
  <c r="K908" i="2"/>
  <c r="K24" i="2"/>
  <c r="K40" i="2"/>
  <c r="K88" i="2"/>
  <c r="K196" i="2"/>
  <c r="K256" i="2"/>
  <c r="K53" i="2"/>
  <c r="K229" i="2"/>
  <c r="K233" i="2"/>
  <c r="K106" i="2"/>
  <c r="K11" i="2"/>
  <c r="K456" i="2"/>
  <c r="K572" i="2"/>
  <c r="K453" i="2"/>
  <c r="K517" i="2"/>
  <c r="K529" i="2"/>
  <c r="K541" i="2"/>
  <c r="K394" i="2"/>
  <c r="K398" i="2"/>
  <c r="K486" i="2"/>
  <c r="K626" i="2"/>
  <c r="K702" i="2"/>
  <c r="K874" i="2"/>
  <c r="K52" i="2"/>
  <c r="K105" i="2"/>
  <c r="K297" i="2"/>
  <c r="K333" i="2"/>
  <c r="K102" i="2"/>
  <c r="K19" i="2"/>
  <c r="K51" i="2"/>
  <c r="K67" i="2"/>
  <c r="K287" i="2"/>
  <c r="K291" i="2"/>
  <c r="K387" i="2"/>
  <c r="K555" i="2"/>
  <c r="K559" i="2"/>
  <c r="K372" i="2"/>
  <c r="K660" i="2"/>
  <c r="K557" i="2"/>
  <c r="K589" i="2"/>
  <c r="K593" i="2"/>
  <c r="K717" i="2"/>
  <c r="K518" i="2"/>
  <c r="K674" i="2"/>
  <c r="K686" i="2"/>
  <c r="K878" i="2"/>
  <c r="K763" i="2"/>
  <c r="K803" i="2"/>
  <c r="K899" i="2"/>
  <c r="K800" i="2"/>
  <c r="K912" i="2"/>
  <c r="K188" i="2"/>
  <c r="K228" i="2"/>
  <c r="K5" i="2"/>
  <c r="K50" i="2"/>
  <c r="K294" i="2"/>
  <c r="K43" i="2"/>
  <c r="K99" i="2"/>
  <c r="K107" i="2"/>
  <c r="K139" i="2"/>
  <c r="K219" i="2"/>
  <c r="K255" i="2"/>
  <c r="K571" i="2"/>
  <c r="K575" i="2"/>
  <c r="K384" i="2"/>
  <c r="K484" i="2"/>
  <c r="K540" i="2"/>
  <c r="K381" i="2"/>
  <c r="K413" i="2"/>
  <c r="K545" i="2"/>
  <c r="K625" i="2"/>
  <c r="K665" i="2"/>
  <c r="K677" i="2"/>
  <c r="K374" i="2"/>
  <c r="K786" i="2"/>
  <c r="K791" i="2"/>
  <c r="K839" i="2"/>
  <c r="K883" i="2"/>
  <c r="K732" i="2"/>
  <c r="K808" i="2"/>
  <c r="K832" i="2"/>
  <c r="K737" i="2"/>
  <c r="K813" i="2"/>
  <c r="K104" i="2"/>
  <c r="K164" i="2"/>
  <c r="K73" i="2"/>
  <c r="K77" i="2"/>
  <c r="K257" i="2"/>
  <c r="K277" i="2"/>
  <c r="K274" i="2"/>
  <c r="K31" i="2"/>
  <c r="K127" i="2"/>
  <c r="K179" i="2"/>
  <c r="K515" i="2"/>
  <c r="K368" i="2"/>
  <c r="K600" i="2"/>
  <c r="K393" i="2"/>
  <c r="K421" i="2"/>
  <c r="K505" i="2"/>
  <c r="K577" i="2"/>
  <c r="K354" i="2"/>
  <c r="K430" i="2"/>
  <c r="K814" i="2"/>
  <c r="K856" i="2"/>
  <c r="K913" i="2"/>
  <c r="K268" i="2"/>
  <c r="K288" i="2"/>
  <c r="K85" i="2"/>
  <c r="K209" i="2"/>
  <c r="K134" i="2"/>
  <c r="K214" i="2"/>
  <c r="K246" i="2"/>
  <c r="K258" i="2"/>
  <c r="K262" i="2"/>
  <c r="K159" i="2"/>
  <c r="K331" i="2"/>
  <c r="K407" i="2"/>
  <c r="K651" i="2"/>
  <c r="K703" i="2"/>
  <c r="K512" i="2"/>
  <c r="K532" i="2"/>
  <c r="K401" i="2"/>
  <c r="K473" i="2"/>
  <c r="K533" i="2"/>
  <c r="K366" i="2"/>
  <c r="K522" i="2"/>
  <c r="K730" i="2"/>
  <c r="K734" i="2"/>
  <c r="K831" i="2"/>
  <c r="K836" i="2"/>
  <c r="K888" i="2"/>
  <c r="K793" i="2"/>
  <c r="K144" i="2"/>
  <c r="K168" i="2"/>
  <c r="K300" i="2"/>
  <c r="K46" i="2"/>
  <c r="K118" i="2"/>
  <c r="K230" i="2"/>
  <c r="K15" i="2"/>
  <c r="K143" i="2"/>
  <c r="K199" i="2"/>
  <c r="K259" i="2"/>
  <c r="K311" i="2"/>
  <c r="K350" i="2"/>
  <c r="K383" i="2"/>
  <c r="K411" i="2"/>
  <c r="K400" i="2"/>
  <c r="K520" i="2"/>
  <c r="K556" i="2"/>
  <c r="K692" i="2"/>
  <c r="K493" i="2"/>
  <c r="K509" i="2"/>
  <c r="K525" i="2"/>
  <c r="K630" i="2"/>
  <c r="K846" i="2"/>
  <c r="K200" i="2"/>
  <c r="K213" i="2"/>
  <c r="K245" i="2"/>
  <c r="K18" i="2"/>
  <c r="K82" i="2"/>
  <c r="K114" i="2"/>
  <c r="K194" i="2"/>
  <c r="K254" i="2"/>
  <c r="K298" i="2"/>
  <c r="K3" i="2"/>
  <c r="K295" i="2"/>
  <c r="K448" i="2"/>
  <c r="K464" i="2"/>
  <c r="K513" i="2"/>
  <c r="K521" i="2"/>
  <c r="K689" i="2"/>
  <c r="K422" i="2"/>
  <c r="K590" i="2"/>
  <c r="K694" i="2"/>
  <c r="K798" i="2"/>
  <c r="K915" i="2"/>
  <c r="K896" i="2"/>
  <c r="K877" i="2"/>
  <c r="K344" i="2"/>
  <c r="K37" i="2"/>
  <c r="K121" i="2"/>
  <c r="K133" i="2"/>
  <c r="K145" i="2"/>
  <c r="K169" i="2"/>
  <c r="K217" i="2"/>
  <c r="K281" i="2"/>
  <c r="K26" i="2"/>
  <c r="K62" i="2"/>
  <c r="K307" i="2"/>
  <c r="K523" i="2"/>
  <c r="K539" i="2"/>
  <c r="K607" i="2"/>
  <c r="K388" i="2"/>
  <c r="K461" i="2"/>
  <c r="K482" i="2"/>
  <c r="K622" i="2"/>
  <c r="K779" i="2"/>
  <c r="K892" i="2"/>
  <c r="K789" i="2"/>
  <c r="K865" i="2"/>
  <c r="K909" i="2"/>
  <c r="K64" i="2"/>
  <c r="K173" i="2"/>
  <c r="K34" i="2"/>
  <c r="K158" i="2"/>
  <c r="K174" i="2"/>
  <c r="K234" i="2"/>
  <c r="K55" i="2"/>
  <c r="K151" i="2"/>
  <c r="K215" i="2"/>
  <c r="K455" i="2"/>
  <c r="K428" i="2"/>
  <c r="K468" i="2"/>
  <c r="K528" i="2"/>
  <c r="K720" i="2"/>
  <c r="K417" i="2"/>
  <c r="K653" i="2"/>
  <c r="K681" i="2"/>
  <c r="K558" i="2"/>
  <c r="K606" i="2"/>
  <c r="K851" i="2"/>
  <c r="K900" i="2"/>
  <c r="K805" i="2"/>
  <c r="K284" i="2"/>
  <c r="K312" i="2"/>
  <c r="K45" i="2"/>
  <c r="K305" i="2"/>
  <c r="K66" i="2"/>
  <c r="K7" i="2"/>
  <c r="K59" i="2"/>
  <c r="K91" i="2"/>
  <c r="K95" i="2"/>
  <c r="K123" i="2"/>
  <c r="K263" i="2"/>
  <c r="K363" i="2"/>
  <c r="K403" i="2"/>
  <c r="K527" i="2"/>
  <c r="K543" i="2"/>
  <c r="K504" i="2"/>
  <c r="K552" i="2"/>
  <c r="K441" i="2"/>
  <c r="K729" i="2"/>
  <c r="K852" i="2"/>
  <c r="K880" i="2"/>
  <c r="K8" i="2"/>
  <c r="K32" i="2"/>
  <c r="K76" i="2"/>
  <c r="K80" i="2"/>
  <c r="K328" i="2"/>
  <c r="K49" i="2"/>
  <c r="K222" i="2"/>
  <c r="K346" i="2"/>
  <c r="K135" i="2"/>
  <c r="K247" i="2"/>
  <c r="K339" i="2"/>
  <c r="K604" i="2"/>
  <c r="K673" i="2"/>
  <c r="K358" i="2"/>
  <c r="K406" i="2"/>
  <c r="K698" i="2"/>
  <c r="K714" i="2"/>
  <c r="K778" i="2"/>
  <c r="K834" i="2"/>
  <c r="K871" i="2"/>
  <c r="K879" i="2"/>
  <c r="K96" i="2"/>
  <c r="K332" i="2"/>
  <c r="K25" i="2"/>
  <c r="K93" i="2"/>
  <c r="K221" i="2"/>
  <c r="K10" i="2"/>
  <c r="K210" i="2"/>
  <c r="K290" i="2"/>
  <c r="K71" i="2"/>
  <c r="K243" i="2"/>
  <c r="K351" i="2"/>
  <c r="K399" i="2"/>
  <c r="K519" i="2"/>
  <c r="K587" i="2"/>
  <c r="K440" i="2"/>
  <c r="K369" i="2"/>
  <c r="K573" i="2"/>
  <c r="K474" i="2"/>
  <c r="K598" i="2"/>
  <c r="K854" i="2"/>
  <c r="K910" i="2"/>
  <c r="K835" i="2"/>
  <c r="K864" i="2"/>
  <c r="K809" i="2"/>
  <c r="K833" i="2"/>
  <c r="K132" i="2"/>
  <c r="K276" i="2"/>
  <c r="K280" i="2"/>
  <c r="K17" i="2"/>
  <c r="K157" i="2"/>
  <c r="K237" i="2"/>
  <c r="K329" i="2"/>
  <c r="K337" i="2"/>
  <c r="K6" i="2"/>
  <c r="K90" i="2"/>
  <c r="K270" i="2"/>
  <c r="K579" i="2"/>
  <c r="K695" i="2"/>
  <c r="K356" i="2"/>
  <c r="K404" i="2"/>
  <c r="K584" i="2"/>
  <c r="K664" i="2"/>
  <c r="K641" i="2"/>
  <c r="K386" i="2"/>
  <c r="K882" i="2"/>
  <c r="K859" i="2"/>
  <c r="K868" i="2"/>
  <c r="K156" i="2"/>
  <c r="K348" i="2"/>
  <c r="K9" i="2"/>
  <c r="K149" i="2"/>
  <c r="K261" i="2"/>
  <c r="K265" i="2"/>
  <c r="K178" i="2"/>
  <c r="K238" i="2"/>
  <c r="K310" i="2"/>
  <c r="K231" i="2"/>
  <c r="K603" i="2"/>
  <c r="K659" i="2"/>
  <c r="K408" i="2"/>
  <c r="K452" i="2"/>
  <c r="K676" i="2"/>
  <c r="K688" i="2"/>
  <c r="K696" i="2"/>
  <c r="K362" i="2"/>
  <c r="K402" i="2"/>
  <c r="K546" i="2"/>
  <c r="K570" i="2"/>
  <c r="K706" i="2"/>
  <c r="K838" i="2"/>
  <c r="K911" i="2"/>
  <c r="K756" i="2"/>
  <c r="K28" i="2"/>
  <c r="K216" i="2"/>
  <c r="K264" i="2"/>
  <c r="K153" i="2"/>
  <c r="K253" i="2"/>
  <c r="K30" i="2"/>
  <c r="K54" i="2"/>
  <c r="K154" i="2"/>
  <c r="K286" i="2"/>
  <c r="K27" i="2"/>
  <c r="K235" i="2"/>
  <c r="K267" i="2"/>
  <c r="K439" i="2"/>
  <c r="K459" i="2"/>
  <c r="K563" i="2"/>
  <c r="K723" i="2"/>
  <c r="K380" i="2"/>
  <c r="K580" i="2"/>
  <c r="K620" i="2"/>
  <c r="K550" i="2"/>
  <c r="K914" i="2"/>
  <c r="K875" i="2"/>
  <c r="K764" i="2"/>
  <c r="K876" i="2"/>
  <c r="K821" i="2"/>
  <c r="K184" i="2"/>
  <c r="K244" i="2"/>
  <c r="K260" i="2"/>
  <c r="K185" i="2"/>
  <c r="K86" i="2"/>
  <c r="K138" i="2"/>
  <c r="K146" i="2"/>
  <c r="K266" i="2"/>
  <c r="K326" i="2"/>
  <c r="K83" i="2"/>
  <c r="K163" i="2"/>
  <c r="K731" i="2"/>
  <c r="K420" i="2"/>
  <c r="K424" i="2"/>
  <c r="K472" i="2"/>
  <c r="K500" i="2"/>
  <c r="K649" i="2"/>
  <c r="K701" i="2"/>
  <c r="K382" i="2"/>
  <c r="K442" i="2"/>
  <c r="K847" i="2"/>
  <c r="K772" i="2"/>
  <c r="K841" i="2"/>
  <c r="K116" i="2"/>
  <c r="K160" i="2"/>
  <c r="K69" i="2"/>
  <c r="K97" i="2"/>
  <c r="K249" i="2"/>
  <c r="K273" i="2"/>
  <c r="K289" i="2"/>
  <c r="K14" i="2"/>
  <c r="K58" i="2"/>
  <c r="K98" i="2"/>
  <c r="K271" i="2"/>
  <c r="K395" i="2"/>
  <c r="K511" i="2"/>
  <c r="K707" i="2"/>
  <c r="K416" i="2"/>
  <c r="K476" i="2"/>
  <c r="K700" i="2"/>
  <c r="K485" i="2"/>
  <c r="K561" i="2"/>
  <c r="K569" i="2"/>
  <c r="K585" i="2"/>
  <c r="K633" i="2"/>
  <c r="K446" i="2"/>
  <c r="K470" i="2"/>
  <c r="K722" i="2"/>
  <c r="K891" i="2"/>
  <c r="P914" i="2"/>
  <c r="P915" i="2"/>
  <c r="K16" i="23"/>
  <c r="AP159" i="23" s="1"/>
  <c r="K21" i="23"/>
  <c r="K76" i="23" s="1"/>
  <c r="AL109" i="23"/>
  <c r="AL110" i="23"/>
  <c r="K17" i="23"/>
  <c r="AO160" i="23" s="1"/>
  <c r="K13" i="23"/>
  <c r="AO156" i="23" s="1"/>
  <c r="K20" i="23"/>
  <c r="AP163" i="23" s="1"/>
  <c r="K14" i="23"/>
  <c r="K87" i="23" s="1"/>
  <c r="K12" i="23"/>
  <c r="K18" i="23"/>
  <c r="AP161" i="23" s="1"/>
  <c r="K15" i="23"/>
  <c r="K88" i="23" s="1"/>
  <c r="AL117" i="23"/>
  <c r="AL107" i="23"/>
  <c r="AL112" i="23"/>
  <c r="AL111" i="23"/>
  <c r="AL113" i="23"/>
  <c r="AK125" i="23"/>
  <c r="AK124" i="23"/>
  <c r="AL108" i="23"/>
  <c r="AL116" i="23"/>
  <c r="AL115" i="23"/>
  <c r="AL119" i="23"/>
  <c r="AL118" i="23"/>
  <c r="AK123" i="23"/>
  <c r="AK139" i="23"/>
  <c r="AK138" i="23"/>
  <c r="AL121" i="23"/>
  <c r="AL122" i="23"/>
  <c r="AW2" i="2"/>
  <c r="I74" i="23"/>
  <c r="AP128" i="23"/>
  <c r="J19" i="23"/>
  <c r="J92" i="23" s="1"/>
  <c r="I92" i="23"/>
  <c r="J93" i="23"/>
  <c r="AX9" i="2"/>
  <c r="AP146" i="23"/>
  <c r="AO146" i="23"/>
  <c r="J75" i="23"/>
  <c r="AJ160" i="23"/>
  <c r="J87" i="23"/>
  <c r="AP140" i="23"/>
  <c r="J69" i="23"/>
  <c r="AO140" i="23"/>
  <c r="AX6" i="2"/>
  <c r="AJ166" i="23"/>
  <c r="J90" i="23"/>
  <c r="AP143" i="23"/>
  <c r="J72" i="23"/>
  <c r="AO143" i="23"/>
  <c r="AJ169" i="23"/>
  <c r="AJ161" i="23"/>
  <c r="J70" i="23"/>
  <c r="AP141" i="23"/>
  <c r="J88" i="23"/>
  <c r="AO141" i="23"/>
  <c r="AP142" i="23"/>
  <c r="AO142" i="23"/>
  <c r="J89" i="23"/>
  <c r="J71" i="23"/>
  <c r="AX7" i="2"/>
  <c r="AJ162" i="23"/>
  <c r="AO139" i="23"/>
  <c r="J86" i="23"/>
  <c r="J68" i="23"/>
  <c r="AP139" i="23"/>
  <c r="AJ158" i="23"/>
  <c r="AJ167" i="23"/>
  <c r="J67" i="23"/>
  <c r="AX5" i="2"/>
  <c r="AP138" i="23"/>
  <c r="AO138" i="23"/>
  <c r="J85" i="23"/>
  <c r="AJ168" i="23"/>
  <c r="AJ165" i="23"/>
  <c r="AO147" i="23"/>
  <c r="J94" i="23"/>
  <c r="AX10" i="2"/>
  <c r="AP147" i="23"/>
  <c r="J76" i="23"/>
  <c r="AJ163" i="23"/>
  <c r="AJ164" i="23"/>
  <c r="AJ170" i="23"/>
  <c r="AX8" i="2"/>
  <c r="J73" i="23"/>
  <c r="J91" i="23"/>
  <c r="AP144" i="23"/>
  <c r="AO144" i="23"/>
  <c r="P54" i="23"/>
  <c r="P56" i="23"/>
  <c r="P841" i="2"/>
  <c r="P729" i="2"/>
  <c r="P477" i="2"/>
  <c r="P720" i="2"/>
  <c r="P876" i="2"/>
  <c r="P717" i="2"/>
  <c r="P873" i="2"/>
  <c r="P706" i="2"/>
  <c r="P722" i="2"/>
  <c r="P834" i="2"/>
  <c r="P854" i="2"/>
  <c r="P870" i="2"/>
  <c r="P476" i="2"/>
  <c r="P724" i="2"/>
  <c r="P856" i="2"/>
  <c r="P733" i="2"/>
  <c r="P869" i="2"/>
  <c r="P707" i="2"/>
  <c r="P723" i="2"/>
  <c r="P835" i="2"/>
  <c r="P851" i="2"/>
  <c r="P867" i="2"/>
  <c r="P883" i="2"/>
  <c r="P728" i="2"/>
  <c r="P852" i="2"/>
  <c r="P884" i="2"/>
  <c r="P725" i="2"/>
  <c r="P853" i="2"/>
  <c r="P877" i="2"/>
  <c r="P702" i="2"/>
  <c r="P734" i="2"/>
  <c r="P866" i="2"/>
  <c r="P716" i="2"/>
  <c r="P880" i="2"/>
  <c r="P861" i="2"/>
  <c r="P719" i="2"/>
  <c r="P847" i="2"/>
  <c r="P879" i="2"/>
  <c r="P844" i="2"/>
  <c r="P605" i="2"/>
  <c r="P710" i="2"/>
  <c r="P726" i="2"/>
  <c r="P838" i="2"/>
  <c r="P858" i="2"/>
  <c r="P874" i="2"/>
  <c r="P616" i="2"/>
  <c r="P732" i="2"/>
  <c r="P864" i="2"/>
  <c r="P705" i="2"/>
  <c r="P837" i="2"/>
  <c r="P881" i="2"/>
  <c r="P711" i="2"/>
  <c r="P727" i="2"/>
  <c r="P839" i="2"/>
  <c r="P855" i="2"/>
  <c r="P871" i="2"/>
  <c r="P704" i="2"/>
  <c r="P736" i="2"/>
  <c r="P860" i="2"/>
  <c r="P912" i="2"/>
  <c r="P857" i="2"/>
  <c r="P885" i="2"/>
  <c r="P718" i="2"/>
  <c r="P850" i="2"/>
  <c r="P882" i="2"/>
  <c r="P848" i="2"/>
  <c r="P721" i="2"/>
  <c r="P703" i="2"/>
  <c r="P735" i="2"/>
  <c r="P863" i="2"/>
  <c r="P697" i="2"/>
  <c r="P714" i="2"/>
  <c r="P730" i="2"/>
  <c r="P842" i="2"/>
  <c r="P862" i="2"/>
  <c r="P878" i="2"/>
  <c r="P708" i="2"/>
  <c r="P840" i="2"/>
  <c r="P872" i="2"/>
  <c r="P713" i="2"/>
  <c r="P849" i="2"/>
  <c r="P615" i="2"/>
  <c r="P715" i="2"/>
  <c r="P731" i="2"/>
  <c r="P843" i="2"/>
  <c r="P859" i="2"/>
  <c r="P875" i="2"/>
  <c r="P712" i="2"/>
  <c r="P836" i="2"/>
  <c r="P868" i="2"/>
  <c r="P709" i="2"/>
  <c r="P833" i="2"/>
  <c r="P865" i="2"/>
  <c r="P913" i="2"/>
  <c r="P610" i="2"/>
  <c r="P686" i="2"/>
  <c r="P794" i="2"/>
  <c r="P810" i="2"/>
  <c r="P608" i="2"/>
  <c r="P800" i="2"/>
  <c r="P609" i="2"/>
  <c r="P701" i="2"/>
  <c r="P845" i="2"/>
  <c r="P611" i="2"/>
  <c r="P691" i="2"/>
  <c r="P799" i="2"/>
  <c r="P815" i="2"/>
  <c r="P684" i="2"/>
  <c r="P804" i="2"/>
  <c r="P793" i="2"/>
  <c r="P603" i="2"/>
  <c r="P677" i="2"/>
  <c r="P325" i="2"/>
  <c r="P614" i="2"/>
  <c r="P690" i="2"/>
  <c r="P798" i="2"/>
  <c r="P814" i="2"/>
  <c r="P680" i="2"/>
  <c r="P808" i="2"/>
  <c r="P681" i="2"/>
  <c r="P797" i="2"/>
  <c r="P471" i="2"/>
  <c r="P679" i="2"/>
  <c r="P695" i="2"/>
  <c r="P803" i="2"/>
  <c r="P819" i="2"/>
  <c r="P692" i="2"/>
  <c r="P474" i="2"/>
  <c r="P678" i="2"/>
  <c r="P694" i="2"/>
  <c r="P802" i="2"/>
  <c r="P846" i="2"/>
  <c r="P688" i="2"/>
  <c r="P812" i="2"/>
  <c r="P689" i="2"/>
  <c r="P805" i="2"/>
  <c r="P475" i="2"/>
  <c r="P683" i="2"/>
  <c r="P699" i="2"/>
  <c r="P807" i="2"/>
  <c r="P604" i="2"/>
  <c r="P700" i="2"/>
  <c r="P613" i="2"/>
  <c r="P801" i="2"/>
  <c r="P606" i="2"/>
  <c r="P682" i="2"/>
  <c r="P698" i="2"/>
  <c r="P806" i="2"/>
  <c r="P472" i="2"/>
  <c r="P696" i="2"/>
  <c r="P473" i="2"/>
  <c r="P693" i="2"/>
  <c r="P813" i="2"/>
  <c r="P607" i="2"/>
  <c r="P687" i="2"/>
  <c r="P795" i="2"/>
  <c r="P811" i="2"/>
  <c r="P612" i="2"/>
  <c r="P796" i="2"/>
  <c r="P685" i="2"/>
  <c r="P470" i="2"/>
  <c r="P324" i="2"/>
  <c r="P602" i="2"/>
  <c r="P676" i="2"/>
  <c r="P675" i="2"/>
  <c r="P792" i="2"/>
  <c r="P591" i="2"/>
  <c r="P469" i="2"/>
  <c r="P589" i="2"/>
  <c r="P745" i="2"/>
  <c r="P582" i="2"/>
  <c r="P598" i="2"/>
  <c r="P579" i="2"/>
  <c r="P595" i="2"/>
  <c r="P584" i="2"/>
  <c r="P600" i="2"/>
  <c r="P581" i="2"/>
  <c r="P597" i="2"/>
  <c r="P322" i="2"/>
  <c r="P586" i="2"/>
  <c r="P674" i="2"/>
  <c r="P583" i="2"/>
  <c r="P599" i="2"/>
  <c r="P588" i="2"/>
  <c r="P321" i="2"/>
  <c r="P585" i="2"/>
  <c r="P601" i="2"/>
  <c r="P466" i="2"/>
  <c r="P590" i="2"/>
  <c r="P323" i="2"/>
  <c r="P587" i="2"/>
  <c r="P468" i="2"/>
  <c r="P592" i="2"/>
  <c r="P465" i="2"/>
  <c r="P673" i="2"/>
  <c r="P578" i="2"/>
  <c r="P594" i="2"/>
  <c r="P467" i="2"/>
  <c r="P580" i="2"/>
  <c r="P596" i="2"/>
  <c r="P593" i="2"/>
  <c r="Y19" i="2"/>
  <c r="Y18" i="2"/>
  <c r="AQ19" i="2"/>
  <c r="AQ17" i="2"/>
  <c r="AQ16" i="2"/>
  <c r="AQ14" i="2"/>
  <c r="AQ15" i="2"/>
  <c r="AQ18" i="2"/>
  <c r="AS16" i="2"/>
  <c r="AS17" i="2"/>
  <c r="AS15" i="2"/>
  <c r="AX17" i="2"/>
  <c r="AX15" i="2"/>
  <c r="AX16" i="2"/>
  <c r="AY16" i="2"/>
  <c r="AY17" i="2"/>
  <c r="AY15" i="2"/>
  <c r="AW15" i="2"/>
  <c r="AW16" i="2"/>
  <c r="AW17" i="2"/>
  <c r="AT15" i="2"/>
  <c r="AT16" i="2"/>
  <c r="AT17" i="2"/>
  <c r="AR19" i="2"/>
  <c r="AR14" i="2"/>
  <c r="AR15" i="2"/>
  <c r="AR16" i="2"/>
  <c r="AR17" i="2"/>
  <c r="AR18" i="2"/>
  <c r="AU15" i="2"/>
  <c r="AU16" i="2"/>
  <c r="AU17" i="2"/>
  <c r="AV15" i="2"/>
  <c r="AV16" i="2"/>
  <c r="AV17" i="2"/>
  <c r="Y17" i="2"/>
  <c r="Y16" i="2"/>
  <c r="Y15" i="2"/>
  <c r="P74" i="2"/>
  <c r="P509" i="2"/>
  <c r="P775" i="2"/>
  <c r="P42" i="2"/>
  <c r="P629" i="2"/>
  <c r="P423" i="2"/>
  <c r="P58" i="2"/>
  <c r="P10" i="2"/>
  <c r="P333" i="2"/>
  <c r="P784" i="2"/>
  <c r="P817" i="2"/>
  <c r="P545" i="2"/>
  <c r="P385" i="2"/>
  <c r="P648" i="2"/>
  <c r="P571" i="2"/>
  <c r="P447" i="2"/>
  <c r="P383" i="2"/>
  <c r="P315" i="2"/>
  <c r="P251" i="2"/>
  <c r="P667" i="2"/>
  <c r="P786" i="2"/>
  <c r="P574" i="2"/>
  <c r="P510" i="2"/>
  <c r="P536" i="2"/>
  <c r="P408" i="2"/>
  <c r="P352" i="2"/>
  <c r="P304" i="2"/>
  <c r="P260" i="2"/>
  <c r="P228" i="2"/>
  <c r="P450" i="2"/>
  <c r="P418" i="2"/>
  <c r="P402" i="2"/>
  <c r="P354" i="2"/>
  <c r="P318" i="2"/>
  <c r="P286" i="2"/>
  <c r="P254" i="2"/>
  <c r="P238" i="2"/>
  <c r="P206" i="2"/>
  <c r="P145" i="2"/>
  <c r="P21" i="2"/>
  <c r="P156" i="2"/>
  <c r="P92" i="2"/>
  <c r="P28" i="2"/>
  <c r="P175" i="2"/>
  <c r="P95" i="2"/>
  <c r="P63" i="2"/>
  <c r="P31" i="2"/>
  <c r="P197" i="2"/>
  <c r="P133" i="2"/>
  <c r="P65" i="2"/>
  <c r="P200" i="2"/>
  <c r="P136" i="2"/>
  <c r="P72" i="2"/>
  <c r="P202" i="2"/>
  <c r="P186" i="2"/>
  <c r="P122" i="2"/>
  <c r="P257" i="2"/>
  <c r="P644" i="2"/>
  <c r="P657" i="2"/>
  <c r="P449" i="2"/>
  <c r="P317" i="2"/>
  <c r="P780" i="2"/>
  <c r="P755" i="2"/>
  <c r="P511" i="2"/>
  <c r="P415" i="2"/>
  <c r="P351" i="2"/>
  <c r="P283" i="2"/>
  <c r="P219" i="2"/>
  <c r="P559" i="2"/>
  <c r="P754" i="2"/>
  <c r="P650" i="2"/>
  <c r="P542" i="2"/>
  <c r="P568" i="2"/>
  <c r="P504" i="2"/>
  <c r="P440" i="2"/>
  <c r="P376" i="2"/>
  <c r="P328" i="2"/>
  <c r="P284" i="2"/>
  <c r="P212" i="2"/>
  <c r="P434" i="2"/>
  <c r="P386" i="2"/>
  <c r="P370" i="2"/>
  <c r="P338" i="2"/>
  <c r="P302" i="2"/>
  <c r="P270" i="2"/>
  <c r="P222" i="2"/>
  <c r="P181" i="2"/>
  <c r="P113" i="2"/>
  <c r="P53" i="2"/>
  <c r="P188" i="2"/>
  <c r="P60" i="2"/>
  <c r="P4" i="2"/>
  <c r="P191" i="2"/>
  <c r="P143" i="2"/>
  <c r="P15" i="2"/>
  <c r="P165" i="2"/>
  <c r="P101" i="2"/>
  <c r="P33" i="2"/>
  <c r="P104" i="2"/>
  <c r="P40" i="2"/>
  <c r="P154" i="2"/>
  <c r="P106" i="2"/>
  <c r="P397" i="2"/>
  <c r="P26" i="2"/>
  <c r="P461" i="2"/>
  <c r="P557" i="2"/>
  <c r="P653" i="2"/>
  <c r="P14" i="2"/>
  <c r="P30" i="2"/>
  <c r="P46" i="2"/>
  <c r="P78" i="2"/>
  <c r="P94" i="2"/>
  <c r="P142" i="2"/>
  <c r="P158" i="2"/>
  <c r="P8" i="2"/>
  <c r="P48" i="2"/>
  <c r="P80" i="2"/>
  <c r="P144" i="2"/>
  <c r="P9" i="2"/>
  <c r="P41" i="2"/>
  <c r="P109" i="2"/>
  <c r="P141" i="2"/>
  <c r="P173" i="2"/>
  <c r="P3" i="2"/>
  <c r="P19" i="2"/>
  <c r="P35" i="2"/>
  <c r="P51" i="2"/>
  <c r="P99" i="2"/>
  <c r="P115" i="2"/>
  <c r="P147" i="2"/>
  <c r="P163" i="2"/>
  <c r="P195" i="2"/>
  <c r="P12" i="2"/>
  <c r="P196" i="2"/>
  <c r="P29" i="2"/>
  <c r="P61" i="2"/>
  <c r="P89" i="2"/>
  <c r="P189" i="2"/>
  <c r="P210" i="2"/>
  <c r="P226" i="2"/>
  <c r="P242" i="2"/>
  <c r="P258" i="2"/>
  <c r="P274" i="2"/>
  <c r="P290" i="2"/>
  <c r="P306" i="2"/>
  <c r="P326" i="2"/>
  <c r="P342" i="2"/>
  <c r="P358" i="2"/>
  <c r="P374" i="2"/>
  <c r="P390" i="2"/>
  <c r="P406" i="2"/>
  <c r="P422" i="2"/>
  <c r="P438" i="2"/>
  <c r="P454" i="2"/>
  <c r="P216" i="2"/>
  <c r="P232" i="2"/>
  <c r="P248" i="2"/>
  <c r="P268" i="2"/>
  <c r="P288" i="2"/>
  <c r="P308" i="2"/>
  <c r="P336" i="2"/>
  <c r="P356" i="2"/>
  <c r="P384" i="2"/>
  <c r="P416" i="2"/>
  <c r="P448" i="2"/>
  <c r="P512" i="2"/>
  <c r="P544" i="2"/>
  <c r="P576" i="2"/>
  <c r="P518" i="2"/>
  <c r="P550" i="2"/>
  <c r="P626" i="2"/>
  <c r="P658" i="2"/>
  <c r="P762" i="2"/>
  <c r="P818" i="2"/>
  <c r="P575" i="2"/>
  <c r="P751" i="2"/>
  <c r="P227" i="2"/>
  <c r="P259" i="2"/>
  <c r="P291" i="2"/>
  <c r="P327" i="2"/>
  <c r="P359" i="2"/>
  <c r="P391" i="2"/>
  <c r="P455" i="2"/>
  <c r="P523" i="2"/>
  <c r="P631" i="2"/>
  <c r="P771" i="2"/>
  <c r="P664" i="2"/>
  <c r="P205" i="2"/>
  <c r="P269" i="2"/>
  <c r="P337" i="2"/>
  <c r="P401" i="2"/>
  <c r="P497" i="2"/>
  <c r="P561" i="2"/>
  <c r="P753" i="2"/>
  <c r="P660" i="2"/>
  <c r="P273" i="2"/>
  <c r="P349" i="2"/>
  <c r="P413" i="2"/>
  <c r="P573" i="2"/>
  <c r="P669" i="2"/>
  <c r="P453" i="2"/>
  <c r="P389" i="2"/>
  <c r="P357" i="2"/>
  <c r="P281" i="2"/>
  <c r="P569" i="2"/>
  <c r="P505" i="2"/>
  <c r="P377" i="2"/>
  <c r="P345" i="2"/>
  <c r="P309" i="2"/>
  <c r="P245" i="2"/>
  <c r="P213" i="2"/>
  <c r="P563" i="2"/>
  <c r="P507" i="2"/>
  <c r="P459" i="2"/>
  <c r="P427" i="2"/>
  <c r="P331" i="2"/>
  <c r="P311" i="2"/>
  <c r="P279" i="2"/>
  <c r="P263" i="2"/>
  <c r="P231" i="2"/>
  <c r="P515" i="2"/>
  <c r="P570" i="2"/>
  <c r="P554" i="2"/>
  <c r="P548" i="2"/>
  <c r="P532" i="2"/>
  <c r="P516" i="2"/>
  <c r="P388" i="2"/>
  <c r="P533" i="2"/>
  <c r="P329" i="2"/>
  <c r="P293" i="2"/>
  <c r="P261" i="2"/>
  <c r="P547" i="2"/>
  <c r="P519" i="2"/>
  <c r="P435" i="2"/>
  <c r="P371" i="2"/>
  <c r="P535" i="2"/>
  <c r="P622" i="2"/>
  <c r="P562" i="2"/>
  <c r="P546" i="2"/>
  <c r="P530" i="2"/>
  <c r="P514" i="2"/>
  <c r="P556" i="2"/>
  <c r="P540" i="2"/>
  <c r="P524" i="2"/>
  <c r="P428" i="2"/>
  <c r="P412" i="2"/>
  <c r="P396" i="2"/>
  <c r="P380" i="2"/>
  <c r="P348" i="2"/>
  <c r="P264" i="2"/>
  <c r="P781" i="2"/>
  <c r="P749" i="2"/>
  <c r="P776" i="2"/>
  <c r="P783" i="2"/>
  <c r="P789" i="2"/>
  <c r="P761" i="2"/>
  <c r="P772" i="2"/>
  <c r="P779" i="2"/>
  <c r="P639" i="2"/>
  <c r="P759" i="2"/>
  <c r="P782" i="2"/>
  <c r="P766" i="2"/>
  <c r="P750" i="2"/>
  <c r="P765" i="2"/>
  <c r="P816" i="2"/>
  <c r="P760" i="2"/>
  <c r="P763" i="2"/>
  <c r="P777" i="2"/>
  <c r="P788" i="2"/>
  <c r="P756" i="2"/>
  <c r="P767" i="2"/>
  <c r="P271" i="2"/>
  <c r="P567" i="2"/>
  <c r="P790" i="2"/>
  <c r="P774" i="2"/>
  <c r="P758" i="2"/>
  <c r="P670" i="2"/>
  <c r="P313" i="2"/>
  <c r="P277" i="2"/>
  <c r="P443" i="2"/>
  <c r="P411" i="2"/>
  <c r="P379" i="2"/>
  <c r="P347" i="2"/>
  <c r="P452" i="2"/>
  <c r="P436" i="2"/>
  <c r="P420" i="2"/>
  <c r="P404" i="2"/>
  <c r="P437" i="2"/>
  <c r="P405" i="2"/>
  <c r="P373" i="2"/>
  <c r="P393" i="2"/>
  <c r="P361" i="2"/>
  <c r="P419" i="2"/>
  <c r="P403" i="2"/>
  <c r="P355" i="2"/>
  <c r="P339" i="2"/>
  <c r="P303" i="2"/>
  <c r="P239" i="2"/>
  <c r="P460" i="2"/>
  <c r="P444" i="2"/>
  <c r="P364" i="2"/>
  <c r="P332" i="2"/>
  <c r="P312" i="2"/>
  <c r="P280" i="2"/>
  <c r="P18" i="2"/>
  <c r="P34" i="2"/>
  <c r="P82" i="2"/>
  <c r="P98" i="2"/>
  <c r="P130" i="2"/>
  <c r="P146" i="2"/>
  <c r="P162" i="2"/>
  <c r="P178" i="2"/>
  <c r="P194" i="2"/>
  <c r="P24" i="2"/>
  <c r="P56" i="2"/>
  <c r="P152" i="2"/>
  <c r="P184" i="2"/>
  <c r="P17" i="2"/>
  <c r="P49" i="2"/>
  <c r="P117" i="2"/>
  <c r="P149" i="2"/>
  <c r="P177" i="2"/>
  <c r="P7" i="2"/>
  <c r="P23" i="2"/>
  <c r="P39" i="2"/>
  <c r="P55" i="2"/>
  <c r="P71" i="2"/>
  <c r="P103" i="2"/>
  <c r="P119" i="2"/>
  <c r="P151" i="2"/>
  <c r="P16" i="2"/>
  <c r="P44" i="2"/>
  <c r="P76" i="2"/>
  <c r="P108" i="2"/>
  <c r="P140" i="2"/>
  <c r="P172" i="2"/>
  <c r="P5" i="2"/>
  <c r="P37" i="2"/>
  <c r="P69" i="2"/>
  <c r="P214" i="2"/>
  <c r="P230" i="2"/>
  <c r="P246" i="2"/>
  <c r="P262" i="2"/>
  <c r="P278" i="2"/>
  <c r="P294" i="2"/>
  <c r="P310" i="2"/>
  <c r="P330" i="2"/>
  <c r="P346" i="2"/>
  <c r="P362" i="2"/>
  <c r="P378" i="2"/>
  <c r="P394" i="2"/>
  <c r="P410" i="2"/>
  <c r="P426" i="2"/>
  <c r="P442" i="2"/>
  <c r="P204" i="2"/>
  <c r="P220" i="2"/>
  <c r="P236" i="2"/>
  <c r="P252" i="2"/>
  <c r="P272" i="2"/>
  <c r="P292" i="2"/>
  <c r="P316" i="2"/>
  <c r="P340" i="2"/>
  <c r="P360" i="2"/>
  <c r="P392" i="2"/>
  <c r="P424" i="2"/>
  <c r="P456" i="2"/>
  <c r="P520" i="2"/>
  <c r="P552" i="2"/>
  <c r="P462" i="2"/>
  <c r="P526" i="2"/>
  <c r="P558" i="2"/>
  <c r="P634" i="2"/>
  <c r="P666" i="2"/>
  <c r="P770" i="2"/>
  <c r="P527" i="2"/>
  <c r="P635" i="2"/>
  <c r="P203" i="2"/>
  <c r="P235" i="2"/>
  <c r="P267" i="2"/>
  <c r="P299" i="2"/>
  <c r="P335" i="2"/>
  <c r="P367" i="2"/>
  <c r="P399" i="2"/>
  <c r="P431" i="2"/>
  <c r="P463" i="2"/>
  <c r="P539" i="2"/>
  <c r="P647" i="2"/>
  <c r="P787" i="2"/>
  <c r="P748" i="2"/>
  <c r="P221" i="2"/>
  <c r="P289" i="2"/>
  <c r="P353" i="2"/>
  <c r="P417" i="2"/>
  <c r="P513" i="2"/>
  <c r="P577" i="2"/>
  <c r="P769" i="2"/>
  <c r="P791" i="2"/>
  <c r="P752" i="2"/>
  <c r="P225" i="2"/>
  <c r="P285" i="2"/>
  <c r="P365" i="2"/>
  <c r="P429" i="2"/>
  <c r="P525" i="2"/>
  <c r="P757" i="2"/>
  <c r="P649" i="2"/>
  <c r="P621" i="2"/>
  <c r="P549" i="2"/>
  <c r="P517" i="2"/>
  <c r="P421" i="2"/>
  <c r="P249" i="2"/>
  <c r="P217" i="2"/>
  <c r="P668" i="2"/>
  <c r="P636" i="2"/>
  <c r="P641" i="2"/>
  <c r="P537" i="2"/>
  <c r="P441" i="2"/>
  <c r="P409" i="2"/>
  <c r="P672" i="2"/>
  <c r="P640" i="2"/>
  <c r="P747" i="2"/>
  <c r="P531" i="2"/>
  <c r="P395" i="2"/>
  <c r="P363" i="2"/>
  <c r="P295" i="2"/>
  <c r="P247" i="2"/>
  <c r="P215" i="2"/>
  <c r="P659" i="2"/>
  <c r="P627" i="2"/>
  <c r="P551" i="2"/>
  <c r="P662" i="2"/>
  <c r="P646" i="2"/>
  <c r="P630" i="2"/>
  <c r="P538" i="2"/>
  <c r="P522" i="2"/>
  <c r="P506" i="2"/>
  <c r="P458" i="2"/>
  <c r="P564" i="2"/>
  <c r="P500" i="2"/>
  <c r="P372" i="2"/>
  <c r="P661" i="2"/>
  <c r="P637" i="2"/>
  <c r="P565" i="2"/>
  <c r="P501" i="2"/>
  <c r="P341" i="2"/>
  <c r="P297" i="2"/>
  <c r="P233" i="2"/>
  <c r="P652" i="2"/>
  <c r="P620" i="2"/>
  <c r="P665" i="2"/>
  <c r="P625" i="2"/>
  <c r="P553" i="2"/>
  <c r="P521" i="2"/>
  <c r="P457" i="2"/>
  <c r="P425" i="2"/>
  <c r="P229" i="2"/>
  <c r="P656" i="2"/>
  <c r="P624" i="2"/>
  <c r="P655" i="2"/>
  <c r="P623" i="2"/>
  <c r="P499" i="2"/>
  <c r="P451" i="2"/>
  <c r="P387" i="2"/>
  <c r="P319" i="2"/>
  <c r="P287" i="2"/>
  <c r="P255" i="2"/>
  <c r="P223" i="2"/>
  <c r="P671" i="2"/>
  <c r="P643" i="2"/>
  <c r="P654" i="2"/>
  <c r="P638" i="2"/>
  <c r="P498" i="2"/>
  <c r="P572" i="2"/>
  <c r="P508" i="2"/>
  <c r="P296" i="2"/>
  <c r="P6" i="2"/>
  <c r="P22" i="2"/>
  <c r="P38" i="2"/>
  <c r="P54" i="2"/>
  <c r="P70" i="2"/>
  <c r="P86" i="2"/>
  <c r="P118" i="2"/>
  <c r="P134" i="2"/>
  <c r="P182" i="2"/>
  <c r="P198" i="2"/>
  <c r="P32" i="2"/>
  <c r="P64" i="2"/>
  <c r="P128" i="2"/>
  <c r="P160" i="2"/>
  <c r="P25" i="2"/>
  <c r="P157" i="2"/>
  <c r="P11" i="2"/>
  <c r="P27" i="2"/>
  <c r="P43" i="2"/>
  <c r="P59" i="2"/>
  <c r="P75" i="2"/>
  <c r="P91" i="2"/>
  <c r="P107" i="2"/>
  <c r="P139" i="2"/>
  <c r="P155" i="2"/>
  <c r="P2" i="2"/>
  <c r="P20" i="2"/>
  <c r="P52" i="2"/>
  <c r="P84" i="2"/>
  <c r="P148" i="2"/>
  <c r="P13" i="2"/>
  <c r="P45" i="2"/>
  <c r="P77" i="2"/>
  <c r="P137" i="2"/>
  <c r="P169" i="2"/>
  <c r="P201" i="2"/>
  <c r="P218" i="2"/>
  <c r="P234" i="2"/>
  <c r="P266" i="2"/>
  <c r="P282" i="2"/>
  <c r="P298" i="2"/>
  <c r="P314" i="2"/>
  <c r="P334" i="2"/>
  <c r="P350" i="2"/>
  <c r="P366" i="2"/>
  <c r="P382" i="2"/>
  <c r="P398" i="2"/>
  <c r="P414" i="2"/>
  <c r="P430" i="2"/>
  <c r="P446" i="2"/>
  <c r="P208" i="2"/>
  <c r="P224" i="2"/>
  <c r="P240" i="2"/>
  <c r="P256" i="2"/>
  <c r="P276" i="2"/>
  <c r="P300" i="2"/>
  <c r="P320" i="2"/>
  <c r="P344" i="2"/>
  <c r="P368" i="2"/>
  <c r="P400" i="2"/>
  <c r="P432" i="2"/>
  <c r="P464" i="2"/>
  <c r="P528" i="2"/>
  <c r="P560" i="2"/>
  <c r="P502" i="2"/>
  <c r="P534" i="2"/>
  <c r="P566" i="2"/>
  <c r="P642" i="2"/>
  <c r="P746" i="2"/>
  <c r="P778" i="2"/>
  <c r="P543" i="2"/>
  <c r="P651" i="2"/>
  <c r="P243" i="2"/>
  <c r="P307" i="2"/>
  <c r="P343" i="2"/>
  <c r="P375" i="2"/>
  <c r="P407" i="2"/>
  <c r="P439" i="2"/>
  <c r="P503" i="2"/>
  <c r="P555" i="2"/>
  <c r="P663" i="2"/>
  <c r="P632" i="2"/>
  <c r="P764" i="2"/>
  <c r="P237" i="2"/>
  <c r="P301" i="2"/>
  <c r="P369" i="2"/>
  <c r="P433" i="2"/>
  <c r="P529" i="2"/>
  <c r="P633" i="2"/>
  <c r="P785" i="2"/>
  <c r="P628" i="2"/>
  <c r="P768" i="2"/>
  <c r="P305" i="2"/>
  <c r="P381" i="2"/>
  <c r="P445" i="2"/>
  <c r="P541" i="2"/>
  <c r="P645" i="2"/>
  <c r="P773" i="2"/>
  <c r="F16" i="5"/>
  <c r="F20" i="5"/>
  <c r="F17" i="5"/>
  <c r="F21" i="5"/>
  <c r="F18" i="5"/>
  <c r="F19" i="5"/>
  <c r="F22" i="5"/>
  <c r="F14" i="5"/>
  <c r="F15" i="5"/>
  <c r="AU21" i="2"/>
  <c r="AT21" i="2"/>
  <c r="AR21" i="2"/>
  <c r="AY21" i="2"/>
  <c r="AX21" i="2"/>
  <c r="AS21" i="2"/>
  <c r="AW21" i="2"/>
  <c r="AV21" i="2"/>
  <c r="AQ21" i="2"/>
  <c r="G23" i="5"/>
  <c r="I14" i="5"/>
  <c r="I23" i="5" s="1"/>
  <c r="L18" i="5"/>
  <c r="P124" i="2" s="1"/>
  <c r="K19" i="5"/>
  <c r="P81" i="2" s="1"/>
  <c r="T204" i="2"/>
  <c r="T220" i="2"/>
  <c r="T236" i="2"/>
  <c r="T252" i="2"/>
  <c r="T268" i="2"/>
  <c r="T284" i="2"/>
  <c r="T300" i="2"/>
  <c r="T316" i="2"/>
  <c r="T332" i="2"/>
  <c r="T348" i="2"/>
  <c r="T364" i="2"/>
  <c r="T380" i="2"/>
  <c r="T264" i="2"/>
  <c r="T280" i="2"/>
  <c r="T296" i="2"/>
  <c r="T216" i="2"/>
  <c r="T232" i="2"/>
  <c r="T376" i="2"/>
  <c r="T212" i="2"/>
  <c r="T228" i="2"/>
  <c r="T244" i="2"/>
  <c r="T260" i="2"/>
  <c r="T276" i="2"/>
  <c r="T292" i="2"/>
  <c r="T308" i="2"/>
  <c r="T324" i="2"/>
  <c r="T340" i="2"/>
  <c r="T356" i="2"/>
  <c r="T372" i="2"/>
  <c r="T388" i="2"/>
  <c r="T248" i="2"/>
  <c r="T312" i="2"/>
  <c r="T328" i="2"/>
  <c r="T344" i="2"/>
  <c r="T360" i="2"/>
  <c r="T208" i="2"/>
  <c r="T224" i="2"/>
  <c r="T240" i="2"/>
  <c r="T256" i="2"/>
  <c r="T272" i="2"/>
  <c r="T288" i="2"/>
  <c r="T304" i="2"/>
  <c r="T320" i="2"/>
  <c r="T336" i="2"/>
  <c r="T352" i="2"/>
  <c r="T368" i="2"/>
  <c r="T384" i="2"/>
  <c r="T392" i="2"/>
  <c r="T396" i="2"/>
  <c r="T400" i="2"/>
  <c r="T408" i="2"/>
  <c r="T412" i="2"/>
  <c r="T420" i="2"/>
  <c r="T424" i="2"/>
  <c r="T428" i="2"/>
  <c r="T432" i="2"/>
  <c r="T440" i="2"/>
  <c r="T444" i="2"/>
  <c r="T452" i="2"/>
  <c r="T456" i="2"/>
  <c r="T460" i="2"/>
  <c r="T464" i="2"/>
  <c r="T472" i="2"/>
  <c r="T476" i="2"/>
  <c r="T496" i="2"/>
  <c r="T504" i="2"/>
  <c r="T508" i="2"/>
  <c r="T761" i="2"/>
  <c r="T484" i="2"/>
  <c r="T488" i="2"/>
  <c r="T492" i="2"/>
  <c r="T671" i="2"/>
  <c r="T691" i="2"/>
  <c r="T703" i="2"/>
  <c r="T723" i="2"/>
  <c r="T737" i="2"/>
  <c r="T745" i="2"/>
  <c r="T753" i="2"/>
  <c r="T769" i="2"/>
  <c r="T785" i="2"/>
  <c r="T203" i="2"/>
  <c r="T207" i="2"/>
  <c r="T211" i="2"/>
  <c r="T215" i="2"/>
  <c r="T219" i="2"/>
  <c r="T223" i="2"/>
  <c r="T227" i="2"/>
  <c r="T231" i="2"/>
  <c r="T235" i="2"/>
  <c r="T239" i="2"/>
  <c r="T243" i="2"/>
  <c r="T247" i="2"/>
  <c r="T251" i="2"/>
  <c r="T255" i="2"/>
  <c r="T259" i="2"/>
  <c r="T263" i="2"/>
  <c r="T267" i="2"/>
  <c r="T271" i="2"/>
  <c r="T275" i="2"/>
  <c r="T279" i="2"/>
  <c r="T283" i="2"/>
  <c r="T287" i="2"/>
  <c r="T291" i="2"/>
  <c r="T295" i="2"/>
  <c r="T299" i="2"/>
  <c r="T303" i="2"/>
  <c r="T307" i="2"/>
  <c r="T311" i="2"/>
  <c r="T315" i="2"/>
  <c r="T319" i="2"/>
  <c r="T323" i="2"/>
  <c r="T327" i="2"/>
  <c r="T331" i="2"/>
  <c r="T335" i="2"/>
  <c r="T339" i="2"/>
  <c r="T343" i="2"/>
  <c r="T347" i="2"/>
  <c r="T351" i="2"/>
  <c r="T355" i="2"/>
  <c r="T359" i="2"/>
  <c r="T363" i="2"/>
  <c r="T367" i="2"/>
  <c r="T371" i="2"/>
  <c r="T375" i="2"/>
  <c r="T379" i="2"/>
  <c r="T383" i="2"/>
  <c r="T387" i="2"/>
  <c r="T391" i="2"/>
  <c r="T399" i="2"/>
  <c r="T403" i="2"/>
  <c r="T411" i="2"/>
  <c r="T415" i="2"/>
  <c r="T419" i="2"/>
  <c r="T423" i="2"/>
  <c r="T431" i="2"/>
  <c r="T435" i="2"/>
  <c r="T443" i="2"/>
  <c r="T447" i="2"/>
  <c r="T451" i="2"/>
  <c r="T455" i="2"/>
  <c r="T463" i="2"/>
  <c r="T467" i="2"/>
  <c r="T475" i="2"/>
  <c r="T479" i="2"/>
  <c r="T483" i="2"/>
  <c r="T487" i="2"/>
  <c r="T495" i="2"/>
  <c r="T499" i="2"/>
  <c r="T507" i="2"/>
  <c r="T511" i="2"/>
  <c r="T515" i="2"/>
  <c r="T519" i="2"/>
  <c r="T523" i="2"/>
  <c r="T527" i="2"/>
  <c r="T531" i="2"/>
  <c r="T535" i="2"/>
  <c r="T539" i="2"/>
  <c r="T543" i="2"/>
  <c r="T547" i="2"/>
  <c r="T551" i="2"/>
  <c r="T555" i="2"/>
  <c r="T559" i="2"/>
  <c r="T563" i="2"/>
  <c r="T567" i="2"/>
  <c r="T571" i="2"/>
  <c r="T575" i="2"/>
  <c r="T579" i="2"/>
  <c r="T583" i="2"/>
  <c r="T587" i="2"/>
  <c r="T591" i="2"/>
  <c r="T595" i="2"/>
  <c r="T599" i="2"/>
  <c r="T603" i="2"/>
  <c r="T607" i="2"/>
  <c r="T611" i="2"/>
  <c r="T615" i="2"/>
  <c r="T619" i="2"/>
  <c r="T623" i="2"/>
  <c r="T627" i="2"/>
  <c r="T631" i="2"/>
  <c r="T635" i="2"/>
  <c r="T639" i="2"/>
  <c r="T643" i="2"/>
  <c r="T647" i="2"/>
  <c r="T651" i="2"/>
  <c r="T655" i="2"/>
  <c r="T659" i="2"/>
  <c r="T663" i="2"/>
  <c r="T667" i="2"/>
  <c r="T673" i="2"/>
  <c r="T681" i="2"/>
  <c r="T693" i="2"/>
  <c r="T699" i="2"/>
  <c r="T705" i="2"/>
  <c r="T713" i="2"/>
  <c r="T725" i="2"/>
  <c r="T731" i="2"/>
  <c r="T739" i="2"/>
  <c r="T747" i="2"/>
  <c r="T755" i="2"/>
  <c r="T763" i="2"/>
  <c r="T771" i="2"/>
  <c r="T779" i="2"/>
  <c r="T790" i="2"/>
  <c r="T795" i="2"/>
  <c r="T803" i="2"/>
  <c r="T811" i="2"/>
  <c r="T819" i="2"/>
  <c r="T827" i="2"/>
  <c r="T835" i="2"/>
  <c r="T851" i="2"/>
  <c r="T859" i="2"/>
  <c r="T867" i="2"/>
  <c r="T875" i="2"/>
  <c r="T883" i="2"/>
  <c r="T891" i="2"/>
  <c r="T899" i="2"/>
  <c r="T915" i="2"/>
  <c r="T202" i="2"/>
  <c r="T210" i="2"/>
  <c r="T218" i="2"/>
  <c r="T226" i="2"/>
  <c r="T234" i="2"/>
  <c r="T242" i="2"/>
  <c r="T250" i="2"/>
  <c r="T258" i="2"/>
  <c r="T266" i="2"/>
  <c r="T274" i="2"/>
  <c r="T282" i="2"/>
  <c r="T290" i="2"/>
  <c r="T298" i="2"/>
  <c r="T306" i="2"/>
  <c r="T314" i="2"/>
  <c r="T322" i="2"/>
  <c r="T330" i="2"/>
  <c r="T338" i="2"/>
  <c r="T346" i="2"/>
  <c r="T354" i="2"/>
  <c r="T362" i="2"/>
  <c r="T370" i="2"/>
  <c r="T378" i="2"/>
  <c r="T386" i="2"/>
  <c r="T394" i="2"/>
  <c r="T398" i="2"/>
  <c r="T402" i="2"/>
  <c r="T406" i="2"/>
  <c r="T414" i="2"/>
  <c r="T418" i="2"/>
  <c r="T426" i="2"/>
  <c r="T430" i="2"/>
  <c r="T434" i="2"/>
  <c r="T438" i="2"/>
  <c r="T446" i="2"/>
  <c r="T450" i="2"/>
  <c r="T458" i="2"/>
  <c r="T462" i="2"/>
  <c r="T466" i="2"/>
  <c r="T470" i="2"/>
  <c r="T478" i="2"/>
  <c r="T482" i="2"/>
  <c r="T490" i="2"/>
  <c r="T494" i="2"/>
  <c r="T498" i="2"/>
  <c r="T502" i="2"/>
  <c r="T510" i="2"/>
  <c r="T675" i="2"/>
  <c r="T687" i="2"/>
  <c r="T707" i="2"/>
  <c r="T719" i="2"/>
  <c r="T205" i="2"/>
  <c r="T209" i="2"/>
  <c r="T213" i="2"/>
  <c r="T217" i="2"/>
  <c r="T221" i="2"/>
  <c r="T225" i="2"/>
  <c r="T229" i="2"/>
  <c r="T233" i="2"/>
  <c r="T237" i="2"/>
  <c r="T241" i="2"/>
  <c r="T245" i="2"/>
  <c r="T249" i="2"/>
  <c r="T253" i="2"/>
  <c r="T257" i="2"/>
  <c r="T261" i="2"/>
  <c r="T265" i="2"/>
  <c r="T269" i="2"/>
  <c r="T273" i="2"/>
  <c r="T277" i="2"/>
  <c r="T281" i="2"/>
  <c r="T285" i="2"/>
  <c r="T289" i="2"/>
  <c r="T293" i="2"/>
  <c r="T297" i="2"/>
  <c r="T301" i="2"/>
  <c r="T305" i="2"/>
  <c r="T309" i="2"/>
  <c r="T313" i="2"/>
  <c r="T317" i="2"/>
  <c r="T321" i="2"/>
  <c r="T325" i="2"/>
  <c r="T329" i="2"/>
  <c r="T333" i="2"/>
  <c r="T337" i="2"/>
  <c r="T341" i="2"/>
  <c r="T345" i="2"/>
  <c r="T349" i="2"/>
  <c r="T353" i="2"/>
  <c r="T357" i="2"/>
  <c r="T361" i="2"/>
  <c r="T365" i="2"/>
  <c r="T369" i="2"/>
  <c r="T373" i="2"/>
  <c r="T377" i="2"/>
  <c r="T381" i="2"/>
  <c r="T385" i="2"/>
  <c r="T389" i="2"/>
  <c r="T393" i="2"/>
  <c r="T397" i="2"/>
  <c r="T405" i="2"/>
  <c r="T409" i="2"/>
  <c r="T417" i="2"/>
  <c r="T421" i="2"/>
  <c r="T425" i="2"/>
  <c r="T429" i="2"/>
  <c r="T437" i="2"/>
  <c r="T441" i="2"/>
  <c r="T449" i="2"/>
  <c r="T453" i="2"/>
  <c r="T457" i="2"/>
  <c r="T461" i="2"/>
  <c r="T469" i="2"/>
  <c r="T473" i="2"/>
  <c r="T481" i="2"/>
  <c r="T485" i="2"/>
  <c r="T489" i="2"/>
  <c r="T493" i="2"/>
  <c r="T501" i="2"/>
  <c r="T505" i="2"/>
  <c r="T513" i="2"/>
  <c r="T517" i="2"/>
  <c r="T521" i="2"/>
  <c r="T525" i="2"/>
  <c r="T529" i="2"/>
  <c r="T533" i="2"/>
  <c r="T537" i="2"/>
  <c r="T541" i="2"/>
  <c r="T545" i="2"/>
  <c r="T549" i="2"/>
  <c r="T553" i="2"/>
  <c r="T557" i="2"/>
  <c r="T561" i="2"/>
  <c r="T565" i="2"/>
  <c r="T569" i="2"/>
  <c r="T573" i="2"/>
  <c r="T577" i="2"/>
  <c r="T581" i="2"/>
  <c r="T585" i="2"/>
  <c r="T589" i="2"/>
  <c r="T593" i="2"/>
  <c r="T597" i="2"/>
  <c r="T601" i="2"/>
  <c r="T605" i="2"/>
  <c r="T609" i="2"/>
  <c r="T613" i="2"/>
  <c r="T617" i="2"/>
  <c r="T621" i="2"/>
  <c r="T625" i="2"/>
  <c r="T629" i="2"/>
  <c r="T633" i="2"/>
  <c r="T637" i="2"/>
  <c r="T641" i="2"/>
  <c r="T645" i="2"/>
  <c r="T649" i="2"/>
  <c r="T653" i="2"/>
  <c r="T657" i="2"/>
  <c r="T661" i="2"/>
  <c r="T677" i="2"/>
  <c r="T683" i="2"/>
  <c r="T689" i="2"/>
  <c r="T697" i="2"/>
  <c r="T709" i="2"/>
  <c r="T715" i="2"/>
  <c r="T721" i="2"/>
  <c r="T729" i="2"/>
  <c r="T735" i="2"/>
  <c r="T743" i="2"/>
  <c r="T751" i="2"/>
  <c r="T759" i="2"/>
  <c r="T767" i="2"/>
  <c r="T775" i="2"/>
  <c r="T783" i="2"/>
  <c r="T799" i="2"/>
  <c r="T807" i="2"/>
  <c r="T815" i="2"/>
  <c r="T823" i="2"/>
  <c r="T831" i="2"/>
  <c r="T839" i="2"/>
  <c r="T847" i="2"/>
  <c r="T855" i="2"/>
  <c r="T863" i="2"/>
  <c r="T871" i="2"/>
  <c r="T887" i="2"/>
  <c r="T895" i="2"/>
  <c r="T903" i="2"/>
  <c r="T911" i="2"/>
  <c r="T919" i="2"/>
  <c r="T927" i="2"/>
  <c r="T669" i="2"/>
  <c r="T679" i="2"/>
  <c r="T685" i="2"/>
  <c r="T695" i="2"/>
  <c r="T701" i="2"/>
  <c r="T711" i="2"/>
  <c r="T717" i="2"/>
  <c r="T727" i="2"/>
  <c r="T733" i="2"/>
  <c r="T741" i="2"/>
  <c r="T749" i="2"/>
  <c r="T757" i="2"/>
  <c r="T765" i="2"/>
  <c r="T773" i="2"/>
  <c r="T754" i="2"/>
  <c r="T758" i="2"/>
  <c r="T762" i="2"/>
  <c r="T766" i="2"/>
  <c r="T770" i="2"/>
  <c r="T774" i="2"/>
  <c r="T778" i="2"/>
  <c r="T782" i="2"/>
  <c r="T786" i="2"/>
  <c r="T789" i="2"/>
  <c r="T797" i="2"/>
  <c r="T813" i="2"/>
  <c r="T829" i="2"/>
  <c r="T845" i="2"/>
  <c r="T853" i="2"/>
  <c r="T861" i="2"/>
  <c r="T869" i="2"/>
  <c r="T877" i="2"/>
  <c r="T885" i="2"/>
  <c r="T893" i="2"/>
  <c r="T901" i="2"/>
  <c r="T909" i="2"/>
  <c r="T925" i="2"/>
  <c r="T756" i="2"/>
  <c r="T760" i="2"/>
  <c r="T764" i="2"/>
  <c r="T768" i="2"/>
  <c r="T772" i="2"/>
  <c r="T776" i="2"/>
  <c r="T780" i="2"/>
  <c r="T787" i="2"/>
  <c r="T793" i="2"/>
  <c r="T809" i="2"/>
  <c r="T825" i="2"/>
  <c r="T841" i="2"/>
  <c r="T849" i="2"/>
  <c r="T857" i="2"/>
  <c r="T865" i="2"/>
  <c r="T873" i="2"/>
  <c r="T881" i="2"/>
  <c r="T897" i="2"/>
  <c r="T905" i="2"/>
  <c r="T921" i="2"/>
  <c r="T802" i="2"/>
  <c r="T806" i="2"/>
  <c r="T810" i="2"/>
  <c r="T818" i="2"/>
  <c r="T822" i="2"/>
  <c r="T826" i="2"/>
  <c r="T834" i="2"/>
  <c r="T838" i="2"/>
  <c r="T842" i="2"/>
  <c r="T846" i="2"/>
  <c r="T850" i="2"/>
  <c r="T854" i="2"/>
  <c r="T858" i="2"/>
  <c r="T862" i="2"/>
  <c r="T866" i="2"/>
  <c r="T870" i="2"/>
  <c r="T874" i="2"/>
  <c r="T878" i="2"/>
  <c r="T890" i="2"/>
  <c r="T898" i="2"/>
  <c r="T902" i="2"/>
  <c r="T906" i="2"/>
  <c r="T910" i="2"/>
  <c r="T914" i="2"/>
  <c r="T918" i="2"/>
  <c r="T922" i="2"/>
  <c r="T926" i="2"/>
  <c r="T930" i="2"/>
  <c r="T784" i="2"/>
  <c r="T792" i="2"/>
  <c r="T796" i="2"/>
  <c r="T800" i="2"/>
  <c r="T804" i="2"/>
  <c r="T812" i="2"/>
  <c r="T816" i="2"/>
  <c r="T820" i="2"/>
  <c r="T828" i="2"/>
  <c r="T832" i="2"/>
  <c r="T836" i="2"/>
  <c r="T840" i="2"/>
  <c r="T844" i="2"/>
  <c r="T848" i="2"/>
  <c r="T852" i="2"/>
  <c r="T856" i="2"/>
  <c r="T864" i="2"/>
  <c r="T868" i="2"/>
  <c r="T872" i="2"/>
  <c r="T880" i="2"/>
  <c r="T884" i="2"/>
  <c r="T888" i="2"/>
  <c r="T892" i="2"/>
  <c r="T896" i="2"/>
  <c r="T908" i="2"/>
  <c r="T912" i="2"/>
  <c r="T928" i="2"/>
  <c r="Y3" i="2"/>
  <c r="X31" i="2" s="1"/>
  <c r="T665" i="2"/>
  <c r="T390" i="2"/>
  <c r="T422" i="2"/>
  <c r="T454" i="2"/>
  <c r="T486" i="2"/>
  <c r="T512" i="2"/>
  <c r="T514" i="2"/>
  <c r="T516" i="2"/>
  <c r="T518" i="2"/>
  <c r="T520" i="2"/>
  <c r="T522" i="2"/>
  <c r="T524" i="2"/>
  <c r="T526" i="2"/>
  <c r="T534" i="2"/>
  <c r="T542" i="2"/>
  <c r="T550" i="2"/>
  <c r="T558" i="2"/>
  <c r="T404" i="2"/>
  <c r="T410" i="2"/>
  <c r="T416" i="2"/>
  <c r="T436" i="2"/>
  <c r="T442" i="2"/>
  <c r="T448" i="2"/>
  <c r="T468" i="2"/>
  <c r="T474" i="2"/>
  <c r="T480" i="2"/>
  <c r="T500" i="2"/>
  <c r="T506" i="2"/>
  <c r="T509" i="2"/>
  <c r="T528" i="2"/>
  <c r="T536" i="2"/>
  <c r="T544" i="2"/>
  <c r="T552" i="2"/>
  <c r="T560" i="2"/>
  <c r="T401" i="2"/>
  <c r="T407" i="2"/>
  <c r="T413" i="2"/>
  <c r="T433" i="2"/>
  <c r="T439" i="2"/>
  <c r="T445" i="2"/>
  <c r="T465" i="2"/>
  <c r="T471" i="2"/>
  <c r="T477" i="2"/>
  <c r="T497" i="2"/>
  <c r="T503" i="2"/>
  <c r="T530" i="2"/>
  <c r="T538" i="2"/>
  <c r="T546" i="2"/>
  <c r="T554" i="2"/>
  <c r="T562" i="2"/>
  <c r="T206" i="2"/>
  <c r="T214" i="2"/>
  <c r="T222" i="2"/>
  <c r="T230" i="2"/>
  <c r="T238" i="2"/>
  <c r="T246" i="2"/>
  <c r="T254" i="2"/>
  <c r="T262" i="2"/>
  <c r="T270" i="2"/>
  <c r="T278" i="2"/>
  <c r="T286" i="2"/>
  <c r="T294" i="2"/>
  <c r="T302" i="2"/>
  <c r="T310" i="2"/>
  <c r="T318" i="2"/>
  <c r="T326" i="2"/>
  <c r="T334" i="2"/>
  <c r="T342" i="2"/>
  <c r="T350" i="2"/>
  <c r="T358" i="2"/>
  <c r="T366" i="2"/>
  <c r="T374" i="2"/>
  <c r="T382" i="2"/>
  <c r="T395" i="2"/>
  <c r="T427" i="2"/>
  <c r="T459" i="2"/>
  <c r="T491" i="2"/>
  <c r="T532" i="2"/>
  <c r="T540" i="2"/>
  <c r="T548" i="2"/>
  <c r="T556" i="2"/>
  <c r="T564" i="2"/>
  <c r="T566" i="2"/>
  <c r="T568" i="2"/>
  <c r="T570" i="2"/>
  <c r="T572" i="2"/>
  <c r="T574" i="2"/>
  <c r="T576" i="2"/>
  <c r="T578" i="2"/>
  <c r="T580" i="2"/>
  <c r="T582" i="2"/>
  <c r="T584" i="2"/>
  <c r="T586" i="2"/>
  <c r="T588" i="2"/>
  <c r="T590" i="2"/>
  <c r="T592" i="2"/>
  <c r="T594" i="2"/>
  <c r="T596" i="2"/>
  <c r="T598" i="2"/>
  <c r="T600" i="2"/>
  <c r="T602" i="2"/>
  <c r="T604" i="2"/>
  <c r="T606" i="2"/>
  <c r="T608" i="2"/>
  <c r="T610" i="2"/>
  <c r="T612" i="2"/>
  <c r="T614" i="2"/>
  <c r="T616" i="2"/>
  <c r="T618" i="2"/>
  <c r="T620" i="2"/>
  <c r="T622" i="2"/>
  <c r="T624" i="2"/>
  <c r="T626" i="2"/>
  <c r="T628" i="2"/>
  <c r="T630" i="2"/>
  <c r="T632" i="2"/>
  <c r="T634" i="2"/>
  <c r="T636" i="2"/>
  <c r="T638" i="2"/>
  <c r="T640" i="2"/>
  <c r="T642" i="2"/>
  <c r="T644" i="2"/>
  <c r="T646" i="2"/>
  <c r="T648" i="2"/>
  <c r="T650" i="2"/>
  <c r="T652" i="2"/>
  <c r="T654" i="2"/>
  <c r="T656" i="2"/>
  <c r="T658" i="2"/>
  <c r="T660" i="2"/>
  <c r="T662" i="2"/>
  <c r="T664" i="2"/>
  <c r="T666" i="2"/>
  <c r="T668" i="2"/>
  <c r="T670" i="2"/>
  <c r="T672" i="2"/>
  <c r="T674" i="2"/>
  <c r="T676" i="2"/>
  <c r="T678" i="2"/>
  <c r="T680" i="2"/>
  <c r="T682" i="2"/>
  <c r="T684" i="2"/>
  <c r="T686" i="2"/>
  <c r="T688" i="2"/>
  <c r="T690" i="2"/>
  <c r="T692" i="2"/>
  <c r="T694" i="2"/>
  <c r="T696" i="2"/>
  <c r="T698" i="2"/>
  <c r="T700" i="2"/>
  <c r="T702" i="2"/>
  <c r="T704" i="2"/>
  <c r="T706" i="2"/>
  <c r="T708" i="2"/>
  <c r="T710" i="2"/>
  <c r="T712" i="2"/>
  <c r="T714" i="2"/>
  <c r="T716" i="2"/>
  <c r="T718" i="2"/>
  <c r="T720" i="2"/>
  <c r="T722" i="2"/>
  <c r="T724" i="2"/>
  <c r="T726" i="2"/>
  <c r="T728" i="2"/>
  <c r="T730" i="2"/>
  <c r="T732" i="2"/>
  <c r="T734" i="2"/>
  <c r="T736" i="2"/>
  <c r="T738" i="2"/>
  <c r="T740" i="2"/>
  <c r="T742" i="2"/>
  <c r="T744" i="2"/>
  <c r="T746" i="2"/>
  <c r="T748" i="2"/>
  <c r="T750" i="2"/>
  <c r="T752" i="2"/>
  <c r="T876" i="2"/>
  <c r="T879" i="2"/>
  <c r="T882" i="2"/>
  <c r="T886" i="2"/>
  <c r="T889" i="2"/>
  <c r="T916" i="2"/>
  <c r="T920" i="2"/>
  <c r="T923" i="2"/>
  <c r="T929" i="2"/>
  <c r="T777" i="2"/>
  <c r="T781" i="2"/>
  <c r="T788" i="2"/>
  <c r="T791" i="2"/>
  <c r="T794" i="2"/>
  <c r="T798" i="2"/>
  <c r="T801" i="2"/>
  <c r="T805" i="2"/>
  <c r="T808" i="2"/>
  <c r="T814" i="2"/>
  <c r="T817" i="2"/>
  <c r="T821" i="2"/>
  <c r="T824" i="2"/>
  <c r="T830" i="2"/>
  <c r="T833" i="2"/>
  <c r="T837" i="2"/>
  <c r="T843" i="2"/>
  <c r="T860" i="2"/>
  <c r="T894" i="2"/>
  <c r="T900" i="2"/>
  <c r="T904" i="2"/>
  <c r="T907" i="2"/>
  <c r="T913" i="2"/>
  <c r="T917" i="2"/>
  <c r="T924" i="2"/>
  <c r="Z7" i="2"/>
  <c r="Z11" i="2"/>
  <c r="Z6" i="2"/>
  <c r="Z10" i="2"/>
  <c r="Z5" i="2"/>
  <c r="Z8" i="2"/>
  <c r="Z9" i="2"/>
  <c r="AI2" i="2"/>
  <c r="AK144" i="23" l="1"/>
  <c r="AK161" i="23"/>
  <c r="AK143" i="23"/>
  <c r="K67" i="23"/>
  <c r="AK158" i="23"/>
  <c r="G23" i="23"/>
  <c r="G78" i="23" s="1"/>
  <c r="AK142" i="23"/>
  <c r="G26" i="23"/>
  <c r="G22" i="23"/>
  <c r="G25" i="23"/>
  <c r="G24" i="23"/>
  <c r="G27" i="23"/>
  <c r="H23" i="23"/>
  <c r="AP115" i="23" s="1"/>
  <c r="H22" i="23"/>
  <c r="AP114" i="23" s="1"/>
  <c r="K72" i="23"/>
  <c r="AK157" i="23"/>
  <c r="AO164" i="23"/>
  <c r="AK156" i="23"/>
  <c r="AK155" i="23"/>
  <c r="AP157" i="23"/>
  <c r="AY10" i="2"/>
  <c r="AO159" i="23"/>
  <c r="K71" i="23"/>
  <c r="K89" i="23"/>
  <c r="AO158" i="23"/>
  <c r="K75" i="23"/>
  <c r="K94" i="23"/>
  <c r="AP164" i="23"/>
  <c r="AY8" i="2"/>
  <c r="K69" i="23"/>
  <c r="K86" i="23"/>
  <c r="AP156" i="23"/>
  <c r="AO161" i="23"/>
  <c r="K90" i="23"/>
  <c r="AO157" i="23"/>
  <c r="AY7" i="2"/>
  <c r="AP160" i="23"/>
  <c r="K85" i="23"/>
  <c r="AO163" i="23"/>
  <c r="K73" i="23"/>
  <c r="K91" i="23"/>
  <c r="K68" i="23"/>
  <c r="AY9" i="2"/>
  <c r="AP158" i="23"/>
  <c r="AY5" i="2"/>
  <c r="K93" i="23"/>
  <c r="K70" i="23"/>
  <c r="AY6" i="2"/>
  <c r="AO155" i="23"/>
  <c r="AP155" i="23"/>
  <c r="AL130" i="23"/>
  <c r="AL125" i="23"/>
  <c r="H24" i="23"/>
  <c r="H79" i="23" s="1"/>
  <c r="H27" i="23"/>
  <c r="AP119" i="23" s="1"/>
  <c r="H25" i="23"/>
  <c r="AP117" i="23" s="1"/>
  <c r="H26" i="23"/>
  <c r="AP118" i="23" s="1"/>
  <c r="AL127" i="23"/>
  <c r="AL134" i="23"/>
  <c r="AL136" i="23"/>
  <c r="AL132" i="23"/>
  <c r="AL135" i="23"/>
  <c r="AL123" i="23"/>
  <c r="AL126" i="23"/>
  <c r="AL124" i="23"/>
  <c r="AL131" i="23"/>
  <c r="AL128" i="23"/>
  <c r="AL129" i="23"/>
  <c r="AL133" i="23"/>
  <c r="AK141" i="23"/>
  <c r="AK140" i="23"/>
  <c r="AL155" i="23"/>
  <c r="AL138" i="23"/>
  <c r="AL139" i="23"/>
  <c r="AO114" i="23"/>
  <c r="J74" i="23"/>
  <c r="AO145" i="23"/>
  <c r="P57" i="23" s="1"/>
  <c r="AX2" i="2"/>
  <c r="AP145" i="23"/>
  <c r="K19" i="23"/>
  <c r="AP162" i="23" s="1"/>
  <c r="P199" i="2"/>
  <c r="P171" i="2"/>
  <c r="P112" i="2"/>
  <c r="P190" i="2"/>
  <c r="P47" i="2"/>
  <c r="P275" i="2"/>
  <c r="P85" i="2"/>
  <c r="P121" i="2"/>
  <c r="P179" i="2"/>
  <c r="P170" i="2"/>
  <c r="P244" i="2"/>
  <c r="P138" i="2"/>
  <c r="P127" i="2"/>
  <c r="P105" i="2"/>
  <c r="P180" i="2"/>
  <c r="P96" i="2"/>
  <c r="P161" i="2"/>
  <c r="P135" i="2"/>
  <c r="P209" i="2"/>
  <c r="P68" i="2"/>
  <c r="P62" i="2"/>
  <c r="P126" i="2"/>
  <c r="AS14" i="2"/>
  <c r="AT18" i="2"/>
  <c r="AT14" i="2"/>
  <c r="AT19" i="2"/>
  <c r="AS18" i="2"/>
  <c r="AS19" i="2"/>
  <c r="P125" i="2"/>
  <c r="P192" i="2"/>
  <c r="P166" i="2"/>
  <c r="P102" i="2"/>
  <c r="P129" i="2"/>
  <c r="P183" i="2"/>
  <c r="P120" i="2"/>
  <c r="P66" i="2"/>
  <c r="P164" i="2"/>
  <c r="P36" i="2"/>
  <c r="P174" i="2"/>
  <c r="P110" i="2"/>
  <c r="P79" i="2"/>
  <c r="P159" i="2"/>
  <c r="P241" i="2"/>
  <c r="P250" i="2"/>
  <c r="P116" i="2"/>
  <c r="P93" i="2"/>
  <c r="P150" i="2"/>
  <c r="P97" i="2"/>
  <c r="P167" i="2"/>
  <c r="P88" i="2"/>
  <c r="P114" i="2"/>
  <c r="P50" i="2"/>
  <c r="P207" i="2"/>
  <c r="P132" i="2"/>
  <c r="P83" i="2"/>
  <c r="P176" i="2"/>
  <c r="P111" i="2"/>
  <c r="P253" i="2"/>
  <c r="P211" i="2"/>
  <c r="P187" i="2"/>
  <c r="P123" i="2"/>
  <c r="P185" i="2"/>
  <c r="P57" i="2"/>
  <c r="P193" i="2"/>
  <c r="P87" i="2"/>
  <c r="P265" i="2"/>
  <c r="P153" i="2"/>
  <c r="P100" i="2"/>
  <c r="P131" i="2"/>
  <c r="P67" i="2"/>
  <c r="P73" i="2"/>
  <c r="P90" i="2"/>
  <c r="P168" i="2"/>
  <c r="AQ3" i="2"/>
  <c r="AQ26" i="2" s="1"/>
  <c r="B28" i="23"/>
  <c r="B29" i="23" s="1"/>
  <c r="AK164" i="23" l="1"/>
  <c r="AK163" i="23"/>
  <c r="AK162" i="23"/>
  <c r="AK160" i="23"/>
  <c r="H77" i="23"/>
  <c r="H95" i="23"/>
  <c r="AK159" i="23"/>
  <c r="H78" i="23"/>
  <c r="AP98" i="23"/>
  <c r="G96" i="23"/>
  <c r="G81" i="23"/>
  <c r="AP101" i="23"/>
  <c r="G99" i="23"/>
  <c r="G95" i="23"/>
  <c r="AP97" i="23"/>
  <c r="G83" i="23"/>
  <c r="AO97" i="23"/>
  <c r="G77" i="23"/>
  <c r="G100" i="23"/>
  <c r="AP102" i="23"/>
  <c r="G82" i="23"/>
  <c r="G79" i="23"/>
  <c r="G97" i="23"/>
  <c r="AP99" i="23"/>
  <c r="G80" i="23"/>
  <c r="G98" i="23"/>
  <c r="AP100" i="23"/>
  <c r="H96" i="23"/>
  <c r="AL158" i="23"/>
  <c r="AP116" i="23"/>
  <c r="AL157" i="23"/>
  <c r="AL156" i="23"/>
  <c r="H97" i="23"/>
  <c r="H82" i="23"/>
  <c r="H99" i="23"/>
  <c r="H81" i="23"/>
  <c r="H100" i="23"/>
  <c r="H98" i="23"/>
  <c r="H80" i="23"/>
  <c r="H83" i="23"/>
  <c r="I22" i="23"/>
  <c r="I77" i="23" s="1"/>
  <c r="I25" i="23"/>
  <c r="AP134" i="23" s="1"/>
  <c r="I23" i="23"/>
  <c r="I78" i="23" s="1"/>
  <c r="I24" i="23"/>
  <c r="I97" i="23" s="1"/>
  <c r="I26" i="23"/>
  <c r="AP135" i="23" s="1"/>
  <c r="I27" i="23"/>
  <c r="I100" i="23" s="1"/>
  <c r="AL150" i="23"/>
  <c r="AL148" i="23"/>
  <c r="AL140" i="23"/>
  <c r="AL144" i="23"/>
  <c r="AL147" i="23"/>
  <c r="AL146" i="23"/>
  <c r="AL145" i="23"/>
  <c r="AL153" i="23"/>
  <c r="AL142" i="23"/>
  <c r="AL149" i="23"/>
  <c r="AL151" i="23"/>
  <c r="AL143" i="23"/>
  <c r="AL141" i="23"/>
  <c r="AL152" i="23"/>
  <c r="AY2" i="2"/>
  <c r="K92" i="23"/>
  <c r="AO162" i="23"/>
  <c r="P58" i="23" s="1"/>
  <c r="K74" i="23"/>
  <c r="AU18" i="2"/>
  <c r="AU19" i="2"/>
  <c r="AV19" i="2"/>
  <c r="AV14" i="2"/>
  <c r="AV18" i="2"/>
  <c r="AU14" i="2"/>
  <c r="X10" i="23" a="1"/>
  <c r="X10" i="23" s="1"/>
  <c r="W32" i="23" a="1"/>
  <c r="W32" i="23" s="1"/>
  <c r="X14" i="23" a="1"/>
  <c r="X14" i="23" s="1"/>
  <c r="V26" i="23" a="1"/>
  <c r="V26" i="23" s="1"/>
  <c r="Y13" i="23" a="1"/>
  <c r="Y13" i="23" s="1"/>
  <c r="V34" i="23" a="1"/>
  <c r="V34" i="23" s="1"/>
  <c r="AA5" i="23" a="1"/>
  <c r="AA5" i="23" s="1"/>
  <c r="X9" i="23" a="1"/>
  <c r="X9" i="23" s="1"/>
  <c r="W23" i="23" a="1"/>
  <c r="W23" i="23" s="1"/>
  <c r="X7" i="23" a="1"/>
  <c r="X7" i="23" s="1"/>
  <c r="AA15" i="23" a="1"/>
  <c r="AA15" i="23" s="1"/>
  <c r="W42" i="23" a="1"/>
  <c r="W42" i="23" s="1"/>
  <c r="Z3" i="23" a="1"/>
  <c r="Z3" i="23" s="1"/>
  <c r="V5" i="23" a="1"/>
  <c r="V5" i="23" s="1"/>
  <c r="V19" i="23" a="1"/>
  <c r="V19" i="23" s="1"/>
  <c r="X41" i="23" a="1"/>
  <c r="X41" i="23" s="1"/>
  <c r="Z15" i="23" a="1"/>
  <c r="Z15" i="23" s="1"/>
  <c r="Y26" i="23" a="1"/>
  <c r="Y26" i="23" s="1"/>
  <c r="Y12" i="23" a="1"/>
  <c r="Y12" i="23" s="1"/>
  <c r="X18" i="23" a="1"/>
  <c r="X18" i="23" s="1"/>
  <c r="Z25" i="23" a="1"/>
  <c r="Z25" i="23" s="1"/>
  <c r="X12" i="23" a="1"/>
  <c r="X12" i="23" s="1"/>
  <c r="Y28" i="23" a="1"/>
  <c r="Y28" i="23" s="1"/>
  <c r="AA20" i="23" a="1"/>
  <c r="AA20" i="23" s="1"/>
  <c r="AA14" i="23" a="1"/>
  <c r="AA14" i="23" s="1"/>
  <c r="X31" i="23" a="1"/>
  <c r="X31" i="23" s="1"/>
  <c r="V15" i="23" a="1"/>
  <c r="V15" i="23" s="1"/>
  <c r="AA7" i="23" a="1"/>
  <c r="AA7" i="23" s="1"/>
  <c r="Z23" i="23" a="1"/>
  <c r="Z23" i="23" s="1"/>
  <c r="AA10" i="23" a="1"/>
  <c r="AA10" i="23" s="1"/>
  <c r="W10" i="23" a="1"/>
  <c r="W10" i="23" s="1"/>
  <c r="AA31" i="23" a="1"/>
  <c r="AA31" i="23" s="1"/>
  <c r="W15" i="23" a="1"/>
  <c r="W15" i="23" s="1"/>
  <c r="AA18" i="23" a="1"/>
  <c r="AA18" i="23" s="1"/>
  <c r="Z5" i="23" a="1"/>
  <c r="Z5" i="23" s="1"/>
  <c r="Z21" i="23" a="1"/>
  <c r="Z21" i="23" s="1"/>
  <c r="V8" i="23" a="1"/>
  <c r="V8" i="23" s="1"/>
  <c r="X16" i="23" a="1"/>
  <c r="X16" i="23" s="1"/>
  <c r="Z18" i="23" a="1"/>
  <c r="Z18" i="23" s="1"/>
  <c r="V44" i="23" a="1"/>
  <c r="V44" i="23" s="1"/>
  <c r="Z17" i="23" a="1"/>
  <c r="Z17" i="23" s="1"/>
  <c r="W31" i="23" a="1"/>
  <c r="W31" i="23" s="1"/>
  <c r="V4" i="23" a="1"/>
  <c r="V4" i="23" s="1"/>
  <c r="Z20" i="23" a="1"/>
  <c r="Z20" i="23" s="1"/>
  <c r="Z33" i="23" a="1"/>
  <c r="Z33" i="23" s="1"/>
  <c r="W20" i="23" a="1"/>
  <c r="W20" i="23" s="1"/>
  <c r="V13" i="23" a="1"/>
  <c r="V13" i="23" s="1"/>
  <c r="X26" i="23" a="1"/>
  <c r="X26" i="23" s="1"/>
  <c r="AA16" i="23" a="1"/>
  <c r="AA16" i="23" s="1"/>
  <c r="Y18" i="23" a="1"/>
  <c r="Y18" i="23" s="1"/>
  <c r="Y7" i="23" a="1"/>
  <c r="Y7" i="23" s="1"/>
  <c r="X30" i="23" a="1"/>
  <c r="X30" i="23" s="1"/>
  <c r="W24" i="23" a="1"/>
  <c r="W24" i="23" s="1"/>
  <c r="Y8" i="23" a="1"/>
  <c r="Y8" i="23" s="1"/>
  <c r="V27" i="23" a="1"/>
  <c r="V27" i="23" s="1"/>
  <c r="AA22" i="23" a="1"/>
  <c r="AA22" i="23" s="1"/>
  <c r="AA32" i="23" a="1"/>
  <c r="AA32" i="23" s="1"/>
  <c r="AA9" i="23" a="1"/>
  <c r="AA9" i="23" s="1"/>
  <c r="V38" i="23" a="1"/>
  <c r="V38" i="23" s="1"/>
  <c r="W7" i="23" a="1"/>
  <c r="W7" i="23" s="1"/>
  <c r="Y20" i="23" a="1"/>
  <c r="Y20" i="23" s="1"/>
  <c r="Y33" i="23" a="1"/>
  <c r="Y33" i="23" s="1"/>
  <c r="Y9" i="23" a="1"/>
  <c r="Y9" i="23" s="1"/>
  <c r="X23" i="23" a="1"/>
  <c r="X23" i="23" s="1"/>
  <c r="W4" i="23" a="1"/>
  <c r="W4" i="23" s="1"/>
  <c r="X20" i="23" a="1"/>
  <c r="X20" i="23" s="1"/>
  <c r="X15" i="23" a="1"/>
  <c r="X15" i="23" s="1"/>
  <c r="V29" i="23" a="1"/>
  <c r="V29" i="23" s="1"/>
  <c r="W5" i="23" a="1"/>
  <c r="W5" i="23" s="1"/>
  <c r="W21" i="23" a="1"/>
  <c r="W21" i="23" s="1"/>
  <c r="AA21" i="23" a="1"/>
  <c r="AA21" i="23" s="1"/>
  <c r="W11" i="23" a="1"/>
  <c r="W11" i="23" s="1"/>
  <c r="Y29" i="23" a="1"/>
  <c r="Y29" i="23" s="1"/>
  <c r="Z10" i="23" a="1"/>
  <c r="Z10" i="23" s="1"/>
  <c r="X32" i="23" a="1"/>
  <c r="X32" i="23" s="1"/>
  <c r="Y6" i="23" a="1"/>
  <c r="Y6" i="23" s="1"/>
  <c r="AA8" i="23" a="1"/>
  <c r="AA8" i="23" s="1"/>
  <c r="Z46" i="23" a="1"/>
  <c r="Z46" i="23" s="1"/>
  <c r="Y15" i="23" a="1"/>
  <c r="Y15" i="23" s="1"/>
  <c r="W29" i="23" a="1"/>
  <c r="W29" i="23" s="1"/>
  <c r="Y22" i="23" a="1"/>
  <c r="Y22" i="23" s="1"/>
  <c r="X8" i="23" a="1"/>
  <c r="X8" i="23" s="1"/>
  <c r="Y21" i="23" a="1"/>
  <c r="Y21" i="23" s="1"/>
  <c r="AA34" i="23" a="1"/>
  <c r="AA34" i="23" s="1"/>
  <c r="V16" i="23" a="1"/>
  <c r="V16" i="23" s="1"/>
  <c r="Z29" i="23" a="1"/>
  <c r="Z29" i="23" s="1"/>
  <c r="Z12" i="23" a="1"/>
  <c r="Z12" i="23" s="1"/>
  <c r="Y30" i="23" a="1"/>
  <c r="Y30" i="23" s="1"/>
  <c r="X5" i="23" a="1"/>
  <c r="X5" i="23" s="1"/>
  <c r="Y19" i="23" a="1"/>
  <c r="Y19" i="23" s="1"/>
  <c r="Z30" i="23" a="1"/>
  <c r="Z30" i="23" s="1"/>
  <c r="X19" i="23" a="1"/>
  <c r="X19" i="23" s="1"/>
  <c r="AA12" i="23" a="1"/>
  <c r="AA12" i="23" s="1"/>
  <c r="Y4" i="23" a="1"/>
  <c r="Y4" i="23" s="1"/>
  <c r="AA39" i="23" a="1"/>
  <c r="AA39" i="23" s="1"/>
  <c r="W43" i="23" a="1"/>
  <c r="W43" i="23" s="1"/>
  <c r="Z43" i="23" a="1"/>
  <c r="Z43" i="23" s="1"/>
  <c r="AA4" i="23" a="1"/>
  <c r="AA4" i="23" s="1"/>
  <c r="Z26" i="23" a="1"/>
  <c r="Z26" i="23" s="1"/>
  <c r="W30" i="23" a="1"/>
  <c r="W30" i="23" s="1"/>
  <c r="W9" i="23" a="1"/>
  <c r="W9" i="23" s="1"/>
  <c r="AA19" i="23" a="1"/>
  <c r="AA19" i="23" s="1"/>
  <c r="W16" i="23" a="1"/>
  <c r="W16" i="23" s="1"/>
  <c r="AA46" i="23" a="1"/>
  <c r="AA46" i="23" s="1"/>
  <c r="V41" i="23" a="1"/>
  <c r="V41" i="23" s="1"/>
  <c r="X44" i="23" a="1"/>
  <c r="X44" i="23" s="1"/>
  <c r="X42" i="23" a="1"/>
  <c r="X42" i="23" s="1"/>
  <c r="Y31" i="23" a="1"/>
  <c r="Y31" i="23" s="1"/>
  <c r="Z19" i="23" a="1"/>
  <c r="Z19" i="23" s="1"/>
  <c r="Z8" i="23" a="1"/>
  <c r="Z8" i="23" s="1"/>
  <c r="Z11" i="23" a="1"/>
  <c r="Z11" i="23" s="1"/>
  <c r="X3" i="23" a="1"/>
  <c r="X3" i="23" s="1"/>
  <c r="AA37" i="23" a="1"/>
  <c r="AA37" i="23" s="1"/>
  <c r="W41" i="23" a="1"/>
  <c r="W41" i="23" s="1"/>
  <c r="Y44" i="23" a="1"/>
  <c r="Y44" i="23" s="1"/>
  <c r="Z14" i="23" a="1"/>
  <c r="Z14" i="23" s="1"/>
  <c r="AA25" i="23" a="1"/>
  <c r="AA25" i="23" s="1"/>
  <c r="Z9" i="23" a="1"/>
  <c r="Z9" i="23" s="1"/>
  <c r="Z6" i="23" a="1"/>
  <c r="Z6" i="23" s="1"/>
  <c r="AA17" i="23" a="1"/>
  <c r="AA17" i="23" s="1"/>
  <c r="Z28" i="23" a="1"/>
  <c r="Z28" i="23" s="1"/>
  <c r="AA6" i="23" a="1"/>
  <c r="AA6" i="23" s="1"/>
  <c r="V11" i="23" a="1"/>
  <c r="V11" i="23" s="1"/>
  <c r="V10" i="23" a="1"/>
  <c r="V10" i="23" s="1"/>
  <c r="V21" i="23" a="1"/>
  <c r="V21" i="23" s="1"/>
  <c r="Z31" i="23" a="1"/>
  <c r="Z31" i="23" s="1"/>
  <c r="X22" i="23" a="1"/>
  <c r="X22" i="23" s="1"/>
  <c r="W13" i="23" a="1"/>
  <c r="W13" i="23" s="1"/>
  <c r="AA23" i="23" a="1"/>
  <c r="AA23" i="23" s="1"/>
  <c r="Y34" i="23" a="1"/>
  <c r="Y34" i="23" s="1"/>
  <c r="AA30" i="23" a="1"/>
  <c r="AA30" i="23" s="1"/>
  <c r="Y5" i="23" a="1"/>
  <c r="Y5" i="23" s="1"/>
  <c r="Y16" i="23" a="1"/>
  <c r="Y16" i="23" s="1"/>
  <c r="AA26" i="23" a="1"/>
  <c r="AA26" i="23" s="1"/>
  <c r="Y24" i="23" a="1"/>
  <c r="Y24" i="23" s="1"/>
  <c r="Z13" i="23" a="1"/>
  <c r="Z13" i="23" s="1"/>
  <c r="X24" i="23" a="1"/>
  <c r="X24" i="23" s="1"/>
  <c r="W3" i="23" a="1"/>
  <c r="W3" i="23" s="1"/>
  <c r="X17" i="23" a="1"/>
  <c r="X17" i="23" s="1"/>
  <c r="Z24" i="23" a="1"/>
  <c r="Z24" i="23" s="1"/>
  <c r="Z27" i="23" a="1"/>
  <c r="Z27" i="23" s="1"/>
  <c r="V32" i="23" a="1"/>
  <c r="V32" i="23" s="1"/>
  <c r="AA11" i="23" a="1"/>
  <c r="AA11" i="23" s="1"/>
  <c r="W22" i="23" a="1"/>
  <c r="W22" i="23" s="1"/>
  <c r="Z32" i="23" a="1"/>
  <c r="Z32" i="23" s="1"/>
  <c r="Y25" i="23" a="1"/>
  <c r="Y25" i="23" s="1"/>
  <c r="Z16" i="23" a="1"/>
  <c r="Z16" i="23" s="1"/>
  <c r="W33" i="23" a="1"/>
  <c r="W33" i="23" s="1"/>
  <c r="Y14" i="23" a="1"/>
  <c r="Y14" i="23" s="1"/>
  <c r="W18" i="23" a="1"/>
  <c r="W18" i="23" s="1"/>
  <c r="AA28" i="23" a="1"/>
  <c r="AA28" i="23" s="1"/>
  <c r="AA27" i="23" a="1"/>
  <c r="AA27" i="23" s="1"/>
  <c r="W27" i="23" a="1"/>
  <c r="W27" i="23" s="1"/>
  <c r="V23" i="23" a="1"/>
  <c r="V23" i="23" s="1"/>
  <c r="X21" i="23" a="1"/>
  <c r="X21" i="23" s="1"/>
  <c r="W28" i="23" a="1"/>
  <c r="W28" i="23" s="1"/>
  <c r="X4" i="23" a="1"/>
  <c r="X4" i="23" s="1"/>
  <c r="W25" i="23" a="1"/>
  <c r="W25" i="23" s="1"/>
  <c r="W8" i="23" a="1"/>
  <c r="W8" i="23" s="1"/>
  <c r="Y17" i="23" a="1"/>
  <c r="Y17" i="23" s="1"/>
  <c r="Y40" i="23" a="1"/>
  <c r="Y40" i="23" s="1"/>
  <c r="V40" i="23" a="1"/>
  <c r="V40" i="23" s="1"/>
  <c r="Z39" i="23" a="1"/>
  <c r="Z39" i="23" s="1"/>
  <c r="V42" i="23" a="1"/>
  <c r="V42" i="23" s="1"/>
  <c r="AA43" i="23" a="1"/>
  <c r="AA43" i="23" s="1"/>
  <c r="X43" i="23" a="1"/>
  <c r="X43" i="23" s="1"/>
  <c r="X37" i="23" a="1"/>
  <c r="X37" i="23" s="1"/>
  <c r="AA45" i="23" a="1"/>
  <c r="AA45" i="23" s="1"/>
  <c r="W37" i="23" a="1"/>
  <c r="W37" i="23" s="1"/>
  <c r="V37" i="23" a="1"/>
  <c r="V37" i="23" s="1"/>
  <c r="W45" i="23" a="1"/>
  <c r="W45" i="23" s="1"/>
  <c r="X46" i="23" a="1"/>
  <c r="X46" i="23" s="1"/>
  <c r="Z37" i="23" a="1"/>
  <c r="Z37" i="23" s="1"/>
  <c r="W39" i="23" a="1"/>
  <c r="W39" i="23" s="1"/>
  <c r="W14" i="23" a="1"/>
  <c r="W14" i="23" s="1"/>
  <c r="AA24" i="23" a="1"/>
  <c r="AA24" i="23" s="1"/>
  <c r="AA3" i="23" a="1"/>
  <c r="AA3" i="23" s="1"/>
  <c r="W6" i="23" a="1"/>
  <c r="W6" i="23" s="1"/>
  <c r="Z22" i="23" a="1"/>
  <c r="Z22" i="23" s="1"/>
  <c r="Y3" i="23" a="1"/>
  <c r="Y3" i="23" s="1"/>
  <c r="W19" i="23" a="1"/>
  <c r="W19" i="23" s="1"/>
  <c r="X27" i="23" a="1"/>
  <c r="X27" i="23" s="1"/>
  <c r="Z34" i="23" a="1"/>
  <c r="Z34" i="23" s="1"/>
  <c r="V33" i="23" a="1"/>
  <c r="V33" i="23" s="1"/>
  <c r="X33" i="23" a="1"/>
  <c r="X33" i="23" s="1"/>
  <c r="AA29" i="23" a="1"/>
  <c r="AA29" i="23" s="1"/>
  <c r="V30" i="23" a="1"/>
  <c r="V30" i="23" s="1"/>
  <c r="Z4" i="23" a="1"/>
  <c r="Z4" i="23" s="1"/>
  <c r="X13" i="23" a="1"/>
  <c r="X13" i="23" s="1"/>
  <c r="V3" i="23" a="1"/>
  <c r="V3" i="23" s="1"/>
  <c r="W26" i="23" a="1"/>
  <c r="W26" i="23" s="1"/>
  <c r="Y41" i="23" a="1"/>
  <c r="Y41" i="23" s="1"/>
  <c r="Z42" i="23" a="1"/>
  <c r="Z42" i="23" s="1"/>
  <c r="AA42" i="23" a="1"/>
  <c r="AA42" i="23" s="1"/>
  <c r="V43" i="23" a="1"/>
  <c r="V43" i="23" s="1"/>
  <c r="Z44" i="23" a="1"/>
  <c r="Z44" i="23" s="1"/>
  <c r="Y46" i="23" a="1"/>
  <c r="Y46" i="23" s="1"/>
  <c r="V46" i="23" a="1"/>
  <c r="V46" i="23" s="1"/>
  <c r="Z40" i="23" a="1"/>
  <c r="Z40" i="23" s="1"/>
  <c r="AA38" i="23" a="1"/>
  <c r="AA38" i="23" s="1"/>
  <c r="V39" i="23" a="1"/>
  <c r="V39" i="23" s="1"/>
  <c r="Z45" i="23" a="1"/>
  <c r="Z45" i="23" s="1"/>
  <c r="W38" i="23" a="1"/>
  <c r="W38" i="23" s="1"/>
  <c r="X39" i="23" a="1"/>
  <c r="X39" i="23" s="1"/>
  <c r="V7" i="23" a="1"/>
  <c r="V7" i="23" s="1"/>
  <c r="V6" i="23" a="1"/>
  <c r="V6" i="23" s="1"/>
  <c r="W17" i="23" a="1"/>
  <c r="W17" i="23" s="1"/>
  <c r="Y27" i="23" a="1"/>
  <c r="Y27" i="23" s="1"/>
  <c r="AA13" i="23" a="1"/>
  <c r="AA13" i="23" s="1"/>
  <c r="X11" i="23" a="1"/>
  <c r="X11" i="23" s="1"/>
  <c r="X25" i="23" a="1"/>
  <c r="X25" i="23" s="1"/>
  <c r="X6" i="23" a="1"/>
  <c r="X6" i="23" s="1"/>
  <c r="Y23" i="23" a="1"/>
  <c r="Y23" i="23" s="1"/>
  <c r="Y32" i="23" a="1"/>
  <c r="Y32" i="23" s="1"/>
  <c r="Z7" i="23" a="1"/>
  <c r="Z7" i="23" s="1"/>
  <c r="Y10" i="23" a="1"/>
  <c r="Y10" i="23" s="1"/>
  <c r="X34" i="23" a="1"/>
  <c r="X34" i="23" s="1"/>
  <c r="W34" i="23" a="1"/>
  <c r="W34" i="23" s="1"/>
  <c r="AA33" i="23" a="1"/>
  <c r="AA33" i="23" s="1"/>
  <c r="Y11" i="23" a="1"/>
  <c r="Y11" i="23" s="1"/>
  <c r="X29" i="23" a="1"/>
  <c r="X29" i="23" s="1"/>
  <c r="W12" i="23" a="1"/>
  <c r="W12" i="23" s="1"/>
  <c r="X28" i="23" a="1"/>
  <c r="X28" i="23" s="1"/>
  <c r="W44" i="23" a="1"/>
  <c r="W44" i="23" s="1"/>
  <c r="X45" i="23" a="1"/>
  <c r="X45" i="23" s="1"/>
  <c r="Y45" i="23" a="1"/>
  <c r="Y45" i="23" s="1"/>
  <c r="Y42" i="23" a="1"/>
  <c r="Y42" i="23" s="1"/>
  <c r="X38" i="23" a="1"/>
  <c r="X38" i="23" s="1"/>
  <c r="Y38" i="23" a="1"/>
  <c r="Y38" i="23" s="1"/>
  <c r="Y43" i="23" a="1"/>
  <c r="Y43" i="23" s="1"/>
  <c r="X40" i="23" a="1"/>
  <c r="X40" i="23" s="1"/>
  <c r="Z41" i="23" a="1"/>
  <c r="Z41" i="23" s="1"/>
  <c r="AA41" i="23" a="1"/>
  <c r="AA41" i="23" s="1"/>
  <c r="W46" i="23" a="1"/>
  <c r="W46" i="23" s="1"/>
  <c r="AA40" i="23" a="1"/>
  <c r="AA40" i="23" s="1"/>
  <c r="V18" i="23" a="1"/>
  <c r="V18" i="23" s="1"/>
  <c r="V25" i="23" a="1"/>
  <c r="V25" i="23" s="1"/>
  <c r="V12" i="23" a="1"/>
  <c r="V12" i="23" s="1"/>
  <c r="V45" i="23" a="1"/>
  <c r="V45" i="23" s="1"/>
  <c r="V20" i="23" a="1"/>
  <c r="V20" i="23" s="1"/>
  <c r="V28" i="23" a="1"/>
  <c r="V28" i="23" s="1"/>
  <c r="V14" i="23" a="1"/>
  <c r="V14" i="23" s="1"/>
  <c r="V9" i="23" a="1"/>
  <c r="V9" i="23" s="1"/>
  <c r="Y39" i="23" a="1"/>
  <c r="Y39" i="23" s="1"/>
  <c r="W40" i="23" a="1"/>
  <c r="W40" i="23" s="1"/>
  <c r="V22" i="23" a="1"/>
  <c r="V22" i="23" s="1"/>
  <c r="V24" i="23" a="1"/>
  <c r="V24" i="23" s="1"/>
  <c r="V17" i="23" a="1"/>
  <c r="V17" i="23" s="1"/>
  <c r="AA44" i="23" a="1"/>
  <c r="AA44" i="23" s="1"/>
  <c r="Y37" i="23" a="1"/>
  <c r="Y37" i="23" s="1"/>
  <c r="Z38" i="23" a="1"/>
  <c r="Z38" i="23" s="1"/>
  <c r="V31" i="23" a="1"/>
  <c r="V31" i="23" s="1"/>
  <c r="AR3" i="2"/>
  <c r="AR26" i="2" s="1"/>
  <c r="C28" i="23"/>
  <c r="C29" i="23" s="1"/>
  <c r="AL168" i="23" l="1"/>
  <c r="AL167" i="23"/>
  <c r="AL165" i="23"/>
  <c r="AL161" i="23"/>
  <c r="AL170" i="23"/>
  <c r="AL164" i="23"/>
  <c r="AL160" i="23"/>
  <c r="AL163" i="23"/>
  <c r="AL159" i="23"/>
  <c r="AL169" i="23"/>
  <c r="AL162" i="23"/>
  <c r="AL166" i="23"/>
  <c r="I96" i="23"/>
  <c r="AP131" i="23"/>
  <c r="I95" i="23"/>
  <c r="AO131" i="23"/>
  <c r="I98" i="23"/>
  <c r="I80" i="23"/>
  <c r="AP132" i="23"/>
  <c r="I79" i="23"/>
  <c r="AP133" i="23"/>
  <c r="AP136" i="23"/>
  <c r="I99" i="23"/>
  <c r="I82" i="23"/>
  <c r="I83" i="23"/>
  <c r="I81" i="23"/>
  <c r="J22" i="23"/>
  <c r="J77" i="23" s="1"/>
  <c r="J25" i="23"/>
  <c r="J80" i="23" s="1"/>
  <c r="J23" i="23"/>
  <c r="AP149" i="23" s="1"/>
  <c r="J24" i="23"/>
  <c r="AP150" i="23" s="1"/>
  <c r="J27" i="23"/>
  <c r="J82" i="23" s="1"/>
  <c r="J26" i="23"/>
  <c r="J99" i="23" s="1"/>
  <c r="AX19" i="2"/>
  <c r="AW14" i="2"/>
  <c r="AX18" i="2"/>
  <c r="AX14" i="2"/>
  <c r="AW19" i="2"/>
  <c r="AW18" i="2"/>
  <c r="D28" i="23"/>
  <c r="D29" i="23" s="1"/>
  <c r="AS3" i="2"/>
  <c r="AS26" i="2" s="1"/>
  <c r="J20" i="5"/>
  <c r="J22" i="5"/>
  <c r="K27" i="23" l="1"/>
  <c r="K82" i="23" s="1"/>
  <c r="K24" i="23"/>
  <c r="AP167" i="23" s="1"/>
  <c r="K22" i="23"/>
  <c r="K23" i="23"/>
  <c r="AP166" i="23" s="1"/>
  <c r="K26" i="23"/>
  <c r="K81" i="23" s="1"/>
  <c r="K25" i="23"/>
  <c r="K80" i="23" s="1"/>
  <c r="AO148" i="23"/>
  <c r="J98" i="23"/>
  <c r="J100" i="23"/>
  <c r="J95" i="23"/>
  <c r="AP148" i="23"/>
  <c r="AP153" i="23"/>
  <c r="J81" i="23"/>
  <c r="J79" i="23"/>
  <c r="AP151" i="23"/>
  <c r="J97" i="23"/>
  <c r="J96" i="23"/>
  <c r="J78" i="23"/>
  <c r="J83" i="23"/>
  <c r="AP152" i="23"/>
  <c r="AY19" i="2"/>
  <c r="AY14" i="2"/>
  <c r="AY18" i="2"/>
  <c r="AT3" i="2"/>
  <c r="AT26" i="2" s="1"/>
  <c r="E28" i="23"/>
  <c r="E29" i="23" s="1"/>
  <c r="F23" i="5"/>
  <c r="K20" i="5"/>
  <c r="M20" i="5" s="1"/>
  <c r="L20" i="5"/>
  <c r="N20" i="5" s="1"/>
  <c r="J21" i="5"/>
  <c r="K22" i="5"/>
  <c r="M22" i="5" s="1"/>
  <c r="L22" i="5"/>
  <c r="N22" i="5" s="1"/>
  <c r="K100" i="23" l="1"/>
  <c r="AP170" i="23"/>
  <c r="K97" i="23"/>
  <c r="K78" i="23"/>
  <c r="K96" i="23"/>
  <c r="K79" i="23"/>
  <c r="K99" i="23"/>
  <c r="K83" i="23"/>
  <c r="AP169" i="23"/>
  <c r="K98" i="23"/>
  <c r="AO165" i="23"/>
  <c r="K95" i="23"/>
  <c r="K77" i="23"/>
  <c r="AP165" i="23"/>
  <c r="AP168" i="23"/>
  <c r="AU3" i="2"/>
  <c r="AU26" i="2" s="1"/>
  <c r="L21" i="5"/>
  <c r="N21" i="5" s="1"/>
  <c r="K21" i="5"/>
  <c r="M21" i="5" s="1"/>
  <c r="G28" i="23" l="1"/>
  <c r="G29" i="23" s="1"/>
  <c r="AV3" i="2"/>
  <c r="AV26" i="2" s="1"/>
  <c r="L12" i="23" l="1"/>
  <c r="M12" i="23" s="1"/>
  <c r="L14" i="23"/>
  <c r="M14" i="23" s="1"/>
  <c r="Y7" i="2"/>
  <c r="L17" i="23" s="1" a="1"/>
  <c r="L17" i="23" s="1"/>
  <c r="M17" i="23" s="1"/>
  <c r="L16" i="23"/>
  <c r="M16" i="23" s="1"/>
  <c r="Y8" i="2"/>
  <c r="L18" i="23"/>
  <c r="M18" i="23" s="1"/>
  <c r="Y9" i="2"/>
  <c r="L20" i="23"/>
  <c r="M20" i="23" s="1"/>
  <c r="Y10" i="2"/>
  <c r="L21" i="23"/>
  <c r="M21" i="23" s="1"/>
  <c r="Y6" i="2"/>
  <c r="L15" i="23" s="1" a="1"/>
  <c r="L15" i="23" s="1"/>
  <c r="L19" i="23" s="1"/>
  <c r="Y5" i="2"/>
  <c r="L13" i="23" s="1" a="1"/>
  <c r="L13" i="23" s="1"/>
  <c r="M13" i="23" s="1"/>
  <c r="H28" i="23"/>
  <c r="H29" i="23" s="1"/>
  <c r="AW3" i="2"/>
  <c r="AW26" i="2" s="1"/>
  <c r="M15" i="23" l="1"/>
  <c r="M19" i="23"/>
  <c r="Y2" i="2"/>
  <c r="X34" i="2" s="1"/>
  <c r="B36" i="23"/>
  <c r="AQ29" i="2"/>
  <c r="B32" i="23"/>
  <c r="X26" i="2"/>
  <c r="X27" i="2"/>
  <c r="X33" i="2"/>
  <c r="X29" i="2"/>
  <c r="X28" i="2"/>
  <c r="X30" i="2"/>
  <c r="X24" i="2"/>
  <c r="X25" i="2"/>
  <c r="X23" i="2"/>
  <c r="B55" i="23"/>
  <c r="B52" i="23"/>
  <c r="B53" i="23"/>
  <c r="AX3" i="2"/>
  <c r="AX26" i="2" s="1"/>
  <c r="I28" i="23"/>
  <c r="I29" i="23" s="1"/>
  <c r="B39" i="23" l="1"/>
  <c r="B40" i="23"/>
  <c r="B33" i="23"/>
  <c r="B54" i="23"/>
  <c r="AQ34" i="2"/>
  <c r="AQ32" i="2"/>
  <c r="AQ23" i="2"/>
  <c r="AQ33" i="2"/>
  <c r="B50" i="23"/>
  <c r="B49" i="23"/>
  <c r="AQ28" i="2"/>
  <c r="AQ31" i="2"/>
  <c r="AQ30" i="2"/>
  <c r="AQ27" i="2"/>
  <c r="B31" i="23"/>
  <c r="B37" i="23"/>
  <c r="B51" i="23"/>
  <c r="B34" i="23"/>
  <c r="B57" i="23"/>
  <c r="B35" i="23"/>
  <c r="B84" i="23"/>
  <c r="B58" i="23"/>
  <c r="Q283" i="2"/>
  <c r="R283" i="2" s="1"/>
  <c r="Q359" i="2"/>
  <c r="R359" i="2" s="1"/>
  <c r="Q216" i="2"/>
  <c r="R216" i="2" s="1"/>
  <c r="Q794" i="2"/>
  <c r="Q677" i="2"/>
  <c r="Q776" i="2"/>
  <c r="Q880" i="2"/>
  <c r="Q362" i="2"/>
  <c r="R362" i="2" s="1"/>
  <c r="Q653" i="2"/>
  <c r="Q104" i="2"/>
  <c r="Q245" i="2"/>
  <c r="R245" i="2" s="1"/>
  <c r="Q840" i="2"/>
  <c r="Q635" i="2"/>
  <c r="Q34" i="2"/>
  <c r="Q697" i="2"/>
  <c r="Q125" i="2"/>
  <c r="Q27" i="2"/>
  <c r="Q519" i="2"/>
  <c r="Q210" i="2"/>
  <c r="R210" i="2" s="1"/>
  <c r="Q310" i="2"/>
  <c r="Q419" i="2"/>
  <c r="Q645" i="2"/>
  <c r="Q131" i="2"/>
  <c r="Q61" i="2"/>
  <c r="Q488" i="2"/>
  <c r="Q33" i="2"/>
  <c r="Q537" i="2"/>
  <c r="Q593" i="2"/>
  <c r="Q388" i="2"/>
  <c r="R388" i="2" s="1"/>
  <c r="Q96" i="2"/>
  <c r="Q461" i="2"/>
  <c r="R461" i="2" s="1"/>
  <c r="Q140" i="2"/>
  <c r="Q263" i="2"/>
  <c r="R263" i="2" s="1"/>
  <c r="Q136" i="2"/>
  <c r="Q376" i="2"/>
  <c r="Q24" i="2"/>
  <c r="Q475" i="2"/>
  <c r="Q116" i="2"/>
  <c r="Q271" i="2"/>
  <c r="Q143" i="2"/>
  <c r="Q403" i="2"/>
  <c r="R403" i="2" s="1"/>
  <c r="Q7" i="2"/>
  <c r="Q507" i="2"/>
  <c r="Q149" i="2"/>
  <c r="Q767" i="2"/>
  <c r="Q451" i="2"/>
  <c r="Q192" i="2"/>
  <c r="Q386" i="2"/>
  <c r="R386" i="2" s="1"/>
  <c r="Q193" i="2"/>
  <c r="Q2" i="2"/>
  <c r="Q8" i="2"/>
  <c r="Q640" i="2"/>
  <c r="Q432" i="2"/>
  <c r="Q366" i="2"/>
  <c r="R366" i="2" s="1"/>
  <c r="Q921" i="2"/>
  <c r="Q409" i="2"/>
  <c r="R409" i="2" s="1"/>
  <c r="Q183" i="2"/>
  <c r="Q17" i="2"/>
  <c r="Q898" i="2"/>
  <c r="Q332" i="2"/>
  <c r="R332" i="2" s="1"/>
  <c r="Q289" i="2"/>
  <c r="R289" i="2" s="1"/>
  <c r="Q504" i="2"/>
  <c r="Q75" i="2"/>
  <c r="Q35" i="2"/>
  <c r="Q493" i="2"/>
  <c r="Q712" i="2"/>
  <c r="Q548" i="2"/>
  <c r="R548" i="2" s="1"/>
  <c r="Q850" i="2"/>
  <c r="Q417" i="2"/>
  <c r="Q269" i="2"/>
  <c r="R269" i="2" s="1"/>
  <c r="Q375" i="2"/>
  <c r="Q855" i="2"/>
  <c r="Q264" i="2"/>
  <c r="R264" i="2" s="1"/>
  <c r="Q141" i="2"/>
  <c r="Q746" i="2"/>
  <c r="Q246" i="2"/>
  <c r="R246" i="2" s="1"/>
  <c r="Q229" i="2"/>
  <c r="R229" i="2" s="1"/>
  <c r="Q823" i="2"/>
  <c r="Q531" i="2"/>
  <c r="Q562" i="2"/>
  <c r="R562" i="2" s="1"/>
  <c r="Q91" i="2"/>
  <c r="Q315" i="2"/>
  <c r="Q239" i="2"/>
  <c r="R239" i="2" s="1"/>
  <c r="Q916" i="2"/>
  <c r="Q508" i="2"/>
  <c r="Q45" i="2"/>
  <c r="Q118" i="2"/>
  <c r="Q346" i="2"/>
  <c r="R346" i="2" s="1"/>
  <c r="Q292" i="2"/>
  <c r="R292" i="2" s="1"/>
  <c r="Q492" i="2"/>
  <c r="Q891" i="2"/>
  <c r="Q368" i="2"/>
  <c r="R368" i="2" s="1"/>
  <c r="Q80" i="2"/>
  <c r="Q150" i="2"/>
  <c r="Q439" i="2"/>
  <c r="Q458" i="2"/>
  <c r="R458" i="2" s="1"/>
  <c r="Q391" i="2"/>
  <c r="R391" i="2" s="1"/>
  <c r="Q307" i="2"/>
  <c r="Q583" i="2"/>
  <c r="Q874" i="2"/>
  <c r="Q230" i="2"/>
  <c r="R230" i="2" s="1"/>
  <c r="Q505" i="2"/>
  <c r="Q470" i="2"/>
  <c r="Q854" i="2"/>
  <c r="Q424" i="2"/>
  <c r="Q139" i="2"/>
  <c r="Q112" i="2"/>
  <c r="Q530" i="2"/>
  <c r="R530" i="2" s="1"/>
  <c r="Q90" i="2"/>
  <c r="Q535" i="2"/>
  <c r="Q347" i="2"/>
  <c r="R347" i="2" s="1"/>
  <c r="Q215" i="2"/>
  <c r="R215" i="2" s="1"/>
  <c r="Q286" i="2"/>
  <c r="R286" i="2" s="1"/>
  <c r="Q541" i="2"/>
  <c r="Q879" i="2"/>
  <c r="Q402" i="2"/>
  <c r="R402" i="2" s="1"/>
  <c r="Q320" i="2"/>
  <c r="Q190" i="2"/>
  <c r="Q322" i="2"/>
  <c r="Q623" i="2"/>
  <c r="Q575" i="2"/>
  <c r="Q60" i="2"/>
  <c r="Q128" i="2"/>
  <c r="Q779" i="2"/>
  <c r="Q758" i="2"/>
  <c r="Q811" i="2"/>
  <c r="Q92" i="2"/>
  <c r="Q21" i="2"/>
  <c r="Q609" i="2"/>
  <c r="Q163" i="2"/>
  <c r="Q267" i="2"/>
  <c r="R267" i="2" s="1"/>
  <c r="Q708" i="2"/>
  <c r="Q110" i="2"/>
  <c r="Q304" i="2"/>
  <c r="Q503" i="2"/>
  <c r="Q452" i="2"/>
  <c r="Q161" i="2"/>
  <c r="Q669" i="2"/>
  <c r="Q305" i="2"/>
  <c r="Q81" i="2"/>
  <c r="Q602" i="2"/>
  <c r="Q318" i="2"/>
  <c r="Q168" i="2"/>
  <c r="Q392" i="2"/>
  <c r="R392" i="2" s="1"/>
  <c r="Q233" i="2"/>
  <c r="R233" i="2" s="1"/>
  <c r="Q549" i="2"/>
  <c r="R549" i="2" s="1"/>
  <c r="Q367" i="2"/>
  <c r="R367" i="2" s="1"/>
  <c r="Q159" i="2"/>
  <c r="Q741" i="2"/>
  <c r="Q248" i="2"/>
  <c r="R248" i="2" s="1"/>
  <c r="Q97" i="2"/>
  <c r="Q71" i="2"/>
  <c r="Q707" i="2"/>
  <c r="Q845" i="2"/>
  <c r="Q589" i="2"/>
  <c r="Q126" i="2"/>
  <c r="Q737" i="2"/>
  <c r="Q38" i="2"/>
  <c r="Q85" i="2"/>
  <c r="Q617" i="2"/>
  <c r="Q15" i="2"/>
  <c r="Q217" i="2"/>
  <c r="R217" i="2" s="1"/>
  <c r="Q513" i="2"/>
  <c r="Q164" i="2"/>
  <c r="Q260" i="2"/>
  <c r="R260" i="2" s="1"/>
  <c r="Q732" i="2"/>
  <c r="Q768" i="2"/>
  <c r="Q134" i="2"/>
  <c r="Q28" i="2"/>
  <c r="Q313" i="2"/>
  <c r="Q713" i="2"/>
  <c r="Q341" i="2"/>
  <c r="R341" i="2" s="1"/>
  <c r="Q221" i="2"/>
  <c r="R221" i="2" s="1"/>
  <c r="Q657" i="2"/>
  <c r="Q561" i="2"/>
  <c r="R561" i="2" s="1"/>
  <c r="Q523" i="2"/>
  <c r="R523" i="2" s="1"/>
  <c r="Q219" i="2"/>
  <c r="R219" i="2" s="1"/>
  <c r="Q303" i="2"/>
  <c r="Q152" i="2"/>
  <c r="Q827" i="2"/>
  <c r="Q467" i="2"/>
  <c r="Q78" i="2"/>
  <c r="Q59" i="2"/>
  <c r="Q385" i="2"/>
  <c r="R385" i="2" s="1"/>
  <c r="Q311" i="2"/>
  <c r="Q153" i="2"/>
  <c r="Q846" i="2"/>
  <c r="Q477" i="2"/>
  <c r="Q84" i="2"/>
  <c r="Q89" i="2"/>
  <c r="Q481" i="2"/>
  <c r="Q688" i="2"/>
  <c r="Q48" i="2"/>
  <c r="Q14" i="2"/>
  <c r="Q73" i="2"/>
  <c r="Q132" i="2"/>
  <c r="Q344" i="2"/>
  <c r="R344" i="2" s="1"/>
  <c r="Q105" i="2"/>
  <c r="Q750" i="2"/>
  <c r="Q520" i="2"/>
  <c r="Q605" i="2"/>
  <c r="Q905" i="2"/>
  <c r="Q256" i="2"/>
  <c r="R256" i="2" s="1"/>
  <c r="Q178" i="2"/>
  <c r="Q490" i="2"/>
  <c r="Q379" i="2"/>
  <c r="R379" i="2" s="1"/>
  <c r="Q327" i="2"/>
  <c r="Q129" i="2"/>
  <c r="Q701" i="2"/>
  <c r="Q127" i="2"/>
  <c r="Q381" i="2"/>
  <c r="R381" i="2" s="1"/>
  <c r="Q718" i="2"/>
  <c r="Q480" i="2"/>
  <c r="Q441" i="2"/>
  <c r="Q545" i="2"/>
  <c r="Q447" i="2"/>
  <c r="Q337" i="2"/>
  <c r="R337" i="2" s="1"/>
  <c r="Q191" i="2"/>
  <c r="Q554" i="2"/>
  <c r="R554" i="2" s="1"/>
  <c r="Q114" i="2"/>
  <c r="Q559" i="2"/>
  <c r="R559" i="2" s="1"/>
  <c r="Q371" i="2"/>
  <c r="Q725" i="2"/>
  <c r="Q280" i="2"/>
  <c r="R280" i="2" s="1"/>
  <c r="Q369" i="2"/>
  <c r="R369" i="2" s="1"/>
  <c r="Q253" i="2"/>
  <c r="R253" i="2" s="1"/>
  <c r="Q13" i="2"/>
  <c r="Q231" i="2"/>
  <c r="R231" i="2" s="1"/>
  <c r="Q120" i="2"/>
  <c r="Q733" i="2"/>
  <c r="Q312" i="2"/>
  <c r="Q547" i="2"/>
  <c r="R547" i="2" s="1"/>
  <c r="Q317" i="2"/>
  <c r="Q62" i="2"/>
  <c r="Q514" i="2"/>
  <c r="Q532" i="2"/>
  <c r="Q11" i="2"/>
  <c r="Q160" i="2"/>
  <c r="Q338" i="2"/>
  <c r="R338" i="2" s="1"/>
  <c r="Q901" i="2"/>
  <c r="Q213" i="2"/>
  <c r="R213" i="2" s="1"/>
  <c r="Q641" i="2"/>
  <c r="Q299" i="2"/>
  <c r="R299" i="2" s="1"/>
  <c r="Q842" i="2"/>
  <c r="Q415" i="2"/>
  <c r="Q585" i="2"/>
  <c r="Q207" i="2"/>
  <c r="Q757" i="2"/>
  <c r="Q29" i="2"/>
  <c r="Q632" i="2"/>
  <c r="Q23" i="2"/>
  <c r="Q745" i="2"/>
  <c r="Q446" i="2"/>
  <c r="Q57" i="2"/>
  <c r="Q188" i="2"/>
  <c r="Q851" i="2"/>
  <c r="Q328" i="2"/>
  <c r="Q176" i="2"/>
  <c r="Q31" i="2"/>
  <c r="Q652" i="2"/>
  <c r="Q584" i="2"/>
  <c r="Q36" i="2"/>
  <c r="Q240" i="2"/>
  <c r="R240" i="2" s="1"/>
  <c r="Q400" i="2"/>
  <c r="R400" i="2" s="1"/>
  <c r="Q812" i="2"/>
  <c r="Q184" i="2"/>
  <c r="Q52" i="2"/>
  <c r="Q243" i="2"/>
  <c r="R243" i="2" s="1"/>
  <c r="Q655" i="2"/>
  <c r="Q364" i="2"/>
  <c r="R364" i="2" s="1"/>
  <c r="Q564" i="2"/>
  <c r="Q86" i="2"/>
  <c r="Q785" i="2"/>
  <c r="Q9" i="2"/>
  <c r="Q902" i="2"/>
  <c r="Q54" i="2"/>
  <c r="Q133" i="2"/>
  <c r="Q172" i="2"/>
  <c r="Q373" i="2"/>
  <c r="R373" i="2" s="1"/>
  <c r="Q343" i="2"/>
  <c r="R343" i="2" s="1"/>
  <c r="Q121" i="2"/>
  <c r="Q765" i="2"/>
  <c r="Q693" i="2"/>
  <c r="Q70" i="2"/>
  <c r="Q892" i="2"/>
  <c r="Q167" i="2"/>
  <c r="Q773" i="2"/>
  <c r="Q810" i="2"/>
  <c r="Q808" i="2"/>
  <c r="Q103" i="2"/>
  <c r="Q908" i="2"/>
  <c r="Q123" i="2"/>
  <c r="Q171" i="2"/>
  <c r="Q333" i="2"/>
  <c r="R333" i="2" s="1"/>
  <c r="Q261" i="2"/>
  <c r="R261" i="2" s="1"/>
  <c r="Q821" i="2"/>
  <c r="Q687" i="2"/>
  <c r="Q411" i="2"/>
  <c r="R411" i="2" s="1"/>
  <c r="Q789" i="2"/>
  <c r="Q817" i="2"/>
  <c r="Q806" i="2"/>
  <c r="Q774" i="2"/>
  <c r="Q209" i="2"/>
  <c r="R209" i="2" s="1"/>
  <c r="Q705" i="2"/>
  <c r="Q277" i="2"/>
  <c r="R277" i="2" s="1"/>
  <c r="Q147" i="2"/>
  <c r="Q649" i="2"/>
  <c r="Q37" i="2"/>
  <c r="Q529" i="2"/>
  <c r="R529" i="2" s="1"/>
  <c r="Q521" i="2"/>
  <c r="Q211" i="2"/>
  <c r="R211" i="2" s="1"/>
  <c r="Q295" i="2"/>
  <c r="R295" i="2" s="1"/>
  <c r="Q145" i="2"/>
  <c r="Q800" i="2"/>
  <c r="Q445" i="2"/>
  <c r="Q43" i="2"/>
  <c r="Q46" i="2"/>
  <c r="Q329" i="2"/>
  <c r="R329" i="2" s="1"/>
  <c r="Q702" i="2"/>
  <c r="Q463" i="2"/>
  <c r="Q651" i="2"/>
  <c r="Q824" i="2"/>
  <c r="Q47" i="2"/>
  <c r="Q122" i="2"/>
  <c r="Q681" i="2"/>
  <c r="Q44" i="2"/>
  <c r="Q95" i="2"/>
  <c r="Q625" i="2"/>
  <c r="Q40" i="2"/>
  <c r="Q281" i="2"/>
  <c r="R281" i="2" s="1"/>
  <c r="Q515" i="2"/>
  <c r="Q180" i="2"/>
  <c r="Q820" i="2"/>
  <c r="Q804" i="2"/>
  <c r="Q788" i="2"/>
  <c r="Q807" i="2"/>
  <c r="Q102" i="2"/>
  <c r="Q247" i="2"/>
  <c r="R247" i="2" s="1"/>
  <c r="Q275" i="2"/>
  <c r="R275" i="2" s="1"/>
  <c r="Q527" i="2"/>
  <c r="R527" i="2" s="1"/>
  <c r="Q321" i="2"/>
  <c r="Q895" i="2"/>
  <c r="Q117" i="2"/>
  <c r="Q479" i="2"/>
  <c r="Q69" i="2"/>
  <c r="Q498" i="2"/>
  <c r="Q204" i="2"/>
  <c r="R204" i="2" s="1"/>
  <c r="Q226" i="2"/>
  <c r="Q156" i="2"/>
  <c r="Q331" i="2"/>
  <c r="R331" i="2" s="1"/>
  <c r="Q199" i="2"/>
  <c r="Q426" i="2"/>
  <c r="Q414" i="2"/>
  <c r="Q927" i="2"/>
  <c r="Q74" i="2"/>
  <c r="Q352" i="2"/>
  <c r="R352" i="2" s="1"/>
  <c r="Q799" i="2"/>
  <c r="Q115" i="2"/>
  <c r="Q425" i="2"/>
  <c r="Q374" i="2"/>
  <c r="R374" i="2" s="1"/>
  <c r="Q620" i="2"/>
  <c r="Q26" i="2"/>
  <c r="Q744" i="2"/>
  <c r="Q553" i="2"/>
  <c r="R553" i="2" s="1"/>
  <c r="Q499" i="2"/>
  <c r="Q319" i="2"/>
  <c r="Q407" i="2"/>
  <c r="R407" i="2" s="1"/>
  <c r="Q795" i="2"/>
  <c r="Q872" i="2"/>
  <c r="Q294" i="2"/>
  <c r="R294" i="2" s="1"/>
  <c r="Q356" i="2"/>
  <c r="Q809" i="2"/>
  <c r="Q886" i="2"/>
  <c r="Q673" i="2"/>
  <c r="Q100" i="2"/>
  <c r="Q353" i="2"/>
  <c r="Q815" i="2"/>
  <c r="Q571" i="2"/>
  <c r="Q578" i="2"/>
  <c r="Q421" i="2"/>
  <c r="Q195" i="2"/>
  <c r="Q5" i="2"/>
  <c r="Q19" i="2"/>
  <c r="Q413" i="2"/>
  <c r="Q796" i="2"/>
  <c r="Q144" i="2"/>
  <c r="Q279" i="2"/>
  <c r="R279" i="2" s="1"/>
  <c r="Q251" i="2"/>
  <c r="R251" i="2" s="1"/>
  <c r="Q423" i="2"/>
  <c r="Q124" i="2"/>
  <c r="Q816" i="2"/>
  <c r="Q93" i="2"/>
  <c r="Q456" i="2"/>
  <c r="Q10" i="2"/>
  <c r="Q457" i="2"/>
  <c r="Q897" i="2"/>
  <c r="Q165" i="2"/>
  <c r="Q443" i="2"/>
  <c r="Q309" i="2"/>
  <c r="Q709" i="2"/>
  <c r="Q135" i="2"/>
  <c r="Q335" i="2"/>
  <c r="R335" i="2" s="1"/>
  <c r="Q339" i="2"/>
  <c r="R339" i="2" s="1"/>
  <c r="Q88" i="2"/>
  <c r="Q174" i="2"/>
  <c r="Q72" i="2"/>
  <c r="Q16" i="2"/>
  <c r="Q769" i="2"/>
  <c r="Q406" i="2"/>
  <c r="R406" i="2" s="1"/>
  <c r="Q637" i="2"/>
  <c r="Q270" i="2"/>
  <c r="R270" i="2" s="1"/>
  <c r="Q308" i="2"/>
  <c r="Q203" i="2"/>
  <c r="R203" i="2" s="1"/>
  <c r="Q429" i="2"/>
  <c r="Q487" i="2"/>
  <c r="Q56" i="2"/>
  <c r="Q478" i="2"/>
  <c r="Q66" i="2"/>
  <c r="Q109" i="2"/>
  <c r="Q408" i="2"/>
  <c r="R408" i="2" s="1"/>
  <c r="Q832" i="2"/>
  <c r="Q365" i="2"/>
  <c r="R365" i="2" s="1"/>
  <c r="Q489" i="2"/>
  <c r="Q624" i="2"/>
  <c r="Q863" i="2"/>
  <c r="Q252" i="2"/>
  <c r="R252" i="2" s="1"/>
  <c r="Q762" i="2"/>
  <c r="Q749" i="2"/>
  <c r="Q148" i="2"/>
  <c r="Q601" i="2"/>
  <c r="Q87" i="2"/>
  <c r="Q202" i="2"/>
  <c r="Q274" i="2"/>
  <c r="R274" i="2" s="1"/>
  <c r="Q268" i="2"/>
  <c r="R268" i="2" s="1"/>
  <c r="Q726" i="2"/>
  <c r="Q674" i="2"/>
  <c r="Q885" i="2"/>
  <c r="Q678" i="2"/>
  <c r="Q791" i="2"/>
  <c r="Q775" i="2"/>
  <c r="Q766" i="2"/>
  <c r="Q590" i="2"/>
  <c r="Q574" i="2"/>
  <c r="Q169" i="2"/>
  <c r="Q626" i="2"/>
  <c r="Q316" i="2"/>
  <c r="Q780" i="2"/>
  <c r="Q868" i="2"/>
  <c r="Q614" i="2"/>
  <c r="Q330" i="2"/>
  <c r="R330" i="2" s="1"/>
  <c r="Q698" i="2"/>
  <c r="Q634" i="2"/>
  <c r="Q510" i="2"/>
  <c r="Q835" i="2"/>
  <c r="Q560" i="2"/>
  <c r="R560" i="2" s="1"/>
  <c r="Q912" i="2"/>
  <c r="Q838" i="2"/>
  <c r="Q907" i="2"/>
  <c r="Q662" i="2"/>
  <c r="Q173" i="2"/>
  <c r="Q380" i="2"/>
  <c r="R380" i="2" s="1"/>
  <c r="Q770" i="2"/>
  <c r="Q556" i="2"/>
  <c r="R556" i="2" s="1"/>
  <c r="Q416" i="2"/>
  <c r="Q591" i="2"/>
  <c r="Q731" i="2"/>
  <c r="Q720" i="2"/>
  <c r="Q350" i="2"/>
  <c r="R350" i="2" s="1"/>
  <c r="Q473" i="2"/>
  <c r="Q94" i="2"/>
  <c r="Q468" i="2"/>
  <c r="Q162" i="2"/>
  <c r="Q314" i="2"/>
  <c r="R314" i="2" s="1"/>
  <c r="Q422" i="2"/>
  <c r="Q680" i="2"/>
  <c r="Q619" i="2"/>
  <c r="Q608" i="2"/>
  <c r="Q166" i="2"/>
  <c r="Q536" i="2"/>
  <c r="Q201" i="2"/>
  <c r="Q354" i="2"/>
  <c r="Q849" i="2"/>
  <c r="Q587" i="2"/>
  <c r="Q572" i="2"/>
  <c r="Q181" i="2"/>
  <c r="Q573" i="2"/>
  <c r="Q63" i="2"/>
  <c r="Q502" i="2"/>
  <c r="Q377" i="2"/>
  <c r="R377" i="2" s="1"/>
  <c r="Q858" i="2"/>
  <c r="Q721" i="2"/>
  <c r="Q433" i="2"/>
  <c r="Q208" i="2"/>
  <c r="R208" i="2" s="1"/>
  <c r="Q285" i="2"/>
  <c r="R285" i="2" s="1"/>
  <c r="Q119" i="2"/>
  <c r="Q665" i="2"/>
  <c r="Q538" i="2"/>
  <c r="Q64" i="2"/>
  <c r="Q98" i="2"/>
  <c r="Q18" i="2"/>
  <c r="Q543" i="2"/>
  <c r="Q525" i="2"/>
  <c r="R525" i="2" s="1"/>
  <c r="Q355" i="2"/>
  <c r="R355" i="2" s="1"/>
  <c r="Q227" i="2"/>
  <c r="R227" i="2" s="1"/>
  <c r="Q383" i="2"/>
  <c r="R383" i="2" s="1"/>
  <c r="Q255" i="2"/>
  <c r="R255" i="2" s="1"/>
  <c r="Q151" i="2"/>
  <c r="Q864" i="2"/>
  <c r="Q717" i="2"/>
  <c r="Q360" i="2"/>
  <c r="R360" i="2" s="1"/>
  <c r="Q53" i="2"/>
  <c r="Q113" i="2"/>
  <c r="Q200" i="2"/>
  <c r="Q108" i="2"/>
  <c r="Q389" i="2"/>
  <c r="R389" i="2" s="1"/>
  <c r="Q437" i="2"/>
  <c r="Q900" i="2"/>
  <c r="Q552" i="2"/>
  <c r="R552" i="2" s="1"/>
  <c r="Q606" i="2"/>
  <c r="Q802" i="2"/>
  <c r="Q630" i="2"/>
  <c r="Q550" i="2"/>
  <c r="R550" i="2" s="1"/>
  <c r="Q506" i="2"/>
  <c r="Q494" i="2"/>
  <c r="Q544" i="2"/>
  <c r="Q890" i="2"/>
  <c r="Q859" i="2"/>
  <c r="Q918" i="2"/>
  <c r="Q130" i="2"/>
  <c r="Q234" i="2"/>
  <c r="Q915" i="2"/>
  <c r="Q430" i="2"/>
  <c r="Q728" i="2"/>
  <c r="Q485" i="2"/>
  <c r="Q185" i="2"/>
  <c r="Q170" i="2"/>
  <c r="Q922" i="2"/>
  <c r="Q888" i="2"/>
  <c r="Q790" i="2"/>
  <c r="Q618" i="2"/>
  <c r="Q670" i="2"/>
  <c r="Q740" i="2"/>
  <c r="Q582" i="2"/>
  <c r="Q198" i="2"/>
  <c r="Q667" i="2"/>
  <c r="Q656" i="2"/>
  <c r="Q222" i="2"/>
  <c r="R222" i="2" s="1"/>
  <c r="Q434" i="2"/>
  <c r="Q12" i="2"/>
  <c r="Q604" i="2"/>
  <c r="Q723" i="2"/>
  <c r="Q813" i="2"/>
  <c r="Q599" i="2"/>
  <c r="Q686" i="2"/>
  <c r="Q444" i="2"/>
  <c r="Q524" i="2"/>
  <c r="R524" i="2" s="1"/>
  <c r="Q476" i="2"/>
  <c r="Q860" i="2"/>
  <c r="Q278" i="2"/>
  <c r="R278" i="2" s="1"/>
  <c r="Q646" i="2"/>
  <c r="Q412" i="2"/>
  <c r="R412" i="2" s="1"/>
  <c r="Q236" i="2"/>
  <c r="R236" i="2" s="1"/>
  <c r="Q238" i="2"/>
  <c r="R238" i="2" s="1"/>
  <c r="Q877" i="2"/>
  <c r="Q466" i="2"/>
  <c r="Q4" i="2"/>
  <c r="Q301" i="2"/>
  <c r="R301" i="2" s="1"/>
  <c r="Q157" i="2"/>
  <c r="Q828" i="2"/>
  <c r="Q689" i="2"/>
  <c r="Q401" i="2"/>
  <c r="R401" i="2" s="1"/>
  <c r="Q83" i="2"/>
  <c r="Q101" i="2"/>
  <c r="Q111" i="2"/>
  <c r="Q58" i="2"/>
  <c r="Q633" i="2"/>
  <c r="Q471" i="2"/>
  <c r="Q20" i="2"/>
  <c r="Q39" i="2"/>
  <c r="Q345" i="2"/>
  <c r="R345" i="2" s="1"/>
  <c r="Q455" i="2"/>
  <c r="Q517" i="2"/>
  <c r="Q323" i="2"/>
  <c r="Q196" i="2"/>
  <c r="Q351" i="2"/>
  <c r="R351" i="2" s="1"/>
  <c r="Q223" i="2"/>
  <c r="Q137" i="2"/>
  <c r="Q831" i="2"/>
  <c r="Q685" i="2"/>
  <c r="Q296" i="2"/>
  <c r="R296" i="2" s="1"/>
  <c r="Q50" i="2"/>
  <c r="Q79" i="2"/>
  <c r="Q76" i="2"/>
  <c r="Q25" i="2"/>
  <c r="Q805" i="2"/>
  <c r="Q611" i="2"/>
  <c r="Q679" i="2"/>
  <c r="Q631" i="2"/>
  <c r="Q871" i="2"/>
  <c r="Q869" i="2"/>
  <c r="Q792" i="2"/>
  <c r="Q755" i="2"/>
  <c r="Q836" i="2"/>
  <c r="Q844" i="2"/>
  <c r="Q460" i="2"/>
  <c r="R460" i="2" s="1"/>
  <c r="Q579" i="2"/>
  <c r="Q384" i="2"/>
  <c r="R384" i="2" s="1"/>
  <c r="Q706" i="2"/>
  <c r="Q861" i="2"/>
  <c r="Q884" i="2"/>
  <c r="Q754" i="2"/>
  <c r="Q671" i="2"/>
  <c r="Q739" i="2"/>
  <c r="Q588" i="2"/>
  <c r="Q643" i="2"/>
  <c r="Q431" i="2"/>
  <c r="Q642" i="2"/>
  <c r="Q903" i="2"/>
  <c r="Q298" i="2"/>
  <c r="R298" i="2" s="1"/>
  <c r="Q284" i="2"/>
  <c r="R284" i="2" s="1"/>
  <c r="Q522" i="2"/>
  <c r="Q797" i="2"/>
  <c r="Q436" i="2"/>
  <c r="Q483" i="2"/>
  <c r="Q911" i="2"/>
  <c r="Q158" i="2"/>
  <c r="Q629" i="2"/>
  <c r="Q49" i="2"/>
  <c r="Q512" i="2"/>
  <c r="Q782" i="2"/>
  <c r="Q491" i="2"/>
  <c r="Q399" i="2"/>
  <c r="R399" i="2" s="1"/>
  <c r="Q615" i="2"/>
  <c r="Q830" i="2"/>
  <c r="Q382" i="2"/>
  <c r="R382" i="2" s="1"/>
  <c r="Q825" i="2"/>
  <c r="Q586" i="2"/>
  <c r="Q896" i="2"/>
  <c r="Q675" i="2"/>
  <c r="Q715" i="2"/>
  <c r="Q704" i="2"/>
  <c r="Q418" i="2"/>
  <c r="Q613" i="2"/>
  <c r="Q357" i="2"/>
  <c r="Q55" i="2"/>
  <c r="Q42" i="2"/>
  <c r="Q909" i="2"/>
  <c r="Q753" i="2"/>
  <c r="Q465" i="2"/>
  <c r="Q272" i="2"/>
  <c r="R272" i="2" s="1"/>
  <c r="Q563" i="2"/>
  <c r="R563" i="2" s="1"/>
  <c r="Q464" i="2"/>
  <c r="Q297" i="2"/>
  <c r="R297" i="2" s="1"/>
  <c r="Q857" i="2"/>
  <c r="Q569" i="2"/>
  <c r="Q325" i="2"/>
  <c r="Q179" i="2"/>
  <c r="Q107" i="2"/>
  <c r="Q65" i="2"/>
  <c r="Q557" i="2"/>
  <c r="R557" i="2" s="1"/>
  <c r="Q420" i="2"/>
  <c r="Q259" i="2"/>
  <c r="R259" i="2" s="1"/>
  <c r="Q249" i="2"/>
  <c r="R249" i="2" s="1"/>
  <c r="Q22" i="2"/>
  <c r="Q913" i="2"/>
  <c r="Q699" i="2"/>
  <c r="Q865" i="2"/>
  <c r="Q644" i="2"/>
  <c r="Q235" i="2"/>
  <c r="R235" i="2" s="1"/>
  <c r="Q363" i="2"/>
  <c r="R363" i="2" s="1"/>
  <c r="Q533" i="2"/>
  <c r="Q551" i="2"/>
  <c r="R551" i="2" s="1"/>
  <c r="Q30" i="2"/>
  <c r="Q106" i="2"/>
  <c r="Q68" i="2"/>
  <c r="Q546" i="2"/>
  <c r="R546" i="2" s="1"/>
  <c r="Q155" i="2"/>
  <c r="Q349" i="2"/>
  <c r="R349" i="2" s="1"/>
  <c r="Q273" i="2"/>
  <c r="R273" i="2" s="1"/>
  <c r="Q224" i="2"/>
  <c r="R224" i="2" s="1"/>
  <c r="Q440" i="2"/>
  <c r="Q729" i="2"/>
  <c r="Q876" i="2"/>
  <c r="Q449" i="2"/>
  <c r="Q32" i="2"/>
  <c r="Q77" i="2"/>
  <c r="Q581" i="2"/>
  <c r="Q194" i="2"/>
  <c r="Q752" i="2"/>
  <c r="Q763" i="2"/>
  <c r="Q703" i="2"/>
  <c r="Q881" i="2"/>
  <c r="Q914" i="2"/>
  <c r="Q691" i="2"/>
  <c r="Q668" i="2"/>
  <c r="Q302" i="2"/>
  <c r="R302" i="2" s="1"/>
  <c r="Q41" i="2"/>
  <c r="Q232" i="2"/>
  <c r="R232" i="2" s="1"/>
  <c r="Q786" i="2"/>
  <c r="Q187" i="2"/>
  <c r="Q291" i="2"/>
  <c r="R291" i="2" s="1"/>
  <c r="Q394" i="2"/>
  <c r="R394" i="2" s="1"/>
  <c r="Q917" i="2"/>
  <c r="Q336" i="2"/>
  <c r="R336" i="2" s="1"/>
  <c r="Q99" i="2"/>
  <c r="Q262" i="2"/>
  <c r="R262" i="2" s="1"/>
  <c r="Q819" i="2"/>
  <c r="Q856" i="2"/>
  <c r="Q628" i="2"/>
  <c r="Q67" i="2"/>
  <c r="Q387" i="2"/>
  <c r="R387" i="2" s="1"/>
  <c r="Q695" i="2"/>
  <c r="Q370" i="2"/>
  <c r="R370" i="2" s="1"/>
  <c r="Q848" i="2"/>
  <c r="Q867" i="2"/>
  <c r="Q396" i="2"/>
  <c r="R396" i="2" s="1"/>
  <c r="Q862" i="2"/>
  <c r="Q82" i="2"/>
  <c r="Q205" i="2"/>
  <c r="Q257" i="2"/>
  <c r="R257" i="2" s="1"/>
  <c r="Q397" i="2"/>
  <c r="R397" i="2" s="1"/>
  <c r="Q577" i="2"/>
  <c r="Q873" i="2"/>
  <c r="Q361" i="2"/>
  <c r="R361" i="2" s="1"/>
  <c r="Q496" i="2"/>
  <c r="Q3" i="2"/>
  <c r="Q288" i="2"/>
  <c r="R288" i="2" s="1"/>
  <c r="Q472" i="2"/>
  <c r="Q761" i="2"/>
  <c r="Q920" i="2"/>
  <c r="Q51" i="2"/>
  <c r="Q177" i="2"/>
  <c r="Q621" i="2"/>
  <c r="Q450" i="2"/>
  <c r="Q889" i="2"/>
  <c r="Q428" i="2"/>
  <c r="Q266" i="2"/>
  <c r="R266" i="2" s="1"/>
  <c r="Q526" i="2"/>
  <c r="R526" i="2" s="1"/>
  <c r="Q875" i="2"/>
  <c r="Q719" i="2"/>
  <c r="Q722" i="2"/>
  <c r="Q265" i="2"/>
  <c r="R265" i="2" s="1"/>
  <c r="Q241" i="2"/>
  <c r="R241" i="2" s="1"/>
  <c r="Q435" i="2"/>
  <c r="Q924" i="2"/>
  <c r="Q287" i="2"/>
  <c r="R287" i="2" s="1"/>
  <c r="Q484" i="2"/>
  <c r="Q555" i="2"/>
  <c r="R555" i="2" s="1"/>
  <c r="Q6" i="2"/>
  <c r="Q497" i="2"/>
  <c r="Q225" i="2"/>
  <c r="R225" i="2" s="1"/>
  <c r="Q826" i="2"/>
  <c r="Q866" i="2"/>
  <c r="Q206" i="2"/>
  <c r="R206" i="2" s="1"/>
  <c r="Q342" i="2"/>
  <c r="R342" i="2" s="1"/>
  <c r="Q661" i="2"/>
  <c r="Q666" i="2"/>
  <c r="Q326" i="2"/>
  <c r="Q558" i="2"/>
  <c r="R558" i="2" s="1"/>
  <c r="Q793" i="2"/>
  <c r="Q926" i="2"/>
  <c r="Q930" i="2"/>
  <c r="Q837" i="2"/>
  <c r="Q607" i="2"/>
  <c r="Q760" i="2"/>
  <c r="Q772" i="2"/>
  <c r="Q756" i="2"/>
  <c r="Q175" i="2"/>
  <c r="Q570" i="2"/>
  <c r="Q654" i="2"/>
  <c r="Q276" i="2"/>
  <c r="R276" i="2" s="1"/>
  <c r="Q724" i="2"/>
  <c r="Q894" i="2"/>
  <c r="Q658" i="2"/>
  <c r="Q218" i="2"/>
  <c r="R218" i="2" s="1"/>
  <c r="Q518" i="2"/>
  <c r="Q576" i="2"/>
  <c r="Q714" i="2"/>
  <c r="Q378" i="2"/>
  <c r="R378" i="2" s="1"/>
  <c r="Q595" i="2"/>
  <c r="Q660" i="2"/>
  <c r="Q696" i="2"/>
  <c r="Q390" i="2"/>
  <c r="R390" i="2" s="1"/>
  <c r="Q751" i="2"/>
  <c r="Q258" i="2"/>
  <c r="R258" i="2" s="1"/>
  <c r="Q509" i="2"/>
  <c r="Q833" i="2"/>
  <c r="Q500" i="2"/>
  <c r="Q186" i="2"/>
  <c r="Q610" i="2"/>
  <c r="Q636" i="2"/>
  <c r="Q887" i="2"/>
  <c r="Q870" i="2"/>
  <c r="Q594" i="2"/>
  <c r="Q906" i="2"/>
  <c r="Q228" i="2"/>
  <c r="R228" i="2" s="1"/>
  <c r="Q928" i="2"/>
  <c r="Q650" i="2"/>
  <c r="Q146" i="2"/>
  <c r="Q372" i="2"/>
  <c r="Q427" i="2"/>
  <c r="Q486" i="2"/>
  <c r="Q841" i="2"/>
  <c r="Q306" i="2"/>
  <c r="Q598" i="2"/>
  <c r="Q783" i="2"/>
  <c r="Q410" i="2"/>
  <c r="R410" i="2" s="1"/>
  <c r="Q647" i="2"/>
  <c r="Q692" i="2"/>
  <c r="Q404" i="2"/>
  <c r="R404" i="2" s="1"/>
  <c r="Q882" i="2"/>
  <c r="Q919" i="2"/>
  <c r="Q214" i="2"/>
  <c r="R214" i="2" s="1"/>
  <c r="Q250" i="2"/>
  <c r="R250" i="2" s="1"/>
  <c r="Q600" i="2"/>
  <c r="Q454" i="2"/>
  <c r="Q290" i="2"/>
  <c r="R290" i="2" s="1"/>
  <c r="Q801" i="2"/>
  <c r="Q735" i="2"/>
  <c r="Q648" i="2"/>
  <c r="Q516" i="2"/>
  <c r="Q459" i="2"/>
  <c r="R459" i="2" s="1"/>
  <c r="Q482" i="2"/>
  <c r="Q843" i="2"/>
  <c r="Q565" i="2"/>
  <c r="Q293" i="2"/>
  <c r="R293" i="2" s="1"/>
  <c r="Q237" i="2"/>
  <c r="R237" i="2" s="1"/>
  <c r="Q853" i="2"/>
  <c r="Q469" i="2"/>
  <c r="Q528" i="2"/>
  <c r="R528" i="2" s="1"/>
  <c r="Q852" i="2"/>
  <c r="Q893" i="2"/>
  <c r="Q929" i="2"/>
  <c r="Q694" i="2"/>
  <c r="Q925" i="2"/>
  <c r="Q395" i="2"/>
  <c r="R395" i="2" s="1"/>
  <c r="Q683" i="2"/>
  <c r="Q182" i="2"/>
  <c r="Q672" i="2"/>
  <c r="Q197" i="2"/>
  <c r="Q734" i="2"/>
  <c r="Q568" i="2"/>
  <c r="Q154" i="2"/>
  <c r="Q743" i="2"/>
  <c r="Q814" i="2"/>
  <c r="Q738" i="2"/>
  <c r="Q405" i="2"/>
  <c r="R405" i="2" s="1"/>
  <c r="Q639" i="2"/>
  <c r="Q700" i="2"/>
  <c r="Q778" i="2"/>
  <c r="Q462" i="2"/>
  <c r="Q711" i="2"/>
  <c r="Q612" i="2"/>
  <c r="Q220" i="2"/>
  <c r="R220" i="2" s="1"/>
  <c r="Q663" i="2"/>
  <c r="Q189" i="2"/>
  <c r="Q448" i="2"/>
  <c r="Q883" i="2"/>
  <c r="Q622" i="2"/>
  <c r="Q142" i="2"/>
  <c r="Q878" i="2"/>
  <c r="Q659" i="2"/>
  <c r="Q834" i="2"/>
  <c r="Q324" i="2"/>
  <c r="Q682" i="2"/>
  <c r="Q282" i="2"/>
  <c r="R282" i="2" s="1"/>
  <c r="Q534" i="2"/>
  <c r="Q616" i="2"/>
  <c r="Q730" i="2"/>
  <c r="Q398" i="2"/>
  <c r="R398" i="2" s="1"/>
  <c r="Q627" i="2"/>
  <c r="Q684" i="2"/>
  <c r="Q676" i="2"/>
  <c r="Q348" i="2"/>
  <c r="R348" i="2" s="1"/>
  <c r="Q727" i="2"/>
  <c r="Q242" i="2"/>
  <c r="R242" i="2" s="1"/>
  <c r="Q495" i="2"/>
  <c r="Q847" i="2"/>
  <c r="Q511" i="2"/>
  <c r="Q759" i="2"/>
  <c r="Q748" i="2"/>
  <c r="Q664" i="2"/>
  <c r="Q453" i="2"/>
  <c r="Q501" i="2"/>
  <c r="Q822" i="2"/>
  <c r="Q904" i="2"/>
  <c r="Q138" i="2"/>
  <c r="Q710" i="2"/>
  <c r="Q910" i="2"/>
  <c r="Q764" i="2"/>
  <c r="Q603" i="2"/>
  <c r="Q839" i="2"/>
  <c r="Q592" i="2"/>
  <c r="Q580" i="2"/>
  <c r="Q923" i="2"/>
  <c r="Q597" i="2"/>
  <c r="Q393" i="2"/>
  <c r="R393" i="2" s="1"/>
  <c r="Q539" i="2"/>
  <c r="Q438" i="2"/>
  <c r="Q442" i="2"/>
  <c r="Q638" i="2"/>
  <c r="Q340" i="2"/>
  <c r="R340" i="2" s="1"/>
  <c r="Q690" i="2"/>
  <c r="Q567" i="2"/>
  <c r="Q716" i="2"/>
  <c r="Q566" i="2"/>
  <c r="Q474" i="2"/>
  <c r="Q244" i="2"/>
  <c r="R244" i="2" s="1"/>
  <c r="Q540" i="2"/>
  <c r="Q747" i="2"/>
  <c r="Q300" i="2"/>
  <c r="R300" i="2" s="1"/>
  <c r="Q736" i="2"/>
  <c r="Q334" i="2"/>
  <c r="R334" i="2" s="1"/>
  <c r="Q254" i="2"/>
  <c r="R254" i="2" s="1"/>
  <c r="Q212" i="2"/>
  <c r="R212" i="2" s="1"/>
  <c r="Q829" i="2"/>
  <c r="Q899" i="2"/>
  <c r="Q542" i="2"/>
  <c r="Q742" i="2"/>
  <c r="Q596" i="2"/>
  <c r="Q781" i="2"/>
  <c r="Q818" i="2"/>
  <c r="Q777" i="2"/>
  <c r="Q798" i="2"/>
  <c r="Q784" i="2"/>
  <c r="Q358" i="2"/>
  <c r="R358" i="2" s="1"/>
  <c r="Q803" i="2"/>
  <c r="Q787" i="2"/>
  <c r="Q771" i="2"/>
  <c r="Y4" i="2"/>
  <c r="X21" i="2" s="1"/>
  <c r="AY3" i="2"/>
  <c r="AY26" i="2" s="1"/>
  <c r="J28" i="23"/>
  <c r="J29" i="23" s="1"/>
  <c r="W370" i="2" l="1"/>
  <c r="V370" i="2"/>
  <c r="W460" i="2"/>
  <c r="V460" i="2"/>
  <c r="W208" i="2"/>
  <c r="V208" i="2"/>
  <c r="W380" i="2"/>
  <c r="V380" i="2"/>
  <c r="W203" i="2"/>
  <c r="V203" i="2"/>
  <c r="W529" i="2"/>
  <c r="V529" i="2"/>
  <c r="W559" i="2"/>
  <c r="V559" i="2"/>
  <c r="W344" i="2"/>
  <c r="V344" i="2"/>
  <c r="W221" i="2"/>
  <c r="V221" i="2"/>
  <c r="W260" i="2"/>
  <c r="V260" i="2"/>
  <c r="W334" i="2"/>
  <c r="V334" i="2"/>
  <c r="V393" i="2"/>
  <c r="W393" i="2"/>
  <c r="W214" i="2"/>
  <c r="V214" i="2"/>
  <c r="W266" i="2"/>
  <c r="V266" i="2"/>
  <c r="W397" i="2"/>
  <c r="V397" i="2"/>
  <c r="W291" i="2"/>
  <c r="V291" i="2"/>
  <c r="W235" i="2"/>
  <c r="V235" i="2"/>
  <c r="W297" i="2"/>
  <c r="V297" i="2"/>
  <c r="W351" i="2"/>
  <c r="V351" i="2"/>
  <c r="W412" i="2"/>
  <c r="V412" i="2"/>
  <c r="W383" i="2"/>
  <c r="V383" i="2"/>
  <c r="V377" i="2"/>
  <c r="W377" i="2"/>
  <c r="W314" i="2"/>
  <c r="V314" i="2"/>
  <c r="W274" i="2"/>
  <c r="V274" i="2"/>
  <c r="V406" i="2"/>
  <c r="W406" i="2"/>
  <c r="W277" i="2"/>
  <c r="V277" i="2"/>
  <c r="W213" i="2"/>
  <c r="V213" i="2"/>
  <c r="V369" i="2"/>
  <c r="W369" i="2"/>
  <c r="W337" i="2"/>
  <c r="V337" i="2"/>
  <c r="W219" i="2"/>
  <c r="V219" i="2"/>
  <c r="W233" i="2"/>
  <c r="V233" i="2"/>
  <c r="W286" i="2"/>
  <c r="V286" i="2"/>
  <c r="W230" i="2"/>
  <c r="V230" i="2"/>
  <c r="W391" i="2"/>
  <c r="V391" i="2"/>
  <c r="W292" i="2"/>
  <c r="V292" i="2"/>
  <c r="W229" i="2"/>
  <c r="V229" i="2"/>
  <c r="W264" i="2"/>
  <c r="V264" i="2"/>
  <c r="W289" i="2"/>
  <c r="V289" i="2"/>
  <c r="W403" i="2"/>
  <c r="V403" i="2"/>
  <c r="W263" i="2"/>
  <c r="V263" i="2"/>
  <c r="W388" i="2"/>
  <c r="V388" i="2"/>
  <c r="W283" i="2"/>
  <c r="V283" i="2"/>
  <c r="W244" i="2"/>
  <c r="V244" i="2"/>
  <c r="W242" i="2"/>
  <c r="V242" i="2"/>
  <c r="W395" i="2"/>
  <c r="V395" i="2"/>
  <c r="W228" i="2"/>
  <c r="V228" i="2"/>
  <c r="W555" i="2"/>
  <c r="V555" i="2"/>
  <c r="V361" i="2"/>
  <c r="W361" i="2"/>
  <c r="W257" i="2"/>
  <c r="V257" i="2"/>
  <c r="W396" i="2"/>
  <c r="V396" i="2"/>
  <c r="W336" i="2"/>
  <c r="V336" i="2"/>
  <c r="W302" i="2"/>
  <c r="V302" i="2"/>
  <c r="W224" i="2"/>
  <c r="V224" i="2"/>
  <c r="W546" i="2"/>
  <c r="V546" i="2"/>
  <c r="W551" i="2"/>
  <c r="V551" i="2"/>
  <c r="W557" i="2"/>
  <c r="V557" i="2"/>
  <c r="W399" i="2"/>
  <c r="V399" i="2"/>
  <c r="W284" i="2"/>
  <c r="V284" i="2"/>
  <c r="V345" i="2"/>
  <c r="W345" i="2"/>
  <c r="W524" i="2"/>
  <c r="V524" i="2"/>
  <c r="W227" i="2"/>
  <c r="V227" i="2"/>
  <c r="W350" i="2"/>
  <c r="V350" i="2"/>
  <c r="W408" i="2"/>
  <c r="V408" i="2"/>
  <c r="W251" i="2"/>
  <c r="V251" i="2"/>
  <c r="W553" i="2"/>
  <c r="V553" i="2"/>
  <c r="V374" i="2"/>
  <c r="W374" i="2"/>
  <c r="W352" i="2"/>
  <c r="V352" i="2"/>
  <c r="W527" i="2"/>
  <c r="V527" i="2"/>
  <c r="W295" i="2"/>
  <c r="V295" i="2"/>
  <c r="W343" i="2"/>
  <c r="V343" i="2"/>
  <c r="W243" i="2"/>
  <c r="V243" i="2"/>
  <c r="W400" i="2"/>
  <c r="V400" i="2"/>
  <c r="W547" i="2"/>
  <c r="V547" i="2"/>
  <c r="W231" i="2"/>
  <c r="V231" i="2"/>
  <c r="V280" i="2"/>
  <c r="W280" i="2"/>
  <c r="V385" i="2"/>
  <c r="W385" i="2"/>
  <c r="W523" i="2"/>
  <c r="V523" i="2"/>
  <c r="W341" i="2"/>
  <c r="V341" i="2"/>
  <c r="W392" i="2"/>
  <c r="V392" i="2"/>
  <c r="W402" i="2"/>
  <c r="V402" i="2"/>
  <c r="W215" i="2"/>
  <c r="V215" i="2"/>
  <c r="W530" i="2"/>
  <c r="V530" i="2"/>
  <c r="W458" i="2"/>
  <c r="V458" i="2"/>
  <c r="W368" i="2"/>
  <c r="V368" i="2"/>
  <c r="W346" i="2"/>
  <c r="V346" i="2"/>
  <c r="W562" i="2"/>
  <c r="V562" i="2"/>
  <c r="W246" i="2"/>
  <c r="V246" i="2"/>
  <c r="W332" i="2"/>
  <c r="V332" i="2"/>
  <c r="V409" i="2"/>
  <c r="W409" i="2"/>
  <c r="W386" i="2"/>
  <c r="V386" i="2"/>
  <c r="W362" i="2"/>
  <c r="V362" i="2"/>
  <c r="W212" i="2"/>
  <c r="V212" i="2"/>
  <c r="W300" i="2"/>
  <c r="V300" i="2"/>
  <c r="W405" i="2"/>
  <c r="V405" i="2"/>
  <c r="W237" i="2"/>
  <c r="V237" i="2"/>
  <c r="W410" i="2"/>
  <c r="V410" i="2"/>
  <c r="V390" i="2"/>
  <c r="W390" i="2"/>
  <c r="W378" i="2"/>
  <c r="V378" i="2"/>
  <c r="W218" i="2"/>
  <c r="V218" i="2"/>
  <c r="W276" i="2"/>
  <c r="V276" i="2"/>
  <c r="W558" i="2"/>
  <c r="V558" i="2"/>
  <c r="V342" i="2"/>
  <c r="W342" i="2"/>
  <c r="W225" i="2"/>
  <c r="V225" i="2"/>
  <c r="W241" i="2"/>
  <c r="V241" i="2"/>
  <c r="W288" i="2"/>
  <c r="V288" i="2"/>
  <c r="W387" i="2"/>
  <c r="V387" i="2"/>
  <c r="W273" i="2"/>
  <c r="V273" i="2"/>
  <c r="W249" i="2"/>
  <c r="V249" i="2"/>
  <c r="W563" i="2"/>
  <c r="V563" i="2"/>
  <c r="W382" i="2"/>
  <c r="V382" i="2"/>
  <c r="W298" i="2"/>
  <c r="V298" i="2"/>
  <c r="W384" i="2"/>
  <c r="V384" i="2"/>
  <c r="V401" i="2"/>
  <c r="W401" i="2"/>
  <c r="W301" i="2"/>
  <c r="V301" i="2"/>
  <c r="W238" i="2"/>
  <c r="V238" i="2"/>
  <c r="W278" i="2"/>
  <c r="V278" i="2"/>
  <c r="W222" i="2"/>
  <c r="V222" i="2"/>
  <c r="W389" i="2"/>
  <c r="V389" i="2"/>
  <c r="W355" i="2"/>
  <c r="V355" i="2"/>
  <c r="W556" i="2"/>
  <c r="V556" i="2"/>
  <c r="W560" i="2"/>
  <c r="V560" i="2"/>
  <c r="W270" i="2"/>
  <c r="V270" i="2"/>
  <c r="W339" i="2"/>
  <c r="V339" i="2"/>
  <c r="W279" i="2"/>
  <c r="V279" i="2"/>
  <c r="W407" i="2"/>
  <c r="V407" i="2"/>
  <c r="W204" i="2"/>
  <c r="V204" i="2"/>
  <c r="W275" i="2"/>
  <c r="V275" i="2"/>
  <c r="W211" i="2"/>
  <c r="V211" i="2"/>
  <c r="W209" i="2"/>
  <c r="V209" i="2"/>
  <c r="W261" i="2"/>
  <c r="V261" i="2"/>
  <c r="W373" i="2"/>
  <c r="V373" i="2"/>
  <c r="W240" i="2"/>
  <c r="V240" i="2"/>
  <c r="W299" i="2"/>
  <c r="V299" i="2"/>
  <c r="W338" i="2"/>
  <c r="V338" i="2"/>
  <c r="W554" i="2"/>
  <c r="V554" i="2"/>
  <c r="W381" i="2"/>
  <c r="V381" i="2"/>
  <c r="W256" i="2"/>
  <c r="V256" i="2"/>
  <c r="W561" i="2"/>
  <c r="V561" i="2"/>
  <c r="W367" i="2"/>
  <c r="V367" i="2"/>
  <c r="W267" i="2"/>
  <c r="V267" i="2"/>
  <c r="W347" i="2"/>
  <c r="V347" i="2"/>
  <c r="W239" i="2"/>
  <c r="V239" i="2"/>
  <c r="W548" i="2"/>
  <c r="V548" i="2"/>
  <c r="W461" i="2"/>
  <c r="V461" i="2"/>
  <c r="W210" i="2"/>
  <c r="V210" i="2"/>
  <c r="W245" i="2"/>
  <c r="V245" i="2"/>
  <c r="V216" i="2"/>
  <c r="W216" i="2"/>
  <c r="W290" i="2"/>
  <c r="V290" i="2"/>
  <c r="W258" i="2"/>
  <c r="V258" i="2"/>
  <c r="V358" i="2"/>
  <c r="W358" i="2"/>
  <c r="W254" i="2"/>
  <c r="V254" i="2"/>
  <c r="W340" i="2"/>
  <c r="V340" i="2"/>
  <c r="W348" i="2"/>
  <c r="V348" i="2"/>
  <c r="W398" i="2"/>
  <c r="V398" i="2"/>
  <c r="W282" i="2"/>
  <c r="V282" i="2"/>
  <c r="W220" i="2"/>
  <c r="V220" i="2"/>
  <c r="W528" i="2"/>
  <c r="V528" i="2"/>
  <c r="W293" i="2"/>
  <c r="V293" i="2"/>
  <c r="W459" i="2"/>
  <c r="V459" i="2"/>
  <c r="W250" i="2"/>
  <c r="V250" i="2"/>
  <c r="W404" i="2"/>
  <c r="V404" i="2"/>
  <c r="W206" i="2"/>
  <c r="V206" i="2"/>
  <c r="W287" i="2"/>
  <c r="V287" i="2"/>
  <c r="W265" i="2"/>
  <c r="V265" i="2"/>
  <c r="W526" i="2"/>
  <c r="V526" i="2"/>
  <c r="W262" i="2"/>
  <c r="V262" i="2"/>
  <c r="W394" i="2"/>
  <c r="V394" i="2"/>
  <c r="W232" i="2"/>
  <c r="V232" i="2"/>
  <c r="W349" i="2"/>
  <c r="V349" i="2"/>
  <c r="W363" i="2"/>
  <c r="V363" i="2"/>
  <c r="W259" i="2"/>
  <c r="V259" i="2"/>
  <c r="W272" i="2"/>
  <c r="V272" i="2"/>
  <c r="W296" i="2"/>
  <c r="V296" i="2"/>
  <c r="W236" i="2"/>
  <c r="V236" i="2"/>
  <c r="V550" i="2"/>
  <c r="W550" i="2"/>
  <c r="W552" i="2"/>
  <c r="V552" i="2"/>
  <c r="W360" i="2"/>
  <c r="V360" i="2"/>
  <c r="W255" i="2"/>
  <c r="V255" i="2"/>
  <c r="W525" i="2"/>
  <c r="V525" i="2"/>
  <c r="W285" i="2"/>
  <c r="V285" i="2"/>
  <c r="W330" i="2"/>
  <c r="V330" i="2"/>
  <c r="W268" i="2"/>
  <c r="V268" i="2"/>
  <c r="W252" i="2"/>
  <c r="V252" i="2"/>
  <c r="W365" i="2"/>
  <c r="V365" i="2"/>
  <c r="W335" i="2"/>
  <c r="V335" i="2"/>
  <c r="W294" i="2"/>
  <c r="V294" i="2"/>
  <c r="W331" i="2"/>
  <c r="V331" i="2"/>
  <c r="W247" i="2"/>
  <c r="V247" i="2"/>
  <c r="W281" i="2"/>
  <c r="V281" i="2"/>
  <c r="W329" i="2"/>
  <c r="V329" i="2"/>
  <c r="W411" i="2"/>
  <c r="V411" i="2"/>
  <c r="W333" i="2"/>
  <c r="V333" i="2"/>
  <c r="W364" i="2"/>
  <c r="V364" i="2"/>
  <c r="W253" i="2"/>
  <c r="V253" i="2"/>
  <c r="W379" i="2"/>
  <c r="V379" i="2"/>
  <c r="W217" i="2"/>
  <c r="V217" i="2"/>
  <c r="V248" i="2"/>
  <c r="W248" i="2"/>
  <c r="W549" i="2"/>
  <c r="V549" i="2"/>
  <c r="W269" i="2"/>
  <c r="V269" i="2"/>
  <c r="W366" i="2"/>
  <c r="V366" i="2"/>
  <c r="W359" i="2"/>
  <c r="V359" i="2"/>
  <c r="R186" i="2"/>
  <c r="BB186" i="2"/>
  <c r="BE186" i="2"/>
  <c r="BG186" i="2"/>
  <c r="BI186" i="2"/>
  <c r="BC186" i="2"/>
  <c r="BA186" i="2"/>
  <c r="BH186" i="2"/>
  <c r="BF186" i="2"/>
  <c r="BD186" i="2"/>
  <c r="BF130" i="2"/>
  <c r="BE130" i="2"/>
  <c r="BH130" i="2"/>
  <c r="BI130" i="2"/>
  <c r="BD130" i="2"/>
  <c r="BC130" i="2"/>
  <c r="BG130" i="2"/>
  <c r="BB130" i="2"/>
  <c r="BA130" i="2"/>
  <c r="BF200" i="2"/>
  <c r="BH200" i="2"/>
  <c r="BA200" i="2"/>
  <c r="BG200" i="2"/>
  <c r="BI200" i="2"/>
  <c r="BB200" i="2"/>
  <c r="BD200" i="2"/>
  <c r="BE200" i="2"/>
  <c r="BC200" i="2"/>
  <c r="R181" i="2"/>
  <c r="BB181" i="2"/>
  <c r="BA181" i="2"/>
  <c r="BD181" i="2"/>
  <c r="BC181" i="2"/>
  <c r="BE181" i="2"/>
  <c r="BF181" i="2"/>
  <c r="BG181" i="2"/>
  <c r="BH181" i="2"/>
  <c r="BI181" i="2"/>
  <c r="R148" i="2"/>
  <c r="BA148" i="2"/>
  <c r="BB148" i="2"/>
  <c r="BD148" i="2"/>
  <c r="BC148" i="2"/>
  <c r="BE148" i="2"/>
  <c r="BF148" i="2"/>
  <c r="BH148" i="2"/>
  <c r="BG148" i="2"/>
  <c r="BI148" i="2"/>
  <c r="R174" i="2"/>
  <c r="BB174" i="2"/>
  <c r="BA174" i="2"/>
  <c r="BD174" i="2"/>
  <c r="BC174" i="2"/>
  <c r="BF174" i="2"/>
  <c r="BE174" i="2"/>
  <c r="BG174" i="2"/>
  <c r="BH174" i="2"/>
  <c r="BI174" i="2"/>
  <c r="R165" i="2"/>
  <c r="BH165" i="2"/>
  <c r="BE165" i="2"/>
  <c r="BG165" i="2"/>
  <c r="BF165" i="2"/>
  <c r="BI165" i="2"/>
  <c r="BD165" i="2"/>
  <c r="BC165" i="2"/>
  <c r="BA165" i="2"/>
  <c r="BB165" i="2"/>
  <c r="R195" i="2"/>
  <c r="BD195" i="2"/>
  <c r="BG195" i="2"/>
  <c r="BC195" i="2"/>
  <c r="BA195" i="2"/>
  <c r="BE195" i="2"/>
  <c r="BF195" i="2"/>
  <c r="BI195" i="2"/>
  <c r="BH195" i="2"/>
  <c r="BB195" i="2"/>
  <c r="R156" i="2"/>
  <c r="BA156" i="2"/>
  <c r="BE156" i="2"/>
  <c r="BG156" i="2"/>
  <c r="BD156" i="2"/>
  <c r="BH156" i="2"/>
  <c r="BC156" i="2"/>
  <c r="BF156" i="2"/>
  <c r="BB156" i="2"/>
  <c r="BI156" i="2"/>
  <c r="BB121" i="2"/>
  <c r="BA121" i="2"/>
  <c r="BD121" i="2"/>
  <c r="BC121" i="2"/>
  <c r="BF121" i="2"/>
  <c r="BE121" i="2"/>
  <c r="BH121" i="2"/>
  <c r="BG121" i="2"/>
  <c r="BI121" i="2"/>
  <c r="BB133" i="2"/>
  <c r="BA133" i="2"/>
  <c r="BC133" i="2"/>
  <c r="BD133" i="2"/>
  <c r="BE133" i="2"/>
  <c r="BF133" i="2"/>
  <c r="BG133" i="2"/>
  <c r="BH133" i="2"/>
  <c r="BI133" i="2"/>
  <c r="R161" i="2"/>
  <c r="BA161" i="2"/>
  <c r="BB161" i="2"/>
  <c r="BD161" i="2"/>
  <c r="BC161" i="2"/>
  <c r="BF161" i="2"/>
  <c r="BE161" i="2"/>
  <c r="BH161" i="2"/>
  <c r="BG161" i="2"/>
  <c r="BI161" i="2"/>
  <c r="R183" i="2"/>
  <c r="BB183" i="2"/>
  <c r="BA183" i="2"/>
  <c r="BD183" i="2"/>
  <c r="BC183" i="2"/>
  <c r="BF183" i="2"/>
  <c r="BE183" i="2"/>
  <c r="BG183" i="2"/>
  <c r="BH183" i="2"/>
  <c r="BI183" i="2"/>
  <c r="R193" i="2"/>
  <c r="BA193" i="2"/>
  <c r="BB193" i="2"/>
  <c r="BD193" i="2"/>
  <c r="BC193" i="2"/>
  <c r="BF193" i="2"/>
  <c r="BE193" i="2"/>
  <c r="BH193" i="2"/>
  <c r="BG193" i="2"/>
  <c r="BI193" i="2"/>
  <c r="BI142" i="2"/>
  <c r="BF142" i="2"/>
  <c r="BC142" i="2"/>
  <c r="BB142" i="2"/>
  <c r="BE142" i="2"/>
  <c r="BH142" i="2"/>
  <c r="BG142" i="2"/>
  <c r="BA142" i="2"/>
  <c r="BD142" i="2"/>
  <c r="R189" i="2"/>
  <c r="BE189" i="2"/>
  <c r="BB189" i="2"/>
  <c r="BH189" i="2"/>
  <c r="BA189" i="2"/>
  <c r="BG189" i="2"/>
  <c r="BD189" i="2"/>
  <c r="BC189" i="2"/>
  <c r="BF189" i="2"/>
  <c r="BI189" i="2"/>
  <c r="R197" i="2"/>
  <c r="BG197" i="2"/>
  <c r="BF197" i="2"/>
  <c r="BE197" i="2"/>
  <c r="BB197" i="2"/>
  <c r="BD197" i="2"/>
  <c r="BH197" i="2"/>
  <c r="BC197" i="2"/>
  <c r="BA197" i="2"/>
  <c r="BI197" i="2"/>
  <c r="R175" i="2"/>
  <c r="BD175" i="2"/>
  <c r="BH175" i="2"/>
  <c r="BA175" i="2"/>
  <c r="BF175" i="2"/>
  <c r="BC175" i="2"/>
  <c r="BI175" i="2"/>
  <c r="BG175" i="2"/>
  <c r="BE175" i="2"/>
  <c r="BB175" i="2"/>
  <c r="R177" i="2"/>
  <c r="BB177" i="2"/>
  <c r="BF177" i="2"/>
  <c r="BC177" i="2"/>
  <c r="BE177" i="2"/>
  <c r="BD177" i="2"/>
  <c r="BG177" i="2"/>
  <c r="BH177" i="2"/>
  <c r="BI177" i="2"/>
  <c r="BA177" i="2"/>
  <c r="R187" i="2"/>
  <c r="BB187" i="2"/>
  <c r="BA187" i="2"/>
  <c r="BD187" i="2"/>
  <c r="BC187" i="2"/>
  <c r="BE187" i="2"/>
  <c r="BF187" i="2"/>
  <c r="BH187" i="2"/>
  <c r="BG187" i="2"/>
  <c r="BI187" i="2"/>
  <c r="R194" i="2"/>
  <c r="BF194" i="2"/>
  <c r="BE194" i="2"/>
  <c r="BC194" i="2"/>
  <c r="BA194" i="2"/>
  <c r="BB194" i="2"/>
  <c r="BI194" i="2"/>
  <c r="BH194" i="2"/>
  <c r="BD194" i="2"/>
  <c r="BG194" i="2"/>
  <c r="R196" i="2"/>
  <c r="BD196" i="2"/>
  <c r="BH196" i="2"/>
  <c r="BC196" i="2"/>
  <c r="BE196" i="2"/>
  <c r="BB196" i="2"/>
  <c r="BG196" i="2"/>
  <c r="BA196" i="2"/>
  <c r="BF196" i="2"/>
  <c r="BI196" i="2"/>
  <c r="R157" i="2"/>
  <c r="BG157" i="2"/>
  <c r="BI157" i="2"/>
  <c r="BH157" i="2"/>
  <c r="BD157" i="2"/>
  <c r="BB157" i="2"/>
  <c r="BA157" i="2"/>
  <c r="BC157" i="2"/>
  <c r="BE157" i="2"/>
  <c r="BF157" i="2"/>
  <c r="R198" i="2"/>
  <c r="BB198" i="2"/>
  <c r="BG198" i="2"/>
  <c r="BC198" i="2"/>
  <c r="BH198" i="2"/>
  <c r="BA198" i="2"/>
  <c r="BF198" i="2"/>
  <c r="BE198" i="2"/>
  <c r="BD198" i="2"/>
  <c r="BI198" i="2"/>
  <c r="BC113" i="2"/>
  <c r="BH113" i="2"/>
  <c r="BI113" i="2"/>
  <c r="BA113" i="2"/>
  <c r="BD113" i="2"/>
  <c r="BB113" i="2"/>
  <c r="BG113" i="2"/>
  <c r="BE113" i="2"/>
  <c r="BF113" i="2"/>
  <c r="R201" i="2"/>
  <c r="BF201" i="2"/>
  <c r="BH201" i="2"/>
  <c r="BG201" i="2"/>
  <c r="BI201" i="2"/>
  <c r="BB201" i="2"/>
  <c r="BE201" i="2"/>
  <c r="BD201" i="2"/>
  <c r="BC201" i="2"/>
  <c r="BA201" i="2"/>
  <c r="BC162" i="2"/>
  <c r="BG162" i="2"/>
  <c r="BI162" i="2"/>
  <c r="BF162" i="2"/>
  <c r="BD162" i="2"/>
  <c r="BA162" i="2"/>
  <c r="BE162" i="2"/>
  <c r="BH162" i="2"/>
  <c r="BB162" i="2"/>
  <c r="R202" i="2"/>
  <c r="BC202" i="2"/>
  <c r="BI202" i="2"/>
  <c r="BD202" i="2"/>
  <c r="BH202" i="2"/>
  <c r="BA202" i="2"/>
  <c r="BB202" i="2"/>
  <c r="BE202" i="2"/>
  <c r="BG202" i="2"/>
  <c r="BF202" i="2"/>
  <c r="R180" i="2"/>
  <c r="BB180" i="2"/>
  <c r="BA180" i="2"/>
  <c r="BC180" i="2"/>
  <c r="BD180" i="2"/>
  <c r="BF180" i="2"/>
  <c r="BE180" i="2"/>
  <c r="BH180" i="2"/>
  <c r="BG180" i="2"/>
  <c r="BI180" i="2"/>
  <c r="R129" i="2"/>
  <c r="BB129" i="2"/>
  <c r="BA129" i="2"/>
  <c r="BC129" i="2"/>
  <c r="BD129" i="2"/>
  <c r="BE129" i="2"/>
  <c r="BF129" i="2"/>
  <c r="BG129" i="2"/>
  <c r="BH129" i="2"/>
  <c r="BI129" i="2"/>
  <c r="R178" i="2"/>
  <c r="BA178" i="2"/>
  <c r="BB178" i="2"/>
  <c r="BI178" i="2"/>
  <c r="BF178" i="2"/>
  <c r="BD178" i="2"/>
  <c r="BH178" i="2"/>
  <c r="BC178" i="2"/>
  <c r="BE178" i="2"/>
  <c r="BG178" i="2"/>
  <c r="BA164" i="2"/>
  <c r="BB164" i="2"/>
  <c r="BC164" i="2"/>
  <c r="BD164" i="2"/>
  <c r="BE164" i="2"/>
  <c r="BF164" i="2"/>
  <c r="BG164" i="2"/>
  <c r="BH164" i="2"/>
  <c r="BI164" i="2"/>
  <c r="BB159" i="2"/>
  <c r="BA159" i="2"/>
  <c r="BD159" i="2"/>
  <c r="BC159" i="2"/>
  <c r="BF159" i="2"/>
  <c r="BE159" i="2"/>
  <c r="BH159" i="2"/>
  <c r="BG159" i="2"/>
  <c r="BI159" i="2"/>
  <c r="R149" i="2"/>
  <c r="BB149" i="2"/>
  <c r="BI149" i="2"/>
  <c r="BG149" i="2"/>
  <c r="BH149" i="2"/>
  <c r="BA149" i="2"/>
  <c r="BE149" i="2"/>
  <c r="BF149" i="2"/>
  <c r="BD149" i="2"/>
  <c r="BC149" i="2"/>
  <c r="R125" i="2"/>
  <c r="BB125" i="2"/>
  <c r="BA125" i="2"/>
  <c r="BD125" i="2"/>
  <c r="BC125" i="2"/>
  <c r="BF125" i="2"/>
  <c r="BE125" i="2"/>
  <c r="BH125" i="2"/>
  <c r="BG125" i="2"/>
  <c r="BI125" i="2"/>
  <c r="R179" i="2"/>
  <c r="BB179" i="2"/>
  <c r="BA179" i="2"/>
  <c r="BD179" i="2"/>
  <c r="BC179" i="2"/>
  <c r="BF179" i="2"/>
  <c r="BE179" i="2"/>
  <c r="BG179" i="2"/>
  <c r="BH179" i="2"/>
  <c r="BI179" i="2"/>
  <c r="BB138" i="2"/>
  <c r="BA138" i="2"/>
  <c r="BC138" i="2"/>
  <c r="BD138" i="2"/>
  <c r="BE138" i="2"/>
  <c r="BF138" i="2"/>
  <c r="BG138" i="2"/>
  <c r="BH138" i="2"/>
  <c r="BI138" i="2"/>
  <c r="BC137" i="2"/>
  <c r="BE137" i="2"/>
  <c r="BI137" i="2"/>
  <c r="BB137" i="2"/>
  <c r="BF137" i="2"/>
  <c r="BH137" i="2"/>
  <c r="BD137" i="2"/>
  <c r="BA137" i="2"/>
  <c r="BG137" i="2"/>
  <c r="R185" i="2"/>
  <c r="BB185" i="2"/>
  <c r="BA185" i="2"/>
  <c r="BC185" i="2"/>
  <c r="BD185" i="2"/>
  <c r="BF185" i="2"/>
  <c r="BE185" i="2"/>
  <c r="BG185" i="2"/>
  <c r="BH185" i="2"/>
  <c r="BI185" i="2"/>
  <c r="BG119" i="2"/>
  <c r="BF119" i="2"/>
  <c r="BI119" i="2"/>
  <c r="BC119" i="2"/>
  <c r="BD119" i="2"/>
  <c r="BE119" i="2"/>
  <c r="BH119" i="2"/>
  <c r="BB119" i="2"/>
  <c r="BA119" i="2"/>
  <c r="R199" i="2"/>
  <c r="BB199" i="2"/>
  <c r="BA199" i="2"/>
  <c r="BC199" i="2"/>
  <c r="BD199" i="2"/>
  <c r="BF199" i="2"/>
  <c r="BE199" i="2"/>
  <c r="BH199" i="2"/>
  <c r="BG199" i="2"/>
  <c r="BI199" i="2"/>
  <c r="R117" i="2"/>
  <c r="BE117" i="2"/>
  <c r="BB117" i="2"/>
  <c r="BI117" i="2"/>
  <c r="BA117" i="2"/>
  <c r="BF117" i="2"/>
  <c r="BD117" i="2"/>
  <c r="BG117" i="2"/>
  <c r="BC117" i="2"/>
  <c r="BH117" i="2"/>
  <c r="R188" i="2"/>
  <c r="BC188" i="2"/>
  <c r="BB188" i="2"/>
  <c r="BD188" i="2"/>
  <c r="BA188" i="2"/>
  <c r="BE188" i="2"/>
  <c r="BG188" i="2"/>
  <c r="BF188" i="2"/>
  <c r="BI188" i="2"/>
  <c r="BH188" i="2"/>
  <c r="BE128" i="2"/>
  <c r="BI128" i="2"/>
  <c r="BF128" i="2"/>
  <c r="BD128" i="2"/>
  <c r="BH128" i="2"/>
  <c r="BC128" i="2"/>
  <c r="BG128" i="2"/>
  <c r="BA128" i="2"/>
  <c r="BB128" i="2"/>
  <c r="BB112" i="2"/>
  <c r="BA112" i="2"/>
  <c r="BC112" i="2"/>
  <c r="BD112" i="2"/>
  <c r="BE112" i="2"/>
  <c r="BF112" i="2"/>
  <c r="BG112" i="2"/>
  <c r="BH112" i="2"/>
  <c r="BI112" i="2"/>
  <c r="BH118" i="2"/>
  <c r="BD118" i="2"/>
  <c r="BI118" i="2"/>
  <c r="BF118" i="2"/>
  <c r="BA118" i="2"/>
  <c r="BC118" i="2"/>
  <c r="BB118" i="2"/>
  <c r="BG118" i="2"/>
  <c r="BE118" i="2"/>
  <c r="R192" i="2"/>
  <c r="BB192" i="2"/>
  <c r="BA192" i="2"/>
  <c r="BC192" i="2"/>
  <c r="BD192" i="2"/>
  <c r="BE192" i="2"/>
  <c r="BF192" i="2"/>
  <c r="BG192" i="2"/>
  <c r="BH192" i="2"/>
  <c r="BI192" i="2"/>
  <c r="BB131" i="2"/>
  <c r="BA131" i="2"/>
  <c r="BD131" i="2"/>
  <c r="BC131" i="2"/>
  <c r="BE131" i="2"/>
  <c r="BF131" i="2"/>
  <c r="BG131" i="2"/>
  <c r="BH131" i="2"/>
  <c r="BI131" i="2"/>
  <c r="R158" i="2"/>
  <c r="BD158" i="2"/>
  <c r="BE158" i="2"/>
  <c r="BH158" i="2"/>
  <c r="BB158" i="2"/>
  <c r="BA158" i="2"/>
  <c r="BG158" i="2"/>
  <c r="BI158" i="2"/>
  <c r="BF158" i="2"/>
  <c r="BC158" i="2"/>
  <c r="R166" i="2"/>
  <c r="BB166" i="2"/>
  <c r="BA166" i="2"/>
  <c r="BC166" i="2"/>
  <c r="BD166" i="2"/>
  <c r="BE166" i="2"/>
  <c r="BF166" i="2"/>
  <c r="BH166" i="2"/>
  <c r="BG166" i="2"/>
  <c r="BI166" i="2"/>
  <c r="R124" i="2"/>
  <c r="BA124" i="2"/>
  <c r="BB124" i="2"/>
  <c r="BC124" i="2"/>
  <c r="BD124" i="2"/>
  <c r="BF124" i="2"/>
  <c r="BE124" i="2"/>
  <c r="BG124" i="2"/>
  <c r="BH124" i="2"/>
  <c r="BI124" i="2"/>
  <c r="R144" i="2"/>
  <c r="BH144" i="2"/>
  <c r="BC144" i="2"/>
  <c r="BE144" i="2"/>
  <c r="BF144" i="2"/>
  <c r="BG144" i="2"/>
  <c r="BD144" i="2"/>
  <c r="BA144" i="2"/>
  <c r="BB144" i="2"/>
  <c r="BI144" i="2"/>
  <c r="BB115" i="2"/>
  <c r="BA115" i="2"/>
  <c r="BD115" i="2"/>
  <c r="BC115" i="2"/>
  <c r="BF115" i="2"/>
  <c r="BE115" i="2"/>
  <c r="BH115" i="2"/>
  <c r="BG115" i="2"/>
  <c r="BI115" i="2"/>
  <c r="BA167" i="2"/>
  <c r="BB167" i="2"/>
  <c r="BD167" i="2"/>
  <c r="BC167" i="2"/>
  <c r="BF167" i="2"/>
  <c r="BE167" i="2"/>
  <c r="BG167" i="2"/>
  <c r="BH167" i="2"/>
  <c r="BI167" i="2"/>
  <c r="R172" i="2"/>
  <c r="BC172" i="2"/>
  <c r="BF172" i="2"/>
  <c r="BH172" i="2"/>
  <c r="BA172" i="2"/>
  <c r="BB172" i="2"/>
  <c r="BG172" i="2"/>
  <c r="BE172" i="2"/>
  <c r="BI172" i="2"/>
  <c r="BD172" i="2"/>
  <c r="R184" i="2"/>
  <c r="BC184" i="2"/>
  <c r="BG184" i="2"/>
  <c r="BH184" i="2"/>
  <c r="BA184" i="2"/>
  <c r="BE184" i="2"/>
  <c r="BF184" i="2"/>
  <c r="BD184" i="2"/>
  <c r="BB184" i="2"/>
  <c r="BI184" i="2"/>
  <c r="BA176" i="2"/>
  <c r="BB176" i="2"/>
  <c r="BC176" i="2"/>
  <c r="BD176" i="2"/>
  <c r="BE176" i="2"/>
  <c r="BF176" i="2"/>
  <c r="BH176" i="2"/>
  <c r="BG176" i="2"/>
  <c r="BI176" i="2"/>
  <c r="R191" i="2"/>
  <c r="BE191" i="2"/>
  <c r="BG191" i="2"/>
  <c r="BI191" i="2"/>
  <c r="BD191" i="2"/>
  <c r="BH191" i="2"/>
  <c r="BC191" i="2"/>
  <c r="BF191" i="2"/>
  <c r="BB191" i="2"/>
  <c r="BA191" i="2"/>
  <c r="R190" i="2"/>
  <c r="BA190" i="2"/>
  <c r="BB190" i="2"/>
  <c r="BD190" i="2"/>
  <c r="BC190" i="2"/>
  <c r="BF190" i="2"/>
  <c r="BE190" i="2"/>
  <c r="BH190" i="2"/>
  <c r="BG190" i="2"/>
  <c r="BI190" i="2"/>
  <c r="BG139" i="2"/>
  <c r="BH139" i="2"/>
  <c r="BC139" i="2"/>
  <c r="BA139" i="2"/>
  <c r="BB139" i="2"/>
  <c r="BI139" i="2"/>
  <c r="BE139" i="2"/>
  <c r="BF139" i="2"/>
  <c r="BD139" i="2"/>
  <c r="R150" i="2"/>
  <c r="BA150" i="2"/>
  <c r="BB150" i="2"/>
  <c r="BC150" i="2"/>
  <c r="BD150" i="2"/>
  <c r="BF150" i="2"/>
  <c r="BE150" i="2"/>
  <c r="BG150" i="2"/>
  <c r="BH150" i="2"/>
  <c r="BI150" i="2"/>
  <c r="R141" i="2"/>
  <c r="BE141" i="2"/>
  <c r="BG141" i="2"/>
  <c r="BD141" i="2"/>
  <c r="BF141" i="2"/>
  <c r="BI141" i="2"/>
  <c r="BA141" i="2"/>
  <c r="BB141" i="2"/>
  <c r="BH141" i="2"/>
  <c r="BC141" i="2"/>
  <c r="R136" i="2"/>
  <c r="BE136" i="2"/>
  <c r="BG136" i="2"/>
  <c r="BF136" i="2"/>
  <c r="BI136" i="2"/>
  <c r="BB136" i="2"/>
  <c r="BD136" i="2"/>
  <c r="BH136" i="2"/>
  <c r="BC136" i="2"/>
  <c r="BA136" i="2"/>
  <c r="B66" i="23"/>
  <c r="B48" i="23" s="1"/>
  <c r="B38" i="23"/>
  <c r="B30" i="23" s="1"/>
  <c r="B56" i="23"/>
  <c r="AS33" i="2"/>
  <c r="AQ24" i="2"/>
  <c r="C55" i="23"/>
  <c r="C37" i="23"/>
  <c r="C52" i="23"/>
  <c r="C33" i="23"/>
  <c r="C51" i="23"/>
  <c r="C36" i="23"/>
  <c r="C54" i="23"/>
  <c r="C53" i="23"/>
  <c r="C35" i="23"/>
  <c r="C34" i="23"/>
  <c r="C58" i="23"/>
  <c r="C31" i="23"/>
  <c r="C49" i="23"/>
  <c r="C32" i="23"/>
  <c r="C50" i="23"/>
  <c r="C40" i="23"/>
  <c r="C39" i="23"/>
  <c r="C57" i="23"/>
  <c r="K28" i="23"/>
  <c r="K29" i="23" s="1"/>
  <c r="W150" i="2" l="1"/>
  <c r="V150" i="2"/>
  <c r="W158" i="2"/>
  <c r="V158" i="2"/>
  <c r="W192" i="2"/>
  <c r="V192" i="2"/>
  <c r="W188" i="2"/>
  <c r="V188" i="2"/>
  <c r="W199" i="2"/>
  <c r="V199" i="2"/>
  <c r="W193" i="2"/>
  <c r="V193" i="2"/>
  <c r="W195" i="2"/>
  <c r="V195" i="2"/>
  <c r="W172" i="2"/>
  <c r="V172" i="2"/>
  <c r="W124" i="2"/>
  <c r="V124" i="2"/>
  <c r="W125" i="2"/>
  <c r="V125" i="2"/>
  <c r="W149" i="2"/>
  <c r="V149" i="2"/>
  <c r="W129" i="2"/>
  <c r="V129" i="2"/>
  <c r="W180" i="2"/>
  <c r="V180" i="2"/>
  <c r="W201" i="2"/>
  <c r="V201" i="2"/>
  <c r="W198" i="2"/>
  <c r="V198" i="2"/>
  <c r="W196" i="2"/>
  <c r="V196" i="2"/>
  <c r="W187" i="2"/>
  <c r="V187" i="2"/>
  <c r="W175" i="2"/>
  <c r="V175" i="2"/>
  <c r="W189" i="2"/>
  <c r="V189" i="2"/>
  <c r="W161" i="2"/>
  <c r="V161" i="2"/>
  <c r="W174" i="2"/>
  <c r="V174" i="2"/>
  <c r="W181" i="2"/>
  <c r="V181" i="2"/>
  <c r="W136" i="2"/>
  <c r="V136" i="2"/>
  <c r="W141" i="2"/>
  <c r="V141" i="2"/>
  <c r="W117" i="2"/>
  <c r="V117" i="2"/>
  <c r="W183" i="2"/>
  <c r="V183" i="2"/>
  <c r="W156" i="2"/>
  <c r="V156" i="2"/>
  <c r="W165" i="2"/>
  <c r="V165" i="2"/>
  <c r="W190" i="2"/>
  <c r="V190" i="2"/>
  <c r="W191" i="2"/>
  <c r="V191" i="2"/>
  <c r="V184" i="2"/>
  <c r="W184" i="2"/>
  <c r="W144" i="2"/>
  <c r="V144" i="2"/>
  <c r="W166" i="2"/>
  <c r="V166" i="2"/>
  <c r="W185" i="2"/>
  <c r="V185" i="2"/>
  <c r="W179" i="2"/>
  <c r="V179" i="2"/>
  <c r="W178" i="2"/>
  <c r="V178" i="2"/>
  <c r="W202" i="2"/>
  <c r="V202" i="2"/>
  <c r="W157" i="2"/>
  <c r="V157" i="2"/>
  <c r="W194" i="2"/>
  <c r="V194" i="2"/>
  <c r="W177" i="2"/>
  <c r="V177" i="2"/>
  <c r="W197" i="2"/>
  <c r="V197" i="2"/>
  <c r="W148" i="2"/>
  <c r="V148" i="2"/>
  <c r="W186" i="2"/>
  <c r="V186" i="2"/>
  <c r="L27" i="23" a="1"/>
  <c r="L27" i="23" s="1"/>
  <c r="M27" i="23" s="1"/>
  <c r="L24" i="23" a="1"/>
  <c r="L24" i="23" s="1"/>
  <c r="M24" i="23" s="1"/>
  <c r="L22" i="23" a="1"/>
  <c r="L22" i="23" s="1"/>
  <c r="M22" i="23" s="1"/>
  <c r="L25" i="23" a="1"/>
  <c r="L25" i="23" s="1"/>
  <c r="M25" i="23" s="1"/>
  <c r="L23" i="23" a="1"/>
  <c r="L23" i="23" s="1"/>
  <c r="M23" i="23" s="1"/>
  <c r="L26" i="23" a="1"/>
  <c r="L26" i="23" s="1"/>
  <c r="M26" i="23" s="1"/>
  <c r="L28" i="23"/>
  <c r="AS23" i="2"/>
  <c r="AS34" i="2"/>
  <c r="AS32" i="2"/>
  <c r="E33" i="23"/>
  <c r="AS31" i="2"/>
  <c r="AS30" i="2"/>
  <c r="AS29" i="2"/>
  <c r="AS28" i="2"/>
  <c r="AS27" i="2"/>
  <c r="B61" i="23" l="1"/>
  <c r="B44" i="23"/>
  <c r="B60" i="23"/>
  <c r="AU33" i="2"/>
  <c r="E51" i="23"/>
  <c r="AT31" i="2"/>
  <c r="AT30" i="2"/>
  <c r="AT34" i="2"/>
  <c r="AT32" i="2"/>
  <c r="AT23" i="2"/>
  <c r="AT29" i="2"/>
  <c r="AT28" i="2"/>
  <c r="AT33" i="2"/>
  <c r="AT27" i="2"/>
  <c r="AS24" i="2"/>
  <c r="AT24" i="2"/>
  <c r="F55" i="23"/>
  <c r="F39" i="23"/>
  <c r="F50" i="23"/>
  <c r="F35" i="23"/>
  <c r="F40" i="23"/>
  <c r="E52" i="23"/>
  <c r="E34" i="23"/>
  <c r="C56" i="23"/>
  <c r="C84" i="23"/>
  <c r="C38" i="23"/>
  <c r="C30" i="23" s="1"/>
  <c r="C66" i="23"/>
  <c r="E35" i="23"/>
  <c r="E53" i="23"/>
  <c r="E39" i="23"/>
  <c r="E50" i="23"/>
  <c r="E40" i="23"/>
  <c r="E58" i="23"/>
  <c r="E31" i="23"/>
  <c r="E49" i="23"/>
  <c r="E57" i="23"/>
  <c r="E37" i="23"/>
  <c r="E55" i="23"/>
  <c r="E36" i="23"/>
  <c r="E54" i="23"/>
  <c r="E32" i="23"/>
  <c r="B64" i="23"/>
  <c r="B46" i="23"/>
  <c r="AR33" i="2" l="1"/>
  <c r="AR27" i="2"/>
  <c r="AR24" i="2"/>
  <c r="AR23" i="2"/>
  <c r="B62" i="23"/>
  <c r="B43" i="23"/>
  <c r="B45" i="23"/>
  <c r="B59" i="23"/>
  <c r="B41" i="23"/>
  <c r="AU32" i="2"/>
  <c r="B63" i="23"/>
  <c r="B42" i="23"/>
  <c r="AU34" i="2"/>
  <c r="AU23" i="2"/>
  <c r="F31" i="23"/>
  <c r="G35" i="23"/>
  <c r="AU29" i="2"/>
  <c r="AU28" i="2"/>
  <c r="AU27" i="2"/>
  <c r="AU30" i="2"/>
  <c r="AU31" i="2"/>
  <c r="F37" i="23"/>
  <c r="F49" i="23"/>
  <c r="F57" i="23"/>
  <c r="F32" i="23"/>
  <c r="F53" i="23"/>
  <c r="F34" i="23"/>
  <c r="F52" i="23"/>
  <c r="F58" i="23"/>
  <c r="F33" i="23"/>
  <c r="F51" i="23"/>
  <c r="F66" i="23"/>
  <c r="F84" i="23"/>
  <c r="F54" i="23"/>
  <c r="F36" i="23"/>
  <c r="E66" i="23"/>
  <c r="G50" i="23"/>
  <c r="C48" i="23"/>
  <c r="D36" i="23" l="1"/>
  <c r="AR34" i="2"/>
  <c r="AR32" i="2"/>
  <c r="D32" i="23"/>
  <c r="D50" i="23"/>
  <c r="D38" i="23"/>
  <c r="D56" i="23"/>
  <c r="D34" i="23"/>
  <c r="D52" i="23"/>
  <c r="D54" i="23"/>
  <c r="AR31" i="2"/>
  <c r="AR30" i="2"/>
  <c r="AR28" i="2"/>
  <c r="AR29" i="2"/>
  <c r="H34" i="23"/>
  <c r="D46" i="23"/>
  <c r="AW33" i="2"/>
  <c r="AW32" i="2"/>
  <c r="AW23" i="2"/>
  <c r="AU24" i="2"/>
  <c r="G53" i="23"/>
  <c r="H58" i="23"/>
  <c r="AV33" i="2"/>
  <c r="AV30" i="2"/>
  <c r="AV31" i="2"/>
  <c r="AV29" i="2"/>
  <c r="AV28" i="2"/>
  <c r="AV34" i="2"/>
  <c r="AV32" i="2"/>
  <c r="AV27" i="2"/>
  <c r="AV23" i="2"/>
  <c r="AV24" i="2"/>
  <c r="D43" i="23"/>
  <c r="F48" i="23"/>
  <c r="H33" i="23"/>
  <c r="H50" i="23"/>
  <c r="H36" i="23"/>
  <c r="H37" i="23"/>
  <c r="H57" i="23"/>
  <c r="F38" i="23"/>
  <c r="F30" i="23" s="1"/>
  <c r="F56" i="23"/>
  <c r="G32" i="23"/>
  <c r="G31" i="23"/>
  <c r="E56" i="23"/>
  <c r="E38" i="23"/>
  <c r="E30" i="23" s="1"/>
  <c r="E84" i="23"/>
  <c r="E48" i="23" s="1"/>
  <c r="G49" i="23"/>
  <c r="G34" i="23"/>
  <c r="G55" i="23"/>
  <c r="G37" i="23"/>
  <c r="G52" i="23"/>
  <c r="G40" i="23"/>
  <c r="G58" i="23"/>
  <c r="G54" i="23"/>
  <c r="G36" i="23"/>
  <c r="G57" i="23"/>
  <c r="G39" i="23"/>
  <c r="G33" i="23"/>
  <c r="G51" i="23"/>
  <c r="D51" i="23" l="1"/>
  <c r="D37" i="23"/>
  <c r="D31" i="23"/>
  <c r="D84" i="23"/>
  <c r="D49" i="23"/>
  <c r="D55" i="23"/>
  <c r="D40" i="23"/>
  <c r="D58" i="23"/>
  <c r="D39" i="23"/>
  <c r="D57" i="23"/>
  <c r="D53" i="23"/>
  <c r="D35" i="23"/>
  <c r="D66" i="23"/>
  <c r="D33" i="23"/>
  <c r="H52" i="23"/>
  <c r="D64" i="23"/>
  <c r="AW34" i="2"/>
  <c r="AX23" i="2"/>
  <c r="H40" i="23"/>
  <c r="G84" i="23"/>
  <c r="AW27" i="2"/>
  <c r="AW28" i="2"/>
  <c r="AW29" i="2"/>
  <c r="AW31" i="2"/>
  <c r="AW30" i="2"/>
  <c r="AW24" i="2"/>
  <c r="H32" i="23"/>
  <c r="D61" i="23"/>
  <c r="D41" i="23"/>
  <c r="D59" i="23"/>
  <c r="C46" i="23"/>
  <c r="C63" i="23"/>
  <c r="D44" i="23"/>
  <c r="H54" i="23"/>
  <c r="C60" i="23"/>
  <c r="D42" i="23"/>
  <c r="D60" i="23"/>
  <c r="C43" i="23"/>
  <c r="D63" i="23"/>
  <c r="D45" i="23"/>
  <c r="D62" i="23"/>
  <c r="H51" i="23"/>
  <c r="C64" i="23"/>
  <c r="C45" i="23"/>
  <c r="C44" i="23"/>
  <c r="C62" i="23"/>
  <c r="C41" i="23"/>
  <c r="C59" i="23"/>
  <c r="C42" i="23"/>
  <c r="C61" i="23"/>
  <c r="I33" i="23"/>
  <c r="H55" i="23"/>
  <c r="H38" i="23"/>
  <c r="I32" i="23"/>
  <c r="G66" i="23"/>
  <c r="H39" i="23"/>
  <c r="H84" i="23"/>
  <c r="H53" i="23"/>
  <c r="H35" i="23"/>
  <c r="H49" i="23"/>
  <c r="H31" i="23"/>
  <c r="D30" i="23" l="1"/>
  <c r="D48" i="23"/>
  <c r="AX32" i="2"/>
  <c r="I56" i="23"/>
  <c r="AX34" i="2"/>
  <c r="G48" i="23"/>
  <c r="AX33" i="2"/>
  <c r="AX28" i="2"/>
  <c r="AX29" i="2"/>
  <c r="AX30" i="2"/>
  <c r="AX31" i="2"/>
  <c r="AX27" i="2"/>
  <c r="AX24" i="2"/>
  <c r="F60" i="23"/>
  <c r="I50" i="23"/>
  <c r="I51" i="23"/>
  <c r="H56" i="23"/>
  <c r="G38" i="23"/>
  <c r="G30" i="23" s="1"/>
  <c r="H66" i="23"/>
  <c r="H48" i="23" s="1"/>
  <c r="G56" i="23"/>
  <c r="F61" i="23"/>
  <c r="J36" i="23"/>
  <c r="J34" i="23"/>
  <c r="H30" i="23"/>
  <c r="I36" i="23"/>
  <c r="I54" i="23"/>
  <c r="I53" i="23"/>
  <c r="I35" i="23"/>
  <c r="I37" i="23"/>
  <c r="I55" i="23"/>
  <c r="I31" i="23"/>
  <c r="I49" i="23"/>
  <c r="I66" i="23"/>
  <c r="I52" i="23"/>
  <c r="I34" i="23"/>
  <c r="I40" i="23"/>
  <c r="I58" i="23"/>
  <c r="I39" i="23"/>
  <c r="I57" i="23"/>
  <c r="I84" i="23" l="1"/>
  <c r="I48" i="23" s="1"/>
  <c r="I38" i="23"/>
  <c r="I30" i="23" s="1"/>
  <c r="AY23" i="2"/>
  <c r="K34" i="23"/>
  <c r="AY33" i="2"/>
  <c r="F42" i="23"/>
  <c r="J31" i="23"/>
  <c r="AY31" i="2"/>
  <c r="AY30" i="2"/>
  <c r="K33" i="23"/>
  <c r="AY28" i="2"/>
  <c r="AY29" i="2"/>
  <c r="AY34" i="2"/>
  <c r="AY32" i="2"/>
  <c r="AY27" i="2"/>
  <c r="AY24" i="2"/>
  <c r="F43" i="23"/>
  <c r="J52" i="23"/>
  <c r="E64" i="23"/>
  <c r="E46" i="23"/>
  <c r="E63" i="23"/>
  <c r="E45" i="23"/>
  <c r="E43" i="23"/>
  <c r="E61" i="23"/>
  <c r="E44" i="23"/>
  <c r="E62" i="23"/>
  <c r="E42" i="23"/>
  <c r="E60" i="23"/>
  <c r="E41" i="23"/>
  <c r="E59" i="23"/>
  <c r="J54" i="23"/>
  <c r="K55" i="23"/>
  <c r="J49" i="23"/>
  <c r="J66" i="23"/>
  <c r="F44" i="23"/>
  <c r="J35" i="23"/>
  <c r="J53" i="23"/>
  <c r="J50" i="23"/>
  <c r="F45" i="23"/>
  <c r="F63" i="23"/>
  <c r="F59" i="23"/>
  <c r="F41" i="23"/>
  <c r="F62" i="23"/>
  <c r="F64" i="23"/>
  <c r="F46" i="23"/>
  <c r="J57" i="23"/>
  <c r="J55" i="23"/>
  <c r="J37" i="23"/>
  <c r="J51" i="23"/>
  <c r="J33" i="23"/>
  <c r="J58" i="23"/>
  <c r="J40" i="23"/>
  <c r="J39" i="23"/>
  <c r="J32" i="23"/>
  <c r="J84" i="23"/>
  <c r="K52" i="23" l="1"/>
  <c r="H63" i="23"/>
  <c r="G44" i="23"/>
  <c r="G43" i="23"/>
  <c r="K51" i="23"/>
  <c r="K37" i="23"/>
  <c r="J56" i="23"/>
  <c r="J38" i="23"/>
  <c r="J30" i="23" s="1"/>
  <c r="J48" i="23"/>
  <c r="K84" i="23"/>
  <c r="K66" i="23"/>
  <c r="K49" i="23"/>
  <c r="K31" i="23"/>
  <c r="K36" i="23"/>
  <c r="K54" i="23"/>
  <c r="K53" i="23"/>
  <c r="K35" i="23"/>
  <c r="K40" i="23"/>
  <c r="K57" i="23"/>
  <c r="K39" i="23"/>
  <c r="K58" i="23"/>
  <c r="K32" i="23"/>
  <c r="K50" i="23"/>
  <c r="H64" i="23" l="1"/>
  <c r="G46" i="23"/>
  <c r="H45" i="23"/>
  <c r="G62" i="23"/>
  <c r="G61" i="23"/>
  <c r="I60" i="23"/>
  <c r="I61" i="23"/>
  <c r="I45" i="23"/>
  <c r="H46" i="23"/>
  <c r="I62" i="23"/>
  <c r="G64" i="23"/>
  <c r="H43" i="23"/>
  <c r="H61" i="23"/>
  <c r="H59" i="23"/>
  <c r="H41" i="23"/>
  <c r="G42" i="23"/>
  <c r="G60" i="23"/>
  <c r="H62" i="23"/>
  <c r="H44" i="23"/>
  <c r="G59" i="23"/>
  <c r="G41" i="23"/>
  <c r="H60" i="23"/>
  <c r="H42" i="23"/>
  <c r="G45" i="23"/>
  <c r="G63" i="23"/>
  <c r="K56" i="23"/>
  <c r="K38" i="23"/>
  <c r="K30" i="23" s="1"/>
  <c r="K48" i="23"/>
  <c r="I46" i="23" l="1"/>
  <c r="I42" i="23"/>
  <c r="I43" i="23"/>
  <c r="I63" i="23"/>
  <c r="J43" i="23"/>
  <c r="J63" i="23"/>
  <c r="I41" i="23"/>
  <c r="I59" i="23"/>
  <c r="J60" i="23"/>
  <c r="I64" i="23"/>
  <c r="J62" i="23"/>
  <c r="I44" i="23"/>
  <c r="J59" i="23"/>
  <c r="J41" i="23"/>
  <c r="J64" i="23" l="1"/>
  <c r="K45" i="23"/>
  <c r="J45" i="23"/>
  <c r="J61" i="23"/>
  <c r="J42" i="23"/>
  <c r="J46" i="23"/>
  <c r="J44" i="23"/>
  <c r="K44" i="23"/>
  <c r="K42" i="23"/>
  <c r="K64" i="23" l="1"/>
  <c r="K63" i="23"/>
  <c r="K46" i="23"/>
  <c r="L80" i="23"/>
  <c r="L78" i="23"/>
  <c r="K59" i="23"/>
  <c r="K41" i="23"/>
  <c r="S386" i="2"/>
  <c r="S360" i="2"/>
  <c r="S262" i="2"/>
  <c r="S203" i="2"/>
  <c r="S333" i="2"/>
  <c r="S362" i="2"/>
  <c r="S144" i="2"/>
  <c r="S550" i="2"/>
  <c r="S562" i="2"/>
  <c r="S523" i="2"/>
  <c r="S266" i="2"/>
  <c r="S289" i="2"/>
  <c r="S409" i="2"/>
  <c r="S300" i="2"/>
  <c r="S261" i="2"/>
  <c r="S359" i="2"/>
  <c r="S181" i="2"/>
  <c r="S299" i="2"/>
  <c r="S254" i="2"/>
  <c r="S546" i="2"/>
  <c r="S270" i="2"/>
  <c r="S225" i="2"/>
  <c r="S269" i="2"/>
  <c r="S364" i="2"/>
  <c r="S174" i="2"/>
  <c r="S252" i="2"/>
  <c r="S361" i="2"/>
  <c r="S280" i="2"/>
  <c r="S528" i="2"/>
  <c r="S349" i="2"/>
  <c r="S559" i="2"/>
  <c r="S217" i="2"/>
  <c r="S290" i="2"/>
  <c r="S295" i="2"/>
  <c r="S213" i="2"/>
  <c r="S385" i="2"/>
  <c r="S379" i="2"/>
  <c r="S342" i="2"/>
  <c r="S393" i="2"/>
  <c r="S381" i="2"/>
  <c r="S388" i="2"/>
  <c r="S125" i="2"/>
  <c r="S399" i="2"/>
  <c r="S374" i="2"/>
  <c r="S346" i="2"/>
  <c r="S297" i="2"/>
  <c r="S352" i="2"/>
  <c r="S286" i="2"/>
  <c r="S563" i="2"/>
  <c r="S367" i="2"/>
  <c r="S558" i="2"/>
  <c r="S201" i="2"/>
  <c r="S373" i="2"/>
  <c r="S281" i="2"/>
  <c r="S220" i="2"/>
  <c r="S240" i="2"/>
  <c r="K43" i="23"/>
  <c r="K61" i="23"/>
  <c r="K60" i="23"/>
  <c r="K62" i="23"/>
  <c r="T109" i="2"/>
  <c r="S209" i="2"/>
  <c r="T133" i="2"/>
  <c r="T194" i="2"/>
  <c r="T182" i="2"/>
  <c r="S272" i="2"/>
  <c r="S391" i="2"/>
  <c r="T156" i="2"/>
  <c r="S398" i="2"/>
  <c r="T111" i="2"/>
  <c r="T132" i="2"/>
  <c r="T177" i="2"/>
  <c r="T171" i="2"/>
  <c r="T169" i="2"/>
  <c r="T141" i="2"/>
  <c r="T120" i="2"/>
  <c r="T123" i="2"/>
  <c r="S285" i="2"/>
  <c r="T149" i="2"/>
  <c r="T198" i="2"/>
  <c r="T134" i="2"/>
  <c r="T150" i="2"/>
  <c r="S294" i="2"/>
  <c r="S314" i="2"/>
  <c r="S560" i="2"/>
  <c r="S368" i="2"/>
  <c r="T161" i="2"/>
  <c r="S335" i="2"/>
  <c r="T190" i="2"/>
  <c r="T189" i="2"/>
  <c r="T136" i="2"/>
  <c r="S411" i="2" l="1"/>
  <c r="S288" i="2"/>
  <c r="S530" i="2"/>
  <c r="S156" i="2"/>
  <c r="S348" i="2"/>
  <c r="S340" i="2"/>
  <c r="S358" i="2"/>
  <c r="S274" i="2"/>
  <c r="S302" i="2"/>
  <c r="S301" i="2"/>
  <c r="T191" i="2"/>
  <c r="S191" i="2"/>
  <c r="S339" i="2"/>
  <c r="S238" i="2"/>
  <c r="T175" i="2"/>
  <c r="S230" i="2"/>
  <c r="T148" i="2"/>
  <c r="S148" i="2"/>
  <c r="T195" i="2"/>
  <c r="T181" i="2"/>
  <c r="T201" i="2"/>
  <c r="T144" i="2"/>
  <c r="S460" i="2"/>
  <c r="S561" i="2"/>
  <c r="S241" i="2"/>
  <c r="S338" i="2"/>
  <c r="S331" i="2"/>
  <c r="S554" i="2"/>
  <c r="S141" i="2"/>
  <c r="S337" i="2"/>
  <c r="S222" i="2"/>
  <c r="S296" i="2"/>
  <c r="S282" i="2"/>
  <c r="S248" i="2"/>
  <c r="S175" i="2"/>
  <c r="S150" i="2"/>
  <c r="S194" i="2"/>
  <c r="S395" i="2"/>
  <c r="S202" i="2"/>
  <c r="S330" i="2"/>
  <c r="S527" i="2"/>
  <c r="S553" i="2"/>
  <c r="S273" i="2"/>
  <c r="S293" i="2"/>
  <c r="S257" i="2"/>
  <c r="S256" i="2"/>
  <c r="T155" i="2"/>
  <c r="T196" i="2"/>
  <c r="S196" i="2"/>
  <c r="T115" i="2"/>
  <c r="T188" i="2"/>
  <c r="S188" i="2"/>
  <c r="T192" i="2"/>
  <c r="S369" i="2"/>
  <c r="S392" i="2"/>
  <c r="S380" i="2"/>
  <c r="S192" i="2"/>
  <c r="T168" i="2"/>
  <c r="S239" i="2"/>
  <c r="S277" i="2"/>
  <c r="S461" i="2"/>
  <c r="T166" i="2"/>
  <c r="S166" i="2"/>
  <c r="S552" i="2"/>
  <c r="T193" i="2"/>
  <c r="S556" i="2"/>
  <c r="S283" i="2"/>
  <c r="S345" i="2"/>
  <c r="S390" i="2"/>
  <c r="S347" i="2"/>
  <c r="S193" i="2"/>
  <c r="S250" i="2"/>
  <c r="S263" i="2"/>
  <c r="S549" i="2"/>
  <c r="T187" i="2"/>
  <c r="S187" i="2"/>
  <c r="S547" i="2"/>
  <c r="S208" i="2"/>
  <c r="S275" i="2"/>
  <c r="S404" i="2"/>
  <c r="S526" i="2"/>
  <c r="S236" i="2"/>
  <c r="S412" i="2"/>
  <c r="S383" i="2"/>
  <c r="S268" i="2"/>
  <c r="S384" i="2"/>
  <c r="S265" i="2"/>
  <c r="S332" i="2"/>
  <c r="S408" i="2"/>
  <c r="T140" i="2"/>
  <c r="T158" i="2"/>
  <c r="S158" i="2"/>
  <c r="T172" i="2"/>
  <c r="S172" i="2"/>
  <c r="S394" i="2"/>
  <c r="S555" i="2"/>
  <c r="S219" i="2"/>
  <c r="S382" i="2"/>
  <c r="S228" i="2"/>
  <c r="T197" i="2"/>
  <c r="S197" i="2"/>
  <c r="S227" i="2"/>
  <c r="S365" i="2"/>
  <c r="S190" i="2"/>
  <c r="S177" i="2"/>
  <c r="S378" i="2"/>
  <c r="S377" i="2"/>
  <c r="S237" i="2"/>
  <c r="S397" i="2"/>
  <c r="S260" i="2"/>
  <c r="T153" i="2"/>
  <c r="T165" i="2"/>
  <c r="T186" i="2"/>
  <c r="S186" i="2"/>
  <c r="S341" i="2"/>
  <c r="T124" i="2"/>
  <c r="S124" i="2"/>
  <c r="S370" i="2"/>
  <c r="S344" i="2"/>
  <c r="T125" i="2"/>
  <c r="S210" i="2"/>
  <c r="T127" i="2"/>
  <c r="S548" i="2"/>
  <c r="S149" i="2"/>
  <c r="S198" i="2"/>
  <c r="S259" i="2"/>
  <c r="S389" i="2"/>
  <c r="S402" i="2"/>
  <c r="S276" i="2"/>
  <c r="S291" i="2"/>
  <c r="S551" i="2"/>
  <c r="S278" i="2"/>
  <c r="S403" i="2"/>
  <c r="S334" i="2"/>
  <c r="S336" i="2"/>
  <c r="S459" i="2"/>
  <c r="S557" i="2"/>
  <c r="S351" i="2"/>
  <c r="S235" i="2"/>
  <c r="S458" i="2"/>
  <c r="S350" i="2"/>
  <c r="S400" i="2"/>
  <c r="T117" i="2"/>
  <c r="S233" i="2"/>
  <c r="T180" i="2"/>
  <c r="T129" i="2"/>
  <c r="S129" i="2"/>
  <c r="S298" i="2"/>
  <c r="S287" i="2"/>
  <c r="T151" i="2"/>
  <c r="T143" i="2"/>
  <c r="S529" i="2"/>
  <c r="T157" i="2"/>
  <c r="S157" i="2"/>
  <c r="S410" i="2"/>
  <c r="S251" i="2"/>
  <c r="S355" i="2"/>
  <c r="S232" i="2"/>
  <c r="T179" i="2"/>
  <c r="S179" i="2"/>
  <c r="T199" i="2"/>
  <c r="S199" i="2"/>
  <c r="S407" i="2"/>
  <c r="S221" i="2"/>
  <c r="S406" i="2"/>
  <c r="S405" i="2"/>
  <c r="S396" i="2"/>
  <c r="S366" i="2"/>
  <c r="T154" i="2"/>
  <c r="S247" i="2"/>
  <c r="S258" i="2"/>
  <c r="S525" i="2"/>
  <c r="S279" i="2"/>
  <c r="S329" i="2"/>
  <c r="T126" i="2"/>
  <c r="S292" i="2"/>
  <c r="S363" i="2"/>
  <c r="S524" i="2"/>
  <c r="T185" i="2"/>
  <c r="S185" i="2"/>
  <c r="T183" i="2"/>
  <c r="S183" i="2"/>
  <c r="T178" i="2"/>
  <c r="S387" i="2"/>
  <c r="T114" i="2"/>
  <c r="T184" i="2"/>
  <c r="S184" i="2"/>
  <c r="S343" i="2"/>
  <c r="T174" i="2"/>
  <c r="S401" i="2"/>
  <c r="L82" i="23" l="1"/>
  <c r="R371" i="2" l="1"/>
  <c r="BB105" i="2"/>
  <c r="BF105" i="2"/>
  <c r="BC105" i="2"/>
  <c r="BE105" i="2"/>
  <c r="BD105" i="2"/>
  <c r="BH105" i="2"/>
  <c r="BI105" i="2"/>
  <c r="BG105" i="2"/>
  <c r="R372" i="2"/>
  <c r="BA105" i="2"/>
  <c r="BA171" i="2"/>
  <c r="R171" i="2"/>
  <c r="BF171" i="2"/>
  <c r="BE171" i="2"/>
  <c r="BD171" i="2"/>
  <c r="BI171" i="2"/>
  <c r="BC171" i="2"/>
  <c r="BG171" i="2"/>
  <c r="BH171" i="2"/>
  <c r="BB171" i="2"/>
  <c r="BB163" i="2"/>
  <c r="BF163" i="2"/>
  <c r="BI163" i="2"/>
  <c r="BD163" i="2"/>
  <c r="BA163" i="2"/>
  <c r="BE163" i="2"/>
  <c r="BH163" i="2"/>
  <c r="BG163" i="2"/>
  <c r="BC163" i="2"/>
  <c r="BI160" i="2"/>
  <c r="BC160" i="2"/>
  <c r="BH160" i="2"/>
  <c r="BE160" i="2"/>
  <c r="BD160" i="2"/>
  <c r="BB160" i="2"/>
  <c r="BG160" i="2"/>
  <c r="BF160" i="2"/>
  <c r="BA160" i="2"/>
  <c r="BC108" i="2"/>
  <c r="BG108" i="2"/>
  <c r="BI108" i="2"/>
  <c r="BH108" i="2"/>
  <c r="BF108" i="2"/>
  <c r="BA108" i="2"/>
  <c r="BD108" i="2"/>
  <c r="BE108" i="2"/>
  <c r="BB108" i="2"/>
  <c r="R155" i="2"/>
  <c r="BI155" i="2"/>
  <c r="BH155" i="2"/>
  <c r="BF155" i="2"/>
  <c r="BC155" i="2"/>
  <c r="BA155" i="2"/>
  <c r="BB155" i="2"/>
  <c r="BD155" i="2"/>
  <c r="BE155" i="2"/>
  <c r="BG155" i="2"/>
  <c r="BB169" i="2"/>
  <c r="BG169" i="2"/>
  <c r="BC169" i="2"/>
  <c r="BH169" i="2"/>
  <c r="BF169" i="2"/>
  <c r="BD169" i="2"/>
  <c r="R169" i="2"/>
  <c r="BE169" i="2"/>
  <c r="BI169" i="2"/>
  <c r="BA169" i="2"/>
  <c r="R182" i="2"/>
  <c r="BD182" i="2"/>
  <c r="BH182" i="2"/>
  <c r="BA182" i="2"/>
  <c r="BG182" i="2"/>
  <c r="BB182" i="2"/>
  <c r="BI182" i="2"/>
  <c r="BF182" i="2"/>
  <c r="BE182" i="2"/>
  <c r="BC182" i="2"/>
  <c r="BD173" i="2"/>
  <c r="BH173" i="2"/>
  <c r="BI173" i="2"/>
  <c r="BF173" i="2"/>
  <c r="BA173" i="2"/>
  <c r="BC173" i="2"/>
  <c r="BE173" i="2"/>
  <c r="BB173" i="2"/>
  <c r="BG173" i="2"/>
  <c r="BC170" i="2"/>
  <c r="BI170" i="2"/>
  <c r="BG170" i="2"/>
  <c r="BH170" i="2"/>
  <c r="BA170" i="2"/>
  <c r="BB170" i="2"/>
  <c r="BE170" i="2"/>
  <c r="BF170" i="2"/>
  <c r="BD170" i="2"/>
  <c r="BH151" i="2"/>
  <c r="BD151" i="2"/>
  <c r="BB151" i="2"/>
  <c r="BF151" i="2"/>
  <c r="BA151" i="2"/>
  <c r="BG151" i="2"/>
  <c r="R151" i="2"/>
  <c r="BE151" i="2"/>
  <c r="BC151" i="2"/>
  <c r="BI151" i="2"/>
  <c r="BD122" i="2"/>
  <c r="BA122" i="2"/>
  <c r="BH122" i="2"/>
  <c r="BB122" i="2"/>
  <c r="BG122" i="2"/>
  <c r="BC122" i="2"/>
  <c r="R122" i="2"/>
  <c r="BF122" i="2"/>
  <c r="BI122" i="2"/>
  <c r="BE122" i="2"/>
  <c r="BB132" i="2"/>
  <c r="BE132" i="2"/>
  <c r="BD132" i="2"/>
  <c r="BA132" i="2"/>
  <c r="BF132" i="2"/>
  <c r="BC132" i="2"/>
  <c r="BG132" i="2"/>
  <c r="BI132" i="2"/>
  <c r="BH132" i="2"/>
  <c r="R132" i="2"/>
  <c r="R109" i="2"/>
  <c r="BE109" i="2"/>
  <c r="BD109" i="2"/>
  <c r="BC109" i="2"/>
  <c r="BI109" i="2"/>
  <c r="BH109" i="2"/>
  <c r="BG109" i="2"/>
  <c r="BB109" i="2"/>
  <c r="BA109" i="2"/>
  <c r="BF109" i="2"/>
  <c r="R375" i="2"/>
  <c r="R376" i="2"/>
  <c r="R435" i="2"/>
  <c r="R426" i="2"/>
  <c r="R437" i="2"/>
  <c r="R431" i="2"/>
  <c r="R414" i="2"/>
  <c r="R425" i="2"/>
  <c r="R419" i="2"/>
  <c r="R422" i="2"/>
  <c r="R420" i="2"/>
  <c r="R436" i="2"/>
  <c r="R423" i="2"/>
  <c r="R457" i="2"/>
  <c r="R432" i="2"/>
  <c r="R418" i="2"/>
  <c r="R413" i="2"/>
  <c r="R424" i="2"/>
  <c r="R428" i="2"/>
  <c r="R417" i="2"/>
  <c r="R416" i="2"/>
  <c r="R433" i="2"/>
  <c r="R440" i="2"/>
  <c r="R438" i="2"/>
  <c r="R434" i="2"/>
  <c r="R429" i="2"/>
  <c r="R430" i="2"/>
  <c r="R427" i="2"/>
  <c r="R421" i="2"/>
  <c r="R415" i="2"/>
  <c r="R439" i="2"/>
  <c r="R354" i="2"/>
  <c r="R353" i="2"/>
  <c r="R522" i="2"/>
  <c r="R126" i="2"/>
  <c r="BC135" i="2"/>
  <c r="R357" i="2"/>
  <c r="BE126" i="2"/>
  <c r="BB135" i="2"/>
  <c r="BH126" i="2"/>
  <c r="R520" i="2"/>
  <c r="BA126" i="2"/>
  <c r="R521" i="2"/>
  <c r="BD126" i="2"/>
  <c r="BF126" i="2"/>
  <c r="BD135" i="2"/>
  <c r="BI126" i="2"/>
  <c r="BC126" i="2"/>
  <c r="BA135" i="2"/>
  <c r="R356" i="2"/>
  <c r="BH135" i="2"/>
  <c r="BG135" i="2"/>
  <c r="BI135" i="2"/>
  <c r="BF135" i="2"/>
  <c r="BE135" i="2"/>
  <c r="BB126" i="2"/>
  <c r="BG126" i="2"/>
  <c r="R455" i="2"/>
  <c r="R456" i="2"/>
  <c r="R446" i="2"/>
  <c r="R448" i="2"/>
  <c r="R442" i="2"/>
  <c r="R454" i="2"/>
  <c r="R449" i="2"/>
  <c r="R447" i="2"/>
  <c r="R452" i="2"/>
  <c r="R453" i="2"/>
  <c r="R444" i="2"/>
  <c r="R445" i="2"/>
  <c r="R450" i="2"/>
  <c r="R443" i="2"/>
  <c r="R441" i="2"/>
  <c r="R451" i="2"/>
  <c r="R540" i="2"/>
  <c r="R545" i="2"/>
  <c r="BD145" i="2"/>
  <c r="BH120" i="2"/>
  <c r="BE123" i="2"/>
  <c r="BD134" i="2"/>
  <c r="R146" i="2"/>
  <c r="T146" i="2" s="1"/>
  <c r="BG152" i="2"/>
  <c r="BA106" i="2"/>
  <c r="BB107" i="2"/>
  <c r="BB147" i="2"/>
  <c r="BC127" i="2"/>
  <c r="BG153" i="2"/>
  <c r="R574" i="2"/>
  <c r="BB110" i="2"/>
  <c r="BA134" i="2"/>
  <c r="R575" i="2"/>
  <c r="R566" i="2"/>
  <c r="R120" i="2"/>
  <c r="BF110" i="2"/>
  <c r="R114" i="2"/>
  <c r="BC134" i="2"/>
  <c r="BD146" i="2"/>
  <c r="BH152" i="2"/>
  <c r="BC106" i="2"/>
  <c r="BD107" i="2"/>
  <c r="BF147" i="2"/>
  <c r="R127" i="2"/>
  <c r="BF153" i="2"/>
  <c r="R572" i="2"/>
  <c r="BF145" i="2"/>
  <c r="BH123" i="2"/>
  <c r="BF154" i="2"/>
  <c r="BG110" i="2"/>
  <c r="BA152" i="2"/>
  <c r="BH107" i="2"/>
  <c r="BH103" i="2"/>
  <c r="BG116" i="2"/>
  <c r="BF107" i="2"/>
  <c r="BC110" i="2"/>
  <c r="BI168" i="2"/>
  <c r="BB127" i="2"/>
  <c r="BI145" i="2"/>
  <c r="BE152" i="2"/>
  <c r="BE111" i="2"/>
  <c r="BC153" i="2"/>
  <c r="R541" i="2"/>
  <c r="BB146" i="2"/>
  <c r="BD147" i="2"/>
  <c r="BA120" i="2"/>
  <c r="BC147" i="2"/>
  <c r="R538" i="2"/>
  <c r="R542" i="2"/>
  <c r="BC145" i="2"/>
  <c r="BD110" i="2"/>
  <c r="BI123" i="2"/>
  <c r="BG134" i="2"/>
  <c r="BG146" i="2"/>
  <c r="BI152" i="2"/>
  <c r="BE106" i="2"/>
  <c r="R111" i="2"/>
  <c r="BH147" i="2"/>
  <c r="BG127" i="2"/>
  <c r="BA116" i="2"/>
  <c r="R539" i="2"/>
  <c r="BD123" i="2"/>
  <c r="BI134" i="2"/>
  <c r="R567" i="2"/>
  <c r="R573" i="2"/>
  <c r="BD120" i="2"/>
  <c r="BI110" i="2"/>
  <c r="BD114" i="2"/>
  <c r="BH134" i="2"/>
  <c r="BH146" i="2"/>
  <c r="R168" i="2"/>
  <c r="BH106" i="2"/>
  <c r="BA111" i="2"/>
  <c r="BG147" i="2"/>
  <c r="BD127" i="2"/>
  <c r="BI153" i="2"/>
  <c r="R534" i="2"/>
  <c r="BB120" i="2"/>
  <c r="BE114" i="2"/>
  <c r="R543" i="2"/>
  <c r="BG123" i="2"/>
  <c r="BA168" i="2"/>
  <c r="BD111" i="2"/>
  <c r="BE127" i="2"/>
  <c r="R123" i="2"/>
  <c r="BG103" i="2"/>
  <c r="BC123" i="2"/>
  <c r="BI107" i="2"/>
  <c r="BE116" i="2"/>
  <c r="BA114" i="2"/>
  <c r="BF168" i="2"/>
  <c r="BI147" i="2"/>
  <c r="BB116" i="2"/>
  <c r="BH145" i="2"/>
  <c r="BF152" i="2"/>
  <c r="BA127" i="2"/>
  <c r="BI146" i="2"/>
  <c r="BC103" i="2"/>
  <c r="R535" i="2"/>
  <c r="BC120" i="2"/>
  <c r="BG114" i="2"/>
  <c r="BH168" i="2"/>
  <c r="BG111" i="2"/>
  <c r="BD153" i="2"/>
  <c r="R544" i="2"/>
  <c r="R576" i="2"/>
  <c r="BA145" i="2"/>
  <c r="BA110" i="2"/>
  <c r="R134" i="2"/>
  <c r="BC152" i="2"/>
  <c r="BC107" i="2"/>
  <c r="BI103" i="2"/>
  <c r="R571" i="2"/>
  <c r="R154" i="2"/>
  <c r="BE146" i="2"/>
  <c r="BD103" i="2"/>
  <c r="BE168" i="2"/>
  <c r="BB152" i="2"/>
  <c r="R568" i="2"/>
  <c r="BG107" i="2"/>
  <c r="R533" i="2"/>
  <c r="R564" i="2"/>
  <c r="R565" i="2"/>
  <c r="R577" i="2"/>
  <c r="BG145" i="2"/>
  <c r="BH110" i="2"/>
  <c r="BC114" i="2"/>
  <c r="BD154" i="2"/>
  <c r="BC146" i="2"/>
  <c r="BD168" i="2"/>
  <c r="R107" i="2"/>
  <c r="T107" i="2" s="1"/>
  <c r="BC111" i="2"/>
  <c r="BA103" i="2"/>
  <c r="R153" i="2"/>
  <c r="BF116" i="2"/>
  <c r="BB145" i="2"/>
  <c r="BB114" i="2"/>
  <c r="BB154" i="2"/>
  <c r="R536" i="2"/>
  <c r="BE145" i="2"/>
  <c r="BG120" i="2"/>
  <c r="BA123" i="2"/>
  <c r="BH114" i="2"/>
  <c r="BC154" i="2"/>
  <c r="BF146" i="2"/>
  <c r="BC168" i="2"/>
  <c r="BA107" i="2"/>
  <c r="BF111" i="2"/>
  <c r="BE103" i="2"/>
  <c r="BH127" i="2"/>
  <c r="BD116" i="2"/>
  <c r="R537" i="2"/>
  <c r="BI120" i="2"/>
  <c r="BE134" i="2"/>
  <c r="R570" i="2"/>
  <c r="BH154" i="2"/>
  <c r="BB106" i="2"/>
  <c r="BA147" i="2"/>
  <c r="BA153" i="2"/>
  <c r="BA154" i="2"/>
  <c r="BI127" i="2"/>
  <c r="BG154" i="2"/>
  <c r="BB111" i="2"/>
  <c r="R532" i="2"/>
  <c r="BB134" i="2"/>
  <c r="BD106" i="2"/>
  <c r="BB103" i="2"/>
  <c r="BI116" i="2"/>
  <c r="BF114" i="2"/>
  <c r="BF106" i="2"/>
  <c r="BE153" i="2"/>
  <c r="BB168" i="2"/>
  <c r="BH153" i="2"/>
  <c r="R569" i="2"/>
  <c r="BB123" i="2"/>
  <c r="BI154" i="2"/>
  <c r="BD152" i="2"/>
  <c r="BE107" i="2"/>
  <c r="BF103" i="2"/>
  <c r="BF120" i="2"/>
  <c r="BI114" i="2"/>
  <c r="R531" i="2"/>
  <c r="BF123" i="2"/>
  <c r="BE154" i="2"/>
  <c r="BG168" i="2"/>
  <c r="BI111" i="2"/>
  <c r="BB153" i="2"/>
  <c r="BH116" i="2"/>
  <c r="BE110" i="2"/>
  <c r="BE120" i="2"/>
  <c r="BI106" i="2"/>
  <c r="R116" i="2"/>
  <c r="BC116" i="2"/>
  <c r="BE147" i="2"/>
  <c r="BA146" i="2"/>
  <c r="BF127" i="2"/>
  <c r="BF134" i="2"/>
  <c r="BH111" i="2"/>
  <c r="BG106" i="2"/>
  <c r="R316" i="2"/>
  <c r="R315" i="2"/>
  <c r="BA104" i="2"/>
  <c r="BE104" i="2"/>
  <c r="BD104" i="2"/>
  <c r="R104" i="2"/>
  <c r="BB104" i="2"/>
  <c r="BF104" i="2"/>
  <c r="BG104" i="2"/>
  <c r="BH104" i="2"/>
  <c r="BC104" i="2"/>
  <c r="BI104" i="2"/>
  <c r="R140" i="2"/>
  <c r="BD140" i="2"/>
  <c r="BF140" i="2"/>
  <c r="BB140" i="2"/>
  <c r="BC140" i="2"/>
  <c r="BH140" i="2"/>
  <c r="BA140" i="2"/>
  <c r="BG140" i="2"/>
  <c r="BE140" i="2"/>
  <c r="BI140" i="2"/>
  <c r="R2" i="2"/>
  <c r="T2" i="2" s="1"/>
  <c r="R317" i="2"/>
  <c r="BB100" i="2"/>
  <c r="R319" i="2"/>
  <c r="BH100" i="2"/>
  <c r="BA102" i="2"/>
  <c r="BG100" i="2"/>
  <c r="BA100" i="2"/>
  <c r="R462" i="2"/>
  <c r="BF100" i="2"/>
  <c r="BD102" i="2"/>
  <c r="BI100" i="2"/>
  <c r="BF102" i="2"/>
  <c r="R463" i="2"/>
  <c r="BC102" i="2"/>
  <c r="BE100" i="2"/>
  <c r="BH102" i="2"/>
  <c r="R464" i="2"/>
  <c r="BI102" i="2"/>
  <c r="BB102" i="2"/>
  <c r="BG102" i="2"/>
  <c r="R320" i="2"/>
  <c r="BC100" i="2"/>
  <c r="R318" i="2"/>
  <c r="BD100" i="2"/>
  <c r="BE102" i="2"/>
  <c r="BI143" i="2"/>
  <c r="BE143" i="2"/>
  <c r="BG143" i="2"/>
  <c r="BD143" i="2"/>
  <c r="BH143" i="2"/>
  <c r="R143" i="2"/>
  <c r="BA143" i="2"/>
  <c r="BC143" i="2"/>
  <c r="BB143" i="2"/>
  <c r="BF143" i="2"/>
  <c r="BI6" i="2"/>
  <c r="BB46" i="2"/>
  <c r="BE90" i="2"/>
  <c r="BC18" i="2"/>
  <c r="BB54" i="2"/>
  <c r="BC41" i="2"/>
  <c r="BC53" i="2"/>
  <c r="BG95" i="2"/>
  <c r="BD59" i="2"/>
  <c r="BA12" i="2"/>
  <c r="BA20" i="2"/>
  <c r="BE26" i="2"/>
  <c r="BI89" i="2"/>
  <c r="BA7" i="2"/>
  <c r="BB42" i="2"/>
  <c r="BG26" i="2"/>
  <c r="BA45" i="2"/>
  <c r="BH14" i="2"/>
  <c r="BF29" i="2"/>
  <c r="BD18" i="2"/>
  <c r="BF41" i="2"/>
  <c r="BC52" i="2"/>
  <c r="BC82" i="2"/>
  <c r="BI9" i="2"/>
  <c r="BC6" i="2"/>
  <c r="BG29" i="2"/>
  <c r="BH80" i="2"/>
  <c r="BB18" i="2"/>
  <c r="BH70" i="2"/>
  <c r="BD24" i="2"/>
  <c r="BE39" i="2"/>
  <c r="BI19" i="2"/>
  <c r="BE13" i="2"/>
  <c r="BI75" i="2"/>
  <c r="BC10" i="2"/>
  <c r="BI36" i="2"/>
  <c r="BB40" i="2"/>
  <c r="BD61" i="2"/>
  <c r="BA42" i="2"/>
  <c r="BD6" i="2"/>
  <c r="BG46" i="2"/>
  <c r="BH90" i="2"/>
  <c r="BF83" i="2"/>
  <c r="BD70" i="2"/>
  <c r="BG24" i="2"/>
  <c r="BG39" i="2"/>
  <c r="BD19" i="2"/>
  <c r="BB13" i="2"/>
  <c r="BE8" i="2"/>
  <c r="BE77" i="2"/>
  <c r="BF94" i="2"/>
  <c r="BI62" i="2"/>
  <c r="BC28" i="2"/>
  <c r="BH51" i="2"/>
  <c r="BG59" i="2"/>
  <c r="BB9" i="2"/>
  <c r="BC90" i="2"/>
  <c r="BD65" i="2"/>
  <c r="BE82" i="2"/>
  <c r="BC56" i="2"/>
  <c r="BD30" i="2"/>
  <c r="BC11" i="2"/>
  <c r="BG91" i="2"/>
  <c r="BE88" i="2"/>
  <c r="BA81" i="2"/>
  <c r="BE51" i="2"/>
  <c r="BI63" i="2"/>
  <c r="BI52" i="2"/>
  <c r="BE92" i="2"/>
  <c r="BG82" i="2"/>
  <c r="BG94" i="2"/>
  <c r="BE9" i="2"/>
  <c r="BH38" i="2"/>
  <c r="BA33" i="2"/>
  <c r="BD20" i="2"/>
  <c r="BB57" i="2"/>
  <c r="BB7" i="2"/>
  <c r="BB45" i="2"/>
  <c r="BB15" i="2"/>
  <c r="BI37" i="2"/>
  <c r="BD39" i="2"/>
  <c r="BA59" i="2"/>
  <c r="BH64" i="2"/>
  <c r="BG14" i="2"/>
  <c r="BE30" i="2"/>
  <c r="BF48" i="2"/>
  <c r="BA27" i="2"/>
  <c r="BD88" i="2"/>
  <c r="BF71" i="2"/>
  <c r="BG41" i="2"/>
  <c r="BF53" i="2"/>
  <c r="BH95" i="2"/>
  <c r="BI59" i="2"/>
  <c r="BC76" i="2"/>
  <c r="BG36" i="2"/>
  <c r="BG60" i="2"/>
  <c r="BD80" i="2"/>
  <c r="BA19" i="2"/>
  <c r="BI10" i="2"/>
  <c r="BB30" i="2"/>
  <c r="BD11" i="2"/>
  <c r="BI91" i="2"/>
  <c r="BH56" i="2"/>
  <c r="BI86" i="2"/>
  <c r="BA41" i="2"/>
  <c r="BE53" i="2"/>
  <c r="BE95" i="2"/>
  <c r="BC59" i="2"/>
  <c r="BD76" i="2"/>
  <c r="BA25" i="2"/>
  <c r="BD10" i="2"/>
  <c r="BF7" i="2"/>
  <c r="BF79" i="2"/>
  <c r="BD98" i="2"/>
  <c r="BG3" i="2"/>
  <c r="BE38" i="2"/>
  <c r="BA83" i="2"/>
  <c r="BE16" i="2"/>
  <c r="BF20" i="2"/>
  <c r="BF95" i="2"/>
  <c r="BE55" i="2"/>
  <c r="BE48" i="2"/>
  <c r="BB27" i="2"/>
  <c r="BB93" i="2"/>
  <c r="BE81" i="2"/>
  <c r="BC68" i="2"/>
  <c r="BC63" i="2"/>
  <c r="BH31" i="2"/>
  <c r="BC92" i="2"/>
  <c r="BF82" i="2"/>
  <c r="BC94" i="2"/>
  <c r="BC36" i="2"/>
  <c r="BF38" i="2"/>
  <c r="BB33" i="2"/>
  <c r="BF4" i="2"/>
  <c r="BC62" i="2"/>
  <c r="BE7" i="2"/>
  <c r="BH17" i="2"/>
  <c r="BD90" i="2"/>
  <c r="BI70" i="2"/>
  <c r="BF58" i="2"/>
  <c r="BH85" i="2"/>
  <c r="BC64" i="2"/>
  <c r="BH78" i="2"/>
  <c r="BI55" i="2"/>
  <c r="BD48" i="2"/>
  <c r="BG27" i="2"/>
  <c r="BG88" i="2"/>
  <c r="BD71" i="2"/>
  <c r="BI51" i="2"/>
  <c r="BI53" i="2"/>
  <c r="BD47" i="2"/>
  <c r="BB85" i="2"/>
  <c r="BH12" i="2"/>
  <c r="BE57" i="2"/>
  <c r="BI17" i="2"/>
  <c r="BD27" i="2"/>
  <c r="BF47" i="2"/>
  <c r="BD26" i="2"/>
  <c r="BG55" i="2"/>
  <c r="BB48" i="2"/>
  <c r="BF27" i="2"/>
  <c r="BD56" i="2"/>
  <c r="BE86" i="2"/>
  <c r="BD51" i="2"/>
  <c r="BC98" i="2"/>
  <c r="BI95" i="2"/>
  <c r="BA85" i="2"/>
  <c r="BA76" i="2"/>
  <c r="BF25" i="2"/>
  <c r="BB10" i="2"/>
  <c r="BI33" i="2"/>
  <c r="BB83" i="2"/>
  <c r="BF63" i="2"/>
  <c r="BI82" i="2"/>
  <c r="BC60" i="2"/>
  <c r="BH69" i="2"/>
  <c r="BG28" i="2"/>
  <c r="BH49" i="2"/>
  <c r="BC37" i="2"/>
  <c r="BC35" i="2"/>
  <c r="BE50" i="2"/>
  <c r="BB19" i="2"/>
  <c r="BD13" i="2"/>
  <c r="BD32" i="2"/>
  <c r="BE42" i="2"/>
  <c r="BI72" i="2"/>
  <c r="BD62" i="2"/>
  <c r="BG17" i="2"/>
  <c r="BH82" i="2"/>
  <c r="BG66" i="2"/>
  <c r="BF78" i="2"/>
  <c r="BI34" i="2"/>
  <c r="BG34" i="2"/>
  <c r="BA49" i="2"/>
  <c r="BF81" i="2"/>
  <c r="BD16" i="2"/>
  <c r="BF8" i="2"/>
  <c r="BF5" i="2"/>
  <c r="BB2" i="2"/>
  <c r="BE69" i="2"/>
  <c r="BE28" i="2"/>
  <c r="BG49" i="2"/>
  <c r="BA43" i="2"/>
  <c r="BF21" i="2"/>
  <c r="BB65" i="2"/>
  <c r="BC87" i="2"/>
  <c r="BF31" i="2"/>
  <c r="BB92" i="2"/>
  <c r="BI25" i="2"/>
  <c r="BI45" i="2"/>
  <c r="BF99" i="2"/>
  <c r="BH54" i="2"/>
  <c r="BD75" i="2"/>
  <c r="BC7" i="2"/>
  <c r="BA11" i="2"/>
  <c r="BE49" i="2"/>
  <c r="BB24" i="2"/>
  <c r="BE74" i="2"/>
  <c r="BF32" i="2"/>
  <c r="BD72" i="2"/>
  <c r="BE91" i="2"/>
  <c r="BG77" i="2"/>
  <c r="BE60" i="2"/>
  <c r="BB94" i="2"/>
  <c r="BA22" i="2"/>
  <c r="BB98" i="2"/>
  <c r="BE14" i="2"/>
  <c r="BC31" i="2"/>
  <c r="BC71" i="2"/>
  <c r="BH48" i="2"/>
  <c r="BI30" i="2"/>
  <c r="BE11" i="2"/>
  <c r="BD91" i="2"/>
  <c r="BB88" i="2"/>
  <c r="BA71" i="2"/>
  <c r="BC51" i="2"/>
  <c r="BI98" i="2"/>
  <c r="BE52" i="2"/>
  <c r="BG97" i="2"/>
  <c r="BD82" i="2"/>
  <c r="BD64" i="2"/>
  <c r="BA9" i="2"/>
  <c r="BI78" i="2"/>
  <c r="BF33" i="2"/>
  <c r="BB20" i="2"/>
  <c r="BD36" i="2"/>
  <c r="BF2" i="2"/>
  <c r="BI60" i="2"/>
  <c r="BI28" i="2"/>
  <c r="BB43" i="2"/>
  <c r="BI50" i="2"/>
  <c r="BF73" i="2"/>
  <c r="BE4" i="2"/>
  <c r="BB62" i="2"/>
  <c r="BF30" i="2"/>
  <c r="BH11" i="2"/>
  <c r="BH91" i="2"/>
  <c r="BE56" i="2"/>
  <c r="BD86" i="2"/>
  <c r="BE41" i="2"/>
  <c r="BA53" i="2"/>
  <c r="BC95" i="2"/>
  <c r="BH59" i="2"/>
  <c r="BF76" i="2"/>
  <c r="BG9" i="2"/>
  <c r="BD38" i="2"/>
  <c r="BA28" i="2"/>
  <c r="BA63" i="2"/>
  <c r="BI66" i="2"/>
  <c r="BA30" i="2"/>
  <c r="BG11" i="2"/>
  <c r="BF91" i="2"/>
  <c r="BF56" i="2"/>
  <c r="BF54" i="2"/>
  <c r="BH41" i="2"/>
  <c r="BB53" i="2"/>
  <c r="BB95" i="2"/>
  <c r="BF59" i="2"/>
  <c r="BI32" i="2"/>
  <c r="BH42" i="2"/>
  <c r="BH72" i="2"/>
  <c r="BG2" i="2"/>
  <c r="BF22" i="2"/>
  <c r="BH53" i="2"/>
  <c r="BB12" i="2"/>
  <c r="BD78" i="2"/>
  <c r="BF18" i="2"/>
  <c r="BD87" i="2"/>
  <c r="BH4" i="2"/>
  <c r="BF87" i="2"/>
  <c r="BG101" i="2"/>
  <c r="BI84" i="2"/>
  <c r="BC22" i="2"/>
  <c r="BH43" i="2"/>
  <c r="BI21" i="2"/>
  <c r="BI65" i="2"/>
  <c r="BC16" i="2"/>
  <c r="BC23" i="2"/>
  <c r="BC8" i="2"/>
  <c r="BF77" i="2"/>
  <c r="BB72" i="2"/>
  <c r="BF57" i="2"/>
  <c r="BD45" i="2"/>
  <c r="BC32" i="2"/>
  <c r="BD94" i="2"/>
  <c r="BD89" i="2"/>
  <c r="BC34" i="2"/>
  <c r="BH96" i="2"/>
  <c r="BC27" i="2"/>
  <c r="BH86" i="2"/>
  <c r="BA87" i="2"/>
  <c r="BD92" i="2"/>
  <c r="BC72" i="2"/>
  <c r="BC45" i="2"/>
  <c r="BF101" i="2"/>
  <c r="BF84" i="2"/>
  <c r="BI22" i="2"/>
  <c r="BF43" i="2"/>
  <c r="BG81" i="2"/>
  <c r="BF68" i="2"/>
  <c r="BH63" i="2"/>
  <c r="BH52" i="2"/>
  <c r="BD97" i="2"/>
  <c r="BB67" i="2"/>
  <c r="BB78" i="2"/>
  <c r="BF34" i="2"/>
  <c r="BF88" i="2"/>
  <c r="BE59" i="2"/>
  <c r="BA60" i="2"/>
  <c r="BD101" i="2"/>
  <c r="BA84" i="2"/>
  <c r="BD22" i="2"/>
  <c r="BC93" i="2"/>
  <c r="BD81" i="2"/>
  <c r="BE68" i="2"/>
  <c r="BB63" i="2"/>
  <c r="BD52" i="2"/>
  <c r="BF97" i="2"/>
  <c r="BI3" i="2"/>
  <c r="BH20" i="2"/>
  <c r="BG5" i="2"/>
  <c r="BG30" i="2"/>
  <c r="BG93" i="2"/>
  <c r="BG19" i="2"/>
  <c r="BD25" i="2"/>
  <c r="BB96" i="2"/>
  <c r="BI54" i="2"/>
  <c r="BH13" i="2"/>
  <c r="BB5" i="2"/>
  <c r="BE76" i="2"/>
  <c r="BC101" i="2"/>
  <c r="BF28" i="2"/>
  <c r="BD49" i="2"/>
  <c r="BE43" i="2"/>
  <c r="BE35" i="2"/>
  <c r="BA50" i="2"/>
  <c r="BH16" i="2"/>
  <c r="BH23" i="2"/>
  <c r="BG8" i="2"/>
  <c r="BI77" i="2"/>
  <c r="BF72" i="2"/>
  <c r="BI57" i="2"/>
  <c r="BH45" i="2"/>
  <c r="BE3" i="2"/>
  <c r="BH94" i="2"/>
  <c r="BF89" i="2"/>
  <c r="BB34" i="2"/>
  <c r="BH33" i="2"/>
  <c r="BE27" i="2"/>
  <c r="BG71" i="2"/>
  <c r="BI87" i="2"/>
  <c r="BB8" i="2"/>
  <c r="BH10" i="2"/>
  <c r="BG45" i="2"/>
  <c r="BA69" i="2"/>
  <c r="BD28" i="2"/>
  <c r="BC49" i="2"/>
  <c r="BG43" i="2"/>
  <c r="BB21" i="2"/>
  <c r="BI68" i="2"/>
  <c r="BE63" i="2"/>
  <c r="BE31" i="2"/>
  <c r="BH97" i="2"/>
  <c r="BA77" i="2"/>
  <c r="BB38" i="2"/>
  <c r="BE99" i="2"/>
  <c r="BF37" i="2"/>
  <c r="BA97" i="2"/>
  <c r="BD17" i="2"/>
  <c r="BB69" i="2"/>
  <c r="BH84" i="2"/>
  <c r="BB49" i="2"/>
  <c r="BH93" i="2"/>
  <c r="BH81" i="2"/>
  <c r="BF65" i="2"/>
  <c r="BD63" i="2"/>
  <c r="BA52" i="2"/>
  <c r="BI97" i="2"/>
  <c r="BA3" i="2"/>
  <c r="BD4" i="2"/>
  <c r="BI26" i="2"/>
  <c r="BA55" i="2"/>
  <c r="BD43" i="2"/>
  <c r="BD74" i="2"/>
  <c r="BC20" i="2"/>
  <c r="BC33" i="2"/>
  <c r="BG40" i="2"/>
  <c r="BA90" i="2"/>
  <c r="BH83" i="2"/>
  <c r="BD54" i="2"/>
  <c r="BH61" i="2"/>
  <c r="BG58" i="2"/>
  <c r="BD95" i="2"/>
  <c r="BB59" i="2"/>
  <c r="BD12" i="2"/>
  <c r="BE20" i="2"/>
  <c r="BD5" i="2"/>
  <c r="BI14" i="2"/>
  <c r="BI2" i="2"/>
  <c r="BC77" i="2"/>
  <c r="BH5" i="2"/>
  <c r="BF60" i="2"/>
  <c r="BA62" i="2"/>
  <c r="BA46" i="2"/>
  <c r="BI18" i="2"/>
  <c r="BG61" i="2"/>
  <c r="BB47" i="2"/>
  <c r="BD3" i="2"/>
  <c r="BF9" i="2"/>
  <c r="BH34" i="2"/>
  <c r="BH46" i="2"/>
  <c r="BF90" i="2"/>
  <c r="BG83" i="2"/>
  <c r="BA70" i="2"/>
  <c r="BE24" i="2"/>
  <c r="BH39" i="2"/>
  <c r="BH19" i="2"/>
  <c r="BF13" i="2"/>
  <c r="BE75" i="2"/>
  <c r="BE72" i="2"/>
  <c r="BG33" i="2"/>
  <c r="BI69" i="2"/>
  <c r="BI24" i="2"/>
  <c r="BH67" i="2"/>
  <c r="BA6" i="2"/>
  <c r="BA48" i="2"/>
  <c r="BC88" i="2"/>
  <c r="BF51" i="2"/>
  <c r="BC47" i="2"/>
  <c r="BB77" i="2"/>
  <c r="BB36" i="2"/>
  <c r="BD41" i="2"/>
  <c r="BH44" i="2"/>
  <c r="BB66" i="2"/>
  <c r="BI38" i="2"/>
  <c r="BA93" i="2"/>
  <c r="BH47" i="2"/>
  <c r="BG7" i="2"/>
  <c r="BC46" i="2"/>
  <c r="BH98" i="2"/>
  <c r="BB73" i="2"/>
  <c r="BE101" i="2"/>
  <c r="BE84" i="2"/>
  <c r="BH22" i="2"/>
  <c r="BI93" i="2"/>
  <c r="BE21" i="2"/>
  <c r="BH65" i="2"/>
  <c r="BE87" i="2"/>
  <c r="BG23" i="2"/>
  <c r="BH75" i="2"/>
  <c r="BG67" i="2"/>
  <c r="BF66" i="2"/>
  <c r="BA57" i="2"/>
  <c r="BH60" i="2"/>
  <c r="BE34" i="2"/>
  <c r="BE64" i="2"/>
  <c r="BA14" i="2"/>
  <c r="BE33" i="2"/>
  <c r="BH7" i="2"/>
  <c r="BB91" i="2"/>
  <c r="BB86" i="2"/>
  <c r="BG98" i="2"/>
  <c r="BH92" i="2"/>
  <c r="BE66" i="2"/>
  <c r="BD60" i="2"/>
  <c r="BB101" i="2"/>
  <c r="BG84" i="2"/>
  <c r="BE22" i="2"/>
  <c r="BE93" i="2"/>
  <c r="BC81" i="2"/>
  <c r="BB68" i="2"/>
  <c r="BF98" i="2"/>
  <c r="BF52" i="2"/>
  <c r="BI85" i="2"/>
  <c r="BH3" i="2"/>
  <c r="BE89" i="2"/>
  <c r="BD96" i="2"/>
  <c r="BB79" i="2"/>
  <c r="BA13" i="2"/>
  <c r="BG89" i="2"/>
  <c r="BH101" i="2"/>
  <c r="BC84" i="2"/>
  <c r="BB22" i="2"/>
  <c r="BH88" i="2"/>
  <c r="BB71" i="2"/>
  <c r="BA68" i="2"/>
  <c r="BG63" i="2"/>
  <c r="BG47" i="2"/>
  <c r="BB97" i="2"/>
  <c r="BI12" i="2"/>
  <c r="BG20" i="2"/>
  <c r="BC5" i="2"/>
  <c r="BC99" i="2"/>
  <c r="BI88" i="2"/>
  <c r="BF16" i="2"/>
  <c r="BF42" i="2"/>
  <c r="BD7" i="2"/>
  <c r="BH37" i="2"/>
  <c r="BG31" i="2"/>
  <c r="BH26" i="2"/>
  <c r="BC4" i="2"/>
  <c r="BF69" i="2"/>
  <c r="BE15" i="2"/>
  <c r="BE79" i="2"/>
  <c r="BC70" i="2"/>
  <c r="BF24" i="2"/>
  <c r="BB39" i="2"/>
  <c r="BC74" i="2"/>
  <c r="BD73" i="2"/>
  <c r="BG76" i="2"/>
  <c r="BC25" i="2"/>
  <c r="BF10" i="2"/>
  <c r="BB14" i="2"/>
  <c r="BA17" i="2"/>
  <c r="BF67" i="2"/>
  <c r="BE10" i="2"/>
  <c r="BG38" i="2"/>
  <c r="BE36" i="2"/>
  <c r="BG69" i="2"/>
  <c r="BI79" i="2"/>
  <c r="BA35" i="2"/>
  <c r="BG74" i="2"/>
  <c r="BI76" i="2"/>
  <c r="BA26" i="2"/>
  <c r="BI96" i="2"/>
  <c r="BH40" i="2"/>
  <c r="BC15" i="2"/>
  <c r="BG79" i="2"/>
  <c r="BD37" i="2"/>
  <c r="BB35" i="2"/>
  <c r="BC50" i="2"/>
  <c r="BB16" i="2"/>
  <c r="BD23" i="2"/>
  <c r="BI92" i="2"/>
  <c r="BA64" i="2"/>
  <c r="BA2" i="2"/>
  <c r="BD55" i="2"/>
  <c r="BI81" i="2"/>
  <c r="BH76" i="2"/>
  <c r="BD34" i="2"/>
  <c r="BE40" i="2"/>
  <c r="BA15" i="2"/>
  <c r="BD79" i="2"/>
  <c r="BE37" i="2"/>
  <c r="BH35" i="2"/>
  <c r="BD50" i="2"/>
  <c r="BA16" i="2"/>
  <c r="BA23" i="2"/>
  <c r="BA75" i="2"/>
  <c r="BA67" i="2"/>
  <c r="BF64" i="2"/>
  <c r="BA44" i="2"/>
  <c r="BI46" i="2"/>
  <c r="BB81" i="2"/>
  <c r="BA31" i="2"/>
  <c r="BG72" i="2"/>
  <c r="BH30" i="2"/>
  <c r="BF61" i="2"/>
  <c r="BA8" i="2"/>
  <c r="BF6" i="2"/>
  <c r="BB89" i="2"/>
  <c r="BC40" i="2"/>
  <c r="BG15" i="2"/>
  <c r="BC83" i="2"/>
  <c r="BG70" i="2"/>
  <c r="BC61" i="2"/>
  <c r="BC58" i="2"/>
  <c r="BH74" i="2"/>
  <c r="BG73" i="2"/>
  <c r="BB76" i="2"/>
  <c r="BH25" i="2"/>
  <c r="BE5" i="2"/>
  <c r="BF14" i="2"/>
  <c r="BC2" i="2"/>
  <c r="BI67" i="2"/>
  <c r="BA10" i="2"/>
  <c r="BB60" i="2"/>
  <c r="BC57" i="2"/>
  <c r="BF40" i="2"/>
  <c r="BE83" i="2"/>
  <c r="BH24" i="2"/>
  <c r="BA95" i="2"/>
  <c r="BF12" i="2"/>
  <c r="BE44" i="2"/>
  <c r="BD33" i="2"/>
  <c r="BD46" i="2"/>
  <c r="BB90" i="2"/>
  <c r="BD83" i="2"/>
  <c r="BF70" i="2"/>
  <c r="BI35" i="2"/>
  <c r="BH50" i="2"/>
  <c r="BG16" i="2"/>
  <c r="BE23" i="2"/>
  <c r="BB75" i="2"/>
  <c r="BD66" i="2"/>
  <c r="BC96" i="2"/>
  <c r="BA101" i="2"/>
  <c r="BF35" i="2"/>
  <c r="BB3" i="2"/>
  <c r="BG6" i="2"/>
  <c r="BI40" i="2"/>
  <c r="BI15" i="2"/>
  <c r="BH79" i="2"/>
  <c r="BG37" i="2"/>
  <c r="BG35" i="2"/>
  <c r="BG50" i="2"/>
  <c r="BI16" i="2"/>
  <c r="BB23" i="2"/>
  <c r="BF75" i="2"/>
  <c r="BE67" i="2"/>
  <c r="BE94" i="2"/>
  <c r="BD9" i="2"/>
  <c r="BC29" i="2"/>
  <c r="BH21" i="2"/>
  <c r="BF23" i="2"/>
  <c r="BF26" i="2"/>
  <c r="BH99" i="2"/>
  <c r="BD29" i="2"/>
  <c r="BI80" i="2"/>
  <c r="BG56" i="2"/>
  <c r="BI71" i="2"/>
  <c r="BB51" i="2"/>
  <c r="BE98" i="2"/>
  <c r="BG52" i="2"/>
  <c r="BC97" i="2"/>
  <c r="BF3" i="2"/>
  <c r="BI64" i="2"/>
  <c r="BB44" i="2"/>
  <c r="BE78" i="2"/>
  <c r="BE96" i="2"/>
  <c r="BE25" i="2"/>
  <c r="BC9" i="2"/>
  <c r="BD2" i="2"/>
  <c r="BA38" i="2"/>
  <c r="BD84" i="2"/>
  <c r="BD93" i="2"/>
  <c r="BA65" i="2"/>
  <c r="BI13" i="2"/>
  <c r="BG25" i="2"/>
  <c r="BD57" i="2"/>
  <c r="BG99" i="2"/>
  <c r="BB11" i="2"/>
  <c r="BC91" i="2"/>
  <c r="BI56" i="2"/>
  <c r="BF86" i="2"/>
  <c r="BI61" i="2"/>
  <c r="BH58" i="2"/>
  <c r="BI74" i="2"/>
  <c r="BH73" i="2"/>
  <c r="BH32" i="2"/>
  <c r="BF44" i="2"/>
  <c r="BC89" i="2"/>
  <c r="BB84" i="2"/>
  <c r="BA58" i="2"/>
  <c r="BI94" i="2"/>
  <c r="BC55" i="2"/>
  <c r="BH28" i="2"/>
  <c r="BC43" i="2"/>
  <c r="BI58" i="2"/>
  <c r="BI73" i="2"/>
  <c r="BI42" i="2"/>
  <c r="BF45" i="2"/>
  <c r="BA39" i="2"/>
  <c r="BB17" i="2"/>
  <c r="BC69" i="2"/>
  <c r="BF15" i="2"/>
  <c r="BA79" i="2"/>
  <c r="BA37" i="2"/>
  <c r="BA24" i="2"/>
  <c r="BF39" i="2"/>
  <c r="BE19" i="2"/>
  <c r="BG13" i="2"/>
  <c r="BG32" i="2"/>
  <c r="BC42" i="2"/>
  <c r="BG10" i="2"/>
  <c r="BH62" i="2"/>
  <c r="BC17" i="2"/>
  <c r="BA82" i="2"/>
  <c r="BA72" i="2"/>
  <c r="BC38" i="2"/>
  <c r="BH9" i="2"/>
  <c r="BH6" i="2"/>
  <c r="BF49" i="2"/>
  <c r="BC21" i="2"/>
  <c r="BF19" i="2"/>
  <c r="BE32" i="2"/>
  <c r="BA5" i="2"/>
  <c r="BE2" i="2"/>
  <c r="BD40" i="2"/>
  <c r="BH15" i="2"/>
  <c r="BC79" i="2"/>
  <c r="BB37" i="2"/>
  <c r="BD35" i="2"/>
  <c r="BE65" i="2"/>
  <c r="BG87" i="2"/>
  <c r="BI31" i="2"/>
  <c r="BF92" i="2"/>
  <c r="BA4" i="2"/>
  <c r="BF17" i="2"/>
  <c r="BC30" i="2"/>
  <c r="BC86" i="2"/>
  <c r="BB32" i="2"/>
  <c r="BF96" i="2"/>
  <c r="BA40" i="2"/>
  <c r="BB28" i="2"/>
  <c r="BI49" i="2"/>
  <c r="BI43" i="2"/>
  <c r="BG21" i="2"/>
  <c r="BC65" i="2"/>
  <c r="BH87" i="2"/>
  <c r="BD31" i="2"/>
  <c r="BG92" i="2"/>
  <c r="BB82" i="2"/>
  <c r="BB64" i="2"/>
  <c r="BI44" i="2"/>
  <c r="BI101" i="2"/>
  <c r="BH71" i="2"/>
  <c r="BI47" i="2"/>
  <c r="BA66" i="2"/>
  <c r="BD69" i="2"/>
  <c r="BD21" i="2"/>
  <c r="BA92" i="2"/>
  <c r="BH55" i="2"/>
  <c r="BE6" i="2"/>
  <c r="BE46" i="2"/>
  <c r="BI90" i="2"/>
  <c r="BH18" i="2"/>
  <c r="BG86" i="2"/>
  <c r="BI41" i="2"/>
  <c r="BG53" i="2"/>
  <c r="BA47" i="2"/>
  <c r="BD85" i="2"/>
  <c r="BC12" i="2"/>
  <c r="BB4" i="2"/>
  <c r="BC26" i="2"/>
  <c r="BA89" i="2"/>
  <c r="BI7" i="2"/>
  <c r="BG42" i="2"/>
  <c r="BD44" i="2"/>
  <c r="BE45" i="2"/>
  <c r="BH89" i="2"/>
  <c r="BI11" i="2"/>
  <c r="BA56" i="2"/>
  <c r="BG51" i="2"/>
  <c r="BB52" i="2"/>
  <c r="BC67" i="2"/>
  <c r="BA36" i="2"/>
  <c r="BB6" i="2"/>
  <c r="BE29" i="2"/>
  <c r="BC80" i="2"/>
  <c r="BA18" i="2"/>
  <c r="BE54" i="2"/>
  <c r="BA61" i="2"/>
  <c r="BI39" i="2"/>
  <c r="BA74" i="2"/>
  <c r="BC13" i="2"/>
  <c r="BD8" i="2"/>
  <c r="BI5" i="2"/>
  <c r="BH57" i="2"/>
  <c r="BF46" i="2"/>
  <c r="BD68" i="2"/>
  <c r="BI20" i="2"/>
  <c r="BA99" i="2"/>
  <c r="BI29" i="2"/>
  <c r="BF80" i="2"/>
  <c r="BI83" i="2"/>
  <c r="BE70" i="2"/>
  <c r="BC24" i="2"/>
  <c r="BB58" i="2"/>
  <c r="BC19" i="2"/>
  <c r="BA73" i="2"/>
  <c r="BI8" i="2"/>
  <c r="BD77" i="2"/>
  <c r="BC66" i="2"/>
  <c r="BC14" i="2"/>
  <c r="BD15" i="2"/>
  <c r="BG65" i="2"/>
  <c r="BC85" i="2"/>
  <c r="BG57" i="2"/>
  <c r="BA91" i="2"/>
  <c r="BC39" i="2"/>
  <c r="BE12" i="2"/>
  <c r="BA54" i="2"/>
  <c r="BB99" i="2"/>
  <c r="BA29" i="2"/>
  <c r="BB80" i="2"/>
  <c r="BB56" i="2"/>
  <c r="BA86" i="2"/>
  <c r="BB41" i="2"/>
  <c r="BA98" i="2"/>
  <c r="BE47" i="2"/>
  <c r="BG85" i="2"/>
  <c r="BC3" i="2"/>
  <c r="BI4" i="2"/>
  <c r="BC44" i="2"/>
  <c r="BA78" i="2"/>
  <c r="BA96" i="2"/>
  <c r="BB25" i="2"/>
  <c r="BG44" i="2"/>
  <c r="BE17" i="2"/>
  <c r="BC78" i="2"/>
  <c r="BG48" i="2"/>
  <c r="BA88" i="2"/>
  <c r="BG68" i="2"/>
  <c r="BI23" i="2"/>
  <c r="BH77" i="2"/>
  <c r="BF36" i="2"/>
  <c r="BD99" i="2"/>
  <c r="BH29" i="2"/>
  <c r="BA80" i="2"/>
  <c r="BG18" i="2"/>
  <c r="BG54" i="2"/>
  <c r="BE61" i="2"/>
  <c r="BD58" i="2"/>
  <c r="BF74" i="2"/>
  <c r="BC73" i="2"/>
  <c r="BH8" i="2"/>
  <c r="BB26" i="2"/>
  <c r="BE62" i="2"/>
  <c r="BF11" i="2"/>
  <c r="BB50" i="2"/>
  <c r="BG64" i="2"/>
  <c r="BI99" i="2"/>
  <c r="BB29" i="2"/>
  <c r="BE80" i="2"/>
  <c r="BE18" i="2"/>
  <c r="BC54" i="2"/>
  <c r="BB61" i="2"/>
  <c r="BE58" i="2"/>
  <c r="BB74" i="2"/>
  <c r="BE73" i="2"/>
  <c r="BA32" i="2"/>
  <c r="BD42" i="2"/>
  <c r="BH66" i="2"/>
  <c r="BG78" i="2"/>
  <c r="BG80" i="2"/>
  <c r="BF50" i="2"/>
  <c r="BG75" i="2"/>
  <c r="BD14" i="2"/>
  <c r="BF55" i="2"/>
  <c r="BI48" i="2"/>
  <c r="BI27" i="2"/>
  <c r="BF93" i="2"/>
  <c r="BA21" i="2"/>
  <c r="BH68" i="2"/>
  <c r="BB87" i="2"/>
  <c r="BB31" i="2"/>
  <c r="BC75" i="2"/>
  <c r="BD67" i="2"/>
  <c r="BH36" i="2"/>
  <c r="BA34" i="2"/>
  <c r="BG4" i="2"/>
  <c r="BG62" i="2"/>
  <c r="BG96" i="2"/>
  <c r="BH2" i="2"/>
  <c r="BG90" i="2"/>
  <c r="BB70" i="2"/>
  <c r="BD53" i="2"/>
  <c r="BE97" i="2"/>
  <c r="BB55" i="2"/>
  <c r="BC48" i="2"/>
  <c r="BE71" i="2"/>
  <c r="BA51" i="2"/>
  <c r="BE85" i="2"/>
  <c r="BG12" i="2"/>
  <c r="BG22" i="2"/>
  <c r="BF62" i="2"/>
  <c r="BH27" i="2"/>
  <c r="BF85" i="2"/>
  <c r="BA94" i="2"/>
  <c r="R777" i="2"/>
  <c r="R664" i="2"/>
  <c r="R660" i="2"/>
  <c r="R779" i="2"/>
  <c r="R312" i="2"/>
  <c r="R776" i="2"/>
  <c r="R665" i="2"/>
  <c r="R513" i="2"/>
  <c r="R662" i="2"/>
  <c r="R775" i="2"/>
  <c r="R818" i="2"/>
  <c r="R784" i="2"/>
  <c r="R817" i="2"/>
  <c r="R519" i="2"/>
  <c r="R789" i="2"/>
  <c r="R786" i="2"/>
  <c r="R658" i="2"/>
  <c r="R781" i="2"/>
  <c r="R511" i="2"/>
  <c r="R659" i="2"/>
  <c r="R512" i="2"/>
  <c r="R663" i="2"/>
  <c r="R778" i="2"/>
  <c r="R667" i="2"/>
  <c r="R672" i="2"/>
  <c r="R783" i="2"/>
  <c r="R655" i="2"/>
  <c r="R514" i="2"/>
  <c r="R788" i="2"/>
  <c r="R515" i="2"/>
  <c r="R518" i="2"/>
  <c r="R669" i="2"/>
  <c r="R791" i="2"/>
  <c r="R303" i="2"/>
  <c r="R785" i="2"/>
  <c r="R668" i="2"/>
  <c r="R782" i="2"/>
  <c r="R516" i="2"/>
  <c r="R790" i="2"/>
  <c r="R517" i="2"/>
  <c r="R666" i="2"/>
  <c r="R780" i="2"/>
  <c r="R656" i="2"/>
  <c r="R670" i="2"/>
  <c r="R671" i="2"/>
  <c r="R657" i="2"/>
  <c r="R787" i="2"/>
  <c r="R313" i="2"/>
  <c r="R661" i="2"/>
  <c r="R643" i="2"/>
  <c r="R763" i="2"/>
  <c r="R510" i="2"/>
  <c r="R500" i="2"/>
  <c r="R305" i="2"/>
  <c r="R304" i="2"/>
  <c r="R767" i="2"/>
  <c r="R749" i="2"/>
  <c r="R507" i="2"/>
  <c r="R645" i="2"/>
  <c r="R754" i="2"/>
  <c r="R757" i="2"/>
  <c r="R772" i="2"/>
  <c r="R642" i="2"/>
  <c r="R306" i="2"/>
  <c r="R504" i="2"/>
  <c r="R647" i="2"/>
  <c r="R755" i="2"/>
  <c r="R751" i="2"/>
  <c r="R505" i="2"/>
  <c r="R769" i="2"/>
  <c r="R650" i="2"/>
  <c r="R759" i="2"/>
  <c r="R649" i="2"/>
  <c r="R770" i="2"/>
  <c r="R644" i="2"/>
  <c r="R641" i="2"/>
  <c r="R502" i="2"/>
  <c r="R748" i="2"/>
  <c r="R750" i="2"/>
  <c r="R765" i="2"/>
  <c r="R758" i="2"/>
  <c r="R646" i="2"/>
  <c r="R747" i="2"/>
  <c r="R771" i="2"/>
  <c r="R506" i="2"/>
  <c r="R640" i="2"/>
  <c r="R509" i="2"/>
  <c r="R761" i="2"/>
  <c r="R648" i="2"/>
  <c r="R773" i="2"/>
  <c r="R774" i="2"/>
  <c r="R651" i="2"/>
  <c r="R753" i="2"/>
  <c r="R746" i="2"/>
  <c r="R756" i="2"/>
  <c r="R652" i="2"/>
  <c r="R654" i="2"/>
  <c r="R752" i="2"/>
  <c r="R762" i="2"/>
  <c r="R766" i="2"/>
  <c r="R503" i="2"/>
  <c r="R653" i="2"/>
  <c r="R760" i="2"/>
  <c r="R499" i="2"/>
  <c r="R768" i="2"/>
  <c r="R508" i="2"/>
  <c r="R764" i="2"/>
  <c r="R501" i="2"/>
  <c r="R308" i="2"/>
  <c r="R311" i="2"/>
  <c r="R310" i="2"/>
  <c r="R309" i="2"/>
  <c r="R639" i="2"/>
  <c r="R498" i="2"/>
  <c r="R307" i="2"/>
  <c r="R634" i="2"/>
  <c r="R632" i="2"/>
  <c r="R631" i="2"/>
  <c r="R103" i="2"/>
  <c r="R624" i="2"/>
  <c r="R626" i="2"/>
  <c r="R327" i="2"/>
  <c r="R101" i="2"/>
  <c r="R625" i="2"/>
  <c r="R638" i="2"/>
  <c r="R628" i="2"/>
  <c r="R629" i="2"/>
  <c r="R635" i="2"/>
  <c r="R622" i="2"/>
  <c r="R102" i="2"/>
  <c r="R633" i="2"/>
  <c r="R630" i="2"/>
  <c r="R816" i="2"/>
  <c r="R620" i="2"/>
  <c r="R637" i="2"/>
  <c r="R627" i="2"/>
  <c r="R497" i="2"/>
  <c r="R636" i="2"/>
  <c r="R328" i="2"/>
  <c r="R326" i="2"/>
  <c r="R623" i="2"/>
  <c r="R621" i="2"/>
  <c r="R142" i="2"/>
  <c r="R115" i="2"/>
  <c r="R128" i="2"/>
  <c r="R271" i="2"/>
  <c r="R207" i="2"/>
  <c r="R159" i="2"/>
  <c r="R205" i="2"/>
  <c r="R163" i="2"/>
  <c r="R121" i="2"/>
  <c r="R133" i="2"/>
  <c r="R226" i="2"/>
  <c r="R234" i="2"/>
  <c r="R173" i="2"/>
  <c r="R829" i="2"/>
  <c r="R867" i="2"/>
  <c r="R78" i="2"/>
  <c r="R793" i="2"/>
  <c r="R915" i="2"/>
  <c r="R870" i="2"/>
  <c r="R802" i="2"/>
  <c r="R879" i="2"/>
  <c r="R828" i="2"/>
  <c r="R842" i="2"/>
  <c r="R830" i="2"/>
  <c r="R27" i="2"/>
  <c r="R923" i="2"/>
  <c r="R66" i="2"/>
  <c r="R839" i="2"/>
  <c r="R819" i="2"/>
  <c r="R38" i="2"/>
  <c r="R856" i="2"/>
  <c r="R859" i="2"/>
  <c r="R894" i="2"/>
  <c r="R864" i="2"/>
  <c r="R891" i="2"/>
  <c r="R12" i="2"/>
  <c r="T12" i="2" s="1"/>
  <c r="R901" i="2"/>
  <c r="R797" i="2"/>
  <c r="R820" i="2"/>
  <c r="R834" i="2"/>
  <c r="R72" i="2"/>
  <c r="T72" i="2" s="1"/>
  <c r="R324" i="2"/>
  <c r="R917" i="2"/>
  <c r="R845" i="2"/>
  <c r="R881" i="2"/>
  <c r="R98" i="2"/>
  <c r="R926" i="2"/>
  <c r="R912" i="2"/>
  <c r="R898" i="2"/>
  <c r="R922" i="2"/>
  <c r="R827" i="2"/>
  <c r="R903" i="2"/>
  <c r="R806" i="2"/>
  <c r="R925" i="2"/>
  <c r="R10" i="2"/>
  <c r="R893" i="2"/>
  <c r="R876" i="2"/>
  <c r="R811" i="2"/>
  <c r="R325" i="2"/>
  <c r="R63" i="2"/>
  <c r="R866" i="2"/>
  <c r="R868" i="2"/>
  <c r="R921" i="2"/>
  <c r="R900" i="2"/>
  <c r="R71" i="2"/>
  <c r="T71" i="2" s="1"/>
  <c r="R884" i="2"/>
  <c r="R808" i="2"/>
  <c r="R852" i="2"/>
  <c r="R927" i="2"/>
  <c r="R853" i="2"/>
  <c r="R865" i="2"/>
  <c r="R823" i="2"/>
  <c r="R825" i="2"/>
  <c r="R87" i="2"/>
  <c r="R924" i="2"/>
  <c r="R56" i="2"/>
  <c r="R880" i="2"/>
  <c r="R838" i="2"/>
  <c r="R854" i="2"/>
  <c r="R860" i="2"/>
  <c r="R321" i="2"/>
  <c r="R882" i="2"/>
  <c r="R895" i="2"/>
  <c r="R843" i="2"/>
  <c r="R65" i="2"/>
  <c r="R96" i="2"/>
  <c r="R49" i="2"/>
  <c r="R74" i="2"/>
  <c r="T74" i="2" s="1"/>
  <c r="R862" i="2"/>
  <c r="R897" i="2"/>
  <c r="R801" i="2"/>
  <c r="R885" i="2"/>
  <c r="R874" i="2"/>
  <c r="R888" i="2"/>
  <c r="R812" i="2"/>
  <c r="R841" i="2"/>
  <c r="R804" i="2"/>
  <c r="R919" i="2"/>
  <c r="R909" i="2"/>
  <c r="R899" i="2"/>
  <c r="R844" i="2"/>
  <c r="R47" i="2"/>
  <c r="R99" i="2"/>
  <c r="R809" i="2"/>
  <c r="R930" i="2"/>
  <c r="R863" i="2"/>
  <c r="R916" i="2"/>
  <c r="R890" i="2"/>
  <c r="R29" i="2"/>
  <c r="R906" i="2"/>
  <c r="R44" i="2"/>
  <c r="R904" i="2"/>
  <c r="R836" i="2"/>
  <c r="R910" i="2"/>
  <c r="R869" i="2"/>
  <c r="R908" i="2"/>
  <c r="R914" i="2"/>
  <c r="R795" i="2"/>
  <c r="R920" i="2"/>
  <c r="R832" i="2"/>
  <c r="R855" i="2"/>
  <c r="R64" i="2"/>
  <c r="R48" i="2"/>
  <c r="R833" i="2"/>
  <c r="R824" i="2"/>
  <c r="R798" i="2"/>
  <c r="R871" i="2"/>
  <c r="R822" i="2"/>
  <c r="R79" i="2"/>
  <c r="T79" i="2" s="1"/>
  <c r="R902" i="2"/>
  <c r="R913" i="2"/>
  <c r="R807" i="2"/>
  <c r="R848" i="2"/>
  <c r="R796" i="2"/>
  <c r="R850" i="2"/>
  <c r="R858" i="2"/>
  <c r="R892" i="2"/>
  <c r="R837" i="2"/>
  <c r="R800" i="2"/>
  <c r="R847" i="2"/>
  <c r="R805" i="2"/>
  <c r="R878" i="2"/>
  <c r="R831" i="2"/>
  <c r="R73" i="2"/>
  <c r="R911" i="2"/>
  <c r="R821" i="2"/>
  <c r="R67" i="2"/>
  <c r="R815" i="2"/>
  <c r="R24" i="2"/>
  <c r="R849" i="2"/>
  <c r="R90" i="2"/>
  <c r="R875" i="2"/>
  <c r="R9" i="2"/>
  <c r="R883" i="2"/>
  <c r="R50" i="2"/>
  <c r="R814" i="2"/>
  <c r="R877" i="2"/>
  <c r="R846" i="2"/>
  <c r="R861" i="2"/>
  <c r="R810" i="2"/>
  <c r="R77" i="2"/>
  <c r="R886" i="2"/>
  <c r="R840" i="2"/>
  <c r="R94" i="2"/>
  <c r="R80" i="2"/>
  <c r="R889" i="2"/>
  <c r="R36" i="2"/>
  <c r="R887" i="2"/>
  <c r="R323" i="2"/>
  <c r="R929" i="2"/>
  <c r="R813" i="2"/>
  <c r="R85" i="2"/>
  <c r="T85" i="2" s="1"/>
  <c r="R792" i="2"/>
  <c r="R54" i="2"/>
  <c r="R857" i="2"/>
  <c r="R872" i="2"/>
  <c r="R794" i="2"/>
  <c r="R907" i="2"/>
  <c r="R91" i="2"/>
  <c r="R873" i="2"/>
  <c r="R905" i="2"/>
  <c r="R826" i="2"/>
  <c r="R39" i="2"/>
  <c r="R928" i="2"/>
  <c r="R918" i="2"/>
  <c r="R322" i="2"/>
  <c r="R76" i="2"/>
  <c r="R851" i="2"/>
  <c r="R896" i="2"/>
  <c r="R799" i="2"/>
  <c r="R803" i="2"/>
  <c r="R835" i="2"/>
  <c r="R84" i="2"/>
  <c r="R597" i="2"/>
  <c r="R745" i="2"/>
  <c r="R477" i="2"/>
  <c r="R484" i="2"/>
  <c r="R587" i="2"/>
  <c r="R52" i="2"/>
  <c r="R75" i="2"/>
  <c r="T75" i="2" s="1"/>
  <c r="R696" i="2"/>
  <c r="R686" i="2"/>
  <c r="R585" i="2"/>
  <c r="R33" i="2"/>
  <c r="R469" i="2"/>
  <c r="R685" i="2"/>
  <c r="R40" i="2"/>
  <c r="R741" i="2"/>
  <c r="R18" i="2"/>
  <c r="R619" i="2"/>
  <c r="R690" i="2"/>
  <c r="R58" i="2"/>
  <c r="R19" i="2"/>
  <c r="R589" i="2"/>
  <c r="R22" i="2"/>
  <c r="T22" i="2" s="1"/>
  <c r="R588" i="2"/>
  <c r="R5" i="2"/>
  <c r="R139" i="2"/>
  <c r="R676" i="2"/>
  <c r="R465" i="2"/>
  <c r="R608" i="2"/>
  <c r="R490" i="2"/>
  <c r="R715" i="2"/>
  <c r="R617" i="2"/>
  <c r="R81" i="2"/>
  <c r="R703" i="2"/>
  <c r="R468" i="2"/>
  <c r="R23" i="2"/>
  <c r="R131" i="2"/>
  <c r="R3" i="2"/>
  <c r="R740" i="2"/>
  <c r="R62" i="2"/>
  <c r="T62" i="2" s="1"/>
  <c r="R596" i="2"/>
  <c r="R598" i="2"/>
  <c r="R466" i="2"/>
  <c r="R46" i="2"/>
  <c r="R110" i="2"/>
  <c r="R709" i="2"/>
  <c r="R88" i="2"/>
  <c r="R138" i="2"/>
  <c r="R582" i="2"/>
  <c r="R100" i="2"/>
  <c r="R92" i="2"/>
  <c r="R738" i="2"/>
  <c r="R25" i="2"/>
  <c r="R26" i="2"/>
  <c r="R45" i="2"/>
  <c r="R682" i="2"/>
  <c r="R704" i="2"/>
  <c r="R591" i="2"/>
  <c r="R467" i="2"/>
  <c r="R706" i="2"/>
  <c r="R736" i="2"/>
  <c r="R35" i="2"/>
  <c r="R68" i="2"/>
  <c r="R698" i="2"/>
  <c r="R725" i="2"/>
  <c r="R710" i="2"/>
  <c r="R691" i="2"/>
  <c r="R108" i="2"/>
  <c r="R105" i="2"/>
  <c r="R719" i="2"/>
  <c r="R722" i="2"/>
  <c r="R599" i="2"/>
  <c r="R687" i="2"/>
  <c r="R493" i="2"/>
  <c r="R705" i="2"/>
  <c r="R43" i="2"/>
  <c r="R482" i="2"/>
  <c r="R53" i="2"/>
  <c r="T53" i="2" s="1"/>
  <c r="R95" i="2"/>
  <c r="T95" i="2" s="1"/>
  <c r="R470" i="2"/>
  <c r="R486" i="2"/>
  <c r="R20" i="2"/>
  <c r="R167" i="2"/>
  <c r="R17" i="2"/>
  <c r="R700" i="2"/>
  <c r="R615" i="2"/>
  <c r="R478" i="2"/>
  <c r="R15" i="2"/>
  <c r="R618" i="2"/>
  <c r="R711" i="2"/>
  <c r="R61" i="2"/>
  <c r="T61" i="2" s="1"/>
  <c r="R675" i="2"/>
  <c r="R489" i="2"/>
  <c r="R59" i="2"/>
  <c r="R595" i="2"/>
  <c r="R106" i="2"/>
  <c r="R590" i="2"/>
  <c r="R89" i="2"/>
  <c r="R716" i="2"/>
  <c r="R41" i="2"/>
  <c r="R130" i="2"/>
  <c r="R11" i="2"/>
  <c r="R488" i="2"/>
  <c r="R86" i="2"/>
  <c r="R718" i="2"/>
  <c r="R600" i="2"/>
  <c r="R721" i="2"/>
  <c r="R693" i="2"/>
  <c r="R118" i="2"/>
  <c r="R610" i="2"/>
  <c r="R4" i="2"/>
  <c r="R57" i="2"/>
  <c r="R7" i="2"/>
  <c r="R683" i="2"/>
  <c r="R679" i="2"/>
  <c r="R69" i="2"/>
  <c r="R707" i="2"/>
  <c r="R113" i="2"/>
  <c r="R170" i="2"/>
  <c r="R474" i="2"/>
  <c r="R137" i="2"/>
  <c r="R16" i="2"/>
  <c r="R713" i="2"/>
  <c r="R695" i="2"/>
  <c r="R42" i="2"/>
  <c r="T42" i="2" s="1"/>
  <c r="R601" i="2"/>
  <c r="R60" i="2"/>
  <c r="R495" i="2"/>
  <c r="R30" i="2"/>
  <c r="R717" i="2"/>
  <c r="R701" i="2"/>
  <c r="R724" i="2"/>
  <c r="R688" i="2"/>
  <c r="R164" i="2"/>
  <c r="R51" i="2"/>
  <c r="T51" i="2" s="1"/>
  <c r="R680" i="2"/>
  <c r="R31" i="2"/>
  <c r="R8" i="2"/>
  <c r="R714" i="2"/>
  <c r="R604" i="2"/>
  <c r="R160" i="2"/>
  <c r="R34" i="2"/>
  <c r="R692" i="2"/>
  <c r="R471" i="2"/>
  <c r="R681" i="2"/>
  <c r="R602" i="2"/>
  <c r="R162" i="2"/>
  <c r="R674" i="2"/>
  <c r="R603" i="2"/>
  <c r="R723" i="2"/>
  <c r="R578" i="2"/>
  <c r="R97" i="2"/>
  <c r="R580" i="2"/>
  <c r="R579" i="2"/>
  <c r="R673" i="2"/>
  <c r="R492" i="2"/>
  <c r="R730" i="2"/>
  <c r="R55" i="2"/>
  <c r="R473" i="2"/>
  <c r="R605" i="2"/>
  <c r="R483" i="2"/>
  <c r="R21" i="2"/>
  <c r="R708" i="2"/>
  <c r="R581" i="2"/>
  <c r="R720" i="2"/>
  <c r="R13" i="2"/>
  <c r="T13" i="2" s="1"/>
  <c r="R697" i="2"/>
  <c r="R82" i="2"/>
  <c r="R485" i="2"/>
  <c r="R733" i="2"/>
  <c r="R684" i="2"/>
  <c r="R6" i="2"/>
  <c r="R476" i="2"/>
  <c r="R145" i="2"/>
  <c r="R609" i="2"/>
  <c r="R479" i="2"/>
  <c r="R93" i="2"/>
  <c r="R727" i="2"/>
  <c r="R606" i="2"/>
  <c r="R744" i="2"/>
  <c r="R112" i="2"/>
  <c r="R694" i="2"/>
  <c r="R223" i="2"/>
  <c r="R147" i="2"/>
  <c r="R712" i="2"/>
  <c r="R612" i="2"/>
  <c r="R586" i="2"/>
  <c r="R614" i="2"/>
  <c r="R28" i="2"/>
  <c r="R83" i="2"/>
  <c r="R616" i="2"/>
  <c r="R593" i="2"/>
  <c r="R613" i="2"/>
  <c r="R726" i="2"/>
  <c r="R481" i="2"/>
  <c r="R743" i="2"/>
  <c r="R729" i="2"/>
  <c r="R731" i="2"/>
  <c r="R14" i="2"/>
  <c r="R611" i="2"/>
  <c r="R496" i="2"/>
  <c r="R728" i="2"/>
  <c r="R584" i="2"/>
  <c r="R475" i="2"/>
  <c r="R70" i="2"/>
  <c r="R37" i="2"/>
  <c r="R735" i="2"/>
  <c r="R119" i="2"/>
  <c r="R702" i="2"/>
  <c r="R583" i="2"/>
  <c r="R594" i="2"/>
  <c r="R689" i="2"/>
  <c r="R176" i="2"/>
  <c r="R734" i="2"/>
  <c r="R739" i="2"/>
  <c r="R135" i="2"/>
  <c r="R737" i="2"/>
  <c r="R494" i="2"/>
  <c r="R607" i="2"/>
  <c r="R742" i="2"/>
  <c r="R491" i="2"/>
  <c r="R487" i="2"/>
  <c r="R152" i="2"/>
  <c r="R472" i="2"/>
  <c r="R699" i="2"/>
  <c r="R678" i="2"/>
  <c r="R732" i="2"/>
  <c r="R592" i="2"/>
  <c r="R32" i="2"/>
  <c r="R200" i="2"/>
  <c r="R480" i="2"/>
  <c r="R677" i="2"/>
  <c r="T106" i="2"/>
  <c r="T116" i="2"/>
  <c r="T97" i="2"/>
  <c r="T39" i="2"/>
  <c r="T60" i="2"/>
  <c r="T28" i="2"/>
  <c r="T66" i="2"/>
  <c r="T25" i="2"/>
  <c r="T20" i="2"/>
  <c r="T32" i="2"/>
  <c r="T63" i="2"/>
  <c r="T57" i="2"/>
  <c r="T55" i="2"/>
  <c r="T41" i="2"/>
  <c r="T48" i="2"/>
  <c r="T90" i="2"/>
  <c r="T29" i="2"/>
  <c r="T101" i="2"/>
  <c r="T65" i="2"/>
  <c r="T49" i="2"/>
  <c r="T104" i="2"/>
  <c r="T11" i="2"/>
  <c r="W372" i="2" l="1"/>
  <c r="V372" i="2"/>
  <c r="S372" i="2"/>
  <c r="W371" i="2"/>
  <c r="V371" i="2"/>
  <c r="S371" i="2"/>
  <c r="W171" i="2"/>
  <c r="V171" i="2"/>
  <c r="S171" i="2"/>
  <c r="W155" i="2"/>
  <c r="V155" i="2"/>
  <c r="W169" i="2"/>
  <c r="V169" i="2"/>
  <c r="S169" i="2"/>
  <c r="W182" i="2"/>
  <c r="V182" i="2"/>
  <c r="W151" i="2"/>
  <c r="V151" i="2"/>
  <c r="W122" i="2"/>
  <c r="V122" i="2"/>
  <c r="T122" i="2"/>
  <c r="S122" i="2"/>
  <c r="W132" i="2"/>
  <c r="V132" i="2"/>
  <c r="W109" i="2"/>
  <c r="V109" i="2"/>
  <c r="W376" i="2"/>
  <c r="V376" i="2"/>
  <c r="S376" i="2"/>
  <c r="W375" i="2"/>
  <c r="V375" i="2"/>
  <c r="S375" i="2"/>
  <c r="V415" i="2"/>
  <c r="W415" i="2"/>
  <c r="S415" i="2"/>
  <c r="V429" i="2"/>
  <c r="W429" i="2"/>
  <c r="S429" i="2"/>
  <c r="W433" i="2"/>
  <c r="V433" i="2"/>
  <c r="S433" i="2"/>
  <c r="V424" i="2"/>
  <c r="W424" i="2"/>
  <c r="S424" i="2"/>
  <c r="W457" i="2"/>
  <c r="V457" i="2"/>
  <c r="S457" i="2"/>
  <c r="V422" i="2"/>
  <c r="W422" i="2"/>
  <c r="S422" i="2"/>
  <c r="W431" i="2"/>
  <c r="V431" i="2"/>
  <c r="S431" i="2"/>
  <c r="V421" i="2"/>
  <c r="W421" i="2"/>
  <c r="S421" i="2"/>
  <c r="V434" i="2"/>
  <c r="W434" i="2"/>
  <c r="S434" i="2"/>
  <c r="V416" i="2"/>
  <c r="W416" i="2"/>
  <c r="S416" i="2"/>
  <c r="W413" i="2"/>
  <c r="V413" i="2"/>
  <c r="S413" i="2"/>
  <c r="V423" i="2"/>
  <c r="W423" i="2"/>
  <c r="S423" i="2"/>
  <c r="V419" i="2"/>
  <c r="W419" i="2"/>
  <c r="S419" i="2"/>
  <c r="V437" i="2"/>
  <c r="W437" i="2"/>
  <c r="S437" i="2"/>
  <c r="W427" i="2"/>
  <c r="V427" i="2"/>
  <c r="S427" i="2"/>
  <c r="V438" i="2"/>
  <c r="W438" i="2"/>
  <c r="S438" i="2"/>
  <c r="W417" i="2"/>
  <c r="V417" i="2"/>
  <c r="S417" i="2"/>
  <c r="V418" i="2"/>
  <c r="W418" i="2"/>
  <c r="S418" i="2"/>
  <c r="W436" i="2"/>
  <c r="V436" i="2"/>
  <c r="S436" i="2"/>
  <c r="W425" i="2"/>
  <c r="V425" i="2"/>
  <c r="S425" i="2"/>
  <c r="V426" i="2"/>
  <c r="W426" i="2"/>
  <c r="S426" i="2"/>
  <c r="W439" i="2"/>
  <c r="V439" i="2"/>
  <c r="S439" i="2"/>
  <c r="W430" i="2"/>
  <c r="V430" i="2"/>
  <c r="S430" i="2"/>
  <c r="W440" i="2"/>
  <c r="V440" i="2"/>
  <c r="S440" i="2"/>
  <c r="W428" i="2"/>
  <c r="V428" i="2"/>
  <c r="S428" i="2"/>
  <c r="V432" i="2"/>
  <c r="W432" i="2"/>
  <c r="S432" i="2"/>
  <c r="V420" i="2"/>
  <c r="W420" i="2"/>
  <c r="S420" i="2"/>
  <c r="V414" i="2"/>
  <c r="W414" i="2"/>
  <c r="S414" i="2"/>
  <c r="V435" i="2"/>
  <c r="W435" i="2"/>
  <c r="S435" i="2"/>
  <c r="V353" i="2"/>
  <c r="W353" i="2"/>
  <c r="S353" i="2"/>
  <c r="W354" i="2"/>
  <c r="V354" i="2"/>
  <c r="S354" i="2"/>
  <c r="V520" i="2"/>
  <c r="W520" i="2"/>
  <c r="S520" i="2"/>
  <c r="W521" i="2"/>
  <c r="V521" i="2"/>
  <c r="S521" i="2"/>
  <c r="W126" i="2"/>
  <c r="V126" i="2"/>
  <c r="S126" i="2"/>
  <c r="V357" i="2"/>
  <c r="W357" i="2"/>
  <c r="S357" i="2"/>
  <c r="V356" i="2"/>
  <c r="W356" i="2"/>
  <c r="S356" i="2"/>
  <c r="V522" i="2"/>
  <c r="W522" i="2"/>
  <c r="S522" i="2"/>
  <c r="W451" i="2"/>
  <c r="V451" i="2"/>
  <c r="S451" i="2"/>
  <c r="W445" i="2"/>
  <c r="V445" i="2"/>
  <c r="S445" i="2"/>
  <c r="W447" i="2"/>
  <c r="V447" i="2"/>
  <c r="S447" i="2"/>
  <c r="W448" i="2"/>
  <c r="V448" i="2"/>
  <c r="S448" i="2"/>
  <c r="W441" i="2"/>
  <c r="V441" i="2"/>
  <c r="S441" i="2"/>
  <c r="W444" i="2"/>
  <c r="V444" i="2"/>
  <c r="S444" i="2"/>
  <c r="W449" i="2"/>
  <c r="V449" i="2"/>
  <c r="S449" i="2"/>
  <c r="W446" i="2"/>
  <c r="V446" i="2"/>
  <c r="S446" i="2"/>
  <c r="W443" i="2"/>
  <c r="V443" i="2"/>
  <c r="S443" i="2"/>
  <c r="W453" i="2"/>
  <c r="V453" i="2"/>
  <c r="S453" i="2"/>
  <c r="V454" i="2"/>
  <c r="W454" i="2"/>
  <c r="S454" i="2"/>
  <c r="W456" i="2"/>
  <c r="V456" i="2"/>
  <c r="S456" i="2"/>
  <c r="W450" i="2"/>
  <c r="V450" i="2"/>
  <c r="S450" i="2"/>
  <c r="W452" i="2"/>
  <c r="V452" i="2"/>
  <c r="S452" i="2"/>
  <c r="W442" i="2"/>
  <c r="V442" i="2"/>
  <c r="S442" i="2"/>
  <c r="W455" i="2"/>
  <c r="V455" i="2"/>
  <c r="S455" i="2"/>
  <c r="W116" i="2"/>
  <c r="V116" i="2"/>
  <c r="V532" i="2"/>
  <c r="W532" i="2"/>
  <c r="S532" i="2"/>
  <c r="V537" i="2"/>
  <c r="W537" i="2"/>
  <c r="S537" i="2"/>
  <c r="V577" i="2"/>
  <c r="W577" i="2"/>
  <c r="S577" i="2"/>
  <c r="W543" i="2"/>
  <c r="V543" i="2"/>
  <c r="S543" i="2"/>
  <c r="V567" i="2"/>
  <c r="W567" i="2"/>
  <c r="S567" i="2"/>
  <c r="V538" i="2"/>
  <c r="W538" i="2"/>
  <c r="S538" i="2"/>
  <c r="W127" i="2"/>
  <c r="V127" i="2"/>
  <c r="S127" i="2"/>
  <c r="V570" i="2"/>
  <c r="W570" i="2"/>
  <c r="S570" i="2"/>
  <c r="W536" i="2"/>
  <c r="V536" i="2"/>
  <c r="S536" i="2"/>
  <c r="W107" i="2"/>
  <c r="V107" i="2"/>
  <c r="V565" i="2"/>
  <c r="W565" i="2"/>
  <c r="S565" i="2"/>
  <c r="V568" i="2"/>
  <c r="W568" i="2"/>
  <c r="S568" i="2"/>
  <c r="V535" i="2"/>
  <c r="W535" i="2"/>
  <c r="S535" i="2"/>
  <c r="W168" i="2"/>
  <c r="V168" i="2"/>
  <c r="W541" i="2"/>
  <c r="V541" i="2"/>
  <c r="S541" i="2"/>
  <c r="V120" i="2"/>
  <c r="W120" i="2"/>
  <c r="W146" i="2"/>
  <c r="V146" i="2"/>
  <c r="V531" i="2"/>
  <c r="W531" i="2"/>
  <c r="S531" i="2"/>
  <c r="W569" i="2"/>
  <c r="V569" i="2"/>
  <c r="S569" i="2"/>
  <c r="W153" i="2"/>
  <c r="V153" i="2"/>
  <c r="V564" i="2"/>
  <c r="W564" i="2"/>
  <c r="S564" i="2"/>
  <c r="W154" i="2"/>
  <c r="V154" i="2"/>
  <c r="W576" i="2"/>
  <c r="V576" i="2"/>
  <c r="S576" i="2"/>
  <c r="V572" i="2"/>
  <c r="W572" i="2"/>
  <c r="S572" i="2"/>
  <c r="W566" i="2"/>
  <c r="V566" i="2"/>
  <c r="S566" i="2"/>
  <c r="V574" i="2"/>
  <c r="W574" i="2"/>
  <c r="S574" i="2"/>
  <c r="V545" i="2"/>
  <c r="W545" i="2"/>
  <c r="S545" i="2"/>
  <c r="S116" i="2"/>
  <c r="W533" i="2"/>
  <c r="V533" i="2"/>
  <c r="S533" i="2"/>
  <c r="V571" i="2"/>
  <c r="W571" i="2"/>
  <c r="S571" i="2"/>
  <c r="W134" i="2"/>
  <c r="V134" i="2"/>
  <c r="V544" i="2"/>
  <c r="W544" i="2"/>
  <c r="S544" i="2"/>
  <c r="W123" i="2"/>
  <c r="V123" i="2"/>
  <c r="W534" i="2"/>
  <c r="V534" i="2"/>
  <c r="S534" i="2"/>
  <c r="W573" i="2"/>
  <c r="V573" i="2"/>
  <c r="S573" i="2"/>
  <c r="V539" i="2"/>
  <c r="W539" i="2"/>
  <c r="S539" i="2"/>
  <c r="W111" i="2"/>
  <c r="V111" i="2"/>
  <c r="V542" i="2"/>
  <c r="W542" i="2"/>
  <c r="S542" i="2"/>
  <c r="W114" i="2"/>
  <c r="V114" i="2"/>
  <c r="V575" i="2"/>
  <c r="W575" i="2"/>
  <c r="S575" i="2"/>
  <c r="V540" i="2"/>
  <c r="W540" i="2"/>
  <c r="S540" i="2"/>
  <c r="W104" i="2"/>
  <c r="V104" i="2"/>
  <c r="W315" i="2"/>
  <c r="V315" i="2"/>
  <c r="S315" i="2"/>
  <c r="W316" i="2"/>
  <c r="V316" i="2"/>
  <c r="S316" i="2"/>
  <c r="W32" i="2"/>
  <c r="V32" i="2"/>
  <c r="W699" i="2"/>
  <c r="V699" i="2"/>
  <c r="W491" i="2"/>
  <c r="V491" i="2"/>
  <c r="W737" i="2"/>
  <c r="V737" i="2"/>
  <c r="W176" i="2"/>
  <c r="V176" i="2"/>
  <c r="W702" i="2"/>
  <c r="V702" i="2"/>
  <c r="W70" i="2"/>
  <c r="V70" i="2"/>
  <c r="W496" i="2"/>
  <c r="V496" i="2"/>
  <c r="W729" i="2"/>
  <c r="V729" i="2"/>
  <c r="W613" i="2"/>
  <c r="V613" i="2"/>
  <c r="W28" i="2"/>
  <c r="V28" i="2"/>
  <c r="W712" i="2"/>
  <c r="V712" i="2"/>
  <c r="W112" i="2"/>
  <c r="V112" i="2"/>
  <c r="W93" i="2"/>
  <c r="V93" i="2"/>
  <c r="W476" i="2"/>
  <c r="V476" i="2"/>
  <c r="W485" i="2"/>
  <c r="V485" i="2"/>
  <c r="W720" i="2"/>
  <c r="V720" i="2"/>
  <c r="W483" i="2"/>
  <c r="V483" i="2"/>
  <c r="W730" i="2"/>
  <c r="V730" i="2"/>
  <c r="W580" i="2"/>
  <c r="V580" i="2"/>
  <c r="W603" i="2"/>
  <c r="V603" i="2"/>
  <c r="W681" i="2"/>
  <c r="V681" i="2"/>
  <c r="W160" i="2"/>
  <c r="V160" i="2"/>
  <c r="W31" i="2"/>
  <c r="V31" i="2"/>
  <c r="W688" i="2"/>
  <c r="V688" i="2"/>
  <c r="W30" i="2"/>
  <c r="V30" i="2"/>
  <c r="W42" i="2"/>
  <c r="V42" i="2"/>
  <c r="W137" i="2"/>
  <c r="V137" i="2"/>
  <c r="W707" i="2"/>
  <c r="V707" i="2"/>
  <c r="T7" i="2"/>
  <c r="W7" i="2"/>
  <c r="V7" i="2"/>
  <c r="W118" i="2"/>
  <c r="V118" i="2"/>
  <c r="W718" i="2"/>
  <c r="V718" i="2"/>
  <c r="W130" i="2"/>
  <c r="V130" i="2"/>
  <c r="W590" i="2"/>
  <c r="V590" i="2"/>
  <c r="W489" i="2"/>
  <c r="V489" i="2"/>
  <c r="W618" i="2"/>
  <c r="V618" i="2"/>
  <c r="W700" i="2"/>
  <c r="V700" i="2"/>
  <c r="V486" i="2"/>
  <c r="W486" i="2"/>
  <c r="W482" i="2"/>
  <c r="V482" i="2"/>
  <c r="W687" i="2"/>
  <c r="V687" i="2"/>
  <c r="W105" i="2"/>
  <c r="V105" i="2"/>
  <c r="W725" i="2"/>
  <c r="V725" i="2"/>
  <c r="W736" i="2"/>
  <c r="V736" i="2"/>
  <c r="W704" i="2"/>
  <c r="V704" i="2"/>
  <c r="W25" i="2"/>
  <c r="V25" i="2"/>
  <c r="V582" i="2"/>
  <c r="W582" i="2"/>
  <c r="W110" i="2"/>
  <c r="V110" i="2"/>
  <c r="W596" i="2"/>
  <c r="V596" i="2"/>
  <c r="W131" i="2"/>
  <c r="V131" i="2"/>
  <c r="W81" i="2"/>
  <c r="V81" i="2"/>
  <c r="W608" i="2"/>
  <c r="V608" i="2"/>
  <c r="W5" i="2"/>
  <c r="V5" i="2"/>
  <c r="W19" i="2"/>
  <c r="V19" i="2"/>
  <c r="W18" i="2"/>
  <c r="V18" i="2"/>
  <c r="W469" i="2"/>
  <c r="V469" i="2"/>
  <c r="W696" i="2"/>
  <c r="V696" i="2"/>
  <c r="W484" i="2"/>
  <c r="V484" i="2"/>
  <c r="W84" i="2"/>
  <c r="V84" i="2"/>
  <c r="W896" i="2"/>
  <c r="V896" i="2"/>
  <c r="W918" i="2"/>
  <c r="V918" i="2"/>
  <c r="W905" i="2"/>
  <c r="V905" i="2"/>
  <c r="W794" i="2"/>
  <c r="V794" i="2"/>
  <c r="W792" i="2"/>
  <c r="V792" i="2"/>
  <c r="W323" i="2"/>
  <c r="V323" i="2"/>
  <c r="W80" i="2"/>
  <c r="V80" i="2"/>
  <c r="W77" i="2"/>
  <c r="V77" i="2"/>
  <c r="W877" i="2"/>
  <c r="V877" i="2"/>
  <c r="T9" i="2"/>
  <c r="W9" i="2"/>
  <c r="V9" i="2"/>
  <c r="V24" i="2"/>
  <c r="W24" i="2"/>
  <c r="W911" i="2"/>
  <c r="V911" i="2"/>
  <c r="W805" i="2"/>
  <c r="V805" i="2"/>
  <c r="V892" i="2"/>
  <c r="W892" i="2"/>
  <c r="W848" i="2"/>
  <c r="V848" i="2"/>
  <c r="W79" i="2"/>
  <c r="V79" i="2"/>
  <c r="W824" i="2"/>
  <c r="V824" i="2"/>
  <c r="W855" i="2"/>
  <c r="V855" i="2"/>
  <c r="W914" i="2"/>
  <c r="V914" i="2"/>
  <c r="W836" i="2"/>
  <c r="V836" i="2"/>
  <c r="W29" i="2"/>
  <c r="V29" i="2"/>
  <c r="W930" i="2"/>
  <c r="V930" i="2"/>
  <c r="W844" i="2"/>
  <c r="V844" i="2"/>
  <c r="W804" i="2"/>
  <c r="V804" i="2"/>
  <c r="W874" i="2"/>
  <c r="V874" i="2"/>
  <c r="W862" i="2"/>
  <c r="V862" i="2"/>
  <c r="W65" i="2"/>
  <c r="V65" i="2"/>
  <c r="W321" i="2"/>
  <c r="V321" i="2"/>
  <c r="W880" i="2"/>
  <c r="V880" i="2"/>
  <c r="W825" i="2"/>
  <c r="V825" i="2"/>
  <c r="W927" i="2"/>
  <c r="V927" i="2"/>
  <c r="W71" i="2"/>
  <c r="V71" i="2"/>
  <c r="W866" i="2"/>
  <c r="V866" i="2"/>
  <c r="W876" i="2"/>
  <c r="V876" i="2"/>
  <c r="V806" i="2"/>
  <c r="W806" i="2"/>
  <c r="W898" i="2"/>
  <c r="V898" i="2"/>
  <c r="W881" i="2"/>
  <c r="V881" i="2"/>
  <c r="W72" i="2"/>
  <c r="V72" i="2"/>
  <c r="W901" i="2"/>
  <c r="V901" i="2"/>
  <c r="W894" i="2"/>
  <c r="V894" i="2"/>
  <c r="W819" i="2"/>
  <c r="V819" i="2"/>
  <c r="W27" i="2"/>
  <c r="V27" i="2"/>
  <c r="W879" i="2"/>
  <c r="V879" i="2"/>
  <c r="W793" i="2"/>
  <c r="V793" i="2"/>
  <c r="W173" i="2"/>
  <c r="V173" i="2"/>
  <c r="W121" i="2"/>
  <c r="V121" i="2"/>
  <c r="W207" i="2"/>
  <c r="V207" i="2"/>
  <c r="W142" i="2"/>
  <c r="V142" i="2"/>
  <c r="W328" i="2"/>
  <c r="V328" i="2"/>
  <c r="W637" i="2"/>
  <c r="V637" i="2"/>
  <c r="W633" i="2"/>
  <c r="V633" i="2"/>
  <c r="W629" i="2"/>
  <c r="V629" i="2"/>
  <c r="W101" i="2"/>
  <c r="V101" i="2"/>
  <c r="W103" i="2"/>
  <c r="V103" i="2"/>
  <c r="W307" i="2"/>
  <c r="V307" i="2"/>
  <c r="W310" i="2"/>
  <c r="V310" i="2"/>
  <c r="W764" i="2"/>
  <c r="V764" i="2"/>
  <c r="W760" i="2"/>
  <c r="V760" i="2"/>
  <c r="W762" i="2"/>
  <c r="V762" i="2"/>
  <c r="W756" i="2"/>
  <c r="V756" i="2"/>
  <c r="V774" i="2"/>
  <c r="W774" i="2"/>
  <c r="W509" i="2"/>
  <c r="V509" i="2"/>
  <c r="W747" i="2"/>
  <c r="V747" i="2"/>
  <c r="W750" i="2"/>
  <c r="V750" i="2"/>
  <c r="W644" i="2"/>
  <c r="V644" i="2"/>
  <c r="W650" i="2"/>
  <c r="V650" i="2"/>
  <c r="W755" i="2"/>
  <c r="V755" i="2"/>
  <c r="W642" i="2"/>
  <c r="V642" i="2"/>
  <c r="W645" i="2"/>
  <c r="V645" i="2"/>
  <c r="W304" i="2"/>
  <c r="V304" i="2"/>
  <c r="W763" i="2"/>
  <c r="V763" i="2"/>
  <c r="W787" i="2"/>
  <c r="V787" i="2"/>
  <c r="W656" i="2"/>
  <c r="V656" i="2"/>
  <c r="V790" i="2"/>
  <c r="W790" i="2"/>
  <c r="W785" i="2"/>
  <c r="V785" i="2"/>
  <c r="V518" i="2"/>
  <c r="W518" i="2"/>
  <c r="W655" i="2"/>
  <c r="V655" i="2"/>
  <c r="W778" i="2"/>
  <c r="V778" i="2"/>
  <c r="W511" i="2"/>
  <c r="V511" i="2"/>
  <c r="W789" i="2"/>
  <c r="V789" i="2"/>
  <c r="W818" i="2"/>
  <c r="V818" i="2"/>
  <c r="W665" i="2"/>
  <c r="V665" i="2"/>
  <c r="W660" i="2"/>
  <c r="V660" i="2"/>
  <c r="W320" i="2"/>
  <c r="V320" i="2"/>
  <c r="W464" i="2"/>
  <c r="V464" i="2"/>
  <c r="W463" i="2"/>
  <c r="V463" i="2"/>
  <c r="W317" i="2"/>
  <c r="V317" i="2"/>
  <c r="W677" i="2"/>
  <c r="V677" i="2"/>
  <c r="W592" i="2"/>
  <c r="V592" i="2"/>
  <c r="W472" i="2"/>
  <c r="V472" i="2"/>
  <c r="V742" i="2"/>
  <c r="W742" i="2"/>
  <c r="W135" i="2"/>
  <c r="V135" i="2"/>
  <c r="W689" i="2"/>
  <c r="V689" i="2"/>
  <c r="W119" i="2"/>
  <c r="V119" i="2"/>
  <c r="W475" i="2"/>
  <c r="V475" i="2"/>
  <c r="W611" i="2"/>
  <c r="V611" i="2"/>
  <c r="W743" i="2"/>
  <c r="V743" i="2"/>
  <c r="W593" i="2"/>
  <c r="V593" i="2"/>
  <c r="V614" i="2"/>
  <c r="W614" i="2"/>
  <c r="W147" i="2"/>
  <c r="V147" i="2"/>
  <c r="W744" i="2"/>
  <c r="V744" i="2"/>
  <c r="W479" i="2"/>
  <c r="V479" i="2"/>
  <c r="W6" i="2"/>
  <c r="V6" i="2"/>
  <c r="W82" i="2"/>
  <c r="V82" i="2"/>
  <c r="W581" i="2"/>
  <c r="V581" i="2"/>
  <c r="W605" i="2"/>
  <c r="V605" i="2"/>
  <c r="W492" i="2"/>
  <c r="V492" i="2"/>
  <c r="W97" i="2"/>
  <c r="V97" i="2"/>
  <c r="W674" i="2"/>
  <c r="V674" i="2"/>
  <c r="W471" i="2"/>
  <c r="V471" i="2"/>
  <c r="W604" i="2"/>
  <c r="V604" i="2"/>
  <c r="W680" i="2"/>
  <c r="V680" i="2"/>
  <c r="W724" i="2"/>
  <c r="V724" i="2"/>
  <c r="W495" i="2"/>
  <c r="V495" i="2"/>
  <c r="W695" i="2"/>
  <c r="V695" i="2"/>
  <c r="W474" i="2"/>
  <c r="V474" i="2"/>
  <c r="W69" i="2"/>
  <c r="V69" i="2"/>
  <c r="W57" i="2"/>
  <c r="V57" i="2"/>
  <c r="W693" i="2"/>
  <c r="V693" i="2"/>
  <c r="W86" i="2"/>
  <c r="V86" i="2"/>
  <c r="W41" i="2"/>
  <c r="V41" i="2"/>
  <c r="W106" i="2"/>
  <c r="V106" i="2"/>
  <c r="W675" i="2"/>
  <c r="V675" i="2"/>
  <c r="W15" i="2"/>
  <c r="V15" i="2"/>
  <c r="W17" i="2"/>
  <c r="V17" i="2"/>
  <c r="V470" i="2"/>
  <c r="W470" i="2"/>
  <c r="W43" i="2"/>
  <c r="V43" i="2"/>
  <c r="W599" i="2"/>
  <c r="V599" i="2"/>
  <c r="W108" i="2"/>
  <c r="V108" i="2"/>
  <c r="W698" i="2"/>
  <c r="V698" i="2"/>
  <c r="W706" i="2"/>
  <c r="V706" i="2"/>
  <c r="W682" i="2"/>
  <c r="V682" i="2"/>
  <c r="W738" i="2"/>
  <c r="V738" i="2"/>
  <c r="W138" i="2"/>
  <c r="V138" i="2"/>
  <c r="W46" i="2"/>
  <c r="V46" i="2"/>
  <c r="W62" i="2"/>
  <c r="V62" i="2"/>
  <c r="W23" i="2"/>
  <c r="V23" i="2"/>
  <c r="W617" i="2"/>
  <c r="V617" i="2"/>
  <c r="W465" i="2"/>
  <c r="V465" i="2"/>
  <c r="W588" i="2"/>
  <c r="V588" i="2"/>
  <c r="W58" i="2"/>
  <c r="V58" i="2"/>
  <c r="W741" i="2"/>
  <c r="V741" i="2"/>
  <c r="W33" i="2"/>
  <c r="V33" i="2"/>
  <c r="W75" i="2"/>
  <c r="V75" i="2"/>
  <c r="W477" i="2"/>
  <c r="V477" i="2"/>
  <c r="W835" i="2"/>
  <c r="V835" i="2"/>
  <c r="W851" i="2"/>
  <c r="V851" i="2"/>
  <c r="W928" i="2"/>
  <c r="V928" i="2"/>
  <c r="W873" i="2"/>
  <c r="V873" i="2"/>
  <c r="W872" i="2"/>
  <c r="V872" i="2"/>
  <c r="W85" i="2"/>
  <c r="V85" i="2"/>
  <c r="W887" i="2"/>
  <c r="V887" i="2"/>
  <c r="W94" i="2"/>
  <c r="V94" i="2"/>
  <c r="W810" i="2"/>
  <c r="V810" i="2"/>
  <c r="W814" i="2"/>
  <c r="V814" i="2"/>
  <c r="W875" i="2"/>
  <c r="V875" i="2"/>
  <c r="W815" i="2"/>
  <c r="V815" i="2"/>
  <c r="W73" i="2"/>
  <c r="V73" i="2"/>
  <c r="W847" i="2"/>
  <c r="V847" i="2"/>
  <c r="W858" i="2"/>
  <c r="V858" i="2"/>
  <c r="W807" i="2"/>
  <c r="V807" i="2"/>
  <c r="W822" i="2"/>
  <c r="V822" i="2"/>
  <c r="W833" i="2"/>
  <c r="V833" i="2"/>
  <c r="W832" i="2"/>
  <c r="V832" i="2"/>
  <c r="W908" i="2"/>
  <c r="V908" i="2"/>
  <c r="W904" i="2"/>
  <c r="V904" i="2"/>
  <c r="W890" i="2"/>
  <c r="V890" i="2"/>
  <c r="W809" i="2"/>
  <c r="V809" i="2"/>
  <c r="W899" i="2"/>
  <c r="V899" i="2"/>
  <c r="W841" i="2"/>
  <c r="V841" i="2"/>
  <c r="W885" i="2"/>
  <c r="V885" i="2"/>
  <c r="W74" i="2"/>
  <c r="V74" i="2"/>
  <c r="W843" i="2"/>
  <c r="V843" i="2"/>
  <c r="V860" i="2"/>
  <c r="W860" i="2"/>
  <c r="V56" i="2"/>
  <c r="W56" i="2"/>
  <c r="W823" i="2"/>
  <c r="V823" i="2"/>
  <c r="V852" i="2"/>
  <c r="W852" i="2"/>
  <c r="V900" i="2"/>
  <c r="W900" i="2"/>
  <c r="W63" i="2"/>
  <c r="V63" i="2"/>
  <c r="W893" i="2"/>
  <c r="V893" i="2"/>
  <c r="W903" i="2"/>
  <c r="V903" i="2"/>
  <c r="W912" i="2"/>
  <c r="V912" i="2"/>
  <c r="W845" i="2"/>
  <c r="V845" i="2"/>
  <c r="W834" i="2"/>
  <c r="V834" i="2"/>
  <c r="W12" i="2"/>
  <c r="V12" i="2"/>
  <c r="W859" i="2"/>
  <c r="V859" i="2"/>
  <c r="W839" i="2"/>
  <c r="V839" i="2"/>
  <c r="W830" i="2"/>
  <c r="V830" i="2"/>
  <c r="W802" i="2"/>
  <c r="V802" i="2"/>
  <c r="W78" i="2"/>
  <c r="V78" i="2"/>
  <c r="W234" i="2"/>
  <c r="V234" i="2"/>
  <c r="W163" i="2"/>
  <c r="V163" i="2"/>
  <c r="W271" i="2"/>
  <c r="V271" i="2"/>
  <c r="W621" i="2"/>
  <c r="V621" i="2"/>
  <c r="W636" i="2"/>
  <c r="V636" i="2"/>
  <c r="W620" i="2"/>
  <c r="V620" i="2"/>
  <c r="W102" i="2"/>
  <c r="V102" i="2"/>
  <c r="W628" i="2"/>
  <c r="V628" i="2"/>
  <c r="W327" i="2"/>
  <c r="V327" i="2"/>
  <c r="W631" i="2"/>
  <c r="V631" i="2"/>
  <c r="W498" i="2"/>
  <c r="V498" i="2"/>
  <c r="W311" i="2"/>
  <c r="V311" i="2"/>
  <c r="W508" i="2"/>
  <c r="V508" i="2"/>
  <c r="W653" i="2"/>
  <c r="V653" i="2"/>
  <c r="W752" i="2"/>
  <c r="V752" i="2"/>
  <c r="W746" i="2"/>
  <c r="V746" i="2"/>
  <c r="W773" i="2"/>
  <c r="V773" i="2"/>
  <c r="W640" i="2"/>
  <c r="V640" i="2"/>
  <c r="V646" i="2"/>
  <c r="W646" i="2"/>
  <c r="W748" i="2"/>
  <c r="V748" i="2"/>
  <c r="W770" i="2"/>
  <c r="V770" i="2"/>
  <c r="W769" i="2"/>
  <c r="V769" i="2"/>
  <c r="W647" i="2"/>
  <c r="V647" i="2"/>
  <c r="W772" i="2"/>
  <c r="V772" i="2"/>
  <c r="W507" i="2"/>
  <c r="V507" i="2"/>
  <c r="W305" i="2"/>
  <c r="V305" i="2"/>
  <c r="W643" i="2"/>
  <c r="V643" i="2"/>
  <c r="W657" i="2"/>
  <c r="V657" i="2"/>
  <c r="W780" i="2"/>
  <c r="V780" i="2"/>
  <c r="W516" i="2"/>
  <c r="V516" i="2"/>
  <c r="W303" i="2"/>
  <c r="V303" i="2"/>
  <c r="W515" i="2"/>
  <c r="V515" i="2"/>
  <c r="W783" i="2"/>
  <c r="V783" i="2"/>
  <c r="W663" i="2"/>
  <c r="V663" i="2"/>
  <c r="W781" i="2"/>
  <c r="V781" i="2"/>
  <c r="W519" i="2"/>
  <c r="V519" i="2"/>
  <c r="W775" i="2"/>
  <c r="V775" i="2"/>
  <c r="W776" i="2"/>
  <c r="V776" i="2"/>
  <c r="W664" i="2"/>
  <c r="V664" i="2"/>
  <c r="W462" i="2"/>
  <c r="V462" i="2"/>
  <c r="W2" i="2"/>
  <c r="V2" i="2"/>
  <c r="W480" i="2"/>
  <c r="V480" i="2"/>
  <c r="W732" i="2"/>
  <c r="V732" i="2"/>
  <c r="V152" i="2"/>
  <c r="W152" i="2"/>
  <c r="W607" i="2"/>
  <c r="V607" i="2"/>
  <c r="W739" i="2"/>
  <c r="V739" i="2"/>
  <c r="W594" i="2"/>
  <c r="V594" i="2"/>
  <c r="W735" i="2"/>
  <c r="V735" i="2"/>
  <c r="W584" i="2"/>
  <c r="V584" i="2"/>
  <c r="W14" i="2"/>
  <c r="V14" i="2"/>
  <c r="W481" i="2"/>
  <c r="V481" i="2"/>
  <c r="W616" i="2"/>
  <c r="V616" i="2"/>
  <c r="W586" i="2"/>
  <c r="V586" i="2"/>
  <c r="W223" i="2"/>
  <c r="V223" i="2"/>
  <c r="W606" i="2"/>
  <c r="V606" i="2"/>
  <c r="W609" i="2"/>
  <c r="V609" i="2"/>
  <c r="W684" i="2"/>
  <c r="V684" i="2"/>
  <c r="W697" i="2"/>
  <c r="V697" i="2"/>
  <c r="W708" i="2"/>
  <c r="V708" i="2"/>
  <c r="W473" i="2"/>
  <c r="V473" i="2"/>
  <c r="W673" i="2"/>
  <c r="V673" i="2"/>
  <c r="W578" i="2"/>
  <c r="V578" i="2"/>
  <c r="W162" i="2"/>
  <c r="V162" i="2"/>
  <c r="W692" i="2"/>
  <c r="V692" i="2"/>
  <c r="W714" i="2"/>
  <c r="V714" i="2"/>
  <c r="W51" i="2"/>
  <c r="V51" i="2"/>
  <c r="W701" i="2"/>
  <c r="V701" i="2"/>
  <c r="W60" i="2"/>
  <c r="V60" i="2"/>
  <c r="W713" i="2"/>
  <c r="V713" i="2"/>
  <c r="W170" i="2"/>
  <c r="V170" i="2"/>
  <c r="W679" i="2"/>
  <c r="V679" i="2"/>
  <c r="W4" i="2"/>
  <c r="V4" i="2"/>
  <c r="W721" i="2"/>
  <c r="V721" i="2"/>
  <c r="W488" i="2"/>
  <c r="V488" i="2"/>
  <c r="W716" i="2"/>
  <c r="V716" i="2"/>
  <c r="W595" i="2"/>
  <c r="V595" i="2"/>
  <c r="W61" i="2"/>
  <c r="V61" i="2"/>
  <c r="W478" i="2"/>
  <c r="V478" i="2"/>
  <c r="W167" i="2"/>
  <c r="V167" i="2"/>
  <c r="W95" i="2"/>
  <c r="V95" i="2"/>
  <c r="W705" i="2"/>
  <c r="V705" i="2"/>
  <c r="W722" i="2"/>
  <c r="V722" i="2"/>
  <c r="W691" i="2"/>
  <c r="V691" i="2"/>
  <c r="W68" i="2"/>
  <c r="V68" i="2"/>
  <c r="W467" i="2"/>
  <c r="V467" i="2"/>
  <c r="W45" i="2"/>
  <c r="V45" i="2"/>
  <c r="W92" i="2"/>
  <c r="V92" i="2"/>
  <c r="V88" i="2"/>
  <c r="W88" i="2"/>
  <c r="W466" i="2"/>
  <c r="V466" i="2"/>
  <c r="W740" i="2"/>
  <c r="V740" i="2"/>
  <c r="W468" i="2"/>
  <c r="V468" i="2"/>
  <c r="W715" i="2"/>
  <c r="V715" i="2"/>
  <c r="W676" i="2"/>
  <c r="V676" i="2"/>
  <c r="W22" i="2"/>
  <c r="V22" i="2"/>
  <c r="W690" i="2"/>
  <c r="V690" i="2"/>
  <c r="W40" i="2"/>
  <c r="V40" i="2"/>
  <c r="W585" i="2"/>
  <c r="V585" i="2"/>
  <c r="W52" i="2"/>
  <c r="V52" i="2"/>
  <c r="W745" i="2"/>
  <c r="V745" i="2"/>
  <c r="W803" i="2"/>
  <c r="V803" i="2"/>
  <c r="W76" i="2"/>
  <c r="V76" i="2"/>
  <c r="W39" i="2"/>
  <c r="V39" i="2"/>
  <c r="T91" i="2"/>
  <c r="W91" i="2"/>
  <c r="V91" i="2"/>
  <c r="W857" i="2"/>
  <c r="V857" i="2"/>
  <c r="W813" i="2"/>
  <c r="V813" i="2"/>
  <c r="W36" i="2"/>
  <c r="V36" i="2"/>
  <c r="W840" i="2"/>
  <c r="V840" i="2"/>
  <c r="W861" i="2"/>
  <c r="V861" i="2"/>
  <c r="W50" i="2"/>
  <c r="V50" i="2"/>
  <c r="W90" i="2"/>
  <c r="V90" i="2"/>
  <c r="W67" i="2"/>
  <c r="V67" i="2"/>
  <c r="W831" i="2"/>
  <c r="V831" i="2"/>
  <c r="W800" i="2"/>
  <c r="V800" i="2"/>
  <c r="W850" i="2"/>
  <c r="V850" i="2"/>
  <c r="W913" i="2"/>
  <c r="V913" i="2"/>
  <c r="W871" i="2"/>
  <c r="V871" i="2"/>
  <c r="W48" i="2"/>
  <c r="V48" i="2"/>
  <c r="W920" i="2"/>
  <c r="V920" i="2"/>
  <c r="W869" i="2"/>
  <c r="V869" i="2"/>
  <c r="W44" i="2"/>
  <c r="V44" i="2"/>
  <c r="V916" i="2"/>
  <c r="W916" i="2"/>
  <c r="W99" i="2"/>
  <c r="V99" i="2"/>
  <c r="W909" i="2"/>
  <c r="V909" i="2"/>
  <c r="W812" i="2"/>
  <c r="V812" i="2"/>
  <c r="W801" i="2"/>
  <c r="V801" i="2"/>
  <c r="W49" i="2"/>
  <c r="V49" i="2"/>
  <c r="W895" i="2"/>
  <c r="V895" i="2"/>
  <c r="W854" i="2"/>
  <c r="V854" i="2"/>
  <c r="V924" i="2"/>
  <c r="W924" i="2"/>
  <c r="W865" i="2"/>
  <c r="V865" i="2"/>
  <c r="W808" i="2"/>
  <c r="V808" i="2"/>
  <c r="W921" i="2"/>
  <c r="V921" i="2"/>
  <c r="W325" i="2"/>
  <c r="V325" i="2"/>
  <c r="T10" i="2"/>
  <c r="W10" i="2"/>
  <c r="V10" i="2"/>
  <c r="W827" i="2"/>
  <c r="V827" i="2"/>
  <c r="W926" i="2"/>
  <c r="V926" i="2"/>
  <c r="W917" i="2"/>
  <c r="V917" i="2"/>
  <c r="W820" i="2"/>
  <c r="V820" i="2"/>
  <c r="W891" i="2"/>
  <c r="V891" i="2"/>
  <c r="W856" i="2"/>
  <c r="V856" i="2"/>
  <c r="W66" i="2"/>
  <c r="V66" i="2"/>
  <c r="W842" i="2"/>
  <c r="V842" i="2"/>
  <c r="W870" i="2"/>
  <c r="V870" i="2"/>
  <c r="W867" i="2"/>
  <c r="V867" i="2"/>
  <c r="W226" i="2"/>
  <c r="V226" i="2"/>
  <c r="W205" i="2"/>
  <c r="V205" i="2"/>
  <c r="W128" i="2"/>
  <c r="V128" i="2"/>
  <c r="W623" i="2"/>
  <c r="V623" i="2"/>
  <c r="W497" i="2"/>
  <c r="V497" i="2"/>
  <c r="W816" i="2"/>
  <c r="V816" i="2"/>
  <c r="W622" i="2"/>
  <c r="V622" i="2"/>
  <c r="W638" i="2"/>
  <c r="V638" i="2"/>
  <c r="W626" i="2"/>
  <c r="V626" i="2"/>
  <c r="W632" i="2"/>
  <c r="V632" i="2"/>
  <c r="W639" i="2"/>
  <c r="V639" i="2"/>
  <c r="W308" i="2"/>
  <c r="V308" i="2"/>
  <c r="W768" i="2"/>
  <c r="V768" i="2"/>
  <c r="W503" i="2"/>
  <c r="V503" i="2"/>
  <c r="W654" i="2"/>
  <c r="V654" i="2"/>
  <c r="W753" i="2"/>
  <c r="V753" i="2"/>
  <c r="W648" i="2"/>
  <c r="V648" i="2"/>
  <c r="W506" i="2"/>
  <c r="V506" i="2"/>
  <c r="V758" i="2"/>
  <c r="W758" i="2"/>
  <c r="V502" i="2"/>
  <c r="W502" i="2"/>
  <c r="W649" i="2"/>
  <c r="V649" i="2"/>
  <c r="W505" i="2"/>
  <c r="V505" i="2"/>
  <c r="W504" i="2"/>
  <c r="V504" i="2"/>
  <c r="W757" i="2"/>
  <c r="V757" i="2"/>
  <c r="W749" i="2"/>
  <c r="V749" i="2"/>
  <c r="W500" i="2"/>
  <c r="V500" i="2"/>
  <c r="W661" i="2"/>
  <c r="V661" i="2"/>
  <c r="W671" i="2"/>
  <c r="V671" i="2"/>
  <c r="W666" i="2"/>
  <c r="V666" i="2"/>
  <c r="W782" i="2"/>
  <c r="V782" i="2"/>
  <c r="W791" i="2"/>
  <c r="V791" i="2"/>
  <c r="W788" i="2"/>
  <c r="V788" i="2"/>
  <c r="W672" i="2"/>
  <c r="V672" i="2"/>
  <c r="W512" i="2"/>
  <c r="V512" i="2"/>
  <c r="W658" i="2"/>
  <c r="V658" i="2"/>
  <c r="W817" i="2"/>
  <c r="V817" i="2"/>
  <c r="V662" i="2"/>
  <c r="W662" i="2"/>
  <c r="V312" i="2"/>
  <c r="W312" i="2"/>
  <c r="W777" i="2"/>
  <c r="V777" i="2"/>
  <c r="W143" i="2"/>
  <c r="V143" i="2"/>
  <c r="W318" i="2"/>
  <c r="V318" i="2"/>
  <c r="W319" i="2"/>
  <c r="V319" i="2"/>
  <c r="W200" i="2"/>
  <c r="V200" i="2"/>
  <c r="V678" i="2"/>
  <c r="W678" i="2"/>
  <c r="W487" i="2"/>
  <c r="V487" i="2"/>
  <c r="W494" i="2"/>
  <c r="V494" i="2"/>
  <c r="W734" i="2"/>
  <c r="V734" i="2"/>
  <c r="W583" i="2"/>
  <c r="V583" i="2"/>
  <c r="W37" i="2"/>
  <c r="V37" i="2"/>
  <c r="W728" i="2"/>
  <c r="V728" i="2"/>
  <c r="W731" i="2"/>
  <c r="V731" i="2"/>
  <c r="V726" i="2"/>
  <c r="W726" i="2"/>
  <c r="W83" i="2"/>
  <c r="V83" i="2"/>
  <c r="W612" i="2"/>
  <c r="V612" i="2"/>
  <c r="V694" i="2"/>
  <c r="W694" i="2"/>
  <c r="W727" i="2"/>
  <c r="V727" i="2"/>
  <c r="W145" i="2"/>
  <c r="V145" i="2"/>
  <c r="W733" i="2"/>
  <c r="V733" i="2"/>
  <c r="W13" i="2"/>
  <c r="V13" i="2"/>
  <c r="W21" i="2"/>
  <c r="V21" i="2"/>
  <c r="W55" i="2"/>
  <c r="V55" i="2"/>
  <c r="W579" i="2"/>
  <c r="V579" i="2"/>
  <c r="W723" i="2"/>
  <c r="V723" i="2"/>
  <c r="W602" i="2"/>
  <c r="V602" i="2"/>
  <c r="W34" i="2"/>
  <c r="V34" i="2"/>
  <c r="W8" i="2"/>
  <c r="V8" i="2"/>
  <c r="W164" i="2"/>
  <c r="V164" i="2"/>
  <c r="W717" i="2"/>
  <c r="V717" i="2"/>
  <c r="W601" i="2"/>
  <c r="V601" i="2"/>
  <c r="W16" i="2"/>
  <c r="V16" i="2"/>
  <c r="W113" i="2"/>
  <c r="V113" i="2"/>
  <c r="W683" i="2"/>
  <c r="V683" i="2"/>
  <c r="W610" i="2"/>
  <c r="V610" i="2"/>
  <c r="W600" i="2"/>
  <c r="V600" i="2"/>
  <c r="W11" i="2"/>
  <c r="V11" i="2"/>
  <c r="T89" i="2"/>
  <c r="W89" i="2"/>
  <c r="V89" i="2"/>
  <c r="W59" i="2"/>
  <c r="V59" i="2"/>
  <c r="W711" i="2"/>
  <c r="V711" i="2"/>
  <c r="W615" i="2"/>
  <c r="V615" i="2"/>
  <c r="W20" i="2"/>
  <c r="V20" i="2"/>
  <c r="W53" i="2"/>
  <c r="V53" i="2"/>
  <c r="W493" i="2"/>
  <c r="V493" i="2"/>
  <c r="W719" i="2"/>
  <c r="V719" i="2"/>
  <c r="V710" i="2"/>
  <c r="W710" i="2"/>
  <c r="W35" i="2"/>
  <c r="V35" i="2"/>
  <c r="W591" i="2"/>
  <c r="V591" i="2"/>
  <c r="W26" i="2"/>
  <c r="V26" i="2"/>
  <c r="W100" i="2"/>
  <c r="V100" i="2"/>
  <c r="W709" i="2"/>
  <c r="V709" i="2"/>
  <c r="V598" i="2"/>
  <c r="W598" i="2"/>
  <c r="W3" i="2"/>
  <c r="V3" i="2"/>
  <c r="W703" i="2"/>
  <c r="V703" i="2"/>
  <c r="W490" i="2"/>
  <c r="V490" i="2"/>
  <c r="W139" i="2"/>
  <c r="V139" i="2"/>
  <c r="W589" i="2"/>
  <c r="V589" i="2"/>
  <c r="W619" i="2"/>
  <c r="V619" i="2"/>
  <c r="W685" i="2"/>
  <c r="V685" i="2"/>
  <c r="W686" i="2"/>
  <c r="V686" i="2"/>
  <c r="W587" i="2"/>
  <c r="V587" i="2"/>
  <c r="W597" i="2"/>
  <c r="V597" i="2"/>
  <c r="W799" i="2"/>
  <c r="V799" i="2"/>
  <c r="W322" i="2"/>
  <c r="V322" i="2"/>
  <c r="W826" i="2"/>
  <c r="V826" i="2"/>
  <c r="W907" i="2"/>
  <c r="V907" i="2"/>
  <c r="W54" i="2"/>
  <c r="V54" i="2"/>
  <c r="W929" i="2"/>
  <c r="V929" i="2"/>
  <c r="W889" i="2"/>
  <c r="V889" i="2"/>
  <c r="W886" i="2"/>
  <c r="V886" i="2"/>
  <c r="W846" i="2"/>
  <c r="V846" i="2"/>
  <c r="W883" i="2"/>
  <c r="V883" i="2"/>
  <c r="W849" i="2"/>
  <c r="V849" i="2"/>
  <c r="W821" i="2"/>
  <c r="V821" i="2"/>
  <c r="W878" i="2"/>
  <c r="V878" i="2"/>
  <c r="W837" i="2"/>
  <c r="V837" i="2"/>
  <c r="W796" i="2"/>
  <c r="V796" i="2"/>
  <c r="W902" i="2"/>
  <c r="V902" i="2"/>
  <c r="W798" i="2"/>
  <c r="V798" i="2"/>
  <c r="W64" i="2"/>
  <c r="V64" i="2"/>
  <c r="W795" i="2"/>
  <c r="V795" i="2"/>
  <c r="W910" i="2"/>
  <c r="V910" i="2"/>
  <c r="W906" i="2"/>
  <c r="V906" i="2"/>
  <c r="W863" i="2"/>
  <c r="V863" i="2"/>
  <c r="W47" i="2"/>
  <c r="V47" i="2"/>
  <c r="W919" i="2"/>
  <c r="V919" i="2"/>
  <c r="W888" i="2"/>
  <c r="V888" i="2"/>
  <c r="W897" i="2"/>
  <c r="V897" i="2"/>
  <c r="W96" i="2"/>
  <c r="V96" i="2"/>
  <c r="W882" i="2"/>
  <c r="V882" i="2"/>
  <c r="W838" i="2"/>
  <c r="V838" i="2"/>
  <c r="W87" i="2"/>
  <c r="V87" i="2"/>
  <c r="W853" i="2"/>
  <c r="V853" i="2"/>
  <c r="V884" i="2"/>
  <c r="W884" i="2"/>
  <c r="V868" i="2"/>
  <c r="W868" i="2"/>
  <c r="W811" i="2"/>
  <c r="V811" i="2"/>
  <c r="W925" i="2"/>
  <c r="V925" i="2"/>
  <c r="W922" i="2"/>
  <c r="V922" i="2"/>
  <c r="W98" i="2"/>
  <c r="V98" i="2"/>
  <c r="W324" i="2"/>
  <c r="V324" i="2"/>
  <c r="W797" i="2"/>
  <c r="V797" i="2"/>
  <c r="W864" i="2"/>
  <c r="V864" i="2"/>
  <c r="W38" i="2"/>
  <c r="V38" i="2"/>
  <c r="W923" i="2"/>
  <c r="V923" i="2"/>
  <c r="W828" i="2"/>
  <c r="V828" i="2"/>
  <c r="W915" i="2"/>
  <c r="V915" i="2"/>
  <c r="W829" i="2"/>
  <c r="V829" i="2"/>
  <c r="W133" i="2"/>
  <c r="V133" i="2"/>
  <c r="W159" i="2"/>
  <c r="V159" i="2"/>
  <c r="W115" i="2"/>
  <c r="V115" i="2"/>
  <c r="W326" i="2"/>
  <c r="V326" i="2"/>
  <c r="W627" i="2"/>
  <c r="V627" i="2"/>
  <c r="V630" i="2"/>
  <c r="W630" i="2"/>
  <c r="W635" i="2"/>
  <c r="V635" i="2"/>
  <c r="W625" i="2"/>
  <c r="V625" i="2"/>
  <c r="W624" i="2"/>
  <c r="V624" i="2"/>
  <c r="W634" i="2"/>
  <c r="V634" i="2"/>
  <c r="W309" i="2"/>
  <c r="V309" i="2"/>
  <c r="W501" i="2"/>
  <c r="V501" i="2"/>
  <c r="W499" i="2"/>
  <c r="V499" i="2"/>
  <c r="W766" i="2"/>
  <c r="V766" i="2"/>
  <c r="W652" i="2"/>
  <c r="V652" i="2"/>
  <c r="W651" i="2"/>
  <c r="V651" i="2"/>
  <c r="W761" i="2"/>
  <c r="V761" i="2"/>
  <c r="W771" i="2"/>
  <c r="V771" i="2"/>
  <c r="W765" i="2"/>
  <c r="V765" i="2"/>
  <c r="W641" i="2"/>
  <c r="V641" i="2"/>
  <c r="W759" i="2"/>
  <c r="V759" i="2"/>
  <c r="W751" i="2"/>
  <c r="V751" i="2"/>
  <c r="W306" i="2"/>
  <c r="V306" i="2"/>
  <c r="W754" i="2"/>
  <c r="V754" i="2"/>
  <c r="W767" i="2"/>
  <c r="V767" i="2"/>
  <c r="W510" i="2"/>
  <c r="V510" i="2"/>
  <c r="W313" i="2"/>
  <c r="V313" i="2"/>
  <c r="W670" i="2"/>
  <c r="V670" i="2"/>
  <c r="W517" i="2"/>
  <c r="V517" i="2"/>
  <c r="W668" i="2"/>
  <c r="V668" i="2"/>
  <c r="W669" i="2"/>
  <c r="V669" i="2"/>
  <c r="W514" i="2"/>
  <c r="V514" i="2"/>
  <c r="W667" i="2"/>
  <c r="V667" i="2"/>
  <c r="W659" i="2"/>
  <c r="V659" i="2"/>
  <c r="W786" i="2"/>
  <c r="V786" i="2"/>
  <c r="W784" i="2"/>
  <c r="V784" i="2"/>
  <c r="W513" i="2"/>
  <c r="V513" i="2"/>
  <c r="W779" i="2"/>
  <c r="V779" i="2"/>
  <c r="W140" i="2"/>
  <c r="V140" i="2"/>
  <c r="S140" i="2"/>
  <c r="T98" i="2"/>
  <c r="S318" i="2"/>
  <c r="S319" i="2"/>
  <c r="S320" i="2"/>
  <c r="S464" i="2"/>
  <c r="S463" i="2"/>
  <c r="S317" i="2"/>
  <c r="S462" i="2"/>
  <c r="T3" i="2"/>
  <c r="T45" i="2"/>
  <c r="T46" i="2"/>
  <c r="T59" i="2"/>
  <c r="F7" i="23"/>
  <c r="G7" i="23"/>
  <c r="J7" i="23"/>
  <c r="T40" i="2"/>
  <c r="H7" i="23"/>
  <c r="T69" i="2"/>
  <c r="T21" i="2"/>
  <c r="E7" i="23"/>
  <c r="D7" i="23"/>
  <c r="B7" i="23"/>
  <c r="C7" i="23"/>
  <c r="T83" i="2"/>
  <c r="T92" i="2"/>
  <c r="T93" i="2"/>
  <c r="T52" i="2"/>
  <c r="K7" i="23"/>
  <c r="I7" i="23"/>
  <c r="T36" i="2"/>
  <c r="N23" i="23"/>
  <c r="N15" i="23"/>
  <c r="N19" i="23"/>
  <c r="N26" i="23"/>
  <c r="N13" i="23"/>
  <c r="N17" i="23"/>
  <c r="N24" i="23"/>
  <c r="N16" i="23"/>
  <c r="N14" i="23"/>
  <c r="N20" i="23"/>
  <c r="N21" i="23"/>
  <c r="N25" i="23"/>
  <c r="N18" i="23"/>
  <c r="N12" i="23"/>
  <c r="T4" i="2"/>
  <c r="N27" i="23"/>
  <c r="N22" i="23"/>
  <c r="T58" i="2"/>
  <c r="T135" i="2"/>
  <c r="T176" i="2"/>
  <c r="T112" i="2"/>
  <c r="T160" i="2"/>
  <c r="T31" i="2"/>
  <c r="T30" i="2"/>
  <c r="T137" i="2"/>
  <c r="T118" i="2"/>
  <c r="T130" i="2"/>
  <c r="T105" i="2"/>
  <c r="T110" i="2"/>
  <c r="T131" i="2"/>
  <c r="T19" i="2"/>
  <c r="T54" i="2"/>
  <c r="T64" i="2"/>
  <c r="T152" i="2"/>
  <c r="T119" i="2"/>
  <c r="T147" i="2"/>
  <c r="T17" i="2"/>
  <c r="T43" i="2"/>
  <c r="T108" i="2"/>
  <c r="T138" i="2"/>
  <c r="T173" i="2"/>
  <c r="T128" i="2"/>
  <c r="T103" i="2"/>
  <c r="T200" i="2"/>
  <c r="T162" i="2"/>
  <c r="T170" i="2"/>
  <c r="T167" i="2"/>
  <c r="T56" i="2"/>
  <c r="T163" i="2"/>
  <c r="T142" i="2"/>
  <c r="T37" i="2"/>
  <c r="T145" i="2"/>
  <c r="T34" i="2"/>
  <c r="T164" i="2"/>
  <c r="T113" i="2"/>
  <c r="T26" i="2"/>
  <c r="T139" i="2"/>
  <c r="T67" i="2"/>
  <c r="T44" i="2"/>
  <c r="T121" i="2"/>
  <c r="T159" i="2"/>
  <c r="T102" i="2"/>
  <c r="T70" i="2"/>
  <c r="T16" i="2"/>
  <c r="T86" i="2"/>
  <c r="T15" i="2"/>
  <c r="T35" i="2"/>
  <c r="T100" i="2"/>
  <c r="T23" i="2"/>
  <c r="T81" i="2"/>
  <c r="T33" i="2"/>
  <c r="T76" i="2"/>
  <c r="T80" i="2"/>
  <c r="T94" i="2"/>
  <c r="T77" i="2"/>
  <c r="T50" i="2"/>
  <c r="T96" i="2"/>
  <c r="T38" i="2"/>
  <c r="T27" i="2"/>
  <c r="T78" i="2"/>
  <c r="T24" i="2"/>
  <c r="T5" i="2"/>
  <c r="T18" i="2"/>
  <c r="T47" i="2"/>
  <c r="T87" i="2"/>
  <c r="T6" i="2"/>
  <c r="T84" i="2"/>
  <c r="T8" i="2"/>
  <c r="T14" i="2"/>
  <c r="S313" i="2"/>
  <c r="S670" i="2"/>
  <c r="S517" i="2"/>
  <c r="S668" i="2"/>
  <c r="S669" i="2"/>
  <c r="S514" i="2"/>
  <c r="S667" i="2"/>
  <c r="S659" i="2"/>
  <c r="S786" i="2"/>
  <c r="S784" i="2"/>
  <c r="S513" i="2"/>
  <c r="S779" i="2"/>
  <c r="S787" i="2"/>
  <c r="S656" i="2"/>
  <c r="S790" i="2"/>
  <c r="S785" i="2"/>
  <c r="S518" i="2"/>
  <c r="S655" i="2"/>
  <c r="S778" i="2"/>
  <c r="S511" i="2"/>
  <c r="S789" i="2"/>
  <c r="S665" i="2"/>
  <c r="S660" i="2"/>
  <c r="S657" i="2"/>
  <c r="S780" i="2"/>
  <c r="S516" i="2"/>
  <c r="S303" i="2"/>
  <c r="S515" i="2"/>
  <c r="S783" i="2"/>
  <c r="S663" i="2"/>
  <c r="S781" i="2"/>
  <c r="S519" i="2"/>
  <c r="S775" i="2"/>
  <c r="S776" i="2"/>
  <c r="S664" i="2"/>
  <c r="S661" i="2"/>
  <c r="S671" i="2"/>
  <c r="S666" i="2"/>
  <c r="S782" i="2"/>
  <c r="S791" i="2"/>
  <c r="S788" i="2"/>
  <c r="S672" i="2"/>
  <c r="S512" i="2"/>
  <c r="S658" i="2"/>
  <c r="S662" i="2"/>
  <c r="S312" i="2"/>
  <c r="S777" i="2"/>
  <c r="S766" i="2"/>
  <c r="S651" i="2"/>
  <c r="S771" i="2"/>
  <c r="S641" i="2"/>
  <c r="S306" i="2"/>
  <c r="S767" i="2"/>
  <c r="S764" i="2"/>
  <c r="S762" i="2"/>
  <c r="S774" i="2"/>
  <c r="S644" i="2"/>
  <c r="S763" i="2"/>
  <c r="S768" i="2"/>
  <c r="S654" i="2"/>
  <c r="S648" i="2"/>
  <c r="S506" i="2"/>
  <c r="S758" i="2"/>
  <c r="S649" i="2"/>
  <c r="S505" i="2"/>
  <c r="S757" i="2"/>
  <c r="S510" i="2"/>
  <c r="S652" i="2"/>
  <c r="S761" i="2"/>
  <c r="S765" i="2"/>
  <c r="S759" i="2"/>
  <c r="S754" i="2"/>
  <c r="S760" i="2"/>
  <c r="S756" i="2"/>
  <c r="S509" i="2"/>
  <c r="S650" i="2"/>
  <c r="S755" i="2"/>
  <c r="S642" i="2"/>
  <c r="S645" i="2"/>
  <c r="S304" i="2"/>
  <c r="S508" i="2"/>
  <c r="S653" i="2"/>
  <c r="S773" i="2"/>
  <c r="S640" i="2"/>
  <c r="S646" i="2"/>
  <c r="S770" i="2"/>
  <c r="S769" i="2"/>
  <c r="S647" i="2"/>
  <c r="S772" i="2"/>
  <c r="S507" i="2"/>
  <c r="S305" i="2"/>
  <c r="S643" i="2"/>
  <c r="S311" i="2"/>
  <c r="S639" i="2"/>
  <c r="S326" i="2"/>
  <c r="S103" i="2"/>
  <c r="S638" i="2"/>
  <c r="S327" i="2"/>
  <c r="S328" i="2"/>
  <c r="S637" i="2"/>
  <c r="S636" i="2"/>
  <c r="S121" i="2"/>
  <c r="S234" i="2"/>
  <c r="S133" i="2"/>
  <c r="S207" i="2"/>
  <c r="S226" i="2"/>
  <c r="S205" i="2"/>
  <c r="S173" i="2"/>
  <c r="S159" i="2"/>
  <c r="S271" i="2"/>
  <c r="S170" i="2"/>
  <c r="S128" i="2"/>
  <c r="S164" i="2"/>
  <c r="S113" i="2"/>
  <c r="S131" i="2"/>
  <c r="S162" i="2"/>
  <c r="S112" i="2"/>
  <c r="S167" i="2"/>
  <c r="S108" i="2"/>
  <c r="S110" i="2"/>
  <c r="S118" i="2"/>
  <c r="S200" i="2"/>
  <c r="S176" i="2"/>
  <c r="S135" i="2"/>
  <c r="S147" i="2"/>
  <c r="S223" i="2"/>
  <c r="S578" i="2"/>
  <c r="S676" i="2"/>
  <c r="S795" i="2"/>
  <c r="S325" i="2"/>
  <c r="S579" i="2"/>
  <c r="S594" i="2"/>
  <c r="S473" i="2"/>
  <c r="S679" i="2"/>
  <c r="S677" i="2"/>
  <c r="S797" i="2"/>
  <c r="S322" i="2"/>
  <c r="S583" i="2"/>
  <c r="S468" i="2"/>
  <c r="S587" i="2"/>
  <c r="S469" i="2"/>
  <c r="S324" i="2"/>
  <c r="S470" i="2"/>
  <c r="S465" i="2"/>
  <c r="S475" i="2"/>
  <c r="S674" i="2"/>
  <c r="S678" i="2"/>
  <c r="S323" i="2"/>
  <c r="S592" i="2"/>
  <c r="S471" i="2"/>
  <c r="S796" i="2"/>
  <c r="S472" i="2"/>
  <c r="S466" i="2"/>
  <c r="S321" i="2"/>
  <c r="S793" i="2"/>
  <c r="S589" i="2"/>
  <c r="S467" i="2"/>
  <c r="S588" i="2"/>
  <c r="S580" i="2"/>
  <c r="S593" i="2"/>
  <c r="S585" i="2"/>
  <c r="S584" i="2"/>
  <c r="S474" i="2"/>
  <c r="S680" i="2"/>
  <c r="S582" i="2"/>
  <c r="S581" i="2"/>
  <c r="S794" i="2"/>
  <c r="S675" i="2"/>
  <c r="S792" i="2"/>
  <c r="S586" i="2"/>
  <c r="S591" i="2"/>
  <c r="S100" i="2"/>
  <c r="S673" i="2"/>
  <c r="S590" i="2"/>
  <c r="S798" i="2"/>
  <c r="S825" i="2"/>
  <c r="S824" i="2"/>
  <c r="S142" i="2"/>
  <c r="S120" i="2"/>
  <c r="S152" i="2"/>
  <c r="S224" i="2"/>
  <c r="S243" i="2"/>
  <c r="S137" i="2"/>
  <c r="S245" i="2"/>
  <c r="S106" i="2"/>
  <c r="S146" i="2"/>
  <c r="S151" i="2"/>
  <c r="S255" i="2"/>
  <c r="S216" i="2"/>
  <c r="S180" i="2"/>
  <c r="S284" i="2"/>
  <c r="S244" i="2"/>
  <c r="S264" i="2"/>
  <c r="S195" i="2"/>
  <c r="S134" i="2"/>
  <c r="S211" i="2"/>
  <c r="S189" i="2"/>
  <c r="S107" i="2"/>
  <c r="S206" i="2"/>
  <c r="S143" i="2"/>
  <c r="S212" i="2"/>
  <c r="S229" i="2"/>
  <c r="S242" i="2"/>
  <c r="S267" i="2"/>
  <c r="S163" i="2"/>
  <c r="S130" i="2"/>
  <c r="S182" i="2"/>
  <c r="S215" i="2"/>
  <c r="S231" i="2"/>
  <c r="S249" i="2"/>
  <c r="S214" i="2"/>
  <c r="S160" i="2"/>
  <c r="S246" i="2"/>
  <c r="S165" i="2"/>
  <c r="S136" i="2"/>
  <c r="S178" i="2"/>
  <c r="S253" i="2"/>
  <c r="S218" i="2"/>
  <c r="S109" i="2"/>
  <c r="S161" i="2"/>
  <c r="S132" i="2"/>
  <c r="S97" i="2"/>
  <c r="S153" i="2"/>
  <c r="S145" i="2"/>
  <c r="S154" i="2"/>
  <c r="S138" i="2"/>
  <c r="S924" i="2"/>
  <c r="S40" i="2"/>
  <c r="S52" i="2"/>
  <c r="S114" i="2"/>
  <c r="S854" i="2"/>
  <c r="S895" i="2"/>
  <c r="S631" i="2"/>
  <c r="S310" i="2"/>
  <c r="S597" i="2"/>
  <c r="S846" i="2"/>
  <c r="S139" i="2"/>
  <c r="S155" i="2"/>
  <c r="S739" i="2"/>
  <c r="S595" i="2"/>
  <c r="S900" i="2"/>
  <c r="S604" i="2"/>
  <c r="S627" i="2"/>
  <c r="S893" i="2"/>
  <c r="S90" i="2"/>
  <c r="S620" i="2"/>
  <c r="S847" i="2"/>
  <c r="S484" i="2"/>
  <c r="T82" i="2"/>
  <c r="S82" i="2"/>
  <c r="S608" i="2"/>
  <c r="S861" i="2"/>
  <c r="S4" i="2"/>
  <c r="S685" i="2"/>
  <c r="T68" i="2"/>
  <c r="S68" i="2"/>
  <c r="S682" i="2"/>
  <c r="S930" i="2"/>
  <c r="S707" i="2"/>
  <c r="S870" i="2"/>
  <c r="S494" i="2"/>
  <c r="S698" i="2"/>
  <c r="S704" i="2"/>
  <c r="S13" i="2"/>
  <c r="S612" i="2"/>
  <c r="S897" i="2"/>
  <c r="S823" i="2"/>
  <c r="S921" i="2"/>
  <c r="S596" i="2"/>
  <c r="S868" i="2"/>
  <c r="S19" i="2"/>
  <c r="S628" i="2"/>
  <c r="S853" i="2"/>
  <c r="S625" i="2"/>
  <c r="S70" i="2"/>
  <c r="S489" i="2"/>
  <c r="S709" i="2"/>
  <c r="S843" i="2"/>
  <c r="S710" i="2"/>
  <c r="S36" i="2"/>
  <c r="S498" i="2"/>
  <c r="S856" i="2"/>
  <c r="S688" i="2"/>
  <c r="S844" i="2"/>
  <c r="S7" i="2"/>
  <c r="S621" i="2"/>
  <c r="S85" i="2"/>
  <c r="S714" i="2"/>
  <c r="S703" i="2"/>
  <c r="S909" i="2"/>
  <c r="S828" i="2"/>
  <c r="S46" i="2"/>
  <c r="S813" i="2"/>
  <c r="S848" i="2"/>
  <c r="S32" i="2"/>
  <c r="S894" i="2"/>
  <c r="S749" i="2"/>
  <c r="S871" i="2"/>
  <c r="S20" i="2"/>
  <c r="S803" i="2"/>
  <c r="S827" i="2"/>
  <c r="S890" i="2"/>
  <c r="S599" i="2"/>
  <c r="S66" i="2"/>
  <c r="S717" i="2"/>
  <c r="S618" i="2"/>
  <c r="S28" i="2"/>
  <c r="S713" i="2"/>
  <c r="S95" i="2"/>
  <c r="S804" i="2"/>
  <c r="S497" i="2"/>
  <c r="S906" i="2"/>
  <c r="S812" i="2"/>
  <c r="S701" i="2"/>
  <c r="S3" i="2"/>
  <c r="S64" i="2"/>
  <c r="S91" i="2"/>
  <c r="S54" i="2"/>
  <c r="S23" i="2"/>
  <c r="S878" i="2"/>
  <c r="S67" i="2"/>
  <c r="S78" i="2"/>
  <c r="S602" i="2"/>
  <c r="S926" i="2"/>
  <c r="S102" i="2"/>
  <c r="S11" i="2"/>
  <c r="S819" i="2"/>
  <c r="S49" i="2"/>
  <c r="S733" i="2"/>
  <c r="S601" i="2"/>
  <c r="S87" i="2"/>
  <c r="S42" i="2"/>
  <c r="S101" i="2"/>
  <c r="S837" i="2"/>
  <c r="S809" i="2"/>
  <c r="S606" i="2"/>
  <c r="S888" i="2"/>
  <c r="S622" i="2"/>
  <c r="S833" i="2"/>
  <c r="S74" i="2"/>
  <c r="S111" i="2"/>
  <c r="S742" i="2"/>
  <c r="S917" i="2"/>
  <c r="S86" i="2"/>
  <c r="S849" i="2"/>
  <c r="S600" i="2"/>
  <c r="S611" i="2"/>
  <c r="S624" i="2"/>
  <c r="S479" i="2"/>
  <c r="S708" i="2"/>
  <c r="S689" i="2"/>
  <c r="S614" i="2"/>
  <c r="S31" i="2"/>
  <c r="S478" i="2"/>
  <c r="S862" i="2"/>
  <c r="S48" i="2"/>
  <c r="S683" i="2"/>
  <c r="S807" i="2"/>
  <c r="S491" i="2"/>
  <c r="S916" i="2"/>
  <c r="S61" i="2"/>
  <c r="S736" i="2"/>
  <c r="S69" i="2"/>
  <c r="S30" i="2"/>
  <c r="S609" i="2"/>
  <c r="S866" i="2"/>
  <c r="S892" i="2"/>
  <c r="S477" i="2"/>
  <c r="S690" i="2"/>
  <c r="S684" i="2"/>
  <c r="S168" i="2"/>
  <c r="S820" i="2"/>
  <c r="S872" i="2"/>
  <c r="S719" i="2"/>
  <c r="S632" i="2"/>
  <c r="S493" i="2"/>
  <c r="S633" i="2"/>
  <c r="S864" i="2"/>
  <c r="S800" i="2"/>
  <c r="S910" i="2"/>
  <c r="S753" i="2"/>
  <c r="S836" i="2"/>
  <c r="S885" i="2"/>
  <c r="S10" i="2"/>
  <c r="S694" i="2"/>
  <c r="S918" i="2"/>
  <c r="S913" i="2"/>
  <c r="S725" i="2"/>
  <c r="S700" i="2"/>
  <c r="S79" i="2"/>
  <c r="S859" i="2"/>
  <c r="S741" i="2"/>
  <c r="S6" i="2"/>
  <c r="S502" i="2"/>
  <c r="S487" i="2"/>
  <c r="S25" i="2"/>
  <c r="S98" i="2"/>
  <c r="S808" i="2"/>
  <c r="S33" i="2"/>
  <c r="S307" i="2"/>
  <c r="S896" i="2"/>
  <c r="S832" i="2"/>
  <c r="S17" i="2"/>
  <c r="S875" i="2"/>
  <c r="S105" i="2"/>
  <c r="S89" i="2"/>
  <c r="S810" i="2"/>
  <c r="S852" i="2"/>
  <c r="S887" i="2"/>
  <c r="S2" i="2"/>
  <c r="S815" i="2"/>
  <c r="S623" i="2"/>
  <c r="S876" i="2"/>
  <c r="S503" i="2"/>
  <c r="S874" i="2"/>
  <c r="S912" i="2"/>
  <c r="S831" i="2"/>
  <c r="S880" i="2"/>
  <c r="T99" i="2"/>
  <c r="S99" i="2"/>
  <c r="S711" i="2"/>
  <c r="S692" i="2"/>
  <c r="S840" i="2"/>
  <c r="S34" i="2"/>
  <c r="S681" i="2"/>
  <c r="S911" i="2"/>
  <c r="S71" i="2"/>
  <c r="S65" i="2"/>
  <c r="S922" i="2"/>
  <c r="S43" i="2"/>
  <c r="S721" i="2"/>
  <c r="S858" i="2"/>
  <c r="S735" i="2"/>
  <c r="S839" i="2"/>
  <c r="S308" i="2"/>
  <c r="S117" i="2"/>
  <c r="S38" i="2"/>
  <c r="S22" i="2"/>
  <c r="S29" i="2"/>
  <c r="S16" i="2"/>
  <c r="S72" i="2"/>
  <c r="S738" i="2"/>
  <c r="S92" i="2"/>
  <c r="S821" i="2"/>
  <c r="S693" i="2"/>
  <c r="S748" i="2"/>
  <c r="S630" i="2"/>
  <c r="S76" i="2"/>
  <c r="S204" i="2"/>
  <c r="S879" i="2"/>
  <c r="S629" i="2"/>
  <c r="S712" i="2"/>
  <c r="S914" i="2"/>
  <c r="S805" i="2"/>
  <c r="S488" i="2"/>
  <c r="S724" i="2"/>
  <c r="S501" i="2"/>
  <c r="S802" i="2"/>
  <c r="S729" i="2"/>
  <c r="S857" i="2"/>
  <c r="S822" i="2"/>
  <c r="S481" i="2"/>
  <c r="S53" i="2"/>
  <c r="S41" i="2"/>
  <c r="S55" i="2"/>
  <c r="S919" i="2"/>
  <c r="S309" i="2"/>
  <c r="S884" i="2"/>
  <c r="S12" i="2"/>
  <c r="S51" i="2"/>
  <c r="S915" i="2"/>
  <c r="S14" i="2"/>
  <c r="S834" i="2"/>
  <c r="S605" i="2"/>
  <c r="S57" i="2"/>
  <c r="S476" i="2"/>
  <c r="S45" i="2"/>
  <c r="S732" i="2"/>
  <c r="S927" i="2"/>
  <c r="S696" i="2"/>
  <c r="S18" i="2"/>
  <c r="S96" i="2"/>
  <c r="S842" i="2"/>
  <c r="S718" i="2"/>
  <c r="S734" i="2"/>
  <c r="S617" i="2"/>
  <c r="S855" i="2"/>
  <c r="S902" i="2"/>
  <c r="S495" i="2"/>
  <c r="S56" i="2"/>
  <c r="S8" i="2"/>
  <c r="S737" i="2"/>
  <c r="S928" i="2"/>
  <c r="S705" i="2"/>
  <c r="S81" i="2"/>
  <c r="S21" i="2"/>
  <c r="S838" i="2"/>
  <c r="S881" i="2"/>
  <c r="S480" i="2"/>
  <c r="S691" i="2"/>
  <c r="S720" i="2"/>
  <c r="S94" i="2"/>
  <c r="S882" i="2"/>
  <c r="S841" i="2"/>
  <c r="S697" i="2"/>
  <c r="S9" i="2"/>
  <c r="S686" i="2"/>
  <c r="S727" i="2"/>
  <c r="S865" i="2"/>
  <c r="S24" i="2"/>
  <c r="S5" i="2"/>
  <c r="S801" i="2"/>
  <c r="S873" i="2"/>
  <c r="S77" i="2"/>
  <c r="S728" i="2"/>
  <c r="S730" i="2"/>
  <c r="S706" i="2"/>
  <c r="S39" i="2"/>
  <c r="S607" i="2"/>
  <c r="S746" i="2"/>
  <c r="S740" i="2"/>
  <c r="S816" i="2"/>
  <c r="S104" i="2"/>
  <c r="S486" i="2"/>
  <c r="S47" i="2"/>
  <c r="S750" i="2"/>
  <c r="S826" i="2"/>
  <c r="S616" i="2"/>
  <c r="S93" i="2"/>
  <c r="S817" i="2"/>
  <c r="S731" i="2"/>
  <c r="S898" i="2"/>
  <c r="S899" i="2"/>
  <c r="S905" i="2"/>
  <c r="S62" i="2"/>
  <c r="S615" i="2"/>
  <c r="S500" i="2"/>
  <c r="S806" i="2"/>
  <c r="S745" i="2"/>
  <c r="S50" i="2"/>
  <c r="S867" i="2"/>
  <c r="S59" i="2"/>
  <c r="S845" i="2"/>
  <c r="S37" i="2"/>
  <c r="S829" i="2"/>
  <c r="S923" i="2"/>
  <c r="S492" i="2"/>
  <c r="S863" i="2"/>
  <c r="S27" i="2"/>
  <c r="S850" i="2"/>
  <c r="S499" i="2"/>
  <c r="S619" i="2"/>
  <c r="S613" i="2"/>
  <c r="S903" i="2"/>
  <c r="S889" i="2"/>
  <c r="S929" i="2"/>
  <c r="S877" i="2"/>
  <c r="S119" i="2"/>
  <c r="S908" i="2"/>
  <c r="S626" i="2"/>
  <c r="S88" i="2"/>
  <c r="T88" i="2"/>
  <c r="S58" i="2"/>
  <c r="S860" i="2"/>
  <c r="S603" i="2"/>
  <c r="S687" i="2"/>
  <c r="S726" i="2"/>
  <c r="S907" i="2"/>
  <c r="S747" i="2"/>
  <c r="S799" i="2"/>
  <c r="S84" i="2"/>
  <c r="S26" i="2"/>
  <c r="S851" i="2"/>
  <c r="S830" i="2"/>
  <c r="S814" i="2"/>
  <c r="S63" i="2"/>
  <c r="S920" i="2"/>
  <c r="S490" i="2"/>
  <c r="S15" i="2"/>
  <c r="S598" i="2"/>
  <c r="S715" i="2"/>
  <c r="S80" i="2"/>
  <c r="S35" i="2"/>
  <c r="S869" i="2"/>
  <c r="S702" i="2"/>
  <c r="S699" i="2"/>
  <c r="S811" i="2"/>
  <c r="S75" i="2"/>
  <c r="S722" i="2"/>
  <c r="S723" i="2"/>
  <c r="S496" i="2"/>
  <c r="S695" i="2"/>
  <c r="S743" i="2"/>
  <c r="S752" i="2"/>
  <c r="S635" i="2"/>
  <c r="S751" i="2"/>
  <c r="S883" i="2"/>
  <c r="S504" i="2"/>
  <c r="S886" i="2"/>
  <c r="S891" i="2"/>
  <c r="S123" i="2"/>
  <c r="S485" i="2"/>
  <c r="S925" i="2"/>
  <c r="S483" i="2"/>
  <c r="T73" i="2"/>
  <c r="S73" i="2"/>
  <c r="S744" i="2"/>
  <c r="S115" i="2"/>
  <c r="S610" i="2"/>
  <c r="S482" i="2"/>
  <c r="S901" i="2"/>
  <c r="S835" i="2"/>
  <c r="S904" i="2"/>
  <c r="S83" i="2"/>
  <c r="S60" i="2"/>
  <c r="S44" i="2"/>
  <c r="S716" i="2"/>
  <c r="S634" i="2"/>
  <c r="S818" i="2"/>
  <c r="R4" i="23" l="1" a="1"/>
  <c r="R4" i="23" s="1"/>
  <c r="S4" i="23" s="1"/>
  <c r="R3" i="23" a="1"/>
  <c r="R3" i="23" s="1"/>
  <c r="S3" i="23" s="1"/>
  <c r="P6" i="23" a="1"/>
  <c r="P6" i="23" s="1"/>
  <c r="Q6" i="23" s="1"/>
  <c r="P14" i="23" a="1"/>
  <c r="P14" i="23" s="1"/>
  <c r="Q14" i="23" s="1"/>
  <c r="P22" i="23" a="1"/>
  <c r="P22" i="23" s="1"/>
  <c r="Q22" i="23" s="1"/>
  <c r="P30" i="23" a="1"/>
  <c r="P30" i="23" s="1"/>
  <c r="Q30" i="23" s="1"/>
  <c r="P38" i="23" a="1"/>
  <c r="P38" i="23" s="1"/>
  <c r="Q38" i="23" s="1"/>
  <c r="R6" i="23" a="1"/>
  <c r="R6" i="23" s="1"/>
  <c r="S6" i="23" s="1"/>
  <c r="R14" i="23" a="1"/>
  <c r="R14" i="23" s="1"/>
  <c r="S14" i="23" s="1"/>
  <c r="R22" i="23" a="1"/>
  <c r="R22" i="23" s="1"/>
  <c r="S22" i="23" s="1"/>
  <c r="R30" i="23" a="1"/>
  <c r="R30" i="23" s="1"/>
  <c r="S30" i="23" s="1"/>
  <c r="R38" i="23" a="1"/>
  <c r="R38" i="23" s="1"/>
  <c r="S38" i="23" s="1"/>
  <c r="P3" i="23" a="1"/>
  <c r="P3" i="23" s="1"/>
  <c r="Q3" i="23" s="1"/>
  <c r="R12" i="23" a="1"/>
  <c r="R12" i="23" s="1"/>
  <c r="S12" i="23" s="1"/>
  <c r="R20" i="23" a="1"/>
  <c r="R20" i="23" s="1"/>
  <c r="S20" i="23" s="1"/>
  <c r="R28" i="23" a="1"/>
  <c r="R28" i="23" s="1"/>
  <c r="S28" i="23" s="1"/>
  <c r="R36" i="23" a="1"/>
  <c r="R36" i="23" s="1"/>
  <c r="S36" i="23" s="1"/>
  <c r="R44" i="23" a="1"/>
  <c r="R44" i="23" s="1"/>
  <c r="S44" i="23" s="1"/>
  <c r="R10" i="23" a="1"/>
  <c r="R10" i="23" s="1"/>
  <c r="S10" i="23" s="1"/>
  <c r="R18" i="23" a="1"/>
  <c r="R18" i="23" s="1"/>
  <c r="S18" i="23" s="1"/>
  <c r="R26" i="23" a="1"/>
  <c r="R26" i="23" s="1"/>
  <c r="S26" i="23" s="1"/>
  <c r="R34" i="23" a="1"/>
  <c r="R34" i="23" s="1"/>
  <c r="S34" i="23" s="1"/>
  <c r="R7" i="23" a="1"/>
  <c r="R7" i="23" s="1"/>
  <c r="S7" i="23" s="1"/>
  <c r="R15" i="23" a="1"/>
  <c r="R15" i="23" s="1"/>
  <c r="S15" i="23" s="1"/>
  <c r="R23" i="23" a="1"/>
  <c r="R23" i="23" s="1"/>
  <c r="S23" i="23" s="1"/>
  <c r="R31" i="23" a="1"/>
  <c r="R31" i="23" s="1"/>
  <c r="S31" i="23" s="1"/>
  <c r="R39" i="23" a="1"/>
  <c r="R39" i="23" s="1"/>
  <c r="S39" i="23" s="1"/>
  <c r="P46" i="23" a="1"/>
  <c r="P46" i="23" s="1"/>
  <c r="Q46" i="23" s="1"/>
  <c r="P9" i="23" a="1"/>
  <c r="P9" i="23" s="1"/>
  <c r="Q9" i="23" s="1"/>
  <c r="P17" i="23" a="1"/>
  <c r="P17" i="23" s="1"/>
  <c r="Q17" i="23" s="1"/>
  <c r="P25" i="23" a="1"/>
  <c r="P25" i="23" s="1"/>
  <c r="Q25" i="23" s="1"/>
  <c r="P33" i="23" a="1"/>
  <c r="P33" i="23" s="1"/>
  <c r="Q33" i="23" s="1"/>
  <c r="P41" i="23" a="1"/>
  <c r="P41" i="23" s="1"/>
  <c r="Q41" i="23" s="1"/>
  <c r="P40" i="23" a="1"/>
  <c r="P40" i="23" s="1"/>
  <c r="Q40" i="23" s="1"/>
  <c r="P7" i="23" a="1"/>
  <c r="P7" i="23" s="1"/>
  <c r="Q7" i="23" s="1"/>
  <c r="P15" i="23" a="1"/>
  <c r="P15" i="23" s="1"/>
  <c r="Q15" i="23" s="1"/>
  <c r="P23" i="23" a="1"/>
  <c r="P23" i="23" s="1"/>
  <c r="Q23" i="23" s="1"/>
  <c r="P31" i="23" a="1"/>
  <c r="P31" i="23" s="1"/>
  <c r="Q31" i="23" s="1"/>
  <c r="P39" i="23" a="1"/>
  <c r="P39" i="23" s="1"/>
  <c r="Q39" i="23" s="1"/>
  <c r="P5" i="23" a="1"/>
  <c r="P5" i="23" s="1"/>
  <c r="Q5" i="23" s="1"/>
  <c r="P13" i="23" a="1"/>
  <c r="P13" i="23" s="1"/>
  <c r="Q13" i="23" s="1"/>
  <c r="P21" i="23" a="1"/>
  <c r="P21" i="23" s="1"/>
  <c r="Q21" i="23" s="1"/>
  <c r="P29" i="23" a="1"/>
  <c r="P29" i="23" s="1"/>
  <c r="Q29" i="23" s="1"/>
  <c r="P37" i="23" a="1"/>
  <c r="P37" i="23" s="1"/>
  <c r="Q37" i="23" s="1"/>
  <c r="R8" i="23" a="1"/>
  <c r="R8" i="23" s="1"/>
  <c r="S8" i="23" s="1"/>
  <c r="R16" i="23" a="1"/>
  <c r="R16" i="23" s="1"/>
  <c r="S16" i="23" s="1"/>
  <c r="R24" i="23" a="1"/>
  <c r="R24" i="23" s="1"/>
  <c r="S24" i="23" s="1"/>
  <c r="R32" i="23" a="1"/>
  <c r="R32" i="23" s="1"/>
  <c r="S32" i="23" s="1"/>
  <c r="R40" i="23" a="1"/>
  <c r="R40" i="23" s="1"/>
  <c r="S40" i="23" s="1"/>
  <c r="P4" i="23" a="1"/>
  <c r="P4" i="23" s="1"/>
  <c r="Q4" i="23" s="1"/>
  <c r="P12" i="23" a="1"/>
  <c r="P12" i="23" s="1"/>
  <c r="Q12" i="23" s="1"/>
  <c r="P20" i="23" a="1"/>
  <c r="P20" i="23" s="1"/>
  <c r="Q20" i="23" s="1"/>
  <c r="P28" i="23" a="1"/>
  <c r="P28" i="23" s="1"/>
  <c r="Q28" i="23" s="1"/>
  <c r="P36" i="23" a="1"/>
  <c r="P36" i="23" s="1"/>
  <c r="Q36" i="23" s="1"/>
  <c r="P44" i="23" a="1"/>
  <c r="P44" i="23" s="1"/>
  <c r="Q44" i="23" s="1"/>
  <c r="R42" i="23" a="1"/>
  <c r="R42" i="23" s="1"/>
  <c r="S42" i="23" s="1"/>
  <c r="P10" i="23" a="1"/>
  <c r="P10" i="23" s="1"/>
  <c r="Q10" i="23" s="1"/>
  <c r="P18" i="23" a="1"/>
  <c r="P18" i="23" s="1"/>
  <c r="Q18" i="23" s="1"/>
  <c r="P26" i="23" a="1"/>
  <c r="P26" i="23" s="1"/>
  <c r="Q26" i="23" s="1"/>
  <c r="P34" i="23" a="1"/>
  <c r="P34" i="23" s="1"/>
  <c r="Q34" i="23" s="1"/>
  <c r="P42" i="23" a="1"/>
  <c r="P42" i="23" s="1"/>
  <c r="Q42" i="23" s="1"/>
  <c r="P8" i="23" a="1"/>
  <c r="P8" i="23" s="1"/>
  <c r="Q8" i="23" s="1"/>
  <c r="P16" i="23" a="1"/>
  <c r="P16" i="23" s="1"/>
  <c r="Q16" i="23" s="1"/>
  <c r="P24" i="23" a="1"/>
  <c r="P24" i="23" s="1"/>
  <c r="Q24" i="23" s="1"/>
  <c r="P32" i="23" a="1"/>
  <c r="P32" i="23" s="1"/>
  <c r="Q32" i="23" s="1"/>
  <c r="R41" i="23" a="1"/>
  <c r="R41" i="23" s="1"/>
  <c r="S41" i="23" s="1"/>
  <c r="P11" i="23" a="1"/>
  <c r="P11" i="23" s="1"/>
  <c r="Q11" i="23" s="1"/>
  <c r="P19" i="23" a="1"/>
  <c r="P19" i="23" s="1"/>
  <c r="Q19" i="23" s="1"/>
  <c r="P27" i="23" a="1"/>
  <c r="P27" i="23" s="1"/>
  <c r="Q27" i="23" s="1"/>
  <c r="P35" i="23" a="1"/>
  <c r="P35" i="23" s="1"/>
  <c r="Q35" i="23" s="1"/>
  <c r="P43" i="23" a="1"/>
  <c r="P43" i="23" s="1"/>
  <c r="Q43" i="23" s="1"/>
  <c r="R5" i="23" a="1"/>
  <c r="R5" i="23" s="1"/>
  <c r="S5" i="23" s="1"/>
  <c r="R13" i="23" a="1"/>
  <c r="R13" i="23" s="1"/>
  <c r="S13" i="23" s="1"/>
  <c r="R21" i="23" a="1"/>
  <c r="R21" i="23" s="1"/>
  <c r="S21" i="23" s="1"/>
  <c r="R29" i="23" a="1"/>
  <c r="R29" i="23" s="1"/>
  <c r="S29" i="23" s="1"/>
  <c r="R37" i="23" a="1"/>
  <c r="R37" i="23" s="1"/>
  <c r="S37" i="23" s="1"/>
  <c r="R45" i="23" a="1"/>
  <c r="R45" i="23" s="1"/>
  <c r="S45" i="23" s="1"/>
  <c r="R46" i="23" a="1"/>
  <c r="R46" i="23" s="1"/>
  <c r="S46" i="23" s="1"/>
  <c r="R11" i="23" a="1"/>
  <c r="R11" i="23" s="1"/>
  <c r="S11" i="23" s="1"/>
  <c r="R19" i="23" a="1"/>
  <c r="R19" i="23" s="1"/>
  <c r="S19" i="23" s="1"/>
  <c r="R27" i="23" a="1"/>
  <c r="R27" i="23" s="1"/>
  <c r="S27" i="23" s="1"/>
  <c r="R35" i="23" a="1"/>
  <c r="R35" i="23" s="1"/>
  <c r="S35" i="23" s="1"/>
  <c r="R43" i="23" a="1"/>
  <c r="R43" i="23" s="1"/>
  <c r="S43" i="23" s="1"/>
  <c r="R9" i="23" a="1"/>
  <c r="R9" i="23" s="1"/>
  <c r="S9" i="23" s="1"/>
  <c r="R17" i="23" a="1"/>
  <c r="R17" i="23" s="1"/>
  <c r="S17" i="23" s="1"/>
  <c r="R25" i="23" a="1"/>
  <c r="R25" i="23" s="1"/>
  <c r="S25" i="23" s="1"/>
  <c r="R33" i="23" a="1"/>
  <c r="R33" i="23" s="1"/>
  <c r="S33" i="23" s="1"/>
  <c r="P45" i="23" a="1"/>
  <c r="P45" i="23" s="1"/>
  <c r="Q45" i="23" s="1"/>
  <c r="V49" i="23" a="1"/>
  <c r="V49" i="23" s="1"/>
  <c r="B8" i="23"/>
  <c r="W61" i="23" a="1"/>
  <c r="W61" i="23" s="1"/>
  <c r="Z62" i="23" a="1"/>
  <c r="Z62" i="23" s="1"/>
  <c r="X64" i="23" a="1"/>
  <c r="X64" i="23" s="1"/>
  <c r="Z67" i="23" a="1"/>
  <c r="Z67" i="23" s="1"/>
  <c r="X67" i="23" a="1"/>
  <c r="X67" i="23" s="1"/>
  <c r="V68" i="23" a="1"/>
  <c r="V68" i="23" s="1"/>
  <c r="Y62" i="23" a="1"/>
  <c r="Y62" i="23" s="1"/>
  <c r="W64" i="23" a="1"/>
  <c r="W64" i="23" s="1"/>
  <c r="X66" i="23" a="1"/>
  <c r="X66" i="23" s="1"/>
  <c r="Y69" i="23" a="1"/>
  <c r="Y69" i="23" s="1"/>
  <c r="Y66" i="23" a="1"/>
  <c r="Y66" i="23" s="1"/>
  <c r="Z69" i="23" a="1"/>
  <c r="Z69" i="23" s="1"/>
  <c r="V67" i="23" a="1"/>
  <c r="V67" i="23" s="1"/>
  <c r="Z68" i="23" a="1"/>
  <c r="Z68" i="23" s="1"/>
  <c r="X68" i="23" a="1"/>
  <c r="X68" i="23" s="1"/>
  <c r="Y61" i="23" a="1"/>
  <c r="Y61" i="23" s="1"/>
  <c r="W63" i="23" a="1"/>
  <c r="W63" i="23" s="1"/>
  <c r="Z64" i="23" a="1"/>
  <c r="Z64" i="23" s="1"/>
  <c r="X69" i="23" a="1"/>
  <c r="X69" i="23" s="1"/>
  <c r="AA68" i="23" a="1"/>
  <c r="AA68" i="23" s="1"/>
  <c r="X61" i="23" a="1"/>
  <c r="X61" i="23" s="1"/>
  <c r="AA62" i="23" a="1"/>
  <c r="AA62" i="23" s="1"/>
  <c r="Y64" i="23" a="1"/>
  <c r="Y64" i="23" s="1"/>
  <c r="AA66" i="23" a="1"/>
  <c r="AA66" i="23" s="1"/>
  <c r="W70" i="23" a="1"/>
  <c r="W70" i="23" s="1"/>
  <c r="Y67" i="23" a="1"/>
  <c r="Y67" i="23" s="1"/>
  <c r="Z70" i="23" a="1"/>
  <c r="Z70" i="23" s="1"/>
  <c r="V69" i="23" a="1"/>
  <c r="V69" i="23" s="1"/>
  <c r="X70" i="23" a="1"/>
  <c r="X70" i="23" s="1"/>
  <c r="AA69" i="23" a="1"/>
  <c r="AA69" i="23" s="1"/>
  <c r="AA61" i="23" a="1"/>
  <c r="AA61" i="23" s="1"/>
  <c r="Y63" i="23" a="1"/>
  <c r="Y63" i="23" s="1"/>
  <c r="W65" i="23" a="1"/>
  <c r="W65" i="23" s="1"/>
  <c r="AA70" i="23" a="1"/>
  <c r="AA70" i="23" s="1"/>
  <c r="Y70" i="23" a="1"/>
  <c r="Y70" i="23" s="1"/>
  <c r="Z61" i="23" a="1"/>
  <c r="Z61" i="23" s="1"/>
  <c r="X63" i="23" a="1"/>
  <c r="X63" i="23" s="1"/>
  <c r="AA64" i="23" a="1"/>
  <c r="AA64" i="23" s="1"/>
  <c r="AA67" i="23" a="1"/>
  <c r="AA67" i="23" s="1"/>
  <c r="V61" i="23" a="1"/>
  <c r="V61" i="23" s="1"/>
  <c r="W68" i="23" a="1"/>
  <c r="W68" i="23" s="1"/>
  <c r="V63" i="23" a="1"/>
  <c r="V63" i="23" s="1"/>
  <c r="Y65" i="23" a="1"/>
  <c r="Y65" i="23" s="1"/>
  <c r="V70" i="23" a="1"/>
  <c r="V70" i="23" s="1"/>
  <c r="V62" i="23" a="1"/>
  <c r="V62" i="23" s="1"/>
  <c r="X62" i="23" a="1"/>
  <c r="X62" i="23" s="1"/>
  <c r="AA63" i="23" a="1"/>
  <c r="AA63" i="23" s="1"/>
  <c r="W66" i="23" a="1"/>
  <c r="W66" i="23" s="1"/>
  <c r="Z65" i="23" a="1"/>
  <c r="Z65" i="23" s="1"/>
  <c r="V64" i="23" a="1"/>
  <c r="V64" i="23" s="1"/>
  <c r="W62" i="23" a="1"/>
  <c r="W62" i="23" s="1"/>
  <c r="Z63" i="23" a="1"/>
  <c r="Z63" i="23" s="1"/>
  <c r="X65" i="23" a="1"/>
  <c r="X65" i="23" s="1"/>
  <c r="Y68" i="23" a="1"/>
  <c r="Y68" i="23" s="1"/>
  <c r="AA65" i="23" a="1"/>
  <c r="AA65" i="23" s="1"/>
  <c r="W69" i="23" a="1"/>
  <c r="W69" i="23" s="1"/>
  <c r="V65" i="23" a="1"/>
  <c r="V65" i="23" s="1"/>
  <c r="W67" i="23" a="1"/>
  <c r="W67" i="23" s="1"/>
  <c r="Z66" i="23" a="1"/>
  <c r="Z66" i="23" s="1"/>
  <c r="V66" i="23" a="1"/>
  <c r="V66" i="23" s="1"/>
  <c r="V56" i="23" a="1"/>
  <c r="V56" i="23" s="1"/>
  <c r="AA49" i="23" a="1"/>
  <c r="AA49" i="23" s="1"/>
  <c r="Y51" i="23" a="1"/>
  <c r="Y51" i="23" s="1"/>
  <c r="W53" i="23" a="1"/>
  <c r="W53" i="23" s="1"/>
  <c r="Z54" i="23" a="1"/>
  <c r="Z54" i="23" s="1"/>
  <c r="X56" i="23" a="1"/>
  <c r="X56" i="23" s="1"/>
  <c r="AA57" i="23" a="1"/>
  <c r="AA57" i="23" s="1"/>
  <c r="V53" i="23" a="1"/>
  <c r="V53" i="23" s="1"/>
  <c r="Z49" i="23" a="1"/>
  <c r="Z49" i="23" s="1"/>
  <c r="X51" i="23" a="1"/>
  <c r="X51" i="23" s="1"/>
  <c r="AA52" i="23" a="1"/>
  <c r="AA52" i="23" s="1"/>
  <c r="Y54" i="23" a="1"/>
  <c r="Y54" i="23" s="1"/>
  <c r="W56" i="23" a="1"/>
  <c r="W56" i="23" s="1"/>
  <c r="Z57" i="23" a="1"/>
  <c r="Z57" i="23" s="1"/>
  <c r="V50" i="23" a="1"/>
  <c r="V50" i="23" s="1"/>
  <c r="V58" i="23" a="1"/>
  <c r="V58" i="23" s="1"/>
  <c r="X50" i="23" a="1"/>
  <c r="X50" i="23" s="1"/>
  <c r="AA51" i="23" a="1"/>
  <c r="AA51" i="23" s="1"/>
  <c r="Y53" i="23" a="1"/>
  <c r="Y53" i="23" s="1"/>
  <c r="W55" i="23" a="1"/>
  <c r="W55" i="23" s="1"/>
  <c r="Z56" i="23" a="1"/>
  <c r="Z56" i="23" s="1"/>
  <c r="Z58" i="23" a="1"/>
  <c r="Z58" i="23" s="1"/>
  <c r="V55" i="23" a="1"/>
  <c r="V55" i="23" s="1"/>
  <c r="W50" i="23" a="1"/>
  <c r="W50" i="23" s="1"/>
  <c r="Z51" i="23" a="1"/>
  <c r="Z51" i="23" s="1"/>
  <c r="X53" i="23" a="1"/>
  <c r="X53" i="23" s="1"/>
  <c r="AA54" i="23" a="1"/>
  <c r="AA54" i="23" s="1"/>
  <c r="Y56" i="23" a="1"/>
  <c r="Y56" i="23" s="1"/>
  <c r="W58" i="23" a="1"/>
  <c r="W58" i="23" s="1"/>
  <c r="V52" i="23" a="1"/>
  <c r="V52" i="23" s="1"/>
  <c r="W49" i="23" a="1"/>
  <c r="W49" i="23" s="1"/>
  <c r="Z50" i="23" a="1"/>
  <c r="Z50" i="23" s="1"/>
  <c r="X52" i="23" a="1"/>
  <c r="X52" i="23" s="1"/>
  <c r="AA53" i="23" a="1"/>
  <c r="AA53" i="23" s="1"/>
  <c r="Y55" i="23" a="1"/>
  <c r="Y55" i="23" s="1"/>
  <c r="W57" i="23" a="1"/>
  <c r="W57" i="23" s="1"/>
  <c r="AA58" i="23" a="1"/>
  <c r="AA58" i="23" s="1"/>
  <c r="V57" i="23" a="1"/>
  <c r="V57" i="23" s="1"/>
  <c r="Y50" i="23" a="1"/>
  <c r="Y50" i="23" s="1"/>
  <c r="W52" i="23" a="1"/>
  <c r="W52" i="23" s="1"/>
  <c r="Z53" i="23" a="1"/>
  <c r="Z53" i="23" s="1"/>
  <c r="X55" i="23" a="1"/>
  <c r="X55" i="23" s="1"/>
  <c r="AA56" i="23" a="1"/>
  <c r="AA56" i="23" s="1"/>
  <c r="Y58" i="23" a="1"/>
  <c r="Y58" i="23" s="1"/>
  <c r="V54" i="23" a="1"/>
  <c r="V54" i="23" s="1"/>
  <c r="Y49" i="23" a="1"/>
  <c r="Y49" i="23" s="1"/>
  <c r="W51" i="23" a="1"/>
  <c r="W51" i="23" s="1"/>
  <c r="Z52" i="23" a="1"/>
  <c r="Z52" i="23" s="1"/>
  <c r="X54" i="23" a="1"/>
  <c r="X54" i="23" s="1"/>
  <c r="AA55" i="23" a="1"/>
  <c r="AA55" i="23" s="1"/>
  <c r="Y57" i="23" a="1"/>
  <c r="Y57" i="23" s="1"/>
  <c r="V51" i="23" a="1"/>
  <c r="V51" i="23" s="1"/>
  <c r="X49" i="23" a="1"/>
  <c r="X49" i="23" s="1"/>
  <c r="AA50" i="23" a="1"/>
  <c r="AA50" i="23" s="1"/>
  <c r="Y52" i="23" a="1"/>
  <c r="Y52" i="23" s="1"/>
  <c r="W54" i="23" a="1"/>
  <c r="W54" i="23" s="1"/>
  <c r="Z55" i="23" a="1"/>
  <c r="Z55" i="23" s="1"/>
  <c r="X57" i="23" a="1"/>
  <c r="X57" i="23" s="1"/>
  <c r="X58" i="23" a="1"/>
  <c r="X58" i="23" s="1"/>
  <c r="Q50" i="23" l="1"/>
  <c r="Q58" i="23"/>
  <c r="Q57" i="23"/>
  <c r="Q56" i="23"/>
  <c r="Q52" i="23"/>
  <c r="Q55" i="23"/>
  <c r="Q53" i="23"/>
  <c r="Q54" i="23"/>
  <c r="Q49" i="23"/>
  <c r="Q51" i="23"/>
  <c r="S52" i="23"/>
  <c r="S53" i="23"/>
  <c r="S54" i="23"/>
  <c r="S51" i="23"/>
  <c r="S58" i="23"/>
  <c r="S57" i="23"/>
  <c r="S55" i="23"/>
  <c r="S50" i="23"/>
  <c r="S49" i="23"/>
  <c r="S56" i="23"/>
</calcChain>
</file>

<file path=xl/comments1.xml><?xml version="1.0" encoding="utf-8"?>
<comments xmlns="http://schemas.openxmlformats.org/spreadsheetml/2006/main">
  <authors>
    <author>Stephen Crouch</author>
  </authors>
  <commentList>
    <comment ref="A10" authorId="0" shapeId="0">
      <text>
        <r>
          <rPr>
            <b/>
            <sz val="9"/>
            <color indexed="81"/>
            <rFont val="Tahoma"/>
            <family val="2"/>
          </rPr>
          <t>Players above this rank get premium multiplier</t>
        </r>
      </text>
    </comment>
    <comment ref="AD118" authorId="0" shapeId="0">
      <text>
        <r>
          <rPr>
            <b/>
            <sz val="9"/>
            <color indexed="81"/>
            <rFont val="Tahoma"/>
            <family val="2"/>
          </rPr>
          <t>Yellow indicates last pick and omission from being able to call out to auction</t>
        </r>
      </text>
    </comment>
  </commentList>
</comments>
</file>

<file path=xl/comments2.xml><?xml version="1.0" encoding="utf-8"?>
<comments xmlns="http://schemas.openxmlformats.org/spreadsheetml/2006/main">
  <authors>
    <author>Stephen Crouch</author>
  </authors>
  <commentList>
    <comment ref="R48" authorId="0" shapeId="0">
      <text>
        <r>
          <rPr>
            <b/>
            <sz val="9"/>
            <color indexed="81"/>
            <rFont val="Tahoma"/>
            <family val="2"/>
          </rPr>
          <t>Points per $ Spent</t>
        </r>
      </text>
    </comment>
  </commentList>
</comments>
</file>

<file path=xl/sharedStrings.xml><?xml version="1.0" encoding="utf-8"?>
<sst xmlns="http://schemas.openxmlformats.org/spreadsheetml/2006/main" count="5483" uniqueCount="1223">
  <si>
    <t>Rank</t>
  </si>
  <si>
    <t>Player</t>
  </si>
  <si>
    <t>Team</t>
  </si>
  <si>
    <t>Pos</t>
  </si>
  <si>
    <t>VOR</t>
  </si>
  <si>
    <t>Points</t>
  </si>
  <si>
    <t>Ceiling</t>
  </si>
  <si>
    <t>Floor</t>
  </si>
  <si>
    <t>Pos Rank</t>
  </si>
  <si>
    <t>AAV</t>
  </si>
  <si>
    <t>Cost</t>
  </si>
  <si>
    <t>Actual Cost</t>
  </si>
  <si>
    <t>Pick</t>
  </si>
  <si>
    <t>Dropoff</t>
  </si>
  <si>
    <t>Risk</t>
  </si>
  <si>
    <t>Antonio Brown</t>
  </si>
  <si>
    <t>PIT</t>
  </si>
  <si>
    <t>WR</t>
  </si>
  <si>
    <t>LeVeon Bell</t>
  </si>
  <si>
    <t>RB</t>
  </si>
  <si>
    <t>Demaryius Thomas</t>
  </si>
  <si>
    <t>DEN</t>
  </si>
  <si>
    <t>Julio Jones</t>
  </si>
  <si>
    <t>ATL</t>
  </si>
  <si>
    <t>Jamaal Charles</t>
  </si>
  <si>
    <t>KC</t>
  </si>
  <si>
    <t>Odell Beckham</t>
  </si>
  <si>
    <t>NYG</t>
  </si>
  <si>
    <t>Eddie Lacy</t>
  </si>
  <si>
    <t>GB</t>
  </si>
  <si>
    <t>Matt Forte</t>
  </si>
  <si>
    <t>CHI</t>
  </si>
  <si>
    <t>Adrian Peterson</t>
  </si>
  <si>
    <t>MIN</t>
  </si>
  <si>
    <t>Dez Bryant</t>
  </si>
  <si>
    <t>DAL</t>
  </si>
  <si>
    <t>DET</t>
  </si>
  <si>
    <t>Marshawn Lynch</t>
  </si>
  <si>
    <t>SEA</t>
  </si>
  <si>
    <t>Randall Cobb</t>
  </si>
  <si>
    <t>C.J. Anderson</t>
  </si>
  <si>
    <t>Rob Gronkowski</t>
  </si>
  <si>
    <t>NE</t>
  </si>
  <si>
    <t>TE</t>
  </si>
  <si>
    <t>A.J. Green</t>
  </si>
  <si>
    <t>CIN</t>
  </si>
  <si>
    <t>DeMarco Murray</t>
  </si>
  <si>
    <t>PHI</t>
  </si>
  <si>
    <t>BAL</t>
  </si>
  <si>
    <t>LeSean McCoy</t>
  </si>
  <si>
    <t>BUF</t>
  </si>
  <si>
    <t>Andrew Luck</t>
  </si>
  <si>
    <t>IND</t>
  </si>
  <si>
    <t>QB</t>
  </si>
  <si>
    <t>Jeremy Hill</t>
  </si>
  <si>
    <t>Alshon Jeffery</t>
  </si>
  <si>
    <t>Mike Evans</t>
  </si>
  <si>
    <t>TB</t>
  </si>
  <si>
    <t>T.Y. Hilton</t>
  </si>
  <si>
    <t>Aaron Rodgers</t>
  </si>
  <si>
    <t>Brandin Cooks</t>
  </si>
  <si>
    <t>NO</t>
  </si>
  <si>
    <t>Emmanuel Sanders</t>
  </si>
  <si>
    <t>Lamar Miller</t>
  </si>
  <si>
    <t>MIA</t>
  </si>
  <si>
    <t>DeAndre Hopkins</t>
  </si>
  <si>
    <t>HOU</t>
  </si>
  <si>
    <t>Andre Ellington</t>
  </si>
  <si>
    <t>ARI</t>
  </si>
  <si>
    <t>Julian Edelman</t>
  </si>
  <si>
    <t>Jimmy Graham</t>
  </si>
  <si>
    <t>Jordan Matthews</t>
  </si>
  <si>
    <t>Frank Gore</t>
  </si>
  <si>
    <t>Mark Ingram</t>
  </si>
  <si>
    <t>Latavius Murray</t>
  </si>
  <si>
    <t>OAK</t>
  </si>
  <si>
    <t>Melvin Gordon</t>
  </si>
  <si>
    <t>Golden Tate</t>
  </si>
  <si>
    <t>C.J. Spiller</t>
  </si>
  <si>
    <t>Carlos Hyde</t>
  </si>
  <si>
    <t>SF</t>
  </si>
  <si>
    <t>Keenan Allen</t>
  </si>
  <si>
    <t>Alfred Morris</t>
  </si>
  <si>
    <t>WAS</t>
  </si>
  <si>
    <t>Greg Olsen</t>
  </si>
  <si>
    <t>CAR</t>
  </si>
  <si>
    <t>Jarvis Landry</t>
  </si>
  <si>
    <t>Drew Brees</t>
  </si>
  <si>
    <t>Jonathan Stewart</t>
  </si>
  <si>
    <t>Travis Kelce</t>
  </si>
  <si>
    <t>Russell Wilson</t>
  </si>
  <si>
    <t>DeSean Jackson</t>
  </si>
  <si>
    <t>Brandon Marshall</t>
  </si>
  <si>
    <t>NYJ</t>
  </si>
  <si>
    <t>T.J. Yeldon</t>
  </si>
  <si>
    <t>JAC</t>
  </si>
  <si>
    <t>Giovani Bernard</t>
  </si>
  <si>
    <t>Martellus Bennett</t>
  </si>
  <si>
    <t>Sammy Watkins</t>
  </si>
  <si>
    <t>Matt Ryan</t>
  </si>
  <si>
    <t>Amari Cooper</t>
  </si>
  <si>
    <t>Joseph Randle</t>
  </si>
  <si>
    <t>Jeremy Maclin</t>
  </si>
  <si>
    <t>Ben Roethlisberger</t>
  </si>
  <si>
    <t>Vincent Jackson</t>
  </si>
  <si>
    <t>Davante Adams</t>
  </si>
  <si>
    <t>Allen Robinson</t>
  </si>
  <si>
    <t>Ameer Abdullah</t>
  </si>
  <si>
    <t>Larry Fitzgerald</t>
  </si>
  <si>
    <t>Eric Decker</t>
  </si>
  <si>
    <t>Anquan Boldin</t>
  </si>
  <si>
    <t>Brandon LaFell</t>
  </si>
  <si>
    <t>Joique Bell</t>
  </si>
  <si>
    <t>Matthew Stafford</t>
  </si>
  <si>
    <t>Devonta Freeman</t>
  </si>
  <si>
    <t>Jason Witten</t>
  </si>
  <si>
    <t>Kendall Wright</t>
  </si>
  <si>
    <t>TEN</t>
  </si>
  <si>
    <t>Todd Gurley</t>
  </si>
  <si>
    <t>Charles Johnson</t>
  </si>
  <si>
    <t>Mike Wallace</t>
  </si>
  <si>
    <t>Julius Thomas</t>
  </si>
  <si>
    <t>Cam Newton</t>
  </si>
  <si>
    <t>Ryan Tannehill</t>
  </si>
  <si>
    <t>Pierre Garcon</t>
  </si>
  <si>
    <t>Eli Manning</t>
  </si>
  <si>
    <t>Chris Ivory</t>
  </si>
  <si>
    <t>Philip Rivers</t>
  </si>
  <si>
    <t>Torrey Smith</t>
  </si>
  <si>
    <t>Shane Vereen</t>
  </si>
  <si>
    <t>Nelson Agholor</t>
  </si>
  <si>
    <t>Michael Floyd</t>
  </si>
  <si>
    <t>LeGarrette Blount</t>
  </si>
  <si>
    <t>Martavis Bryant</t>
  </si>
  <si>
    <t>Seahawks</t>
  </si>
  <si>
    <t>DST</t>
  </si>
  <si>
    <t>Tevin Coleman</t>
  </si>
  <si>
    <t>Delanie Walker</t>
  </si>
  <si>
    <t>Zach Ertz</t>
  </si>
  <si>
    <t>John Brown</t>
  </si>
  <si>
    <t>Doug Martin</t>
  </si>
  <si>
    <t>Victor Cruz</t>
  </si>
  <si>
    <t>Isaiah Crowell</t>
  </si>
  <si>
    <t>CLE</t>
  </si>
  <si>
    <t>Doug Baldwin</t>
  </si>
  <si>
    <t>Eddie Royal</t>
  </si>
  <si>
    <t>Stephen Gostkowski</t>
  </si>
  <si>
    <t>K</t>
  </si>
  <si>
    <t>Devin Funchess</t>
  </si>
  <si>
    <t>Jordan Reed</t>
  </si>
  <si>
    <t>Joe Flacco</t>
  </si>
  <si>
    <t>Kyle Rudolph</t>
  </si>
  <si>
    <t>Breshad Perriman</t>
  </si>
  <si>
    <t>Terrance Williams</t>
  </si>
  <si>
    <t>Charles Clay</t>
  </si>
  <si>
    <t>Tyler Eifert</t>
  </si>
  <si>
    <t>Alfred Blue</t>
  </si>
  <si>
    <t>Adam Vinatieri</t>
  </si>
  <si>
    <t>Justin Tucker</t>
  </si>
  <si>
    <t>Kenny Stills</t>
  </si>
  <si>
    <t>Rueben Randle</t>
  </si>
  <si>
    <t>Danny Woodhead</t>
  </si>
  <si>
    <t>Bishop Sankey</t>
  </si>
  <si>
    <t>Brian Quick</t>
  </si>
  <si>
    <t>Reggie Bush</t>
  </si>
  <si>
    <t>Dwayne Allen</t>
  </si>
  <si>
    <t>Cody Parkey</t>
  </si>
  <si>
    <t>Connor Barth</t>
  </si>
  <si>
    <t>Michael Crabtree</t>
  </si>
  <si>
    <t>Austin Seferian-Jenkins</t>
  </si>
  <si>
    <t>Bills</t>
  </si>
  <si>
    <t>Darren Sproles</t>
  </si>
  <si>
    <t>Coby Fleener</t>
  </si>
  <si>
    <t>Antonio Gates</t>
  </si>
  <si>
    <t>Teddy Bridgewater</t>
  </si>
  <si>
    <t>Mason Crosby</t>
  </si>
  <si>
    <t>Dan Bailey</t>
  </si>
  <si>
    <t>Matt Bryant</t>
  </si>
  <si>
    <t>Steven Hauschka</t>
  </si>
  <si>
    <t>Jared Cook</t>
  </si>
  <si>
    <t>Kenny Britt</t>
  </si>
  <si>
    <t>Ryan Mathews</t>
  </si>
  <si>
    <t>Charles Sims</t>
  </si>
  <si>
    <t>Dan Carpenter</t>
  </si>
  <si>
    <t>Texans</t>
  </si>
  <si>
    <t>Carson Palmer</t>
  </si>
  <si>
    <t>Vernon Davis</t>
  </si>
  <si>
    <t>Panthers</t>
  </si>
  <si>
    <t>Rams</t>
  </si>
  <si>
    <t>Eric Ebron</t>
  </si>
  <si>
    <t>Sam Bradford</t>
  </si>
  <si>
    <t>Markus Wheaton</t>
  </si>
  <si>
    <t>Darren McFadden</t>
  </si>
  <si>
    <t>Packers</t>
  </si>
  <si>
    <t>Chandler Catanzaro</t>
  </si>
  <si>
    <t>Tom Brady</t>
  </si>
  <si>
    <t>Cardinals</t>
  </si>
  <si>
    <t>Ravens</t>
  </si>
  <si>
    <t>Alex Smith</t>
  </si>
  <si>
    <t>DeVante Parker</t>
  </si>
  <si>
    <t>Marcus Mariota</t>
  </si>
  <si>
    <t>Knile Davis</t>
  </si>
  <si>
    <t>Phil Dawson</t>
  </si>
  <si>
    <t>Lions</t>
  </si>
  <si>
    <t>Broncos</t>
  </si>
  <si>
    <t>Randy Bullock</t>
  </si>
  <si>
    <t>Nick Novak</t>
  </si>
  <si>
    <t>Graham Gano</t>
  </si>
  <si>
    <t>Blair Walsh</t>
  </si>
  <si>
    <t>Ladarius Green</t>
  </si>
  <si>
    <t>Mychal Rivera</t>
  </si>
  <si>
    <t>Cecil Shorts</t>
  </si>
  <si>
    <t>Duke Johnson</t>
  </si>
  <si>
    <t>Josh Hill</t>
  </si>
  <si>
    <t>Andy Dalton</t>
  </si>
  <si>
    <t>Matt Prater</t>
  </si>
  <si>
    <t>Allen Hurns</t>
  </si>
  <si>
    <t>Cairo Santos</t>
  </si>
  <si>
    <t>49ers</t>
  </si>
  <si>
    <t>Andrew Hawkins</t>
  </si>
  <si>
    <t>Patriots</t>
  </si>
  <si>
    <t>Colts</t>
  </si>
  <si>
    <t>Nick Folk</t>
  </si>
  <si>
    <t>Chiefs</t>
  </si>
  <si>
    <t>Greg Zuerlein</t>
  </si>
  <si>
    <t>Caleb Sturgis</t>
  </si>
  <si>
    <t>Jameis Winston</t>
  </si>
  <si>
    <t>Marvin Jones</t>
  </si>
  <si>
    <t>Jace Amaro</t>
  </si>
  <si>
    <t>Browns</t>
  </si>
  <si>
    <t>Robert Woods</t>
  </si>
  <si>
    <t>Bengals</t>
  </si>
  <si>
    <t>Sebastian Janikowski</t>
  </si>
  <si>
    <t>Cody Latimer</t>
  </si>
  <si>
    <t>Blake Bortles</t>
  </si>
  <si>
    <t>David Cobb</t>
  </si>
  <si>
    <t>Robbie Gould</t>
  </si>
  <si>
    <t>Patrick Murray</t>
  </si>
  <si>
    <t>Kai Forbath</t>
  </si>
  <si>
    <t>Derek Carr</t>
  </si>
  <si>
    <t>Maxx Williams</t>
  </si>
  <si>
    <t>Richard Rodgers</t>
  </si>
  <si>
    <t>Ryan Succop</t>
  </si>
  <si>
    <t>Nick Foles</t>
  </si>
  <si>
    <t>Cole Beasley</t>
  </si>
  <si>
    <t>Donte Moncrief</t>
  </si>
  <si>
    <t>Eagles</t>
  </si>
  <si>
    <t>Jerick McKinnon</t>
  </si>
  <si>
    <t>Dustin Hopkins</t>
  </si>
  <si>
    <t>Benjamin Watson</t>
  </si>
  <si>
    <t>Jermaine Kearse</t>
  </si>
  <si>
    <t>Terrance West</t>
  </si>
  <si>
    <t>David Johnson</t>
  </si>
  <si>
    <t>Matt Jones</t>
  </si>
  <si>
    <t>Andre Williams</t>
  </si>
  <si>
    <t>Lorenzo Taliaferro</t>
  </si>
  <si>
    <t>Dexter McCluster</t>
  </si>
  <si>
    <t>Tavon Austin</t>
  </si>
  <si>
    <t>Lance Dunbar</t>
  </si>
  <si>
    <t>DeAnthony Thomas</t>
  </si>
  <si>
    <t>Marqise Lee</t>
  </si>
  <si>
    <t>Branden Oliver</t>
  </si>
  <si>
    <t>Brandon Coleman</t>
  </si>
  <si>
    <t>Garrett Graham</t>
  </si>
  <si>
    <t>Jacob Tamme</t>
  </si>
  <si>
    <t>Rob Housler</t>
  </si>
  <si>
    <t>Andre Roberts</t>
  </si>
  <si>
    <t>Brent Celek</t>
  </si>
  <si>
    <t>Bilal Powell</t>
  </si>
  <si>
    <t>Phillip Dorsett</t>
  </si>
  <si>
    <t>Mohamed Sanu</t>
  </si>
  <si>
    <t>Giants</t>
  </si>
  <si>
    <t>Benny Cunningham</t>
  </si>
  <si>
    <t>Dolphins</t>
  </si>
  <si>
    <t>Damien Williams</t>
  </si>
  <si>
    <t>Theo Riddick</t>
  </si>
  <si>
    <t>Virgil Green</t>
  </si>
  <si>
    <t>Montee Ball</t>
  </si>
  <si>
    <t>Cordarrelle Patterson</t>
  </si>
  <si>
    <t>Cowboys</t>
  </si>
  <si>
    <t>James White</t>
  </si>
  <si>
    <t>Tyler Lockett</t>
  </si>
  <si>
    <t>Jacquizz Rodgers</t>
  </si>
  <si>
    <t>Buccaneers</t>
  </si>
  <si>
    <t>Rod Streater</t>
  </si>
  <si>
    <t>Jeff Janis</t>
  </si>
  <si>
    <t>Lance Kendricks</t>
  </si>
  <si>
    <t>Jaguars</t>
  </si>
  <si>
    <t>Philly Brown</t>
  </si>
  <si>
    <t>Danny Amendola</t>
  </si>
  <si>
    <t>Chris Johnson</t>
  </si>
  <si>
    <t>Harry Douglas</t>
  </si>
  <si>
    <t>Jets</t>
  </si>
  <si>
    <t>Robert Turbin</t>
  </si>
  <si>
    <t>Bears</t>
  </si>
  <si>
    <t>Dorial Green-Beckham</t>
  </si>
  <si>
    <t>Falcons</t>
  </si>
  <si>
    <t>Vikings</t>
  </si>
  <si>
    <t>Jarius Wright</t>
  </si>
  <si>
    <t>Khiry Robinson</t>
  </si>
  <si>
    <t>Andrew Quarless</t>
  </si>
  <si>
    <t>Steelers</t>
  </si>
  <si>
    <t>Andre Holmes</t>
  </si>
  <si>
    <t>Mike Tolbert</t>
  </si>
  <si>
    <t>Saints</t>
  </si>
  <si>
    <t>Titans</t>
  </si>
  <si>
    <t>Javorius Allen</t>
  </si>
  <si>
    <t>Marcedes Lewis</t>
  </si>
  <si>
    <t>Marcel Reece</t>
  </si>
  <si>
    <t>Cameron Artis-Payne</t>
  </si>
  <si>
    <t>Crockett Gillmore</t>
  </si>
  <si>
    <t>FA</t>
  </si>
  <si>
    <t>Jermaine Gresham</t>
  </si>
  <si>
    <t>Jaelen Strong</t>
  </si>
  <si>
    <t>Marquess Wilson</t>
  </si>
  <si>
    <t>Clive Walford</t>
  </si>
  <si>
    <t>Gavin Escobar</t>
  </si>
  <si>
    <t>Jay Ajayi</t>
  </si>
  <si>
    <t>Taylor Gabriel</t>
  </si>
  <si>
    <t>Ty Montgomery</t>
  </si>
  <si>
    <t>Chargers</t>
  </si>
  <si>
    <t>Jeremy Kerley</t>
  </si>
  <si>
    <t>Kevin White</t>
  </si>
  <si>
    <t>Justin Hunter</t>
  </si>
  <si>
    <t>Albert Wilson</t>
  </si>
  <si>
    <t>Matt Asiata</t>
  </si>
  <si>
    <t>Dion Sims</t>
  </si>
  <si>
    <t>Mike Williams</t>
  </si>
  <si>
    <t>Jonathan Grimes</t>
  </si>
  <si>
    <t>Raiders</t>
  </si>
  <si>
    <t>Luke Willson</t>
  </si>
  <si>
    <t>Brandon Bolden</t>
  </si>
  <si>
    <t>Chris Conley</t>
  </si>
  <si>
    <t>Travaris Cadet</t>
  </si>
  <si>
    <t>Marlon Brown</t>
  </si>
  <si>
    <t>Levine Toilolo</t>
  </si>
  <si>
    <t>Kamar Aiken</t>
  </si>
  <si>
    <t>Troy Niklas</t>
  </si>
  <si>
    <t>Justin Hardy</t>
  </si>
  <si>
    <t>Kyle Juszczyk</t>
  </si>
  <si>
    <t>Darren Fells</t>
  </si>
  <si>
    <t>Fozzy Whittaker</t>
  </si>
  <si>
    <t>Anthony Fasano</t>
  </si>
  <si>
    <t>Christine Michael</t>
  </si>
  <si>
    <t>Josh McCown</t>
  </si>
  <si>
    <t>Juwan Thompson</t>
  </si>
  <si>
    <t>Ed Dickson</t>
  </si>
  <si>
    <t>Jeremy Langford</t>
  </si>
  <si>
    <t>Jordy Nelson</t>
  </si>
  <si>
    <t>Stepfan Taylor</t>
  </si>
  <si>
    <t>Daniel Fells</t>
  </si>
  <si>
    <t>Jordan Todman</t>
  </si>
  <si>
    <t>Derek Carrier</t>
  </si>
  <si>
    <t>Darrel Young</t>
  </si>
  <si>
    <t>Tyler Kroft</t>
  </si>
  <si>
    <t>Dennis Pitta</t>
  </si>
  <si>
    <t>C.J. Fiedorowicz</t>
  </si>
  <si>
    <t>Tim Wright</t>
  </si>
  <si>
    <t>KaDeem Carey</t>
  </si>
  <si>
    <t>Josh Huff</t>
  </si>
  <si>
    <t>Redskins</t>
  </si>
  <si>
    <t>Kelvin Benjamin</t>
  </si>
  <si>
    <t>Thomas Rawls</t>
  </si>
  <si>
    <t>John Kuhn</t>
  </si>
  <si>
    <t>Mike Davis</t>
  </si>
  <si>
    <t>James OShaughnessy</t>
  </si>
  <si>
    <t>Anthony Sherman</t>
  </si>
  <si>
    <t>Chris Matthews</t>
  </si>
  <si>
    <t>Ted Ginn</t>
  </si>
  <si>
    <t>Steven Jackson</t>
  </si>
  <si>
    <t>Corey Fuller</t>
  </si>
  <si>
    <t>Chris Thompson</t>
  </si>
  <si>
    <t>Chris Hogan</t>
  </si>
  <si>
    <t>Rhett Ellison</t>
  </si>
  <si>
    <t>Bernard Pierce</t>
  </si>
  <si>
    <t>MyCole Pruitt</t>
  </si>
  <si>
    <t>Kerwynn Williams</t>
  </si>
  <si>
    <t>James Develin</t>
  </si>
  <si>
    <t>Jamison Crowder</t>
  </si>
  <si>
    <t>Rex Burkhead</t>
  </si>
  <si>
    <t>Demetrius Harris</t>
  </si>
  <si>
    <t>Jesse James</t>
  </si>
  <si>
    <t>Jalston Fowler</t>
  </si>
  <si>
    <t>Aaron Dobson</t>
  </si>
  <si>
    <t>Bruce Ellington</t>
  </si>
  <si>
    <t>Sammie Coates</t>
  </si>
  <si>
    <t>Jerome Felton</t>
  </si>
  <si>
    <t>Joe Banyard</t>
  </si>
  <si>
    <t>Jaron Brown</t>
  </si>
  <si>
    <t>Quinton Patton</t>
  </si>
  <si>
    <t>Jack Doyle</t>
  </si>
  <si>
    <t>Storm Johnson</t>
  </si>
  <si>
    <t>Zach Miller</t>
  </si>
  <si>
    <t>Patrick DiMarco</t>
  </si>
  <si>
    <t>Will Johnson</t>
  </si>
  <si>
    <t>MarQueis Gray</t>
  </si>
  <si>
    <t>Vance McDonald</t>
  </si>
  <si>
    <t>Jeff Heuerman</t>
  </si>
  <si>
    <t>Preston Parker</t>
  </si>
  <si>
    <t>Ryan Griffin</t>
  </si>
  <si>
    <t>Clay Harbor</t>
  </si>
  <si>
    <t>Zach Line</t>
  </si>
  <si>
    <t>Jeremy Ross</t>
  </si>
  <si>
    <t>Jay Prosch</t>
  </si>
  <si>
    <t>Niles Paul</t>
  </si>
  <si>
    <t>Ryan Hewitt</t>
  </si>
  <si>
    <t>Mike James</t>
  </si>
  <si>
    <t>Antonio Andrews</t>
  </si>
  <si>
    <t>Brandon Gibson</t>
  </si>
  <si>
    <t>Michael Burton</t>
  </si>
  <si>
    <t>George Winn</t>
  </si>
  <si>
    <t>Charcandrick West</t>
  </si>
  <si>
    <t>Lee Smith</t>
  </si>
  <si>
    <t>Orleans Darkwa</t>
  </si>
  <si>
    <t>Michael Campanaro</t>
  </si>
  <si>
    <t>Paul Richardson</t>
  </si>
  <si>
    <t>Fitzgerald Toussaint</t>
  </si>
  <si>
    <t>DuJuan Harris</t>
  </si>
  <si>
    <t>Chris Gragg</t>
  </si>
  <si>
    <t>John Crockett</t>
  </si>
  <si>
    <t>Spencer Ware</t>
  </si>
  <si>
    <t>Cedric Peerman</t>
  </si>
  <si>
    <t>Silas Redd</t>
  </si>
  <si>
    <t>Cyrus Gray</t>
  </si>
  <si>
    <t>Zach Zenner</t>
  </si>
  <si>
    <t>Dion Lewis</t>
  </si>
  <si>
    <t>Marcus Murphy</t>
  </si>
  <si>
    <t>Blake Bell</t>
  </si>
  <si>
    <t>Kenny Bell</t>
  </si>
  <si>
    <t>Taiwan Jones</t>
  </si>
  <si>
    <t>Rashad Greene</t>
  </si>
  <si>
    <t>Shaun Draughn</t>
  </si>
  <si>
    <t>Logan Paulsen</t>
  </si>
  <si>
    <t>Randall Telfer</t>
  </si>
  <si>
    <t>Michael Hoomanawanui</t>
  </si>
  <si>
    <t>Tim Hightower</t>
  </si>
  <si>
    <t>Nick OLeary</t>
  </si>
  <si>
    <t>Jamize Olawale</t>
  </si>
  <si>
    <t>Dontrelle Inman</t>
  </si>
  <si>
    <t>James Hanna</t>
  </si>
  <si>
    <t>Senorise Perry</t>
  </si>
  <si>
    <t>John Phillips</t>
  </si>
  <si>
    <t>Malcolm Brown</t>
  </si>
  <si>
    <t>Cooper Helfet</t>
  </si>
  <si>
    <t>Kenjon Barner</t>
  </si>
  <si>
    <t>Mike Gillislee</t>
  </si>
  <si>
    <t>Vince Mayle</t>
  </si>
  <si>
    <t>Corey Grant</t>
  </si>
  <si>
    <t>Brian Hoyer</t>
  </si>
  <si>
    <t>Cory Harkey</t>
  </si>
  <si>
    <t>Aaron Ripkowski</t>
  </si>
  <si>
    <t>Glenn Winston</t>
  </si>
  <si>
    <t>Travis Benjamin</t>
  </si>
  <si>
    <t>Luke Stocker</t>
  </si>
  <si>
    <t>Will Tukuafu</t>
  </si>
  <si>
    <t>George Atkinson</t>
  </si>
  <si>
    <t>Kapri Bibbs</t>
  </si>
  <si>
    <t>Tyler Varga</t>
  </si>
  <si>
    <t>Akeem Hunt</t>
  </si>
  <si>
    <t>Nick Boyle</t>
  </si>
  <si>
    <t>C.J. Uzomah</t>
  </si>
  <si>
    <t>Brandon Tate</t>
  </si>
  <si>
    <t>Trey Burton</t>
  </si>
  <si>
    <t>Devin Street</t>
  </si>
  <si>
    <t>Rishard Matthews</t>
  </si>
  <si>
    <t>Garrett Celek</t>
  </si>
  <si>
    <t>Brandon McManus</t>
  </si>
  <si>
    <t>Bear Pascoe</t>
  </si>
  <si>
    <t>Ryan Grant</t>
  </si>
  <si>
    <t>A.J. Derby</t>
  </si>
  <si>
    <t>Brandon Williams</t>
  </si>
  <si>
    <t>Geoff Swaim</t>
  </si>
  <si>
    <t>Ben Koyack</t>
  </si>
  <si>
    <t>Brandon Bostick</t>
  </si>
  <si>
    <t>Orson Charles</t>
  </si>
  <si>
    <t>Phillip Supernaw</t>
  </si>
  <si>
    <t>Matt Cassel</t>
  </si>
  <si>
    <t>Andrew Franks</t>
  </si>
  <si>
    <t>Josh Lambo</t>
  </si>
  <si>
    <t>Brice Butler</t>
  </si>
  <si>
    <t>Stefon Diggs</t>
  </si>
  <si>
    <t>Wes Saxton</t>
  </si>
  <si>
    <t>Asante Cleveland</t>
  </si>
  <si>
    <t>Marcel Jensen</t>
  </si>
  <si>
    <t>Clark Harris</t>
  </si>
  <si>
    <t>Matthew Mulligan</t>
  </si>
  <si>
    <t>Erik Swoope</t>
  </si>
  <si>
    <t>Darren Waller</t>
  </si>
  <si>
    <t>Dwayne Harris</t>
  </si>
  <si>
    <t>Marquise Goodwin</t>
  </si>
  <si>
    <t>Ryan Fitzpatrick</t>
  </si>
  <si>
    <t>Kevin Norwood</t>
  </si>
  <si>
    <t>Keith Mumphery</t>
  </si>
  <si>
    <t>DeAndre Smelter</t>
  </si>
  <si>
    <t>J.J. Nelson</t>
  </si>
  <si>
    <t>Brenton Bersin</t>
  </si>
  <si>
    <t>Tre McBride</t>
  </si>
  <si>
    <t>Adam Thielen</t>
  </si>
  <si>
    <t>Chris Owusu</t>
  </si>
  <si>
    <t>Tavarres King</t>
  </si>
  <si>
    <t>Russell Shepard</t>
  </si>
  <si>
    <t>Aldrick Robinson</t>
  </si>
  <si>
    <t>Keshawn Martin</t>
  </si>
  <si>
    <t>Darrius Heyward-Bey</t>
  </si>
  <si>
    <t>Jared Abbrederis</t>
  </si>
  <si>
    <t>Dezmin Lewis</t>
  </si>
  <si>
    <t>Geremy Davis</t>
  </si>
  <si>
    <t>Marcus Easley</t>
  </si>
  <si>
    <t>Quincy Enunwa</t>
  </si>
  <si>
    <t>Neal Sterling</t>
  </si>
  <si>
    <t>Jordan Taylor</t>
  </si>
  <si>
    <t>Walt Powell</t>
  </si>
  <si>
    <t>Mario Alford</t>
  </si>
  <si>
    <t>Arrelious Benn</t>
  </si>
  <si>
    <t>Marc Mariani</t>
  </si>
  <si>
    <t>Seyi Ajirotutu</t>
  </si>
  <si>
    <t>Deonte Thompson</t>
  </si>
  <si>
    <t>Frankie Hammond</t>
  </si>
  <si>
    <t>Josh Bellamy</t>
  </si>
  <si>
    <t>Isaiah Burse</t>
  </si>
  <si>
    <t>Matt Hazel</t>
  </si>
  <si>
    <t>James Wright</t>
  </si>
  <si>
    <t>Jeremy Butler</t>
  </si>
  <si>
    <t>Tyrell Williams</t>
  </si>
  <si>
    <t>Matthew Slater</t>
  </si>
  <si>
    <t>Bryan Walters</t>
  </si>
  <si>
    <t>Josh Gordon</t>
  </si>
  <si>
    <t>Cobi Hamilton</t>
  </si>
  <si>
    <t>T.J. Jones</t>
  </si>
  <si>
    <t>Bennie Fowler</t>
  </si>
  <si>
    <t>Freddie Martino</t>
  </si>
  <si>
    <t>R.J. Harris</t>
  </si>
  <si>
    <t>Geno Smith</t>
  </si>
  <si>
    <t>Jimmy Garoppolo</t>
  </si>
  <si>
    <t>Tyrod Taylor</t>
  </si>
  <si>
    <t>Ryan Mallett</t>
  </si>
  <si>
    <t>Mark Sanchez</t>
  </si>
  <si>
    <t>Kirk Cousins</t>
  </si>
  <si>
    <t>EJ Manuel</t>
  </si>
  <si>
    <t>Drew Stanton</t>
  </si>
  <si>
    <t>Zach Mettenberger</t>
  </si>
  <si>
    <t>Chad Henne</t>
  </si>
  <si>
    <t>Shaun Hill</t>
  </si>
  <si>
    <t>Mike Glennon</t>
  </si>
  <si>
    <t>Derek Anderson</t>
  </si>
  <si>
    <t>Brandon Weeden</t>
  </si>
  <si>
    <t>Colt McCoy</t>
  </si>
  <si>
    <t>Blaine Gabbert</t>
  </si>
  <si>
    <t>Scott Tolzien</t>
  </si>
  <si>
    <t>Bryce Petty</t>
  </si>
  <si>
    <t>Matt McGloin</t>
  </si>
  <si>
    <t>Brock Osweiler</t>
  </si>
  <si>
    <t>Kellen Clemens</t>
  </si>
  <si>
    <t>Bruce Gradkowski</t>
  </si>
  <si>
    <t>Chase Daniel</t>
  </si>
  <si>
    <t>Kellen Moore</t>
  </si>
  <si>
    <t>Tom Savage</t>
  </si>
  <si>
    <t>Case Keenum</t>
  </si>
  <si>
    <t>Matt Barkley</t>
  </si>
  <si>
    <t>Matt Schaub</t>
  </si>
  <si>
    <t>Garrett Grayson</t>
  </si>
  <si>
    <t>T.J. Yates</t>
  </si>
  <si>
    <t>Logan Thomas</t>
  </si>
  <si>
    <t>Sean Mannion</t>
  </si>
  <si>
    <t>Matt Moore</t>
  </si>
  <si>
    <t>Brett Hundley</t>
  </si>
  <si>
    <t>Matt Flynn</t>
  </si>
  <si>
    <t>AJ McCarron</t>
  </si>
  <si>
    <t>Dan Orlovsky</t>
  </si>
  <si>
    <t>Connor Shaw</t>
  </si>
  <si>
    <t>Joe Webb</t>
  </si>
  <si>
    <t>Landry Jones</t>
  </si>
  <si>
    <t>Tyler Bray</t>
  </si>
  <si>
    <t>David Fales</t>
  </si>
  <si>
    <t>Trevor Siemian</t>
  </si>
  <si>
    <t>Pick by Team</t>
  </si>
  <si>
    <t>Buyer</t>
  </si>
  <si>
    <t>Price</t>
  </si>
  <si>
    <t>Caller</t>
  </si>
  <si>
    <t>Fair</t>
  </si>
  <si>
    <t>Johanson</t>
  </si>
  <si>
    <t>Taylor</t>
  </si>
  <si>
    <t>Tipps</t>
  </si>
  <si>
    <t>Pollard</t>
  </si>
  <si>
    <t>Crouch</t>
  </si>
  <si>
    <t>Smith</t>
  </si>
  <si>
    <t>Kelso</t>
  </si>
  <si>
    <t>Best</t>
  </si>
  <si>
    <t>Drennon</t>
  </si>
  <si>
    <t>BYE</t>
  </si>
  <si>
    <t>B</t>
  </si>
  <si>
    <t>QB1</t>
  </si>
  <si>
    <t>QB2</t>
  </si>
  <si>
    <t>RB1</t>
  </si>
  <si>
    <t>RB2</t>
  </si>
  <si>
    <t>WR1</t>
  </si>
  <si>
    <t>WR2</t>
  </si>
  <si>
    <t>TE1</t>
  </si>
  <si>
    <t>F1</t>
  </si>
  <si>
    <t>DST1</t>
  </si>
  <si>
    <t>K1</t>
  </si>
  <si>
    <t>B1</t>
  </si>
  <si>
    <t>B2</t>
  </si>
  <si>
    <t>B3</t>
  </si>
  <si>
    <t>B4</t>
  </si>
  <si>
    <t>B5</t>
  </si>
  <si>
    <t>B6</t>
  </si>
  <si>
    <t>Number of Teams</t>
  </si>
  <si>
    <t>League Cap</t>
  </si>
  <si>
    <t>Cap Reserved for Bench</t>
  </si>
  <si>
    <t>DL</t>
  </si>
  <si>
    <t>LB</t>
  </si>
  <si>
    <t>DB</t>
  </si>
  <si>
    <t>WR/TE</t>
  </si>
  <si>
    <t>WR/RB</t>
  </si>
  <si>
    <t>WR/RB/TE</t>
  </si>
  <si>
    <t>QB/WR/RB/TE</t>
  </si>
  <si>
    <t>DL/LB/DB</t>
  </si>
  <si>
    <t>Low Rank</t>
  </si>
  <si>
    <t>VOR Baseline</t>
  </si>
  <si>
    <t>Calculation Type</t>
  </si>
  <si>
    <t>Passing Yards (pts/yd)</t>
  </si>
  <si>
    <t>per</t>
  </si>
  <si>
    <t>Passing Attempts</t>
  </si>
  <si>
    <t>Passing Completions</t>
  </si>
  <si>
    <t>Passing Incompletions</t>
  </si>
  <si>
    <t>Passing TDs</t>
  </si>
  <si>
    <t>Passing Ints</t>
  </si>
  <si>
    <t>Pass of 40+yd</t>
  </si>
  <si>
    <t>Passing 300yd Bonus</t>
  </si>
  <si>
    <t>Rushing Yards (pts/yd)</t>
  </si>
  <si>
    <t>Rush of 40+yd</t>
  </si>
  <si>
    <t>Rushing TDs</t>
  </si>
  <si>
    <t>Two Points</t>
  </si>
  <si>
    <t>Fumbles</t>
  </si>
  <si>
    <t>Rushing 100yd Bonus</t>
  </si>
  <si>
    <t>Reception</t>
  </si>
  <si>
    <t>Receiving Yards (pts/yd)</t>
  </si>
  <si>
    <t>Receiving TDs</t>
  </si>
  <si>
    <t>Reception of 40+yd</t>
  </si>
  <si>
    <t>Return TDs</t>
  </si>
  <si>
    <t>Receptions</t>
  </si>
  <si>
    <t>Receiving 100yd Bonus</t>
  </si>
  <si>
    <t>Reception Yards (pts/yd)</t>
  </si>
  <si>
    <t>Extra Points</t>
  </si>
  <si>
    <t>Field Goal 0-19</t>
  </si>
  <si>
    <t>Field Goal 20-29</t>
  </si>
  <si>
    <t>Field Goal 30-39</t>
  </si>
  <si>
    <t>Field Goal 40-49</t>
  </si>
  <si>
    <t>Field Goal 50+</t>
  </si>
  <si>
    <t>Fumble Recovery</t>
  </si>
  <si>
    <t>Interception</t>
  </si>
  <si>
    <t>Safety</t>
  </si>
  <si>
    <t>Sack</t>
  </si>
  <si>
    <t>Touchdown</t>
  </si>
  <si>
    <t>Blocked Kick</t>
  </si>
  <si>
    <t>Return Yds (pts/yd)</t>
  </si>
  <si>
    <t>Points Allowed</t>
  </si>
  <si>
    <t>Bench</t>
  </si>
  <si>
    <t>AVG</t>
  </si>
  <si>
    <t>Weighted</t>
  </si>
  <si>
    <t>FG 0-39 Miss</t>
  </si>
  <si>
    <t>Extra Point Miss</t>
  </si>
  <si>
    <t>FG 50+ Miss</t>
  </si>
  <si>
    <t>FG 40-49 Miss</t>
  </si>
  <si>
    <t>Yds Allowed</t>
  </si>
  <si>
    <t>1-6</t>
  </si>
  <si>
    <t>7-13</t>
  </si>
  <si>
    <t>14-17</t>
  </si>
  <si>
    <t>0</t>
  </si>
  <si>
    <t>+46</t>
  </si>
  <si>
    <t>18-21</t>
  </si>
  <si>
    <t>28-34</t>
  </si>
  <si>
    <t>35-45</t>
  </si>
  <si>
    <t>22-27</t>
  </si>
  <si>
    <t>0-100</t>
  </si>
  <si>
    <t>100-200</t>
  </si>
  <si>
    <t>200-300</t>
  </si>
  <si>
    <t>In</t>
  </si>
  <si>
    <t>Players</t>
  </si>
  <si>
    <t>Salary Cap</t>
  </si>
  <si>
    <t>Score</t>
  </si>
  <si>
    <t>Bench Cap</t>
  </si>
  <si>
    <t>Points Available</t>
  </si>
  <si>
    <t>Starter Points</t>
  </si>
  <si>
    <t>Multiplier</t>
  </si>
  <si>
    <t>Your Team</t>
  </si>
  <si>
    <t>Total</t>
  </si>
  <si>
    <t>Current Week</t>
  </si>
  <si>
    <t>Playoff Weeks</t>
  </si>
  <si>
    <t>Actual</t>
  </si>
  <si>
    <t>Projected</t>
  </si>
  <si>
    <t>TEAM</t>
  </si>
  <si>
    <t>@CHI</t>
  </si>
  <si>
    <t>@DET</t>
  </si>
  <si>
    <t>@PIT</t>
  </si>
  <si>
    <t>@CLE</t>
  </si>
  <si>
    <t>@SEA</t>
  </si>
  <si>
    <t>@SF</t>
  </si>
  <si>
    <t>@PHI</t>
  </si>
  <si>
    <t>@NYG</t>
  </si>
  <si>
    <t>@DAL</t>
  </si>
  <si>
    <t>WSH</t>
  </si>
  <si>
    <t>@NO</t>
  </si>
  <si>
    <t>@TEN</t>
  </si>
  <si>
    <t>@TB</t>
  </si>
  <si>
    <t>@CAR</t>
  </si>
  <si>
    <t>@JAX</t>
  </si>
  <si>
    <t>@DEN</t>
  </si>
  <si>
    <t>@OAK</t>
  </si>
  <si>
    <t>@ARI</t>
  </si>
  <si>
    <t>JAX</t>
  </si>
  <si>
    <t>@MIA</t>
  </si>
  <si>
    <t>@CIN</t>
  </si>
  <si>
    <t>@NYJ</t>
  </si>
  <si>
    <t>@NE</t>
  </si>
  <si>
    <t>@KC</t>
  </si>
  <si>
    <t>@WSH</t>
  </si>
  <si>
    <t>@ATL</t>
  </si>
  <si>
    <t>@GB</t>
  </si>
  <si>
    <t>@MIN</t>
  </si>
  <si>
    <t>@BAL</t>
  </si>
  <si>
    <t>@BUF</t>
  </si>
  <si>
    <t>@IND</t>
  </si>
  <si>
    <t>@HOU</t>
  </si>
  <si>
    <t>Starters</t>
  </si>
  <si>
    <t>High Rank</t>
  </si>
  <si>
    <t>Minimum Bid</t>
  </si>
  <si>
    <t>Bye</t>
  </si>
  <si>
    <t>Regular Season Weeks</t>
  </si>
  <si>
    <t>Post Draft</t>
  </si>
  <si>
    <t>1) Update Transactions</t>
  </si>
  <si>
    <t>2) Analyze Potential Trades</t>
  </si>
  <si>
    <t>Pre Draft</t>
  </si>
  <si>
    <t>Average Auction Value</t>
  </si>
  <si>
    <t>Calc</t>
  </si>
  <si>
    <t>Max Bid</t>
  </si>
  <si>
    <t>Base</t>
  </si>
  <si>
    <t>Draft Order</t>
  </si>
  <si>
    <t>.</t>
  </si>
  <si>
    <t>$'s</t>
  </si>
  <si>
    <t>SUBMIT BUTTON</t>
  </si>
  <si>
    <t>UNDO BUTTON</t>
  </si>
  <si>
    <t>Value</t>
  </si>
  <si>
    <t>% Value</t>
  </si>
  <si>
    <t>VOR2</t>
  </si>
  <si>
    <t>(Select Buyer)</t>
  </si>
  <si>
    <t>ADP</t>
  </si>
  <si>
    <t>FFA</t>
  </si>
  <si>
    <t>Test 2</t>
  </si>
  <si>
    <t>2) Input League Settings</t>
  </si>
  <si>
    <t>5) Submit results of auction as they are available</t>
  </si>
  <si>
    <t>Optimal</t>
  </si>
  <si>
    <t>Ezekiel Elliott</t>
  </si>
  <si>
    <t>Corey Coleman</t>
  </si>
  <si>
    <t>Willie Snead</t>
  </si>
  <si>
    <t>Sterling Shepard</t>
  </si>
  <si>
    <t>Chris Boswell</t>
  </si>
  <si>
    <t>Laquon Treadwell</t>
  </si>
  <si>
    <t>Will Tye</t>
  </si>
  <si>
    <t>Will Fuller</t>
  </si>
  <si>
    <t>Michael Thomas</t>
  </si>
  <si>
    <t>Josh Doctson</t>
  </si>
  <si>
    <t>Jason Myers</t>
  </si>
  <si>
    <t>Tyler Boyd</t>
  </si>
  <si>
    <t>Roberto Aguayo</t>
  </si>
  <si>
    <t>C.J. Prosise</t>
  </si>
  <si>
    <t>Kenyan Drake</t>
  </si>
  <si>
    <t>Jordan Howard</t>
  </si>
  <si>
    <t>Derrick Henry</t>
  </si>
  <si>
    <t>Seth Roberts</t>
  </si>
  <si>
    <t>Devontae Booker</t>
  </si>
  <si>
    <t>Braxton Miller</t>
  </si>
  <si>
    <t>Rashard Higgins</t>
  </si>
  <si>
    <t>Kenneth Dixon</t>
  </si>
  <si>
    <t>Jared Goff</t>
  </si>
  <si>
    <t>DeAndre Washington</t>
  </si>
  <si>
    <t>Tyler Ervin</t>
  </si>
  <si>
    <t>Wendell Smallwood</t>
  </si>
  <si>
    <t>Pharoh Cooper</t>
  </si>
  <si>
    <t>Leonte Carroo</t>
  </si>
  <si>
    <t>Ricardo Louis</t>
  </si>
  <si>
    <t>Adam Humphries</t>
  </si>
  <si>
    <t>Paul Perkins</t>
  </si>
  <si>
    <t>Malcolm Mitchell</t>
  </si>
  <si>
    <t>Cameron Brate</t>
  </si>
  <si>
    <t>Hunter Henry</t>
  </si>
  <si>
    <t>Nick Williams</t>
  </si>
  <si>
    <t>Jordan Norwood</t>
  </si>
  <si>
    <t>Austin Hooper</t>
  </si>
  <si>
    <t>Tyler Higbee</t>
  </si>
  <si>
    <t>Terron Ward</t>
  </si>
  <si>
    <t>Chris Moore</t>
  </si>
  <si>
    <t>Javontee Herndon</t>
  </si>
  <si>
    <t>Donteea Dye</t>
  </si>
  <si>
    <t>Demarcus Robinson</t>
  </si>
  <si>
    <t>Alex Collins</t>
  </si>
  <si>
    <t>Quan Bray</t>
  </si>
  <si>
    <t>Jonathan Williams</t>
  </si>
  <si>
    <t>Cameron Meredith</t>
  </si>
  <si>
    <t>Gus Johnson</t>
  </si>
  <si>
    <t>Bradley Marquez</t>
  </si>
  <si>
    <t>Nick Vannett</t>
  </si>
  <si>
    <t>Kevin Smith</t>
  </si>
  <si>
    <t>Khari Lee</t>
  </si>
  <si>
    <t>Jake Stoneburner</t>
  </si>
  <si>
    <t>Raheem Mostert</t>
  </si>
  <si>
    <t>Mike Thomas</t>
  </si>
  <si>
    <t>Brittan Golden</t>
  </si>
  <si>
    <t>Matt LaCosse</t>
  </si>
  <si>
    <t>Chris Pantale</t>
  </si>
  <si>
    <t>Paxton Lynch</t>
  </si>
  <si>
    <t>Carson Wentz</t>
  </si>
  <si>
    <t>Cody Kessler</t>
  </si>
  <si>
    <t>Jacoby Brissett</t>
  </si>
  <si>
    <t>Christian Hackenberg</t>
  </si>
  <si>
    <t>Sean Renfree</t>
  </si>
  <si>
    <t>Vor-1</t>
  </si>
  <si>
    <t>VOR+1</t>
  </si>
  <si>
    <t>Mission</t>
  </si>
  <si>
    <t>Max</t>
  </si>
  <si>
    <t>Diff</t>
  </si>
  <si>
    <t>BUTA</t>
  </si>
  <si>
    <t>Tajae Sharpe</t>
  </si>
  <si>
    <t>Rod Smith</t>
  </si>
  <si>
    <t>Roosevelt Nix</t>
  </si>
  <si>
    <t>Nikita Whitlock</t>
  </si>
  <si>
    <t>Lucky Whitehead</t>
  </si>
  <si>
    <t>Tyreek Hill</t>
  </si>
  <si>
    <t>Jordan Payton</t>
  </si>
  <si>
    <t>Sean McGrath</t>
  </si>
  <si>
    <t>Xavier Grimble</t>
  </si>
  <si>
    <t>Tyler Murphy</t>
  </si>
  <si>
    <t>Eli Rogers</t>
  </si>
  <si>
    <t>Trevor Davis</t>
  </si>
  <si>
    <t>Dak Prescott</t>
  </si>
  <si>
    <t>Cardale Jones</t>
  </si>
  <si>
    <t>Kevin Hogan</t>
  </si>
  <si>
    <t>Connor Cook</t>
  </si>
  <si>
    <t>Hide</t>
  </si>
  <si>
    <t>(Enter Player)</t>
  </si>
  <si>
    <t>Ari</t>
  </si>
  <si>
    <t>Bal</t>
  </si>
  <si>
    <t>Cin</t>
  </si>
  <si>
    <t>Min</t>
  </si>
  <si>
    <t>Sea</t>
  </si>
  <si>
    <t>Atl</t>
  </si>
  <si>
    <t>Phi</t>
  </si>
  <si>
    <t>Hou</t>
  </si>
  <si>
    <t>Was</t>
  </si>
  <si>
    <t>Ind</t>
  </si>
  <si>
    <t>Car</t>
  </si>
  <si>
    <t>Cle</t>
  </si>
  <si>
    <t>Jac</t>
  </si>
  <si>
    <t>Pit</t>
  </si>
  <si>
    <t>Buf</t>
  </si>
  <si>
    <t>Mia</t>
  </si>
  <si>
    <t>Dal</t>
  </si>
  <si>
    <t>Chi</t>
  </si>
  <si>
    <t>Oak</t>
  </si>
  <si>
    <t>Den</t>
  </si>
  <si>
    <t>Det</t>
  </si>
  <si>
    <t>Ten</t>
  </si>
  <si>
    <t>http://espn.go.com/nfl/schedulegrid</t>
  </si>
  <si>
    <t>Keith Marshall</t>
  </si>
  <si>
    <t>Josh Ferguson</t>
  </si>
  <si>
    <t>Peyton Barber</t>
  </si>
  <si>
    <t>Kasen Williams</t>
  </si>
  <si>
    <t>Draft Center</t>
  </si>
  <si>
    <t>Use VOR to exploit inefficiencies in the player market while minimizing risk</t>
  </si>
  <si>
    <t>Bench Overage</t>
  </si>
  <si>
    <t>Forfeited $</t>
  </si>
  <si>
    <t>MAX</t>
  </si>
  <si>
    <t>MAX BID</t>
  </si>
  <si>
    <t>$'s Spent</t>
  </si>
  <si>
    <t>$ Value</t>
  </si>
  <si>
    <t>$'s Saved</t>
  </si>
  <si>
    <t>% Saved</t>
  </si>
  <si>
    <t>%</t>
  </si>
  <si>
    <t>Terrell Watson</t>
  </si>
  <si>
    <t>FLEX</t>
  </si>
  <si>
    <t>Thomas Duarte</t>
  </si>
  <si>
    <t>Jerell Adams</t>
  </si>
  <si>
    <t>Kolby Listenbee</t>
  </si>
  <si>
    <t>Dwayne Washington</t>
  </si>
  <si>
    <t>Daniel Lasco</t>
  </si>
  <si>
    <t>Daniel Braverman</t>
  </si>
  <si>
    <t>Charone Peake</t>
  </si>
  <si>
    <t>Mack Brown</t>
  </si>
  <si>
    <t>Kenny Lawler</t>
  </si>
  <si>
    <t>Roger Lewis</t>
  </si>
  <si>
    <t>Jakeem Grant</t>
  </si>
  <si>
    <t>Aaron Burbridge</t>
  </si>
  <si>
    <t>Cody Core</t>
  </si>
  <si>
    <t>Andy Jones</t>
  </si>
  <si>
    <t>Jalin Marshall</t>
  </si>
  <si>
    <t>Keyarris Garrett</t>
  </si>
  <si>
    <t>Terrelle Pryor</t>
  </si>
  <si>
    <t>Ifeanyi Momah</t>
  </si>
  <si>
    <t>Malcolm Johnson</t>
  </si>
  <si>
    <t>Overbid</t>
  </si>
  <si>
    <t>Underbid</t>
  </si>
  <si>
    <t>Diff%</t>
  </si>
  <si>
    <t>P/$</t>
  </si>
  <si>
    <t>Position</t>
  </si>
  <si>
    <t>Order Points</t>
  </si>
  <si>
    <t>Position Rank</t>
  </si>
  <si>
    <t>Flex</t>
  </si>
  <si>
    <t>Flex Rank</t>
  </si>
  <si>
    <t>Bench Rank</t>
  </si>
  <si>
    <t>Player by Points</t>
  </si>
  <si>
    <t>10%+/-</t>
  </si>
  <si>
    <t>Team 4</t>
  </si>
  <si>
    <t>Team 5</t>
  </si>
  <si>
    <t>Team 6</t>
  </si>
  <si>
    <t>Team 7</t>
  </si>
  <si>
    <t>Team 8</t>
  </si>
  <si>
    <t>Team 9</t>
  </si>
  <si>
    <t>Antone Smith</t>
  </si>
  <si>
    <t>ESPN</t>
  </si>
  <si>
    <t>Yahoo</t>
  </si>
  <si>
    <t>4) Click Update (May take several seconds); Bid Accordingly</t>
  </si>
  <si>
    <t>Input</t>
  </si>
  <si>
    <t>1) Pull Projections, Schedule/Bye Weeks</t>
  </si>
  <si>
    <t>@LAR</t>
  </si>
  <si>
    <t>LAR</t>
  </si>
  <si>
    <t>@LAC</t>
  </si>
  <si>
    <t>LAC</t>
  </si>
  <si>
    <t>Christian McCaffrey</t>
  </si>
  <si>
    <t>Joe Mixon</t>
  </si>
  <si>
    <t>Dalvin Cook</t>
  </si>
  <si>
    <t>Wil Lutz</t>
  </si>
  <si>
    <t>Rob Kelley</t>
  </si>
  <si>
    <t>O.J. Howard</t>
  </si>
  <si>
    <t>Aldrick Rosas</t>
  </si>
  <si>
    <t>Corey Davis</t>
  </si>
  <si>
    <t>David Njoku</t>
  </si>
  <si>
    <t>Evan Engram</t>
  </si>
  <si>
    <t>John Ross</t>
  </si>
  <si>
    <t>Alvin Kamara</t>
  </si>
  <si>
    <t>Jalen Richard</t>
  </si>
  <si>
    <t>Samaje Perine</t>
  </si>
  <si>
    <t>Kareem Hunt</t>
  </si>
  <si>
    <t>Dominique Jones</t>
  </si>
  <si>
    <t>Zay Jones</t>
  </si>
  <si>
    <t>Curtis Samuel</t>
  </si>
  <si>
    <t>Chad Williams</t>
  </si>
  <si>
    <t>Jake Elliott</t>
  </si>
  <si>
    <t>Jamaal Williams</t>
  </si>
  <si>
    <t>Zane Gonzalez</t>
  </si>
  <si>
    <t>Marlon Mack</t>
  </si>
  <si>
    <t>Seth DeValve</t>
  </si>
  <si>
    <t>Gerald Everett</t>
  </si>
  <si>
    <t>Robby Anderson</t>
  </si>
  <si>
    <t>Joe Williams</t>
  </si>
  <si>
    <t>DOnta Foreman</t>
  </si>
  <si>
    <t>Wayne Gallman</t>
  </si>
  <si>
    <t>Cooper Kupp</t>
  </si>
  <si>
    <t>Tarik Cohen</t>
  </si>
  <si>
    <t>James Conner</t>
  </si>
  <si>
    <t>Taywan Taylor</t>
  </si>
  <si>
    <t>T.J. Logan</t>
  </si>
  <si>
    <t>Elijah McGuire</t>
  </si>
  <si>
    <t>Kenny Golladay</t>
  </si>
  <si>
    <t>Stephen Anderson</t>
  </si>
  <si>
    <t>Jake Butt</t>
  </si>
  <si>
    <t>Jonnu Smith</t>
  </si>
  <si>
    <t>Aaron Jones</t>
  </si>
  <si>
    <t>Geronimo Allison</t>
  </si>
  <si>
    <t>Carlos Henderson</t>
  </si>
  <si>
    <t>Andy Janovich</t>
  </si>
  <si>
    <t>JuJu Smith-Schuster</t>
  </si>
  <si>
    <t>Jordan Leggett</t>
  </si>
  <si>
    <t>George Kittle</t>
  </si>
  <si>
    <t>Brian Hill</t>
  </si>
  <si>
    <t>ArDarius Stewart</t>
  </si>
  <si>
    <t>David Morgan</t>
  </si>
  <si>
    <t>Kenneth Farrow</t>
  </si>
  <si>
    <t>Bucky Hodges</t>
  </si>
  <si>
    <t>Dan Vitale</t>
  </si>
  <si>
    <t>Adam Shaheen</t>
  </si>
  <si>
    <t>Derek Watt</t>
  </si>
  <si>
    <t>Michael Roberts</t>
  </si>
  <si>
    <t>Greg Scruggs</t>
  </si>
  <si>
    <t>Khalfani Muhammad</t>
  </si>
  <si>
    <t>Eric Saubert</t>
  </si>
  <si>
    <t>Brandon Wilds</t>
  </si>
  <si>
    <t>Chris Carson</t>
  </si>
  <si>
    <t>Jeremy McNichols</t>
  </si>
  <si>
    <t>Keith Smith</t>
  </si>
  <si>
    <t>Darius Jackson</t>
  </si>
  <si>
    <t>Don Jackson</t>
  </si>
  <si>
    <t>Jeremy Sprinkle</t>
  </si>
  <si>
    <t>Elijah Hood</t>
  </si>
  <si>
    <t>Troymaine Pope</t>
  </si>
  <si>
    <t>DeAngelo Henderson</t>
  </si>
  <si>
    <t>Josh Reynolds</t>
  </si>
  <si>
    <t>Sam Rogers</t>
  </si>
  <si>
    <t>Ben Braunecker</t>
  </si>
  <si>
    <t>Temarrick Hemingway</t>
  </si>
  <si>
    <t>Cole Wick</t>
  </si>
  <si>
    <t>Devante Mays</t>
  </si>
  <si>
    <t>Aaron Green</t>
  </si>
  <si>
    <t>Brandon Burks</t>
  </si>
  <si>
    <t>Matt Lengel</t>
  </si>
  <si>
    <t>Chris Manhertz</t>
  </si>
  <si>
    <t>Mason Schreck</t>
  </si>
  <si>
    <t>Beau Sandland</t>
  </si>
  <si>
    <t>Amara Darboh</t>
  </si>
  <si>
    <t>Jace Billingsley</t>
  </si>
  <si>
    <t>Trent Taylor</t>
  </si>
  <si>
    <t>Chris Godwin</t>
  </si>
  <si>
    <t>Chad Hansen</t>
  </si>
  <si>
    <t>Johnny Holton</t>
  </si>
  <si>
    <t>Mack Hollins</t>
  </si>
  <si>
    <t>Shelton Gibson</t>
  </si>
  <si>
    <t>Deshaun Watson</t>
  </si>
  <si>
    <t>Chester Rogers</t>
  </si>
  <si>
    <t>Tanner McEvoy</t>
  </si>
  <si>
    <t>Tommylee Lewis</t>
  </si>
  <si>
    <t>Maurice Harris</t>
  </si>
  <si>
    <t>Paul Turner</t>
  </si>
  <si>
    <t>Devin Fuller</t>
  </si>
  <si>
    <t>Josh Malone</t>
  </si>
  <si>
    <t>Alex Erickson</t>
  </si>
  <si>
    <t>Ryan Switzer</t>
  </si>
  <si>
    <t>Stacy Coley</t>
  </si>
  <si>
    <t>Isaiah Ford</t>
  </si>
  <si>
    <t>Noah Brown</t>
  </si>
  <si>
    <t>Isaiah McKenzie</t>
  </si>
  <si>
    <t>Jehu Chesson</t>
  </si>
  <si>
    <t>Rodney Adams</t>
  </si>
  <si>
    <t>Robert Davis</t>
  </si>
  <si>
    <t>Keenan Reynolds</t>
  </si>
  <si>
    <t>Bryce Treggs</t>
  </si>
  <si>
    <t>DeAngelo Yancey</t>
  </si>
  <si>
    <t>Malachi Dupre</t>
  </si>
  <si>
    <t>Nelson Spruce</t>
  </si>
  <si>
    <t>Devin Lucien</t>
  </si>
  <si>
    <t>Ishmael Zamora</t>
  </si>
  <si>
    <t>David Moore</t>
  </si>
  <si>
    <t>DeShone Kizer</t>
  </si>
  <si>
    <t>Mitchell Trubisky</t>
  </si>
  <si>
    <t>C.J. Beathard</t>
  </si>
  <si>
    <t>Trevone Boykin</t>
  </si>
  <si>
    <t>Nathan Peterman</t>
  </si>
  <si>
    <t>Brad Kaaya</t>
  </si>
  <si>
    <t>Jake Rudock</t>
  </si>
  <si>
    <t>Jeff Driskel</t>
  </si>
  <si>
    <t>Jerrod Johnson</t>
  </si>
  <si>
    <t>Chad Kelly</t>
  </si>
  <si>
    <t>Joe Callahan</t>
  </si>
  <si>
    <t>Brandon Doughty</t>
  </si>
  <si>
    <t>Davis Webb</t>
  </si>
  <si>
    <t>Joshua Dobbs</t>
  </si>
  <si>
    <t>Nate Sudfeld</t>
  </si>
  <si>
    <t>Patrick Mahomes</t>
  </si>
  <si>
    <t>NA</t>
  </si>
  <si>
    <t>Leonard Fournette</t>
  </si>
  <si>
    <t>Marshall Koehn</t>
  </si>
  <si>
    <t>Mike Nugent</t>
  </si>
  <si>
    <t>Kaimi Fairbairn</t>
  </si>
  <si>
    <t>Jordan Gay</t>
  </si>
  <si>
    <t>Larry Donnell</t>
  </si>
  <si>
    <t>Rico Gathers</t>
  </si>
  <si>
    <t>David Johnson2</t>
  </si>
  <si>
    <t>J.D. McKissic</t>
  </si>
  <si>
    <t>Hakeem Valles</t>
  </si>
  <si>
    <t>Gerald Christian</t>
  </si>
  <si>
    <t>Daniel Brown</t>
  </si>
  <si>
    <t>Gary Barnidge</t>
  </si>
  <si>
    <t>Brandon Myers</t>
  </si>
  <si>
    <t>Jim Dray</t>
  </si>
  <si>
    <t>David Ausberry</t>
  </si>
  <si>
    <t>Kellen Davis</t>
  </si>
  <si>
    <t>Michael Williams</t>
  </si>
  <si>
    <t>Justin Perillo</t>
  </si>
  <si>
    <t>Blake Annen</t>
  </si>
  <si>
    <t>Jerome Cunningham</t>
  </si>
  <si>
    <t>Kennard Backman</t>
  </si>
  <si>
    <t>E.J. Bibbs</t>
  </si>
  <si>
    <t>Brian Parker</t>
  </si>
  <si>
    <t>Mo Alie-Cox</t>
  </si>
  <si>
    <t>James Winchester</t>
  </si>
  <si>
    <t>Jeff Cumberland</t>
  </si>
  <si>
    <t>Nick Truesdell</t>
  </si>
  <si>
    <t>Brian Leonhardt</t>
  </si>
  <si>
    <t>Gabe Holmes</t>
  </si>
  <si>
    <t>Ryan OMalley</t>
  </si>
  <si>
    <t>RaShaun Allen</t>
  </si>
  <si>
    <t>Rory Anderson</t>
  </si>
  <si>
    <t>D.J. Foster</t>
  </si>
  <si>
    <t>C.J. Ham</t>
  </si>
  <si>
    <t>Bobby Rainey</t>
  </si>
  <si>
    <t>Terrence Magee</t>
  </si>
  <si>
    <t>Tra Carson</t>
  </si>
  <si>
    <t>Ronnie Hillman</t>
  </si>
  <si>
    <t>Stevan Ridley</t>
  </si>
  <si>
    <t>Zac Brooks</t>
  </si>
  <si>
    <t>Justin Forsett</t>
  </si>
  <si>
    <t>Rashad Jennings</t>
  </si>
  <si>
    <t>James Starks</t>
  </si>
  <si>
    <t>DeAngelo Williams</t>
  </si>
  <si>
    <t>Austin Johnson</t>
  </si>
  <si>
    <t>Daryl Richardson</t>
  </si>
  <si>
    <t>Derrick Coleman</t>
  </si>
  <si>
    <t>Denard Robinson</t>
  </si>
  <si>
    <t>Tommy Bohanon</t>
  </si>
  <si>
    <t>Tre Mason</t>
  </si>
  <si>
    <t>Dri Archer</t>
  </si>
  <si>
    <t>Darrin Reaves</t>
  </si>
  <si>
    <t>Karlos Williams</t>
  </si>
  <si>
    <t>Kenny Hilliard</t>
  </si>
  <si>
    <t>Trey Williams</t>
  </si>
  <si>
    <t>Brandon Wegher</t>
  </si>
  <si>
    <t>George Farmer</t>
  </si>
  <si>
    <t>Dreamius Smith</t>
  </si>
  <si>
    <t>Kelvin Taylor</t>
  </si>
  <si>
    <t>Glenn Gronkowski</t>
  </si>
  <si>
    <t>Devon Johnson</t>
  </si>
  <si>
    <t>Dare Ogunbowale</t>
  </si>
  <si>
    <t>Tyler Gaffney</t>
  </si>
  <si>
    <t>Justin Davis</t>
  </si>
  <si>
    <t>Corey Clement</t>
  </si>
  <si>
    <t>Tre Madden</t>
  </si>
  <si>
    <t>Matt Breida</t>
  </si>
  <si>
    <t>Russell Hansbrough</t>
  </si>
  <si>
    <t>Tevaun Smith</t>
  </si>
  <si>
    <t>Eric Weems</t>
  </si>
  <si>
    <t>Chris Hubert</t>
  </si>
  <si>
    <t>Krishawn Hogan</t>
  </si>
  <si>
    <t>Griff Whalen</t>
  </si>
  <si>
    <t>Kaelin Clay</t>
  </si>
  <si>
    <t>Fred Ross</t>
  </si>
  <si>
    <t>Titus Davis</t>
  </si>
  <si>
    <t>Rannell Hall</t>
  </si>
  <si>
    <t>Antwan Goodley</t>
  </si>
  <si>
    <t>Andrew Turzilli</t>
  </si>
  <si>
    <t>Donnie Avery</t>
  </si>
  <si>
    <t>Andre Caldwell</t>
  </si>
  <si>
    <t>Steve Johnson</t>
  </si>
  <si>
    <t>T.J. Graham</t>
  </si>
  <si>
    <t>Justin Blackmon</t>
  </si>
  <si>
    <t>Rodney Smith</t>
  </si>
  <si>
    <t>Stedman Bailey</t>
  </si>
  <si>
    <t>Josh Boyce</t>
  </si>
  <si>
    <t>B.J. Daniels</t>
  </si>
  <si>
    <t>Eric Rogers</t>
  </si>
  <si>
    <t>Myles White</t>
  </si>
  <si>
    <t>Jonathan Krause</t>
  </si>
  <si>
    <t>Corey Washington</t>
  </si>
  <si>
    <t>Tony Washington</t>
  </si>
  <si>
    <t>DeAndrew White</t>
  </si>
  <si>
    <t>Devin Smith</t>
  </si>
  <si>
    <t>Jake Kumerow</t>
  </si>
  <si>
    <t>Chris Harper</t>
  </si>
  <si>
    <t>Rasheed Bailey</t>
  </si>
  <si>
    <t>Anthony Dable</t>
  </si>
  <si>
    <t>Mekale McKay</t>
  </si>
  <si>
    <t>Marquez North</t>
  </si>
  <si>
    <t>Seantavius Jones</t>
  </si>
  <si>
    <t>DaRon Brown</t>
  </si>
  <si>
    <t>Jordan Leslie</t>
  </si>
  <si>
    <t>Moritz Boehringer</t>
  </si>
  <si>
    <t>Jake Lampman</t>
  </si>
  <si>
    <t>Travin Dural</t>
  </si>
  <si>
    <t>Darius Jennings</t>
  </si>
  <si>
    <t>Keon Hatcher</t>
  </si>
  <si>
    <t>Louis Murphy</t>
  </si>
  <si>
    <t>Rashad Ross</t>
  </si>
  <si>
    <t>Dres Anderson</t>
  </si>
  <si>
    <t>DeAndre Carter</t>
  </si>
  <si>
    <t>Austin Davis</t>
  </si>
  <si>
    <t>Ryan Nassib</t>
  </si>
  <si>
    <t>Luke McCown</t>
  </si>
  <si>
    <t>Dustin Vaughan</t>
  </si>
  <si>
    <t>Tim Tebow</t>
  </si>
  <si>
    <t>Colin Kaepernick</t>
  </si>
  <si>
    <t>Christian Ponder</t>
  </si>
  <si>
    <t>Jay Cutler</t>
  </si>
  <si>
    <t>Tony Romo</t>
  </si>
  <si>
    <t>Robert Griffin</t>
  </si>
  <si>
    <t>Alex Tanney</t>
  </si>
  <si>
    <t>Matt Simms</t>
  </si>
  <si>
    <t>Zac Dysert</t>
  </si>
  <si>
    <t>Johnny Manziel</t>
  </si>
  <si>
    <t>Aaron Murray</t>
  </si>
  <si>
    <t>Keith Wenning</t>
  </si>
  <si>
    <t>Garrett Gilbert</t>
  </si>
  <si>
    <t>Joel Stave</t>
  </si>
  <si>
    <t>Stephen Morris</t>
  </si>
  <si>
    <t>Josh Johnson</t>
  </si>
  <si>
    <t>App</t>
  </si>
  <si>
    <t>Deselect IDPs</t>
  </si>
  <si>
    <t>Impute Replacement Level Points</t>
  </si>
  <si>
    <t>BWOOD</t>
  </si>
  <si>
    <t>All</t>
  </si>
  <si>
    <t>QB 1</t>
  </si>
  <si>
    <t>QB 2</t>
  </si>
  <si>
    <t>Roster Size</t>
  </si>
  <si>
    <t xml:space="preserve">Scoring </t>
  </si>
  <si>
    <t>Scoring Settings</t>
  </si>
  <si>
    <t>PPR</t>
  </si>
  <si>
    <t>Default</t>
  </si>
  <si>
    <t>Bench Reserve</t>
  </si>
  <si>
    <t>Change David Johnson2</t>
  </si>
  <si>
    <t>Check that VOR ties</t>
  </si>
  <si>
    <t>PSV Values on Players Tab</t>
  </si>
  <si>
    <t>Update Optimal Lineup</t>
  </si>
  <si>
    <t>Team 10</t>
  </si>
  <si>
    <t>Team 3</t>
  </si>
  <si>
    <t>Team Se</t>
  </si>
  <si>
    <t>Go to Input Tab, find Baseline #'s, go back to FFA App and use those</t>
  </si>
  <si>
    <t>3) Input players up for auction as they  are announced.</t>
  </si>
  <si>
    <t>11,xx,xx,xx,11,11</t>
  </si>
  <si>
    <t>21,xx,xx,xx,11,11</t>
  </si>
  <si>
    <t>1st Value</t>
  </si>
  <si>
    <t>Greg Salas</t>
  </si>
  <si>
    <t>Percy Harvin</t>
  </si>
  <si>
    <t>Remove extra Kasen Williams</t>
  </si>
  <si>
    <t xml:space="preserve">Change AAV for Ty Montgomery </t>
  </si>
  <si>
    <t>TO DO</t>
  </si>
  <si>
    <t>Fix Opponent update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</si>
</sst>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_);[Red]\(&quot;$&quot;#,##0\)"/>
    <numFmt numFmtId="44" formatCode="_(&quot;$&quot;* #,##0.00_);_(&quot;$&quot;* \(#,##0.00\);_(&quot;$&quot;* &quot;-&quot;??_);_(@_)"/>
    <numFmt numFmtId="43" formatCode="_(* #,##0.00_);_(* \(#,##0.00\);_(* &quot;-&quot;??_);_(@_)"/>
    <numFmt numFmtId="164" formatCode="_(&quot;$&quot;* #,##0_);_(&quot;$&quot;* \(#,##0\);_(&quot;$&quot;* &quot;-&quot;??_);_(@_)"/>
    <numFmt numFmtId="165" formatCode="0.0%"/>
    <numFmt numFmtId="166" formatCode="_(* #,##0_);_(* \(#,##0\);_(* &quot;-&quot;??_);_(@_)"/>
  </numFmts>
  <fonts count="17" x14ac:knownFonts="1">
    <font>
      <sz val="11"/>
      <color theme="1"/>
      <name val="Calibri"/>
      <family val="2"/>
      <scheme val="minor"/>
    </font>
    <font>
      <sz val="11"/>
      <color theme="1"/>
      <name val="Calibri"/>
      <family val="2"/>
      <scheme val="minor"/>
    </font>
    <font>
      <b/>
      <sz val="11"/>
      <color theme="1"/>
      <name val="Calibri"/>
      <family val="2"/>
      <scheme val="minor"/>
    </font>
    <font>
      <b/>
      <sz val="9"/>
      <color indexed="81"/>
      <name val="Tahoma"/>
      <family val="2"/>
    </font>
    <font>
      <sz val="11"/>
      <color theme="0"/>
      <name val="Calibri"/>
      <family val="2"/>
      <scheme val="minor"/>
    </font>
    <font>
      <sz val="8"/>
      <color rgb="FF000000"/>
      <name val="Segoe UI"/>
      <family val="2"/>
    </font>
    <font>
      <b/>
      <sz val="18"/>
      <color theme="0"/>
      <name val="Calibri"/>
      <family val="2"/>
      <scheme val="minor"/>
    </font>
    <font>
      <b/>
      <sz val="20"/>
      <color theme="0"/>
      <name val="Calibri"/>
      <family val="2"/>
      <scheme val="minor"/>
    </font>
    <font>
      <u/>
      <sz val="11"/>
      <color theme="10"/>
      <name val="Calibri"/>
      <family val="2"/>
      <scheme val="minor"/>
    </font>
    <font>
      <sz val="11"/>
      <name val="Calibri"/>
      <family val="2"/>
      <scheme val="minor"/>
    </font>
    <font>
      <b/>
      <sz val="26"/>
      <color theme="1"/>
      <name val="Calibri"/>
      <family val="2"/>
      <scheme val="minor"/>
    </font>
    <font>
      <sz val="10"/>
      <color theme="0"/>
      <name val="Verdana"/>
      <family val="2"/>
    </font>
    <font>
      <b/>
      <sz val="11"/>
      <color theme="0" tint="-0.14999847407452621"/>
      <name val="Calibri"/>
      <family val="2"/>
      <scheme val="minor"/>
    </font>
    <font>
      <sz val="11"/>
      <color theme="0" tint="-0.14999847407452621"/>
      <name val="Calibri"/>
      <family val="2"/>
      <scheme val="minor"/>
    </font>
    <font>
      <b/>
      <sz val="11"/>
      <name val="Calibri"/>
      <family val="2"/>
      <scheme val="minor"/>
    </font>
    <font>
      <sz val="11"/>
      <color rgb="FF000000"/>
      <name val="Calibri"/>
      <family val="2"/>
    </font>
    <font>
      <b/>
      <sz val="10"/>
      <color theme="1"/>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FFFFFF"/>
        <bgColor indexed="64"/>
      </patternFill>
    </fill>
    <fill>
      <patternFill patternType="solid">
        <fgColor rgb="FFF9F9F9"/>
        <bgColor indexed="64"/>
      </patternFill>
    </fill>
    <fill>
      <patternFill patternType="solid">
        <fgColor theme="0" tint="-0.249977111117893"/>
        <bgColor indexed="64"/>
      </patternFill>
    </fill>
    <fill>
      <patternFill patternType="solid">
        <fgColor theme="9" tint="0.59999389629810485"/>
        <bgColor indexed="64"/>
      </patternFill>
    </fill>
    <fill>
      <patternFill patternType="solid">
        <fgColor theme="3"/>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theme="0" tint="-0.499984740745262"/>
        <bgColor indexed="64"/>
      </patternFill>
    </fill>
  </fills>
  <borders count="53">
    <border>
      <left/>
      <right/>
      <top/>
      <bottom/>
      <diagonal/>
    </border>
    <border>
      <left style="medium">
        <color indexed="64"/>
      </left>
      <right style="medium">
        <color rgb="FFDDDDDD"/>
      </right>
      <top style="medium">
        <color indexed="64"/>
      </top>
      <bottom/>
      <diagonal/>
    </border>
    <border>
      <left/>
      <right style="medium">
        <color rgb="FFDDDDDD"/>
      </right>
      <top style="medium">
        <color indexed="64"/>
      </top>
      <bottom/>
      <diagonal/>
    </border>
    <border>
      <left/>
      <right style="medium">
        <color indexed="64"/>
      </right>
      <top style="medium">
        <color indexed="64"/>
      </top>
      <bottom/>
      <diagonal/>
    </border>
    <border>
      <left style="medium">
        <color indexed="64"/>
      </left>
      <right style="medium">
        <color rgb="FFDDDDDD"/>
      </right>
      <top style="medium">
        <color rgb="FFDDDDDD"/>
      </top>
      <bottom style="medium">
        <color rgb="FFDDDDDD"/>
      </bottom>
      <diagonal/>
    </border>
    <border>
      <left/>
      <right style="medium">
        <color rgb="FFDDDDDD"/>
      </right>
      <top style="medium">
        <color rgb="FFDDDDDD"/>
      </top>
      <bottom style="medium">
        <color rgb="FFDDDDDD"/>
      </bottom>
      <diagonal/>
    </border>
    <border>
      <left/>
      <right style="medium">
        <color rgb="FFDDDDDD"/>
      </right>
      <top style="medium">
        <color rgb="FFDDDDDD"/>
      </top>
      <bottom/>
      <diagonal/>
    </border>
    <border>
      <left/>
      <right style="medium">
        <color indexed="64"/>
      </right>
      <top style="medium">
        <color rgb="FFDDDDDD"/>
      </top>
      <bottom style="medium">
        <color rgb="FFDDDDDD"/>
      </bottom>
      <diagonal/>
    </border>
    <border>
      <left style="medium">
        <color indexed="64"/>
      </left>
      <right style="medium">
        <color rgb="FFDDDDDD"/>
      </right>
      <top style="medium">
        <color rgb="FFDDDDDD"/>
      </top>
      <bottom/>
      <diagonal/>
    </border>
    <border>
      <left/>
      <right style="medium">
        <color indexed="64"/>
      </right>
      <top style="medium">
        <color rgb="FFDDDDDD"/>
      </top>
      <bottom/>
      <diagonal/>
    </border>
    <border>
      <left style="medium">
        <color indexed="64"/>
      </left>
      <right style="medium">
        <color rgb="FFDDDDDD"/>
      </right>
      <top style="medium">
        <color rgb="FFDDDDDD"/>
      </top>
      <bottom style="medium">
        <color indexed="64"/>
      </bottom>
      <diagonal/>
    </border>
    <border>
      <left/>
      <right style="medium">
        <color rgb="FFDDDDDD"/>
      </right>
      <top style="medium">
        <color rgb="FFDDDDDD"/>
      </top>
      <bottom style="medium">
        <color indexed="64"/>
      </bottom>
      <diagonal/>
    </border>
    <border>
      <left/>
      <right style="medium">
        <color indexed="64"/>
      </right>
      <top style="medium">
        <color rgb="FFDDDDDD"/>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rgb="FFDDDDDD"/>
      </top>
      <bottom/>
      <diagonal/>
    </border>
    <border>
      <left style="medium">
        <color indexed="64"/>
      </left>
      <right style="medium">
        <color indexed="64"/>
      </right>
      <top style="medium">
        <color rgb="FFDDDDDD"/>
      </top>
      <bottom style="medium">
        <color rgb="FFDDDDDD"/>
      </bottom>
      <diagonal/>
    </border>
    <border>
      <left style="medium">
        <color indexed="64"/>
      </left>
      <right style="medium">
        <color indexed="64"/>
      </right>
      <top style="medium">
        <color rgb="FFDDDDDD"/>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medium">
        <color indexed="64"/>
      </left>
      <right style="medium">
        <color rgb="FFDDDDDD"/>
      </right>
      <top/>
      <bottom style="medium">
        <color rgb="FFDDDDDD"/>
      </bottom>
      <diagonal/>
    </border>
    <border>
      <left/>
      <right style="medium">
        <color rgb="FFDDDDDD"/>
      </right>
      <top/>
      <bottom style="medium">
        <color rgb="FFDDDDDD"/>
      </bottom>
      <diagonal/>
    </border>
    <border>
      <left style="thin">
        <color auto="1"/>
      </left>
      <right style="thin">
        <color auto="1"/>
      </right>
      <top style="medium">
        <color indexed="64"/>
      </top>
      <bottom style="thin">
        <color auto="1"/>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rgb="FFDDDDDD"/>
      </bottom>
      <diagonal/>
    </border>
  </borders>
  <cellStyleXfs count="6">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2" fillId="0" borderId="0" applyFont="0"/>
    <xf numFmtId="0" fontId="8" fillId="0" borderId="0" applyNumberFormat="0" applyFill="0" applyBorder="0" applyAlignment="0" applyProtection="0"/>
  </cellStyleXfs>
  <cellXfs count="357">
    <xf numFmtId="0" fontId="0" fillId="0" borderId="0" xfId="0"/>
    <xf numFmtId="0" fontId="2" fillId="0" borderId="0" xfId="0" applyFont="1"/>
    <xf numFmtId="0" fontId="0" fillId="4" borderId="1" xfId="0" applyFill="1" applyBorder="1" applyAlignment="1">
      <alignment vertical="top"/>
    </xf>
    <xf numFmtId="0" fontId="0" fillId="4" borderId="2" xfId="0" applyFill="1" applyBorder="1" applyAlignment="1">
      <alignment vertical="top"/>
    </xf>
    <xf numFmtId="6" fontId="0" fillId="4" borderId="2" xfId="0" applyNumberFormat="1" applyFill="1" applyBorder="1" applyAlignment="1">
      <alignment vertical="top"/>
    </xf>
    <xf numFmtId="43" fontId="0" fillId="0" borderId="0" xfId="1" applyFont="1"/>
    <xf numFmtId="0" fontId="0" fillId="5" borderId="4" xfId="0" applyFill="1" applyBorder="1" applyAlignment="1">
      <alignment vertical="top"/>
    </xf>
    <xf numFmtId="0" fontId="0" fillId="5" borderId="5" xfId="0" applyFill="1" applyBorder="1" applyAlignment="1">
      <alignment vertical="top"/>
    </xf>
    <xf numFmtId="6" fontId="0" fillId="5" borderId="5" xfId="0" applyNumberFormat="1" applyFill="1" applyBorder="1" applyAlignment="1">
      <alignment vertical="top"/>
    </xf>
    <xf numFmtId="0" fontId="0" fillId="4" borderId="8" xfId="0" applyFill="1" applyBorder="1" applyAlignment="1">
      <alignment vertical="top"/>
    </xf>
    <xf numFmtId="0" fontId="0" fillId="4" borderId="6" xfId="0" applyFill="1" applyBorder="1" applyAlignment="1">
      <alignment vertical="top"/>
    </xf>
    <xf numFmtId="6" fontId="0" fillId="4" borderId="6" xfId="0" applyNumberFormat="1" applyFill="1" applyBorder="1" applyAlignment="1">
      <alignment vertical="top"/>
    </xf>
    <xf numFmtId="0" fontId="0" fillId="4" borderId="10" xfId="0" applyFill="1" applyBorder="1" applyAlignment="1">
      <alignment vertical="top"/>
    </xf>
    <xf numFmtId="0" fontId="2" fillId="6" borderId="0" xfId="0" applyFont="1" applyFill="1"/>
    <xf numFmtId="0" fontId="2" fillId="0" borderId="0" xfId="0" applyFont="1" applyAlignment="1"/>
    <xf numFmtId="164" fontId="0" fillId="0" borderId="0" xfId="2" applyNumberFormat="1" applyFont="1"/>
    <xf numFmtId="0" fontId="0" fillId="0" borderId="0" xfId="0" applyFill="1"/>
    <xf numFmtId="0" fontId="2" fillId="0" borderId="0" xfId="0" applyFont="1" applyFill="1" applyBorder="1" applyAlignment="1"/>
    <xf numFmtId="0" fontId="0" fillId="0" borderId="13" xfId="0" applyBorder="1"/>
    <xf numFmtId="0" fontId="0" fillId="0" borderId="14" xfId="0" applyBorder="1"/>
    <xf numFmtId="0" fontId="0" fillId="0" borderId="15" xfId="0" applyBorder="1"/>
    <xf numFmtId="0" fontId="0" fillId="0" borderId="14" xfId="0" quotePrefix="1" applyBorder="1"/>
    <xf numFmtId="43" fontId="0" fillId="0" borderId="16" xfId="1" applyFont="1" applyBorder="1"/>
    <xf numFmtId="0" fontId="0" fillId="0" borderId="0" xfId="0" applyBorder="1"/>
    <xf numFmtId="0" fontId="0" fillId="0" borderId="17" xfId="0" applyBorder="1"/>
    <xf numFmtId="0" fontId="0" fillId="0" borderId="18" xfId="0" applyBorder="1"/>
    <xf numFmtId="0" fontId="0" fillId="0" borderId="3" xfId="0"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164" fontId="0" fillId="0" borderId="19" xfId="2" applyNumberFormat="1" applyFont="1" applyBorder="1"/>
    <xf numFmtId="164" fontId="0" fillId="0" borderId="0" xfId="2" applyNumberFormat="1" applyFont="1" applyBorder="1"/>
    <xf numFmtId="164" fontId="0" fillId="0" borderId="20" xfId="2" applyNumberFormat="1" applyFont="1" applyBorder="1"/>
    <xf numFmtId="164" fontId="0" fillId="0" borderId="21" xfId="2" applyNumberFormat="1" applyFont="1" applyBorder="1"/>
    <xf numFmtId="164" fontId="0" fillId="0" borderId="22" xfId="2" applyNumberFormat="1" applyFont="1" applyBorder="1"/>
    <xf numFmtId="164" fontId="0" fillId="0" borderId="23" xfId="2" applyNumberFormat="1" applyFont="1" applyBorder="1"/>
    <xf numFmtId="0" fontId="2" fillId="0" borderId="13" xfId="0" applyFont="1" applyBorder="1" applyAlignment="1">
      <alignment horizontal="left"/>
    </xf>
    <xf numFmtId="0" fontId="2" fillId="0" borderId="14" xfId="0" applyFont="1" applyBorder="1" applyAlignment="1">
      <alignment horizontal="left"/>
    </xf>
    <xf numFmtId="0" fontId="2" fillId="0" borderId="15" xfId="0" applyFont="1" applyBorder="1" applyAlignment="1">
      <alignment horizontal="left"/>
    </xf>
    <xf numFmtId="0" fontId="2" fillId="0" borderId="14" xfId="0" applyFont="1" applyFill="1" applyBorder="1" applyAlignment="1">
      <alignment horizontal="left"/>
    </xf>
    <xf numFmtId="0" fontId="2" fillId="0" borderId="15" xfId="0" applyFont="1" applyFill="1" applyBorder="1" applyAlignment="1">
      <alignment horizontal="left"/>
    </xf>
    <xf numFmtId="0" fontId="2" fillId="6" borderId="16" xfId="0" applyFont="1" applyFill="1" applyBorder="1"/>
    <xf numFmtId="43" fontId="2" fillId="6" borderId="24" xfId="1" applyFont="1" applyFill="1" applyBorder="1" applyAlignment="1">
      <alignment horizontal="center"/>
    </xf>
    <xf numFmtId="43" fontId="2" fillId="6" borderId="25" xfId="1" applyFont="1" applyFill="1" applyBorder="1" applyAlignment="1">
      <alignment horizontal="center"/>
    </xf>
    <xf numFmtId="43" fontId="2" fillId="6" borderId="26" xfId="1" applyFont="1" applyFill="1" applyBorder="1" applyAlignment="1">
      <alignment horizontal="center"/>
    </xf>
    <xf numFmtId="0" fontId="0" fillId="0" borderId="15" xfId="0" quotePrefix="1" applyBorder="1"/>
    <xf numFmtId="0" fontId="0" fillId="7" borderId="19" xfId="0" applyFill="1" applyBorder="1"/>
    <xf numFmtId="43" fontId="0" fillId="4" borderId="2" xfId="1" applyFont="1" applyFill="1" applyBorder="1" applyAlignment="1">
      <alignment vertical="top"/>
    </xf>
    <xf numFmtId="43" fontId="0" fillId="5" borderId="5" xfId="1" applyFont="1" applyFill="1" applyBorder="1" applyAlignment="1">
      <alignment vertical="top"/>
    </xf>
    <xf numFmtId="43" fontId="0" fillId="4" borderId="6" xfId="1" applyFont="1" applyFill="1" applyBorder="1" applyAlignment="1">
      <alignment vertical="top"/>
    </xf>
    <xf numFmtId="0" fontId="0" fillId="0" borderId="0" xfId="0" applyAlignment="1">
      <alignment horizontal="center"/>
    </xf>
    <xf numFmtId="0" fontId="0" fillId="0" borderId="0" xfId="0" applyFont="1"/>
    <xf numFmtId="0" fontId="0" fillId="7" borderId="0" xfId="0" applyFill="1" applyBorder="1"/>
    <xf numFmtId="0" fontId="2" fillId="0" borderId="17" xfId="0" applyFont="1" applyBorder="1"/>
    <xf numFmtId="0" fontId="2" fillId="0" borderId="14" xfId="0" applyFont="1" applyBorder="1"/>
    <xf numFmtId="0" fontId="2" fillId="2" borderId="17" xfId="0" applyFont="1" applyFill="1" applyBorder="1"/>
    <xf numFmtId="43" fontId="0" fillId="0" borderId="0" xfId="1" applyFont="1" applyBorder="1"/>
    <xf numFmtId="43" fontId="0" fillId="0" borderId="22" xfId="1" applyFont="1" applyBorder="1"/>
    <xf numFmtId="0" fontId="4" fillId="0" borderId="0" xfId="0" applyFont="1"/>
    <xf numFmtId="0" fontId="0" fillId="6" borderId="16" xfId="0" applyFill="1" applyBorder="1"/>
    <xf numFmtId="0" fontId="2" fillId="0" borderId="16" xfId="0" applyFont="1" applyBorder="1"/>
    <xf numFmtId="0" fontId="2" fillId="0" borderId="25" xfId="0" applyFont="1" applyBorder="1"/>
    <xf numFmtId="0" fontId="0" fillId="0" borderId="0" xfId="0" quotePrefix="1"/>
    <xf numFmtId="0" fontId="0" fillId="6" borderId="14" xfId="0" applyFill="1" applyBorder="1"/>
    <xf numFmtId="0" fontId="0" fillId="6" borderId="15" xfId="0" applyFill="1" applyBorder="1"/>
    <xf numFmtId="0" fontId="2" fillId="0" borderId="16" xfId="0" applyFont="1" applyBorder="1" applyAlignment="1">
      <alignment horizontal="center"/>
    </xf>
    <xf numFmtId="0" fontId="0" fillId="0" borderId="0" xfId="0"/>
    <xf numFmtId="6" fontId="0" fillId="4" borderId="31" xfId="0" applyNumberFormat="1" applyFill="1" applyBorder="1" applyAlignment="1">
      <alignment vertical="top"/>
    </xf>
    <xf numFmtId="6" fontId="0" fillId="5" borderId="32" xfId="0" applyNumberFormat="1" applyFill="1" applyBorder="1" applyAlignment="1">
      <alignment vertical="top"/>
    </xf>
    <xf numFmtId="6" fontId="0" fillId="5" borderId="31" xfId="0" applyNumberFormat="1" applyFill="1" applyBorder="1" applyAlignment="1">
      <alignment vertical="top"/>
    </xf>
    <xf numFmtId="6" fontId="0" fillId="4" borderId="13" xfId="0" applyNumberFormat="1" applyFill="1" applyBorder="1" applyAlignment="1">
      <alignment vertical="top"/>
    </xf>
    <xf numFmtId="6" fontId="0" fillId="4" borderId="32" xfId="0" applyNumberFormat="1" applyFill="1" applyBorder="1" applyAlignment="1">
      <alignment vertical="top"/>
    </xf>
    <xf numFmtId="6" fontId="0" fillId="4" borderId="33" xfId="0" applyNumberFormat="1" applyFill="1" applyBorder="1" applyAlignment="1">
      <alignment vertical="top"/>
    </xf>
    <xf numFmtId="0" fontId="2" fillId="2" borderId="18" xfId="0" applyFont="1" applyFill="1" applyBorder="1"/>
    <xf numFmtId="43" fontId="2" fillId="2" borderId="18" xfId="1" applyFont="1" applyFill="1" applyBorder="1"/>
    <xf numFmtId="0" fontId="0" fillId="5" borderId="10" xfId="0" applyFill="1" applyBorder="1" applyAlignment="1">
      <alignment vertical="top"/>
    </xf>
    <xf numFmtId="0" fontId="0" fillId="5" borderId="11" xfId="0" applyFill="1" applyBorder="1" applyAlignment="1">
      <alignment vertical="top"/>
    </xf>
    <xf numFmtId="43" fontId="0" fillId="5" borderId="11" xfId="1" applyFont="1" applyFill="1" applyBorder="1" applyAlignment="1">
      <alignment vertical="top"/>
    </xf>
    <xf numFmtId="6" fontId="0" fillId="5" borderId="11" xfId="0" applyNumberFormat="1" applyFill="1" applyBorder="1" applyAlignment="1">
      <alignment vertical="top"/>
    </xf>
    <xf numFmtId="0" fontId="0" fillId="6" borderId="13" xfId="0" applyFill="1" applyBorder="1"/>
    <xf numFmtId="0" fontId="0" fillId="0" borderId="34" xfId="0" applyBorder="1"/>
    <xf numFmtId="0" fontId="0" fillId="0" borderId="35" xfId="0" applyBorder="1"/>
    <xf numFmtId="0" fontId="0" fillId="0" borderId="36" xfId="0" applyBorder="1"/>
    <xf numFmtId="0" fontId="0" fillId="0" borderId="37" xfId="0" applyBorder="1"/>
    <xf numFmtId="0" fontId="0" fillId="0" borderId="38" xfId="0" applyBorder="1"/>
    <xf numFmtId="0" fontId="0" fillId="5" borderId="39" xfId="0" applyFill="1" applyBorder="1" applyAlignment="1">
      <alignment vertical="top"/>
    </xf>
    <xf numFmtId="0" fontId="0" fillId="5" borderId="40" xfId="0" applyFill="1" applyBorder="1" applyAlignment="1">
      <alignment vertical="top"/>
    </xf>
    <xf numFmtId="43" fontId="0" fillId="5" borderId="40" xfId="1" applyFont="1" applyFill="1" applyBorder="1" applyAlignment="1">
      <alignment vertical="top"/>
    </xf>
    <xf numFmtId="6" fontId="0" fillId="5" borderId="40" xfId="0" applyNumberFormat="1" applyFill="1" applyBorder="1" applyAlignment="1">
      <alignment vertical="top"/>
    </xf>
    <xf numFmtId="0" fontId="0" fillId="4" borderId="11" xfId="0" applyFill="1" applyBorder="1" applyAlignment="1">
      <alignment vertical="top"/>
    </xf>
    <xf numFmtId="43" fontId="0" fillId="4" borderId="11" xfId="1" applyFont="1" applyFill="1" applyBorder="1" applyAlignment="1">
      <alignment vertical="top"/>
    </xf>
    <xf numFmtId="6" fontId="0" fillId="4" borderId="11" xfId="0" applyNumberFormat="1" applyFill="1" applyBorder="1" applyAlignment="1">
      <alignment vertical="top"/>
    </xf>
    <xf numFmtId="0" fontId="2" fillId="0" borderId="16" xfId="0" applyFont="1" applyFill="1" applyBorder="1" applyAlignment="1">
      <alignment horizontal="center"/>
    </xf>
    <xf numFmtId="43" fontId="0" fillId="0" borderId="18" xfId="0" applyNumberFormat="1" applyBorder="1"/>
    <xf numFmtId="43" fontId="0" fillId="0" borderId="19" xfId="0" applyNumberFormat="1" applyBorder="1"/>
    <xf numFmtId="43" fontId="0" fillId="0" borderId="0" xfId="0" applyNumberFormat="1" applyBorder="1"/>
    <xf numFmtId="164" fontId="0" fillId="0" borderId="24" xfId="2" applyNumberFormat="1" applyFont="1" applyBorder="1"/>
    <xf numFmtId="164" fontId="0" fillId="0" borderId="25" xfId="2" applyNumberFormat="1" applyFont="1" applyBorder="1"/>
    <xf numFmtId="164" fontId="0" fillId="0" borderId="26" xfId="2" applyNumberFormat="1" applyFont="1" applyBorder="1"/>
    <xf numFmtId="164" fontId="0" fillId="0" borderId="27" xfId="2" applyNumberFormat="1" applyFont="1" applyBorder="1"/>
    <xf numFmtId="164" fontId="0" fillId="0" borderId="41" xfId="2" applyNumberFormat="1" applyFont="1" applyBorder="1"/>
    <xf numFmtId="164" fontId="0" fillId="0" borderId="28" xfId="2" applyNumberFormat="1" applyFont="1" applyBorder="1"/>
    <xf numFmtId="165" fontId="0" fillId="0" borderId="0" xfId="3" applyNumberFormat="1" applyFont="1"/>
    <xf numFmtId="10" fontId="0" fillId="4" borderId="2" xfId="3" applyNumberFormat="1" applyFont="1" applyFill="1" applyBorder="1" applyAlignment="1">
      <alignment vertical="top"/>
    </xf>
    <xf numFmtId="10" fontId="0" fillId="5" borderId="5" xfId="3" applyNumberFormat="1" applyFont="1" applyFill="1" applyBorder="1" applyAlignment="1">
      <alignment vertical="top"/>
    </xf>
    <xf numFmtId="10" fontId="0" fillId="4" borderId="6" xfId="3" applyNumberFormat="1" applyFont="1" applyFill="1" applyBorder="1" applyAlignment="1">
      <alignment vertical="top"/>
    </xf>
    <xf numFmtId="10" fontId="0" fillId="5" borderId="11" xfId="3" applyNumberFormat="1" applyFont="1" applyFill="1" applyBorder="1" applyAlignment="1">
      <alignment vertical="top"/>
    </xf>
    <xf numFmtId="10" fontId="0" fillId="4" borderId="11" xfId="3" applyNumberFormat="1" applyFont="1" applyFill="1" applyBorder="1" applyAlignment="1">
      <alignment vertical="top"/>
    </xf>
    <xf numFmtId="10" fontId="0" fillId="5" borderId="40" xfId="3" applyNumberFormat="1" applyFont="1" applyFill="1" applyBorder="1" applyAlignment="1">
      <alignment vertical="top"/>
    </xf>
    <xf numFmtId="43" fontId="2" fillId="0" borderId="21" xfId="0" applyNumberFormat="1" applyFont="1" applyBorder="1" applyAlignment="1">
      <alignment horizontal="center"/>
    </xf>
    <xf numFmtId="43" fontId="2" fillId="0" borderId="22" xfId="0" applyNumberFormat="1" applyFont="1" applyBorder="1" applyAlignment="1">
      <alignment horizontal="center"/>
    </xf>
    <xf numFmtId="43" fontId="2" fillId="0" borderId="23" xfId="0" applyNumberFormat="1" applyFont="1" applyBorder="1" applyAlignment="1">
      <alignment horizontal="center"/>
    </xf>
    <xf numFmtId="0" fontId="0" fillId="9" borderId="24" xfId="0" applyFill="1" applyBorder="1"/>
    <xf numFmtId="0" fontId="4" fillId="9" borderId="25" xfId="0" quotePrefix="1" applyFont="1" applyFill="1" applyBorder="1"/>
    <xf numFmtId="0" fontId="0" fillId="9" borderId="25" xfId="0" applyFill="1" applyBorder="1"/>
    <xf numFmtId="0" fontId="0" fillId="9" borderId="26" xfId="0" applyFill="1" applyBorder="1"/>
    <xf numFmtId="0" fontId="9" fillId="0" borderId="0" xfId="0" applyFont="1"/>
    <xf numFmtId="43" fontId="0" fillId="3" borderId="13" xfId="1" applyFont="1" applyFill="1" applyBorder="1"/>
    <xf numFmtId="43" fontId="0" fillId="3" borderId="14" xfId="1" applyFont="1" applyFill="1" applyBorder="1"/>
    <xf numFmtId="43" fontId="0" fillId="3" borderId="15" xfId="1" applyFont="1" applyFill="1" applyBorder="1"/>
    <xf numFmtId="0" fontId="0" fillId="0" borderId="0" xfId="0" applyBorder="1" applyAlignment="1">
      <alignment horizontal="center"/>
    </xf>
    <xf numFmtId="0" fontId="0" fillId="6" borderId="13" xfId="1" applyNumberFormat="1" applyFont="1" applyFill="1" applyBorder="1"/>
    <xf numFmtId="0" fontId="0" fillId="6" borderId="14" xfId="1" applyNumberFormat="1" applyFont="1" applyFill="1" applyBorder="1"/>
    <xf numFmtId="0" fontId="0" fillId="6" borderId="15" xfId="1" applyNumberFormat="1" applyFont="1" applyFill="1" applyBorder="1"/>
    <xf numFmtId="0" fontId="0" fillId="0" borderId="0" xfId="0" applyFill="1" applyBorder="1" applyAlignment="1">
      <alignment horizontal="center"/>
    </xf>
    <xf numFmtId="0" fontId="0" fillId="9" borderId="14" xfId="0" applyFill="1" applyBorder="1"/>
    <xf numFmtId="164" fontId="0" fillId="0" borderId="42" xfId="2" applyNumberFormat="1" applyFont="1" applyBorder="1"/>
    <xf numFmtId="164" fontId="0" fillId="0" borderId="43" xfId="2" applyNumberFormat="1" applyFont="1" applyBorder="1"/>
    <xf numFmtId="164" fontId="0" fillId="0" borderId="16" xfId="0" applyNumberFormat="1" applyBorder="1"/>
    <xf numFmtId="0" fontId="0" fillId="9" borderId="13" xfId="0" applyFill="1" applyBorder="1"/>
    <xf numFmtId="0" fontId="0" fillId="9" borderId="15" xfId="0" applyFill="1" applyBorder="1"/>
    <xf numFmtId="0" fontId="2" fillId="10" borderId="0" xfId="0" applyFont="1" applyFill="1"/>
    <xf numFmtId="0" fontId="0" fillId="7" borderId="13" xfId="0" applyFill="1" applyBorder="1" applyProtection="1">
      <protection locked="0"/>
    </xf>
    <xf numFmtId="164" fontId="0" fillId="7" borderId="14" xfId="2" applyNumberFormat="1" applyFont="1" applyFill="1" applyBorder="1" applyProtection="1">
      <protection locked="0"/>
    </xf>
    <xf numFmtId="0" fontId="0" fillId="7" borderId="14" xfId="0" applyFill="1" applyBorder="1" applyProtection="1">
      <protection locked="0"/>
    </xf>
    <xf numFmtId="0" fontId="0" fillId="7" borderId="15" xfId="0" applyFill="1" applyBorder="1" applyProtection="1">
      <protection locked="0"/>
    </xf>
    <xf numFmtId="0" fontId="0" fillId="7" borderId="27" xfId="0" applyFill="1" applyBorder="1" applyProtection="1">
      <protection locked="0"/>
    </xf>
    <xf numFmtId="9" fontId="0" fillId="7" borderId="28" xfId="3" applyFont="1" applyFill="1" applyBorder="1" applyProtection="1">
      <protection locked="0"/>
    </xf>
    <xf numFmtId="0" fontId="0" fillId="7" borderId="29" xfId="0" applyFill="1" applyBorder="1" applyProtection="1">
      <protection locked="0"/>
    </xf>
    <xf numFmtId="9" fontId="0" fillId="7" borderId="30" xfId="3" applyFont="1" applyFill="1" applyBorder="1" applyProtection="1">
      <protection locked="0"/>
    </xf>
    <xf numFmtId="0" fontId="0" fillId="7" borderId="13" xfId="1" applyNumberFormat="1" applyFont="1" applyFill="1" applyBorder="1" applyProtection="1">
      <protection locked="0"/>
    </xf>
    <xf numFmtId="0" fontId="0" fillId="7" borderId="14" xfId="1" applyNumberFormat="1" applyFont="1" applyFill="1" applyBorder="1" applyProtection="1">
      <protection locked="0"/>
    </xf>
    <xf numFmtId="0" fontId="0" fillId="7" borderId="15" xfId="1" applyNumberFormat="1" applyFont="1" applyFill="1" applyBorder="1" applyProtection="1">
      <protection locked="0"/>
    </xf>
    <xf numFmtId="0" fontId="0" fillId="0" borderId="0" xfId="0" applyProtection="1">
      <protection locked="0"/>
    </xf>
    <xf numFmtId="164" fontId="0" fillId="7" borderId="15" xfId="2" applyNumberFormat="1" applyFont="1" applyFill="1" applyBorder="1" applyProtection="1">
      <protection locked="0"/>
    </xf>
    <xf numFmtId="0" fontId="0" fillId="7" borderId="16" xfId="0" applyFill="1" applyBorder="1" applyProtection="1">
      <protection locked="0"/>
    </xf>
    <xf numFmtId="43" fontId="0" fillId="0" borderId="2" xfId="1" applyFont="1" applyFill="1" applyBorder="1" applyAlignment="1">
      <alignment vertical="top"/>
    </xf>
    <xf numFmtId="0" fontId="2" fillId="11" borderId="18" xfId="0" applyFont="1" applyFill="1" applyBorder="1"/>
    <xf numFmtId="43" fontId="2" fillId="11" borderId="18" xfId="1" applyFont="1" applyFill="1" applyBorder="1"/>
    <xf numFmtId="0" fontId="0" fillId="2" borderId="14" xfId="0" applyFill="1" applyBorder="1"/>
    <xf numFmtId="43" fontId="0" fillId="2" borderId="0" xfId="0" applyNumberFormat="1" applyFill="1" applyBorder="1"/>
    <xf numFmtId="43" fontId="0" fillId="2" borderId="18" xfId="0" applyNumberFormat="1" applyFill="1" applyBorder="1"/>
    <xf numFmtId="0" fontId="0" fillId="2" borderId="13" xfId="0" applyFill="1" applyBorder="1"/>
    <xf numFmtId="43" fontId="0" fillId="2" borderId="22" xfId="0" applyNumberFormat="1" applyFill="1" applyBorder="1"/>
    <xf numFmtId="0" fontId="0" fillId="2" borderId="15" xfId="0" applyFill="1" applyBorder="1"/>
    <xf numFmtId="0" fontId="0" fillId="3" borderId="0" xfId="0" applyFill="1"/>
    <xf numFmtId="166" fontId="0" fillId="2" borderId="17" xfId="0" applyNumberFormat="1" applyFill="1" applyBorder="1"/>
    <xf numFmtId="166" fontId="0" fillId="2" borderId="18" xfId="0" applyNumberFormat="1" applyFill="1" applyBorder="1"/>
    <xf numFmtId="166" fontId="0" fillId="2" borderId="3" xfId="0" applyNumberFormat="1" applyFill="1" applyBorder="1"/>
    <xf numFmtId="166" fontId="0" fillId="2" borderId="19" xfId="0" applyNumberFormat="1" applyFill="1" applyBorder="1"/>
    <xf numFmtId="166" fontId="0" fillId="2" borderId="0" xfId="0" applyNumberFormat="1" applyFill="1" applyBorder="1"/>
    <xf numFmtId="166" fontId="0" fillId="2" borderId="20" xfId="0" applyNumberFormat="1" applyFill="1" applyBorder="1"/>
    <xf numFmtId="166" fontId="0" fillId="2" borderId="21" xfId="0" applyNumberFormat="1" applyFill="1" applyBorder="1"/>
    <xf numFmtId="166" fontId="0" fillId="2" borderId="22" xfId="0" applyNumberFormat="1" applyFill="1" applyBorder="1"/>
    <xf numFmtId="166" fontId="0" fillId="2" borderId="23" xfId="0" applyNumberFormat="1" applyFill="1" applyBorder="1"/>
    <xf numFmtId="166" fontId="0" fillId="2" borderId="13" xfId="0" applyNumberFormat="1" applyFill="1" applyBorder="1"/>
    <xf numFmtId="166" fontId="0" fillId="0" borderId="17" xfId="1" applyNumberFormat="1" applyFont="1" applyBorder="1"/>
    <xf numFmtId="166" fontId="0" fillId="0" borderId="18" xfId="1" applyNumberFormat="1" applyFont="1" applyBorder="1"/>
    <xf numFmtId="166" fontId="0" fillId="0" borderId="3" xfId="1" applyNumberFormat="1" applyFont="1" applyBorder="1"/>
    <xf numFmtId="166" fontId="0" fillId="0" borderId="19" xfId="1" applyNumberFormat="1" applyFont="1" applyBorder="1"/>
    <xf numFmtId="166" fontId="0" fillId="0" borderId="0" xfId="1" applyNumberFormat="1" applyFont="1" applyBorder="1"/>
    <xf numFmtId="166" fontId="0" fillId="0" borderId="20" xfId="1" applyNumberFormat="1" applyFont="1" applyBorder="1"/>
    <xf numFmtId="6" fontId="0" fillId="5" borderId="33" xfId="0" applyNumberFormat="1" applyFill="1" applyBorder="1" applyAlignment="1">
      <alignment vertical="top"/>
    </xf>
    <xf numFmtId="165" fontId="0" fillId="0" borderId="17" xfId="3" applyNumberFormat="1" applyFont="1" applyBorder="1"/>
    <xf numFmtId="165" fontId="0" fillId="0" borderId="24" xfId="3" applyNumberFormat="1" applyFont="1" applyBorder="1"/>
    <xf numFmtId="165" fontId="0" fillId="0" borderId="25" xfId="3" applyNumberFormat="1" applyFont="1" applyBorder="1"/>
    <xf numFmtId="165" fontId="0" fillId="0" borderId="26" xfId="3" applyNumberFormat="1" applyFont="1" applyBorder="1"/>
    <xf numFmtId="165" fontId="0" fillId="0" borderId="18" xfId="3" applyNumberFormat="1" applyFont="1" applyBorder="1"/>
    <xf numFmtId="165" fontId="0" fillId="0" borderId="3" xfId="3" applyNumberFormat="1" applyFont="1" applyBorder="1"/>
    <xf numFmtId="165" fontId="0" fillId="0" borderId="19" xfId="3" applyNumberFormat="1" applyFont="1" applyBorder="1"/>
    <xf numFmtId="165" fontId="0" fillId="0" borderId="0" xfId="3" applyNumberFormat="1" applyFont="1" applyBorder="1"/>
    <xf numFmtId="165" fontId="0" fillId="0" borderId="20" xfId="3" applyNumberFormat="1" applyFont="1" applyBorder="1"/>
    <xf numFmtId="165" fontId="0" fillId="2" borderId="17" xfId="3" applyNumberFormat="1" applyFont="1" applyFill="1" applyBorder="1"/>
    <xf numFmtId="165" fontId="0" fillId="2" borderId="18" xfId="3" applyNumberFormat="1" applyFont="1" applyFill="1" applyBorder="1"/>
    <xf numFmtId="165" fontId="0" fillId="2" borderId="3" xfId="3" applyNumberFormat="1" applyFont="1" applyFill="1" applyBorder="1"/>
    <xf numFmtId="165" fontId="0" fillId="2" borderId="19" xfId="3" applyNumberFormat="1" applyFont="1" applyFill="1" applyBorder="1"/>
    <xf numFmtId="165" fontId="0" fillId="2" borderId="0" xfId="3" applyNumberFormat="1" applyFont="1" applyFill="1" applyBorder="1"/>
    <xf numFmtId="165" fontId="0" fillId="2" borderId="20" xfId="3" applyNumberFormat="1" applyFont="1" applyFill="1" applyBorder="1"/>
    <xf numFmtId="165" fontId="0" fillId="2" borderId="21" xfId="3" applyNumberFormat="1" applyFont="1" applyFill="1" applyBorder="1"/>
    <xf numFmtId="165" fontId="0" fillId="2" borderId="22" xfId="3" applyNumberFormat="1" applyFont="1" applyFill="1" applyBorder="1"/>
    <xf numFmtId="165" fontId="0" fillId="2" borderId="23" xfId="3" applyNumberFormat="1" applyFont="1" applyFill="1" applyBorder="1"/>
    <xf numFmtId="0" fontId="2" fillId="2" borderId="24" xfId="1" applyNumberFormat="1" applyFont="1" applyFill="1" applyBorder="1" applyAlignment="1">
      <alignment horizontal="center"/>
    </xf>
    <xf numFmtId="0" fontId="2" fillId="2" borderId="25" xfId="1" applyNumberFormat="1" applyFont="1" applyFill="1" applyBorder="1" applyAlignment="1">
      <alignment horizontal="center"/>
    </xf>
    <xf numFmtId="0" fontId="12" fillId="2" borderId="13" xfId="0" applyFont="1" applyFill="1" applyBorder="1"/>
    <xf numFmtId="0" fontId="13" fillId="2" borderId="14" xfId="0" applyFont="1" applyFill="1" applyBorder="1"/>
    <xf numFmtId="0" fontId="13" fillId="0" borderId="0" xfId="0" applyFont="1"/>
    <xf numFmtId="0" fontId="0" fillId="0" borderId="44" xfId="0" applyBorder="1"/>
    <xf numFmtId="0" fontId="0" fillId="0" borderId="45" xfId="0" applyBorder="1"/>
    <xf numFmtId="0" fontId="13" fillId="2" borderId="15" xfId="0" applyFont="1" applyFill="1" applyBorder="1"/>
    <xf numFmtId="43" fontId="2" fillId="6" borderId="25" xfId="1" applyFont="1" applyFill="1" applyBorder="1" applyAlignment="1">
      <alignment horizontal="center"/>
    </xf>
    <xf numFmtId="43" fontId="2" fillId="6" borderId="26" xfId="1" applyFont="1" applyFill="1" applyBorder="1" applyAlignment="1">
      <alignment horizontal="center"/>
    </xf>
    <xf numFmtId="0" fontId="2" fillId="0" borderId="18" xfId="0" applyFont="1" applyBorder="1"/>
    <xf numFmtId="43" fontId="0" fillId="0" borderId="20" xfId="1" applyFont="1" applyBorder="1"/>
    <xf numFmtId="43" fontId="0" fillId="0" borderId="23" xfId="1" applyFont="1" applyBorder="1"/>
    <xf numFmtId="0" fontId="0" fillId="0" borderId="46" xfId="0" applyBorder="1"/>
    <xf numFmtId="0" fontId="0" fillId="0" borderId="47" xfId="0" applyBorder="1"/>
    <xf numFmtId="6" fontId="0" fillId="4" borderId="14" xfId="0" applyNumberFormat="1" applyFill="1" applyBorder="1" applyAlignment="1">
      <alignment vertical="top"/>
    </xf>
    <xf numFmtId="2" fontId="0" fillId="0" borderId="0" xfId="1" applyNumberFormat="1" applyFont="1"/>
    <xf numFmtId="0" fontId="2" fillId="2" borderId="26" xfId="1" applyNumberFormat="1" applyFont="1" applyFill="1" applyBorder="1" applyAlignment="1">
      <alignment horizontal="center"/>
    </xf>
    <xf numFmtId="0" fontId="12" fillId="2" borderId="13" xfId="0" applyNumberFormat="1" applyFont="1" applyFill="1" applyBorder="1"/>
    <xf numFmtId="164" fontId="0" fillId="0" borderId="0" xfId="0" applyNumberFormat="1"/>
    <xf numFmtId="166" fontId="0" fillId="9" borderId="25" xfId="1" applyNumberFormat="1" applyFont="1" applyFill="1" applyBorder="1"/>
    <xf numFmtId="166" fontId="0" fillId="9" borderId="26" xfId="1" applyNumberFormat="1" applyFont="1" applyFill="1" applyBorder="1"/>
    <xf numFmtId="0" fontId="0" fillId="2" borderId="14" xfId="0" applyNumberFormat="1" applyFill="1" applyBorder="1"/>
    <xf numFmtId="164" fontId="0" fillId="2" borderId="15" xfId="2" applyNumberFormat="1" applyFont="1" applyFill="1" applyBorder="1"/>
    <xf numFmtId="164" fontId="0" fillId="2" borderId="14" xfId="2" applyNumberFormat="1" applyFont="1" applyFill="1" applyBorder="1"/>
    <xf numFmtId="164" fontId="9" fillId="9" borderId="25" xfId="2" quotePrefix="1" applyNumberFormat="1" applyFont="1" applyFill="1" applyBorder="1"/>
    <xf numFmtId="164" fontId="0" fillId="9" borderId="25" xfId="2" applyNumberFormat="1" applyFont="1" applyFill="1" applyBorder="1"/>
    <xf numFmtId="164" fontId="0" fillId="9" borderId="26" xfId="2" applyNumberFormat="1" applyFont="1" applyFill="1" applyBorder="1"/>
    <xf numFmtId="0" fontId="2" fillId="9" borderId="24" xfId="0" applyFont="1" applyFill="1" applyBorder="1" applyAlignment="1">
      <alignment horizontal="center"/>
    </xf>
    <xf numFmtId="0" fontId="14" fillId="9" borderId="14" xfId="0" applyFont="1" applyFill="1" applyBorder="1" applyAlignment="1">
      <alignment horizontal="center"/>
    </xf>
    <xf numFmtId="164" fontId="2" fillId="0" borderId="16" xfId="0" applyNumberFormat="1" applyFont="1" applyBorder="1" applyAlignment="1">
      <alignment horizontal="center"/>
    </xf>
    <xf numFmtId="43" fontId="0" fillId="0" borderId="17" xfId="1" applyFont="1" applyBorder="1"/>
    <xf numFmtId="43" fontId="0" fillId="0" borderId="19" xfId="1" applyFont="1" applyBorder="1"/>
    <xf numFmtId="43" fontId="0" fillId="0" borderId="21" xfId="1" applyFont="1" applyBorder="1"/>
    <xf numFmtId="43" fontId="2" fillId="6" borderId="25" xfId="1" applyFont="1" applyFill="1" applyBorder="1" applyAlignment="1">
      <alignment horizontal="left"/>
    </xf>
    <xf numFmtId="0" fontId="0" fillId="0" borderId="19" xfId="0" applyFont="1" applyFill="1" applyBorder="1"/>
    <xf numFmtId="0" fontId="0" fillId="0" borderId="21" xfId="0" applyFont="1" applyFill="1" applyBorder="1"/>
    <xf numFmtId="0" fontId="4" fillId="9" borderId="22" xfId="0" quotePrefix="1" applyFont="1" applyFill="1" applyBorder="1"/>
    <xf numFmtId="0" fontId="0" fillId="9" borderId="22" xfId="0" applyFill="1" applyBorder="1"/>
    <xf numFmtId="0" fontId="0" fillId="9" borderId="23" xfId="0" applyFill="1" applyBorder="1"/>
    <xf numFmtId="164" fontId="0" fillId="0" borderId="48" xfId="2" applyNumberFormat="1" applyFont="1" applyBorder="1"/>
    <xf numFmtId="164" fontId="0" fillId="0" borderId="49" xfId="2" applyNumberFormat="1" applyFont="1" applyBorder="1"/>
    <xf numFmtId="164" fontId="0" fillId="0" borderId="50" xfId="2" applyNumberFormat="1" applyFont="1" applyBorder="1"/>
    <xf numFmtId="164" fontId="0" fillId="0" borderId="29" xfId="2" applyNumberFormat="1" applyFont="1" applyBorder="1"/>
    <xf numFmtId="164" fontId="0" fillId="0" borderId="51" xfId="2" applyNumberFormat="1" applyFont="1" applyBorder="1"/>
    <xf numFmtId="164" fontId="0" fillId="0" borderId="30" xfId="2" applyNumberFormat="1" applyFont="1" applyBorder="1"/>
    <xf numFmtId="164" fontId="0" fillId="0" borderId="15" xfId="2" applyNumberFormat="1" applyFont="1" applyBorder="1"/>
    <xf numFmtId="0" fontId="11" fillId="4" borderId="16" xfId="0" applyFont="1" applyFill="1" applyBorder="1" applyAlignment="1">
      <alignment horizontal="center" vertical="center" wrapText="1"/>
    </xf>
    <xf numFmtId="2" fontId="0" fillId="0" borderId="13" xfId="0" applyNumberFormat="1" applyBorder="1"/>
    <xf numFmtId="0" fontId="2" fillId="11" borderId="13" xfId="0" applyFont="1" applyFill="1" applyBorder="1" applyAlignment="1">
      <alignment horizontal="center"/>
    </xf>
    <xf numFmtId="0" fontId="2" fillId="2" borderId="25" xfId="0" applyNumberFormat="1" applyFont="1" applyFill="1" applyBorder="1" applyAlignment="1">
      <alignment horizontal="center"/>
    </xf>
    <xf numFmtId="0" fontId="2" fillId="2" borderId="26" xfId="0" applyNumberFormat="1" applyFont="1" applyFill="1" applyBorder="1" applyAlignment="1">
      <alignment horizontal="center"/>
    </xf>
    <xf numFmtId="0" fontId="0" fillId="0" borderId="17" xfId="0" applyFont="1" applyFill="1" applyBorder="1"/>
    <xf numFmtId="166" fontId="2" fillId="2" borderId="18" xfId="1" applyNumberFormat="1" applyFont="1" applyFill="1" applyBorder="1"/>
    <xf numFmtId="166" fontId="0" fillId="4" borderId="2" xfId="1" applyNumberFormat="1" applyFont="1" applyFill="1" applyBorder="1" applyAlignment="1">
      <alignment vertical="top"/>
    </xf>
    <xf numFmtId="166" fontId="0" fillId="5" borderId="5" xfId="1" applyNumberFormat="1" applyFont="1" applyFill="1" applyBorder="1" applyAlignment="1">
      <alignment vertical="top"/>
    </xf>
    <xf numFmtId="166" fontId="0" fillId="4" borderId="6" xfId="1" applyNumberFormat="1" applyFont="1" applyFill="1" applyBorder="1" applyAlignment="1">
      <alignment vertical="top"/>
    </xf>
    <xf numFmtId="166" fontId="0" fillId="5" borderId="11" xfId="1" applyNumberFormat="1" applyFont="1" applyFill="1" applyBorder="1" applyAlignment="1">
      <alignment vertical="top"/>
    </xf>
    <xf numFmtId="166" fontId="0" fillId="4" borderId="11" xfId="1" applyNumberFormat="1" applyFont="1" applyFill="1" applyBorder="1" applyAlignment="1">
      <alignment vertical="top"/>
    </xf>
    <xf numFmtId="166" fontId="0" fillId="5" borderId="40" xfId="1" applyNumberFormat="1" applyFont="1" applyFill="1" applyBorder="1" applyAlignment="1">
      <alignment vertical="top"/>
    </xf>
    <xf numFmtId="166" fontId="0" fillId="0" borderId="0" xfId="1" applyNumberFormat="1" applyFont="1"/>
    <xf numFmtId="165" fontId="2" fillId="2" borderId="18" xfId="3" applyNumberFormat="1" applyFont="1" applyFill="1" applyBorder="1"/>
    <xf numFmtId="165" fontId="0" fillId="4" borderId="2" xfId="3" applyNumberFormat="1" applyFont="1" applyFill="1" applyBorder="1" applyAlignment="1">
      <alignment vertical="top"/>
    </xf>
    <xf numFmtId="165" fontId="0" fillId="5" borderId="5" xfId="3" applyNumberFormat="1" applyFont="1" applyFill="1" applyBorder="1" applyAlignment="1">
      <alignment vertical="top"/>
    </xf>
    <xf numFmtId="165" fontId="0" fillId="4" borderId="6" xfId="3" applyNumberFormat="1" applyFont="1" applyFill="1" applyBorder="1" applyAlignment="1">
      <alignment vertical="top"/>
    </xf>
    <xf numFmtId="165" fontId="0" fillId="5" borderId="11" xfId="3" applyNumberFormat="1" applyFont="1" applyFill="1" applyBorder="1" applyAlignment="1">
      <alignment vertical="top"/>
    </xf>
    <xf numFmtId="165" fontId="0" fillId="4" borderId="11" xfId="3" applyNumberFormat="1" applyFont="1" applyFill="1" applyBorder="1" applyAlignment="1">
      <alignment vertical="top"/>
    </xf>
    <xf numFmtId="165" fontId="0" fillId="5" borderId="40" xfId="3" applyNumberFormat="1" applyFont="1" applyFill="1" applyBorder="1" applyAlignment="1">
      <alignment vertical="top"/>
    </xf>
    <xf numFmtId="164" fontId="2" fillId="2" borderId="3" xfId="2" applyNumberFormat="1" applyFont="1" applyFill="1" applyBorder="1"/>
    <xf numFmtId="164" fontId="0" fillId="4" borderId="3" xfId="2" applyNumberFormat="1" applyFont="1" applyFill="1" applyBorder="1" applyAlignment="1">
      <alignment vertical="top"/>
    </xf>
    <xf numFmtId="164" fontId="0" fillId="5" borderId="7" xfId="2" applyNumberFormat="1" applyFont="1" applyFill="1" applyBorder="1" applyAlignment="1">
      <alignment vertical="top"/>
    </xf>
    <xf numFmtId="164" fontId="0" fillId="4" borderId="9" xfId="2" applyNumberFormat="1" applyFont="1" applyFill="1" applyBorder="1" applyAlignment="1">
      <alignment vertical="top"/>
    </xf>
    <xf numFmtId="164" fontId="0" fillId="5" borderId="12" xfId="2" applyNumberFormat="1" applyFont="1" applyFill="1" applyBorder="1" applyAlignment="1">
      <alignment vertical="top"/>
    </xf>
    <xf numFmtId="164" fontId="0" fillId="4" borderId="20" xfId="2" applyNumberFormat="1" applyFont="1" applyFill="1" applyBorder="1" applyAlignment="1">
      <alignment vertical="top"/>
    </xf>
    <xf numFmtId="164" fontId="0" fillId="5" borderId="9" xfId="2" applyNumberFormat="1" applyFont="1" applyFill="1" applyBorder="1" applyAlignment="1">
      <alignment vertical="top"/>
    </xf>
    <xf numFmtId="164" fontId="0" fillId="4" borderId="12" xfId="2" applyNumberFormat="1" applyFont="1" applyFill="1" applyBorder="1" applyAlignment="1">
      <alignment vertical="top"/>
    </xf>
    <xf numFmtId="164" fontId="0" fillId="5" borderId="52" xfId="2" applyNumberFormat="1" applyFont="1" applyFill="1" applyBorder="1" applyAlignment="1">
      <alignment vertical="top"/>
    </xf>
    <xf numFmtId="164" fontId="0" fillId="0" borderId="3" xfId="2" applyNumberFormat="1" applyFont="1" applyBorder="1"/>
    <xf numFmtId="0" fontId="0" fillId="2" borderId="13" xfId="0" applyNumberFormat="1" applyFill="1" applyBorder="1"/>
    <xf numFmtId="0" fontId="2" fillId="6" borderId="24" xfId="0" applyFont="1" applyFill="1" applyBorder="1" applyAlignment="1">
      <alignment horizontal="center"/>
    </xf>
    <xf numFmtId="0" fontId="2" fillId="6" borderId="25" xfId="0" applyFont="1" applyFill="1" applyBorder="1"/>
    <xf numFmtId="164" fontId="2" fillId="6" borderId="25" xfId="2" applyNumberFormat="1" applyFont="1" applyFill="1" applyBorder="1"/>
    <xf numFmtId="0" fontId="2" fillId="6" borderId="26" xfId="0" applyFont="1" applyFill="1" applyBorder="1"/>
    <xf numFmtId="0" fontId="0" fillId="0" borderId="24" xfId="0" applyBorder="1"/>
    <xf numFmtId="0" fontId="0" fillId="0" borderId="26" xfId="0" applyBorder="1"/>
    <xf numFmtId="0" fontId="2" fillId="11" borderId="16" xfId="0" applyFont="1" applyFill="1" applyBorder="1" applyAlignment="1">
      <alignment horizontal="center"/>
    </xf>
    <xf numFmtId="0" fontId="2" fillId="2" borderId="25" xfId="0" applyFont="1" applyFill="1" applyBorder="1" applyAlignment="1">
      <alignment horizontal="center"/>
    </xf>
    <xf numFmtId="0" fontId="2" fillId="2" borderId="26" xfId="0" applyFont="1" applyFill="1" applyBorder="1" applyAlignment="1">
      <alignment horizontal="center"/>
    </xf>
    <xf numFmtId="0" fontId="2" fillId="0" borderId="0" xfId="0" applyFont="1" applyBorder="1" applyAlignment="1"/>
    <xf numFmtId="0" fontId="2" fillId="0" borderId="22" xfId="0" applyFont="1" applyBorder="1" applyAlignment="1"/>
    <xf numFmtId="0" fontId="2" fillId="0" borderId="22" xfId="0" applyFont="1" applyFill="1" applyBorder="1" applyAlignment="1"/>
    <xf numFmtId="43" fontId="2" fillId="11" borderId="16" xfId="1" applyFont="1" applyFill="1" applyBorder="1" applyAlignment="1">
      <alignment horizontal="center"/>
    </xf>
    <xf numFmtId="43" fontId="2" fillId="11" borderId="24" xfId="1" applyFont="1" applyFill="1" applyBorder="1" applyAlignment="1">
      <alignment horizontal="center"/>
    </xf>
    <xf numFmtId="0" fontId="2" fillId="11" borderId="25" xfId="0" applyFont="1" applyFill="1" applyBorder="1"/>
    <xf numFmtId="43" fontId="2" fillId="11" borderId="25" xfId="1" applyFont="1" applyFill="1" applyBorder="1" applyAlignment="1">
      <alignment horizontal="center"/>
    </xf>
    <xf numFmtId="43" fontId="2" fillId="11" borderId="26" xfId="1" applyFont="1" applyFill="1" applyBorder="1" applyAlignment="1">
      <alignment horizontal="center"/>
    </xf>
    <xf numFmtId="0" fontId="2" fillId="0" borderId="20" xfId="0" applyFont="1" applyBorder="1" applyAlignment="1"/>
    <xf numFmtId="0" fontId="2" fillId="0" borderId="23" xfId="0" applyFont="1" applyBorder="1" applyAlignment="1"/>
    <xf numFmtId="0" fontId="2" fillId="0" borderId="16" xfId="0" applyFont="1" applyFill="1" applyBorder="1" applyAlignment="1">
      <alignment horizontal="left"/>
    </xf>
    <xf numFmtId="0" fontId="0" fillId="0" borderId="0" xfId="0" applyFont="1" applyFill="1" applyBorder="1"/>
    <xf numFmtId="43" fontId="2" fillId="0" borderId="16" xfId="0" applyNumberFormat="1" applyFont="1" applyBorder="1" applyAlignment="1">
      <alignment horizontal="center"/>
    </xf>
    <xf numFmtId="0" fontId="0" fillId="7" borderId="16" xfId="0" applyFill="1" applyBorder="1"/>
    <xf numFmtId="0" fontId="0" fillId="0" borderId="0" xfId="0" applyBorder="1" applyAlignment="1">
      <alignment vertical="center" wrapText="1"/>
    </xf>
    <xf numFmtId="0" fontId="0" fillId="0" borderId="17" xfId="0" applyBorder="1" applyAlignment="1">
      <alignment horizontal="center" vertical="center"/>
    </xf>
    <xf numFmtId="0" fontId="0" fillId="0" borderId="21" xfId="0" applyBorder="1" applyAlignment="1">
      <alignment horizontal="center" vertical="center"/>
    </xf>
    <xf numFmtId="0" fontId="6" fillId="8" borderId="17" xfId="5" applyFont="1" applyFill="1" applyBorder="1" applyAlignment="1">
      <alignment horizontal="center" vertical="center"/>
    </xf>
    <xf numFmtId="0" fontId="6" fillId="8" borderId="3" xfId="5" applyFont="1" applyFill="1" applyBorder="1" applyAlignment="1">
      <alignment horizontal="center" vertical="center"/>
    </xf>
    <xf numFmtId="0" fontId="6" fillId="8" borderId="21" xfId="5" applyFont="1" applyFill="1" applyBorder="1" applyAlignment="1">
      <alignment horizontal="center" vertical="center"/>
    </xf>
    <xf numFmtId="0" fontId="6" fillId="8" borderId="23" xfId="5" applyFont="1" applyFill="1" applyBorder="1" applyAlignment="1">
      <alignment horizontal="center" vertical="center"/>
    </xf>
    <xf numFmtId="0" fontId="0" fillId="0" borderId="17" xfId="0" applyBorder="1" applyAlignment="1">
      <alignment horizontal="center" vertical="center" wrapText="1"/>
    </xf>
    <xf numFmtId="0" fontId="0" fillId="0" borderId="18" xfId="0" applyBorder="1" applyAlignment="1">
      <alignment horizontal="center" vertical="center" wrapText="1"/>
    </xf>
    <xf numFmtId="0" fontId="0" fillId="0" borderId="3" xfId="0" applyBorder="1" applyAlignment="1">
      <alignment horizontal="center" vertical="center" wrapText="1"/>
    </xf>
    <xf numFmtId="0" fontId="0" fillId="0" borderId="21"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7" borderId="17" xfId="0" applyFill="1" applyBorder="1" applyAlignment="1" applyProtection="1">
      <alignment horizontal="center"/>
      <protection locked="0"/>
    </xf>
    <xf numFmtId="0" fontId="0" fillId="7" borderId="3" xfId="0" applyFill="1" applyBorder="1" applyAlignment="1" applyProtection="1">
      <alignment horizontal="center"/>
      <protection locked="0"/>
    </xf>
    <xf numFmtId="0" fontId="0" fillId="7" borderId="21" xfId="0" applyFill="1" applyBorder="1" applyAlignment="1" applyProtection="1">
      <alignment horizontal="center"/>
      <protection locked="0"/>
    </xf>
    <xf numFmtId="0" fontId="0" fillId="7" borderId="23" xfId="0" applyFill="1" applyBorder="1" applyAlignment="1" applyProtection="1">
      <alignment horizontal="center"/>
      <protection locked="0"/>
    </xf>
    <xf numFmtId="0" fontId="0" fillId="0" borderId="22" xfId="0" applyBorder="1" applyAlignment="1">
      <alignment horizontal="center"/>
    </xf>
    <xf numFmtId="0" fontId="0" fillId="0" borderId="0" xfId="0" applyAlignment="1">
      <alignment horizontal="center"/>
    </xf>
    <xf numFmtId="0" fontId="10" fillId="6" borderId="17" xfId="0" applyFont="1" applyFill="1" applyBorder="1" applyAlignment="1">
      <alignment horizontal="center"/>
    </xf>
    <xf numFmtId="0" fontId="10" fillId="6" borderId="18" xfId="0" applyFont="1" applyFill="1" applyBorder="1" applyAlignment="1">
      <alignment horizontal="center"/>
    </xf>
    <xf numFmtId="0" fontId="10" fillId="6" borderId="3" xfId="0" applyFont="1" applyFill="1" applyBorder="1" applyAlignment="1">
      <alignment horizontal="center"/>
    </xf>
    <xf numFmtId="0" fontId="10" fillId="6" borderId="21" xfId="0" applyFont="1" applyFill="1" applyBorder="1" applyAlignment="1">
      <alignment horizontal="center"/>
    </xf>
    <xf numFmtId="0" fontId="10" fillId="6" borderId="22" xfId="0" applyFont="1" applyFill="1" applyBorder="1" applyAlignment="1">
      <alignment horizontal="center"/>
    </xf>
    <xf numFmtId="0" fontId="10" fillId="6" borderId="23" xfId="0" applyFont="1" applyFill="1" applyBorder="1" applyAlignment="1">
      <alignment horizontal="center"/>
    </xf>
    <xf numFmtId="0" fontId="2" fillId="0" borderId="24" xfId="0" applyFont="1" applyBorder="1" applyAlignment="1">
      <alignment horizontal="center"/>
    </xf>
    <xf numFmtId="0" fontId="2" fillId="0" borderId="26" xfId="0" applyFont="1" applyBorder="1" applyAlignment="1">
      <alignment horizontal="center"/>
    </xf>
    <xf numFmtId="0" fontId="2" fillId="6" borderId="24" xfId="0" applyFont="1" applyFill="1" applyBorder="1" applyAlignment="1">
      <alignment horizontal="center"/>
    </xf>
    <xf numFmtId="0" fontId="2" fillId="6" borderId="26" xfId="0" applyFont="1" applyFill="1" applyBorder="1" applyAlignment="1">
      <alignment horizontal="center"/>
    </xf>
    <xf numFmtId="0" fontId="0" fillId="0" borderId="13"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7" fillId="8" borderId="17" xfId="0" applyFont="1" applyFill="1" applyBorder="1" applyAlignment="1" applyProtection="1">
      <alignment horizontal="center" vertical="center"/>
      <protection locked="0"/>
    </xf>
    <xf numFmtId="0" fontId="7" fillId="8" borderId="21" xfId="0" applyFont="1" applyFill="1" applyBorder="1" applyAlignment="1" applyProtection="1">
      <alignment horizontal="center" vertical="center"/>
      <protection locked="0"/>
    </xf>
    <xf numFmtId="0" fontId="2" fillId="0" borderId="13" xfId="0" applyFont="1" applyBorder="1" applyAlignment="1">
      <alignment horizontal="center" vertical="center"/>
    </xf>
    <xf numFmtId="0" fontId="2" fillId="0" borderId="15" xfId="0" applyFont="1" applyBorder="1" applyAlignment="1">
      <alignment horizontal="center" vertical="center"/>
    </xf>
    <xf numFmtId="0" fontId="0" fillId="0" borderId="17" xfId="0" applyBorder="1" applyAlignment="1">
      <alignment horizontal="center"/>
    </xf>
    <xf numFmtId="0" fontId="0" fillId="0" borderId="19" xfId="0" applyBorder="1" applyAlignment="1">
      <alignment horizontal="center"/>
    </xf>
    <xf numFmtId="164" fontId="7" fillId="8" borderId="13" xfId="2" applyNumberFormat="1" applyFont="1" applyFill="1" applyBorder="1" applyAlignment="1" applyProtection="1">
      <alignment horizontal="left" vertical="center"/>
      <protection locked="0"/>
    </xf>
    <xf numFmtId="164" fontId="7" fillId="8" borderId="15" xfId="2" applyNumberFormat="1" applyFont="1" applyFill="1" applyBorder="1" applyAlignment="1" applyProtection="1">
      <alignment horizontal="left" vertical="center"/>
      <protection locked="0"/>
    </xf>
    <xf numFmtId="0" fontId="7" fillId="8" borderId="18" xfId="0" applyFont="1" applyFill="1" applyBorder="1" applyAlignment="1" applyProtection="1">
      <alignment horizontal="center" vertical="center"/>
      <protection locked="0"/>
    </xf>
    <xf numFmtId="0" fontId="7" fillId="8" borderId="3" xfId="0" applyFont="1" applyFill="1" applyBorder="1" applyAlignment="1" applyProtection="1">
      <alignment horizontal="center" vertical="center"/>
      <protection locked="0"/>
    </xf>
    <xf numFmtId="0" fontId="7" fillId="8" borderId="19" xfId="0" applyFont="1" applyFill="1" applyBorder="1" applyAlignment="1" applyProtection="1">
      <alignment horizontal="center" vertical="center"/>
      <protection locked="0"/>
    </xf>
    <xf numFmtId="0" fontId="7" fillId="8" borderId="0" xfId="0" applyFont="1" applyFill="1" applyBorder="1" applyAlignment="1" applyProtection="1">
      <alignment horizontal="center" vertical="center"/>
      <protection locked="0"/>
    </xf>
    <xf numFmtId="0" fontId="7" fillId="8" borderId="20" xfId="0" applyFont="1" applyFill="1" applyBorder="1" applyAlignment="1" applyProtection="1">
      <alignment horizontal="center" vertical="center"/>
      <protection locked="0"/>
    </xf>
    <xf numFmtId="0" fontId="7" fillId="8" borderId="22" xfId="0" applyFont="1" applyFill="1" applyBorder="1" applyAlignment="1" applyProtection="1">
      <alignment horizontal="center" vertical="center"/>
      <protection locked="0"/>
    </xf>
    <xf numFmtId="0" fontId="7" fillId="8" borderId="23" xfId="0" applyFont="1" applyFill="1" applyBorder="1" applyAlignment="1" applyProtection="1">
      <alignment horizontal="center" vertical="center"/>
      <protection locked="0"/>
    </xf>
    <xf numFmtId="0" fontId="2" fillId="2" borderId="17" xfId="1" applyNumberFormat="1" applyFont="1" applyFill="1" applyBorder="1" applyAlignment="1">
      <alignment horizontal="center" vertical="center"/>
    </xf>
    <xf numFmtId="0" fontId="2" fillId="2" borderId="3" xfId="1" applyNumberFormat="1" applyFont="1" applyFill="1" applyBorder="1" applyAlignment="1">
      <alignment horizontal="center" vertical="center"/>
    </xf>
    <xf numFmtId="0" fontId="2" fillId="2" borderId="21" xfId="1" applyNumberFormat="1" applyFont="1" applyFill="1" applyBorder="1" applyAlignment="1">
      <alignment horizontal="center" vertical="center"/>
    </xf>
    <xf numFmtId="0" fontId="2" fillId="2" borderId="23" xfId="1" applyNumberFormat="1" applyFont="1" applyFill="1" applyBorder="1" applyAlignment="1">
      <alignment horizontal="center" vertical="center"/>
    </xf>
    <xf numFmtId="43" fontId="2" fillId="0" borderId="24" xfId="0" applyNumberFormat="1" applyFont="1" applyBorder="1" applyAlignment="1">
      <alignment horizontal="center" vertical="center"/>
    </xf>
    <xf numFmtId="43" fontId="2" fillId="0" borderId="25" xfId="0" applyNumberFormat="1" applyFont="1" applyBorder="1" applyAlignment="1">
      <alignment horizontal="center" vertical="center"/>
    </xf>
    <xf numFmtId="43" fontId="2" fillId="0" borderId="26" xfId="0" applyNumberFormat="1" applyFont="1" applyBorder="1" applyAlignment="1">
      <alignment horizontal="center" vertical="center"/>
    </xf>
    <xf numFmtId="43" fontId="2" fillId="6" borderId="24" xfId="1" applyFont="1" applyFill="1" applyBorder="1" applyAlignment="1">
      <alignment horizontal="center"/>
    </xf>
    <xf numFmtId="43" fontId="2" fillId="6" borderId="25" xfId="1" applyFont="1" applyFill="1" applyBorder="1" applyAlignment="1">
      <alignment horizontal="center"/>
    </xf>
    <xf numFmtId="0" fontId="0" fillId="0" borderId="45" xfId="0" applyBorder="1" applyAlignment="1">
      <alignment horizontal="center"/>
    </xf>
    <xf numFmtId="0" fontId="0" fillId="0" borderId="37" xfId="0" applyBorder="1" applyAlignment="1">
      <alignment horizontal="center"/>
    </xf>
    <xf numFmtId="0" fontId="0" fillId="0" borderId="44" xfId="0" applyBorder="1" applyAlignment="1">
      <alignment horizontal="center"/>
    </xf>
    <xf numFmtId="0" fontId="0" fillId="0" borderId="34" xfId="0" applyBorder="1" applyAlignment="1">
      <alignment horizontal="center"/>
    </xf>
    <xf numFmtId="0" fontId="0" fillId="0" borderId="0" xfId="0" applyBorder="1" applyAlignment="1">
      <alignment horizontal="center"/>
    </xf>
    <xf numFmtId="0" fontId="16" fillId="0" borderId="0" xfId="0" applyFont="1"/>
  </cellXfs>
  <cellStyles count="6">
    <cellStyle name="Comma" xfId="1" builtinId="3"/>
    <cellStyle name="Currency" xfId="2" builtinId="4"/>
    <cellStyle name="Hyperlink" xfId="5" builtinId="8"/>
    <cellStyle name="Normal" xfId="0" builtinId="0"/>
    <cellStyle name="Percent" xfId="3" builtinId="5"/>
    <cellStyle name="Style 1" xfId="4"/>
  </cellStyles>
  <dxfs count="44">
    <dxf>
      <font>
        <color rgb="FFFF0000"/>
      </font>
      <fill>
        <patternFill>
          <bgColor rgb="FFFFD4D3"/>
        </patternFill>
      </fill>
    </dxf>
    <dxf>
      <font>
        <color rgb="FFFF0000"/>
      </font>
      <fill>
        <patternFill>
          <bgColor rgb="FFFFD6D3"/>
        </patternFill>
      </fill>
    </dxf>
    <dxf>
      <font>
        <color rgb="FFFF0000"/>
      </font>
      <fill>
        <patternFill>
          <bgColor rgb="FFFFD6D3"/>
        </patternFill>
      </fill>
    </dxf>
    <dxf>
      <font>
        <color rgb="FFFF0000"/>
      </font>
      <fill>
        <patternFill>
          <bgColor rgb="FFFFD4D3"/>
        </patternFill>
      </fill>
    </dxf>
    <dxf>
      <font>
        <color rgb="FFFF0000"/>
      </font>
      <fill>
        <patternFill>
          <bgColor rgb="FFFFD4D3"/>
        </patternFill>
      </fill>
    </dxf>
    <dxf>
      <font>
        <color rgb="FFFF0000"/>
      </font>
      <fill>
        <patternFill>
          <bgColor rgb="FFFFD3D3"/>
        </patternFill>
      </fill>
    </dxf>
    <dxf>
      <font>
        <color rgb="FFFF0000"/>
      </font>
      <fill>
        <patternFill>
          <bgColor rgb="FFFFD4D3"/>
        </patternFill>
      </fill>
    </dxf>
    <dxf>
      <font>
        <color rgb="FFFF0000"/>
      </font>
      <fill>
        <patternFill>
          <bgColor rgb="FFFFD6D3"/>
        </patternFill>
      </fill>
    </dxf>
    <dxf>
      <font>
        <color rgb="FFFF0000"/>
      </font>
      <fill>
        <patternFill>
          <bgColor rgb="FFFFD6D3"/>
        </patternFill>
      </fill>
    </dxf>
    <dxf>
      <font>
        <color rgb="FFFF0000"/>
      </font>
      <fill>
        <patternFill>
          <bgColor rgb="FFFFD4D3"/>
        </patternFill>
      </fill>
    </dxf>
    <dxf>
      <font>
        <color rgb="FFFF0000"/>
      </font>
      <fill>
        <patternFill>
          <bgColor rgb="FFFFD6D3"/>
        </patternFill>
      </fill>
    </dxf>
    <dxf>
      <font>
        <color rgb="FFFF0000"/>
      </font>
      <fill>
        <patternFill>
          <bgColor rgb="FFFFD7D3"/>
        </patternFill>
      </fill>
    </dxf>
    <dxf>
      <font>
        <color rgb="FFFF0000"/>
      </font>
      <fill>
        <patternFill>
          <bgColor rgb="FFFFD3D3"/>
        </patternFill>
      </fill>
    </dxf>
    <dxf>
      <font>
        <color rgb="FFFF0000"/>
      </font>
      <fill>
        <patternFill>
          <bgColor rgb="FFFFD4D3"/>
        </patternFill>
      </fill>
    </dxf>
    <dxf>
      <font>
        <color rgb="FFFF0000"/>
      </font>
      <fill>
        <patternFill>
          <bgColor rgb="FFFFD4D3"/>
        </patternFill>
      </fill>
    </dxf>
    <dxf>
      <font>
        <color rgb="FFFF0000"/>
      </font>
      <fill>
        <patternFill>
          <bgColor rgb="FFFFD3D3"/>
        </patternFill>
      </fill>
    </dxf>
    <dxf>
      <font>
        <color rgb="FFFF0000"/>
      </font>
      <fill>
        <patternFill>
          <bgColor rgb="FFFFD3D3"/>
        </patternFill>
      </fill>
    </dxf>
    <dxf>
      <font>
        <color rgb="FFFF0000"/>
      </font>
      <fill>
        <patternFill>
          <bgColor rgb="FFFED5D4"/>
        </patternFill>
      </fill>
    </dxf>
    <dxf>
      <font>
        <color rgb="FFFF0000"/>
      </font>
      <fill>
        <patternFill>
          <bgColor rgb="FFFFD4D3"/>
        </patternFill>
      </fill>
    </dxf>
    <dxf>
      <font>
        <color rgb="FFFF0000"/>
      </font>
      <fill>
        <patternFill>
          <bgColor rgb="FFFFD6D3"/>
        </patternFill>
      </fill>
    </dxf>
    <dxf>
      <font>
        <color rgb="FFFF0000"/>
      </font>
      <fill>
        <patternFill>
          <bgColor rgb="FFFFD6D3"/>
        </patternFill>
      </fill>
    </dxf>
    <dxf>
      <font>
        <color rgb="FFFF0000"/>
      </font>
      <fill>
        <patternFill>
          <bgColor rgb="FFFFD4D3"/>
        </patternFill>
      </fill>
    </dxf>
    <dxf>
      <font>
        <color rgb="FFFF0000"/>
      </font>
      <fill>
        <patternFill>
          <bgColor rgb="FFFFD6D3"/>
        </patternFill>
      </fill>
    </dxf>
    <dxf>
      <font>
        <color rgb="FFFF0000"/>
      </font>
      <fill>
        <patternFill>
          <bgColor rgb="FFFFD7D3"/>
        </patternFill>
      </fill>
    </dxf>
    <dxf>
      <font>
        <color rgb="FFFF0000"/>
      </font>
      <fill>
        <patternFill>
          <bgColor rgb="FFFFD3D3"/>
        </patternFill>
      </fill>
    </dxf>
    <dxf>
      <font>
        <color rgb="FFFF0000"/>
      </font>
      <fill>
        <patternFill>
          <bgColor rgb="FFFFD4D3"/>
        </patternFill>
      </fill>
    </dxf>
    <dxf>
      <font>
        <color rgb="FFFF0000"/>
      </font>
      <fill>
        <patternFill>
          <bgColor rgb="FFFFD4D3"/>
        </patternFill>
      </fill>
    </dxf>
    <dxf>
      <font>
        <color rgb="FFFF0000"/>
      </font>
      <fill>
        <patternFill>
          <bgColor rgb="FFFFD3D3"/>
        </patternFill>
      </fill>
    </dxf>
    <dxf>
      <font>
        <color rgb="FFFF0000"/>
      </font>
      <fill>
        <patternFill>
          <bgColor rgb="FFFFD3D3"/>
        </patternFill>
      </fill>
    </dxf>
    <dxf>
      <font>
        <color rgb="FFFF0000"/>
      </font>
      <fill>
        <patternFill>
          <bgColor rgb="FFFED5D4"/>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rgb="FFE0CAC6"/>
        </patternFill>
      </fill>
    </dxf>
    <dxf>
      <font>
        <b/>
        <i val="0"/>
      </font>
      <fill>
        <patternFill patternType="solid">
          <bgColor theme="0" tint="-0.14996795556505021"/>
        </patternFill>
      </fill>
    </dxf>
    <dxf>
      <fill>
        <patternFill>
          <bgColor rgb="FFE0CAC6"/>
        </patternFill>
      </fill>
    </dxf>
    <dxf>
      <font>
        <b/>
        <i val="0"/>
      </font>
      <fill>
        <patternFill patternType="solid">
          <bgColor theme="0" tint="-0.14996795556505021"/>
        </patternFill>
      </fill>
    </dxf>
    <dxf>
      <fill>
        <patternFill>
          <bgColor rgb="FFE0CAC6"/>
        </patternFill>
      </fill>
    </dxf>
    <dxf>
      <font>
        <b/>
        <i val="0"/>
      </font>
      <fill>
        <patternFill patternType="solid">
          <bgColor theme="0" tint="-0.14996795556505021"/>
        </patternFill>
      </fill>
    </dxf>
    <dxf>
      <fill>
        <patternFill>
          <bgColor rgb="FFE0CAC6"/>
        </patternFill>
      </fill>
    </dxf>
    <dxf>
      <font>
        <b/>
        <i val="0"/>
      </font>
      <fill>
        <patternFill patternType="solid">
          <bgColor theme="0" tint="-0.14996795556505021"/>
        </patternFill>
      </fill>
    </dxf>
    <dxf>
      <fill>
        <patternFill>
          <bgColor rgb="FFE0CAC6"/>
        </patternFill>
      </fill>
    </dxf>
    <dxf>
      <font>
        <b/>
        <i val="0"/>
      </font>
      <fill>
        <patternFill patternType="solid">
          <bgColor theme="0" tint="-0.14996795556505021"/>
        </patternFill>
      </fill>
    </dxf>
    <dxf>
      <fill>
        <patternFill>
          <bgColor rgb="FFFFFF00"/>
        </patternFill>
      </fill>
    </dxf>
  </dxfs>
  <tableStyles count="0" defaultTableStyle="TableStyleMedium2" defaultPivotStyle="PivotStyleLight16"/>
  <colors>
    <mruColors>
      <color rgb="FFE0CAC6"/>
      <color rgb="FFFFD4D3"/>
      <color rgb="FFFFD6D3"/>
      <color rgb="FFFFD3D3"/>
      <color rgb="FFFFD7D3"/>
      <color rgb="FFFED5D4"/>
      <color rgb="FFFFD9D9"/>
      <color rgb="FFFED4D4"/>
      <color rgb="FF963634"/>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Radio" firstButton="1" lockText="1" noThreeD="1"/>
</file>

<file path=xl/ctrlProps/ctrlProp2.xml><?xml version="1.0" encoding="utf-8"?>
<formControlPr xmlns="http://schemas.microsoft.com/office/spreadsheetml/2009/9/main" objectType="Radio" checked="Checked"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Spin" dx="22" fmlaLink="$D$1" max="200" min="1" page="10"/>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24</xdr:row>
          <xdr:rowOff>180975</xdr:rowOff>
        </xdr:from>
        <xdr:to>
          <xdr:col>3</xdr:col>
          <xdr:colOff>0</xdr:colOff>
          <xdr:row>26</xdr:row>
          <xdr:rowOff>180975</xdr:rowOff>
        </xdr:to>
        <xdr:sp macro="" textlink="">
          <xdr:nvSpPr>
            <xdr:cNvPr id="9219" name="Option Button 3" hidden="1">
              <a:extLst>
                <a:ext uri="{63B3BB69-23CF-44E3-9099-C40C66FF867C}">
                  <a14:compatExt spid="_x0000_s92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Allocation 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27</xdr:row>
          <xdr:rowOff>19050</xdr:rowOff>
        </xdr:from>
        <xdr:to>
          <xdr:col>2</xdr:col>
          <xdr:colOff>723900</xdr:colOff>
          <xdr:row>28</xdr:row>
          <xdr:rowOff>180975</xdr:rowOff>
        </xdr:to>
        <xdr:sp macro="" textlink="">
          <xdr:nvSpPr>
            <xdr:cNvPr id="9220" name="Option Button 4" hidden="1">
              <a:extLst>
                <a:ext uri="{63B3BB69-23CF-44E3-9099-C40C66FF867C}">
                  <a14:compatExt spid="_x0000_s92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Allocation OFF</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30</xdr:row>
          <xdr:rowOff>0</xdr:rowOff>
        </xdr:from>
        <xdr:to>
          <xdr:col>1</xdr:col>
          <xdr:colOff>0</xdr:colOff>
          <xdr:row>32</xdr:row>
          <xdr:rowOff>9525</xdr:rowOff>
        </xdr:to>
        <xdr:sp macro="" textlink="">
          <xdr:nvSpPr>
            <xdr:cNvPr id="9223" name="Button 7" hidden="1">
              <a:extLst>
                <a:ext uri="{63B3BB69-23CF-44E3-9099-C40C66FF867C}">
                  <a14:compatExt spid="_x0000_s92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33</xdr:row>
          <xdr:rowOff>9525</xdr:rowOff>
        </xdr:from>
        <xdr:to>
          <xdr:col>0</xdr:col>
          <xdr:colOff>1619250</xdr:colOff>
          <xdr:row>35</xdr:row>
          <xdr:rowOff>0</xdr:rowOff>
        </xdr:to>
        <xdr:sp macro="" textlink="">
          <xdr:nvSpPr>
            <xdr:cNvPr id="9224" name="Button 8" hidden="1">
              <a:extLst>
                <a:ext uri="{63B3BB69-23CF-44E3-9099-C40C66FF867C}">
                  <a14:compatExt spid="_x0000_s92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Unhide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1066800</xdr:colOff>
          <xdr:row>0</xdr:row>
          <xdr:rowOff>19050</xdr:rowOff>
        </xdr:from>
        <xdr:to>
          <xdr:col>2</xdr:col>
          <xdr:colOff>1276350</xdr:colOff>
          <xdr:row>1</xdr:row>
          <xdr:rowOff>171450</xdr:rowOff>
        </xdr:to>
        <xdr:sp macro="" textlink="">
          <xdr:nvSpPr>
            <xdr:cNvPr id="17415" name="Spinner 7" hidden="1">
              <a:extLst>
                <a:ext uri="{63B3BB69-23CF-44E3-9099-C40C66FF867C}">
                  <a14:compatExt spid="_x0000_s174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38100</xdr:colOff>
          <xdr:row>0</xdr:row>
          <xdr:rowOff>38100</xdr:rowOff>
        </xdr:from>
        <xdr:to>
          <xdr:col>4</xdr:col>
          <xdr:colOff>1504950</xdr:colOff>
          <xdr:row>2</xdr:row>
          <xdr:rowOff>161925</xdr:rowOff>
        </xdr:to>
        <xdr:sp macro="" textlink="">
          <xdr:nvSpPr>
            <xdr:cNvPr id="17416" name="Button 8" hidden="1">
              <a:extLst>
                <a:ext uri="{63B3BB69-23CF-44E3-9099-C40C66FF867C}">
                  <a14:compatExt spid="_x0000_s1741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3</xdr:row>
          <xdr:rowOff>28575</xdr:rowOff>
        </xdr:from>
        <xdr:to>
          <xdr:col>4</xdr:col>
          <xdr:colOff>1495425</xdr:colOff>
          <xdr:row>5</xdr:row>
          <xdr:rowOff>180975</xdr:rowOff>
        </xdr:to>
        <xdr:sp macro="" textlink="">
          <xdr:nvSpPr>
            <xdr:cNvPr id="17417" name="Button 9" hidden="1">
              <a:extLst>
                <a:ext uri="{63B3BB69-23CF-44E3-9099-C40C66FF867C}">
                  <a14:compatExt spid="_x0000_s174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0</xdr:row>
          <xdr:rowOff>38100</xdr:rowOff>
        </xdr:from>
        <xdr:to>
          <xdr:col>5</xdr:col>
          <xdr:colOff>1495425</xdr:colOff>
          <xdr:row>2</xdr:row>
          <xdr:rowOff>161925</xdr:rowOff>
        </xdr:to>
        <xdr:sp macro="" textlink="">
          <xdr:nvSpPr>
            <xdr:cNvPr id="17426" name="Button 18" hidden="1">
              <a:extLst>
                <a:ext uri="{63B3BB69-23CF-44E3-9099-C40C66FF867C}">
                  <a14:compatExt spid="_x0000_s174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1524000</xdr:colOff>
          <xdr:row>8</xdr:row>
          <xdr:rowOff>9525</xdr:rowOff>
        </xdr:from>
        <xdr:to>
          <xdr:col>3</xdr:col>
          <xdr:colOff>0</xdr:colOff>
          <xdr:row>9</xdr:row>
          <xdr:rowOff>9525</xdr:rowOff>
        </xdr:to>
        <xdr:sp macro="" textlink="">
          <xdr:nvSpPr>
            <xdr:cNvPr id="17432" name="Button 24" hidden="1">
              <a:extLst>
                <a:ext uri="{63B3BB69-23CF-44E3-9099-C40C66FF867C}">
                  <a14:compatExt spid="_x0000_s174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twoCellAnchor>
    <xdr:from>
      <xdr:col>11</xdr:col>
      <xdr:colOff>44823</xdr:colOff>
      <xdr:row>5</xdr:row>
      <xdr:rowOff>190500</xdr:rowOff>
    </xdr:from>
    <xdr:to>
      <xdr:col>11</xdr:col>
      <xdr:colOff>1232647</xdr:colOff>
      <xdr:row>7</xdr:row>
      <xdr:rowOff>190500</xdr:rowOff>
    </xdr:to>
    <xdr:sp macro="[0]!Solver1" textlink="">
      <xdr:nvSpPr>
        <xdr:cNvPr id="8" name="Rectangle 7"/>
        <xdr:cNvSpPr/>
      </xdr:nvSpPr>
      <xdr:spPr>
        <a:xfrm>
          <a:off x="15878735" y="1165412"/>
          <a:ext cx="1187824" cy="58270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Update Optimal Lineup</a:t>
          </a:r>
        </a:p>
        <a:p>
          <a:pPr algn="l"/>
          <a:endParaRPr lang="en-US" sz="1100"/>
        </a:p>
      </xdr:txBody>
    </xdr:sp>
    <xdr:clientData/>
  </xdr:twoCellAnchor>
  <mc:AlternateContent xmlns:mc="http://schemas.openxmlformats.org/markup-compatibility/2006">
    <mc:Choice xmlns:a14="http://schemas.microsoft.com/office/drawing/2010/main" Requires="a14">
      <xdr:twoCellAnchor>
        <xdr:from>
          <xdr:col>3</xdr:col>
          <xdr:colOff>0</xdr:colOff>
          <xdr:row>8</xdr:row>
          <xdr:rowOff>9525</xdr:rowOff>
        </xdr:from>
        <xdr:to>
          <xdr:col>4</xdr:col>
          <xdr:colOff>0</xdr:colOff>
          <xdr:row>9</xdr:row>
          <xdr:rowOff>9525</xdr:rowOff>
        </xdr:to>
        <xdr:sp macro="" textlink="">
          <xdr:nvSpPr>
            <xdr:cNvPr id="17433" name="Button 25" hidden="1">
              <a:extLst>
                <a:ext uri="{63B3BB69-23CF-44E3-9099-C40C66FF867C}">
                  <a14:compatExt spid="_x0000_s174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8</xdr:row>
          <xdr:rowOff>9525</xdr:rowOff>
        </xdr:from>
        <xdr:to>
          <xdr:col>5</xdr:col>
          <xdr:colOff>0</xdr:colOff>
          <xdr:row>9</xdr:row>
          <xdr:rowOff>9525</xdr:rowOff>
        </xdr:to>
        <xdr:sp macro="" textlink="">
          <xdr:nvSpPr>
            <xdr:cNvPr id="17434" name="Button 26" hidden="1">
              <a:extLst>
                <a:ext uri="{63B3BB69-23CF-44E3-9099-C40C66FF867C}">
                  <a14:compatExt spid="_x0000_s174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8</xdr:row>
          <xdr:rowOff>9525</xdr:rowOff>
        </xdr:from>
        <xdr:to>
          <xdr:col>6</xdr:col>
          <xdr:colOff>0</xdr:colOff>
          <xdr:row>9</xdr:row>
          <xdr:rowOff>9525</xdr:rowOff>
        </xdr:to>
        <xdr:sp macro="" textlink="">
          <xdr:nvSpPr>
            <xdr:cNvPr id="17435" name="Button 27" hidden="1">
              <a:extLst>
                <a:ext uri="{63B3BB69-23CF-44E3-9099-C40C66FF867C}">
                  <a14:compatExt spid="_x0000_s174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8</xdr:row>
          <xdr:rowOff>9525</xdr:rowOff>
        </xdr:from>
        <xdr:to>
          <xdr:col>7</xdr:col>
          <xdr:colOff>0</xdr:colOff>
          <xdr:row>9</xdr:row>
          <xdr:rowOff>9525</xdr:rowOff>
        </xdr:to>
        <xdr:sp macro="" textlink="">
          <xdr:nvSpPr>
            <xdr:cNvPr id="17436" name="Button 28" hidden="1">
              <a:extLst>
                <a:ext uri="{63B3BB69-23CF-44E3-9099-C40C66FF867C}">
                  <a14:compatExt spid="_x0000_s174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8</xdr:row>
          <xdr:rowOff>9525</xdr:rowOff>
        </xdr:from>
        <xdr:to>
          <xdr:col>8</xdr:col>
          <xdr:colOff>0</xdr:colOff>
          <xdr:row>9</xdr:row>
          <xdr:rowOff>9525</xdr:rowOff>
        </xdr:to>
        <xdr:sp macro="" textlink="">
          <xdr:nvSpPr>
            <xdr:cNvPr id="17437" name="Button 29" hidden="1">
              <a:extLst>
                <a:ext uri="{63B3BB69-23CF-44E3-9099-C40C66FF867C}">
                  <a14:compatExt spid="_x0000_s174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8</xdr:row>
          <xdr:rowOff>9525</xdr:rowOff>
        </xdr:from>
        <xdr:to>
          <xdr:col>9</xdr:col>
          <xdr:colOff>0</xdr:colOff>
          <xdr:row>9</xdr:row>
          <xdr:rowOff>9525</xdr:rowOff>
        </xdr:to>
        <xdr:sp macro="" textlink="">
          <xdr:nvSpPr>
            <xdr:cNvPr id="17438" name="Button 30" hidden="1">
              <a:extLst>
                <a:ext uri="{63B3BB69-23CF-44E3-9099-C40C66FF867C}">
                  <a14:compatExt spid="_x0000_s174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8</xdr:row>
          <xdr:rowOff>9525</xdr:rowOff>
        </xdr:from>
        <xdr:to>
          <xdr:col>10</xdr:col>
          <xdr:colOff>0</xdr:colOff>
          <xdr:row>9</xdr:row>
          <xdr:rowOff>9525</xdr:rowOff>
        </xdr:to>
        <xdr:sp macro="" textlink="">
          <xdr:nvSpPr>
            <xdr:cNvPr id="17439" name="Button 31" hidden="1">
              <a:extLst>
                <a:ext uri="{63B3BB69-23CF-44E3-9099-C40C66FF867C}">
                  <a14:compatExt spid="_x0000_s174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8</xdr:row>
          <xdr:rowOff>9525</xdr:rowOff>
        </xdr:from>
        <xdr:to>
          <xdr:col>11</xdr:col>
          <xdr:colOff>0</xdr:colOff>
          <xdr:row>9</xdr:row>
          <xdr:rowOff>9525</xdr:rowOff>
        </xdr:to>
        <xdr:sp macro="" textlink="">
          <xdr:nvSpPr>
            <xdr:cNvPr id="17440" name="Button 32" hidden="1">
              <a:extLst>
                <a:ext uri="{63B3BB69-23CF-44E3-9099-C40C66FF867C}">
                  <a14:compatExt spid="_x0000_s174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ctrlProp" Target="../ctrlProps/ctrlProp14.xml"/><Relationship Id="rId3" Type="http://schemas.openxmlformats.org/officeDocument/2006/relationships/vmlDrawing" Target="../drawings/vmlDrawing2.vml"/><Relationship Id="rId7" Type="http://schemas.openxmlformats.org/officeDocument/2006/relationships/ctrlProp" Target="../ctrlProps/ctrlProp8.xml"/><Relationship Id="rId12" Type="http://schemas.openxmlformats.org/officeDocument/2006/relationships/ctrlProp" Target="../ctrlProps/ctrlProp13.xml"/><Relationship Id="rId17" Type="http://schemas.openxmlformats.org/officeDocument/2006/relationships/comments" Target="../comments2.xml"/><Relationship Id="rId2" Type="http://schemas.openxmlformats.org/officeDocument/2006/relationships/drawing" Target="../drawings/drawing2.xml"/><Relationship Id="rId16" Type="http://schemas.openxmlformats.org/officeDocument/2006/relationships/ctrlProp" Target="../ctrlProps/ctrlProp17.xml"/><Relationship Id="rId1" Type="http://schemas.openxmlformats.org/officeDocument/2006/relationships/printerSettings" Target="../printerSettings/printerSettings3.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ctrlProp" Target="../ctrlProps/ctrlProp6.xml"/><Relationship Id="rId15" Type="http://schemas.openxmlformats.org/officeDocument/2006/relationships/ctrlProp" Target="../ctrlProps/ctrlProp16.xml"/><Relationship Id="rId10" Type="http://schemas.openxmlformats.org/officeDocument/2006/relationships/ctrlProp" Target="../ctrlProps/ctrlProp11.xml"/><Relationship Id="rId4" Type="http://schemas.openxmlformats.org/officeDocument/2006/relationships/ctrlProp" Target="../ctrlProps/ctrlProp5.xml"/><Relationship Id="rId9" Type="http://schemas.openxmlformats.org/officeDocument/2006/relationships/ctrlProp" Target="../ctrlProps/ctrlProp10.xml"/><Relationship Id="rId14" Type="http://schemas.openxmlformats.org/officeDocument/2006/relationships/ctrlProp" Target="../ctrlProps/ctrlProp15.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35"/>
  <sheetViews>
    <sheetView zoomScaleNormal="100" workbookViewId="0">
      <pane ySplit="2" topLeftCell="A3" activePane="bottomLeft" state="frozen"/>
      <selection pane="bottomLeft" activeCell="E20" sqref="E20"/>
    </sheetView>
  </sheetViews>
  <sheetFormatPr defaultRowHeight="15" x14ac:dyDescent="0.25"/>
  <cols>
    <col min="7" max="8" width="9.5703125" customWidth="1"/>
  </cols>
  <sheetData>
    <row r="1" spans="1:12" s="68" customFormat="1" ht="15" customHeight="1" x14ac:dyDescent="0.25">
      <c r="A1" s="298" t="s">
        <v>922</v>
      </c>
      <c r="B1" s="299"/>
      <c r="C1" s="298" t="s">
        <v>679</v>
      </c>
      <c r="D1" s="299"/>
      <c r="E1" s="298" t="s">
        <v>868</v>
      </c>
      <c r="F1" s="299"/>
    </row>
    <row r="2" spans="1:12" s="68" customFormat="1" ht="15.75" customHeight="1" thickBot="1" x14ac:dyDescent="0.3">
      <c r="A2" s="300"/>
      <c r="B2" s="301"/>
      <c r="C2" s="300"/>
      <c r="D2" s="301"/>
      <c r="E2" s="300"/>
      <c r="F2" s="301"/>
    </row>
    <row r="3" spans="1:12" s="68" customFormat="1" ht="15.75" customHeight="1" thickBot="1" x14ac:dyDescent="0.3"/>
    <row r="4" spans="1:12" s="68" customFormat="1" ht="15.75" customHeight="1" x14ac:dyDescent="0.25">
      <c r="A4" s="296" t="s">
        <v>819</v>
      </c>
      <c r="B4" s="302" t="s">
        <v>869</v>
      </c>
      <c r="C4" s="303"/>
      <c r="D4" s="303"/>
      <c r="E4" s="303"/>
      <c r="F4" s="304"/>
      <c r="G4" s="295"/>
      <c r="H4" s="295"/>
      <c r="I4" s="295"/>
      <c r="J4" s="295"/>
    </row>
    <row r="5" spans="1:12" s="68" customFormat="1" ht="15.75" customHeight="1" thickBot="1" x14ac:dyDescent="0.3">
      <c r="A5" s="297"/>
      <c r="B5" s="305"/>
      <c r="C5" s="306"/>
      <c r="D5" s="306"/>
      <c r="E5" s="306"/>
      <c r="F5" s="307"/>
      <c r="G5" s="295"/>
      <c r="H5" s="295"/>
      <c r="I5" s="295"/>
      <c r="J5" s="295"/>
    </row>
    <row r="6" spans="1:12" s="68" customFormat="1" ht="15.75" customHeight="1" x14ac:dyDescent="0.25"/>
    <row r="7" spans="1:12" x14ac:dyDescent="0.25">
      <c r="A7" t="s">
        <v>733</v>
      </c>
      <c r="L7" s="68"/>
    </row>
    <row r="8" spans="1:12" x14ac:dyDescent="0.25">
      <c r="A8" t="s">
        <v>923</v>
      </c>
      <c r="L8" s="68"/>
    </row>
    <row r="9" spans="1:12" x14ac:dyDescent="0.25">
      <c r="A9" t="s">
        <v>750</v>
      </c>
      <c r="L9" s="68"/>
    </row>
    <row r="10" spans="1:12" x14ac:dyDescent="0.25">
      <c r="A10" t="s">
        <v>1213</v>
      </c>
      <c r="L10" s="68"/>
    </row>
    <row r="11" spans="1:12" x14ac:dyDescent="0.25">
      <c r="A11" t="s">
        <v>921</v>
      </c>
      <c r="L11" s="68"/>
    </row>
    <row r="12" spans="1:12" x14ac:dyDescent="0.25">
      <c r="A12" t="s">
        <v>751</v>
      </c>
      <c r="L12" s="68"/>
    </row>
    <row r="14" spans="1:12" x14ac:dyDescent="0.25">
      <c r="A14" t="s">
        <v>730</v>
      </c>
    </row>
    <row r="15" spans="1:12" x14ac:dyDescent="0.25">
      <c r="A15" t="s">
        <v>731</v>
      </c>
    </row>
    <row r="16" spans="1:12" x14ac:dyDescent="0.25">
      <c r="A16" t="s">
        <v>732</v>
      </c>
    </row>
    <row r="18" spans="1:5" x14ac:dyDescent="0.25">
      <c r="A18" t="s">
        <v>1192</v>
      </c>
      <c r="E18" t="s">
        <v>1221</v>
      </c>
    </row>
    <row r="19" spans="1:5" x14ac:dyDescent="0.25">
      <c r="A19" t="s">
        <v>1196</v>
      </c>
      <c r="B19" t="s">
        <v>919</v>
      </c>
      <c r="C19" t="s">
        <v>1195</v>
      </c>
      <c r="E19" t="s">
        <v>1222</v>
      </c>
    </row>
    <row r="20" spans="1:5" x14ac:dyDescent="0.25">
      <c r="A20" t="s">
        <v>1193</v>
      </c>
    </row>
    <row r="21" spans="1:5" x14ac:dyDescent="0.25">
      <c r="A21" t="s">
        <v>1194</v>
      </c>
    </row>
    <row r="22" spans="1:5" x14ac:dyDescent="0.25">
      <c r="A22" t="s">
        <v>1199</v>
      </c>
      <c r="B22">
        <v>9</v>
      </c>
      <c r="C22">
        <v>10</v>
      </c>
    </row>
    <row r="23" spans="1:5" x14ac:dyDescent="0.25">
      <c r="A23" t="s">
        <v>1200</v>
      </c>
      <c r="B23" t="s">
        <v>919</v>
      </c>
      <c r="C23" t="s">
        <v>1195</v>
      </c>
    </row>
    <row r="24" spans="1:5" x14ac:dyDescent="0.25">
      <c r="B24" t="s">
        <v>1214</v>
      </c>
      <c r="C24" t="s">
        <v>1215</v>
      </c>
    </row>
    <row r="25" spans="1:5" x14ac:dyDescent="0.25">
      <c r="B25" t="s">
        <v>1197</v>
      </c>
      <c r="C25" t="s">
        <v>1198</v>
      </c>
    </row>
    <row r="26" spans="1:5" x14ac:dyDescent="0.25">
      <c r="A26" t="s">
        <v>1201</v>
      </c>
      <c r="B26" t="s">
        <v>1202</v>
      </c>
      <c r="C26" t="s">
        <v>1203</v>
      </c>
    </row>
    <row r="27" spans="1:5" x14ac:dyDescent="0.25">
      <c r="A27" t="s">
        <v>1204</v>
      </c>
      <c r="B27">
        <v>7</v>
      </c>
      <c r="C27">
        <v>6</v>
      </c>
    </row>
    <row r="28" spans="1:5" s="68" customFormat="1" x14ac:dyDescent="0.25">
      <c r="A28" s="68" t="s">
        <v>9</v>
      </c>
      <c r="B28" s="68" t="s">
        <v>919</v>
      </c>
      <c r="C28" s="68" t="s">
        <v>919</v>
      </c>
    </row>
    <row r="29" spans="1:5" x14ac:dyDescent="0.25">
      <c r="A29" t="s">
        <v>1205</v>
      </c>
    </row>
    <row r="30" spans="1:5" s="68" customFormat="1" x14ac:dyDescent="0.25">
      <c r="A30" s="68" t="s">
        <v>1219</v>
      </c>
    </row>
    <row r="31" spans="1:5" s="68" customFormat="1" x14ac:dyDescent="0.25">
      <c r="A31" s="68" t="s">
        <v>1220</v>
      </c>
    </row>
    <row r="32" spans="1:5" x14ac:dyDescent="0.25">
      <c r="A32" t="s">
        <v>1206</v>
      </c>
    </row>
    <row r="33" spans="1:1" x14ac:dyDescent="0.25">
      <c r="A33" t="s">
        <v>1207</v>
      </c>
    </row>
    <row r="34" spans="1:1" x14ac:dyDescent="0.25">
      <c r="A34" t="s">
        <v>1212</v>
      </c>
    </row>
    <row r="35" spans="1:1" x14ac:dyDescent="0.25">
      <c r="A35" t="s">
        <v>1208</v>
      </c>
    </row>
  </sheetData>
  <mergeCells count="5">
    <mergeCell ref="A4:A5"/>
    <mergeCell ref="A1:B2"/>
    <mergeCell ref="C1:D2"/>
    <mergeCell ref="E1:F2"/>
    <mergeCell ref="B4:F5"/>
  </mergeCells>
  <hyperlinks>
    <hyperlink ref="A1:B2" location="Settings!A1" display="Settings"/>
    <hyperlink ref="C1:D2" location="Players!A1" display="Players"/>
    <hyperlink ref="E1:F2" location="'Draft Center'!A1" display="Draft Center"/>
  </hyperlinks>
  <pageMargins left="0.7" right="0.7" top="0.75" bottom="0.75" header="0.3" footer="0.3"/>
  <pageSetup scale="98"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I1046"/>
  <sheetViews>
    <sheetView zoomScale="80" zoomScaleNormal="80" workbookViewId="0"/>
  </sheetViews>
  <sheetFormatPr defaultRowHeight="15" x14ac:dyDescent="0.25"/>
  <cols>
    <col min="1" max="1" width="24.42578125" bestFit="1" customWidth="1"/>
    <col min="2" max="2" width="10.7109375" bestFit="1" customWidth="1"/>
    <col min="3" max="3" width="11" customWidth="1"/>
    <col min="4" max="4" width="5" style="68" hidden="1" customWidth="1"/>
    <col min="5" max="5" width="10.140625" hidden="1" customWidth="1"/>
    <col min="6" max="6" width="7.28515625" hidden="1" customWidth="1"/>
    <col min="7" max="7" width="4.42578125" style="68" hidden="1" customWidth="1"/>
    <col min="8" max="8" width="6.42578125" style="68" hidden="1" customWidth="1"/>
    <col min="9" max="9" width="5.140625" style="68" hidden="1" customWidth="1"/>
    <col min="10" max="10" width="6.5703125" hidden="1" customWidth="1"/>
    <col min="11" max="12" width="6.5703125" style="68" hidden="1" customWidth="1"/>
    <col min="13" max="13" width="4.5703125" style="68" hidden="1" customWidth="1"/>
    <col min="14" max="14" width="7" style="68" hidden="1" customWidth="1"/>
    <col min="15" max="15" width="2.28515625" style="68" customWidth="1"/>
    <col min="16" max="16" width="23.85546875" bestFit="1" customWidth="1"/>
    <col min="17" max="17" width="5.5703125" bestFit="1" customWidth="1"/>
    <col min="18" max="18" width="2.28515625" customWidth="1"/>
    <col min="19" max="19" width="23.85546875" bestFit="1" customWidth="1"/>
    <col min="20" max="20" width="5.5703125" bestFit="1" customWidth="1"/>
    <col min="21" max="21" width="2.28515625" customWidth="1"/>
    <col min="22" max="22" width="25" bestFit="1" customWidth="1"/>
    <col min="23" max="23" width="4.42578125" bestFit="1" customWidth="1"/>
    <col min="24" max="24" width="2.28515625" customWidth="1"/>
    <col min="25" max="25" width="25" bestFit="1" customWidth="1"/>
    <col min="26" max="26" width="4.42578125" bestFit="1" customWidth="1"/>
    <col min="27" max="27" width="2.28515625" customWidth="1"/>
    <col min="28" max="28" width="12.42578125" hidden="1" customWidth="1"/>
    <col min="29" max="29" width="24.140625" bestFit="1" customWidth="1"/>
    <col min="30" max="30" width="9.85546875" bestFit="1" customWidth="1"/>
    <col min="31" max="31" width="9.28515625" style="15" bestFit="1" customWidth="1"/>
    <col min="32" max="32" width="6.7109375" hidden="1" customWidth="1"/>
    <col min="33" max="33" width="8.5703125" hidden="1" customWidth="1"/>
    <col min="34" max="34" width="8.85546875" hidden="1" customWidth="1"/>
    <col min="35" max="35" width="7.140625" bestFit="1" customWidth="1"/>
    <col min="36" max="36" width="10.5703125" bestFit="1" customWidth="1"/>
    <col min="37" max="38" width="3.140625" hidden="1" customWidth="1"/>
    <col min="39" max="39" width="1.7109375" style="68" customWidth="1"/>
    <col min="40" max="40" width="10.85546875" customWidth="1"/>
    <col min="41" max="49" width="9.85546875" hidden="1" customWidth="1"/>
    <col min="50" max="50" width="9.85546875" style="68" hidden="1" customWidth="1"/>
    <col min="51" max="51" width="1.7109375" customWidth="1"/>
    <col min="52" max="52" width="8.5703125" style="15" bestFit="1" customWidth="1"/>
    <col min="53" max="53" width="8.7109375" style="15" bestFit="1" customWidth="1"/>
    <col min="54" max="54" width="10.7109375" style="15" bestFit="1" customWidth="1"/>
    <col min="55" max="55" width="7.5703125" style="15" bestFit="1" customWidth="1"/>
    <col min="56" max="56" width="6.5703125" style="15" bestFit="1" customWidth="1"/>
    <col min="57" max="57" width="7.140625" style="15" bestFit="1" customWidth="1"/>
    <col min="58" max="58" width="6.5703125" style="15" bestFit="1" customWidth="1"/>
    <col min="59" max="59" width="10.140625" style="15" bestFit="1" customWidth="1"/>
    <col min="60" max="60" width="7.85546875" style="15" bestFit="1" customWidth="1"/>
    <col min="61" max="61" width="7.28515625" style="15" bestFit="1" customWidth="1"/>
  </cols>
  <sheetData>
    <row r="1" spans="1:61" ht="15.75" thickBot="1" x14ac:dyDescent="0.3">
      <c r="A1" t="s">
        <v>607</v>
      </c>
      <c r="B1" s="134">
        <v>10</v>
      </c>
      <c r="D1" s="314" t="s">
        <v>839</v>
      </c>
      <c r="E1" s="315"/>
      <c r="F1" s="315"/>
      <c r="G1" s="315"/>
      <c r="H1" s="315"/>
      <c r="I1" s="315"/>
      <c r="J1" s="315"/>
      <c r="K1" s="315"/>
      <c r="L1" s="315"/>
      <c r="M1" s="315"/>
      <c r="N1" s="316"/>
      <c r="P1" s="322" t="s">
        <v>725</v>
      </c>
      <c r="Q1" s="323"/>
      <c r="S1" s="322" t="s">
        <v>19</v>
      </c>
      <c r="T1" s="323"/>
      <c r="V1" s="322" t="s">
        <v>43</v>
      </c>
      <c r="W1" s="323"/>
      <c r="Y1" s="322" t="s">
        <v>135</v>
      </c>
      <c r="Z1" s="323"/>
      <c r="AB1" s="13" t="s">
        <v>575</v>
      </c>
      <c r="AC1" s="272" t="s">
        <v>1</v>
      </c>
      <c r="AD1" s="273" t="s">
        <v>576</v>
      </c>
      <c r="AE1" s="274" t="s">
        <v>577</v>
      </c>
      <c r="AF1" s="273" t="s">
        <v>3</v>
      </c>
      <c r="AG1" s="273" t="s">
        <v>2</v>
      </c>
      <c r="AH1" s="273" t="s">
        <v>5</v>
      </c>
      <c r="AI1" s="273" t="s">
        <v>12</v>
      </c>
      <c r="AJ1" s="275" t="s">
        <v>578</v>
      </c>
      <c r="AK1" s="133"/>
      <c r="AL1" s="133"/>
      <c r="AN1" s="43" t="s">
        <v>738</v>
      </c>
      <c r="AO1" s="13">
        <v>2</v>
      </c>
      <c r="AP1" s="13">
        <v>3</v>
      </c>
      <c r="AQ1" s="13">
        <v>4</v>
      </c>
      <c r="AR1" s="13">
        <v>5</v>
      </c>
      <c r="AS1" s="13">
        <v>6</v>
      </c>
      <c r="AT1" s="13">
        <v>7</v>
      </c>
      <c r="AU1" s="13">
        <v>8</v>
      </c>
      <c r="AV1" s="13">
        <v>9</v>
      </c>
      <c r="AW1" s="13">
        <v>10</v>
      </c>
      <c r="AX1" s="13">
        <v>11</v>
      </c>
      <c r="AZ1" s="44" t="str">
        <f>$AN$14</f>
        <v>Crouch</v>
      </c>
      <c r="BA1" s="45" t="str">
        <f>IF(AN2=$AN$14,IF(AN2=AZ$1,AN3,AN3),IF(AN1=$AN$14,AN3,IF(AN2=AZ$1,AN3,AN2)))</f>
        <v>Team 5</v>
      </c>
      <c r="BB1" s="45" t="str">
        <f>IF(AN3=$AN$14,IF(AN3=BA$1,AN4,AN4),IF(AN2=$AN$14,AN4,IF(AN3=BA$1,AN4,AN3)))</f>
        <v>Team 9</v>
      </c>
      <c r="BC1" s="45" t="str">
        <f>IF(AN4=$AN$14,IF(AN4=BB$1,AN5,AN5),IF(AN3=$AN$14,AN5,IF(AN4=BB$1,AN5,AN4)))</f>
        <v>Team 3</v>
      </c>
      <c r="BD1" s="45" t="str">
        <f>IF(AN5=$AN$14,IF(AN5=BC$1,AN6,AN6),IF(AN4=$AN$14,AN6,IF(AN5=BC$1,AN6,AN5)))</f>
        <v>Team 6</v>
      </c>
      <c r="BE1" s="45" t="str">
        <f>IF(AN6=$AN$14,IF(AN6=BD$1,AN7,AN7),IF(AN5=$AN$14,AN7,IF(AN6=BD$1,AN7,AN6)))</f>
        <v>Team 7</v>
      </c>
      <c r="BF1" s="45" t="str">
        <f>IF(AN7=$AN$14,IF(AN7=BE$1,AN8,AN8),IF(AN6=$AN$14,AN8,IF(AN7=BE$1,AN8,AN7)))</f>
        <v>Team 8</v>
      </c>
      <c r="BG1" s="45" t="str">
        <f>IF(AN8=$AN$14,IF(AN8=BF$1,AN9,AN9),IF(AN7=$AN$14,AN9,IF(AN8=BF$1,AN9,AN8)))</f>
        <v>Team Se</v>
      </c>
      <c r="BH1" s="45" t="str">
        <f>IF(AN9=$AN$14,IF(AN9=BG$1,AN10,AN10),IF(AN8=$AN$14,AN10,IF(AN9=BG$1,AN10,AN9)))</f>
        <v>Team 10</v>
      </c>
      <c r="BI1" s="46" t="str">
        <f>IF(AN10=$AN$14,IF(AN10=BH$1,AN11,AN11),IF(AN9=$AN$14,AN11,IF(AN10=BH$1,AN11,AN10)))</f>
        <v>Team 4</v>
      </c>
    </row>
    <row r="2" spans="1:61" ht="15.75" thickBot="1" x14ac:dyDescent="0.3">
      <c r="A2" t="s">
        <v>608</v>
      </c>
      <c r="B2" s="135">
        <v>200</v>
      </c>
      <c r="D2" s="317"/>
      <c r="E2" s="318"/>
      <c r="F2" s="318"/>
      <c r="G2" s="318"/>
      <c r="H2" s="318"/>
      <c r="I2" s="318"/>
      <c r="J2" s="318"/>
      <c r="K2" s="318"/>
      <c r="L2" s="318"/>
      <c r="M2" s="318"/>
      <c r="N2" s="319"/>
      <c r="P2" s="18" t="s">
        <v>53</v>
      </c>
      <c r="Q2" s="134">
        <v>1</v>
      </c>
      <c r="S2" s="18" t="s">
        <v>630</v>
      </c>
      <c r="T2" s="134">
        <v>0.1</v>
      </c>
      <c r="V2" s="18" t="s">
        <v>630</v>
      </c>
      <c r="W2" s="134">
        <v>0.1</v>
      </c>
      <c r="Y2" s="18" t="s">
        <v>650</v>
      </c>
      <c r="Z2" s="134">
        <v>2</v>
      </c>
      <c r="AB2" s="14" t="str">
        <f>AD2&amp;COUNTIF($AD$2:AD2,AD2)</f>
        <v>0</v>
      </c>
      <c r="AC2" s="136"/>
      <c r="AD2" s="136"/>
      <c r="AE2" s="135"/>
      <c r="AF2" s="23" t="str">
        <f>IFERROR(VLOOKUP(AC2,Players!$B:$F,3,0),"")</f>
        <v/>
      </c>
      <c r="AG2" s="23" t="str">
        <f>IFERROR(VLOOKUP(AC2,Players!$B:$F,2,0),"")</f>
        <v/>
      </c>
      <c r="AH2" s="23" t="str">
        <f>IFERROR(VLOOKUP(AC2,Players!$B:$N,5,0),"")</f>
        <v/>
      </c>
      <c r="AI2" s="23">
        <v>1</v>
      </c>
      <c r="AJ2" s="28" t="str">
        <f t="shared" ref="AJ2:AJ11" si="0">IF(AN2="","",AN2)</f>
        <v>Team 5</v>
      </c>
      <c r="AK2">
        <f>COUNTIF($AD$1:AD2,AD2)</f>
        <v>0</v>
      </c>
      <c r="AL2">
        <f>COUNTIF($AK$1:AK2,"16")</f>
        <v>0</v>
      </c>
      <c r="AN2" s="134" t="s">
        <v>913</v>
      </c>
      <c r="AO2" s="48" t="str">
        <f t="shared" ref="AO2:AX10" si="1">AN3</f>
        <v>Team 9</v>
      </c>
      <c r="AP2" s="48" t="str">
        <f t="shared" si="1"/>
        <v>Team 3</v>
      </c>
      <c r="AQ2" s="48" t="str">
        <f t="shared" si="1"/>
        <v>Team 6</v>
      </c>
      <c r="AR2" s="48" t="str">
        <f t="shared" si="1"/>
        <v>Team 7</v>
      </c>
      <c r="AS2" s="48" t="str">
        <f t="shared" si="1"/>
        <v>Team 8</v>
      </c>
      <c r="AT2" s="48" t="str">
        <f t="shared" si="1"/>
        <v>Team Se</v>
      </c>
      <c r="AU2" s="48" t="str">
        <f t="shared" si="1"/>
        <v>Team 10</v>
      </c>
      <c r="AV2" s="48" t="str">
        <f t="shared" si="1"/>
        <v>Crouch</v>
      </c>
      <c r="AW2" s="48" t="str">
        <f t="shared" si="1"/>
        <v>Team 4</v>
      </c>
      <c r="AX2" s="48" t="str">
        <f t="shared" si="1"/>
        <v>Team 5</v>
      </c>
      <c r="AZ2" s="32">
        <f t="shared" ref="AZ2:AZ33" si="2">IF($AD2=AZ$1,IFERROR(AZ1-$AE2,200-$AE2),IFERROR(+AZ1-AZ1+AZ1,200))</f>
        <v>200</v>
      </c>
      <c r="BA2" s="33">
        <f t="shared" ref="BA2:BA33" si="3">IF($AD2=BA$1,IFERROR(BA1-$AE2,200-$AE2),IFERROR(+BA1-BA1+BA1,200))</f>
        <v>200</v>
      </c>
      <c r="BB2" s="33">
        <f t="shared" ref="BB2:BB33" si="4">IF($AD2=BB$1,IFERROR(BB1-$AE2,200-$AE2),IFERROR(+BB1-BB1+BB1,200))</f>
        <v>200</v>
      </c>
      <c r="BC2" s="33">
        <f t="shared" ref="BC2:BC33" si="5">IF($AD2=BC$1,IFERROR(BC1-$AE2,200-$AE2),IFERROR(+BC1-BC1+BC1,200))</f>
        <v>200</v>
      </c>
      <c r="BD2" s="33">
        <f t="shared" ref="BD2:BD33" si="6">IF($AD2=BD$1,IFERROR(BD1-$AE2,200-$AE2),IFERROR(+BD1-BD1+BD1,200))</f>
        <v>200</v>
      </c>
      <c r="BE2" s="33">
        <f t="shared" ref="BE2:BE33" si="7">IF($AD2=BE$1,IFERROR(BE1-$AE2,200-$AE2),IFERROR(+BE1-BE1+BE1,200))</f>
        <v>200</v>
      </c>
      <c r="BF2" s="33">
        <f t="shared" ref="BF2:BF33" si="8">IF($AD2=BF$1,IFERROR(BF1-$AE2,200-$AE2),IFERROR(+BF1-BF1+BF1,200))</f>
        <v>200</v>
      </c>
      <c r="BG2" s="33">
        <f t="shared" ref="BG2:BG33" si="9">IF($AD2=BG$1,IFERROR(BG1-$AE2,200-$AE2),IFERROR(+BG1-BG1+BG1,200))</f>
        <v>200</v>
      </c>
      <c r="BH2" s="33">
        <f t="shared" ref="BH2:BH33" si="10">IF($AD2=BH$1,IFERROR(BH1-$AE2,200-$AE2),IFERROR(+BH1-BH1+BH1,200))</f>
        <v>200</v>
      </c>
      <c r="BI2" s="34">
        <f t="shared" ref="BI2:BI33" si="11">IF($AD2=BI$1,IFERROR(BI1-$AE2,200-$AE2),IFERROR(+BI1-BI1+BI1,200))</f>
        <v>200</v>
      </c>
    </row>
    <row r="3" spans="1:61" x14ac:dyDescent="0.25">
      <c r="A3" t="s">
        <v>727</v>
      </c>
      <c r="B3" s="135">
        <v>1</v>
      </c>
      <c r="P3" s="19" t="s">
        <v>19</v>
      </c>
      <c r="Q3" s="136">
        <v>2</v>
      </c>
      <c r="S3" s="19" t="s">
        <v>632</v>
      </c>
      <c r="T3" s="136">
        <v>6</v>
      </c>
      <c r="V3" s="19" t="s">
        <v>632</v>
      </c>
      <c r="W3" s="136">
        <v>6</v>
      </c>
      <c r="Y3" s="19" t="s">
        <v>651</v>
      </c>
      <c r="Z3" s="136">
        <v>2</v>
      </c>
      <c r="AB3" s="14" t="str">
        <f>AD3&amp;COUNTIF($AD$2:AD3,AD3)</f>
        <v>0</v>
      </c>
      <c r="AC3" s="136"/>
      <c r="AD3" s="136"/>
      <c r="AE3" s="135"/>
      <c r="AF3" s="23" t="str">
        <f>IFERROR(VLOOKUP(AC3,Players!$B:$F,3,0),"")</f>
        <v/>
      </c>
      <c r="AG3" s="23" t="str">
        <f>IFERROR(VLOOKUP(AC3,Players!$B:$F,2,0),"")</f>
        <v/>
      </c>
      <c r="AH3" s="23" t="str">
        <f>IFERROR(VLOOKUP(AC3,Players!$B:$N,5,0),"")</f>
        <v/>
      </c>
      <c r="AI3" s="23">
        <v>2</v>
      </c>
      <c r="AJ3" s="28" t="str">
        <f t="shared" si="0"/>
        <v>Team 9</v>
      </c>
      <c r="AK3">
        <f>COUNTIF($AD$1:AD3,AD3)</f>
        <v>0</v>
      </c>
      <c r="AL3">
        <f>COUNTIF($AK$1:AK3,"16")</f>
        <v>0</v>
      </c>
      <c r="AN3" s="136" t="s">
        <v>917</v>
      </c>
      <c r="AO3" s="48" t="str">
        <f t="shared" si="1"/>
        <v>Team 3</v>
      </c>
      <c r="AP3" s="48" t="str">
        <f t="shared" si="1"/>
        <v>Team 6</v>
      </c>
      <c r="AQ3" s="48" t="str">
        <f t="shared" si="1"/>
        <v>Team 7</v>
      </c>
      <c r="AR3" s="48" t="str">
        <f t="shared" si="1"/>
        <v>Team 8</v>
      </c>
      <c r="AS3" s="48" t="str">
        <f t="shared" si="1"/>
        <v>Team Se</v>
      </c>
      <c r="AT3" s="48" t="str">
        <f t="shared" si="1"/>
        <v>Team 10</v>
      </c>
      <c r="AU3" s="48" t="str">
        <f t="shared" si="1"/>
        <v>Crouch</v>
      </c>
      <c r="AV3" s="48" t="str">
        <f t="shared" si="1"/>
        <v>Team 4</v>
      </c>
      <c r="AW3" s="48" t="str">
        <f t="shared" si="1"/>
        <v>Team 5</v>
      </c>
      <c r="AX3" s="48" t="str">
        <f t="shared" si="1"/>
        <v>Team 9</v>
      </c>
      <c r="AZ3" s="32">
        <f t="shared" si="2"/>
        <v>200</v>
      </c>
      <c r="BA3" s="33">
        <f t="shared" si="3"/>
        <v>200</v>
      </c>
      <c r="BB3" s="33">
        <f t="shared" si="4"/>
        <v>200</v>
      </c>
      <c r="BC3" s="33">
        <f t="shared" si="5"/>
        <v>200</v>
      </c>
      <c r="BD3" s="33">
        <f t="shared" si="6"/>
        <v>200</v>
      </c>
      <c r="BE3" s="33">
        <f t="shared" si="7"/>
        <v>200</v>
      </c>
      <c r="BF3" s="33">
        <f t="shared" si="8"/>
        <v>200</v>
      </c>
      <c r="BG3" s="33">
        <f t="shared" si="9"/>
        <v>200</v>
      </c>
      <c r="BH3" s="33">
        <f t="shared" si="10"/>
        <v>200</v>
      </c>
      <c r="BI3" s="34">
        <f t="shared" si="11"/>
        <v>200</v>
      </c>
    </row>
    <row r="4" spans="1:61" x14ac:dyDescent="0.25">
      <c r="A4" t="s">
        <v>609</v>
      </c>
      <c r="B4" s="135">
        <v>7</v>
      </c>
      <c r="P4" s="19" t="s">
        <v>17</v>
      </c>
      <c r="Q4" s="136">
        <v>2</v>
      </c>
      <c r="S4" s="19" t="s">
        <v>631</v>
      </c>
      <c r="T4" s="136">
        <v>1</v>
      </c>
      <c r="V4" s="19" t="s">
        <v>631</v>
      </c>
      <c r="W4" s="136">
        <v>1</v>
      </c>
      <c r="Y4" s="19" t="s">
        <v>652</v>
      </c>
      <c r="Z4" s="136">
        <v>2</v>
      </c>
      <c r="AB4" s="14" t="str">
        <f>AD4&amp;COUNTIF($AD$2:AD4,AD4)</f>
        <v>0</v>
      </c>
      <c r="AC4" s="136"/>
      <c r="AD4" s="136"/>
      <c r="AE4" s="135"/>
      <c r="AF4" s="23" t="str">
        <f>IFERROR(VLOOKUP(AC4,Players!$B:$F,3,0),"")</f>
        <v/>
      </c>
      <c r="AG4" s="23" t="str">
        <f>IFERROR(VLOOKUP(AC4,Players!$B:$F,2,0),"")</f>
        <v/>
      </c>
      <c r="AH4" s="23" t="str">
        <f>IFERROR(VLOOKUP(AC4,Players!$B:$N,5,0),"")</f>
        <v/>
      </c>
      <c r="AI4" s="23">
        <v>3</v>
      </c>
      <c r="AJ4" s="28" t="str">
        <f t="shared" si="0"/>
        <v>Team 3</v>
      </c>
      <c r="AK4">
        <f>COUNTIF($AD$1:AD4,AD4)</f>
        <v>0</v>
      </c>
      <c r="AL4">
        <f>COUNTIF($AK$1:AK4,"16")</f>
        <v>0</v>
      </c>
      <c r="AN4" s="136" t="s">
        <v>1210</v>
      </c>
      <c r="AO4" s="48" t="str">
        <f t="shared" si="1"/>
        <v>Team 6</v>
      </c>
      <c r="AP4" s="48" t="str">
        <f t="shared" si="1"/>
        <v>Team 7</v>
      </c>
      <c r="AQ4" s="48" t="str">
        <f t="shared" si="1"/>
        <v>Team 8</v>
      </c>
      <c r="AR4" s="48" t="str">
        <f t="shared" si="1"/>
        <v>Team Se</v>
      </c>
      <c r="AS4" s="48" t="str">
        <f t="shared" si="1"/>
        <v>Team 10</v>
      </c>
      <c r="AT4" s="48" t="str">
        <f t="shared" si="1"/>
        <v>Crouch</v>
      </c>
      <c r="AU4" s="48" t="str">
        <f t="shared" si="1"/>
        <v>Team 4</v>
      </c>
      <c r="AV4" s="48" t="str">
        <f t="shared" si="1"/>
        <v>Team 5</v>
      </c>
      <c r="AW4" s="48" t="str">
        <f t="shared" si="1"/>
        <v>Team 9</v>
      </c>
      <c r="AX4" s="48" t="str">
        <f t="shared" si="1"/>
        <v>Team 3</v>
      </c>
      <c r="AZ4" s="32">
        <f t="shared" si="2"/>
        <v>200</v>
      </c>
      <c r="BA4" s="33">
        <f t="shared" si="3"/>
        <v>200</v>
      </c>
      <c r="BB4" s="33">
        <f t="shared" si="4"/>
        <v>200</v>
      </c>
      <c r="BC4" s="33">
        <f t="shared" si="5"/>
        <v>200</v>
      </c>
      <c r="BD4" s="33">
        <f t="shared" si="6"/>
        <v>200</v>
      </c>
      <c r="BE4" s="33">
        <f t="shared" si="7"/>
        <v>200</v>
      </c>
      <c r="BF4" s="33">
        <f t="shared" si="8"/>
        <v>200</v>
      </c>
      <c r="BG4" s="33">
        <f t="shared" si="9"/>
        <v>200</v>
      </c>
      <c r="BH4" s="33">
        <f t="shared" si="10"/>
        <v>200</v>
      </c>
      <c r="BI4" s="34">
        <f t="shared" si="11"/>
        <v>200</v>
      </c>
    </row>
    <row r="5" spans="1:61" x14ac:dyDescent="0.25">
      <c r="A5" t="s">
        <v>688</v>
      </c>
      <c r="B5" s="136">
        <v>1</v>
      </c>
      <c r="P5" s="19" t="s">
        <v>43</v>
      </c>
      <c r="Q5" s="136">
        <v>1</v>
      </c>
      <c r="S5" s="19" t="s">
        <v>635</v>
      </c>
      <c r="T5" s="136">
        <v>1</v>
      </c>
      <c r="V5" s="19" t="s">
        <v>636</v>
      </c>
      <c r="W5" s="136">
        <v>1</v>
      </c>
      <c r="Y5" s="19" t="s">
        <v>653</v>
      </c>
      <c r="Z5" s="136">
        <v>1</v>
      </c>
      <c r="AB5" s="14" t="str">
        <f>AD5&amp;COUNTIF($AD$2:AD5,AD5)</f>
        <v>0</v>
      </c>
      <c r="AC5" s="136"/>
      <c r="AD5" s="136"/>
      <c r="AE5" s="135"/>
      <c r="AF5" s="23" t="str">
        <f>IFERROR(VLOOKUP(AC5,Players!$B:$F,3,0),"")</f>
        <v/>
      </c>
      <c r="AG5" s="23" t="str">
        <f>IFERROR(VLOOKUP(AC5,Players!$B:$F,2,0),"")</f>
        <v/>
      </c>
      <c r="AH5" s="23" t="str">
        <f>IFERROR(VLOOKUP(AC5,Players!$B:$N,5,0),"")</f>
        <v/>
      </c>
      <c r="AI5" s="23">
        <v>4</v>
      </c>
      <c r="AJ5" s="28" t="str">
        <f t="shared" si="0"/>
        <v>Team 6</v>
      </c>
      <c r="AK5">
        <f>COUNTIF($AD$1:AD5,AD5)</f>
        <v>0</v>
      </c>
      <c r="AL5">
        <f>COUNTIF($AK$1:AK5,"16")</f>
        <v>0</v>
      </c>
      <c r="AN5" s="136" t="s">
        <v>914</v>
      </c>
      <c r="AO5" s="48" t="str">
        <f t="shared" si="1"/>
        <v>Team 7</v>
      </c>
      <c r="AP5" s="48" t="str">
        <f t="shared" si="1"/>
        <v>Team 8</v>
      </c>
      <c r="AQ5" s="48" t="str">
        <f t="shared" si="1"/>
        <v>Team Se</v>
      </c>
      <c r="AR5" s="48" t="str">
        <f t="shared" si="1"/>
        <v>Team 10</v>
      </c>
      <c r="AS5" s="48" t="str">
        <f t="shared" si="1"/>
        <v>Crouch</v>
      </c>
      <c r="AT5" s="48" t="str">
        <f t="shared" si="1"/>
        <v>Team 4</v>
      </c>
      <c r="AU5" s="48" t="str">
        <f t="shared" si="1"/>
        <v>Team 5</v>
      </c>
      <c r="AV5" s="48" t="str">
        <f t="shared" si="1"/>
        <v>Team 9</v>
      </c>
      <c r="AW5" s="48" t="str">
        <f t="shared" si="1"/>
        <v>Team 3</v>
      </c>
      <c r="AX5" s="48" t="str">
        <f t="shared" si="1"/>
        <v>Team 6</v>
      </c>
      <c r="AZ5" s="32">
        <f t="shared" si="2"/>
        <v>200</v>
      </c>
      <c r="BA5" s="33">
        <f t="shared" si="3"/>
        <v>200</v>
      </c>
      <c r="BB5" s="33">
        <f t="shared" si="4"/>
        <v>200</v>
      </c>
      <c r="BC5" s="33">
        <f t="shared" si="5"/>
        <v>200</v>
      </c>
      <c r="BD5" s="33">
        <f t="shared" si="6"/>
        <v>200</v>
      </c>
      <c r="BE5" s="33">
        <f t="shared" si="7"/>
        <v>200</v>
      </c>
      <c r="BF5" s="33">
        <f t="shared" si="8"/>
        <v>200</v>
      </c>
      <c r="BG5" s="33">
        <f t="shared" si="9"/>
        <v>200</v>
      </c>
      <c r="BH5" s="33">
        <f t="shared" si="10"/>
        <v>200</v>
      </c>
      <c r="BI5" s="34">
        <f t="shared" si="11"/>
        <v>200</v>
      </c>
    </row>
    <row r="6" spans="1:61" x14ac:dyDescent="0.25">
      <c r="A6" t="s">
        <v>729</v>
      </c>
      <c r="B6" s="136">
        <v>12</v>
      </c>
      <c r="P6" s="19" t="s">
        <v>147</v>
      </c>
      <c r="Q6" s="136">
        <v>1</v>
      </c>
      <c r="S6" s="19" t="s">
        <v>636</v>
      </c>
      <c r="T6" s="136">
        <v>1</v>
      </c>
      <c r="V6" s="19" t="s">
        <v>643</v>
      </c>
      <c r="W6" s="136">
        <v>1</v>
      </c>
      <c r="Y6" s="19" t="s">
        <v>654</v>
      </c>
      <c r="Z6" s="136">
        <v>6</v>
      </c>
      <c r="AB6" s="14" t="str">
        <f>AD6&amp;COUNTIF($AD$2:AD6,AD6)</f>
        <v>0</v>
      </c>
      <c r="AC6" s="136"/>
      <c r="AD6" s="136"/>
      <c r="AE6" s="135"/>
      <c r="AF6" s="23" t="str">
        <f>IFERROR(VLOOKUP(AC6,Players!$B:$F,3,0),"")</f>
        <v/>
      </c>
      <c r="AG6" s="23" t="str">
        <f>IFERROR(VLOOKUP(AC6,Players!$B:$F,2,0),"")</f>
        <v/>
      </c>
      <c r="AH6" s="23" t="str">
        <f>IFERROR(VLOOKUP(AC6,Players!$B:$N,5,0),"")</f>
        <v/>
      </c>
      <c r="AI6" s="23">
        <v>5</v>
      </c>
      <c r="AJ6" s="28" t="str">
        <f t="shared" si="0"/>
        <v>Team 7</v>
      </c>
      <c r="AK6">
        <f>COUNTIF($AD$1:AD6,AD6)</f>
        <v>0</v>
      </c>
      <c r="AL6">
        <f>COUNTIF($AK$1:AK6,"16")</f>
        <v>0</v>
      </c>
      <c r="AN6" s="136" t="s">
        <v>915</v>
      </c>
      <c r="AO6" s="48" t="str">
        <f t="shared" si="1"/>
        <v>Team 8</v>
      </c>
      <c r="AP6" s="48" t="str">
        <f t="shared" si="1"/>
        <v>Team Se</v>
      </c>
      <c r="AQ6" s="48" t="str">
        <f t="shared" si="1"/>
        <v>Team 10</v>
      </c>
      <c r="AR6" s="48" t="str">
        <f t="shared" si="1"/>
        <v>Crouch</v>
      </c>
      <c r="AS6" s="48" t="str">
        <f t="shared" si="1"/>
        <v>Team 4</v>
      </c>
      <c r="AT6" s="48" t="str">
        <f t="shared" si="1"/>
        <v>Team 5</v>
      </c>
      <c r="AU6" s="48" t="str">
        <f t="shared" si="1"/>
        <v>Team 9</v>
      </c>
      <c r="AV6" s="48" t="str">
        <f t="shared" si="1"/>
        <v>Team 3</v>
      </c>
      <c r="AW6" s="48" t="str">
        <f t="shared" si="1"/>
        <v>Team 6</v>
      </c>
      <c r="AX6" s="48" t="str">
        <f t="shared" si="1"/>
        <v>Team 7</v>
      </c>
      <c r="AZ6" s="32">
        <f t="shared" si="2"/>
        <v>200</v>
      </c>
      <c r="BA6" s="33">
        <f t="shared" si="3"/>
        <v>200</v>
      </c>
      <c r="BB6" s="33">
        <f t="shared" si="4"/>
        <v>200</v>
      </c>
      <c r="BC6" s="33">
        <f t="shared" si="5"/>
        <v>200</v>
      </c>
      <c r="BD6" s="33">
        <f t="shared" si="6"/>
        <v>200</v>
      </c>
      <c r="BE6" s="33">
        <f t="shared" si="7"/>
        <v>200</v>
      </c>
      <c r="BF6" s="33">
        <f t="shared" si="8"/>
        <v>200</v>
      </c>
      <c r="BG6" s="33">
        <f t="shared" si="9"/>
        <v>200</v>
      </c>
      <c r="BH6" s="33">
        <f t="shared" si="10"/>
        <v>200</v>
      </c>
      <c r="BI6" s="34">
        <f t="shared" si="11"/>
        <v>200</v>
      </c>
    </row>
    <row r="7" spans="1:61" ht="15.75" thickBot="1" x14ac:dyDescent="0.3">
      <c r="A7" t="s">
        <v>689</v>
      </c>
      <c r="B7" s="137">
        <v>4</v>
      </c>
      <c r="P7" s="19" t="s">
        <v>135</v>
      </c>
      <c r="Q7" s="136">
        <v>1</v>
      </c>
      <c r="S7" s="19" t="s">
        <v>637</v>
      </c>
      <c r="T7" s="136">
        <v>0.1</v>
      </c>
      <c r="V7" s="19" t="s">
        <v>638</v>
      </c>
      <c r="W7" s="136">
        <v>0.1</v>
      </c>
      <c r="Y7" s="19" t="s">
        <v>655</v>
      </c>
      <c r="Z7" s="136">
        <v>2</v>
      </c>
      <c r="AB7" s="14" t="str">
        <f>AD7&amp;COUNTIF($AD$2:AD7,AD7)</f>
        <v>0</v>
      </c>
      <c r="AC7" s="136"/>
      <c r="AD7" s="136"/>
      <c r="AE7" s="135"/>
      <c r="AF7" s="23" t="str">
        <f>IFERROR(VLOOKUP(AC7,Players!$B:$F,3,0),"")</f>
        <v/>
      </c>
      <c r="AG7" s="23" t="str">
        <f>IFERROR(VLOOKUP(AC7,Players!$B:$F,2,0),"")</f>
        <v/>
      </c>
      <c r="AH7" s="23" t="str">
        <f>IFERROR(VLOOKUP(AC7,Players!$B:$N,5,0),"")</f>
        <v/>
      </c>
      <c r="AI7" s="23">
        <v>6</v>
      </c>
      <c r="AJ7" s="28" t="str">
        <f t="shared" si="0"/>
        <v>Team 8</v>
      </c>
      <c r="AK7">
        <f>COUNTIF($AD$1:AD7,AD7)</f>
        <v>0</v>
      </c>
      <c r="AL7">
        <f>COUNTIF($AK$1:AK7,"16")</f>
        <v>0</v>
      </c>
      <c r="AN7" s="136" t="s">
        <v>916</v>
      </c>
      <c r="AO7" s="48" t="str">
        <f t="shared" si="1"/>
        <v>Team Se</v>
      </c>
      <c r="AP7" s="48" t="str">
        <f t="shared" si="1"/>
        <v>Team 10</v>
      </c>
      <c r="AQ7" s="48" t="str">
        <f t="shared" si="1"/>
        <v>Crouch</v>
      </c>
      <c r="AR7" s="48" t="str">
        <f t="shared" si="1"/>
        <v>Team 4</v>
      </c>
      <c r="AS7" s="48" t="str">
        <f t="shared" si="1"/>
        <v>Team 5</v>
      </c>
      <c r="AT7" s="48" t="str">
        <f t="shared" si="1"/>
        <v>Team 9</v>
      </c>
      <c r="AU7" s="48" t="str">
        <f t="shared" si="1"/>
        <v>Team 3</v>
      </c>
      <c r="AV7" s="48" t="str">
        <f t="shared" si="1"/>
        <v>Team 6</v>
      </c>
      <c r="AW7" s="48" t="str">
        <f t="shared" si="1"/>
        <v>Team 7</v>
      </c>
      <c r="AX7" s="48" t="str">
        <f t="shared" si="1"/>
        <v>Team 8</v>
      </c>
      <c r="AZ7" s="32">
        <f t="shared" si="2"/>
        <v>200</v>
      </c>
      <c r="BA7" s="33">
        <f t="shared" si="3"/>
        <v>200</v>
      </c>
      <c r="BB7" s="33">
        <f t="shared" si="4"/>
        <v>200</v>
      </c>
      <c r="BC7" s="33">
        <f t="shared" si="5"/>
        <v>200</v>
      </c>
      <c r="BD7" s="33">
        <f t="shared" si="6"/>
        <v>200</v>
      </c>
      <c r="BE7" s="33">
        <f t="shared" si="7"/>
        <v>200</v>
      </c>
      <c r="BF7" s="33">
        <f t="shared" si="8"/>
        <v>200</v>
      </c>
      <c r="BG7" s="33">
        <f t="shared" si="9"/>
        <v>200</v>
      </c>
      <c r="BH7" s="33">
        <f t="shared" si="10"/>
        <v>200</v>
      </c>
      <c r="BI7" s="34">
        <f t="shared" si="11"/>
        <v>200</v>
      </c>
    </row>
    <row r="8" spans="1:61" x14ac:dyDescent="0.25">
      <c r="P8" s="19" t="s">
        <v>610</v>
      </c>
      <c r="Q8" s="136">
        <v>0</v>
      </c>
      <c r="S8" s="19" t="s">
        <v>638</v>
      </c>
      <c r="T8" s="136">
        <v>6</v>
      </c>
      <c r="V8" s="19" t="s">
        <v>639</v>
      </c>
      <c r="W8" s="136">
        <v>6</v>
      </c>
      <c r="Y8" s="19" t="s">
        <v>656</v>
      </c>
      <c r="Z8" s="136">
        <v>0</v>
      </c>
      <c r="AB8" s="14" t="str">
        <f>AD8&amp;COUNTIF($AD$2:AD8,AD8)</f>
        <v>0</v>
      </c>
      <c r="AC8" s="136"/>
      <c r="AD8" s="136"/>
      <c r="AE8" s="135"/>
      <c r="AF8" s="23" t="str">
        <f>IFERROR(VLOOKUP(AC8,Players!$B:$F,3,0),"")</f>
        <v/>
      </c>
      <c r="AG8" s="23" t="str">
        <f>IFERROR(VLOOKUP(AC8,Players!$B:$F,2,0),"")</f>
        <v/>
      </c>
      <c r="AH8" s="23" t="str">
        <f>IFERROR(VLOOKUP(AC8,Players!$B:$N,5,0),"")</f>
        <v/>
      </c>
      <c r="AI8" s="23">
        <v>7</v>
      </c>
      <c r="AJ8" s="28" t="str">
        <f t="shared" si="0"/>
        <v>Team Se</v>
      </c>
      <c r="AK8">
        <f>COUNTIF($AD$1:AD8,AD8)</f>
        <v>0</v>
      </c>
      <c r="AL8">
        <f>COUNTIF($AK$1:AK8,"16")</f>
        <v>0</v>
      </c>
      <c r="AN8" s="136" t="s">
        <v>1211</v>
      </c>
      <c r="AO8" s="48" t="str">
        <f t="shared" si="1"/>
        <v>Team 10</v>
      </c>
      <c r="AP8" s="48" t="str">
        <f t="shared" si="1"/>
        <v>Crouch</v>
      </c>
      <c r="AQ8" s="48" t="str">
        <f t="shared" si="1"/>
        <v>Team 4</v>
      </c>
      <c r="AR8" s="48" t="str">
        <f t="shared" si="1"/>
        <v>Team 5</v>
      </c>
      <c r="AS8" s="48" t="str">
        <f t="shared" si="1"/>
        <v>Team 9</v>
      </c>
      <c r="AT8" s="48" t="str">
        <f t="shared" si="1"/>
        <v>Team 3</v>
      </c>
      <c r="AU8" s="48" t="str">
        <f t="shared" si="1"/>
        <v>Team 6</v>
      </c>
      <c r="AV8" s="48" t="str">
        <f t="shared" si="1"/>
        <v>Team 7</v>
      </c>
      <c r="AW8" s="48" t="str">
        <f t="shared" si="1"/>
        <v>Team 8</v>
      </c>
      <c r="AX8" s="48" t="str">
        <f t="shared" si="1"/>
        <v>Team Se</v>
      </c>
      <c r="AZ8" s="32">
        <f t="shared" si="2"/>
        <v>200</v>
      </c>
      <c r="BA8" s="33">
        <f t="shared" si="3"/>
        <v>200</v>
      </c>
      <c r="BB8" s="33">
        <f t="shared" si="4"/>
        <v>200</v>
      </c>
      <c r="BC8" s="33">
        <f t="shared" si="5"/>
        <v>200</v>
      </c>
      <c r="BD8" s="33">
        <f t="shared" si="6"/>
        <v>200</v>
      </c>
      <c r="BE8" s="33">
        <f t="shared" si="7"/>
        <v>200</v>
      </c>
      <c r="BF8" s="33">
        <f t="shared" si="8"/>
        <v>200</v>
      </c>
      <c r="BG8" s="33">
        <f t="shared" si="9"/>
        <v>200</v>
      </c>
      <c r="BH8" s="33">
        <f t="shared" si="10"/>
        <v>200</v>
      </c>
      <c r="BI8" s="34">
        <f t="shared" si="11"/>
        <v>200</v>
      </c>
    </row>
    <row r="9" spans="1:61" ht="15.75" thickBot="1" x14ac:dyDescent="0.3">
      <c r="C9" t="s">
        <v>685</v>
      </c>
      <c r="P9" s="19" t="s">
        <v>611</v>
      </c>
      <c r="Q9" s="136">
        <v>0</v>
      </c>
      <c r="S9" s="19" t="s">
        <v>639</v>
      </c>
      <c r="T9" s="136">
        <v>1</v>
      </c>
      <c r="V9" s="19" t="s">
        <v>642</v>
      </c>
      <c r="W9" s="136">
        <v>1</v>
      </c>
      <c r="Y9" s="19"/>
      <c r="Z9" s="136"/>
      <c r="AB9" s="14" t="str">
        <f>AD9&amp;COUNTIF($AD$2:AD9,AD9)</f>
        <v>0</v>
      </c>
      <c r="AC9" s="136"/>
      <c r="AD9" s="136"/>
      <c r="AE9" s="135"/>
      <c r="AF9" s="23" t="str">
        <f>IFERROR(VLOOKUP(AC9,Players!$B:$F,3,0),"")</f>
        <v/>
      </c>
      <c r="AG9" s="23" t="str">
        <f>IFERROR(VLOOKUP(AC9,Players!$B:$F,2,0),"")</f>
        <v/>
      </c>
      <c r="AH9" s="23" t="str">
        <f>IFERROR(VLOOKUP(AC9,Players!$B:$N,5,0),"")</f>
        <v/>
      </c>
      <c r="AI9" s="23">
        <v>8</v>
      </c>
      <c r="AJ9" s="28" t="str">
        <f t="shared" si="0"/>
        <v>Team 10</v>
      </c>
      <c r="AK9">
        <f>COUNTIF($AD$1:AD9,AD9)</f>
        <v>0</v>
      </c>
      <c r="AL9">
        <f>COUNTIF($AK$1:AK9,"16")</f>
        <v>0</v>
      </c>
      <c r="AN9" s="136" t="s">
        <v>1209</v>
      </c>
      <c r="AO9" s="48" t="str">
        <f t="shared" si="1"/>
        <v>Crouch</v>
      </c>
      <c r="AP9" s="48" t="str">
        <f t="shared" si="1"/>
        <v>Team 4</v>
      </c>
      <c r="AQ9" s="48" t="str">
        <f t="shared" si="1"/>
        <v>Team 5</v>
      </c>
      <c r="AR9" s="48" t="str">
        <f t="shared" si="1"/>
        <v>Team 9</v>
      </c>
      <c r="AS9" s="48" t="str">
        <f t="shared" si="1"/>
        <v>Team 3</v>
      </c>
      <c r="AT9" s="48" t="str">
        <f t="shared" si="1"/>
        <v>Team 6</v>
      </c>
      <c r="AU9" s="48" t="str">
        <f t="shared" si="1"/>
        <v>Team 7</v>
      </c>
      <c r="AV9" s="48" t="str">
        <f t="shared" si="1"/>
        <v>Team 8</v>
      </c>
      <c r="AW9" s="48" t="str">
        <f t="shared" si="1"/>
        <v>Team Se</v>
      </c>
      <c r="AX9" s="48" t="str">
        <f t="shared" si="1"/>
        <v>Team 10</v>
      </c>
      <c r="AZ9" s="32">
        <f t="shared" si="2"/>
        <v>200</v>
      </c>
      <c r="BA9" s="33">
        <f t="shared" si="3"/>
        <v>200</v>
      </c>
      <c r="BB9" s="33">
        <f t="shared" si="4"/>
        <v>200</v>
      </c>
      <c r="BC9" s="33">
        <f t="shared" si="5"/>
        <v>200</v>
      </c>
      <c r="BD9" s="33">
        <f t="shared" si="6"/>
        <v>200</v>
      </c>
      <c r="BE9" s="33">
        <f t="shared" si="7"/>
        <v>200</v>
      </c>
      <c r="BF9" s="33">
        <f t="shared" si="8"/>
        <v>200</v>
      </c>
      <c r="BG9" s="33">
        <f t="shared" si="9"/>
        <v>200</v>
      </c>
      <c r="BH9" s="33">
        <f t="shared" si="10"/>
        <v>200</v>
      </c>
      <c r="BI9" s="34">
        <f t="shared" si="11"/>
        <v>200</v>
      </c>
    </row>
    <row r="10" spans="1:61" x14ac:dyDescent="0.25">
      <c r="A10" t="s">
        <v>726</v>
      </c>
      <c r="B10" s="138">
        <v>30</v>
      </c>
      <c r="C10" s="139">
        <v>1.1000000000000001</v>
      </c>
      <c r="P10" s="19" t="s">
        <v>612</v>
      </c>
      <c r="Q10" s="136">
        <v>0</v>
      </c>
      <c r="S10" s="19" t="s">
        <v>640</v>
      </c>
      <c r="T10" s="136">
        <v>6</v>
      </c>
      <c r="V10" s="19" t="s">
        <v>640</v>
      </c>
      <c r="W10" s="136">
        <v>6</v>
      </c>
      <c r="Y10" s="19" t="s">
        <v>665</v>
      </c>
      <c r="Z10" s="136"/>
      <c r="AB10" s="14" t="str">
        <f>AD10&amp;COUNTIF($AD$2:AD10,AD10)</f>
        <v>0</v>
      </c>
      <c r="AC10" s="136"/>
      <c r="AD10" s="136"/>
      <c r="AE10" s="135"/>
      <c r="AF10" s="23" t="str">
        <f>IFERROR(VLOOKUP(AC10,Players!$B:$F,3,0),"")</f>
        <v/>
      </c>
      <c r="AG10" s="23" t="str">
        <f>IFERROR(VLOOKUP(AC10,Players!$B:$F,2,0),"")</f>
        <v/>
      </c>
      <c r="AH10" s="23" t="str">
        <f>IFERROR(VLOOKUP(AC10,Players!$B:$N,5,0),"")</f>
        <v/>
      </c>
      <c r="AI10" s="23">
        <v>9</v>
      </c>
      <c r="AJ10" s="28" t="str">
        <f t="shared" si="0"/>
        <v>Crouch</v>
      </c>
      <c r="AK10">
        <f>COUNTIF($AD$1:AD10,AD10)</f>
        <v>0</v>
      </c>
      <c r="AL10">
        <f>COUNTIF($AK$1:AK10,"16")</f>
        <v>0</v>
      </c>
      <c r="AN10" s="136" t="s">
        <v>584</v>
      </c>
      <c r="AO10" s="48" t="str">
        <f t="shared" si="1"/>
        <v>Team 4</v>
      </c>
      <c r="AP10" s="48" t="str">
        <f t="shared" si="1"/>
        <v>Team 5</v>
      </c>
      <c r="AQ10" s="48" t="str">
        <f t="shared" si="1"/>
        <v>Team 9</v>
      </c>
      <c r="AR10" s="48" t="str">
        <f t="shared" si="1"/>
        <v>Team 3</v>
      </c>
      <c r="AS10" s="48" t="str">
        <f t="shared" si="1"/>
        <v>Team 6</v>
      </c>
      <c r="AT10" s="48" t="str">
        <f t="shared" si="1"/>
        <v>Team 7</v>
      </c>
      <c r="AU10" s="48" t="str">
        <f t="shared" si="1"/>
        <v>Team 8</v>
      </c>
      <c r="AV10" s="48" t="str">
        <f t="shared" si="1"/>
        <v>Team Se</v>
      </c>
      <c r="AW10" s="48" t="str">
        <f t="shared" si="1"/>
        <v>Team 10</v>
      </c>
      <c r="AX10" s="48" t="str">
        <f t="shared" si="1"/>
        <v>Crouch</v>
      </c>
      <c r="AZ10" s="32">
        <f t="shared" si="2"/>
        <v>200</v>
      </c>
      <c r="BA10" s="33">
        <f t="shared" si="3"/>
        <v>200</v>
      </c>
      <c r="BB10" s="33">
        <f t="shared" si="4"/>
        <v>200</v>
      </c>
      <c r="BC10" s="33">
        <f t="shared" si="5"/>
        <v>200</v>
      </c>
      <c r="BD10" s="33">
        <f t="shared" si="6"/>
        <v>200</v>
      </c>
      <c r="BE10" s="33">
        <f t="shared" si="7"/>
        <v>200</v>
      </c>
      <c r="BF10" s="33">
        <f t="shared" si="8"/>
        <v>200</v>
      </c>
      <c r="BG10" s="33">
        <f t="shared" si="9"/>
        <v>200</v>
      </c>
      <c r="BH10" s="33">
        <f t="shared" si="10"/>
        <v>200</v>
      </c>
      <c r="BI10" s="34">
        <f t="shared" si="11"/>
        <v>200</v>
      </c>
    </row>
    <row r="11" spans="1:61" ht="15.75" thickBot="1" x14ac:dyDescent="0.3">
      <c r="A11" t="s">
        <v>618</v>
      </c>
      <c r="B11" s="140">
        <v>90</v>
      </c>
      <c r="C11" s="141">
        <v>0.9</v>
      </c>
      <c r="P11" s="19" t="s">
        <v>613</v>
      </c>
      <c r="Q11" s="136">
        <v>0</v>
      </c>
      <c r="S11" s="19" t="s">
        <v>633</v>
      </c>
      <c r="T11" s="136">
        <v>2</v>
      </c>
      <c r="V11" s="19" t="s">
        <v>633</v>
      </c>
      <c r="W11" s="136">
        <v>2</v>
      </c>
      <c r="Y11" s="21" t="s">
        <v>675</v>
      </c>
      <c r="Z11" s="136">
        <v>5</v>
      </c>
      <c r="AB11" s="14" t="str">
        <f>AD11&amp;COUNTIF($AD$2:AD11,AD11)</f>
        <v>0</v>
      </c>
      <c r="AC11" s="136"/>
      <c r="AD11" s="136"/>
      <c r="AE11" s="135"/>
      <c r="AF11" s="23" t="str">
        <f>IFERROR(VLOOKUP(AC11,Players!$B:$F,3,0),"")</f>
        <v/>
      </c>
      <c r="AG11" s="23" t="str">
        <f>IFERROR(VLOOKUP(AC11,Players!$B:$F,2,0),"")</f>
        <v/>
      </c>
      <c r="AH11" s="23" t="str">
        <f>IFERROR(VLOOKUP(AC11,Players!$B:$N,5,0),"")</f>
        <v/>
      </c>
      <c r="AI11" s="23">
        <v>10</v>
      </c>
      <c r="AJ11" s="28" t="str">
        <f t="shared" si="0"/>
        <v>Team 4</v>
      </c>
      <c r="AK11">
        <f>COUNTIF($AD$1:AD11,AD11)</f>
        <v>0</v>
      </c>
      <c r="AL11">
        <f>COUNTIF($AK$1:AK11,"16")</f>
        <v>0</v>
      </c>
      <c r="AN11" s="137" t="s">
        <v>912</v>
      </c>
      <c r="AO11" s="48" t="str">
        <f t="shared" ref="AO11:AX11" si="12">AN2</f>
        <v>Team 5</v>
      </c>
      <c r="AP11" s="48" t="str">
        <f t="shared" si="12"/>
        <v>Team 9</v>
      </c>
      <c r="AQ11" s="48" t="str">
        <f t="shared" si="12"/>
        <v>Team 3</v>
      </c>
      <c r="AR11" s="48" t="str">
        <f t="shared" si="12"/>
        <v>Team 6</v>
      </c>
      <c r="AS11" s="48" t="str">
        <f t="shared" si="12"/>
        <v>Team 7</v>
      </c>
      <c r="AT11" s="48" t="str">
        <f t="shared" si="12"/>
        <v>Team 8</v>
      </c>
      <c r="AU11" s="48" t="str">
        <f t="shared" si="12"/>
        <v>Team Se</v>
      </c>
      <c r="AV11" s="48" t="str">
        <f t="shared" si="12"/>
        <v>Team 10</v>
      </c>
      <c r="AW11" s="48" t="str">
        <f t="shared" si="12"/>
        <v>Crouch</v>
      </c>
      <c r="AX11" s="48" t="str">
        <f t="shared" si="12"/>
        <v>Team 4</v>
      </c>
      <c r="AZ11" s="32">
        <f t="shared" si="2"/>
        <v>200</v>
      </c>
      <c r="BA11" s="33">
        <f t="shared" si="3"/>
        <v>200</v>
      </c>
      <c r="BB11" s="33">
        <f t="shared" si="4"/>
        <v>200</v>
      </c>
      <c r="BC11" s="33">
        <f t="shared" si="5"/>
        <v>200</v>
      </c>
      <c r="BD11" s="33">
        <f t="shared" si="6"/>
        <v>200</v>
      </c>
      <c r="BE11" s="33">
        <f t="shared" si="7"/>
        <v>200</v>
      </c>
      <c r="BF11" s="33">
        <f t="shared" si="8"/>
        <v>200</v>
      </c>
      <c r="BG11" s="33">
        <f t="shared" si="9"/>
        <v>200</v>
      </c>
      <c r="BH11" s="33">
        <f t="shared" si="10"/>
        <v>200</v>
      </c>
      <c r="BI11" s="34">
        <f t="shared" si="11"/>
        <v>200</v>
      </c>
    </row>
    <row r="12" spans="1:61" ht="15.75" thickBot="1" x14ac:dyDescent="0.3">
      <c r="A12" t="s">
        <v>734</v>
      </c>
      <c r="B12" s="294" t="s">
        <v>919</v>
      </c>
      <c r="D12"/>
      <c r="P12" s="19" t="s">
        <v>614</v>
      </c>
      <c r="Q12" s="136">
        <v>0</v>
      </c>
      <c r="S12" s="20" t="s">
        <v>634</v>
      </c>
      <c r="T12" s="137">
        <v>-2</v>
      </c>
      <c r="V12" s="20" t="s">
        <v>634</v>
      </c>
      <c r="W12" s="137">
        <v>-2</v>
      </c>
      <c r="Y12" s="21" t="s">
        <v>676</v>
      </c>
      <c r="Z12" s="136">
        <v>3</v>
      </c>
      <c r="AB12" s="14" t="str">
        <f>AD12&amp;COUNTIF($AD$2:AD12,AD12)</f>
        <v>0</v>
      </c>
      <c r="AC12" s="136"/>
      <c r="AD12" s="136"/>
      <c r="AE12" s="135"/>
      <c r="AF12" s="23" t="str">
        <f>IFERROR(VLOOKUP(AC12,Players!$B:$F,3,0),"")</f>
        <v/>
      </c>
      <c r="AG12" s="23" t="str">
        <f>IFERROR(VLOOKUP(AC12,Players!$B:$F,2,0),"")</f>
        <v/>
      </c>
      <c r="AH12" s="23" t="str">
        <f>IFERROR(VLOOKUP(AC12,Players!$B:$N,5,0),"")</f>
        <v/>
      </c>
      <c r="AI12" s="23">
        <v>11</v>
      </c>
      <c r="AJ12" s="28" t="str">
        <f>IFERROR(IF(LOOKUP(2,1/($AD$1:AD11=VLOOKUP(AJ11,$AN$2:$AX$11,2,0)),$AK$1:AK11)&lt;16,VLOOKUP(AJ11,$AN$2:$AX$11,2,0),IF(LOOKUP(2,1/($AD$1:AD11=VLOOKUP(AJ11,$AN$2:$AX$11,3,0)),$AK$1:AK11)&lt;16,VLOOKUP(AJ11,$AN$2:$AX$11,3,0),IF(LOOKUP(2,1/($AD$1:AD11=VLOOKUP(AJ11,$AN$2:$AX$11,4,0)),$AK$1:AK11)&lt;16,VLOOKUP(AJ11,$AN$2:$AX$11,4,0),IF(LOOKUP(2,1/($AD$1:AD11=VLOOKUP(AJ11,$AN$2:$AX$11,5,0)),$AK$1:AK11)&lt;16,VLOOKUP(AJ11,$AN$2:$AX$11,5,0),IF(LOOKUP(2,1/($AD$1:AD11=VLOOKUP(AJ11,$AN$2:$AX$11,6,0)),$AK$1:AK11)&lt;16,VLOOKUP(AJ11,$AN$2:$AX$11,6,0),IF(LOOKUP(2,1/($AD$1:AD11=VLOOKUP(AJ11,$AN$2:$AX$11,7,0)),$AK$1:AK11)&lt;16,VLOOKUP(AJ11,$AN$2:$AX$11,7,0),IF(LOOKUP(2,1/($AD$1:AD11=VLOOKUP(AJ11,$AN$2:$AX$11,8,0)),$AK$1:AK11)&lt;16,VLOOKUP(AJ11,$AN$2:$AX$11,8,0),IF(LOOKUP(2,1/($AD$1:AD11=VLOOKUP(AJ11,$AN$2:$AX$11,9,0)),$AK$1:AK11)&lt;16,VLOOKUP(AJ11,$AN$2:$AX$11,9,0),IF(LOOKUP(2,1/($AD$1:AD11=VLOOKUP(AJ11,$AN$2:$AX$11,10,0)),$AK$1:AK11)&lt;16,VLOOKUP(AJ11,$AN$2:$AX$11,10,0),VLOOKUP(AJ11,$AN$2:$AX$11,11,0)))))))))),VLOOKUP(AJ11,$AN$2:$AX$11,2,0))</f>
        <v>Team 5</v>
      </c>
      <c r="AK12">
        <f>COUNTIF($AD$1:AD12,AD12)</f>
        <v>0</v>
      </c>
      <c r="AL12">
        <f>COUNTIF($AK$1:AK12,"16")</f>
        <v>0</v>
      </c>
      <c r="AN12" s="60" t="s">
        <v>746</v>
      </c>
      <c r="AZ12" s="32">
        <f t="shared" si="2"/>
        <v>200</v>
      </c>
      <c r="BA12" s="33">
        <f t="shared" si="3"/>
        <v>200</v>
      </c>
      <c r="BB12" s="33">
        <f t="shared" si="4"/>
        <v>200</v>
      </c>
      <c r="BC12" s="33">
        <f t="shared" si="5"/>
        <v>200</v>
      </c>
      <c r="BD12" s="33">
        <f t="shared" si="6"/>
        <v>200</v>
      </c>
      <c r="BE12" s="33">
        <f t="shared" si="7"/>
        <v>200</v>
      </c>
      <c r="BF12" s="33">
        <f t="shared" si="8"/>
        <v>200</v>
      </c>
      <c r="BG12" s="33">
        <f t="shared" si="9"/>
        <v>200</v>
      </c>
      <c r="BH12" s="33">
        <f t="shared" si="10"/>
        <v>200</v>
      </c>
      <c r="BI12" s="34">
        <f t="shared" si="11"/>
        <v>200</v>
      </c>
    </row>
    <row r="13" spans="1:61" ht="15.75" thickBot="1" x14ac:dyDescent="0.3">
      <c r="A13" s="313" t="s">
        <v>619</v>
      </c>
      <c r="B13" s="313"/>
      <c r="D13" s="52" t="s">
        <v>747</v>
      </c>
      <c r="E13" s="52" t="s">
        <v>691</v>
      </c>
      <c r="F13" s="52" t="s">
        <v>690</v>
      </c>
      <c r="G13" s="312" t="s">
        <v>735</v>
      </c>
      <c r="H13" s="312"/>
      <c r="I13" s="122" t="s">
        <v>659</v>
      </c>
      <c r="J13" s="126" t="s">
        <v>4</v>
      </c>
      <c r="K13" s="126" t="s">
        <v>817</v>
      </c>
      <c r="L13" s="126" t="s">
        <v>818</v>
      </c>
      <c r="M13" s="122" t="s">
        <v>748</v>
      </c>
      <c r="N13" s="122" t="s">
        <v>749</v>
      </c>
      <c r="P13" s="19" t="s">
        <v>615</v>
      </c>
      <c r="Q13" s="136">
        <v>1</v>
      </c>
      <c r="Y13" s="21" t="s">
        <v>677</v>
      </c>
      <c r="Z13" s="136">
        <v>2</v>
      </c>
      <c r="AA13" s="53"/>
      <c r="AB13" s="14" t="str">
        <f>AD13&amp;COUNTIF($AD$2:AD13,AD13)</f>
        <v>0</v>
      </c>
      <c r="AC13" s="136"/>
      <c r="AD13" s="136"/>
      <c r="AE13" s="135"/>
      <c r="AF13" s="23" t="str">
        <f>IFERROR(VLOOKUP(AC13,Players!$B:$F,3,0),"")</f>
        <v/>
      </c>
      <c r="AG13" s="23" t="str">
        <f>IFERROR(VLOOKUP(AC13,Players!$B:$F,2,0),"")</f>
        <v/>
      </c>
      <c r="AH13" s="23" t="str">
        <f>IFERROR(VLOOKUP(AC13,Players!$B:$N,5,0),"")</f>
        <v/>
      </c>
      <c r="AI13" s="23">
        <v>12</v>
      </c>
      <c r="AJ13" s="28" t="str">
        <f>IFERROR(IF(LOOKUP(2,1/($AD$1:AD12=VLOOKUP(AJ12,$AN$2:$AX$11,2,0)),$AK$1:AK12)&lt;16,VLOOKUP(AJ12,$AN$2:$AX$11,2,0),IF(LOOKUP(2,1/($AD$1:AD12=VLOOKUP(AJ12,$AN$2:$AX$11,3,0)),$AK$1:AK12)&lt;16,VLOOKUP(AJ12,$AN$2:$AX$11,3,0),IF(LOOKUP(2,1/($AD$1:AD12=VLOOKUP(AJ12,$AN$2:$AX$11,4,0)),$AK$1:AK12)&lt;16,VLOOKUP(AJ12,$AN$2:$AX$11,4,0),IF(LOOKUP(2,1/($AD$1:AD12=VLOOKUP(AJ12,$AN$2:$AX$11,5,0)),$AK$1:AK12)&lt;16,VLOOKUP(AJ12,$AN$2:$AX$11,5,0),IF(LOOKUP(2,1/($AD$1:AD12=VLOOKUP(AJ12,$AN$2:$AX$11,6,0)),$AK$1:AK12)&lt;16,VLOOKUP(AJ12,$AN$2:$AX$11,6,0),IF(LOOKUP(2,1/($AD$1:AD12=VLOOKUP(AJ12,$AN$2:$AX$11,7,0)),$AK$1:AK12)&lt;16,VLOOKUP(AJ12,$AN$2:$AX$11,7,0),IF(LOOKUP(2,1/($AD$1:AD12=VLOOKUP(AJ12,$AN$2:$AX$11,8,0)),$AK$1:AK12)&lt;16,VLOOKUP(AJ12,$AN$2:$AX$11,8,0),IF(LOOKUP(2,1/($AD$1:AD12=VLOOKUP(AJ12,$AN$2:$AX$11,9,0)),$AK$1:AK12)&lt;16,VLOOKUP(AJ12,$AN$2:$AX$11,9,0),IF(LOOKUP(2,1/($AD$1:AD12=VLOOKUP(AJ12,$AN$2:$AX$11,10,0)),$AK$1:AK12)&lt;16,VLOOKUP(AJ12,$AN$2:$AX$11,10,0),VLOOKUP(AJ12,$AN$2:$AX$11,11,0)))))))))),VLOOKUP(AJ12,$AN$2:$AX$11,2,0))</f>
        <v>Team 9</v>
      </c>
      <c r="AK13">
        <f>COUNTIF($AD$1:AD13,AD13)</f>
        <v>0</v>
      </c>
      <c r="AL13">
        <f>COUNTIF($AK$1:AK13,"16")</f>
        <v>0</v>
      </c>
      <c r="AN13" s="43" t="s">
        <v>686</v>
      </c>
      <c r="AO13" s="68"/>
      <c r="AP13" s="68"/>
      <c r="AQ13" s="68"/>
      <c r="AR13" s="68"/>
      <c r="AS13" s="68"/>
      <c r="AT13" s="68"/>
      <c r="AU13" s="68"/>
      <c r="AV13" s="68"/>
      <c r="AW13" s="68"/>
      <c r="AZ13" s="32">
        <f t="shared" si="2"/>
        <v>200</v>
      </c>
      <c r="BA13" s="33">
        <f t="shared" si="3"/>
        <v>200</v>
      </c>
      <c r="BB13" s="33">
        <f t="shared" si="4"/>
        <v>200</v>
      </c>
      <c r="BC13" s="33">
        <f t="shared" si="5"/>
        <v>200</v>
      </c>
      <c r="BD13" s="33">
        <f t="shared" si="6"/>
        <v>200</v>
      </c>
      <c r="BE13" s="33">
        <f t="shared" si="7"/>
        <v>200</v>
      </c>
      <c r="BF13" s="33">
        <f t="shared" si="8"/>
        <v>200</v>
      </c>
      <c r="BG13" s="33">
        <f t="shared" si="9"/>
        <v>200</v>
      </c>
      <c r="BH13" s="33">
        <f t="shared" si="10"/>
        <v>200</v>
      </c>
      <c r="BI13" s="34">
        <f t="shared" si="11"/>
        <v>200</v>
      </c>
    </row>
    <row r="14" spans="1:61" ht="15.75" thickBot="1" x14ac:dyDescent="0.3">
      <c r="A14" s="68" t="s">
        <v>53</v>
      </c>
      <c r="B14" s="142">
        <v>11</v>
      </c>
      <c r="C14" s="68"/>
      <c r="D14" s="81">
        <v>17</v>
      </c>
      <c r="E14" s="131">
        <v>18</v>
      </c>
      <c r="F14" s="81">
        <f>COUNTIF(Input!$AF$2:$AF$101,A14)</f>
        <v>0</v>
      </c>
      <c r="G14" s="81">
        <f t="shared" ref="G14:G22" si="13">ROUNDUP((H14*$B$1)*(1+((Q2-1)/2)),0)</f>
        <v>13</v>
      </c>
      <c r="H14" s="119">
        <v>1.25</v>
      </c>
      <c r="I14" s="123">
        <f t="shared" ref="I14:I22" si="14">ROUND(AVERAGE(D14,E14,G14),0)</f>
        <v>16</v>
      </c>
      <c r="J14" s="118" t="str">
        <f t="shared" ref="J14:J22" si="15">CONCATENATE(A14,B14)</f>
        <v>QB11</v>
      </c>
      <c r="K14" s="118" t="str">
        <f>CONCATENATE(A14,B14-1)</f>
        <v>QB10</v>
      </c>
      <c r="L14" s="118" t="str">
        <f>CONCATENATE(A14,B14+1)</f>
        <v>QB12</v>
      </c>
      <c r="M14" s="123">
        <v>11</v>
      </c>
      <c r="N14" s="123">
        <v>21</v>
      </c>
      <c r="O14" s="118"/>
      <c r="P14" s="19" t="s">
        <v>616</v>
      </c>
      <c r="Q14" s="136">
        <v>0</v>
      </c>
      <c r="Y14" s="19"/>
      <c r="Z14" s="136"/>
      <c r="AA14" s="53"/>
      <c r="AB14" s="14" t="str">
        <f>AD14&amp;COUNTIF($AD$2:AD14,AD14)</f>
        <v>0</v>
      </c>
      <c r="AC14" s="136"/>
      <c r="AD14" s="136"/>
      <c r="AE14" s="135"/>
      <c r="AF14" s="23" t="str">
        <f>IFERROR(VLOOKUP(AC14,Players!$B:$F,3,0),"")</f>
        <v/>
      </c>
      <c r="AG14" s="23" t="str">
        <f>IFERROR(VLOOKUP(AC14,Players!$B:$F,2,0),"")</f>
        <v/>
      </c>
      <c r="AH14" s="23" t="str">
        <f>IFERROR(VLOOKUP(AC14,Players!$B:$N,5,0),"")</f>
        <v/>
      </c>
      <c r="AI14" s="23">
        <v>13</v>
      </c>
      <c r="AJ14" s="28" t="str">
        <f>IFERROR(IF(LOOKUP(2,1/($AD$1:AD13=VLOOKUP(AJ13,$AN$2:$AX$11,2,0)),$AK$1:AK13)&lt;16,VLOOKUP(AJ13,$AN$2:$AX$11,2,0),IF(LOOKUP(2,1/($AD$1:AD13=VLOOKUP(AJ13,$AN$2:$AX$11,3,0)),$AK$1:AK13)&lt;16,VLOOKUP(AJ13,$AN$2:$AX$11,3,0),IF(LOOKUP(2,1/($AD$1:AD13=VLOOKUP(AJ13,$AN$2:$AX$11,4,0)),$AK$1:AK13)&lt;16,VLOOKUP(AJ13,$AN$2:$AX$11,4,0),IF(LOOKUP(2,1/($AD$1:AD13=VLOOKUP(AJ13,$AN$2:$AX$11,5,0)),$AK$1:AK13)&lt;16,VLOOKUP(AJ13,$AN$2:$AX$11,5,0),IF(LOOKUP(2,1/($AD$1:AD13=VLOOKUP(AJ13,$AN$2:$AX$11,6,0)),$AK$1:AK13)&lt;16,VLOOKUP(AJ13,$AN$2:$AX$11,6,0),IF(LOOKUP(2,1/($AD$1:AD13=VLOOKUP(AJ13,$AN$2:$AX$11,7,0)),$AK$1:AK13)&lt;16,VLOOKUP(AJ13,$AN$2:$AX$11,7,0),IF(LOOKUP(2,1/($AD$1:AD13=VLOOKUP(AJ13,$AN$2:$AX$11,8,0)),$AK$1:AK13)&lt;16,VLOOKUP(AJ13,$AN$2:$AX$11,8,0),IF(LOOKUP(2,1/($AD$1:AD13=VLOOKUP(AJ13,$AN$2:$AX$11,9,0)),$AK$1:AK13)&lt;16,VLOOKUP(AJ13,$AN$2:$AX$11,9,0),IF(LOOKUP(2,1/($AD$1:AD13=VLOOKUP(AJ13,$AN$2:$AX$11,10,0)),$AK$1:AK13)&lt;16,VLOOKUP(AJ13,$AN$2:$AX$11,10,0),VLOOKUP(AJ13,$AN$2:$AX$11,11,0)))))))))),VLOOKUP(AJ13,$AN$2:$AX$11,2,0))</f>
        <v>Team 3</v>
      </c>
      <c r="AK14">
        <f>COUNTIF($AD$1:AD14,AD14)</f>
        <v>0</v>
      </c>
      <c r="AL14">
        <f>COUNTIF($AK$1:AK14,"16")</f>
        <v>0</v>
      </c>
      <c r="AN14" s="147" t="s">
        <v>584</v>
      </c>
      <c r="AO14" s="68"/>
      <c r="AP14" s="68"/>
      <c r="AQ14" s="68"/>
      <c r="AR14" s="68"/>
      <c r="AS14" s="68"/>
      <c r="AT14" s="68"/>
      <c r="AU14" s="68"/>
      <c r="AV14" s="68"/>
      <c r="AW14" s="68"/>
      <c r="AZ14" s="32">
        <f t="shared" si="2"/>
        <v>200</v>
      </c>
      <c r="BA14" s="33">
        <f t="shared" si="3"/>
        <v>200</v>
      </c>
      <c r="BB14" s="33">
        <f t="shared" si="4"/>
        <v>200</v>
      </c>
      <c r="BC14" s="33">
        <f t="shared" si="5"/>
        <v>200</v>
      </c>
      <c r="BD14" s="33">
        <f t="shared" si="6"/>
        <v>200</v>
      </c>
      <c r="BE14" s="33">
        <f t="shared" si="7"/>
        <v>200</v>
      </c>
      <c r="BF14" s="33">
        <f t="shared" si="8"/>
        <v>200</v>
      </c>
      <c r="BG14" s="33">
        <f t="shared" si="9"/>
        <v>200</v>
      </c>
      <c r="BH14" s="33">
        <f t="shared" si="10"/>
        <v>200</v>
      </c>
      <c r="BI14" s="34">
        <f t="shared" si="11"/>
        <v>200</v>
      </c>
    </row>
    <row r="15" spans="1:61" x14ac:dyDescent="0.25">
      <c r="A15" s="68" t="s">
        <v>19</v>
      </c>
      <c r="B15" s="143">
        <v>25</v>
      </c>
      <c r="C15" s="68"/>
      <c r="D15" s="65">
        <v>35</v>
      </c>
      <c r="E15" s="127">
        <v>33</v>
      </c>
      <c r="F15" s="65">
        <f>COUNTIF(Input!$AF$2:$AF$101,A15)</f>
        <v>0</v>
      </c>
      <c r="G15" s="65">
        <f t="shared" si="13"/>
        <v>34</v>
      </c>
      <c r="H15" s="120">
        <v>2.2200000000000002</v>
      </c>
      <c r="I15" s="124">
        <f t="shared" si="14"/>
        <v>34</v>
      </c>
      <c r="J15" s="118" t="str">
        <f t="shared" si="15"/>
        <v>RB25</v>
      </c>
      <c r="K15" s="118" t="str">
        <f>CONCATENATE(A15,B15-1)</f>
        <v>RB24</v>
      </c>
      <c r="L15" s="118" t="str">
        <f>CONCATENATE(A15,B15+1)</f>
        <v>RB26</v>
      </c>
      <c r="M15" s="124">
        <v>30</v>
      </c>
      <c r="N15" s="124">
        <v>21</v>
      </c>
      <c r="O15" s="118"/>
      <c r="P15" s="19" t="s">
        <v>617</v>
      </c>
      <c r="Q15" s="136">
        <v>0</v>
      </c>
      <c r="Y15" s="19" t="s">
        <v>657</v>
      </c>
      <c r="Z15" s="136"/>
      <c r="AA15" s="53"/>
      <c r="AB15" s="14" t="str">
        <f>AD15&amp;COUNTIF($AD$2:AD15,AD15)</f>
        <v>0</v>
      </c>
      <c r="AC15" s="136"/>
      <c r="AD15" s="136"/>
      <c r="AE15" s="135"/>
      <c r="AF15" s="23" t="str">
        <f>IFERROR(VLOOKUP(AC15,Players!$B:$F,3,0),"")</f>
        <v/>
      </c>
      <c r="AG15" s="23" t="str">
        <f>IFERROR(VLOOKUP(AC15,Players!$B:$F,2,0),"")</f>
        <v/>
      </c>
      <c r="AH15" s="23" t="str">
        <f>IFERROR(VLOOKUP(AC15,Players!$B:$N,5,0),"")</f>
        <v/>
      </c>
      <c r="AI15" s="23">
        <v>14</v>
      </c>
      <c r="AJ15" s="28" t="str">
        <f>IFERROR(IF(LOOKUP(2,1/($AD$1:AD14=VLOOKUP(AJ14,$AN$2:$AX$11,2,0)),$AK$1:AK14)&lt;16,VLOOKUP(AJ14,$AN$2:$AX$11,2,0),IF(LOOKUP(2,1/($AD$1:AD14=VLOOKUP(AJ14,$AN$2:$AX$11,3,0)),$AK$1:AK14)&lt;16,VLOOKUP(AJ14,$AN$2:$AX$11,3,0),IF(LOOKUP(2,1/($AD$1:AD14=VLOOKUP(AJ14,$AN$2:$AX$11,4,0)),$AK$1:AK14)&lt;16,VLOOKUP(AJ14,$AN$2:$AX$11,4,0),IF(LOOKUP(2,1/($AD$1:AD14=VLOOKUP(AJ14,$AN$2:$AX$11,5,0)),$AK$1:AK14)&lt;16,VLOOKUP(AJ14,$AN$2:$AX$11,5,0),IF(LOOKUP(2,1/($AD$1:AD14=VLOOKUP(AJ14,$AN$2:$AX$11,6,0)),$AK$1:AK14)&lt;16,VLOOKUP(AJ14,$AN$2:$AX$11,6,0),IF(LOOKUP(2,1/($AD$1:AD14=VLOOKUP(AJ14,$AN$2:$AX$11,7,0)),$AK$1:AK14)&lt;16,VLOOKUP(AJ14,$AN$2:$AX$11,7,0),IF(LOOKUP(2,1/($AD$1:AD14=VLOOKUP(AJ14,$AN$2:$AX$11,8,0)),$AK$1:AK14)&lt;16,VLOOKUP(AJ14,$AN$2:$AX$11,8,0),IF(LOOKUP(2,1/($AD$1:AD14=VLOOKUP(AJ14,$AN$2:$AX$11,9,0)),$AK$1:AK14)&lt;16,VLOOKUP(AJ14,$AN$2:$AX$11,9,0),IF(LOOKUP(2,1/($AD$1:AD14=VLOOKUP(AJ14,$AN$2:$AX$11,10,0)),$AK$1:AK14)&lt;16,VLOOKUP(AJ14,$AN$2:$AX$11,10,0),VLOOKUP(AJ14,$AN$2:$AX$11,11,0)))))))))),VLOOKUP(AJ14,$AN$2:$AX$11,2,0))</f>
        <v>Team 6</v>
      </c>
      <c r="AK15">
        <f>COUNTIF($AD$1:AD15,AD15)</f>
        <v>0</v>
      </c>
      <c r="AL15">
        <f>COUNTIF($AK$1:AK15,"16")</f>
        <v>0</v>
      </c>
      <c r="AZ15" s="32">
        <f t="shared" si="2"/>
        <v>200</v>
      </c>
      <c r="BA15" s="33">
        <f t="shared" si="3"/>
        <v>200</v>
      </c>
      <c r="BB15" s="33">
        <f t="shared" si="4"/>
        <v>200</v>
      </c>
      <c r="BC15" s="33">
        <f t="shared" si="5"/>
        <v>200</v>
      </c>
      <c r="BD15" s="33">
        <f t="shared" si="6"/>
        <v>200</v>
      </c>
      <c r="BE15" s="33">
        <f t="shared" si="7"/>
        <v>200</v>
      </c>
      <c r="BF15" s="33">
        <f t="shared" si="8"/>
        <v>200</v>
      </c>
      <c r="BG15" s="33">
        <f t="shared" si="9"/>
        <v>200</v>
      </c>
      <c r="BH15" s="33">
        <f t="shared" si="10"/>
        <v>200</v>
      </c>
      <c r="BI15" s="34">
        <f t="shared" si="11"/>
        <v>200</v>
      </c>
    </row>
    <row r="16" spans="1:61" ht="15.75" thickBot="1" x14ac:dyDescent="0.3">
      <c r="A16" s="68" t="s">
        <v>17</v>
      </c>
      <c r="B16" s="143">
        <v>27</v>
      </c>
      <c r="C16" s="68"/>
      <c r="D16" s="65">
        <v>35</v>
      </c>
      <c r="E16" s="127">
        <v>36</v>
      </c>
      <c r="F16" s="65">
        <f>COUNTIF(Input!$AF$2:$AF$101,A16)</f>
        <v>0</v>
      </c>
      <c r="G16" s="65">
        <f t="shared" si="13"/>
        <v>35</v>
      </c>
      <c r="H16" s="120">
        <v>2.33</v>
      </c>
      <c r="I16" s="124">
        <f t="shared" si="14"/>
        <v>35</v>
      </c>
      <c r="J16" s="118" t="str">
        <f t="shared" si="15"/>
        <v>WR27</v>
      </c>
      <c r="K16" s="118" t="str">
        <f>CONCATENATE(A16,B16-1)</f>
        <v>WR26</v>
      </c>
      <c r="L16" s="118" t="str">
        <f>CONCATENATE(A16,B16+1)</f>
        <v>WR28</v>
      </c>
      <c r="M16" s="124">
        <v>37</v>
      </c>
      <c r="N16" s="124">
        <v>31</v>
      </c>
      <c r="O16" s="118"/>
      <c r="P16" s="20" t="s">
        <v>658</v>
      </c>
      <c r="Q16" s="137">
        <v>7</v>
      </c>
      <c r="Y16" s="21" t="s">
        <v>669</v>
      </c>
      <c r="Z16" s="136">
        <v>10</v>
      </c>
      <c r="AA16" s="53"/>
      <c r="AB16" s="14" t="str">
        <f>AD16&amp;COUNTIF($AD$2:AD16,AD16)</f>
        <v>0</v>
      </c>
      <c r="AC16" s="136"/>
      <c r="AD16" s="136"/>
      <c r="AE16" s="135"/>
      <c r="AF16" s="23" t="str">
        <f>IFERROR(VLOOKUP(AC16,Players!$B:$F,3,0),"")</f>
        <v/>
      </c>
      <c r="AG16" s="23" t="str">
        <f>IFERROR(VLOOKUP(AC16,Players!$B:$F,2,0),"")</f>
        <v/>
      </c>
      <c r="AH16" s="23" t="str">
        <f>IFERROR(VLOOKUP(AC16,Players!$B:$N,5,0),"")</f>
        <v/>
      </c>
      <c r="AI16" s="23">
        <v>15</v>
      </c>
      <c r="AJ16" s="28" t="str">
        <f>IFERROR(IF(LOOKUP(2,1/($AD$1:AD15=VLOOKUP(AJ15,$AN$2:$AX$11,2,0)),$AK$1:AK15)&lt;16,VLOOKUP(AJ15,$AN$2:$AX$11,2,0),IF(LOOKUP(2,1/($AD$1:AD15=VLOOKUP(AJ15,$AN$2:$AX$11,3,0)),$AK$1:AK15)&lt;16,VLOOKUP(AJ15,$AN$2:$AX$11,3,0),IF(LOOKUP(2,1/($AD$1:AD15=VLOOKUP(AJ15,$AN$2:$AX$11,4,0)),$AK$1:AK15)&lt;16,VLOOKUP(AJ15,$AN$2:$AX$11,4,0),IF(LOOKUP(2,1/($AD$1:AD15=VLOOKUP(AJ15,$AN$2:$AX$11,5,0)),$AK$1:AK15)&lt;16,VLOOKUP(AJ15,$AN$2:$AX$11,5,0),IF(LOOKUP(2,1/($AD$1:AD15=VLOOKUP(AJ15,$AN$2:$AX$11,6,0)),$AK$1:AK15)&lt;16,VLOOKUP(AJ15,$AN$2:$AX$11,6,0),IF(LOOKUP(2,1/($AD$1:AD15=VLOOKUP(AJ15,$AN$2:$AX$11,7,0)),$AK$1:AK15)&lt;16,VLOOKUP(AJ15,$AN$2:$AX$11,7,0),IF(LOOKUP(2,1/($AD$1:AD15=VLOOKUP(AJ15,$AN$2:$AX$11,8,0)),$AK$1:AK15)&lt;16,VLOOKUP(AJ15,$AN$2:$AX$11,8,0),IF(LOOKUP(2,1/($AD$1:AD15=VLOOKUP(AJ15,$AN$2:$AX$11,9,0)),$AK$1:AK15)&lt;16,VLOOKUP(AJ15,$AN$2:$AX$11,9,0),IF(LOOKUP(2,1/($AD$1:AD15=VLOOKUP(AJ15,$AN$2:$AX$11,10,0)),$AK$1:AK15)&lt;16,VLOOKUP(AJ15,$AN$2:$AX$11,10,0),VLOOKUP(AJ15,$AN$2:$AX$11,11,0)))))))))),VLOOKUP(AJ15,$AN$2:$AX$11,2,0))</f>
        <v>Team 7</v>
      </c>
      <c r="AK16">
        <f>COUNTIF($AD$1:AD16,AD16)</f>
        <v>0</v>
      </c>
      <c r="AL16">
        <f>COUNTIF($AK$1:AK16,"16")</f>
        <v>0</v>
      </c>
      <c r="AZ16" s="32">
        <f t="shared" si="2"/>
        <v>200</v>
      </c>
      <c r="BA16" s="33">
        <f t="shared" si="3"/>
        <v>200</v>
      </c>
      <c r="BB16" s="33">
        <f t="shared" si="4"/>
        <v>200</v>
      </c>
      <c r="BC16" s="33">
        <f t="shared" si="5"/>
        <v>200</v>
      </c>
      <c r="BD16" s="33">
        <f t="shared" si="6"/>
        <v>200</v>
      </c>
      <c r="BE16" s="33">
        <f t="shared" si="7"/>
        <v>200</v>
      </c>
      <c r="BF16" s="33">
        <f t="shared" si="8"/>
        <v>200</v>
      </c>
      <c r="BG16" s="33">
        <f t="shared" si="9"/>
        <v>200</v>
      </c>
      <c r="BH16" s="33">
        <f t="shared" si="10"/>
        <v>200</v>
      </c>
      <c r="BI16" s="34">
        <f t="shared" si="11"/>
        <v>200</v>
      </c>
    </row>
    <row r="17" spans="1:61" ht="15.75" thickBot="1" x14ac:dyDescent="0.3">
      <c r="A17" s="68" t="s">
        <v>43</v>
      </c>
      <c r="B17" s="143">
        <f>$B$1*Q5+1+F27</f>
        <v>11</v>
      </c>
      <c r="C17" s="68"/>
      <c r="D17" s="65">
        <v>13</v>
      </c>
      <c r="E17" s="127">
        <v>12</v>
      </c>
      <c r="F17" s="65">
        <f>COUNTIF(Input!$AF$2:$AF$101,A17)</f>
        <v>0</v>
      </c>
      <c r="G17" s="65">
        <f t="shared" si="13"/>
        <v>10</v>
      </c>
      <c r="H17" s="120">
        <v>1</v>
      </c>
      <c r="I17" s="124">
        <f t="shared" si="14"/>
        <v>12</v>
      </c>
      <c r="J17" s="118" t="str">
        <f t="shared" si="15"/>
        <v>TE11</v>
      </c>
      <c r="K17" s="118" t="str">
        <f>CONCATENATE(A17,B17-1)</f>
        <v>TE10</v>
      </c>
      <c r="L17" s="118" t="str">
        <f>CONCATENATE(A17,B17+1)</f>
        <v>TE12</v>
      </c>
      <c r="M17" s="124">
        <v>7</v>
      </c>
      <c r="N17" s="124">
        <v>11</v>
      </c>
      <c r="O17" s="118"/>
      <c r="P17" s="276" t="s">
        <v>687</v>
      </c>
      <c r="Q17" s="277">
        <f>SUM(Q2:Q16)</f>
        <v>16</v>
      </c>
      <c r="Y17" s="21" t="s">
        <v>666</v>
      </c>
      <c r="Z17" s="136">
        <v>6</v>
      </c>
      <c r="AA17" s="53"/>
      <c r="AB17" s="14" t="str">
        <f>AD17&amp;COUNTIF($AD$2:AD17,AD17)</f>
        <v>0</v>
      </c>
      <c r="AC17" s="136"/>
      <c r="AD17" s="136"/>
      <c r="AE17" s="135"/>
      <c r="AF17" s="23" t="str">
        <f>IFERROR(VLOOKUP(AC17,Players!$B:$F,3,0),"")</f>
        <v/>
      </c>
      <c r="AG17" s="23" t="str">
        <f>IFERROR(VLOOKUP(AC17,Players!$B:$F,2,0),"")</f>
        <v/>
      </c>
      <c r="AH17" s="23" t="str">
        <f>IFERROR(VLOOKUP(AC17,Players!$B:$N,5,0),"")</f>
        <v/>
      </c>
      <c r="AI17" s="23">
        <v>16</v>
      </c>
      <c r="AJ17" s="28" t="str">
        <f>IFERROR(IF(LOOKUP(2,1/($AD$1:AD16=VLOOKUP(AJ16,$AN$2:$AX$11,2,0)),$AK$1:AK16)&lt;16,VLOOKUP(AJ16,$AN$2:$AX$11,2,0),IF(LOOKUP(2,1/($AD$1:AD16=VLOOKUP(AJ16,$AN$2:$AX$11,3,0)),$AK$1:AK16)&lt;16,VLOOKUP(AJ16,$AN$2:$AX$11,3,0),IF(LOOKUP(2,1/($AD$1:AD16=VLOOKUP(AJ16,$AN$2:$AX$11,4,0)),$AK$1:AK16)&lt;16,VLOOKUP(AJ16,$AN$2:$AX$11,4,0),IF(LOOKUP(2,1/($AD$1:AD16=VLOOKUP(AJ16,$AN$2:$AX$11,5,0)),$AK$1:AK16)&lt;16,VLOOKUP(AJ16,$AN$2:$AX$11,5,0),IF(LOOKUP(2,1/($AD$1:AD16=VLOOKUP(AJ16,$AN$2:$AX$11,6,0)),$AK$1:AK16)&lt;16,VLOOKUP(AJ16,$AN$2:$AX$11,6,0),IF(LOOKUP(2,1/($AD$1:AD16=VLOOKUP(AJ16,$AN$2:$AX$11,7,0)),$AK$1:AK16)&lt;16,VLOOKUP(AJ16,$AN$2:$AX$11,7,0),IF(LOOKUP(2,1/($AD$1:AD16=VLOOKUP(AJ16,$AN$2:$AX$11,8,0)),$AK$1:AK16)&lt;16,VLOOKUP(AJ16,$AN$2:$AX$11,8,0),IF(LOOKUP(2,1/($AD$1:AD16=VLOOKUP(AJ16,$AN$2:$AX$11,9,0)),$AK$1:AK16)&lt;16,VLOOKUP(AJ16,$AN$2:$AX$11,9,0),IF(LOOKUP(2,1/($AD$1:AD16=VLOOKUP(AJ16,$AN$2:$AX$11,10,0)),$AK$1:AK16)&lt;16,VLOOKUP(AJ16,$AN$2:$AX$11,10,0),VLOOKUP(AJ16,$AN$2:$AX$11,11,0)))))))))),VLOOKUP(AJ16,$AN$2:$AX$11,2,0))</f>
        <v>Team 8</v>
      </c>
      <c r="AK17">
        <f>COUNTIF($AD$1:AD17,AD17)</f>
        <v>0</v>
      </c>
      <c r="AL17">
        <f>COUNTIF($AK$1:AK17,"16")</f>
        <v>0</v>
      </c>
      <c r="AZ17" s="32">
        <f t="shared" si="2"/>
        <v>200</v>
      </c>
      <c r="BA17" s="33">
        <f t="shared" si="3"/>
        <v>200</v>
      </c>
      <c r="BB17" s="33">
        <f t="shared" si="4"/>
        <v>200</v>
      </c>
      <c r="BC17" s="33">
        <f t="shared" si="5"/>
        <v>200</v>
      </c>
      <c r="BD17" s="33">
        <f t="shared" si="6"/>
        <v>200</v>
      </c>
      <c r="BE17" s="33">
        <f t="shared" si="7"/>
        <v>200</v>
      </c>
      <c r="BF17" s="33">
        <f t="shared" si="8"/>
        <v>200</v>
      </c>
      <c r="BG17" s="33">
        <f t="shared" si="9"/>
        <v>200</v>
      </c>
      <c r="BH17" s="33">
        <f t="shared" si="10"/>
        <v>200</v>
      </c>
      <c r="BI17" s="34">
        <f t="shared" si="11"/>
        <v>200</v>
      </c>
    </row>
    <row r="18" spans="1:61" ht="15.75" thickBot="1" x14ac:dyDescent="0.3">
      <c r="A18" s="68" t="s">
        <v>147</v>
      </c>
      <c r="B18" s="143">
        <f>$B$1*Q6+1</f>
        <v>11</v>
      </c>
      <c r="C18" s="68"/>
      <c r="D18" s="65">
        <v>0</v>
      </c>
      <c r="E18" s="127">
        <v>0</v>
      </c>
      <c r="F18" s="65">
        <f>COUNTIF(Input!$AF$2:$AF$101,A18)</f>
        <v>0</v>
      </c>
      <c r="G18" s="65">
        <f t="shared" si="13"/>
        <v>1</v>
      </c>
      <c r="H18" s="120">
        <v>0.1</v>
      </c>
      <c r="I18" s="124">
        <f t="shared" si="14"/>
        <v>0</v>
      </c>
      <c r="J18" s="118" t="str">
        <f t="shared" si="15"/>
        <v>K11</v>
      </c>
      <c r="K18" s="118" t="str">
        <f>J18</f>
        <v>K11</v>
      </c>
      <c r="L18" s="118" t="str">
        <f>J18</f>
        <v>K11</v>
      </c>
      <c r="M18" s="124">
        <v>1</v>
      </c>
      <c r="N18" s="124">
        <v>1</v>
      </c>
      <c r="O18" s="118"/>
      <c r="Y18" s="21" t="s">
        <v>667</v>
      </c>
      <c r="Z18" s="136">
        <v>4</v>
      </c>
      <c r="AA18" s="53"/>
      <c r="AB18" s="14" t="str">
        <f>AD18&amp;COUNTIF($AD$2:AD18,AD18)</f>
        <v>0</v>
      </c>
      <c r="AC18" s="136"/>
      <c r="AD18" s="136"/>
      <c r="AE18" s="135"/>
      <c r="AF18" s="23" t="str">
        <f>IFERROR(VLOOKUP(AC18,Players!$B:$F,3,0),"")</f>
        <v/>
      </c>
      <c r="AG18" s="23" t="str">
        <f>IFERROR(VLOOKUP(AC18,Players!$B:$F,2,0),"")</f>
        <v/>
      </c>
      <c r="AH18" s="23" t="str">
        <f>IFERROR(VLOOKUP(AC18,Players!$B:$N,5,0),"")</f>
        <v/>
      </c>
      <c r="AI18" s="23">
        <v>17</v>
      </c>
      <c r="AJ18" s="28" t="str">
        <f>IFERROR(IF(LOOKUP(2,1/($AD$1:AD17=VLOOKUP(AJ17,$AN$2:$AX$11,2,0)),$AK$1:AK17)&lt;16,VLOOKUP(AJ17,$AN$2:$AX$11,2,0),IF(LOOKUP(2,1/($AD$1:AD17=VLOOKUP(AJ17,$AN$2:$AX$11,3,0)),$AK$1:AK17)&lt;16,VLOOKUP(AJ17,$AN$2:$AX$11,3,0),IF(LOOKUP(2,1/($AD$1:AD17=VLOOKUP(AJ17,$AN$2:$AX$11,4,0)),$AK$1:AK17)&lt;16,VLOOKUP(AJ17,$AN$2:$AX$11,4,0),IF(LOOKUP(2,1/($AD$1:AD17=VLOOKUP(AJ17,$AN$2:$AX$11,5,0)),$AK$1:AK17)&lt;16,VLOOKUP(AJ17,$AN$2:$AX$11,5,0),IF(LOOKUP(2,1/($AD$1:AD17=VLOOKUP(AJ17,$AN$2:$AX$11,6,0)),$AK$1:AK17)&lt;16,VLOOKUP(AJ17,$AN$2:$AX$11,6,0),IF(LOOKUP(2,1/($AD$1:AD17=VLOOKUP(AJ17,$AN$2:$AX$11,7,0)),$AK$1:AK17)&lt;16,VLOOKUP(AJ17,$AN$2:$AX$11,7,0),IF(LOOKUP(2,1/($AD$1:AD17=VLOOKUP(AJ17,$AN$2:$AX$11,8,0)),$AK$1:AK17)&lt;16,VLOOKUP(AJ17,$AN$2:$AX$11,8,0),IF(LOOKUP(2,1/($AD$1:AD17=VLOOKUP(AJ17,$AN$2:$AX$11,9,0)),$AK$1:AK17)&lt;16,VLOOKUP(AJ17,$AN$2:$AX$11,9,0),IF(LOOKUP(2,1/($AD$1:AD17=VLOOKUP(AJ17,$AN$2:$AX$11,10,0)),$AK$1:AK17)&lt;16,VLOOKUP(AJ17,$AN$2:$AX$11,10,0),VLOOKUP(AJ17,$AN$2:$AX$11,11,0)))))))))),VLOOKUP(AJ17,$AN$2:$AX$11,2,0))</f>
        <v>Team Se</v>
      </c>
      <c r="AK18">
        <f>COUNTIF($AD$1:AD18,AD18)</f>
        <v>0</v>
      </c>
      <c r="AL18">
        <f>COUNTIF($AK$1:AK18,"16")</f>
        <v>0</v>
      </c>
      <c r="AZ18" s="32">
        <f t="shared" si="2"/>
        <v>200</v>
      </c>
      <c r="BA18" s="33">
        <f t="shared" si="3"/>
        <v>200</v>
      </c>
      <c r="BB18" s="33">
        <f t="shared" si="4"/>
        <v>200</v>
      </c>
      <c r="BC18" s="33">
        <f t="shared" si="5"/>
        <v>200</v>
      </c>
      <c r="BD18" s="33">
        <f t="shared" si="6"/>
        <v>200</v>
      </c>
      <c r="BE18" s="33">
        <f t="shared" si="7"/>
        <v>200</v>
      </c>
      <c r="BF18" s="33">
        <f t="shared" si="8"/>
        <v>200</v>
      </c>
      <c r="BG18" s="33">
        <f t="shared" si="9"/>
        <v>200</v>
      </c>
      <c r="BH18" s="33">
        <f t="shared" si="10"/>
        <v>200</v>
      </c>
      <c r="BI18" s="34">
        <f t="shared" si="11"/>
        <v>200</v>
      </c>
    </row>
    <row r="19" spans="1:61" ht="15.75" thickBot="1" x14ac:dyDescent="0.3">
      <c r="A19" s="68" t="s">
        <v>135</v>
      </c>
      <c r="B19" s="143">
        <f>$B$1*Q7+1</f>
        <v>11</v>
      </c>
      <c r="C19" s="68"/>
      <c r="D19" s="65">
        <v>0</v>
      </c>
      <c r="E19" s="127">
        <v>1</v>
      </c>
      <c r="F19" s="65">
        <f>COUNTIF(Input!$AF$2:$AF$101,A19)</f>
        <v>0</v>
      </c>
      <c r="G19" s="65">
        <f t="shared" si="13"/>
        <v>1</v>
      </c>
      <c r="H19" s="120">
        <v>0.1</v>
      </c>
      <c r="I19" s="124">
        <f t="shared" si="14"/>
        <v>1</v>
      </c>
      <c r="J19" s="118" t="str">
        <f t="shared" si="15"/>
        <v>DST11</v>
      </c>
      <c r="K19" s="118" t="str">
        <f>J19</f>
        <v>DST11</v>
      </c>
      <c r="L19" s="118" t="str">
        <f>J19</f>
        <v>DST11</v>
      </c>
      <c r="M19" s="124">
        <v>1</v>
      </c>
      <c r="N19" s="124">
        <v>1</v>
      </c>
      <c r="O19" s="118"/>
      <c r="P19" s="322" t="s">
        <v>53</v>
      </c>
      <c r="Q19" s="323"/>
      <c r="S19" s="322" t="s">
        <v>17</v>
      </c>
      <c r="T19" s="323"/>
      <c r="V19" s="322" t="s">
        <v>147</v>
      </c>
      <c r="W19" s="323"/>
      <c r="Y19" s="21" t="s">
        <v>668</v>
      </c>
      <c r="Z19" s="136">
        <v>2</v>
      </c>
      <c r="AA19" s="53"/>
      <c r="AB19" s="14" t="str">
        <f>AD19&amp;COUNTIF($AD$2:AD19,AD19)</f>
        <v>0</v>
      </c>
      <c r="AC19" s="136"/>
      <c r="AD19" s="136"/>
      <c r="AE19" s="135"/>
      <c r="AF19" s="23" t="str">
        <f>IFERROR(VLOOKUP(AC19,Players!$B:$F,3,0),"")</f>
        <v/>
      </c>
      <c r="AG19" s="23" t="str">
        <f>IFERROR(VLOOKUP(AC19,Players!$B:$F,2,0),"")</f>
        <v/>
      </c>
      <c r="AH19" s="23" t="str">
        <f>IFERROR(VLOOKUP(AC19,Players!$B:$N,5,0),"")</f>
        <v/>
      </c>
      <c r="AI19" s="23">
        <v>18</v>
      </c>
      <c r="AJ19" s="28" t="str">
        <f>IFERROR(IF(LOOKUP(2,1/($AD$1:AD18=VLOOKUP(AJ18,$AN$2:$AX$11,2,0)),$AK$1:AK18)&lt;16,VLOOKUP(AJ18,$AN$2:$AX$11,2,0),IF(LOOKUP(2,1/($AD$1:AD18=VLOOKUP(AJ18,$AN$2:$AX$11,3,0)),$AK$1:AK18)&lt;16,VLOOKUP(AJ18,$AN$2:$AX$11,3,0),IF(LOOKUP(2,1/($AD$1:AD18=VLOOKUP(AJ18,$AN$2:$AX$11,4,0)),$AK$1:AK18)&lt;16,VLOOKUP(AJ18,$AN$2:$AX$11,4,0),IF(LOOKUP(2,1/($AD$1:AD18=VLOOKUP(AJ18,$AN$2:$AX$11,5,0)),$AK$1:AK18)&lt;16,VLOOKUP(AJ18,$AN$2:$AX$11,5,0),IF(LOOKUP(2,1/($AD$1:AD18=VLOOKUP(AJ18,$AN$2:$AX$11,6,0)),$AK$1:AK18)&lt;16,VLOOKUP(AJ18,$AN$2:$AX$11,6,0),IF(LOOKUP(2,1/($AD$1:AD18=VLOOKUP(AJ18,$AN$2:$AX$11,7,0)),$AK$1:AK18)&lt;16,VLOOKUP(AJ18,$AN$2:$AX$11,7,0),IF(LOOKUP(2,1/($AD$1:AD18=VLOOKUP(AJ18,$AN$2:$AX$11,8,0)),$AK$1:AK18)&lt;16,VLOOKUP(AJ18,$AN$2:$AX$11,8,0),IF(LOOKUP(2,1/($AD$1:AD18=VLOOKUP(AJ18,$AN$2:$AX$11,9,0)),$AK$1:AK18)&lt;16,VLOOKUP(AJ18,$AN$2:$AX$11,9,0),IF(LOOKUP(2,1/($AD$1:AD18=VLOOKUP(AJ18,$AN$2:$AX$11,10,0)),$AK$1:AK18)&lt;16,VLOOKUP(AJ18,$AN$2:$AX$11,10,0),VLOOKUP(AJ18,$AN$2:$AX$11,11,0)))))))))),VLOOKUP(AJ18,$AN$2:$AX$11,2,0))</f>
        <v>Team 10</v>
      </c>
      <c r="AK19">
        <f>COUNTIF($AD$1:AD19,AD19)</f>
        <v>0</v>
      </c>
      <c r="AL19">
        <f>COUNTIF($AK$1:AK19,"16")</f>
        <v>0</v>
      </c>
      <c r="AZ19" s="32">
        <f t="shared" si="2"/>
        <v>200</v>
      </c>
      <c r="BA19" s="33">
        <f t="shared" si="3"/>
        <v>200</v>
      </c>
      <c r="BB19" s="33">
        <f t="shared" si="4"/>
        <v>200</v>
      </c>
      <c r="BC19" s="33">
        <f t="shared" si="5"/>
        <v>200</v>
      </c>
      <c r="BD19" s="33">
        <f t="shared" si="6"/>
        <v>200</v>
      </c>
      <c r="BE19" s="33">
        <f t="shared" si="7"/>
        <v>200</v>
      </c>
      <c r="BF19" s="33">
        <f t="shared" si="8"/>
        <v>200</v>
      </c>
      <c r="BG19" s="33">
        <f t="shared" si="9"/>
        <v>200</v>
      </c>
      <c r="BH19" s="33">
        <f t="shared" si="10"/>
        <v>200</v>
      </c>
      <c r="BI19" s="34">
        <f t="shared" si="11"/>
        <v>200</v>
      </c>
    </row>
    <row r="20" spans="1:61" x14ac:dyDescent="0.25">
      <c r="A20" s="68" t="s">
        <v>610</v>
      </c>
      <c r="B20" s="143">
        <f>$B$1*Q8+1</f>
        <v>1</v>
      </c>
      <c r="C20" s="68"/>
      <c r="D20" s="65">
        <v>0</v>
      </c>
      <c r="E20" s="127">
        <v>0</v>
      </c>
      <c r="F20" s="65">
        <f>COUNTIF(Input!$AF$2:$AF$101,A20)</f>
        <v>0</v>
      </c>
      <c r="G20" s="65">
        <f t="shared" si="13"/>
        <v>0</v>
      </c>
      <c r="H20" s="120">
        <v>0</v>
      </c>
      <c r="I20" s="124">
        <f t="shared" si="14"/>
        <v>0</v>
      </c>
      <c r="J20" s="118" t="str">
        <f t="shared" si="15"/>
        <v>DL1</v>
      </c>
      <c r="K20" s="118" t="str">
        <f>J20</f>
        <v>DL1</v>
      </c>
      <c r="L20" s="118" t="str">
        <f>J20</f>
        <v>DL1</v>
      </c>
      <c r="M20" s="124">
        <f>ROUNDUP(AVERAGE(I20,B20,K20),0)</f>
        <v>1</v>
      </c>
      <c r="N20" s="124">
        <f>ROUNDUP(AVERAGE(B20,J20,L20),0)</f>
        <v>1</v>
      </c>
      <c r="O20" s="118"/>
      <c r="P20" s="18" t="s">
        <v>621</v>
      </c>
      <c r="Q20" s="134">
        <v>0.05</v>
      </c>
      <c r="S20" s="18" t="s">
        <v>630</v>
      </c>
      <c r="T20" s="134">
        <v>0.1</v>
      </c>
      <c r="V20" s="18" t="s">
        <v>644</v>
      </c>
      <c r="W20" s="134">
        <v>1</v>
      </c>
      <c r="Y20" s="21" t="s">
        <v>671</v>
      </c>
      <c r="Z20" s="136">
        <v>0</v>
      </c>
      <c r="AA20" s="53"/>
      <c r="AB20" s="14" t="str">
        <f>AD20&amp;COUNTIF($AD$2:AD20,AD20)</f>
        <v>0</v>
      </c>
      <c r="AC20" s="136"/>
      <c r="AD20" s="136"/>
      <c r="AE20" s="135"/>
      <c r="AF20" s="23" t="str">
        <f>IFERROR(VLOOKUP(AC20,Players!$B:$F,3,0),"")</f>
        <v/>
      </c>
      <c r="AG20" s="23" t="str">
        <f>IFERROR(VLOOKUP(AC20,Players!$B:$F,2,0),"")</f>
        <v/>
      </c>
      <c r="AH20" s="23" t="str">
        <f>IFERROR(VLOOKUP(AC20,Players!$B:$N,5,0),"")</f>
        <v/>
      </c>
      <c r="AI20" s="23">
        <v>19</v>
      </c>
      <c r="AJ20" s="28" t="str">
        <f>IFERROR(IF(LOOKUP(2,1/($AD$1:AD19=VLOOKUP(AJ19,$AN$2:$AX$11,2,0)),$AK$1:AK19)&lt;16,VLOOKUP(AJ19,$AN$2:$AX$11,2,0),IF(LOOKUP(2,1/($AD$1:AD19=VLOOKUP(AJ19,$AN$2:$AX$11,3,0)),$AK$1:AK19)&lt;16,VLOOKUP(AJ19,$AN$2:$AX$11,3,0),IF(LOOKUP(2,1/($AD$1:AD19=VLOOKUP(AJ19,$AN$2:$AX$11,4,0)),$AK$1:AK19)&lt;16,VLOOKUP(AJ19,$AN$2:$AX$11,4,0),IF(LOOKUP(2,1/($AD$1:AD19=VLOOKUP(AJ19,$AN$2:$AX$11,5,0)),$AK$1:AK19)&lt;16,VLOOKUP(AJ19,$AN$2:$AX$11,5,0),IF(LOOKUP(2,1/($AD$1:AD19=VLOOKUP(AJ19,$AN$2:$AX$11,6,0)),$AK$1:AK19)&lt;16,VLOOKUP(AJ19,$AN$2:$AX$11,6,0),IF(LOOKUP(2,1/($AD$1:AD19=VLOOKUP(AJ19,$AN$2:$AX$11,7,0)),$AK$1:AK19)&lt;16,VLOOKUP(AJ19,$AN$2:$AX$11,7,0),IF(LOOKUP(2,1/($AD$1:AD19=VLOOKUP(AJ19,$AN$2:$AX$11,8,0)),$AK$1:AK19)&lt;16,VLOOKUP(AJ19,$AN$2:$AX$11,8,0),IF(LOOKUP(2,1/($AD$1:AD19=VLOOKUP(AJ19,$AN$2:$AX$11,9,0)),$AK$1:AK19)&lt;16,VLOOKUP(AJ19,$AN$2:$AX$11,9,0),IF(LOOKUP(2,1/($AD$1:AD19=VLOOKUP(AJ19,$AN$2:$AX$11,10,0)),$AK$1:AK19)&lt;16,VLOOKUP(AJ19,$AN$2:$AX$11,10,0),VLOOKUP(AJ19,$AN$2:$AX$11,11,0)))))))))),VLOOKUP(AJ19,$AN$2:$AX$11,2,0))</f>
        <v>Crouch</v>
      </c>
      <c r="AK20">
        <f>COUNTIF($AD$1:AD20,AD20)</f>
        <v>0</v>
      </c>
      <c r="AL20">
        <f>COUNTIF($AK$1:AK20,"16")</f>
        <v>0</v>
      </c>
      <c r="AZ20" s="32">
        <f t="shared" si="2"/>
        <v>200</v>
      </c>
      <c r="BA20" s="33">
        <f t="shared" si="3"/>
        <v>200</v>
      </c>
      <c r="BB20" s="33">
        <f t="shared" si="4"/>
        <v>200</v>
      </c>
      <c r="BC20" s="33">
        <f t="shared" si="5"/>
        <v>200</v>
      </c>
      <c r="BD20" s="33">
        <f t="shared" si="6"/>
        <v>200</v>
      </c>
      <c r="BE20" s="33">
        <f t="shared" si="7"/>
        <v>200</v>
      </c>
      <c r="BF20" s="33">
        <f t="shared" si="8"/>
        <v>200</v>
      </c>
      <c r="BG20" s="33">
        <f t="shared" si="9"/>
        <v>200</v>
      </c>
      <c r="BH20" s="33">
        <f t="shared" si="10"/>
        <v>200</v>
      </c>
      <c r="BI20" s="34">
        <f t="shared" si="11"/>
        <v>200</v>
      </c>
    </row>
    <row r="21" spans="1:61" x14ac:dyDescent="0.25">
      <c r="A21" s="68" t="s">
        <v>611</v>
      </c>
      <c r="B21" s="143">
        <f>$B$1*Q9+1</f>
        <v>1</v>
      </c>
      <c r="C21" s="68"/>
      <c r="D21" s="65">
        <v>0</v>
      </c>
      <c r="E21" s="127">
        <v>0</v>
      </c>
      <c r="F21" s="65">
        <f>COUNTIF(Input!$AF$2:$AF$101,A21)</f>
        <v>0</v>
      </c>
      <c r="G21" s="65">
        <f t="shared" si="13"/>
        <v>0</v>
      </c>
      <c r="H21" s="120">
        <v>0</v>
      </c>
      <c r="I21" s="124">
        <f t="shared" si="14"/>
        <v>0</v>
      </c>
      <c r="J21" s="118" t="str">
        <f t="shared" si="15"/>
        <v>LB1</v>
      </c>
      <c r="K21" s="118" t="str">
        <f>J21</f>
        <v>LB1</v>
      </c>
      <c r="L21" s="118" t="str">
        <f>J21</f>
        <v>LB1</v>
      </c>
      <c r="M21" s="124">
        <f>ROUNDUP(AVERAGE(I21,B21,K21),0)</f>
        <v>1</v>
      </c>
      <c r="N21" s="124">
        <f>ROUNDUP(AVERAGE(B21,J21,L21),0)</f>
        <v>1</v>
      </c>
      <c r="O21" s="118"/>
      <c r="P21" s="19" t="s">
        <v>623</v>
      </c>
      <c r="Q21" s="136">
        <v>0</v>
      </c>
      <c r="S21" s="19" t="s">
        <v>632</v>
      </c>
      <c r="T21" s="136">
        <v>6</v>
      </c>
      <c r="V21" s="19" t="s">
        <v>645</v>
      </c>
      <c r="W21" s="136">
        <v>3</v>
      </c>
      <c r="Y21" s="21" t="s">
        <v>674</v>
      </c>
      <c r="Z21" s="136">
        <v>-2</v>
      </c>
      <c r="AA21" s="53"/>
      <c r="AB21" s="14" t="str">
        <f>AD21&amp;COUNTIF($AD$2:AD21,AD21)</f>
        <v>0</v>
      </c>
      <c r="AC21" s="136"/>
      <c r="AD21" s="136"/>
      <c r="AE21" s="135"/>
      <c r="AF21" s="23" t="str">
        <f>IFERROR(VLOOKUP(AC21,Players!$B:$F,3,0),"")</f>
        <v/>
      </c>
      <c r="AG21" s="23" t="str">
        <f>IFERROR(VLOOKUP(AC21,Players!$B:$F,2,0),"")</f>
        <v/>
      </c>
      <c r="AH21" s="23" t="str">
        <f>IFERROR(VLOOKUP(AC21,Players!$B:$N,5,0),"")</f>
        <v/>
      </c>
      <c r="AI21" s="23">
        <v>20</v>
      </c>
      <c r="AJ21" s="28" t="str">
        <f>IFERROR(IF(LOOKUP(2,1/($AD$1:AD20=VLOOKUP(AJ20,$AN$2:$AX$11,2,0)),$AK$1:AK20)&lt;16,VLOOKUP(AJ20,$AN$2:$AX$11,2,0),IF(LOOKUP(2,1/($AD$1:AD20=VLOOKUP(AJ20,$AN$2:$AX$11,3,0)),$AK$1:AK20)&lt;16,VLOOKUP(AJ20,$AN$2:$AX$11,3,0),IF(LOOKUP(2,1/($AD$1:AD20=VLOOKUP(AJ20,$AN$2:$AX$11,4,0)),$AK$1:AK20)&lt;16,VLOOKUP(AJ20,$AN$2:$AX$11,4,0),IF(LOOKUP(2,1/($AD$1:AD20=VLOOKUP(AJ20,$AN$2:$AX$11,5,0)),$AK$1:AK20)&lt;16,VLOOKUP(AJ20,$AN$2:$AX$11,5,0),IF(LOOKUP(2,1/($AD$1:AD20=VLOOKUP(AJ20,$AN$2:$AX$11,6,0)),$AK$1:AK20)&lt;16,VLOOKUP(AJ20,$AN$2:$AX$11,6,0),IF(LOOKUP(2,1/($AD$1:AD20=VLOOKUP(AJ20,$AN$2:$AX$11,7,0)),$AK$1:AK20)&lt;16,VLOOKUP(AJ20,$AN$2:$AX$11,7,0),IF(LOOKUP(2,1/($AD$1:AD20=VLOOKUP(AJ20,$AN$2:$AX$11,8,0)),$AK$1:AK20)&lt;16,VLOOKUP(AJ20,$AN$2:$AX$11,8,0),IF(LOOKUP(2,1/($AD$1:AD20=VLOOKUP(AJ20,$AN$2:$AX$11,9,0)),$AK$1:AK20)&lt;16,VLOOKUP(AJ20,$AN$2:$AX$11,9,0),IF(LOOKUP(2,1/($AD$1:AD20=VLOOKUP(AJ20,$AN$2:$AX$11,10,0)),$AK$1:AK20)&lt;16,VLOOKUP(AJ20,$AN$2:$AX$11,10,0),VLOOKUP(AJ20,$AN$2:$AX$11,11,0)))))))))),VLOOKUP(AJ20,$AN$2:$AX$11,2,0))</f>
        <v>Team 4</v>
      </c>
      <c r="AK21">
        <f>COUNTIF($AD$1:AD21,AD21)</f>
        <v>0</v>
      </c>
      <c r="AL21">
        <f>COUNTIF($AK$1:AK21,"16")</f>
        <v>0</v>
      </c>
      <c r="AZ21" s="32">
        <f t="shared" si="2"/>
        <v>200</v>
      </c>
      <c r="BA21" s="33">
        <f t="shared" si="3"/>
        <v>200</v>
      </c>
      <c r="BB21" s="33">
        <f t="shared" si="4"/>
        <v>200</v>
      </c>
      <c r="BC21" s="33">
        <f t="shared" si="5"/>
        <v>200</v>
      </c>
      <c r="BD21" s="33">
        <f t="shared" si="6"/>
        <v>200</v>
      </c>
      <c r="BE21" s="33">
        <f t="shared" si="7"/>
        <v>200</v>
      </c>
      <c r="BF21" s="33">
        <f t="shared" si="8"/>
        <v>200</v>
      </c>
      <c r="BG21" s="33">
        <f t="shared" si="9"/>
        <v>200</v>
      </c>
      <c r="BH21" s="33">
        <f t="shared" si="10"/>
        <v>200</v>
      </c>
      <c r="BI21" s="34">
        <f t="shared" si="11"/>
        <v>200</v>
      </c>
    </row>
    <row r="22" spans="1:61" ht="15.75" thickBot="1" x14ac:dyDescent="0.3">
      <c r="A22" s="68" t="s">
        <v>612</v>
      </c>
      <c r="B22" s="144">
        <f>$B$1*Q10+1</f>
        <v>1</v>
      </c>
      <c r="C22" s="68"/>
      <c r="D22" s="66">
        <v>0</v>
      </c>
      <c r="E22" s="132">
        <v>0</v>
      </c>
      <c r="F22" s="66">
        <f>COUNTIF(Input!$AF$2:$AF$101,A22)</f>
        <v>0</v>
      </c>
      <c r="G22" s="66">
        <f t="shared" si="13"/>
        <v>0</v>
      </c>
      <c r="H22" s="121">
        <v>0</v>
      </c>
      <c r="I22" s="125">
        <f t="shared" si="14"/>
        <v>0</v>
      </c>
      <c r="J22" s="118" t="str">
        <f t="shared" si="15"/>
        <v>DB1</v>
      </c>
      <c r="K22" s="118" t="str">
        <f>J22</f>
        <v>DB1</v>
      </c>
      <c r="L22" s="118" t="str">
        <f>J22</f>
        <v>DB1</v>
      </c>
      <c r="M22" s="125">
        <f>ROUNDUP(AVERAGE(I22,B22,K22),0)</f>
        <v>1</v>
      </c>
      <c r="N22" s="125">
        <f>ROUNDUP(AVERAGE(B22,J22,L22),0)</f>
        <v>1</v>
      </c>
      <c r="O22" s="118"/>
      <c r="P22" s="19" t="s">
        <v>624</v>
      </c>
      <c r="Q22" s="136">
        <v>0</v>
      </c>
      <c r="S22" s="19" t="s">
        <v>631</v>
      </c>
      <c r="T22" s="136">
        <v>1</v>
      </c>
      <c r="V22" s="19" t="s">
        <v>646</v>
      </c>
      <c r="W22" s="136">
        <v>3</v>
      </c>
      <c r="Y22" s="21" t="s">
        <v>672</v>
      </c>
      <c r="Z22" s="136">
        <v>-4</v>
      </c>
      <c r="AA22" s="53"/>
      <c r="AB22" s="14" t="str">
        <f>AD22&amp;COUNTIF($AD$2:AD22,AD22)</f>
        <v>0</v>
      </c>
      <c r="AC22" s="136"/>
      <c r="AD22" s="136"/>
      <c r="AE22" s="135"/>
      <c r="AF22" s="23" t="str">
        <f>IFERROR(VLOOKUP(AC22,Players!$B:$F,3,0),"")</f>
        <v/>
      </c>
      <c r="AG22" s="23" t="str">
        <f>IFERROR(VLOOKUP(AC22,Players!$B:$F,2,0),"")</f>
        <v/>
      </c>
      <c r="AH22" s="23" t="str">
        <f>IFERROR(VLOOKUP(AC22,Players!$B:$N,5,0),"")</f>
        <v/>
      </c>
      <c r="AI22" s="23">
        <v>21</v>
      </c>
      <c r="AJ22" s="28" t="str">
        <f>IFERROR(IF(LOOKUP(2,1/($AD$1:AD21=VLOOKUP(AJ21,$AN$2:$AX$11,2,0)),$AK$1:AK21)&lt;16,VLOOKUP(AJ21,$AN$2:$AX$11,2,0),IF(LOOKUP(2,1/($AD$1:AD21=VLOOKUP(AJ21,$AN$2:$AX$11,3,0)),$AK$1:AK21)&lt;16,VLOOKUP(AJ21,$AN$2:$AX$11,3,0),IF(LOOKUP(2,1/($AD$1:AD21=VLOOKUP(AJ21,$AN$2:$AX$11,4,0)),$AK$1:AK21)&lt;16,VLOOKUP(AJ21,$AN$2:$AX$11,4,0),IF(LOOKUP(2,1/($AD$1:AD21=VLOOKUP(AJ21,$AN$2:$AX$11,5,0)),$AK$1:AK21)&lt;16,VLOOKUP(AJ21,$AN$2:$AX$11,5,0),IF(LOOKUP(2,1/($AD$1:AD21=VLOOKUP(AJ21,$AN$2:$AX$11,6,0)),$AK$1:AK21)&lt;16,VLOOKUP(AJ21,$AN$2:$AX$11,6,0),IF(LOOKUP(2,1/($AD$1:AD21=VLOOKUP(AJ21,$AN$2:$AX$11,7,0)),$AK$1:AK21)&lt;16,VLOOKUP(AJ21,$AN$2:$AX$11,7,0),IF(LOOKUP(2,1/($AD$1:AD21=VLOOKUP(AJ21,$AN$2:$AX$11,8,0)),$AK$1:AK21)&lt;16,VLOOKUP(AJ21,$AN$2:$AX$11,8,0),IF(LOOKUP(2,1/($AD$1:AD21=VLOOKUP(AJ21,$AN$2:$AX$11,9,0)),$AK$1:AK21)&lt;16,VLOOKUP(AJ21,$AN$2:$AX$11,9,0),IF(LOOKUP(2,1/($AD$1:AD21=VLOOKUP(AJ21,$AN$2:$AX$11,10,0)),$AK$1:AK21)&lt;16,VLOOKUP(AJ21,$AN$2:$AX$11,10,0),VLOOKUP(AJ21,$AN$2:$AX$11,11,0)))))))))),VLOOKUP(AJ21,$AN$2:$AX$11,2,0))</f>
        <v>Team 5</v>
      </c>
      <c r="AK22">
        <f>COUNTIF($AD$1:AD22,AD22)</f>
        <v>0</v>
      </c>
      <c r="AL22">
        <f>COUNTIF($AK$1:AK22,"16")</f>
        <v>0</v>
      </c>
      <c r="AZ22" s="32">
        <f t="shared" si="2"/>
        <v>200</v>
      </c>
      <c r="BA22" s="33">
        <f t="shared" si="3"/>
        <v>200</v>
      </c>
      <c r="BB22" s="33">
        <f t="shared" si="4"/>
        <v>200</v>
      </c>
      <c r="BC22" s="33">
        <f t="shared" si="5"/>
        <v>200</v>
      </c>
      <c r="BD22" s="33">
        <f t="shared" si="6"/>
        <v>200</v>
      </c>
      <c r="BE22" s="33">
        <f t="shared" si="7"/>
        <v>200</v>
      </c>
      <c r="BF22" s="33">
        <f t="shared" si="8"/>
        <v>200</v>
      </c>
      <c r="BG22" s="33">
        <f t="shared" si="9"/>
        <v>200</v>
      </c>
      <c r="BH22" s="33">
        <f t="shared" si="10"/>
        <v>200</v>
      </c>
      <c r="BI22" s="34">
        <f t="shared" si="11"/>
        <v>200</v>
      </c>
    </row>
    <row r="23" spans="1:61" ht="15.75" thickBot="1" x14ac:dyDescent="0.3">
      <c r="A23" s="68"/>
      <c r="B23" s="68">
        <f>+B14+B15+B16+B17+B18+B19</f>
        <v>96</v>
      </c>
      <c r="C23" s="68"/>
      <c r="D23" s="68">
        <f>+D14+D15+D16+D17+D18+D19</f>
        <v>100</v>
      </c>
      <c r="E23" s="68">
        <f>+E14+E15+E16+E17+E18+E19</f>
        <v>100</v>
      </c>
      <c r="F23" s="68">
        <f>+F14+F15+F16+F17+F18+F19</f>
        <v>0</v>
      </c>
      <c r="G23" s="68">
        <f>+G14+G15+G16+G17+G18+G19</f>
        <v>94</v>
      </c>
      <c r="I23" s="68">
        <f>+I14+I15+I16+I17+I18+I19</f>
        <v>98</v>
      </c>
      <c r="J23" s="68"/>
      <c r="M23" s="68">
        <f>+M14+M15+M16+M17+M18+M19</f>
        <v>87</v>
      </c>
      <c r="N23" s="68">
        <f>+N14+N15+N16+N17+N18+N19</f>
        <v>86</v>
      </c>
      <c r="P23" s="19" t="s">
        <v>625</v>
      </c>
      <c r="Q23" s="136">
        <v>0</v>
      </c>
      <c r="S23" s="19" t="s">
        <v>641</v>
      </c>
      <c r="T23" s="136">
        <v>1</v>
      </c>
      <c r="V23" s="19" t="s">
        <v>647</v>
      </c>
      <c r="W23" s="136">
        <v>3</v>
      </c>
      <c r="Y23" s="21" t="s">
        <v>673</v>
      </c>
      <c r="Z23" s="136">
        <v>-6</v>
      </c>
      <c r="AA23" s="53"/>
      <c r="AB23" s="14" t="str">
        <f>AD23&amp;COUNTIF($AD$2:AD23,AD23)</f>
        <v>0</v>
      </c>
      <c r="AC23" s="136"/>
      <c r="AD23" s="136"/>
      <c r="AE23" s="135"/>
      <c r="AF23" s="23" t="str">
        <f>IFERROR(VLOOKUP(AC23,Players!$B:$F,3,0),"")</f>
        <v/>
      </c>
      <c r="AG23" s="23" t="str">
        <f>IFERROR(VLOOKUP(AC23,Players!$B:$F,2,0),"")</f>
        <v/>
      </c>
      <c r="AH23" s="23" t="str">
        <f>IFERROR(VLOOKUP(AC23,Players!$B:$N,5,0),"")</f>
        <v/>
      </c>
      <c r="AI23" s="23">
        <v>22</v>
      </c>
      <c r="AJ23" s="28" t="str">
        <f>IFERROR(IF(LOOKUP(2,1/($AD$1:AD22=VLOOKUP(AJ22,$AN$2:$AX$11,2,0)),$AK$1:AK22)&lt;16,VLOOKUP(AJ22,$AN$2:$AX$11,2,0),IF(LOOKUP(2,1/($AD$1:AD22=VLOOKUP(AJ22,$AN$2:$AX$11,3,0)),$AK$1:AK22)&lt;16,VLOOKUP(AJ22,$AN$2:$AX$11,3,0),IF(LOOKUP(2,1/($AD$1:AD22=VLOOKUP(AJ22,$AN$2:$AX$11,4,0)),$AK$1:AK22)&lt;16,VLOOKUP(AJ22,$AN$2:$AX$11,4,0),IF(LOOKUP(2,1/($AD$1:AD22=VLOOKUP(AJ22,$AN$2:$AX$11,5,0)),$AK$1:AK22)&lt;16,VLOOKUP(AJ22,$AN$2:$AX$11,5,0),IF(LOOKUP(2,1/($AD$1:AD22=VLOOKUP(AJ22,$AN$2:$AX$11,6,0)),$AK$1:AK22)&lt;16,VLOOKUP(AJ22,$AN$2:$AX$11,6,0),IF(LOOKUP(2,1/($AD$1:AD22=VLOOKUP(AJ22,$AN$2:$AX$11,7,0)),$AK$1:AK22)&lt;16,VLOOKUP(AJ22,$AN$2:$AX$11,7,0),IF(LOOKUP(2,1/($AD$1:AD22=VLOOKUP(AJ22,$AN$2:$AX$11,8,0)),$AK$1:AK22)&lt;16,VLOOKUP(AJ22,$AN$2:$AX$11,8,0),IF(LOOKUP(2,1/($AD$1:AD22=VLOOKUP(AJ22,$AN$2:$AX$11,9,0)),$AK$1:AK22)&lt;16,VLOOKUP(AJ22,$AN$2:$AX$11,9,0),IF(LOOKUP(2,1/($AD$1:AD22=VLOOKUP(AJ22,$AN$2:$AX$11,10,0)),$AK$1:AK22)&lt;16,VLOOKUP(AJ22,$AN$2:$AX$11,10,0),VLOOKUP(AJ22,$AN$2:$AX$11,11,0)))))))))),VLOOKUP(AJ22,$AN$2:$AX$11,2,0))</f>
        <v>Team 9</v>
      </c>
      <c r="AK23">
        <f>COUNTIF($AD$1:AD23,AD23)</f>
        <v>0</v>
      </c>
      <c r="AL23">
        <f>COUNTIF($AK$1:AK23,"16")</f>
        <v>0</v>
      </c>
      <c r="AZ23" s="32">
        <f t="shared" si="2"/>
        <v>200</v>
      </c>
      <c r="BA23" s="33">
        <f t="shared" si="3"/>
        <v>200</v>
      </c>
      <c r="BB23" s="33">
        <f t="shared" si="4"/>
        <v>200</v>
      </c>
      <c r="BC23" s="33">
        <f t="shared" si="5"/>
        <v>200</v>
      </c>
      <c r="BD23" s="33">
        <f t="shared" si="6"/>
        <v>200</v>
      </c>
      <c r="BE23" s="33">
        <f t="shared" si="7"/>
        <v>200</v>
      </c>
      <c r="BF23" s="33">
        <f t="shared" si="8"/>
        <v>200</v>
      </c>
      <c r="BG23" s="33">
        <f t="shared" si="9"/>
        <v>200</v>
      </c>
      <c r="BH23" s="33">
        <f t="shared" si="10"/>
        <v>200</v>
      </c>
      <c r="BI23" s="34">
        <f t="shared" si="11"/>
        <v>200</v>
      </c>
    </row>
    <row r="24" spans="1:61" ht="15.75" thickBot="1" x14ac:dyDescent="0.3">
      <c r="A24" s="68" t="s">
        <v>620</v>
      </c>
      <c r="B24" s="68" t="s">
        <v>660</v>
      </c>
      <c r="C24" s="68"/>
      <c r="E24" s="320" t="s">
        <v>880</v>
      </c>
      <c r="F24" s="321"/>
      <c r="J24" s="68"/>
      <c r="P24" s="19" t="s">
        <v>626</v>
      </c>
      <c r="Q24" s="136">
        <v>4</v>
      </c>
      <c r="S24" s="19" t="s">
        <v>637</v>
      </c>
      <c r="T24" s="136">
        <v>1</v>
      </c>
      <c r="V24" s="19" t="s">
        <v>648</v>
      </c>
      <c r="W24" s="136">
        <v>4</v>
      </c>
      <c r="Y24" s="47" t="s">
        <v>670</v>
      </c>
      <c r="Z24" s="137">
        <v>-10</v>
      </c>
      <c r="AA24" s="53"/>
      <c r="AB24" s="14" t="str">
        <f>AD24&amp;COUNTIF($AD$2:AD24,AD24)</f>
        <v>0</v>
      </c>
      <c r="AC24" s="136"/>
      <c r="AD24" s="136"/>
      <c r="AE24" s="135"/>
      <c r="AF24" s="23" t="str">
        <f>IFERROR(VLOOKUP(AC24,Players!$B:$F,3,0),"")</f>
        <v/>
      </c>
      <c r="AG24" s="23" t="str">
        <f>IFERROR(VLOOKUP(AC24,Players!$B:$F,2,0),"")</f>
        <v/>
      </c>
      <c r="AH24" s="23" t="str">
        <f>IFERROR(VLOOKUP(AC24,Players!$B:$N,5,0),"")</f>
        <v/>
      </c>
      <c r="AI24" s="23">
        <v>23</v>
      </c>
      <c r="AJ24" s="28" t="str">
        <f>IFERROR(IF(LOOKUP(2,1/($AD$1:AD23=VLOOKUP(AJ23,$AN$2:$AX$11,2,0)),$AK$1:AK23)&lt;16,VLOOKUP(AJ23,$AN$2:$AX$11,2,0),IF(LOOKUP(2,1/($AD$1:AD23=VLOOKUP(AJ23,$AN$2:$AX$11,3,0)),$AK$1:AK23)&lt;16,VLOOKUP(AJ23,$AN$2:$AX$11,3,0),IF(LOOKUP(2,1/($AD$1:AD23=VLOOKUP(AJ23,$AN$2:$AX$11,4,0)),$AK$1:AK23)&lt;16,VLOOKUP(AJ23,$AN$2:$AX$11,4,0),IF(LOOKUP(2,1/($AD$1:AD23=VLOOKUP(AJ23,$AN$2:$AX$11,5,0)),$AK$1:AK23)&lt;16,VLOOKUP(AJ23,$AN$2:$AX$11,5,0),IF(LOOKUP(2,1/($AD$1:AD23=VLOOKUP(AJ23,$AN$2:$AX$11,6,0)),$AK$1:AK23)&lt;16,VLOOKUP(AJ23,$AN$2:$AX$11,6,0),IF(LOOKUP(2,1/($AD$1:AD23=VLOOKUP(AJ23,$AN$2:$AX$11,7,0)),$AK$1:AK23)&lt;16,VLOOKUP(AJ23,$AN$2:$AX$11,7,0),IF(LOOKUP(2,1/($AD$1:AD23=VLOOKUP(AJ23,$AN$2:$AX$11,8,0)),$AK$1:AK23)&lt;16,VLOOKUP(AJ23,$AN$2:$AX$11,8,0),IF(LOOKUP(2,1/($AD$1:AD23=VLOOKUP(AJ23,$AN$2:$AX$11,9,0)),$AK$1:AK23)&lt;16,VLOOKUP(AJ23,$AN$2:$AX$11,9,0),IF(LOOKUP(2,1/($AD$1:AD23=VLOOKUP(AJ23,$AN$2:$AX$11,10,0)),$AK$1:AK23)&lt;16,VLOOKUP(AJ23,$AN$2:$AX$11,10,0),VLOOKUP(AJ23,$AN$2:$AX$11,11,0)))))))))),VLOOKUP(AJ23,$AN$2:$AX$11,2,0))</f>
        <v>Team 3</v>
      </c>
      <c r="AK24">
        <f>COUNTIF($AD$1:AD24,AD24)</f>
        <v>0</v>
      </c>
      <c r="AL24">
        <f>COUNTIF($AK$1:AK24,"16")</f>
        <v>0</v>
      </c>
      <c r="AZ24" s="32">
        <f t="shared" si="2"/>
        <v>200</v>
      </c>
      <c r="BA24" s="33">
        <f t="shared" si="3"/>
        <v>200</v>
      </c>
      <c r="BB24" s="33">
        <f t="shared" si="4"/>
        <v>200</v>
      </c>
      <c r="BC24" s="33">
        <f t="shared" si="5"/>
        <v>200</v>
      </c>
      <c r="BD24" s="33">
        <f t="shared" si="6"/>
        <v>200</v>
      </c>
      <c r="BE24" s="33">
        <f t="shared" si="7"/>
        <v>200</v>
      </c>
      <c r="BF24" s="33">
        <f t="shared" si="8"/>
        <v>200</v>
      </c>
      <c r="BG24" s="33">
        <f t="shared" si="9"/>
        <v>200</v>
      </c>
      <c r="BH24" s="33">
        <f t="shared" si="10"/>
        <v>200</v>
      </c>
      <c r="BI24" s="34">
        <f t="shared" si="11"/>
        <v>200</v>
      </c>
    </row>
    <row r="25" spans="1:61" ht="15.75" thickBot="1" x14ac:dyDescent="0.3">
      <c r="B25" s="68"/>
      <c r="C25" s="68"/>
      <c r="E25" s="24" t="s">
        <v>17</v>
      </c>
      <c r="F25" s="26">
        <f>COUNTIF($F$29:$F$38,"&lt;10.1")</f>
        <v>10</v>
      </c>
      <c r="J25" s="68"/>
      <c r="P25" s="19" t="s">
        <v>627</v>
      </c>
      <c r="Q25" s="136">
        <v>-2</v>
      </c>
      <c r="S25" s="19" t="s">
        <v>622</v>
      </c>
      <c r="T25" s="136">
        <v>0.1</v>
      </c>
      <c r="V25" s="19" t="s">
        <v>649</v>
      </c>
      <c r="W25" s="136">
        <v>5</v>
      </c>
      <c r="Y25" s="68"/>
      <c r="Z25" s="68"/>
      <c r="AA25" s="53"/>
      <c r="AB25" s="14" t="str">
        <f>AD25&amp;COUNTIF($AD$2:AD25,AD25)</f>
        <v>0</v>
      </c>
      <c r="AC25" s="136"/>
      <c r="AD25" s="136"/>
      <c r="AE25" s="135"/>
      <c r="AF25" s="23" t="str">
        <f>IFERROR(VLOOKUP(AC25,Players!$B:$F,3,0),"")</f>
        <v/>
      </c>
      <c r="AG25" s="23" t="str">
        <f>IFERROR(VLOOKUP(AC25,Players!$B:$F,2,0),"")</f>
        <v/>
      </c>
      <c r="AH25" s="23" t="str">
        <f>IFERROR(VLOOKUP(AC25,Players!$B:$N,5,0),"")</f>
        <v/>
      </c>
      <c r="AI25" s="23">
        <v>24</v>
      </c>
      <c r="AJ25" s="28" t="str">
        <f>IFERROR(IF(LOOKUP(2,1/($AD$1:AD24=VLOOKUP(AJ24,$AN$2:$AX$11,2,0)),$AK$1:AK24)&lt;16,VLOOKUP(AJ24,$AN$2:$AX$11,2,0),IF(LOOKUP(2,1/($AD$1:AD24=VLOOKUP(AJ24,$AN$2:$AX$11,3,0)),$AK$1:AK24)&lt;16,VLOOKUP(AJ24,$AN$2:$AX$11,3,0),IF(LOOKUP(2,1/($AD$1:AD24=VLOOKUP(AJ24,$AN$2:$AX$11,4,0)),$AK$1:AK24)&lt;16,VLOOKUP(AJ24,$AN$2:$AX$11,4,0),IF(LOOKUP(2,1/($AD$1:AD24=VLOOKUP(AJ24,$AN$2:$AX$11,5,0)),$AK$1:AK24)&lt;16,VLOOKUP(AJ24,$AN$2:$AX$11,5,0),IF(LOOKUP(2,1/($AD$1:AD24=VLOOKUP(AJ24,$AN$2:$AX$11,6,0)),$AK$1:AK24)&lt;16,VLOOKUP(AJ24,$AN$2:$AX$11,6,0),IF(LOOKUP(2,1/($AD$1:AD24=VLOOKUP(AJ24,$AN$2:$AX$11,7,0)),$AK$1:AK24)&lt;16,VLOOKUP(AJ24,$AN$2:$AX$11,7,0),IF(LOOKUP(2,1/($AD$1:AD24=VLOOKUP(AJ24,$AN$2:$AX$11,8,0)),$AK$1:AK24)&lt;16,VLOOKUP(AJ24,$AN$2:$AX$11,8,0),IF(LOOKUP(2,1/($AD$1:AD24=VLOOKUP(AJ24,$AN$2:$AX$11,9,0)),$AK$1:AK24)&lt;16,VLOOKUP(AJ24,$AN$2:$AX$11,9,0),IF(LOOKUP(2,1/($AD$1:AD24=VLOOKUP(AJ24,$AN$2:$AX$11,10,0)),$AK$1:AK24)&lt;16,VLOOKUP(AJ24,$AN$2:$AX$11,10,0),VLOOKUP(AJ24,$AN$2:$AX$11,11,0)))))))))),VLOOKUP(AJ24,$AN$2:$AX$11,2,0))</f>
        <v>Team 6</v>
      </c>
      <c r="AK25">
        <f>COUNTIF($AD$1:AD25,AD25)</f>
        <v>0</v>
      </c>
      <c r="AL25">
        <f>COUNTIF($AK$1:AK25,"16")</f>
        <v>0</v>
      </c>
      <c r="AZ25" s="32">
        <f t="shared" si="2"/>
        <v>200</v>
      </c>
      <c r="BA25" s="33">
        <f t="shared" si="3"/>
        <v>200</v>
      </c>
      <c r="BB25" s="33">
        <f t="shared" si="4"/>
        <v>200</v>
      </c>
      <c r="BC25" s="33">
        <f t="shared" si="5"/>
        <v>200</v>
      </c>
      <c r="BD25" s="33">
        <f t="shared" si="6"/>
        <v>200</v>
      </c>
      <c r="BE25" s="33">
        <f t="shared" si="7"/>
        <v>200</v>
      </c>
      <c r="BF25" s="33">
        <f t="shared" si="8"/>
        <v>200</v>
      </c>
      <c r="BG25" s="33">
        <f t="shared" si="9"/>
        <v>200</v>
      </c>
      <c r="BH25" s="33">
        <f t="shared" si="10"/>
        <v>200</v>
      </c>
      <c r="BI25" s="34">
        <f t="shared" si="11"/>
        <v>200</v>
      </c>
    </row>
    <row r="26" spans="1:61" x14ac:dyDescent="0.25">
      <c r="B26" s="308"/>
      <c r="C26" s="309"/>
      <c r="D26" s="145"/>
      <c r="E26" s="27" t="s">
        <v>19</v>
      </c>
      <c r="F26" s="28">
        <f>COUNTIF($F$39:$F$48,"&lt;10.1")</f>
        <v>0</v>
      </c>
      <c r="G26" s="145"/>
      <c r="H26" s="145"/>
      <c r="I26" s="145"/>
      <c r="J26" s="145"/>
      <c r="K26" s="145"/>
      <c r="L26" s="145"/>
      <c r="M26" s="145"/>
      <c r="N26" s="145"/>
      <c r="O26" s="145"/>
      <c r="P26" s="19" t="s">
        <v>628</v>
      </c>
      <c r="Q26" s="136">
        <v>1</v>
      </c>
      <c r="S26" s="19" t="s">
        <v>638</v>
      </c>
      <c r="T26" s="136">
        <v>6</v>
      </c>
      <c r="V26" s="19" t="s">
        <v>662</v>
      </c>
      <c r="W26" s="136">
        <v>-5</v>
      </c>
      <c r="AA26" s="53"/>
      <c r="AB26" s="14" t="str">
        <f>AD26&amp;COUNTIF($AD$2:AD26,AD26)</f>
        <v>0</v>
      </c>
      <c r="AC26" s="136"/>
      <c r="AD26" s="136"/>
      <c r="AE26" s="135"/>
      <c r="AF26" s="23" t="str">
        <f>IFERROR(VLOOKUP(AC26,Players!$B:$F,3,0),"")</f>
        <v/>
      </c>
      <c r="AG26" s="23" t="str">
        <f>IFERROR(VLOOKUP(AC26,Players!$B:$F,2,0),"")</f>
        <v/>
      </c>
      <c r="AH26" s="23" t="str">
        <f>IFERROR(VLOOKUP(AC26,Players!$B:$N,5,0),"")</f>
        <v/>
      </c>
      <c r="AI26" s="23">
        <v>25</v>
      </c>
      <c r="AJ26" s="28" t="str">
        <f>IFERROR(IF(LOOKUP(2,1/($AD$1:AD25=VLOOKUP(AJ25,$AN$2:$AX$11,2,0)),$AK$1:AK25)&lt;16,VLOOKUP(AJ25,$AN$2:$AX$11,2,0),IF(LOOKUP(2,1/($AD$1:AD25=VLOOKUP(AJ25,$AN$2:$AX$11,3,0)),$AK$1:AK25)&lt;16,VLOOKUP(AJ25,$AN$2:$AX$11,3,0),IF(LOOKUP(2,1/($AD$1:AD25=VLOOKUP(AJ25,$AN$2:$AX$11,4,0)),$AK$1:AK25)&lt;16,VLOOKUP(AJ25,$AN$2:$AX$11,4,0),IF(LOOKUP(2,1/($AD$1:AD25=VLOOKUP(AJ25,$AN$2:$AX$11,5,0)),$AK$1:AK25)&lt;16,VLOOKUP(AJ25,$AN$2:$AX$11,5,0),IF(LOOKUP(2,1/($AD$1:AD25=VLOOKUP(AJ25,$AN$2:$AX$11,6,0)),$AK$1:AK25)&lt;16,VLOOKUP(AJ25,$AN$2:$AX$11,6,0),IF(LOOKUP(2,1/($AD$1:AD25=VLOOKUP(AJ25,$AN$2:$AX$11,7,0)),$AK$1:AK25)&lt;16,VLOOKUP(AJ25,$AN$2:$AX$11,7,0),IF(LOOKUP(2,1/($AD$1:AD25=VLOOKUP(AJ25,$AN$2:$AX$11,8,0)),$AK$1:AK25)&lt;16,VLOOKUP(AJ25,$AN$2:$AX$11,8,0),IF(LOOKUP(2,1/($AD$1:AD25=VLOOKUP(AJ25,$AN$2:$AX$11,9,0)),$AK$1:AK25)&lt;16,VLOOKUP(AJ25,$AN$2:$AX$11,9,0),IF(LOOKUP(2,1/($AD$1:AD25=VLOOKUP(AJ25,$AN$2:$AX$11,10,0)),$AK$1:AK25)&lt;16,VLOOKUP(AJ25,$AN$2:$AX$11,10,0),VLOOKUP(AJ25,$AN$2:$AX$11,11,0)))))))))),VLOOKUP(AJ25,$AN$2:$AX$11,2,0))</f>
        <v>Team 7</v>
      </c>
      <c r="AK26">
        <f>COUNTIF($AD$1:AD26,AD26)</f>
        <v>0</v>
      </c>
      <c r="AL26">
        <f>COUNTIF($AK$1:AK26,"16")</f>
        <v>0</v>
      </c>
      <c r="AZ26" s="32">
        <f t="shared" si="2"/>
        <v>200</v>
      </c>
      <c r="BA26" s="33">
        <f t="shared" si="3"/>
        <v>200</v>
      </c>
      <c r="BB26" s="33">
        <f t="shared" si="4"/>
        <v>200</v>
      </c>
      <c r="BC26" s="33">
        <f t="shared" si="5"/>
        <v>200</v>
      </c>
      <c r="BD26" s="33">
        <f t="shared" si="6"/>
        <v>200</v>
      </c>
      <c r="BE26" s="33">
        <f t="shared" si="7"/>
        <v>200</v>
      </c>
      <c r="BF26" s="33">
        <f t="shared" si="8"/>
        <v>200</v>
      </c>
      <c r="BG26" s="33">
        <f t="shared" si="9"/>
        <v>200</v>
      </c>
      <c r="BH26" s="33">
        <f t="shared" si="10"/>
        <v>200</v>
      </c>
      <c r="BI26" s="34">
        <f t="shared" si="11"/>
        <v>200</v>
      </c>
    </row>
    <row r="27" spans="1:61" ht="15.75" thickBot="1" x14ac:dyDescent="0.3">
      <c r="B27" s="310"/>
      <c r="C27" s="311"/>
      <c r="D27" s="145"/>
      <c r="E27" s="29" t="s">
        <v>43</v>
      </c>
      <c r="F27" s="31">
        <f>COUNTIF($F$49:$F$58,"&lt;10.1")</f>
        <v>0</v>
      </c>
      <c r="G27" s="145"/>
      <c r="H27" s="145"/>
      <c r="I27" s="145"/>
      <c r="J27" s="145"/>
      <c r="K27" s="145"/>
      <c r="L27" s="145"/>
      <c r="M27" s="145"/>
      <c r="N27" s="145"/>
      <c r="O27" s="145"/>
      <c r="P27" s="19" t="s">
        <v>629</v>
      </c>
      <c r="Q27" s="136">
        <v>1</v>
      </c>
      <c r="S27" s="19" t="s">
        <v>639</v>
      </c>
      <c r="T27" s="136">
        <v>1</v>
      </c>
      <c r="V27" s="19" t="s">
        <v>661</v>
      </c>
      <c r="W27" s="136">
        <v>-3</v>
      </c>
      <c r="AA27" s="53"/>
      <c r="AB27" s="14" t="str">
        <f>AD27&amp;COUNTIF($AD$2:AD27,AD27)</f>
        <v>0</v>
      </c>
      <c r="AC27" s="136"/>
      <c r="AD27" s="136"/>
      <c r="AE27" s="135"/>
      <c r="AF27" s="23" t="str">
        <f>IFERROR(VLOOKUP(AC27,Players!$B:$F,3,0),"")</f>
        <v/>
      </c>
      <c r="AG27" s="23" t="str">
        <f>IFERROR(VLOOKUP(AC27,Players!$B:$F,2,0),"")</f>
        <v/>
      </c>
      <c r="AH27" s="23" t="str">
        <f>IFERROR(VLOOKUP(AC27,Players!$B:$N,5,0),"")</f>
        <v/>
      </c>
      <c r="AI27" s="23">
        <v>26</v>
      </c>
      <c r="AJ27" s="28" t="str">
        <f>IFERROR(IF(LOOKUP(2,1/($AD$1:AD26=VLOOKUP(AJ26,$AN$2:$AX$11,2,0)),$AK$1:AK26)&lt;16,VLOOKUP(AJ26,$AN$2:$AX$11,2,0),IF(LOOKUP(2,1/($AD$1:AD26=VLOOKUP(AJ26,$AN$2:$AX$11,3,0)),$AK$1:AK26)&lt;16,VLOOKUP(AJ26,$AN$2:$AX$11,3,0),IF(LOOKUP(2,1/($AD$1:AD26=VLOOKUP(AJ26,$AN$2:$AX$11,4,0)),$AK$1:AK26)&lt;16,VLOOKUP(AJ26,$AN$2:$AX$11,4,0),IF(LOOKUP(2,1/($AD$1:AD26=VLOOKUP(AJ26,$AN$2:$AX$11,5,0)),$AK$1:AK26)&lt;16,VLOOKUP(AJ26,$AN$2:$AX$11,5,0),IF(LOOKUP(2,1/($AD$1:AD26=VLOOKUP(AJ26,$AN$2:$AX$11,6,0)),$AK$1:AK26)&lt;16,VLOOKUP(AJ26,$AN$2:$AX$11,6,0),IF(LOOKUP(2,1/($AD$1:AD26=VLOOKUP(AJ26,$AN$2:$AX$11,7,0)),$AK$1:AK26)&lt;16,VLOOKUP(AJ26,$AN$2:$AX$11,7,0),IF(LOOKUP(2,1/($AD$1:AD26=VLOOKUP(AJ26,$AN$2:$AX$11,8,0)),$AK$1:AK26)&lt;16,VLOOKUP(AJ26,$AN$2:$AX$11,8,0),IF(LOOKUP(2,1/($AD$1:AD26=VLOOKUP(AJ26,$AN$2:$AX$11,9,0)),$AK$1:AK26)&lt;16,VLOOKUP(AJ26,$AN$2:$AX$11,9,0),IF(LOOKUP(2,1/($AD$1:AD26=VLOOKUP(AJ26,$AN$2:$AX$11,10,0)),$AK$1:AK26)&lt;16,VLOOKUP(AJ26,$AN$2:$AX$11,10,0),VLOOKUP(AJ26,$AN$2:$AX$11,11,0)))))))))),VLOOKUP(AJ26,$AN$2:$AX$11,2,0))</f>
        <v>Team 8</v>
      </c>
      <c r="AK27">
        <f>COUNTIF($AD$1:AD27,AD27)</f>
        <v>0</v>
      </c>
      <c r="AL27">
        <f>COUNTIF($AK$1:AK27,"16")</f>
        <v>0</v>
      </c>
      <c r="AZ27" s="32">
        <f t="shared" si="2"/>
        <v>200</v>
      </c>
      <c r="BA27" s="33">
        <f t="shared" si="3"/>
        <v>200</v>
      </c>
      <c r="BB27" s="33">
        <f t="shared" si="4"/>
        <v>200</v>
      </c>
      <c r="BC27" s="33">
        <f t="shared" si="5"/>
        <v>200</v>
      </c>
      <c r="BD27" s="33">
        <f t="shared" si="6"/>
        <v>200</v>
      </c>
      <c r="BE27" s="33">
        <f t="shared" si="7"/>
        <v>200</v>
      </c>
      <c r="BF27" s="33">
        <f t="shared" si="8"/>
        <v>200</v>
      </c>
      <c r="BG27" s="33">
        <f t="shared" si="9"/>
        <v>200</v>
      </c>
      <c r="BH27" s="33">
        <f t="shared" si="10"/>
        <v>200</v>
      </c>
      <c r="BI27" s="34">
        <f t="shared" si="11"/>
        <v>200</v>
      </c>
    </row>
    <row r="28" spans="1:61" ht="15.75" thickBot="1" x14ac:dyDescent="0.3">
      <c r="B28" s="308"/>
      <c r="C28" s="309"/>
      <c r="D28" s="145"/>
      <c r="E28" s="68"/>
      <c r="F28" s="68"/>
      <c r="G28" s="145"/>
      <c r="H28" s="145"/>
      <c r="I28" s="145"/>
      <c r="J28" s="145"/>
      <c r="K28" s="145"/>
      <c r="L28" s="145"/>
      <c r="M28" s="145"/>
      <c r="N28" s="145"/>
      <c r="O28" s="145"/>
      <c r="P28" s="19" t="s">
        <v>630</v>
      </c>
      <c r="Q28" s="136">
        <v>0.1</v>
      </c>
      <c r="S28" s="19" t="s">
        <v>642</v>
      </c>
      <c r="T28" s="136">
        <v>1</v>
      </c>
      <c r="V28" s="19" t="s">
        <v>664</v>
      </c>
      <c r="W28" s="136">
        <v>-2</v>
      </c>
      <c r="AA28" s="53"/>
      <c r="AB28" s="14" t="str">
        <f>AD28&amp;COUNTIF($AD$2:AD28,AD28)</f>
        <v>0</v>
      </c>
      <c r="AC28" s="136"/>
      <c r="AD28" s="136"/>
      <c r="AE28" s="135"/>
      <c r="AF28" s="23" t="str">
        <f>IFERROR(VLOOKUP(AC28,Players!$B:$F,3,0),"")</f>
        <v/>
      </c>
      <c r="AG28" s="23" t="str">
        <f>IFERROR(VLOOKUP(AC28,Players!$B:$F,2,0),"")</f>
        <v/>
      </c>
      <c r="AH28" s="23" t="str">
        <f>IFERROR(VLOOKUP(AC28,Players!$B:$N,5,0),"")</f>
        <v/>
      </c>
      <c r="AI28" s="23">
        <v>27</v>
      </c>
      <c r="AJ28" s="28" t="str">
        <f>IFERROR(IF(LOOKUP(2,1/($AD$1:AD27=VLOOKUP(AJ27,$AN$2:$AX$11,2,0)),$AK$1:AK27)&lt;16,VLOOKUP(AJ27,$AN$2:$AX$11,2,0),IF(LOOKUP(2,1/($AD$1:AD27=VLOOKUP(AJ27,$AN$2:$AX$11,3,0)),$AK$1:AK27)&lt;16,VLOOKUP(AJ27,$AN$2:$AX$11,3,0),IF(LOOKUP(2,1/($AD$1:AD27=VLOOKUP(AJ27,$AN$2:$AX$11,4,0)),$AK$1:AK27)&lt;16,VLOOKUP(AJ27,$AN$2:$AX$11,4,0),IF(LOOKUP(2,1/($AD$1:AD27=VLOOKUP(AJ27,$AN$2:$AX$11,5,0)),$AK$1:AK27)&lt;16,VLOOKUP(AJ27,$AN$2:$AX$11,5,0),IF(LOOKUP(2,1/($AD$1:AD27=VLOOKUP(AJ27,$AN$2:$AX$11,6,0)),$AK$1:AK27)&lt;16,VLOOKUP(AJ27,$AN$2:$AX$11,6,0),IF(LOOKUP(2,1/($AD$1:AD27=VLOOKUP(AJ27,$AN$2:$AX$11,7,0)),$AK$1:AK27)&lt;16,VLOOKUP(AJ27,$AN$2:$AX$11,7,0),IF(LOOKUP(2,1/($AD$1:AD27=VLOOKUP(AJ27,$AN$2:$AX$11,8,0)),$AK$1:AK27)&lt;16,VLOOKUP(AJ27,$AN$2:$AX$11,8,0),IF(LOOKUP(2,1/($AD$1:AD27=VLOOKUP(AJ27,$AN$2:$AX$11,9,0)),$AK$1:AK27)&lt;16,VLOOKUP(AJ27,$AN$2:$AX$11,9,0),IF(LOOKUP(2,1/($AD$1:AD27=VLOOKUP(AJ27,$AN$2:$AX$11,10,0)),$AK$1:AK27)&lt;16,VLOOKUP(AJ27,$AN$2:$AX$11,10,0),VLOOKUP(AJ27,$AN$2:$AX$11,11,0)))))))))),VLOOKUP(AJ27,$AN$2:$AX$11,2,0))</f>
        <v>Team Se</v>
      </c>
      <c r="AK28">
        <f>COUNTIF($AD$1:AD28,AD28)</f>
        <v>0</v>
      </c>
      <c r="AL28">
        <f>COUNTIF($AK$1:AK28,"16")</f>
        <v>0</v>
      </c>
      <c r="AZ28" s="32">
        <f t="shared" si="2"/>
        <v>200</v>
      </c>
      <c r="BA28" s="33">
        <f t="shared" si="3"/>
        <v>200</v>
      </c>
      <c r="BB28" s="33">
        <f t="shared" si="4"/>
        <v>200</v>
      </c>
      <c r="BC28" s="33">
        <f t="shared" si="5"/>
        <v>200</v>
      </c>
      <c r="BD28" s="33">
        <f t="shared" si="6"/>
        <v>200</v>
      </c>
      <c r="BE28" s="33">
        <f t="shared" si="7"/>
        <v>200</v>
      </c>
      <c r="BF28" s="33">
        <f t="shared" si="8"/>
        <v>200</v>
      </c>
      <c r="BG28" s="33">
        <f t="shared" si="9"/>
        <v>200</v>
      </c>
      <c r="BH28" s="33">
        <f t="shared" si="10"/>
        <v>200</v>
      </c>
      <c r="BI28" s="34">
        <f t="shared" si="11"/>
        <v>200</v>
      </c>
    </row>
    <row r="29" spans="1:61" ht="15.75" thickBot="1" x14ac:dyDescent="0.3">
      <c r="B29" s="310"/>
      <c r="C29" s="311"/>
      <c r="D29" s="145"/>
      <c r="E29" s="224">
        <f t="array" ref="E29">LARGE(IF(Players!D:D="WR",Players!F:F,""),($B$1*$Q$4)+ROW()-28)</f>
        <v>219.208567855105</v>
      </c>
      <c r="F29" s="26">
        <f>RANK(E29,$E$29:$E$58)</f>
        <v>1</v>
      </c>
      <c r="G29" s="145"/>
      <c r="H29" s="145"/>
      <c r="I29" s="145"/>
      <c r="J29" s="145"/>
      <c r="K29" s="145"/>
      <c r="L29" s="145"/>
      <c r="M29" s="145"/>
      <c r="N29" s="145"/>
      <c r="O29" s="145"/>
      <c r="P29" s="19" t="s">
        <v>631</v>
      </c>
      <c r="Q29" s="136">
        <v>1</v>
      </c>
      <c r="S29" s="19" t="s">
        <v>633</v>
      </c>
      <c r="T29" s="136">
        <v>2</v>
      </c>
      <c r="V29" s="20" t="s">
        <v>663</v>
      </c>
      <c r="W29" s="137">
        <v>-1</v>
      </c>
      <c r="AA29" s="53"/>
      <c r="AB29" s="14" t="str">
        <f>AD29&amp;COUNTIF($AD$2:AD29,AD29)</f>
        <v>0</v>
      </c>
      <c r="AC29" s="136"/>
      <c r="AD29" s="136"/>
      <c r="AE29" s="135"/>
      <c r="AF29" s="23" t="str">
        <f>IFERROR(VLOOKUP(AC29,Players!$B:$F,3,0),"")</f>
        <v/>
      </c>
      <c r="AG29" s="23" t="str">
        <f>IFERROR(VLOOKUP(AC29,Players!$B:$F,2,0),"")</f>
        <v/>
      </c>
      <c r="AH29" s="23" t="str">
        <f>IFERROR(VLOOKUP(AC29,Players!$B:$N,5,0),"")</f>
        <v/>
      </c>
      <c r="AI29" s="23">
        <v>28</v>
      </c>
      <c r="AJ29" s="28" t="str">
        <f>IFERROR(IF(LOOKUP(2,1/($AD$1:AD28=VLOOKUP(AJ28,$AN$2:$AX$11,2,0)),$AK$1:AK28)&lt;16,VLOOKUP(AJ28,$AN$2:$AX$11,2,0),IF(LOOKUP(2,1/($AD$1:AD28=VLOOKUP(AJ28,$AN$2:$AX$11,3,0)),$AK$1:AK28)&lt;16,VLOOKUP(AJ28,$AN$2:$AX$11,3,0),IF(LOOKUP(2,1/($AD$1:AD28=VLOOKUP(AJ28,$AN$2:$AX$11,4,0)),$AK$1:AK28)&lt;16,VLOOKUP(AJ28,$AN$2:$AX$11,4,0),IF(LOOKUP(2,1/($AD$1:AD28=VLOOKUP(AJ28,$AN$2:$AX$11,5,0)),$AK$1:AK28)&lt;16,VLOOKUP(AJ28,$AN$2:$AX$11,5,0),IF(LOOKUP(2,1/($AD$1:AD28=VLOOKUP(AJ28,$AN$2:$AX$11,6,0)),$AK$1:AK28)&lt;16,VLOOKUP(AJ28,$AN$2:$AX$11,6,0),IF(LOOKUP(2,1/($AD$1:AD28=VLOOKUP(AJ28,$AN$2:$AX$11,7,0)),$AK$1:AK28)&lt;16,VLOOKUP(AJ28,$AN$2:$AX$11,7,0),IF(LOOKUP(2,1/($AD$1:AD28=VLOOKUP(AJ28,$AN$2:$AX$11,8,0)),$AK$1:AK28)&lt;16,VLOOKUP(AJ28,$AN$2:$AX$11,8,0),IF(LOOKUP(2,1/($AD$1:AD28=VLOOKUP(AJ28,$AN$2:$AX$11,9,0)),$AK$1:AK28)&lt;16,VLOOKUP(AJ28,$AN$2:$AX$11,9,0),IF(LOOKUP(2,1/($AD$1:AD28=VLOOKUP(AJ28,$AN$2:$AX$11,10,0)),$AK$1:AK28)&lt;16,VLOOKUP(AJ28,$AN$2:$AX$11,10,0),VLOOKUP(AJ28,$AN$2:$AX$11,11,0)))))))))),VLOOKUP(AJ28,$AN$2:$AX$11,2,0))</f>
        <v>Team 10</v>
      </c>
      <c r="AK29">
        <f>COUNTIF($AD$1:AD29,AD29)</f>
        <v>0</v>
      </c>
      <c r="AL29">
        <f>COUNTIF($AK$1:AK29,"16")</f>
        <v>0</v>
      </c>
      <c r="AZ29" s="32">
        <f t="shared" si="2"/>
        <v>200</v>
      </c>
      <c r="BA29" s="33">
        <f t="shared" si="3"/>
        <v>200</v>
      </c>
      <c r="BB29" s="33">
        <f t="shared" si="4"/>
        <v>200</v>
      </c>
      <c r="BC29" s="33">
        <f t="shared" si="5"/>
        <v>200</v>
      </c>
      <c r="BD29" s="33">
        <f t="shared" si="6"/>
        <v>200</v>
      </c>
      <c r="BE29" s="33">
        <f t="shared" si="7"/>
        <v>200</v>
      </c>
      <c r="BF29" s="33">
        <f t="shared" si="8"/>
        <v>200</v>
      </c>
      <c r="BG29" s="33">
        <f t="shared" si="9"/>
        <v>200</v>
      </c>
      <c r="BH29" s="33">
        <f t="shared" si="10"/>
        <v>200</v>
      </c>
      <c r="BI29" s="34">
        <f t="shared" si="11"/>
        <v>200</v>
      </c>
    </row>
    <row r="30" spans="1:61" ht="15.75" thickBot="1" x14ac:dyDescent="0.3">
      <c r="E30" s="225">
        <f t="array" ref="E30">LARGE(IF(Players!D:D="WR",Players!F:F,""),($B$1*$Q$4)+ROW()-28)</f>
        <v>217.278372680654</v>
      </c>
      <c r="F30" s="28">
        <f t="shared" ref="F30:F58" si="16">RANK(E30,$E$29:$E$58)</f>
        <v>2</v>
      </c>
      <c r="P30" s="19" t="s">
        <v>632</v>
      </c>
      <c r="Q30" s="136">
        <v>6</v>
      </c>
      <c r="S30" s="20" t="s">
        <v>634</v>
      </c>
      <c r="T30" s="137">
        <v>-2</v>
      </c>
      <c r="AA30" s="53"/>
      <c r="AB30" s="14" t="str">
        <f>AD30&amp;COUNTIF($AD$2:AD30,AD30)</f>
        <v>0</v>
      </c>
      <c r="AC30" s="136"/>
      <c r="AD30" s="136"/>
      <c r="AE30" s="135"/>
      <c r="AF30" s="23" t="str">
        <f>IFERROR(VLOOKUP(AC30,Players!$B:$F,3,0),"")</f>
        <v/>
      </c>
      <c r="AG30" s="23" t="str">
        <f>IFERROR(VLOOKUP(AC30,Players!$B:$F,2,0),"")</f>
        <v/>
      </c>
      <c r="AH30" s="23" t="str">
        <f>IFERROR(VLOOKUP(AC30,Players!$B:$N,5,0),"")</f>
        <v/>
      </c>
      <c r="AI30" s="23">
        <v>29</v>
      </c>
      <c r="AJ30" s="28" t="str">
        <f>IFERROR(IF(LOOKUP(2,1/($AD$1:AD29=VLOOKUP(AJ29,$AN$2:$AX$11,2,0)),$AK$1:AK29)&lt;16,VLOOKUP(AJ29,$AN$2:$AX$11,2,0),IF(LOOKUP(2,1/($AD$1:AD29=VLOOKUP(AJ29,$AN$2:$AX$11,3,0)),$AK$1:AK29)&lt;16,VLOOKUP(AJ29,$AN$2:$AX$11,3,0),IF(LOOKUP(2,1/($AD$1:AD29=VLOOKUP(AJ29,$AN$2:$AX$11,4,0)),$AK$1:AK29)&lt;16,VLOOKUP(AJ29,$AN$2:$AX$11,4,0),IF(LOOKUP(2,1/($AD$1:AD29=VLOOKUP(AJ29,$AN$2:$AX$11,5,0)),$AK$1:AK29)&lt;16,VLOOKUP(AJ29,$AN$2:$AX$11,5,0),IF(LOOKUP(2,1/($AD$1:AD29=VLOOKUP(AJ29,$AN$2:$AX$11,6,0)),$AK$1:AK29)&lt;16,VLOOKUP(AJ29,$AN$2:$AX$11,6,0),IF(LOOKUP(2,1/($AD$1:AD29=VLOOKUP(AJ29,$AN$2:$AX$11,7,0)),$AK$1:AK29)&lt;16,VLOOKUP(AJ29,$AN$2:$AX$11,7,0),IF(LOOKUP(2,1/($AD$1:AD29=VLOOKUP(AJ29,$AN$2:$AX$11,8,0)),$AK$1:AK29)&lt;16,VLOOKUP(AJ29,$AN$2:$AX$11,8,0),IF(LOOKUP(2,1/($AD$1:AD29=VLOOKUP(AJ29,$AN$2:$AX$11,9,0)),$AK$1:AK29)&lt;16,VLOOKUP(AJ29,$AN$2:$AX$11,9,0),IF(LOOKUP(2,1/($AD$1:AD29=VLOOKUP(AJ29,$AN$2:$AX$11,10,0)),$AK$1:AK29)&lt;16,VLOOKUP(AJ29,$AN$2:$AX$11,10,0),VLOOKUP(AJ29,$AN$2:$AX$11,11,0)))))))))),VLOOKUP(AJ29,$AN$2:$AX$11,2,0))</f>
        <v>Crouch</v>
      </c>
      <c r="AK30">
        <f>COUNTIF($AD$1:AD30,AD30)</f>
        <v>0</v>
      </c>
      <c r="AL30">
        <f>COUNTIF($AK$1:AK30,"16")</f>
        <v>0</v>
      </c>
      <c r="AZ30" s="32">
        <f t="shared" si="2"/>
        <v>200</v>
      </c>
      <c r="BA30" s="33">
        <f t="shared" si="3"/>
        <v>200</v>
      </c>
      <c r="BB30" s="33">
        <f t="shared" si="4"/>
        <v>200</v>
      </c>
      <c r="BC30" s="33">
        <f t="shared" si="5"/>
        <v>200</v>
      </c>
      <c r="BD30" s="33">
        <f t="shared" si="6"/>
        <v>200</v>
      </c>
      <c r="BE30" s="33">
        <f t="shared" si="7"/>
        <v>200</v>
      </c>
      <c r="BF30" s="33">
        <f t="shared" si="8"/>
        <v>200</v>
      </c>
      <c r="BG30" s="33">
        <f t="shared" si="9"/>
        <v>200</v>
      </c>
      <c r="BH30" s="33">
        <f t="shared" si="10"/>
        <v>200</v>
      </c>
      <c r="BI30" s="34">
        <f t="shared" si="11"/>
        <v>200</v>
      </c>
    </row>
    <row r="31" spans="1:61" x14ac:dyDescent="0.25">
      <c r="A31" s="68"/>
      <c r="E31" s="225">
        <f t="array" ref="E31">LARGE(IF(Players!D:D="WR",Players!F:F,""),($B$1*$Q$4)+ROW()-28)</f>
        <v>216.27421706056401</v>
      </c>
      <c r="F31" s="28">
        <f t="shared" si="16"/>
        <v>3</v>
      </c>
      <c r="P31" s="19" t="s">
        <v>633</v>
      </c>
      <c r="Q31" s="136">
        <v>2</v>
      </c>
      <c r="AA31" s="53"/>
      <c r="AB31" s="14" t="str">
        <f>AD31&amp;COUNTIF($AD$2:AD31,AD31)</f>
        <v>0</v>
      </c>
      <c r="AC31" s="136"/>
      <c r="AD31" s="136"/>
      <c r="AE31" s="135"/>
      <c r="AF31" s="23" t="str">
        <f>IFERROR(VLOOKUP(AC31,Players!$B:$F,3,0),"")</f>
        <v/>
      </c>
      <c r="AG31" s="23" t="str">
        <f>IFERROR(VLOOKUP(AC31,Players!$B:$F,2,0),"")</f>
        <v/>
      </c>
      <c r="AH31" s="23" t="str">
        <f>IFERROR(VLOOKUP(AC31,Players!$B:$N,5,0),"")</f>
        <v/>
      </c>
      <c r="AI31" s="23">
        <v>30</v>
      </c>
      <c r="AJ31" s="28" t="str">
        <f>IFERROR(IF(LOOKUP(2,1/($AD$1:AD30=VLOOKUP(AJ30,$AN$2:$AX$11,2,0)),$AK$1:AK30)&lt;16,VLOOKUP(AJ30,$AN$2:$AX$11,2,0),IF(LOOKUP(2,1/($AD$1:AD30=VLOOKUP(AJ30,$AN$2:$AX$11,3,0)),$AK$1:AK30)&lt;16,VLOOKUP(AJ30,$AN$2:$AX$11,3,0),IF(LOOKUP(2,1/($AD$1:AD30=VLOOKUP(AJ30,$AN$2:$AX$11,4,0)),$AK$1:AK30)&lt;16,VLOOKUP(AJ30,$AN$2:$AX$11,4,0),IF(LOOKUP(2,1/($AD$1:AD30=VLOOKUP(AJ30,$AN$2:$AX$11,5,0)),$AK$1:AK30)&lt;16,VLOOKUP(AJ30,$AN$2:$AX$11,5,0),IF(LOOKUP(2,1/($AD$1:AD30=VLOOKUP(AJ30,$AN$2:$AX$11,6,0)),$AK$1:AK30)&lt;16,VLOOKUP(AJ30,$AN$2:$AX$11,6,0),IF(LOOKUP(2,1/($AD$1:AD30=VLOOKUP(AJ30,$AN$2:$AX$11,7,0)),$AK$1:AK30)&lt;16,VLOOKUP(AJ30,$AN$2:$AX$11,7,0),IF(LOOKUP(2,1/($AD$1:AD30=VLOOKUP(AJ30,$AN$2:$AX$11,8,0)),$AK$1:AK30)&lt;16,VLOOKUP(AJ30,$AN$2:$AX$11,8,0),IF(LOOKUP(2,1/($AD$1:AD30=VLOOKUP(AJ30,$AN$2:$AX$11,9,0)),$AK$1:AK30)&lt;16,VLOOKUP(AJ30,$AN$2:$AX$11,9,0),IF(LOOKUP(2,1/($AD$1:AD30=VLOOKUP(AJ30,$AN$2:$AX$11,10,0)),$AK$1:AK30)&lt;16,VLOOKUP(AJ30,$AN$2:$AX$11,10,0),VLOOKUP(AJ30,$AN$2:$AX$11,11,0)))))))))),VLOOKUP(AJ30,$AN$2:$AX$11,2,0))</f>
        <v>Team 4</v>
      </c>
      <c r="AK31">
        <f>COUNTIF($AD$1:AD31,AD31)</f>
        <v>0</v>
      </c>
      <c r="AL31">
        <f>COUNTIF($AK$1:AK31,"16")</f>
        <v>0</v>
      </c>
      <c r="AZ31" s="32">
        <f t="shared" si="2"/>
        <v>200</v>
      </c>
      <c r="BA31" s="33">
        <f t="shared" si="3"/>
        <v>200</v>
      </c>
      <c r="BB31" s="33">
        <f t="shared" si="4"/>
        <v>200</v>
      </c>
      <c r="BC31" s="33">
        <f t="shared" si="5"/>
        <v>200</v>
      </c>
      <c r="BD31" s="33">
        <f t="shared" si="6"/>
        <v>200</v>
      </c>
      <c r="BE31" s="33">
        <f t="shared" si="7"/>
        <v>200</v>
      </c>
      <c r="BF31" s="33">
        <f t="shared" si="8"/>
        <v>200</v>
      </c>
      <c r="BG31" s="33">
        <f t="shared" si="9"/>
        <v>200</v>
      </c>
      <c r="BH31" s="33">
        <f t="shared" si="10"/>
        <v>200</v>
      </c>
      <c r="BI31" s="34">
        <f t="shared" si="11"/>
        <v>200</v>
      </c>
    </row>
    <row r="32" spans="1:61" ht="15.75" thickBot="1" x14ac:dyDescent="0.3">
      <c r="A32" s="68"/>
      <c r="E32" s="225">
        <f t="array" ref="E32">LARGE(IF(Players!D:D="WR",Players!F:F,""),($B$1*$Q$4)+ROW()-28)</f>
        <v>216.05719307443701</v>
      </c>
      <c r="F32" s="28">
        <f t="shared" si="16"/>
        <v>4</v>
      </c>
      <c r="P32" s="20" t="s">
        <v>634</v>
      </c>
      <c r="Q32" s="137">
        <v>-2</v>
      </c>
      <c r="AA32" s="53"/>
      <c r="AB32" s="14" t="str">
        <f>AD32&amp;COUNTIF($AD$2:AD32,AD32)</f>
        <v>0</v>
      </c>
      <c r="AC32" s="136"/>
      <c r="AD32" s="136"/>
      <c r="AE32" s="135"/>
      <c r="AF32" s="23" t="str">
        <f>IFERROR(VLOOKUP(AC32,Players!$B:$F,3,0),"")</f>
        <v/>
      </c>
      <c r="AG32" s="23" t="str">
        <f>IFERROR(VLOOKUP(AC32,Players!$B:$F,2,0),"")</f>
        <v/>
      </c>
      <c r="AH32" s="23" t="str">
        <f>IFERROR(VLOOKUP(AC32,Players!$B:$N,5,0),"")</f>
        <v/>
      </c>
      <c r="AI32" s="23">
        <v>31</v>
      </c>
      <c r="AJ32" s="28" t="str">
        <f>IFERROR(IF(LOOKUP(2,1/($AD$1:AD31=VLOOKUP(AJ31,$AN$2:$AX$11,2,0)),$AK$1:AK31)&lt;16,VLOOKUP(AJ31,$AN$2:$AX$11,2,0),IF(LOOKUP(2,1/($AD$1:AD31=VLOOKUP(AJ31,$AN$2:$AX$11,3,0)),$AK$1:AK31)&lt;16,VLOOKUP(AJ31,$AN$2:$AX$11,3,0),IF(LOOKUP(2,1/($AD$1:AD31=VLOOKUP(AJ31,$AN$2:$AX$11,4,0)),$AK$1:AK31)&lt;16,VLOOKUP(AJ31,$AN$2:$AX$11,4,0),IF(LOOKUP(2,1/($AD$1:AD31=VLOOKUP(AJ31,$AN$2:$AX$11,5,0)),$AK$1:AK31)&lt;16,VLOOKUP(AJ31,$AN$2:$AX$11,5,0),IF(LOOKUP(2,1/($AD$1:AD31=VLOOKUP(AJ31,$AN$2:$AX$11,6,0)),$AK$1:AK31)&lt;16,VLOOKUP(AJ31,$AN$2:$AX$11,6,0),IF(LOOKUP(2,1/($AD$1:AD31=VLOOKUP(AJ31,$AN$2:$AX$11,7,0)),$AK$1:AK31)&lt;16,VLOOKUP(AJ31,$AN$2:$AX$11,7,0),IF(LOOKUP(2,1/($AD$1:AD31=VLOOKUP(AJ31,$AN$2:$AX$11,8,0)),$AK$1:AK31)&lt;16,VLOOKUP(AJ31,$AN$2:$AX$11,8,0),IF(LOOKUP(2,1/($AD$1:AD31=VLOOKUP(AJ31,$AN$2:$AX$11,9,0)),$AK$1:AK31)&lt;16,VLOOKUP(AJ31,$AN$2:$AX$11,9,0),IF(LOOKUP(2,1/($AD$1:AD31=VLOOKUP(AJ31,$AN$2:$AX$11,10,0)),$AK$1:AK31)&lt;16,VLOOKUP(AJ31,$AN$2:$AX$11,10,0),VLOOKUP(AJ31,$AN$2:$AX$11,11,0)))))))))),VLOOKUP(AJ31,$AN$2:$AX$11,2,0))</f>
        <v>Team 5</v>
      </c>
      <c r="AK32">
        <f>COUNTIF($AD$1:AD32,AD32)</f>
        <v>0</v>
      </c>
      <c r="AL32">
        <f>COUNTIF($AK$1:AK32,"16")</f>
        <v>0</v>
      </c>
      <c r="AZ32" s="32">
        <f t="shared" si="2"/>
        <v>200</v>
      </c>
      <c r="BA32" s="33">
        <f t="shared" si="3"/>
        <v>200</v>
      </c>
      <c r="BB32" s="33">
        <f t="shared" si="4"/>
        <v>200</v>
      </c>
      <c r="BC32" s="33">
        <f t="shared" si="5"/>
        <v>200</v>
      </c>
      <c r="BD32" s="33">
        <f t="shared" si="6"/>
        <v>200</v>
      </c>
      <c r="BE32" s="33">
        <f t="shared" si="7"/>
        <v>200</v>
      </c>
      <c r="BF32" s="33">
        <f t="shared" si="8"/>
        <v>200</v>
      </c>
      <c r="BG32" s="33">
        <f t="shared" si="9"/>
        <v>200</v>
      </c>
      <c r="BH32" s="33">
        <f t="shared" si="10"/>
        <v>200</v>
      </c>
      <c r="BI32" s="34">
        <f t="shared" si="11"/>
        <v>200</v>
      </c>
    </row>
    <row r="33" spans="1:61" x14ac:dyDescent="0.25">
      <c r="A33" s="68"/>
      <c r="E33" s="225">
        <f t="array" ref="E33">LARGE(IF(Players!D:D="WR",Players!F:F,""),($B$1*$Q$4)+ROW()-28)</f>
        <v>213.83283856242099</v>
      </c>
      <c r="F33" s="28">
        <f t="shared" si="16"/>
        <v>5</v>
      </c>
      <c r="AA33" s="53"/>
      <c r="AB33" s="14" t="str">
        <f>AD33&amp;COUNTIF($AD$2:AD33,AD33)</f>
        <v>0</v>
      </c>
      <c r="AC33" s="136"/>
      <c r="AD33" s="136"/>
      <c r="AE33" s="135"/>
      <c r="AF33" s="23" t="str">
        <f>IFERROR(VLOOKUP(AC33,Players!$B:$F,3,0),"")</f>
        <v/>
      </c>
      <c r="AG33" s="23" t="str">
        <f>IFERROR(VLOOKUP(AC33,Players!$B:$F,2,0),"")</f>
        <v/>
      </c>
      <c r="AH33" s="23" t="str">
        <f>IFERROR(VLOOKUP(AC33,Players!$B:$N,5,0),"")</f>
        <v/>
      </c>
      <c r="AI33" s="23">
        <v>31</v>
      </c>
      <c r="AJ33" s="28" t="str">
        <f>IFERROR(IF(LOOKUP(2,1/($AD$1:AD32=VLOOKUP(AJ32,$AN$2:$AX$11,2,0)),$AK$1:AK32)&lt;16,VLOOKUP(AJ32,$AN$2:$AX$11,2,0),IF(LOOKUP(2,1/($AD$1:AD32=VLOOKUP(AJ32,$AN$2:$AX$11,3,0)),$AK$1:AK32)&lt;16,VLOOKUP(AJ32,$AN$2:$AX$11,3,0),IF(LOOKUP(2,1/($AD$1:AD32=VLOOKUP(AJ32,$AN$2:$AX$11,4,0)),$AK$1:AK32)&lt;16,VLOOKUP(AJ32,$AN$2:$AX$11,4,0),IF(LOOKUP(2,1/($AD$1:AD32=VLOOKUP(AJ32,$AN$2:$AX$11,5,0)),$AK$1:AK32)&lt;16,VLOOKUP(AJ32,$AN$2:$AX$11,5,0),IF(LOOKUP(2,1/($AD$1:AD32=VLOOKUP(AJ32,$AN$2:$AX$11,6,0)),$AK$1:AK32)&lt;16,VLOOKUP(AJ32,$AN$2:$AX$11,6,0),IF(LOOKUP(2,1/($AD$1:AD32=VLOOKUP(AJ32,$AN$2:$AX$11,7,0)),$AK$1:AK32)&lt;16,VLOOKUP(AJ32,$AN$2:$AX$11,7,0),IF(LOOKUP(2,1/($AD$1:AD32=VLOOKUP(AJ32,$AN$2:$AX$11,8,0)),$AK$1:AK32)&lt;16,VLOOKUP(AJ32,$AN$2:$AX$11,8,0),IF(LOOKUP(2,1/($AD$1:AD32=VLOOKUP(AJ32,$AN$2:$AX$11,9,0)),$AK$1:AK32)&lt;16,VLOOKUP(AJ32,$AN$2:$AX$11,9,0),IF(LOOKUP(2,1/($AD$1:AD32=VLOOKUP(AJ32,$AN$2:$AX$11,10,0)),$AK$1:AK32)&lt;16,VLOOKUP(AJ32,$AN$2:$AX$11,10,0),VLOOKUP(AJ32,$AN$2:$AX$11,11,0)))))))))),VLOOKUP(AJ32,$AN$2:$AX$11,2,0))</f>
        <v>Team 9</v>
      </c>
      <c r="AK33">
        <f>COUNTIF($AD$1:AD33,AD33)</f>
        <v>0</v>
      </c>
      <c r="AL33">
        <f>COUNTIF($AK$1:AK33,"16")</f>
        <v>0</v>
      </c>
      <c r="AZ33" s="32">
        <f t="shared" si="2"/>
        <v>200</v>
      </c>
      <c r="BA33" s="33">
        <f t="shared" si="3"/>
        <v>200</v>
      </c>
      <c r="BB33" s="33">
        <f t="shared" si="4"/>
        <v>200</v>
      </c>
      <c r="BC33" s="33">
        <f t="shared" si="5"/>
        <v>200</v>
      </c>
      <c r="BD33" s="33">
        <f t="shared" si="6"/>
        <v>200</v>
      </c>
      <c r="BE33" s="33">
        <f t="shared" si="7"/>
        <v>200</v>
      </c>
      <c r="BF33" s="33">
        <f t="shared" si="8"/>
        <v>200</v>
      </c>
      <c r="BG33" s="33">
        <f t="shared" si="9"/>
        <v>200</v>
      </c>
      <c r="BH33" s="33">
        <f t="shared" si="10"/>
        <v>200</v>
      </c>
      <c r="BI33" s="34">
        <f t="shared" si="11"/>
        <v>200</v>
      </c>
    </row>
    <row r="34" spans="1:61" x14ac:dyDescent="0.25">
      <c r="A34" s="68"/>
      <c r="E34" s="225">
        <f t="array" ref="E34">LARGE(IF(Players!D:D="WR",Players!F:F,""),($B$1*$Q$4)+ROW()-28)</f>
        <v>213.69621929954201</v>
      </c>
      <c r="F34" s="28">
        <f t="shared" si="16"/>
        <v>6</v>
      </c>
      <c r="AA34" s="53"/>
      <c r="AB34" s="14" t="str">
        <f>AD34&amp;COUNTIF($AD$2:AD34,AD34)</f>
        <v>0</v>
      </c>
      <c r="AC34" s="136"/>
      <c r="AD34" s="136"/>
      <c r="AE34" s="135"/>
      <c r="AF34" s="23" t="str">
        <f>IFERROR(VLOOKUP(AC34,Players!$B:$F,3,0),"")</f>
        <v/>
      </c>
      <c r="AG34" s="23" t="str">
        <f>IFERROR(VLOOKUP(AC34,Players!$B:$F,2,0),"")</f>
        <v/>
      </c>
      <c r="AH34" s="23" t="str">
        <f>IFERROR(VLOOKUP(AC34,Players!$B:$N,5,0),"")</f>
        <v/>
      </c>
      <c r="AI34" s="23">
        <v>33</v>
      </c>
      <c r="AJ34" s="28" t="str">
        <f>IFERROR(IF(LOOKUP(2,1/($AD$1:AD33=VLOOKUP(AJ33,$AN$2:$AX$11,2,0)),$AK$1:AK33)&lt;16,VLOOKUP(AJ33,$AN$2:$AX$11,2,0),IF(LOOKUP(2,1/($AD$1:AD33=VLOOKUP(AJ33,$AN$2:$AX$11,3,0)),$AK$1:AK33)&lt;16,VLOOKUP(AJ33,$AN$2:$AX$11,3,0),IF(LOOKUP(2,1/($AD$1:AD33=VLOOKUP(AJ33,$AN$2:$AX$11,4,0)),$AK$1:AK33)&lt;16,VLOOKUP(AJ33,$AN$2:$AX$11,4,0),IF(LOOKUP(2,1/($AD$1:AD33=VLOOKUP(AJ33,$AN$2:$AX$11,5,0)),$AK$1:AK33)&lt;16,VLOOKUP(AJ33,$AN$2:$AX$11,5,0),IF(LOOKUP(2,1/($AD$1:AD33=VLOOKUP(AJ33,$AN$2:$AX$11,6,0)),$AK$1:AK33)&lt;16,VLOOKUP(AJ33,$AN$2:$AX$11,6,0),IF(LOOKUP(2,1/($AD$1:AD33=VLOOKUP(AJ33,$AN$2:$AX$11,7,0)),$AK$1:AK33)&lt;16,VLOOKUP(AJ33,$AN$2:$AX$11,7,0),IF(LOOKUP(2,1/($AD$1:AD33=VLOOKUP(AJ33,$AN$2:$AX$11,8,0)),$AK$1:AK33)&lt;16,VLOOKUP(AJ33,$AN$2:$AX$11,8,0),IF(LOOKUP(2,1/($AD$1:AD33=VLOOKUP(AJ33,$AN$2:$AX$11,9,0)),$AK$1:AK33)&lt;16,VLOOKUP(AJ33,$AN$2:$AX$11,9,0),IF(LOOKUP(2,1/($AD$1:AD33=VLOOKUP(AJ33,$AN$2:$AX$11,10,0)),$AK$1:AK33)&lt;16,VLOOKUP(AJ33,$AN$2:$AX$11,10,0),VLOOKUP(AJ33,$AN$2:$AX$11,11,0)))))))))),VLOOKUP(AJ33,$AN$2:$AX$11,2,0))</f>
        <v>Team 3</v>
      </c>
      <c r="AK34">
        <f>COUNTIF($AD$1:AD34,AD34)</f>
        <v>0</v>
      </c>
      <c r="AL34">
        <f>COUNTIF($AK$1:AK34,"16")</f>
        <v>0</v>
      </c>
      <c r="AZ34" s="32">
        <f t="shared" ref="AZ34:AZ65" si="17">IF($AD34=AZ$1,IFERROR(AZ33-$AE34,200-$AE34),IFERROR(+AZ33-AZ33+AZ33,200))</f>
        <v>200</v>
      </c>
      <c r="BA34" s="33">
        <f t="shared" ref="BA34:BA65" si="18">IF($AD34=BA$1,IFERROR(BA33-$AE34,200-$AE34),IFERROR(+BA33-BA33+BA33,200))</f>
        <v>200</v>
      </c>
      <c r="BB34" s="33">
        <f t="shared" ref="BB34:BB65" si="19">IF($AD34=BB$1,IFERROR(BB33-$AE34,200-$AE34),IFERROR(+BB33-BB33+BB33,200))</f>
        <v>200</v>
      </c>
      <c r="BC34" s="33">
        <f t="shared" ref="BC34:BC65" si="20">IF($AD34=BC$1,IFERROR(BC33-$AE34,200-$AE34),IFERROR(+BC33-BC33+BC33,200))</f>
        <v>200</v>
      </c>
      <c r="BD34" s="33">
        <f t="shared" ref="BD34:BD65" si="21">IF($AD34=BD$1,IFERROR(BD33-$AE34,200-$AE34),IFERROR(+BD33-BD33+BD33,200))</f>
        <v>200</v>
      </c>
      <c r="BE34" s="33">
        <f t="shared" ref="BE34:BE65" si="22">IF($AD34=BE$1,IFERROR(BE33-$AE34,200-$AE34),IFERROR(+BE33-BE33+BE33,200))</f>
        <v>200</v>
      </c>
      <c r="BF34" s="33">
        <f t="shared" ref="BF34:BF65" si="23">IF($AD34=BF$1,IFERROR(BF33-$AE34,200-$AE34),IFERROR(+BF33-BF33+BF33,200))</f>
        <v>200</v>
      </c>
      <c r="BG34" s="33">
        <f t="shared" ref="BG34:BG65" si="24">IF($AD34=BG$1,IFERROR(BG33-$AE34,200-$AE34),IFERROR(+BG33-BG33+BG33,200))</f>
        <v>200</v>
      </c>
      <c r="BH34" s="33">
        <f t="shared" ref="BH34:BH65" si="25">IF($AD34=BH$1,IFERROR(BH33-$AE34,200-$AE34),IFERROR(+BH33-BH33+BH33,200))</f>
        <v>200</v>
      </c>
      <c r="BI34" s="34">
        <f t="shared" ref="BI34:BI65" si="26">IF($AD34=BI$1,IFERROR(BI33-$AE34,200-$AE34),IFERROR(+BI33-BI33+BI33,200))</f>
        <v>200</v>
      </c>
    </row>
    <row r="35" spans="1:61" x14ac:dyDescent="0.25">
      <c r="E35" s="225">
        <f t="array" ref="E35">LARGE(IF(Players!D:D="WR",Players!F:F,""),($B$1*$Q$4)+ROW()-28)</f>
        <v>213.04753576530501</v>
      </c>
      <c r="F35" s="28">
        <f t="shared" si="16"/>
        <v>7</v>
      </c>
      <c r="AA35" s="53"/>
      <c r="AB35" s="14" t="str">
        <f>AD35&amp;COUNTIF($AD$2:AD35,AD35)</f>
        <v>0</v>
      </c>
      <c r="AC35" s="136"/>
      <c r="AD35" s="136"/>
      <c r="AE35" s="135"/>
      <c r="AF35" s="23" t="str">
        <f>IFERROR(VLOOKUP(AC35,Players!$B:$F,3,0),"")</f>
        <v/>
      </c>
      <c r="AG35" s="23" t="str">
        <f>IFERROR(VLOOKUP(AC35,Players!$B:$F,2,0),"")</f>
        <v/>
      </c>
      <c r="AH35" s="23" t="str">
        <f>IFERROR(VLOOKUP(AC35,Players!$B:$N,5,0),"")</f>
        <v/>
      </c>
      <c r="AI35" s="23">
        <v>34</v>
      </c>
      <c r="AJ35" s="28" t="str">
        <f>IFERROR(IF(LOOKUP(2,1/($AD$1:AD34=VLOOKUP(AJ34,$AN$2:$AX$11,2,0)),$AK$1:AK34)&lt;16,VLOOKUP(AJ34,$AN$2:$AX$11,2,0),IF(LOOKUP(2,1/($AD$1:AD34=VLOOKUP(AJ34,$AN$2:$AX$11,3,0)),$AK$1:AK34)&lt;16,VLOOKUP(AJ34,$AN$2:$AX$11,3,0),IF(LOOKUP(2,1/($AD$1:AD34=VLOOKUP(AJ34,$AN$2:$AX$11,4,0)),$AK$1:AK34)&lt;16,VLOOKUP(AJ34,$AN$2:$AX$11,4,0),IF(LOOKUP(2,1/($AD$1:AD34=VLOOKUP(AJ34,$AN$2:$AX$11,5,0)),$AK$1:AK34)&lt;16,VLOOKUP(AJ34,$AN$2:$AX$11,5,0),IF(LOOKUP(2,1/($AD$1:AD34=VLOOKUP(AJ34,$AN$2:$AX$11,6,0)),$AK$1:AK34)&lt;16,VLOOKUP(AJ34,$AN$2:$AX$11,6,0),IF(LOOKUP(2,1/($AD$1:AD34=VLOOKUP(AJ34,$AN$2:$AX$11,7,0)),$AK$1:AK34)&lt;16,VLOOKUP(AJ34,$AN$2:$AX$11,7,0),IF(LOOKUP(2,1/($AD$1:AD34=VLOOKUP(AJ34,$AN$2:$AX$11,8,0)),$AK$1:AK34)&lt;16,VLOOKUP(AJ34,$AN$2:$AX$11,8,0),IF(LOOKUP(2,1/($AD$1:AD34=VLOOKUP(AJ34,$AN$2:$AX$11,9,0)),$AK$1:AK34)&lt;16,VLOOKUP(AJ34,$AN$2:$AX$11,9,0),IF(LOOKUP(2,1/($AD$1:AD34=VLOOKUP(AJ34,$AN$2:$AX$11,10,0)),$AK$1:AK34)&lt;16,VLOOKUP(AJ34,$AN$2:$AX$11,10,0),VLOOKUP(AJ34,$AN$2:$AX$11,11,0)))))))))),VLOOKUP(AJ34,$AN$2:$AX$11,2,0))</f>
        <v>Team 6</v>
      </c>
      <c r="AK35">
        <f>COUNTIF($AD$1:AD35,AD35)</f>
        <v>0</v>
      </c>
      <c r="AL35">
        <f>COUNTIF($AK$1:AK35,"16")</f>
        <v>0</v>
      </c>
      <c r="AZ35" s="32">
        <f t="shared" si="17"/>
        <v>200</v>
      </c>
      <c r="BA35" s="33">
        <f t="shared" si="18"/>
        <v>200</v>
      </c>
      <c r="BB35" s="33">
        <f t="shared" si="19"/>
        <v>200</v>
      </c>
      <c r="BC35" s="33">
        <f t="shared" si="20"/>
        <v>200</v>
      </c>
      <c r="BD35" s="33">
        <f t="shared" si="21"/>
        <v>200</v>
      </c>
      <c r="BE35" s="33">
        <f t="shared" si="22"/>
        <v>200</v>
      </c>
      <c r="BF35" s="33">
        <f t="shared" si="23"/>
        <v>200</v>
      </c>
      <c r="BG35" s="33">
        <f t="shared" si="24"/>
        <v>200</v>
      </c>
      <c r="BH35" s="33">
        <f t="shared" si="25"/>
        <v>200</v>
      </c>
      <c r="BI35" s="34">
        <f t="shared" si="26"/>
        <v>200</v>
      </c>
    </row>
    <row r="36" spans="1:61" x14ac:dyDescent="0.25">
      <c r="E36" s="225">
        <f t="array" ref="E36">LARGE(IF(Players!D:D="WR",Players!F:F,""),($B$1*$Q$4)+ROW()-28)</f>
        <v>211.58999374320001</v>
      </c>
      <c r="F36" s="28">
        <f t="shared" si="16"/>
        <v>8</v>
      </c>
      <c r="AA36" s="53"/>
      <c r="AB36" s="14" t="str">
        <f>AD36&amp;COUNTIF($AD$2:AD36,AD36)</f>
        <v>0</v>
      </c>
      <c r="AC36" s="136"/>
      <c r="AD36" s="136"/>
      <c r="AE36" s="135"/>
      <c r="AF36" s="23" t="str">
        <f>IFERROR(VLOOKUP(AC36,Players!$B:$F,3,0),"")</f>
        <v/>
      </c>
      <c r="AG36" s="23" t="str">
        <f>IFERROR(VLOOKUP(AC36,Players!$B:$F,2,0),"")</f>
        <v/>
      </c>
      <c r="AH36" s="23" t="str">
        <f>IFERROR(VLOOKUP(AC36,Players!$B:$N,5,0),"")</f>
        <v/>
      </c>
      <c r="AI36" s="23">
        <v>35</v>
      </c>
      <c r="AJ36" s="28" t="str">
        <f>IFERROR(IF(LOOKUP(2,1/($AD$1:AD35=VLOOKUP(AJ35,$AN$2:$AX$11,2,0)),$AK$1:AK35)&lt;16,VLOOKUP(AJ35,$AN$2:$AX$11,2,0),IF(LOOKUP(2,1/($AD$1:AD35=VLOOKUP(AJ35,$AN$2:$AX$11,3,0)),$AK$1:AK35)&lt;16,VLOOKUP(AJ35,$AN$2:$AX$11,3,0),IF(LOOKUP(2,1/($AD$1:AD35=VLOOKUP(AJ35,$AN$2:$AX$11,4,0)),$AK$1:AK35)&lt;16,VLOOKUP(AJ35,$AN$2:$AX$11,4,0),IF(LOOKUP(2,1/($AD$1:AD35=VLOOKUP(AJ35,$AN$2:$AX$11,5,0)),$AK$1:AK35)&lt;16,VLOOKUP(AJ35,$AN$2:$AX$11,5,0),IF(LOOKUP(2,1/($AD$1:AD35=VLOOKUP(AJ35,$AN$2:$AX$11,6,0)),$AK$1:AK35)&lt;16,VLOOKUP(AJ35,$AN$2:$AX$11,6,0),IF(LOOKUP(2,1/($AD$1:AD35=VLOOKUP(AJ35,$AN$2:$AX$11,7,0)),$AK$1:AK35)&lt;16,VLOOKUP(AJ35,$AN$2:$AX$11,7,0),IF(LOOKUP(2,1/($AD$1:AD35=VLOOKUP(AJ35,$AN$2:$AX$11,8,0)),$AK$1:AK35)&lt;16,VLOOKUP(AJ35,$AN$2:$AX$11,8,0),IF(LOOKUP(2,1/($AD$1:AD35=VLOOKUP(AJ35,$AN$2:$AX$11,9,0)),$AK$1:AK35)&lt;16,VLOOKUP(AJ35,$AN$2:$AX$11,9,0),IF(LOOKUP(2,1/($AD$1:AD35=VLOOKUP(AJ35,$AN$2:$AX$11,10,0)),$AK$1:AK35)&lt;16,VLOOKUP(AJ35,$AN$2:$AX$11,10,0),VLOOKUP(AJ35,$AN$2:$AX$11,11,0)))))))))),VLOOKUP(AJ35,$AN$2:$AX$11,2,0))</f>
        <v>Team 7</v>
      </c>
      <c r="AK36">
        <f>COUNTIF($AD$1:AD36,AD36)</f>
        <v>0</v>
      </c>
      <c r="AL36">
        <f>COUNTIF($AK$1:AK36,"16")</f>
        <v>0</v>
      </c>
      <c r="AZ36" s="32">
        <f t="shared" si="17"/>
        <v>200</v>
      </c>
      <c r="BA36" s="33">
        <f t="shared" si="18"/>
        <v>200</v>
      </c>
      <c r="BB36" s="33">
        <f t="shared" si="19"/>
        <v>200</v>
      </c>
      <c r="BC36" s="33">
        <f t="shared" si="20"/>
        <v>200</v>
      </c>
      <c r="BD36" s="33">
        <f t="shared" si="21"/>
        <v>200</v>
      </c>
      <c r="BE36" s="33">
        <f t="shared" si="22"/>
        <v>200</v>
      </c>
      <c r="BF36" s="33">
        <f t="shared" si="23"/>
        <v>200</v>
      </c>
      <c r="BG36" s="33">
        <f t="shared" si="24"/>
        <v>200</v>
      </c>
      <c r="BH36" s="33">
        <f t="shared" si="25"/>
        <v>200</v>
      </c>
      <c r="BI36" s="34">
        <f t="shared" si="26"/>
        <v>200</v>
      </c>
    </row>
    <row r="37" spans="1:61" x14ac:dyDescent="0.25">
      <c r="E37" s="225">
        <f t="array" ref="E37">LARGE(IF(Players!D:D="WR",Players!F:F,""),($B$1*$Q$4)+ROW()-28)</f>
        <v>207.94398433487399</v>
      </c>
      <c r="F37" s="28">
        <f t="shared" si="16"/>
        <v>9</v>
      </c>
      <c r="AA37" s="53"/>
      <c r="AB37" s="14" t="str">
        <f>AD37&amp;COUNTIF($AD$2:AD37,AD37)</f>
        <v>0</v>
      </c>
      <c r="AC37" s="136"/>
      <c r="AD37" s="136"/>
      <c r="AE37" s="135"/>
      <c r="AF37" s="23" t="str">
        <f>IFERROR(VLOOKUP(AC37,Players!$B:$F,3,0),"")</f>
        <v/>
      </c>
      <c r="AG37" s="23" t="str">
        <f>IFERROR(VLOOKUP(AC37,Players!$B:$F,2,0),"")</f>
        <v/>
      </c>
      <c r="AH37" s="23" t="str">
        <f>IFERROR(VLOOKUP(AC37,Players!$B:$N,5,0),"")</f>
        <v/>
      </c>
      <c r="AI37" s="23">
        <v>36</v>
      </c>
      <c r="AJ37" s="28" t="str">
        <f>IFERROR(IF(LOOKUP(2,1/($AD$1:AD36=VLOOKUP(AJ36,$AN$2:$AX$11,2,0)),$AK$1:AK36)&lt;16,VLOOKUP(AJ36,$AN$2:$AX$11,2,0),IF(LOOKUP(2,1/($AD$1:AD36=VLOOKUP(AJ36,$AN$2:$AX$11,3,0)),$AK$1:AK36)&lt;16,VLOOKUP(AJ36,$AN$2:$AX$11,3,0),IF(LOOKUP(2,1/($AD$1:AD36=VLOOKUP(AJ36,$AN$2:$AX$11,4,0)),$AK$1:AK36)&lt;16,VLOOKUP(AJ36,$AN$2:$AX$11,4,0),IF(LOOKUP(2,1/($AD$1:AD36=VLOOKUP(AJ36,$AN$2:$AX$11,5,0)),$AK$1:AK36)&lt;16,VLOOKUP(AJ36,$AN$2:$AX$11,5,0),IF(LOOKUP(2,1/($AD$1:AD36=VLOOKUP(AJ36,$AN$2:$AX$11,6,0)),$AK$1:AK36)&lt;16,VLOOKUP(AJ36,$AN$2:$AX$11,6,0),IF(LOOKUP(2,1/($AD$1:AD36=VLOOKUP(AJ36,$AN$2:$AX$11,7,0)),$AK$1:AK36)&lt;16,VLOOKUP(AJ36,$AN$2:$AX$11,7,0),IF(LOOKUP(2,1/($AD$1:AD36=VLOOKUP(AJ36,$AN$2:$AX$11,8,0)),$AK$1:AK36)&lt;16,VLOOKUP(AJ36,$AN$2:$AX$11,8,0),IF(LOOKUP(2,1/($AD$1:AD36=VLOOKUP(AJ36,$AN$2:$AX$11,9,0)),$AK$1:AK36)&lt;16,VLOOKUP(AJ36,$AN$2:$AX$11,9,0),IF(LOOKUP(2,1/($AD$1:AD36=VLOOKUP(AJ36,$AN$2:$AX$11,10,0)),$AK$1:AK36)&lt;16,VLOOKUP(AJ36,$AN$2:$AX$11,10,0),VLOOKUP(AJ36,$AN$2:$AX$11,11,0)))))))))),VLOOKUP(AJ36,$AN$2:$AX$11,2,0))</f>
        <v>Team 8</v>
      </c>
      <c r="AK37">
        <f>COUNTIF($AD$1:AD37,AD37)</f>
        <v>0</v>
      </c>
      <c r="AL37">
        <f>COUNTIF($AK$1:AK37,"16")</f>
        <v>0</v>
      </c>
      <c r="AZ37" s="32">
        <f t="shared" si="17"/>
        <v>200</v>
      </c>
      <c r="BA37" s="33">
        <f t="shared" si="18"/>
        <v>200</v>
      </c>
      <c r="BB37" s="33">
        <f t="shared" si="19"/>
        <v>200</v>
      </c>
      <c r="BC37" s="33">
        <f t="shared" si="20"/>
        <v>200</v>
      </c>
      <c r="BD37" s="33">
        <f t="shared" si="21"/>
        <v>200</v>
      </c>
      <c r="BE37" s="33">
        <f t="shared" si="22"/>
        <v>200</v>
      </c>
      <c r="BF37" s="33">
        <f t="shared" si="23"/>
        <v>200</v>
      </c>
      <c r="BG37" s="33">
        <f t="shared" si="24"/>
        <v>200</v>
      </c>
      <c r="BH37" s="33">
        <f t="shared" si="25"/>
        <v>200</v>
      </c>
      <c r="BI37" s="34">
        <f t="shared" si="26"/>
        <v>200</v>
      </c>
    </row>
    <row r="38" spans="1:61" ht="15.75" thickBot="1" x14ac:dyDescent="0.3">
      <c r="E38" s="226">
        <f t="array" ref="E38">LARGE(IF(Players!D:D="WR",Players!F:F,""),($B$1*$Q$4)+ROW()-28)</f>
        <v>203.936753079292</v>
      </c>
      <c r="F38" s="31">
        <f t="shared" si="16"/>
        <v>10</v>
      </c>
      <c r="AB38" s="14" t="str">
        <f>AD38&amp;COUNTIF($AD$2:AD38,AD38)</f>
        <v>0</v>
      </c>
      <c r="AC38" s="136"/>
      <c r="AD38" s="136"/>
      <c r="AE38" s="135"/>
      <c r="AF38" s="23" t="str">
        <f>IFERROR(VLOOKUP(AC38,Players!$B:$F,3,0),"")</f>
        <v/>
      </c>
      <c r="AG38" s="23" t="str">
        <f>IFERROR(VLOOKUP(AC38,Players!$B:$F,2,0),"")</f>
        <v/>
      </c>
      <c r="AH38" s="23" t="str">
        <f>IFERROR(VLOOKUP(AC38,Players!$B:$N,5,0),"")</f>
        <v/>
      </c>
      <c r="AI38" s="23">
        <v>37</v>
      </c>
      <c r="AJ38" s="28" t="str">
        <f>IFERROR(IF(LOOKUP(2,1/($AD$1:AD37=VLOOKUP(AJ37,$AN$2:$AX$11,2,0)),$AK$1:AK37)&lt;16,VLOOKUP(AJ37,$AN$2:$AX$11,2,0),IF(LOOKUP(2,1/($AD$1:AD37=VLOOKUP(AJ37,$AN$2:$AX$11,3,0)),$AK$1:AK37)&lt;16,VLOOKUP(AJ37,$AN$2:$AX$11,3,0),IF(LOOKUP(2,1/($AD$1:AD37=VLOOKUP(AJ37,$AN$2:$AX$11,4,0)),$AK$1:AK37)&lt;16,VLOOKUP(AJ37,$AN$2:$AX$11,4,0),IF(LOOKUP(2,1/($AD$1:AD37=VLOOKUP(AJ37,$AN$2:$AX$11,5,0)),$AK$1:AK37)&lt;16,VLOOKUP(AJ37,$AN$2:$AX$11,5,0),IF(LOOKUP(2,1/($AD$1:AD37=VLOOKUP(AJ37,$AN$2:$AX$11,6,0)),$AK$1:AK37)&lt;16,VLOOKUP(AJ37,$AN$2:$AX$11,6,0),IF(LOOKUP(2,1/($AD$1:AD37=VLOOKUP(AJ37,$AN$2:$AX$11,7,0)),$AK$1:AK37)&lt;16,VLOOKUP(AJ37,$AN$2:$AX$11,7,0),IF(LOOKUP(2,1/($AD$1:AD37=VLOOKUP(AJ37,$AN$2:$AX$11,8,0)),$AK$1:AK37)&lt;16,VLOOKUP(AJ37,$AN$2:$AX$11,8,0),IF(LOOKUP(2,1/($AD$1:AD37=VLOOKUP(AJ37,$AN$2:$AX$11,9,0)),$AK$1:AK37)&lt;16,VLOOKUP(AJ37,$AN$2:$AX$11,9,0),IF(LOOKUP(2,1/($AD$1:AD37=VLOOKUP(AJ37,$AN$2:$AX$11,10,0)),$AK$1:AK37)&lt;16,VLOOKUP(AJ37,$AN$2:$AX$11,10,0),VLOOKUP(AJ37,$AN$2:$AX$11,11,0)))))))))),VLOOKUP(AJ37,$AN$2:$AX$11,2,0))</f>
        <v>Team Se</v>
      </c>
      <c r="AK38">
        <f>COUNTIF($AD$1:AD38,AD38)</f>
        <v>0</v>
      </c>
      <c r="AL38">
        <f>COUNTIF($AK$1:AK38,"16")</f>
        <v>0</v>
      </c>
      <c r="AZ38" s="32">
        <f t="shared" si="17"/>
        <v>200</v>
      </c>
      <c r="BA38" s="33">
        <f t="shared" si="18"/>
        <v>200</v>
      </c>
      <c r="BB38" s="33">
        <f t="shared" si="19"/>
        <v>200</v>
      </c>
      <c r="BC38" s="33">
        <f t="shared" si="20"/>
        <v>200</v>
      </c>
      <c r="BD38" s="33">
        <f t="shared" si="21"/>
        <v>200</v>
      </c>
      <c r="BE38" s="33">
        <f t="shared" si="22"/>
        <v>200</v>
      </c>
      <c r="BF38" s="33">
        <f t="shared" si="23"/>
        <v>200</v>
      </c>
      <c r="BG38" s="33">
        <f t="shared" si="24"/>
        <v>200</v>
      </c>
      <c r="BH38" s="33">
        <f t="shared" si="25"/>
        <v>200</v>
      </c>
      <c r="BI38" s="34">
        <f t="shared" si="26"/>
        <v>200</v>
      </c>
    </row>
    <row r="39" spans="1:61" x14ac:dyDescent="0.25">
      <c r="E39" s="224">
        <f t="array" ref="E39">LARGE(IF(Players!D:D="RB",Players!F:F,""),($B$1*$Q$3)+ROW()-38)</f>
        <v>177.37302718413599</v>
      </c>
      <c r="F39" s="26">
        <f t="shared" si="16"/>
        <v>11</v>
      </c>
      <c r="AB39" s="14" t="str">
        <f>AD39&amp;COUNTIF($AD$2:AD39,AD39)</f>
        <v>0</v>
      </c>
      <c r="AC39" s="136"/>
      <c r="AD39" s="136"/>
      <c r="AE39" s="135"/>
      <c r="AF39" s="23" t="str">
        <f>IFERROR(VLOOKUP(AC39,Players!$B:$F,3,0),"")</f>
        <v/>
      </c>
      <c r="AG39" s="23" t="str">
        <f>IFERROR(VLOOKUP(AC39,Players!$B:$F,2,0),"")</f>
        <v/>
      </c>
      <c r="AH39" s="23" t="str">
        <f>IFERROR(VLOOKUP(AC39,Players!$B:$N,5,0),"")</f>
        <v/>
      </c>
      <c r="AI39" s="23">
        <v>38</v>
      </c>
      <c r="AJ39" s="28" t="str">
        <f>IFERROR(IF(LOOKUP(2,1/($AD$1:AD38=VLOOKUP(AJ38,$AN$2:$AX$11,2,0)),$AK$1:AK38)&lt;16,VLOOKUP(AJ38,$AN$2:$AX$11,2,0),IF(LOOKUP(2,1/($AD$1:AD38=VLOOKUP(AJ38,$AN$2:$AX$11,3,0)),$AK$1:AK38)&lt;16,VLOOKUP(AJ38,$AN$2:$AX$11,3,0),IF(LOOKUP(2,1/($AD$1:AD38=VLOOKUP(AJ38,$AN$2:$AX$11,4,0)),$AK$1:AK38)&lt;16,VLOOKUP(AJ38,$AN$2:$AX$11,4,0),IF(LOOKUP(2,1/($AD$1:AD38=VLOOKUP(AJ38,$AN$2:$AX$11,5,0)),$AK$1:AK38)&lt;16,VLOOKUP(AJ38,$AN$2:$AX$11,5,0),IF(LOOKUP(2,1/($AD$1:AD38=VLOOKUP(AJ38,$AN$2:$AX$11,6,0)),$AK$1:AK38)&lt;16,VLOOKUP(AJ38,$AN$2:$AX$11,6,0),IF(LOOKUP(2,1/($AD$1:AD38=VLOOKUP(AJ38,$AN$2:$AX$11,7,0)),$AK$1:AK38)&lt;16,VLOOKUP(AJ38,$AN$2:$AX$11,7,0),IF(LOOKUP(2,1/($AD$1:AD38=VLOOKUP(AJ38,$AN$2:$AX$11,8,0)),$AK$1:AK38)&lt;16,VLOOKUP(AJ38,$AN$2:$AX$11,8,0),IF(LOOKUP(2,1/($AD$1:AD38=VLOOKUP(AJ38,$AN$2:$AX$11,9,0)),$AK$1:AK38)&lt;16,VLOOKUP(AJ38,$AN$2:$AX$11,9,0),IF(LOOKUP(2,1/($AD$1:AD38=VLOOKUP(AJ38,$AN$2:$AX$11,10,0)),$AK$1:AK38)&lt;16,VLOOKUP(AJ38,$AN$2:$AX$11,10,0),VLOOKUP(AJ38,$AN$2:$AX$11,11,0)))))))))),VLOOKUP(AJ38,$AN$2:$AX$11,2,0))</f>
        <v>Team 10</v>
      </c>
      <c r="AK39">
        <f>COUNTIF($AD$1:AD39,AD39)</f>
        <v>0</v>
      </c>
      <c r="AL39">
        <f>COUNTIF($AK$1:AK39,"16")</f>
        <v>0</v>
      </c>
      <c r="AZ39" s="32">
        <f t="shared" si="17"/>
        <v>200</v>
      </c>
      <c r="BA39" s="33">
        <f t="shared" si="18"/>
        <v>200</v>
      </c>
      <c r="BB39" s="33">
        <f t="shared" si="19"/>
        <v>200</v>
      </c>
      <c r="BC39" s="33">
        <f t="shared" si="20"/>
        <v>200</v>
      </c>
      <c r="BD39" s="33">
        <f t="shared" si="21"/>
        <v>200</v>
      </c>
      <c r="BE39" s="33">
        <f t="shared" si="22"/>
        <v>200</v>
      </c>
      <c r="BF39" s="33">
        <f t="shared" si="23"/>
        <v>200</v>
      </c>
      <c r="BG39" s="33">
        <f t="shared" si="24"/>
        <v>200</v>
      </c>
      <c r="BH39" s="33">
        <f t="shared" si="25"/>
        <v>200</v>
      </c>
      <c r="BI39" s="34">
        <f t="shared" si="26"/>
        <v>200</v>
      </c>
    </row>
    <row r="40" spans="1:61" x14ac:dyDescent="0.25">
      <c r="E40" s="225">
        <f t="array" ref="E40">LARGE(IF(Players!D:D="RB",Players!F:F,""),($B$1*$Q$3)+ROW()-38)</f>
        <v>175.463959228985</v>
      </c>
      <c r="F40" s="28">
        <f t="shared" si="16"/>
        <v>12</v>
      </c>
      <c r="AB40" s="14" t="str">
        <f>AD40&amp;COUNTIF($AD$2:AD40,AD40)</f>
        <v>0</v>
      </c>
      <c r="AC40" s="136"/>
      <c r="AD40" s="136"/>
      <c r="AE40" s="135"/>
      <c r="AF40" s="23" t="str">
        <f>IFERROR(VLOOKUP(AC40,Players!$B:$F,3,0),"")</f>
        <v/>
      </c>
      <c r="AG40" s="23" t="str">
        <f>IFERROR(VLOOKUP(AC40,Players!$B:$F,2,0),"")</f>
        <v/>
      </c>
      <c r="AH40" s="23" t="str">
        <f>IFERROR(VLOOKUP(AC40,Players!$B:$N,5,0),"")</f>
        <v/>
      </c>
      <c r="AI40" s="23">
        <v>39</v>
      </c>
      <c r="AJ40" s="28" t="str">
        <f>IFERROR(IF(LOOKUP(2,1/($AD$1:AD39=VLOOKUP(AJ39,$AN$2:$AX$11,2,0)),$AK$1:AK39)&lt;16,VLOOKUP(AJ39,$AN$2:$AX$11,2,0),IF(LOOKUP(2,1/($AD$1:AD39=VLOOKUP(AJ39,$AN$2:$AX$11,3,0)),$AK$1:AK39)&lt;16,VLOOKUP(AJ39,$AN$2:$AX$11,3,0),IF(LOOKUP(2,1/($AD$1:AD39=VLOOKUP(AJ39,$AN$2:$AX$11,4,0)),$AK$1:AK39)&lt;16,VLOOKUP(AJ39,$AN$2:$AX$11,4,0),IF(LOOKUP(2,1/($AD$1:AD39=VLOOKUP(AJ39,$AN$2:$AX$11,5,0)),$AK$1:AK39)&lt;16,VLOOKUP(AJ39,$AN$2:$AX$11,5,0),IF(LOOKUP(2,1/($AD$1:AD39=VLOOKUP(AJ39,$AN$2:$AX$11,6,0)),$AK$1:AK39)&lt;16,VLOOKUP(AJ39,$AN$2:$AX$11,6,0),IF(LOOKUP(2,1/($AD$1:AD39=VLOOKUP(AJ39,$AN$2:$AX$11,7,0)),$AK$1:AK39)&lt;16,VLOOKUP(AJ39,$AN$2:$AX$11,7,0),IF(LOOKUP(2,1/($AD$1:AD39=VLOOKUP(AJ39,$AN$2:$AX$11,8,0)),$AK$1:AK39)&lt;16,VLOOKUP(AJ39,$AN$2:$AX$11,8,0),IF(LOOKUP(2,1/($AD$1:AD39=VLOOKUP(AJ39,$AN$2:$AX$11,9,0)),$AK$1:AK39)&lt;16,VLOOKUP(AJ39,$AN$2:$AX$11,9,0),IF(LOOKUP(2,1/($AD$1:AD39=VLOOKUP(AJ39,$AN$2:$AX$11,10,0)),$AK$1:AK39)&lt;16,VLOOKUP(AJ39,$AN$2:$AX$11,10,0),VLOOKUP(AJ39,$AN$2:$AX$11,11,0)))))))))),VLOOKUP(AJ39,$AN$2:$AX$11,2,0))</f>
        <v>Crouch</v>
      </c>
      <c r="AK40">
        <f>COUNTIF($AD$1:AD40,AD40)</f>
        <v>0</v>
      </c>
      <c r="AL40">
        <f>COUNTIF($AK$1:AK40,"16")</f>
        <v>0</v>
      </c>
      <c r="AZ40" s="32">
        <f t="shared" si="17"/>
        <v>200</v>
      </c>
      <c r="BA40" s="33">
        <f t="shared" si="18"/>
        <v>200</v>
      </c>
      <c r="BB40" s="33">
        <f t="shared" si="19"/>
        <v>200</v>
      </c>
      <c r="BC40" s="33">
        <f t="shared" si="20"/>
        <v>200</v>
      </c>
      <c r="BD40" s="33">
        <f t="shared" si="21"/>
        <v>200</v>
      </c>
      <c r="BE40" s="33">
        <f t="shared" si="22"/>
        <v>200</v>
      </c>
      <c r="BF40" s="33">
        <f t="shared" si="23"/>
        <v>200</v>
      </c>
      <c r="BG40" s="33">
        <f t="shared" si="24"/>
        <v>200</v>
      </c>
      <c r="BH40" s="33">
        <f t="shared" si="25"/>
        <v>200</v>
      </c>
      <c r="BI40" s="34">
        <f t="shared" si="26"/>
        <v>200</v>
      </c>
    </row>
    <row r="41" spans="1:61" x14ac:dyDescent="0.25">
      <c r="E41" s="225">
        <f t="array" ref="E41">LARGE(IF(Players!D:D="RB",Players!F:F,""),($B$1*$Q$3)+ROW()-38)</f>
        <v>174.426546936828</v>
      </c>
      <c r="F41" s="28">
        <f t="shared" si="16"/>
        <v>13</v>
      </c>
      <c r="AB41" s="14" t="str">
        <f>AD41&amp;COUNTIF($AD$2:AD41,AD41)</f>
        <v>0</v>
      </c>
      <c r="AC41" s="136"/>
      <c r="AD41" s="136"/>
      <c r="AE41" s="135"/>
      <c r="AF41" s="23" t="str">
        <f>IFERROR(VLOOKUP(AC41,Players!$B:$F,3,0),"")</f>
        <v/>
      </c>
      <c r="AG41" s="23" t="str">
        <f>IFERROR(VLOOKUP(AC41,Players!$B:$F,2,0),"")</f>
        <v/>
      </c>
      <c r="AH41" s="23" t="str">
        <f>IFERROR(VLOOKUP(AC41,Players!$B:$N,5,0),"")</f>
        <v/>
      </c>
      <c r="AI41" s="23">
        <v>40</v>
      </c>
      <c r="AJ41" s="28" t="str">
        <f>IFERROR(IF(LOOKUP(2,1/($AD$1:AD40=VLOOKUP(AJ40,$AN$2:$AX$11,2,0)),$AK$1:AK40)&lt;16,VLOOKUP(AJ40,$AN$2:$AX$11,2,0),IF(LOOKUP(2,1/($AD$1:AD40=VLOOKUP(AJ40,$AN$2:$AX$11,3,0)),$AK$1:AK40)&lt;16,VLOOKUP(AJ40,$AN$2:$AX$11,3,0),IF(LOOKUP(2,1/($AD$1:AD40=VLOOKUP(AJ40,$AN$2:$AX$11,4,0)),$AK$1:AK40)&lt;16,VLOOKUP(AJ40,$AN$2:$AX$11,4,0),IF(LOOKUP(2,1/($AD$1:AD40=VLOOKUP(AJ40,$AN$2:$AX$11,5,0)),$AK$1:AK40)&lt;16,VLOOKUP(AJ40,$AN$2:$AX$11,5,0),IF(LOOKUP(2,1/($AD$1:AD40=VLOOKUP(AJ40,$AN$2:$AX$11,6,0)),$AK$1:AK40)&lt;16,VLOOKUP(AJ40,$AN$2:$AX$11,6,0),IF(LOOKUP(2,1/($AD$1:AD40=VLOOKUP(AJ40,$AN$2:$AX$11,7,0)),$AK$1:AK40)&lt;16,VLOOKUP(AJ40,$AN$2:$AX$11,7,0),IF(LOOKUP(2,1/($AD$1:AD40=VLOOKUP(AJ40,$AN$2:$AX$11,8,0)),$AK$1:AK40)&lt;16,VLOOKUP(AJ40,$AN$2:$AX$11,8,0),IF(LOOKUP(2,1/($AD$1:AD40=VLOOKUP(AJ40,$AN$2:$AX$11,9,0)),$AK$1:AK40)&lt;16,VLOOKUP(AJ40,$AN$2:$AX$11,9,0),IF(LOOKUP(2,1/($AD$1:AD40=VLOOKUP(AJ40,$AN$2:$AX$11,10,0)),$AK$1:AK40)&lt;16,VLOOKUP(AJ40,$AN$2:$AX$11,10,0),VLOOKUP(AJ40,$AN$2:$AX$11,11,0)))))))))),VLOOKUP(AJ40,$AN$2:$AX$11,2,0))</f>
        <v>Team 4</v>
      </c>
      <c r="AK41">
        <f>COUNTIF($AD$1:AD41,AD41)</f>
        <v>0</v>
      </c>
      <c r="AL41">
        <f>COUNTIF($AK$1:AK41,"16")</f>
        <v>0</v>
      </c>
      <c r="AZ41" s="32">
        <f t="shared" si="17"/>
        <v>200</v>
      </c>
      <c r="BA41" s="33">
        <f t="shared" si="18"/>
        <v>200</v>
      </c>
      <c r="BB41" s="33">
        <f t="shared" si="19"/>
        <v>200</v>
      </c>
      <c r="BC41" s="33">
        <f t="shared" si="20"/>
        <v>200</v>
      </c>
      <c r="BD41" s="33">
        <f t="shared" si="21"/>
        <v>200</v>
      </c>
      <c r="BE41" s="33">
        <f t="shared" si="22"/>
        <v>200</v>
      </c>
      <c r="BF41" s="33">
        <f t="shared" si="23"/>
        <v>200</v>
      </c>
      <c r="BG41" s="33">
        <f t="shared" si="24"/>
        <v>200</v>
      </c>
      <c r="BH41" s="33">
        <f t="shared" si="25"/>
        <v>200</v>
      </c>
      <c r="BI41" s="34">
        <f t="shared" si="26"/>
        <v>200</v>
      </c>
    </row>
    <row r="42" spans="1:61" x14ac:dyDescent="0.25">
      <c r="E42" s="225">
        <f t="array" ref="E42">LARGE(IF(Players!D:D="RB",Players!F:F,""),($B$1*$Q$3)+ROW()-38)</f>
        <v>169.80308051531301</v>
      </c>
      <c r="F42" s="28">
        <f t="shared" si="16"/>
        <v>14</v>
      </c>
      <c r="AB42" s="14" t="str">
        <f>AD42&amp;COUNTIF($AD$2:AD42,AD42)</f>
        <v>0</v>
      </c>
      <c r="AC42" s="136"/>
      <c r="AD42" s="136"/>
      <c r="AE42" s="135"/>
      <c r="AF42" s="23" t="str">
        <f>IFERROR(VLOOKUP(AC42,Players!$B:$F,3,0),"")</f>
        <v/>
      </c>
      <c r="AG42" s="23" t="str">
        <f>IFERROR(VLOOKUP(AC42,Players!$B:$F,2,0),"")</f>
        <v/>
      </c>
      <c r="AH42" s="23" t="str">
        <f>IFERROR(VLOOKUP(AC42,Players!$B:$N,5,0),"")</f>
        <v/>
      </c>
      <c r="AI42" s="23">
        <v>41</v>
      </c>
      <c r="AJ42" s="28" t="str">
        <f>IFERROR(IF(LOOKUP(2,1/($AD$1:AD41=VLOOKUP(AJ41,$AN$2:$AX$11,2,0)),$AK$1:AK41)&lt;16,VLOOKUP(AJ41,$AN$2:$AX$11,2,0),IF(LOOKUP(2,1/($AD$1:AD41=VLOOKUP(AJ41,$AN$2:$AX$11,3,0)),$AK$1:AK41)&lt;16,VLOOKUP(AJ41,$AN$2:$AX$11,3,0),IF(LOOKUP(2,1/($AD$1:AD41=VLOOKUP(AJ41,$AN$2:$AX$11,4,0)),$AK$1:AK41)&lt;16,VLOOKUP(AJ41,$AN$2:$AX$11,4,0),IF(LOOKUP(2,1/($AD$1:AD41=VLOOKUP(AJ41,$AN$2:$AX$11,5,0)),$AK$1:AK41)&lt;16,VLOOKUP(AJ41,$AN$2:$AX$11,5,0),IF(LOOKUP(2,1/($AD$1:AD41=VLOOKUP(AJ41,$AN$2:$AX$11,6,0)),$AK$1:AK41)&lt;16,VLOOKUP(AJ41,$AN$2:$AX$11,6,0),IF(LOOKUP(2,1/($AD$1:AD41=VLOOKUP(AJ41,$AN$2:$AX$11,7,0)),$AK$1:AK41)&lt;16,VLOOKUP(AJ41,$AN$2:$AX$11,7,0),IF(LOOKUP(2,1/($AD$1:AD41=VLOOKUP(AJ41,$AN$2:$AX$11,8,0)),$AK$1:AK41)&lt;16,VLOOKUP(AJ41,$AN$2:$AX$11,8,0),IF(LOOKUP(2,1/($AD$1:AD41=VLOOKUP(AJ41,$AN$2:$AX$11,9,0)),$AK$1:AK41)&lt;16,VLOOKUP(AJ41,$AN$2:$AX$11,9,0),IF(LOOKUP(2,1/($AD$1:AD41=VLOOKUP(AJ41,$AN$2:$AX$11,10,0)),$AK$1:AK41)&lt;16,VLOOKUP(AJ41,$AN$2:$AX$11,10,0),VLOOKUP(AJ41,$AN$2:$AX$11,11,0)))))))))),VLOOKUP(AJ41,$AN$2:$AX$11,2,0))</f>
        <v>Team 5</v>
      </c>
      <c r="AK42">
        <f>COUNTIF($AD$1:AD42,AD42)</f>
        <v>0</v>
      </c>
      <c r="AL42">
        <f>COUNTIF($AK$1:AK42,"16")</f>
        <v>0</v>
      </c>
      <c r="AZ42" s="32">
        <f t="shared" si="17"/>
        <v>200</v>
      </c>
      <c r="BA42" s="33">
        <f t="shared" si="18"/>
        <v>200</v>
      </c>
      <c r="BB42" s="33">
        <f t="shared" si="19"/>
        <v>200</v>
      </c>
      <c r="BC42" s="33">
        <f t="shared" si="20"/>
        <v>200</v>
      </c>
      <c r="BD42" s="33">
        <f t="shared" si="21"/>
        <v>200</v>
      </c>
      <c r="BE42" s="33">
        <f t="shared" si="22"/>
        <v>200</v>
      </c>
      <c r="BF42" s="33">
        <f t="shared" si="23"/>
        <v>200</v>
      </c>
      <c r="BG42" s="33">
        <f t="shared" si="24"/>
        <v>200</v>
      </c>
      <c r="BH42" s="33">
        <f t="shared" si="25"/>
        <v>200</v>
      </c>
      <c r="BI42" s="34">
        <f t="shared" si="26"/>
        <v>200</v>
      </c>
    </row>
    <row r="43" spans="1:61" x14ac:dyDescent="0.25">
      <c r="E43" s="225">
        <f t="array" ref="E43">LARGE(IF(Players!D:D="RB",Players!F:F,""),($B$1*$Q$3)+ROW()-38)</f>
        <v>169.587498993786</v>
      </c>
      <c r="F43" s="28">
        <f t="shared" si="16"/>
        <v>15</v>
      </c>
      <c r="AB43" s="14" t="str">
        <f>AD43&amp;COUNTIF($AD$2:AD43,AD43)</f>
        <v>0</v>
      </c>
      <c r="AC43" s="136"/>
      <c r="AD43" s="136"/>
      <c r="AE43" s="135"/>
      <c r="AF43" s="23" t="str">
        <f>IFERROR(VLOOKUP(AC43,Players!$B:$F,3,0),"")</f>
        <v/>
      </c>
      <c r="AG43" s="23" t="str">
        <f>IFERROR(VLOOKUP(AC43,Players!$B:$F,2,0),"")</f>
        <v/>
      </c>
      <c r="AH43" s="23" t="str">
        <f>IFERROR(VLOOKUP(AC43,Players!$B:$N,5,0),"")</f>
        <v/>
      </c>
      <c r="AI43" s="23">
        <v>42</v>
      </c>
      <c r="AJ43" s="28" t="str">
        <f>IFERROR(IF(LOOKUP(2,1/($AD$1:AD42=VLOOKUP(AJ42,$AN$2:$AX$11,2,0)),$AK$1:AK42)&lt;16,VLOOKUP(AJ42,$AN$2:$AX$11,2,0),IF(LOOKUP(2,1/($AD$1:AD42=VLOOKUP(AJ42,$AN$2:$AX$11,3,0)),$AK$1:AK42)&lt;16,VLOOKUP(AJ42,$AN$2:$AX$11,3,0),IF(LOOKUP(2,1/($AD$1:AD42=VLOOKUP(AJ42,$AN$2:$AX$11,4,0)),$AK$1:AK42)&lt;16,VLOOKUP(AJ42,$AN$2:$AX$11,4,0),IF(LOOKUP(2,1/($AD$1:AD42=VLOOKUP(AJ42,$AN$2:$AX$11,5,0)),$AK$1:AK42)&lt;16,VLOOKUP(AJ42,$AN$2:$AX$11,5,0),IF(LOOKUP(2,1/($AD$1:AD42=VLOOKUP(AJ42,$AN$2:$AX$11,6,0)),$AK$1:AK42)&lt;16,VLOOKUP(AJ42,$AN$2:$AX$11,6,0),IF(LOOKUP(2,1/($AD$1:AD42=VLOOKUP(AJ42,$AN$2:$AX$11,7,0)),$AK$1:AK42)&lt;16,VLOOKUP(AJ42,$AN$2:$AX$11,7,0),IF(LOOKUP(2,1/($AD$1:AD42=VLOOKUP(AJ42,$AN$2:$AX$11,8,0)),$AK$1:AK42)&lt;16,VLOOKUP(AJ42,$AN$2:$AX$11,8,0),IF(LOOKUP(2,1/($AD$1:AD42=VLOOKUP(AJ42,$AN$2:$AX$11,9,0)),$AK$1:AK42)&lt;16,VLOOKUP(AJ42,$AN$2:$AX$11,9,0),IF(LOOKUP(2,1/($AD$1:AD42=VLOOKUP(AJ42,$AN$2:$AX$11,10,0)),$AK$1:AK42)&lt;16,VLOOKUP(AJ42,$AN$2:$AX$11,10,0),VLOOKUP(AJ42,$AN$2:$AX$11,11,0)))))))))),VLOOKUP(AJ42,$AN$2:$AX$11,2,0))</f>
        <v>Team 9</v>
      </c>
      <c r="AK43">
        <f>COUNTIF($AD$1:AD43,AD43)</f>
        <v>0</v>
      </c>
      <c r="AL43">
        <f>COUNTIF($AK$1:AK43,"16")</f>
        <v>0</v>
      </c>
      <c r="AZ43" s="32">
        <f t="shared" si="17"/>
        <v>200</v>
      </c>
      <c r="BA43" s="33">
        <f t="shared" si="18"/>
        <v>200</v>
      </c>
      <c r="BB43" s="33">
        <f t="shared" si="19"/>
        <v>200</v>
      </c>
      <c r="BC43" s="33">
        <f t="shared" si="20"/>
        <v>200</v>
      </c>
      <c r="BD43" s="33">
        <f t="shared" si="21"/>
        <v>200</v>
      </c>
      <c r="BE43" s="33">
        <f t="shared" si="22"/>
        <v>200</v>
      </c>
      <c r="BF43" s="33">
        <f t="shared" si="23"/>
        <v>200</v>
      </c>
      <c r="BG43" s="33">
        <f t="shared" si="24"/>
        <v>200</v>
      </c>
      <c r="BH43" s="33">
        <f t="shared" si="25"/>
        <v>200</v>
      </c>
      <c r="BI43" s="34">
        <f t="shared" si="26"/>
        <v>200</v>
      </c>
    </row>
    <row r="44" spans="1:61" x14ac:dyDescent="0.25">
      <c r="E44" s="225">
        <f t="array" ref="E44">LARGE(IF(Players!D:D="RB",Players!F:F,""),($B$1*$Q$3)+ROW()-38)</f>
        <v>167.91661456875701</v>
      </c>
      <c r="F44" s="28">
        <f t="shared" si="16"/>
        <v>16</v>
      </c>
      <c r="AB44" s="14" t="str">
        <f>AD44&amp;COUNTIF($AD$2:AD44,AD44)</f>
        <v>0</v>
      </c>
      <c r="AC44" s="136"/>
      <c r="AD44" s="136"/>
      <c r="AE44" s="135"/>
      <c r="AF44" s="23" t="str">
        <f>IFERROR(VLOOKUP(AC44,Players!$B:$F,3,0),"")</f>
        <v/>
      </c>
      <c r="AG44" s="23" t="str">
        <f>IFERROR(VLOOKUP(AC44,Players!$B:$F,2,0),"")</f>
        <v/>
      </c>
      <c r="AH44" s="23" t="str">
        <f>IFERROR(VLOOKUP(AC44,Players!$B:$N,5,0),"")</f>
        <v/>
      </c>
      <c r="AI44" s="23">
        <v>43</v>
      </c>
      <c r="AJ44" s="28" t="str">
        <f>IFERROR(IF(LOOKUP(2,1/($AD$1:AD43=VLOOKUP(AJ43,$AN$2:$AX$11,2,0)),$AK$1:AK43)&lt;16,VLOOKUP(AJ43,$AN$2:$AX$11,2,0),IF(LOOKUP(2,1/($AD$1:AD43=VLOOKUP(AJ43,$AN$2:$AX$11,3,0)),$AK$1:AK43)&lt;16,VLOOKUP(AJ43,$AN$2:$AX$11,3,0),IF(LOOKUP(2,1/($AD$1:AD43=VLOOKUP(AJ43,$AN$2:$AX$11,4,0)),$AK$1:AK43)&lt;16,VLOOKUP(AJ43,$AN$2:$AX$11,4,0),IF(LOOKUP(2,1/($AD$1:AD43=VLOOKUP(AJ43,$AN$2:$AX$11,5,0)),$AK$1:AK43)&lt;16,VLOOKUP(AJ43,$AN$2:$AX$11,5,0),IF(LOOKUP(2,1/($AD$1:AD43=VLOOKUP(AJ43,$AN$2:$AX$11,6,0)),$AK$1:AK43)&lt;16,VLOOKUP(AJ43,$AN$2:$AX$11,6,0),IF(LOOKUP(2,1/($AD$1:AD43=VLOOKUP(AJ43,$AN$2:$AX$11,7,0)),$AK$1:AK43)&lt;16,VLOOKUP(AJ43,$AN$2:$AX$11,7,0),IF(LOOKUP(2,1/($AD$1:AD43=VLOOKUP(AJ43,$AN$2:$AX$11,8,0)),$AK$1:AK43)&lt;16,VLOOKUP(AJ43,$AN$2:$AX$11,8,0),IF(LOOKUP(2,1/($AD$1:AD43=VLOOKUP(AJ43,$AN$2:$AX$11,9,0)),$AK$1:AK43)&lt;16,VLOOKUP(AJ43,$AN$2:$AX$11,9,0),IF(LOOKUP(2,1/($AD$1:AD43=VLOOKUP(AJ43,$AN$2:$AX$11,10,0)),$AK$1:AK43)&lt;16,VLOOKUP(AJ43,$AN$2:$AX$11,10,0),VLOOKUP(AJ43,$AN$2:$AX$11,11,0)))))))))),VLOOKUP(AJ43,$AN$2:$AX$11,2,0))</f>
        <v>Team 3</v>
      </c>
      <c r="AK44">
        <f>COUNTIF($AD$1:AD44,AD44)</f>
        <v>0</v>
      </c>
      <c r="AL44">
        <f>COUNTIF($AK$1:AK44,"16")</f>
        <v>0</v>
      </c>
      <c r="AZ44" s="32">
        <f t="shared" si="17"/>
        <v>200</v>
      </c>
      <c r="BA44" s="33">
        <f t="shared" si="18"/>
        <v>200</v>
      </c>
      <c r="BB44" s="33">
        <f t="shared" si="19"/>
        <v>200</v>
      </c>
      <c r="BC44" s="33">
        <f t="shared" si="20"/>
        <v>200</v>
      </c>
      <c r="BD44" s="33">
        <f t="shared" si="21"/>
        <v>200</v>
      </c>
      <c r="BE44" s="33">
        <f t="shared" si="22"/>
        <v>200</v>
      </c>
      <c r="BF44" s="33">
        <f t="shared" si="23"/>
        <v>200</v>
      </c>
      <c r="BG44" s="33">
        <f t="shared" si="24"/>
        <v>200</v>
      </c>
      <c r="BH44" s="33">
        <f t="shared" si="25"/>
        <v>200</v>
      </c>
      <c r="BI44" s="34">
        <f t="shared" si="26"/>
        <v>200</v>
      </c>
    </row>
    <row r="45" spans="1:61" x14ac:dyDescent="0.25">
      <c r="E45" s="225">
        <f t="array" ref="E45">LARGE(IF(Players!D:D="RB",Players!F:F,""),($B$1*$Q$3)+ROW()-38)</f>
        <v>167.412285321209</v>
      </c>
      <c r="F45" s="28">
        <f t="shared" si="16"/>
        <v>17</v>
      </c>
      <c r="AB45" s="14" t="str">
        <f>AD45&amp;COUNTIF($AD$2:AD45,AD45)</f>
        <v>0</v>
      </c>
      <c r="AC45" s="136"/>
      <c r="AD45" s="136"/>
      <c r="AE45" s="135"/>
      <c r="AF45" s="23" t="str">
        <f>IFERROR(VLOOKUP(AC45,Players!$B:$F,3,0),"")</f>
        <v/>
      </c>
      <c r="AG45" s="23" t="str">
        <f>IFERROR(VLOOKUP(AC45,Players!$B:$F,2,0),"")</f>
        <v/>
      </c>
      <c r="AH45" s="23" t="str">
        <f>IFERROR(VLOOKUP(AC45,Players!$B:$N,5,0),"")</f>
        <v/>
      </c>
      <c r="AI45" s="23">
        <v>44</v>
      </c>
      <c r="AJ45" s="28" t="str">
        <f>IFERROR(IF(LOOKUP(2,1/($AD$1:AD44=VLOOKUP(AJ44,$AN$2:$AX$11,2,0)),$AK$1:AK44)&lt;16,VLOOKUP(AJ44,$AN$2:$AX$11,2,0),IF(LOOKUP(2,1/($AD$1:AD44=VLOOKUP(AJ44,$AN$2:$AX$11,3,0)),$AK$1:AK44)&lt;16,VLOOKUP(AJ44,$AN$2:$AX$11,3,0),IF(LOOKUP(2,1/($AD$1:AD44=VLOOKUP(AJ44,$AN$2:$AX$11,4,0)),$AK$1:AK44)&lt;16,VLOOKUP(AJ44,$AN$2:$AX$11,4,0),IF(LOOKUP(2,1/($AD$1:AD44=VLOOKUP(AJ44,$AN$2:$AX$11,5,0)),$AK$1:AK44)&lt;16,VLOOKUP(AJ44,$AN$2:$AX$11,5,0),IF(LOOKUP(2,1/($AD$1:AD44=VLOOKUP(AJ44,$AN$2:$AX$11,6,0)),$AK$1:AK44)&lt;16,VLOOKUP(AJ44,$AN$2:$AX$11,6,0),IF(LOOKUP(2,1/($AD$1:AD44=VLOOKUP(AJ44,$AN$2:$AX$11,7,0)),$AK$1:AK44)&lt;16,VLOOKUP(AJ44,$AN$2:$AX$11,7,0),IF(LOOKUP(2,1/($AD$1:AD44=VLOOKUP(AJ44,$AN$2:$AX$11,8,0)),$AK$1:AK44)&lt;16,VLOOKUP(AJ44,$AN$2:$AX$11,8,0),IF(LOOKUP(2,1/($AD$1:AD44=VLOOKUP(AJ44,$AN$2:$AX$11,9,0)),$AK$1:AK44)&lt;16,VLOOKUP(AJ44,$AN$2:$AX$11,9,0),IF(LOOKUP(2,1/($AD$1:AD44=VLOOKUP(AJ44,$AN$2:$AX$11,10,0)),$AK$1:AK44)&lt;16,VLOOKUP(AJ44,$AN$2:$AX$11,10,0),VLOOKUP(AJ44,$AN$2:$AX$11,11,0)))))))))),VLOOKUP(AJ44,$AN$2:$AX$11,2,0))</f>
        <v>Team 6</v>
      </c>
      <c r="AK45">
        <f>COUNTIF($AD$1:AD45,AD45)</f>
        <v>0</v>
      </c>
      <c r="AL45">
        <f>COUNTIF($AK$1:AK45,"16")</f>
        <v>0</v>
      </c>
      <c r="AZ45" s="32">
        <f t="shared" si="17"/>
        <v>200</v>
      </c>
      <c r="BA45" s="33">
        <f t="shared" si="18"/>
        <v>200</v>
      </c>
      <c r="BB45" s="33">
        <f t="shared" si="19"/>
        <v>200</v>
      </c>
      <c r="BC45" s="33">
        <f t="shared" si="20"/>
        <v>200</v>
      </c>
      <c r="BD45" s="33">
        <f t="shared" si="21"/>
        <v>200</v>
      </c>
      <c r="BE45" s="33">
        <f t="shared" si="22"/>
        <v>200</v>
      </c>
      <c r="BF45" s="33">
        <f t="shared" si="23"/>
        <v>200</v>
      </c>
      <c r="BG45" s="33">
        <f t="shared" si="24"/>
        <v>200</v>
      </c>
      <c r="BH45" s="33">
        <f t="shared" si="25"/>
        <v>200</v>
      </c>
      <c r="BI45" s="34">
        <f t="shared" si="26"/>
        <v>200</v>
      </c>
    </row>
    <row r="46" spans="1:61" x14ac:dyDescent="0.25">
      <c r="E46" s="225">
        <f t="array" ref="E46">LARGE(IF(Players!D:D="RB",Players!F:F,""),($B$1*$Q$3)+ROW()-38)</f>
        <v>165.93435377323601</v>
      </c>
      <c r="F46" s="28">
        <f t="shared" si="16"/>
        <v>18</v>
      </c>
      <c r="AB46" s="14" t="str">
        <f>AD46&amp;COUNTIF($AD$2:AD46,AD46)</f>
        <v>0</v>
      </c>
      <c r="AC46" s="136"/>
      <c r="AD46" s="136"/>
      <c r="AE46" s="135"/>
      <c r="AF46" s="23" t="str">
        <f>IFERROR(VLOOKUP(AC46,Players!$B:$F,3,0),"")</f>
        <v/>
      </c>
      <c r="AG46" s="23" t="str">
        <f>IFERROR(VLOOKUP(AC46,Players!$B:$F,2,0),"")</f>
        <v/>
      </c>
      <c r="AH46" s="23" t="str">
        <f>IFERROR(VLOOKUP(AC46,Players!$B:$N,5,0),"")</f>
        <v/>
      </c>
      <c r="AI46" s="23">
        <v>45</v>
      </c>
      <c r="AJ46" s="28" t="str">
        <f>IFERROR(IF(LOOKUP(2,1/($AD$1:AD45=VLOOKUP(AJ45,$AN$2:$AX$11,2,0)),$AK$1:AK45)&lt;16,VLOOKUP(AJ45,$AN$2:$AX$11,2,0),IF(LOOKUP(2,1/($AD$1:AD45=VLOOKUP(AJ45,$AN$2:$AX$11,3,0)),$AK$1:AK45)&lt;16,VLOOKUP(AJ45,$AN$2:$AX$11,3,0),IF(LOOKUP(2,1/($AD$1:AD45=VLOOKUP(AJ45,$AN$2:$AX$11,4,0)),$AK$1:AK45)&lt;16,VLOOKUP(AJ45,$AN$2:$AX$11,4,0),IF(LOOKUP(2,1/($AD$1:AD45=VLOOKUP(AJ45,$AN$2:$AX$11,5,0)),$AK$1:AK45)&lt;16,VLOOKUP(AJ45,$AN$2:$AX$11,5,0),IF(LOOKUP(2,1/($AD$1:AD45=VLOOKUP(AJ45,$AN$2:$AX$11,6,0)),$AK$1:AK45)&lt;16,VLOOKUP(AJ45,$AN$2:$AX$11,6,0),IF(LOOKUP(2,1/($AD$1:AD45=VLOOKUP(AJ45,$AN$2:$AX$11,7,0)),$AK$1:AK45)&lt;16,VLOOKUP(AJ45,$AN$2:$AX$11,7,0),IF(LOOKUP(2,1/($AD$1:AD45=VLOOKUP(AJ45,$AN$2:$AX$11,8,0)),$AK$1:AK45)&lt;16,VLOOKUP(AJ45,$AN$2:$AX$11,8,0),IF(LOOKUP(2,1/($AD$1:AD45=VLOOKUP(AJ45,$AN$2:$AX$11,9,0)),$AK$1:AK45)&lt;16,VLOOKUP(AJ45,$AN$2:$AX$11,9,0),IF(LOOKUP(2,1/($AD$1:AD45=VLOOKUP(AJ45,$AN$2:$AX$11,10,0)),$AK$1:AK45)&lt;16,VLOOKUP(AJ45,$AN$2:$AX$11,10,0),VLOOKUP(AJ45,$AN$2:$AX$11,11,0)))))))))),VLOOKUP(AJ45,$AN$2:$AX$11,2,0))</f>
        <v>Team 7</v>
      </c>
      <c r="AK46">
        <f>COUNTIF($AD$1:AD46,AD46)</f>
        <v>0</v>
      </c>
      <c r="AL46">
        <f>COUNTIF($AK$1:AK46,"16")</f>
        <v>0</v>
      </c>
      <c r="AZ46" s="32">
        <f t="shared" si="17"/>
        <v>200</v>
      </c>
      <c r="BA46" s="33">
        <f t="shared" si="18"/>
        <v>200</v>
      </c>
      <c r="BB46" s="33">
        <f t="shared" si="19"/>
        <v>200</v>
      </c>
      <c r="BC46" s="33">
        <f t="shared" si="20"/>
        <v>200</v>
      </c>
      <c r="BD46" s="33">
        <f t="shared" si="21"/>
        <v>200</v>
      </c>
      <c r="BE46" s="33">
        <f t="shared" si="22"/>
        <v>200</v>
      </c>
      <c r="BF46" s="33">
        <f t="shared" si="23"/>
        <v>200</v>
      </c>
      <c r="BG46" s="33">
        <f t="shared" si="24"/>
        <v>200</v>
      </c>
      <c r="BH46" s="33">
        <f t="shared" si="25"/>
        <v>200</v>
      </c>
      <c r="BI46" s="34">
        <f t="shared" si="26"/>
        <v>200</v>
      </c>
    </row>
    <row r="47" spans="1:61" x14ac:dyDescent="0.25">
      <c r="E47" s="225">
        <f t="array" ref="E47">LARGE(IF(Players!D:D="RB",Players!F:F,""),($B$1*$Q$3)+ROW()-38)</f>
        <v>164.24236747692001</v>
      </c>
      <c r="F47" s="28">
        <f t="shared" si="16"/>
        <v>19</v>
      </c>
      <c r="AB47" s="14" t="str">
        <f>AD47&amp;COUNTIF($AD$2:AD47,AD47)</f>
        <v>0</v>
      </c>
      <c r="AC47" s="136"/>
      <c r="AD47" s="136"/>
      <c r="AE47" s="135"/>
      <c r="AF47" s="23" t="str">
        <f>IFERROR(VLOOKUP(AC47,Players!$B:$F,3,0),"")</f>
        <v/>
      </c>
      <c r="AG47" s="23" t="str">
        <f>IFERROR(VLOOKUP(AC47,Players!$B:$F,2,0),"")</f>
        <v/>
      </c>
      <c r="AH47" s="23" t="str">
        <f>IFERROR(VLOOKUP(AC47,Players!$B:$N,5,0),"")</f>
        <v/>
      </c>
      <c r="AI47" s="23">
        <v>46</v>
      </c>
      <c r="AJ47" s="28" t="str">
        <f>IFERROR(IF(LOOKUP(2,1/($AD$1:AD46=VLOOKUP(AJ46,$AN$2:$AX$11,2,0)),$AK$1:AK46)&lt;16,VLOOKUP(AJ46,$AN$2:$AX$11,2,0),IF(LOOKUP(2,1/($AD$1:AD46=VLOOKUP(AJ46,$AN$2:$AX$11,3,0)),$AK$1:AK46)&lt;16,VLOOKUP(AJ46,$AN$2:$AX$11,3,0),IF(LOOKUP(2,1/($AD$1:AD46=VLOOKUP(AJ46,$AN$2:$AX$11,4,0)),$AK$1:AK46)&lt;16,VLOOKUP(AJ46,$AN$2:$AX$11,4,0),IF(LOOKUP(2,1/($AD$1:AD46=VLOOKUP(AJ46,$AN$2:$AX$11,5,0)),$AK$1:AK46)&lt;16,VLOOKUP(AJ46,$AN$2:$AX$11,5,0),IF(LOOKUP(2,1/($AD$1:AD46=VLOOKUP(AJ46,$AN$2:$AX$11,6,0)),$AK$1:AK46)&lt;16,VLOOKUP(AJ46,$AN$2:$AX$11,6,0),IF(LOOKUP(2,1/($AD$1:AD46=VLOOKUP(AJ46,$AN$2:$AX$11,7,0)),$AK$1:AK46)&lt;16,VLOOKUP(AJ46,$AN$2:$AX$11,7,0),IF(LOOKUP(2,1/($AD$1:AD46=VLOOKUP(AJ46,$AN$2:$AX$11,8,0)),$AK$1:AK46)&lt;16,VLOOKUP(AJ46,$AN$2:$AX$11,8,0),IF(LOOKUP(2,1/($AD$1:AD46=VLOOKUP(AJ46,$AN$2:$AX$11,9,0)),$AK$1:AK46)&lt;16,VLOOKUP(AJ46,$AN$2:$AX$11,9,0),IF(LOOKUP(2,1/($AD$1:AD46=VLOOKUP(AJ46,$AN$2:$AX$11,10,0)),$AK$1:AK46)&lt;16,VLOOKUP(AJ46,$AN$2:$AX$11,10,0),VLOOKUP(AJ46,$AN$2:$AX$11,11,0)))))))))),VLOOKUP(AJ46,$AN$2:$AX$11,2,0))</f>
        <v>Team 8</v>
      </c>
      <c r="AK47">
        <f>COUNTIF($AD$1:AD47,AD47)</f>
        <v>0</v>
      </c>
      <c r="AL47">
        <f>COUNTIF($AK$1:AK47,"16")</f>
        <v>0</v>
      </c>
      <c r="AZ47" s="32">
        <f t="shared" si="17"/>
        <v>200</v>
      </c>
      <c r="BA47" s="33">
        <f t="shared" si="18"/>
        <v>200</v>
      </c>
      <c r="BB47" s="33">
        <f t="shared" si="19"/>
        <v>200</v>
      </c>
      <c r="BC47" s="33">
        <f t="shared" si="20"/>
        <v>200</v>
      </c>
      <c r="BD47" s="33">
        <f t="shared" si="21"/>
        <v>200</v>
      </c>
      <c r="BE47" s="33">
        <f t="shared" si="22"/>
        <v>200</v>
      </c>
      <c r="BF47" s="33">
        <f t="shared" si="23"/>
        <v>200</v>
      </c>
      <c r="BG47" s="33">
        <f t="shared" si="24"/>
        <v>200</v>
      </c>
      <c r="BH47" s="33">
        <f t="shared" si="25"/>
        <v>200</v>
      </c>
      <c r="BI47" s="34">
        <f t="shared" si="26"/>
        <v>200</v>
      </c>
    </row>
    <row r="48" spans="1:61" ht="15.75" thickBot="1" x14ac:dyDescent="0.3">
      <c r="E48" s="226">
        <f t="array" ref="E48">LARGE(IF(Players!D:D="RB",Players!F:F,""),($B$1*$Q$3)+ROW()-38)</f>
        <v>162.10222066917299</v>
      </c>
      <c r="F48" s="31">
        <f t="shared" si="16"/>
        <v>20</v>
      </c>
      <c r="AB48" s="14" t="str">
        <f>AD48&amp;COUNTIF($AD$2:AD48,AD48)</f>
        <v>0</v>
      </c>
      <c r="AC48" s="136"/>
      <c r="AD48" s="136"/>
      <c r="AE48" s="135"/>
      <c r="AF48" s="23" t="str">
        <f>IFERROR(VLOOKUP(AC48,Players!$B:$F,3,0),"")</f>
        <v/>
      </c>
      <c r="AG48" s="23" t="str">
        <f>IFERROR(VLOOKUP(AC48,Players!$B:$F,2,0),"")</f>
        <v/>
      </c>
      <c r="AH48" s="23" t="str">
        <f>IFERROR(VLOOKUP(AC48,Players!$B:$N,5,0),"")</f>
        <v/>
      </c>
      <c r="AI48" s="23">
        <v>47</v>
      </c>
      <c r="AJ48" s="28" t="str">
        <f>IFERROR(IF(LOOKUP(2,1/($AD$1:AD47=VLOOKUP(AJ47,$AN$2:$AX$11,2,0)),$AK$1:AK47)&lt;16,VLOOKUP(AJ47,$AN$2:$AX$11,2,0),IF(LOOKUP(2,1/($AD$1:AD47=VLOOKUP(AJ47,$AN$2:$AX$11,3,0)),$AK$1:AK47)&lt;16,VLOOKUP(AJ47,$AN$2:$AX$11,3,0),IF(LOOKUP(2,1/($AD$1:AD47=VLOOKUP(AJ47,$AN$2:$AX$11,4,0)),$AK$1:AK47)&lt;16,VLOOKUP(AJ47,$AN$2:$AX$11,4,0),IF(LOOKUP(2,1/($AD$1:AD47=VLOOKUP(AJ47,$AN$2:$AX$11,5,0)),$AK$1:AK47)&lt;16,VLOOKUP(AJ47,$AN$2:$AX$11,5,0),IF(LOOKUP(2,1/($AD$1:AD47=VLOOKUP(AJ47,$AN$2:$AX$11,6,0)),$AK$1:AK47)&lt;16,VLOOKUP(AJ47,$AN$2:$AX$11,6,0),IF(LOOKUP(2,1/($AD$1:AD47=VLOOKUP(AJ47,$AN$2:$AX$11,7,0)),$AK$1:AK47)&lt;16,VLOOKUP(AJ47,$AN$2:$AX$11,7,0),IF(LOOKUP(2,1/($AD$1:AD47=VLOOKUP(AJ47,$AN$2:$AX$11,8,0)),$AK$1:AK47)&lt;16,VLOOKUP(AJ47,$AN$2:$AX$11,8,0),IF(LOOKUP(2,1/($AD$1:AD47=VLOOKUP(AJ47,$AN$2:$AX$11,9,0)),$AK$1:AK47)&lt;16,VLOOKUP(AJ47,$AN$2:$AX$11,9,0),IF(LOOKUP(2,1/($AD$1:AD47=VLOOKUP(AJ47,$AN$2:$AX$11,10,0)),$AK$1:AK47)&lt;16,VLOOKUP(AJ47,$AN$2:$AX$11,10,0),VLOOKUP(AJ47,$AN$2:$AX$11,11,0)))))))))),VLOOKUP(AJ47,$AN$2:$AX$11,2,0))</f>
        <v>Team Se</v>
      </c>
      <c r="AK48">
        <f>COUNTIF($AD$1:AD48,AD48)</f>
        <v>0</v>
      </c>
      <c r="AL48">
        <f>COUNTIF($AK$1:AK48,"16")</f>
        <v>0</v>
      </c>
      <c r="AZ48" s="32">
        <f t="shared" si="17"/>
        <v>200</v>
      </c>
      <c r="BA48" s="33">
        <f t="shared" si="18"/>
        <v>200</v>
      </c>
      <c r="BB48" s="33">
        <f t="shared" si="19"/>
        <v>200</v>
      </c>
      <c r="BC48" s="33">
        <f t="shared" si="20"/>
        <v>200</v>
      </c>
      <c r="BD48" s="33">
        <f t="shared" si="21"/>
        <v>200</v>
      </c>
      <c r="BE48" s="33">
        <f t="shared" si="22"/>
        <v>200</v>
      </c>
      <c r="BF48" s="33">
        <f t="shared" si="23"/>
        <v>200</v>
      </c>
      <c r="BG48" s="33">
        <f t="shared" si="24"/>
        <v>200</v>
      </c>
      <c r="BH48" s="33">
        <f t="shared" si="25"/>
        <v>200</v>
      </c>
      <c r="BI48" s="34">
        <f t="shared" si="26"/>
        <v>200</v>
      </c>
    </row>
    <row r="49" spans="5:61" x14ac:dyDescent="0.25">
      <c r="E49" s="224">
        <f t="array" ref="E49">LARGE(IF(Players!D:D="TE",Players!F:F,""),($B$1*$Q$5)+ROW()-48)</f>
        <v>151.144096388387</v>
      </c>
      <c r="F49" s="26">
        <f t="shared" si="16"/>
        <v>21</v>
      </c>
      <c r="AB49" s="14" t="str">
        <f>AD49&amp;COUNTIF($AD$2:AD49,AD49)</f>
        <v>0</v>
      </c>
      <c r="AC49" s="136"/>
      <c r="AD49" s="136"/>
      <c r="AE49" s="135"/>
      <c r="AF49" s="23" t="str">
        <f>IFERROR(VLOOKUP(AC49,Players!$B:$F,3,0),"")</f>
        <v/>
      </c>
      <c r="AG49" s="23" t="str">
        <f>IFERROR(VLOOKUP(AC49,Players!$B:$F,2,0),"")</f>
        <v/>
      </c>
      <c r="AH49" s="23" t="str">
        <f>IFERROR(VLOOKUP(AC49,Players!$B:$N,5,0),"")</f>
        <v/>
      </c>
      <c r="AI49" s="23">
        <v>48</v>
      </c>
      <c r="AJ49" s="28" t="str">
        <f>IFERROR(IF(LOOKUP(2,1/($AD$1:AD48=VLOOKUP(AJ48,$AN$2:$AX$11,2,0)),$AK$1:AK48)&lt;16,VLOOKUP(AJ48,$AN$2:$AX$11,2,0),IF(LOOKUP(2,1/($AD$1:AD48=VLOOKUP(AJ48,$AN$2:$AX$11,3,0)),$AK$1:AK48)&lt;16,VLOOKUP(AJ48,$AN$2:$AX$11,3,0),IF(LOOKUP(2,1/($AD$1:AD48=VLOOKUP(AJ48,$AN$2:$AX$11,4,0)),$AK$1:AK48)&lt;16,VLOOKUP(AJ48,$AN$2:$AX$11,4,0),IF(LOOKUP(2,1/($AD$1:AD48=VLOOKUP(AJ48,$AN$2:$AX$11,5,0)),$AK$1:AK48)&lt;16,VLOOKUP(AJ48,$AN$2:$AX$11,5,0),IF(LOOKUP(2,1/($AD$1:AD48=VLOOKUP(AJ48,$AN$2:$AX$11,6,0)),$AK$1:AK48)&lt;16,VLOOKUP(AJ48,$AN$2:$AX$11,6,0),IF(LOOKUP(2,1/($AD$1:AD48=VLOOKUP(AJ48,$AN$2:$AX$11,7,0)),$AK$1:AK48)&lt;16,VLOOKUP(AJ48,$AN$2:$AX$11,7,0),IF(LOOKUP(2,1/($AD$1:AD48=VLOOKUP(AJ48,$AN$2:$AX$11,8,0)),$AK$1:AK48)&lt;16,VLOOKUP(AJ48,$AN$2:$AX$11,8,0),IF(LOOKUP(2,1/($AD$1:AD48=VLOOKUP(AJ48,$AN$2:$AX$11,9,0)),$AK$1:AK48)&lt;16,VLOOKUP(AJ48,$AN$2:$AX$11,9,0),IF(LOOKUP(2,1/($AD$1:AD48=VLOOKUP(AJ48,$AN$2:$AX$11,10,0)),$AK$1:AK48)&lt;16,VLOOKUP(AJ48,$AN$2:$AX$11,10,0),VLOOKUP(AJ48,$AN$2:$AX$11,11,0)))))))))),VLOOKUP(AJ48,$AN$2:$AX$11,2,0))</f>
        <v>Team 10</v>
      </c>
      <c r="AK49">
        <f>COUNTIF($AD$1:AD49,AD49)</f>
        <v>0</v>
      </c>
      <c r="AL49">
        <f>COUNTIF($AK$1:AK49,"16")</f>
        <v>0</v>
      </c>
      <c r="AZ49" s="32">
        <f t="shared" si="17"/>
        <v>200</v>
      </c>
      <c r="BA49" s="33">
        <f t="shared" si="18"/>
        <v>200</v>
      </c>
      <c r="BB49" s="33">
        <f t="shared" si="19"/>
        <v>200</v>
      </c>
      <c r="BC49" s="33">
        <f t="shared" si="20"/>
        <v>200</v>
      </c>
      <c r="BD49" s="33">
        <f t="shared" si="21"/>
        <v>200</v>
      </c>
      <c r="BE49" s="33">
        <f t="shared" si="22"/>
        <v>200</v>
      </c>
      <c r="BF49" s="33">
        <f t="shared" si="23"/>
        <v>200</v>
      </c>
      <c r="BG49" s="33">
        <f t="shared" si="24"/>
        <v>200</v>
      </c>
      <c r="BH49" s="33">
        <f t="shared" si="25"/>
        <v>200</v>
      </c>
      <c r="BI49" s="34">
        <f t="shared" si="26"/>
        <v>200</v>
      </c>
    </row>
    <row r="50" spans="5:61" x14ac:dyDescent="0.25">
      <c r="E50" s="225">
        <f t="array" ref="E50">LARGE(IF(Players!D:D="TE",Players!F:F,""),($B$1*$Q$5)+ROW()-48)</f>
        <v>150.286487584198</v>
      </c>
      <c r="F50" s="28">
        <f t="shared" si="16"/>
        <v>22</v>
      </c>
      <c r="AB50" s="14" t="str">
        <f>AD50&amp;COUNTIF($AD$2:AD50,AD50)</f>
        <v>0</v>
      </c>
      <c r="AC50" s="136"/>
      <c r="AD50" s="136"/>
      <c r="AE50" s="135"/>
      <c r="AF50" s="23" t="str">
        <f>IFERROR(VLOOKUP(AC50,Players!$B:$F,3,0),"")</f>
        <v/>
      </c>
      <c r="AG50" s="23" t="str">
        <f>IFERROR(VLOOKUP(AC50,Players!$B:$F,2,0),"")</f>
        <v/>
      </c>
      <c r="AH50" s="23" t="str">
        <f>IFERROR(VLOOKUP(AC50,Players!$B:$N,5,0),"")</f>
        <v/>
      </c>
      <c r="AI50" s="23">
        <v>49</v>
      </c>
      <c r="AJ50" s="28" t="str">
        <f>IFERROR(IF(LOOKUP(2,1/($AD$1:AD49=VLOOKUP(AJ49,$AN$2:$AX$11,2,0)),$AK$1:AK49)&lt;16,VLOOKUP(AJ49,$AN$2:$AX$11,2,0),IF(LOOKUP(2,1/($AD$1:AD49=VLOOKUP(AJ49,$AN$2:$AX$11,3,0)),$AK$1:AK49)&lt;16,VLOOKUP(AJ49,$AN$2:$AX$11,3,0),IF(LOOKUP(2,1/($AD$1:AD49=VLOOKUP(AJ49,$AN$2:$AX$11,4,0)),$AK$1:AK49)&lt;16,VLOOKUP(AJ49,$AN$2:$AX$11,4,0),IF(LOOKUP(2,1/($AD$1:AD49=VLOOKUP(AJ49,$AN$2:$AX$11,5,0)),$AK$1:AK49)&lt;16,VLOOKUP(AJ49,$AN$2:$AX$11,5,0),IF(LOOKUP(2,1/($AD$1:AD49=VLOOKUP(AJ49,$AN$2:$AX$11,6,0)),$AK$1:AK49)&lt;16,VLOOKUP(AJ49,$AN$2:$AX$11,6,0),IF(LOOKUP(2,1/($AD$1:AD49=VLOOKUP(AJ49,$AN$2:$AX$11,7,0)),$AK$1:AK49)&lt;16,VLOOKUP(AJ49,$AN$2:$AX$11,7,0),IF(LOOKUP(2,1/($AD$1:AD49=VLOOKUP(AJ49,$AN$2:$AX$11,8,0)),$AK$1:AK49)&lt;16,VLOOKUP(AJ49,$AN$2:$AX$11,8,0),IF(LOOKUP(2,1/($AD$1:AD49=VLOOKUP(AJ49,$AN$2:$AX$11,9,0)),$AK$1:AK49)&lt;16,VLOOKUP(AJ49,$AN$2:$AX$11,9,0),IF(LOOKUP(2,1/($AD$1:AD49=VLOOKUP(AJ49,$AN$2:$AX$11,10,0)),$AK$1:AK49)&lt;16,VLOOKUP(AJ49,$AN$2:$AX$11,10,0),VLOOKUP(AJ49,$AN$2:$AX$11,11,0)))))))))),VLOOKUP(AJ49,$AN$2:$AX$11,2,0))</f>
        <v>Crouch</v>
      </c>
      <c r="AK50">
        <f>COUNTIF($AD$1:AD50,AD50)</f>
        <v>0</v>
      </c>
      <c r="AL50">
        <f>COUNTIF($AK$1:AK50,"16")</f>
        <v>0</v>
      </c>
      <c r="AZ50" s="32">
        <f t="shared" si="17"/>
        <v>200</v>
      </c>
      <c r="BA50" s="33">
        <f t="shared" si="18"/>
        <v>200</v>
      </c>
      <c r="BB50" s="33">
        <f t="shared" si="19"/>
        <v>200</v>
      </c>
      <c r="BC50" s="33">
        <f t="shared" si="20"/>
        <v>200</v>
      </c>
      <c r="BD50" s="33">
        <f t="shared" si="21"/>
        <v>200</v>
      </c>
      <c r="BE50" s="33">
        <f t="shared" si="22"/>
        <v>200</v>
      </c>
      <c r="BF50" s="33">
        <f t="shared" si="23"/>
        <v>200</v>
      </c>
      <c r="BG50" s="33">
        <f t="shared" si="24"/>
        <v>200</v>
      </c>
      <c r="BH50" s="33">
        <f t="shared" si="25"/>
        <v>200</v>
      </c>
      <c r="BI50" s="34">
        <f t="shared" si="26"/>
        <v>200</v>
      </c>
    </row>
    <row r="51" spans="5:61" x14ac:dyDescent="0.25">
      <c r="E51" s="225">
        <f t="array" ref="E51">LARGE(IF(Players!D:D="TE",Players!F:F,""),($B$1*$Q$5)+ROW()-48)</f>
        <v>149.836927768674</v>
      </c>
      <c r="F51" s="28">
        <f t="shared" si="16"/>
        <v>23</v>
      </c>
      <c r="AB51" s="14" t="str">
        <f>AD51&amp;COUNTIF($AD$2:AD51,AD51)</f>
        <v>0</v>
      </c>
      <c r="AC51" s="136"/>
      <c r="AD51" s="136"/>
      <c r="AE51" s="135"/>
      <c r="AF51" s="23" t="str">
        <f>IFERROR(VLOOKUP(AC51,Players!$B:$F,3,0),"")</f>
        <v/>
      </c>
      <c r="AG51" s="23" t="str">
        <f>IFERROR(VLOOKUP(AC51,Players!$B:$F,2,0),"")</f>
        <v/>
      </c>
      <c r="AH51" s="23" t="str">
        <f>IFERROR(VLOOKUP(AC51,Players!$B:$N,5,0),"")</f>
        <v/>
      </c>
      <c r="AI51" s="23">
        <v>50</v>
      </c>
      <c r="AJ51" s="28" t="str">
        <f>IFERROR(IF(LOOKUP(2,1/($AD$1:AD50=VLOOKUP(AJ50,$AN$2:$AX$11,2,0)),$AK$1:AK50)&lt;16,VLOOKUP(AJ50,$AN$2:$AX$11,2,0),IF(LOOKUP(2,1/($AD$1:AD50=VLOOKUP(AJ50,$AN$2:$AX$11,3,0)),$AK$1:AK50)&lt;16,VLOOKUP(AJ50,$AN$2:$AX$11,3,0),IF(LOOKUP(2,1/($AD$1:AD50=VLOOKUP(AJ50,$AN$2:$AX$11,4,0)),$AK$1:AK50)&lt;16,VLOOKUP(AJ50,$AN$2:$AX$11,4,0),IF(LOOKUP(2,1/($AD$1:AD50=VLOOKUP(AJ50,$AN$2:$AX$11,5,0)),$AK$1:AK50)&lt;16,VLOOKUP(AJ50,$AN$2:$AX$11,5,0),IF(LOOKUP(2,1/($AD$1:AD50=VLOOKUP(AJ50,$AN$2:$AX$11,6,0)),$AK$1:AK50)&lt;16,VLOOKUP(AJ50,$AN$2:$AX$11,6,0),IF(LOOKUP(2,1/($AD$1:AD50=VLOOKUP(AJ50,$AN$2:$AX$11,7,0)),$AK$1:AK50)&lt;16,VLOOKUP(AJ50,$AN$2:$AX$11,7,0),IF(LOOKUP(2,1/($AD$1:AD50=VLOOKUP(AJ50,$AN$2:$AX$11,8,0)),$AK$1:AK50)&lt;16,VLOOKUP(AJ50,$AN$2:$AX$11,8,0),IF(LOOKUP(2,1/($AD$1:AD50=VLOOKUP(AJ50,$AN$2:$AX$11,9,0)),$AK$1:AK50)&lt;16,VLOOKUP(AJ50,$AN$2:$AX$11,9,0),IF(LOOKUP(2,1/($AD$1:AD50=VLOOKUP(AJ50,$AN$2:$AX$11,10,0)),$AK$1:AK50)&lt;16,VLOOKUP(AJ50,$AN$2:$AX$11,10,0),VLOOKUP(AJ50,$AN$2:$AX$11,11,0)))))))))),VLOOKUP(AJ50,$AN$2:$AX$11,2,0))</f>
        <v>Team 4</v>
      </c>
      <c r="AK51">
        <f>COUNTIF($AD$1:AD51,AD51)</f>
        <v>0</v>
      </c>
      <c r="AL51">
        <f>COUNTIF($AK$1:AK51,"16")</f>
        <v>0</v>
      </c>
      <c r="AZ51" s="32">
        <f t="shared" si="17"/>
        <v>200</v>
      </c>
      <c r="BA51" s="33">
        <f t="shared" si="18"/>
        <v>200</v>
      </c>
      <c r="BB51" s="33">
        <f t="shared" si="19"/>
        <v>200</v>
      </c>
      <c r="BC51" s="33">
        <f t="shared" si="20"/>
        <v>200</v>
      </c>
      <c r="BD51" s="33">
        <f t="shared" si="21"/>
        <v>200</v>
      </c>
      <c r="BE51" s="33">
        <f t="shared" si="22"/>
        <v>200</v>
      </c>
      <c r="BF51" s="33">
        <f t="shared" si="23"/>
        <v>200</v>
      </c>
      <c r="BG51" s="33">
        <f t="shared" si="24"/>
        <v>200</v>
      </c>
      <c r="BH51" s="33">
        <f t="shared" si="25"/>
        <v>200</v>
      </c>
      <c r="BI51" s="34">
        <f t="shared" si="26"/>
        <v>200</v>
      </c>
    </row>
    <row r="52" spans="5:61" x14ac:dyDescent="0.25">
      <c r="E52" s="225">
        <f t="array" ref="E52">LARGE(IF(Players!D:D="TE",Players!F:F,""),($B$1*$Q$5)+ROW()-48)</f>
        <v>145.09810571173401</v>
      </c>
      <c r="F52" s="28">
        <f t="shared" si="16"/>
        <v>24</v>
      </c>
      <c r="AB52" s="14" t="str">
        <f>AD52&amp;COUNTIF($AD$2:AD52,AD52)</f>
        <v>0</v>
      </c>
      <c r="AC52" s="136"/>
      <c r="AD52" s="136"/>
      <c r="AE52" s="135"/>
      <c r="AF52" s="23" t="str">
        <f>IFERROR(VLOOKUP(AC52,Players!$B:$F,3,0),"")</f>
        <v/>
      </c>
      <c r="AG52" s="23" t="str">
        <f>IFERROR(VLOOKUP(AC52,Players!$B:$F,2,0),"")</f>
        <v/>
      </c>
      <c r="AH52" s="23" t="str">
        <f>IFERROR(VLOOKUP(AC52,Players!$B:$N,5,0),"")</f>
        <v/>
      </c>
      <c r="AI52" s="23">
        <v>51</v>
      </c>
      <c r="AJ52" s="28" t="str">
        <f>IFERROR(IF(LOOKUP(2,1/($AD$1:AD51=VLOOKUP(AJ51,$AN$2:$AX$11,2,0)),$AK$1:AK51)&lt;16,VLOOKUP(AJ51,$AN$2:$AX$11,2,0),IF(LOOKUP(2,1/($AD$1:AD51=VLOOKUP(AJ51,$AN$2:$AX$11,3,0)),$AK$1:AK51)&lt;16,VLOOKUP(AJ51,$AN$2:$AX$11,3,0),IF(LOOKUP(2,1/($AD$1:AD51=VLOOKUP(AJ51,$AN$2:$AX$11,4,0)),$AK$1:AK51)&lt;16,VLOOKUP(AJ51,$AN$2:$AX$11,4,0),IF(LOOKUP(2,1/($AD$1:AD51=VLOOKUP(AJ51,$AN$2:$AX$11,5,0)),$AK$1:AK51)&lt;16,VLOOKUP(AJ51,$AN$2:$AX$11,5,0),IF(LOOKUP(2,1/($AD$1:AD51=VLOOKUP(AJ51,$AN$2:$AX$11,6,0)),$AK$1:AK51)&lt;16,VLOOKUP(AJ51,$AN$2:$AX$11,6,0),IF(LOOKUP(2,1/($AD$1:AD51=VLOOKUP(AJ51,$AN$2:$AX$11,7,0)),$AK$1:AK51)&lt;16,VLOOKUP(AJ51,$AN$2:$AX$11,7,0),IF(LOOKUP(2,1/($AD$1:AD51=VLOOKUP(AJ51,$AN$2:$AX$11,8,0)),$AK$1:AK51)&lt;16,VLOOKUP(AJ51,$AN$2:$AX$11,8,0),IF(LOOKUP(2,1/($AD$1:AD51=VLOOKUP(AJ51,$AN$2:$AX$11,9,0)),$AK$1:AK51)&lt;16,VLOOKUP(AJ51,$AN$2:$AX$11,9,0),IF(LOOKUP(2,1/($AD$1:AD51=VLOOKUP(AJ51,$AN$2:$AX$11,10,0)),$AK$1:AK51)&lt;16,VLOOKUP(AJ51,$AN$2:$AX$11,10,0),VLOOKUP(AJ51,$AN$2:$AX$11,11,0)))))))))),VLOOKUP(AJ51,$AN$2:$AX$11,2,0))</f>
        <v>Team 5</v>
      </c>
      <c r="AK52">
        <f>COUNTIF($AD$1:AD52,AD52)</f>
        <v>0</v>
      </c>
      <c r="AL52">
        <f>COUNTIF($AK$1:AK52,"16")</f>
        <v>0</v>
      </c>
      <c r="AZ52" s="32">
        <f t="shared" si="17"/>
        <v>200</v>
      </c>
      <c r="BA52" s="33">
        <f t="shared" si="18"/>
        <v>200</v>
      </c>
      <c r="BB52" s="33">
        <f t="shared" si="19"/>
        <v>200</v>
      </c>
      <c r="BC52" s="33">
        <f t="shared" si="20"/>
        <v>200</v>
      </c>
      <c r="BD52" s="33">
        <f t="shared" si="21"/>
        <v>200</v>
      </c>
      <c r="BE52" s="33">
        <f t="shared" si="22"/>
        <v>200</v>
      </c>
      <c r="BF52" s="33">
        <f t="shared" si="23"/>
        <v>200</v>
      </c>
      <c r="BG52" s="33">
        <f t="shared" si="24"/>
        <v>200</v>
      </c>
      <c r="BH52" s="33">
        <f t="shared" si="25"/>
        <v>200</v>
      </c>
      <c r="BI52" s="34">
        <f t="shared" si="26"/>
        <v>200</v>
      </c>
    </row>
    <row r="53" spans="5:61" x14ac:dyDescent="0.25">
      <c r="E53" s="225">
        <f t="array" ref="E53">LARGE(IF(Players!D:D="TE",Players!F:F,""),($B$1*$Q$5)+ROW()-48)</f>
        <v>134.87520940774399</v>
      </c>
      <c r="F53" s="28">
        <f t="shared" si="16"/>
        <v>25</v>
      </c>
      <c r="AB53" s="14" t="str">
        <f>AD53&amp;COUNTIF($AD$2:AD53,AD53)</f>
        <v>0</v>
      </c>
      <c r="AC53" s="136"/>
      <c r="AD53" s="136"/>
      <c r="AE53" s="135"/>
      <c r="AF53" s="23" t="str">
        <f>IFERROR(VLOOKUP(AC53,Players!$B:$F,3,0),"")</f>
        <v/>
      </c>
      <c r="AG53" s="23" t="str">
        <f>IFERROR(VLOOKUP(AC53,Players!$B:$F,2,0),"")</f>
        <v/>
      </c>
      <c r="AH53" s="23" t="str">
        <f>IFERROR(VLOOKUP(AC53,Players!$B:$N,5,0),"")</f>
        <v/>
      </c>
      <c r="AI53" s="23">
        <v>52</v>
      </c>
      <c r="AJ53" s="28" t="str">
        <f>IFERROR(IF(LOOKUP(2,1/($AD$1:AD52=VLOOKUP(AJ52,$AN$2:$AX$11,2,0)),$AK$1:AK52)&lt;16,VLOOKUP(AJ52,$AN$2:$AX$11,2,0),IF(LOOKUP(2,1/($AD$1:AD52=VLOOKUP(AJ52,$AN$2:$AX$11,3,0)),$AK$1:AK52)&lt;16,VLOOKUP(AJ52,$AN$2:$AX$11,3,0),IF(LOOKUP(2,1/($AD$1:AD52=VLOOKUP(AJ52,$AN$2:$AX$11,4,0)),$AK$1:AK52)&lt;16,VLOOKUP(AJ52,$AN$2:$AX$11,4,0),IF(LOOKUP(2,1/($AD$1:AD52=VLOOKUP(AJ52,$AN$2:$AX$11,5,0)),$AK$1:AK52)&lt;16,VLOOKUP(AJ52,$AN$2:$AX$11,5,0),IF(LOOKUP(2,1/($AD$1:AD52=VLOOKUP(AJ52,$AN$2:$AX$11,6,0)),$AK$1:AK52)&lt;16,VLOOKUP(AJ52,$AN$2:$AX$11,6,0),IF(LOOKUP(2,1/($AD$1:AD52=VLOOKUP(AJ52,$AN$2:$AX$11,7,0)),$AK$1:AK52)&lt;16,VLOOKUP(AJ52,$AN$2:$AX$11,7,0),IF(LOOKUP(2,1/($AD$1:AD52=VLOOKUP(AJ52,$AN$2:$AX$11,8,0)),$AK$1:AK52)&lt;16,VLOOKUP(AJ52,$AN$2:$AX$11,8,0),IF(LOOKUP(2,1/($AD$1:AD52=VLOOKUP(AJ52,$AN$2:$AX$11,9,0)),$AK$1:AK52)&lt;16,VLOOKUP(AJ52,$AN$2:$AX$11,9,0),IF(LOOKUP(2,1/($AD$1:AD52=VLOOKUP(AJ52,$AN$2:$AX$11,10,0)),$AK$1:AK52)&lt;16,VLOOKUP(AJ52,$AN$2:$AX$11,10,0),VLOOKUP(AJ52,$AN$2:$AX$11,11,0)))))))))),VLOOKUP(AJ52,$AN$2:$AX$11,2,0))</f>
        <v>Team 9</v>
      </c>
      <c r="AK53">
        <f>COUNTIF($AD$1:AD53,AD53)</f>
        <v>0</v>
      </c>
      <c r="AL53">
        <f>COUNTIF($AK$1:AK53,"16")</f>
        <v>0</v>
      </c>
      <c r="AZ53" s="32">
        <f t="shared" si="17"/>
        <v>200</v>
      </c>
      <c r="BA53" s="33">
        <f t="shared" si="18"/>
        <v>200</v>
      </c>
      <c r="BB53" s="33">
        <f t="shared" si="19"/>
        <v>200</v>
      </c>
      <c r="BC53" s="33">
        <f t="shared" si="20"/>
        <v>200</v>
      </c>
      <c r="BD53" s="33">
        <f t="shared" si="21"/>
        <v>200</v>
      </c>
      <c r="BE53" s="33">
        <f t="shared" si="22"/>
        <v>200</v>
      </c>
      <c r="BF53" s="33">
        <f t="shared" si="23"/>
        <v>200</v>
      </c>
      <c r="BG53" s="33">
        <f t="shared" si="24"/>
        <v>200</v>
      </c>
      <c r="BH53" s="33">
        <f t="shared" si="25"/>
        <v>200</v>
      </c>
      <c r="BI53" s="34">
        <f t="shared" si="26"/>
        <v>200</v>
      </c>
    </row>
    <row r="54" spans="5:61" x14ac:dyDescent="0.25">
      <c r="E54" s="225">
        <f t="array" ref="E54">LARGE(IF(Players!D:D="TE",Players!F:F,""),($B$1*$Q$5)+ROW()-48)</f>
        <v>134.78386650240699</v>
      </c>
      <c r="F54" s="28">
        <f t="shared" si="16"/>
        <v>26</v>
      </c>
      <c r="AB54" s="14" t="str">
        <f>AD54&amp;COUNTIF($AD$2:AD54,AD54)</f>
        <v>0</v>
      </c>
      <c r="AC54" s="136"/>
      <c r="AD54" s="136"/>
      <c r="AE54" s="135"/>
      <c r="AF54" s="23" t="str">
        <f>IFERROR(VLOOKUP(AC54,Players!$B:$F,3,0),"")</f>
        <v/>
      </c>
      <c r="AG54" s="23" t="str">
        <f>IFERROR(VLOOKUP(AC54,Players!$B:$F,2,0),"")</f>
        <v/>
      </c>
      <c r="AH54" s="23" t="str">
        <f>IFERROR(VLOOKUP(AC54,Players!$B:$N,5,0),"")</f>
        <v/>
      </c>
      <c r="AI54" s="23">
        <v>53</v>
      </c>
      <c r="AJ54" s="28" t="str">
        <f>IFERROR(IF(LOOKUP(2,1/($AD$1:AD53=VLOOKUP(AJ53,$AN$2:$AX$11,2,0)),$AK$1:AK53)&lt;16,VLOOKUP(AJ53,$AN$2:$AX$11,2,0),IF(LOOKUP(2,1/($AD$1:AD53=VLOOKUP(AJ53,$AN$2:$AX$11,3,0)),$AK$1:AK53)&lt;16,VLOOKUP(AJ53,$AN$2:$AX$11,3,0),IF(LOOKUP(2,1/($AD$1:AD53=VLOOKUP(AJ53,$AN$2:$AX$11,4,0)),$AK$1:AK53)&lt;16,VLOOKUP(AJ53,$AN$2:$AX$11,4,0),IF(LOOKUP(2,1/($AD$1:AD53=VLOOKUP(AJ53,$AN$2:$AX$11,5,0)),$AK$1:AK53)&lt;16,VLOOKUP(AJ53,$AN$2:$AX$11,5,0),IF(LOOKUP(2,1/($AD$1:AD53=VLOOKUP(AJ53,$AN$2:$AX$11,6,0)),$AK$1:AK53)&lt;16,VLOOKUP(AJ53,$AN$2:$AX$11,6,0),IF(LOOKUP(2,1/($AD$1:AD53=VLOOKUP(AJ53,$AN$2:$AX$11,7,0)),$AK$1:AK53)&lt;16,VLOOKUP(AJ53,$AN$2:$AX$11,7,0),IF(LOOKUP(2,1/($AD$1:AD53=VLOOKUP(AJ53,$AN$2:$AX$11,8,0)),$AK$1:AK53)&lt;16,VLOOKUP(AJ53,$AN$2:$AX$11,8,0),IF(LOOKUP(2,1/($AD$1:AD53=VLOOKUP(AJ53,$AN$2:$AX$11,9,0)),$AK$1:AK53)&lt;16,VLOOKUP(AJ53,$AN$2:$AX$11,9,0),IF(LOOKUP(2,1/($AD$1:AD53=VLOOKUP(AJ53,$AN$2:$AX$11,10,0)),$AK$1:AK53)&lt;16,VLOOKUP(AJ53,$AN$2:$AX$11,10,0),VLOOKUP(AJ53,$AN$2:$AX$11,11,0)))))))))),VLOOKUP(AJ53,$AN$2:$AX$11,2,0))</f>
        <v>Team 3</v>
      </c>
      <c r="AK54">
        <f>COUNTIF($AD$1:AD54,AD54)</f>
        <v>0</v>
      </c>
      <c r="AL54">
        <f>COUNTIF($AK$1:AK54,"16")</f>
        <v>0</v>
      </c>
      <c r="AZ54" s="32">
        <f t="shared" si="17"/>
        <v>200</v>
      </c>
      <c r="BA54" s="33">
        <f t="shared" si="18"/>
        <v>200</v>
      </c>
      <c r="BB54" s="33">
        <f t="shared" si="19"/>
        <v>200</v>
      </c>
      <c r="BC54" s="33">
        <f t="shared" si="20"/>
        <v>200</v>
      </c>
      <c r="BD54" s="33">
        <f t="shared" si="21"/>
        <v>200</v>
      </c>
      <c r="BE54" s="33">
        <f t="shared" si="22"/>
        <v>200</v>
      </c>
      <c r="BF54" s="33">
        <f t="shared" si="23"/>
        <v>200</v>
      </c>
      <c r="BG54" s="33">
        <f t="shared" si="24"/>
        <v>200</v>
      </c>
      <c r="BH54" s="33">
        <f t="shared" si="25"/>
        <v>200</v>
      </c>
      <c r="BI54" s="34">
        <f t="shared" si="26"/>
        <v>200</v>
      </c>
    </row>
    <row r="55" spans="5:61" x14ac:dyDescent="0.25">
      <c r="E55" s="225">
        <f t="array" ref="E55">LARGE(IF(Players!D:D="TE",Players!F:F,""),($B$1*$Q$5)+ROW()-48)</f>
        <v>132.264698663258</v>
      </c>
      <c r="F55" s="28">
        <f t="shared" si="16"/>
        <v>27</v>
      </c>
      <c r="AB55" s="14" t="str">
        <f>AD55&amp;COUNTIF($AD$2:AD55,AD55)</f>
        <v>0</v>
      </c>
      <c r="AC55" s="136"/>
      <c r="AD55" s="136"/>
      <c r="AE55" s="135"/>
      <c r="AF55" s="23" t="str">
        <f>IFERROR(VLOOKUP(AC55,Players!$B:$F,3,0),"")</f>
        <v/>
      </c>
      <c r="AG55" s="23" t="str">
        <f>IFERROR(VLOOKUP(AC55,Players!$B:$F,2,0),"")</f>
        <v/>
      </c>
      <c r="AH55" s="23" t="str">
        <f>IFERROR(VLOOKUP(AC55,Players!$B:$N,5,0),"")</f>
        <v/>
      </c>
      <c r="AI55" s="23">
        <v>54</v>
      </c>
      <c r="AJ55" s="28" t="str">
        <f>IFERROR(IF(LOOKUP(2,1/($AD$1:AD54=VLOOKUP(AJ54,$AN$2:$AX$11,2,0)),$AK$1:AK54)&lt;16,VLOOKUP(AJ54,$AN$2:$AX$11,2,0),IF(LOOKUP(2,1/($AD$1:AD54=VLOOKUP(AJ54,$AN$2:$AX$11,3,0)),$AK$1:AK54)&lt;16,VLOOKUP(AJ54,$AN$2:$AX$11,3,0),IF(LOOKUP(2,1/($AD$1:AD54=VLOOKUP(AJ54,$AN$2:$AX$11,4,0)),$AK$1:AK54)&lt;16,VLOOKUP(AJ54,$AN$2:$AX$11,4,0),IF(LOOKUP(2,1/($AD$1:AD54=VLOOKUP(AJ54,$AN$2:$AX$11,5,0)),$AK$1:AK54)&lt;16,VLOOKUP(AJ54,$AN$2:$AX$11,5,0),IF(LOOKUP(2,1/($AD$1:AD54=VLOOKUP(AJ54,$AN$2:$AX$11,6,0)),$AK$1:AK54)&lt;16,VLOOKUP(AJ54,$AN$2:$AX$11,6,0),IF(LOOKUP(2,1/($AD$1:AD54=VLOOKUP(AJ54,$AN$2:$AX$11,7,0)),$AK$1:AK54)&lt;16,VLOOKUP(AJ54,$AN$2:$AX$11,7,0),IF(LOOKUP(2,1/($AD$1:AD54=VLOOKUP(AJ54,$AN$2:$AX$11,8,0)),$AK$1:AK54)&lt;16,VLOOKUP(AJ54,$AN$2:$AX$11,8,0),IF(LOOKUP(2,1/($AD$1:AD54=VLOOKUP(AJ54,$AN$2:$AX$11,9,0)),$AK$1:AK54)&lt;16,VLOOKUP(AJ54,$AN$2:$AX$11,9,0),IF(LOOKUP(2,1/($AD$1:AD54=VLOOKUP(AJ54,$AN$2:$AX$11,10,0)),$AK$1:AK54)&lt;16,VLOOKUP(AJ54,$AN$2:$AX$11,10,0),VLOOKUP(AJ54,$AN$2:$AX$11,11,0)))))))))),VLOOKUP(AJ54,$AN$2:$AX$11,2,0))</f>
        <v>Team 6</v>
      </c>
      <c r="AK55">
        <f>COUNTIF($AD$1:AD55,AD55)</f>
        <v>0</v>
      </c>
      <c r="AL55">
        <f>COUNTIF($AK$1:AK55,"16")</f>
        <v>0</v>
      </c>
      <c r="AZ55" s="32">
        <f t="shared" si="17"/>
        <v>200</v>
      </c>
      <c r="BA55" s="33">
        <f t="shared" si="18"/>
        <v>200</v>
      </c>
      <c r="BB55" s="33">
        <f t="shared" si="19"/>
        <v>200</v>
      </c>
      <c r="BC55" s="33">
        <f t="shared" si="20"/>
        <v>200</v>
      </c>
      <c r="BD55" s="33">
        <f t="shared" si="21"/>
        <v>200</v>
      </c>
      <c r="BE55" s="33">
        <f t="shared" si="22"/>
        <v>200</v>
      </c>
      <c r="BF55" s="33">
        <f t="shared" si="23"/>
        <v>200</v>
      </c>
      <c r="BG55" s="33">
        <f t="shared" si="24"/>
        <v>200</v>
      </c>
      <c r="BH55" s="33">
        <f t="shared" si="25"/>
        <v>200</v>
      </c>
      <c r="BI55" s="34">
        <f t="shared" si="26"/>
        <v>200</v>
      </c>
    </row>
    <row r="56" spans="5:61" x14ac:dyDescent="0.25">
      <c r="E56" s="225">
        <f t="array" ref="E56">LARGE(IF(Players!D:D="TE",Players!F:F,""),($B$1*$Q$5)+ROW()-48)</f>
        <v>131.712094831222</v>
      </c>
      <c r="F56" s="28">
        <f t="shared" si="16"/>
        <v>28</v>
      </c>
      <c r="AB56" s="14" t="str">
        <f>AD56&amp;COUNTIF($AD$2:AD56,AD56)</f>
        <v>0</v>
      </c>
      <c r="AC56" s="136"/>
      <c r="AD56" s="136"/>
      <c r="AE56" s="135"/>
      <c r="AF56" s="23" t="str">
        <f>IFERROR(VLOOKUP(AC56,Players!$B:$F,3,0),"")</f>
        <v/>
      </c>
      <c r="AG56" s="23" t="str">
        <f>IFERROR(VLOOKUP(AC56,Players!$B:$F,2,0),"")</f>
        <v/>
      </c>
      <c r="AH56" s="23" t="str">
        <f>IFERROR(VLOOKUP(AC56,Players!$B:$N,5,0),"")</f>
        <v/>
      </c>
      <c r="AI56" s="23">
        <v>55</v>
      </c>
      <c r="AJ56" s="28" t="str">
        <f>IFERROR(IF(LOOKUP(2,1/($AD$1:AD55=VLOOKUP(AJ55,$AN$2:$AX$11,2,0)),$AK$1:AK55)&lt;16,VLOOKUP(AJ55,$AN$2:$AX$11,2,0),IF(LOOKUP(2,1/($AD$1:AD55=VLOOKUP(AJ55,$AN$2:$AX$11,3,0)),$AK$1:AK55)&lt;16,VLOOKUP(AJ55,$AN$2:$AX$11,3,0),IF(LOOKUP(2,1/($AD$1:AD55=VLOOKUP(AJ55,$AN$2:$AX$11,4,0)),$AK$1:AK55)&lt;16,VLOOKUP(AJ55,$AN$2:$AX$11,4,0),IF(LOOKUP(2,1/($AD$1:AD55=VLOOKUP(AJ55,$AN$2:$AX$11,5,0)),$AK$1:AK55)&lt;16,VLOOKUP(AJ55,$AN$2:$AX$11,5,0),IF(LOOKUP(2,1/($AD$1:AD55=VLOOKUP(AJ55,$AN$2:$AX$11,6,0)),$AK$1:AK55)&lt;16,VLOOKUP(AJ55,$AN$2:$AX$11,6,0),IF(LOOKUP(2,1/($AD$1:AD55=VLOOKUP(AJ55,$AN$2:$AX$11,7,0)),$AK$1:AK55)&lt;16,VLOOKUP(AJ55,$AN$2:$AX$11,7,0),IF(LOOKUP(2,1/($AD$1:AD55=VLOOKUP(AJ55,$AN$2:$AX$11,8,0)),$AK$1:AK55)&lt;16,VLOOKUP(AJ55,$AN$2:$AX$11,8,0),IF(LOOKUP(2,1/($AD$1:AD55=VLOOKUP(AJ55,$AN$2:$AX$11,9,0)),$AK$1:AK55)&lt;16,VLOOKUP(AJ55,$AN$2:$AX$11,9,0),IF(LOOKUP(2,1/($AD$1:AD55=VLOOKUP(AJ55,$AN$2:$AX$11,10,0)),$AK$1:AK55)&lt;16,VLOOKUP(AJ55,$AN$2:$AX$11,10,0),VLOOKUP(AJ55,$AN$2:$AX$11,11,0)))))))))),VLOOKUP(AJ55,$AN$2:$AX$11,2,0))</f>
        <v>Team 7</v>
      </c>
      <c r="AK56">
        <f>COUNTIF($AD$1:AD56,AD56)</f>
        <v>0</v>
      </c>
      <c r="AL56">
        <f>COUNTIF($AK$1:AK56,"16")</f>
        <v>0</v>
      </c>
      <c r="AZ56" s="32">
        <f t="shared" si="17"/>
        <v>200</v>
      </c>
      <c r="BA56" s="33">
        <f t="shared" si="18"/>
        <v>200</v>
      </c>
      <c r="BB56" s="33">
        <f t="shared" si="19"/>
        <v>200</v>
      </c>
      <c r="BC56" s="33">
        <f t="shared" si="20"/>
        <v>200</v>
      </c>
      <c r="BD56" s="33">
        <f t="shared" si="21"/>
        <v>200</v>
      </c>
      <c r="BE56" s="33">
        <f t="shared" si="22"/>
        <v>200</v>
      </c>
      <c r="BF56" s="33">
        <f t="shared" si="23"/>
        <v>200</v>
      </c>
      <c r="BG56" s="33">
        <f t="shared" si="24"/>
        <v>200</v>
      </c>
      <c r="BH56" s="33">
        <f t="shared" si="25"/>
        <v>200</v>
      </c>
      <c r="BI56" s="34">
        <f t="shared" si="26"/>
        <v>200</v>
      </c>
    </row>
    <row r="57" spans="5:61" x14ac:dyDescent="0.25">
      <c r="E57" s="225">
        <f t="array" ref="E57">LARGE(IF(Players!D:D="TE",Players!F:F,""),($B$1*$Q$5)+ROW()-48)</f>
        <v>124.04582060818301</v>
      </c>
      <c r="F57" s="28">
        <f t="shared" si="16"/>
        <v>29</v>
      </c>
      <c r="AB57" s="14" t="str">
        <f>AD57&amp;COUNTIF($AD$2:AD57,AD57)</f>
        <v>0</v>
      </c>
      <c r="AC57" s="136"/>
      <c r="AD57" s="136"/>
      <c r="AE57" s="135"/>
      <c r="AF57" s="23" t="str">
        <f>IFERROR(VLOOKUP(AC57,Players!$B:$F,3,0),"")</f>
        <v/>
      </c>
      <c r="AG57" s="23" t="str">
        <f>IFERROR(VLOOKUP(AC57,Players!$B:$F,2,0),"")</f>
        <v/>
      </c>
      <c r="AH57" s="23" t="str">
        <f>IFERROR(VLOOKUP(AC57,Players!$B:$N,5,0),"")</f>
        <v/>
      </c>
      <c r="AI57" s="23">
        <v>56</v>
      </c>
      <c r="AJ57" s="28" t="str">
        <f>IFERROR(IF(LOOKUP(2,1/($AD$1:AD56=VLOOKUP(AJ56,$AN$2:$AX$11,2,0)),$AK$1:AK56)&lt;16,VLOOKUP(AJ56,$AN$2:$AX$11,2,0),IF(LOOKUP(2,1/($AD$1:AD56=VLOOKUP(AJ56,$AN$2:$AX$11,3,0)),$AK$1:AK56)&lt;16,VLOOKUP(AJ56,$AN$2:$AX$11,3,0),IF(LOOKUP(2,1/($AD$1:AD56=VLOOKUP(AJ56,$AN$2:$AX$11,4,0)),$AK$1:AK56)&lt;16,VLOOKUP(AJ56,$AN$2:$AX$11,4,0),IF(LOOKUP(2,1/($AD$1:AD56=VLOOKUP(AJ56,$AN$2:$AX$11,5,0)),$AK$1:AK56)&lt;16,VLOOKUP(AJ56,$AN$2:$AX$11,5,0),IF(LOOKUP(2,1/($AD$1:AD56=VLOOKUP(AJ56,$AN$2:$AX$11,6,0)),$AK$1:AK56)&lt;16,VLOOKUP(AJ56,$AN$2:$AX$11,6,0),IF(LOOKUP(2,1/($AD$1:AD56=VLOOKUP(AJ56,$AN$2:$AX$11,7,0)),$AK$1:AK56)&lt;16,VLOOKUP(AJ56,$AN$2:$AX$11,7,0),IF(LOOKUP(2,1/($AD$1:AD56=VLOOKUP(AJ56,$AN$2:$AX$11,8,0)),$AK$1:AK56)&lt;16,VLOOKUP(AJ56,$AN$2:$AX$11,8,0),IF(LOOKUP(2,1/($AD$1:AD56=VLOOKUP(AJ56,$AN$2:$AX$11,9,0)),$AK$1:AK56)&lt;16,VLOOKUP(AJ56,$AN$2:$AX$11,9,0),IF(LOOKUP(2,1/($AD$1:AD56=VLOOKUP(AJ56,$AN$2:$AX$11,10,0)),$AK$1:AK56)&lt;16,VLOOKUP(AJ56,$AN$2:$AX$11,10,0),VLOOKUP(AJ56,$AN$2:$AX$11,11,0)))))))))),VLOOKUP(AJ56,$AN$2:$AX$11,2,0))</f>
        <v>Team 8</v>
      </c>
      <c r="AK57">
        <f>COUNTIF($AD$1:AD57,AD57)</f>
        <v>0</v>
      </c>
      <c r="AL57">
        <f>COUNTIF($AK$1:AK57,"16")</f>
        <v>0</v>
      </c>
      <c r="AZ57" s="32">
        <f t="shared" si="17"/>
        <v>200</v>
      </c>
      <c r="BA57" s="33">
        <f t="shared" si="18"/>
        <v>200</v>
      </c>
      <c r="BB57" s="33">
        <f t="shared" si="19"/>
        <v>200</v>
      </c>
      <c r="BC57" s="33">
        <f t="shared" si="20"/>
        <v>200</v>
      </c>
      <c r="BD57" s="33">
        <f t="shared" si="21"/>
        <v>200</v>
      </c>
      <c r="BE57" s="33">
        <f t="shared" si="22"/>
        <v>200</v>
      </c>
      <c r="BF57" s="33">
        <f t="shared" si="23"/>
        <v>200</v>
      </c>
      <c r="BG57" s="33">
        <f t="shared" si="24"/>
        <v>200</v>
      </c>
      <c r="BH57" s="33">
        <f t="shared" si="25"/>
        <v>200</v>
      </c>
      <c r="BI57" s="34">
        <f t="shared" si="26"/>
        <v>200</v>
      </c>
    </row>
    <row r="58" spans="5:61" ht="15.75" thickBot="1" x14ac:dyDescent="0.3">
      <c r="E58" s="226">
        <f t="array" ref="E58">LARGE(IF(Players!D:D="TE",Players!F:F,""),($B$1*$Q$5)+ROW()-48)</f>
        <v>122.91283081034101</v>
      </c>
      <c r="F58" s="31">
        <f t="shared" si="16"/>
        <v>30</v>
      </c>
      <c r="AB58" s="14" t="str">
        <f>AD58&amp;COUNTIF($AD$2:AD58,AD58)</f>
        <v>0</v>
      </c>
      <c r="AC58" s="136"/>
      <c r="AD58" s="136"/>
      <c r="AE58" s="135"/>
      <c r="AF58" s="23" t="str">
        <f>IFERROR(VLOOKUP(AC58,Players!$B:$F,3,0),"")</f>
        <v/>
      </c>
      <c r="AG58" s="23" t="str">
        <f>IFERROR(VLOOKUP(AC58,Players!$B:$F,2,0),"")</f>
        <v/>
      </c>
      <c r="AH58" s="23" t="str">
        <f>IFERROR(VLOOKUP(AC58,Players!$B:$N,5,0),"")</f>
        <v/>
      </c>
      <c r="AI58" s="23">
        <v>57</v>
      </c>
      <c r="AJ58" s="28" t="str">
        <f>IFERROR(IF(LOOKUP(2,1/($AD$1:AD57=VLOOKUP(AJ57,$AN$2:$AX$11,2,0)),$AK$1:AK57)&lt;16,VLOOKUP(AJ57,$AN$2:$AX$11,2,0),IF(LOOKUP(2,1/($AD$1:AD57=VLOOKUP(AJ57,$AN$2:$AX$11,3,0)),$AK$1:AK57)&lt;16,VLOOKUP(AJ57,$AN$2:$AX$11,3,0),IF(LOOKUP(2,1/($AD$1:AD57=VLOOKUP(AJ57,$AN$2:$AX$11,4,0)),$AK$1:AK57)&lt;16,VLOOKUP(AJ57,$AN$2:$AX$11,4,0),IF(LOOKUP(2,1/($AD$1:AD57=VLOOKUP(AJ57,$AN$2:$AX$11,5,0)),$AK$1:AK57)&lt;16,VLOOKUP(AJ57,$AN$2:$AX$11,5,0),IF(LOOKUP(2,1/($AD$1:AD57=VLOOKUP(AJ57,$AN$2:$AX$11,6,0)),$AK$1:AK57)&lt;16,VLOOKUP(AJ57,$AN$2:$AX$11,6,0),IF(LOOKUP(2,1/($AD$1:AD57=VLOOKUP(AJ57,$AN$2:$AX$11,7,0)),$AK$1:AK57)&lt;16,VLOOKUP(AJ57,$AN$2:$AX$11,7,0),IF(LOOKUP(2,1/($AD$1:AD57=VLOOKUP(AJ57,$AN$2:$AX$11,8,0)),$AK$1:AK57)&lt;16,VLOOKUP(AJ57,$AN$2:$AX$11,8,0),IF(LOOKUP(2,1/($AD$1:AD57=VLOOKUP(AJ57,$AN$2:$AX$11,9,0)),$AK$1:AK57)&lt;16,VLOOKUP(AJ57,$AN$2:$AX$11,9,0),IF(LOOKUP(2,1/($AD$1:AD57=VLOOKUP(AJ57,$AN$2:$AX$11,10,0)),$AK$1:AK57)&lt;16,VLOOKUP(AJ57,$AN$2:$AX$11,10,0),VLOOKUP(AJ57,$AN$2:$AX$11,11,0)))))))))),VLOOKUP(AJ57,$AN$2:$AX$11,2,0))</f>
        <v>Team Se</v>
      </c>
      <c r="AK58">
        <f>COUNTIF($AD$1:AD58,AD58)</f>
        <v>0</v>
      </c>
      <c r="AL58">
        <f>COUNTIF($AK$1:AK58,"16")</f>
        <v>0</v>
      </c>
      <c r="AZ58" s="32">
        <f t="shared" si="17"/>
        <v>200</v>
      </c>
      <c r="BA58" s="33">
        <f t="shared" si="18"/>
        <v>200</v>
      </c>
      <c r="BB58" s="33">
        <f t="shared" si="19"/>
        <v>200</v>
      </c>
      <c r="BC58" s="33">
        <f t="shared" si="20"/>
        <v>200</v>
      </c>
      <c r="BD58" s="33">
        <f t="shared" si="21"/>
        <v>200</v>
      </c>
      <c r="BE58" s="33">
        <f t="shared" si="22"/>
        <v>200</v>
      </c>
      <c r="BF58" s="33">
        <f t="shared" si="23"/>
        <v>200</v>
      </c>
      <c r="BG58" s="33">
        <f t="shared" si="24"/>
        <v>200</v>
      </c>
      <c r="BH58" s="33">
        <f t="shared" si="25"/>
        <v>200</v>
      </c>
      <c r="BI58" s="34">
        <f t="shared" si="26"/>
        <v>200</v>
      </c>
    </row>
    <row r="59" spans="5:61" x14ac:dyDescent="0.25">
      <c r="AB59" s="14" t="str">
        <f>AD59&amp;COUNTIF($AD$2:AD59,AD59)</f>
        <v>0</v>
      </c>
      <c r="AC59" s="136"/>
      <c r="AD59" s="136"/>
      <c r="AE59" s="135"/>
      <c r="AF59" s="23" t="str">
        <f>IFERROR(VLOOKUP(AC59,Players!$B:$F,3,0),"")</f>
        <v/>
      </c>
      <c r="AG59" s="23" t="str">
        <f>IFERROR(VLOOKUP(AC59,Players!$B:$F,2,0),"")</f>
        <v/>
      </c>
      <c r="AH59" s="23" t="str">
        <f>IFERROR(VLOOKUP(AC59,Players!$B:$N,5,0),"")</f>
        <v/>
      </c>
      <c r="AI59" s="23">
        <v>58</v>
      </c>
      <c r="AJ59" s="28" t="str">
        <f>IFERROR(IF(LOOKUP(2,1/($AD$1:AD58=VLOOKUP(AJ58,$AN$2:$AX$11,2,0)),$AK$1:AK58)&lt;16,VLOOKUP(AJ58,$AN$2:$AX$11,2,0),IF(LOOKUP(2,1/($AD$1:AD58=VLOOKUP(AJ58,$AN$2:$AX$11,3,0)),$AK$1:AK58)&lt;16,VLOOKUP(AJ58,$AN$2:$AX$11,3,0),IF(LOOKUP(2,1/($AD$1:AD58=VLOOKUP(AJ58,$AN$2:$AX$11,4,0)),$AK$1:AK58)&lt;16,VLOOKUP(AJ58,$AN$2:$AX$11,4,0),IF(LOOKUP(2,1/($AD$1:AD58=VLOOKUP(AJ58,$AN$2:$AX$11,5,0)),$AK$1:AK58)&lt;16,VLOOKUP(AJ58,$AN$2:$AX$11,5,0),IF(LOOKUP(2,1/($AD$1:AD58=VLOOKUP(AJ58,$AN$2:$AX$11,6,0)),$AK$1:AK58)&lt;16,VLOOKUP(AJ58,$AN$2:$AX$11,6,0),IF(LOOKUP(2,1/($AD$1:AD58=VLOOKUP(AJ58,$AN$2:$AX$11,7,0)),$AK$1:AK58)&lt;16,VLOOKUP(AJ58,$AN$2:$AX$11,7,0),IF(LOOKUP(2,1/($AD$1:AD58=VLOOKUP(AJ58,$AN$2:$AX$11,8,0)),$AK$1:AK58)&lt;16,VLOOKUP(AJ58,$AN$2:$AX$11,8,0),IF(LOOKUP(2,1/($AD$1:AD58=VLOOKUP(AJ58,$AN$2:$AX$11,9,0)),$AK$1:AK58)&lt;16,VLOOKUP(AJ58,$AN$2:$AX$11,9,0),IF(LOOKUP(2,1/($AD$1:AD58=VLOOKUP(AJ58,$AN$2:$AX$11,10,0)),$AK$1:AK58)&lt;16,VLOOKUP(AJ58,$AN$2:$AX$11,10,0),VLOOKUP(AJ58,$AN$2:$AX$11,11,0)))))))))),VLOOKUP(AJ58,$AN$2:$AX$11,2,0))</f>
        <v>Team 10</v>
      </c>
      <c r="AK59">
        <f>COUNTIF($AD$1:AD59,AD59)</f>
        <v>0</v>
      </c>
      <c r="AL59">
        <f>COUNTIF($AK$1:AK59,"16")</f>
        <v>0</v>
      </c>
      <c r="AZ59" s="32">
        <f t="shared" si="17"/>
        <v>200</v>
      </c>
      <c r="BA59" s="33">
        <f t="shared" si="18"/>
        <v>200</v>
      </c>
      <c r="BB59" s="33">
        <f t="shared" si="19"/>
        <v>200</v>
      </c>
      <c r="BC59" s="33">
        <f t="shared" si="20"/>
        <v>200</v>
      </c>
      <c r="BD59" s="33">
        <f t="shared" si="21"/>
        <v>200</v>
      </c>
      <c r="BE59" s="33">
        <f t="shared" si="22"/>
        <v>200</v>
      </c>
      <c r="BF59" s="33">
        <f t="shared" si="23"/>
        <v>200</v>
      </c>
      <c r="BG59" s="33">
        <f t="shared" si="24"/>
        <v>200</v>
      </c>
      <c r="BH59" s="33">
        <f t="shared" si="25"/>
        <v>200</v>
      </c>
      <c r="BI59" s="34">
        <f t="shared" si="26"/>
        <v>200</v>
      </c>
    </row>
    <row r="60" spans="5:61" x14ac:dyDescent="0.25">
      <c r="AB60" s="14" t="str">
        <f>AD60&amp;COUNTIF($AD$2:AD60,AD60)</f>
        <v>0</v>
      </c>
      <c r="AC60" s="136"/>
      <c r="AD60" s="136"/>
      <c r="AE60" s="135"/>
      <c r="AF60" s="23" t="str">
        <f>IFERROR(VLOOKUP(AC60,Players!$B:$F,3,0),"")</f>
        <v/>
      </c>
      <c r="AG60" s="23" t="str">
        <f>IFERROR(VLOOKUP(AC60,Players!$B:$F,2,0),"")</f>
        <v/>
      </c>
      <c r="AH60" s="23" t="str">
        <f>IFERROR(VLOOKUP(AC60,Players!$B:$N,5,0),"")</f>
        <v/>
      </c>
      <c r="AI60" s="23">
        <v>59</v>
      </c>
      <c r="AJ60" s="28" t="str">
        <f>IFERROR(IF(LOOKUP(2,1/($AD$1:AD59=VLOOKUP(AJ59,$AN$2:$AX$11,2,0)),$AK$1:AK59)&lt;16,VLOOKUP(AJ59,$AN$2:$AX$11,2,0),IF(LOOKUP(2,1/($AD$1:AD59=VLOOKUP(AJ59,$AN$2:$AX$11,3,0)),$AK$1:AK59)&lt;16,VLOOKUP(AJ59,$AN$2:$AX$11,3,0),IF(LOOKUP(2,1/($AD$1:AD59=VLOOKUP(AJ59,$AN$2:$AX$11,4,0)),$AK$1:AK59)&lt;16,VLOOKUP(AJ59,$AN$2:$AX$11,4,0),IF(LOOKUP(2,1/($AD$1:AD59=VLOOKUP(AJ59,$AN$2:$AX$11,5,0)),$AK$1:AK59)&lt;16,VLOOKUP(AJ59,$AN$2:$AX$11,5,0),IF(LOOKUP(2,1/($AD$1:AD59=VLOOKUP(AJ59,$AN$2:$AX$11,6,0)),$AK$1:AK59)&lt;16,VLOOKUP(AJ59,$AN$2:$AX$11,6,0),IF(LOOKUP(2,1/($AD$1:AD59=VLOOKUP(AJ59,$AN$2:$AX$11,7,0)),$AK$1:AK59)&lt;16,VLOOKUP(AJ59,$AN$2:$AX$11,7,0),IF(LOOKUP(2,1/($AD$1:AD59=VLOOKUP(AJ59,$AN$2:$AX$11,8,0)),$AK$1:AK59)&lt;16,VLOOKUP(AJ59,$AN$2:$AX$11,8,0),IF(LOOKUP(2,1/($AD$1:AD59=VLOOKUP(AJ59,$AN$2:$AX$11,9,0)),$AK$1:AK59)&lt;16,VLOOKUP(AJ59,$AN$2:$AX$11,9,0),IF(LOOKUP(2,1/($AD$1:AD59=VLOOKUP(AJ59,$AN$2:$AX$11,10,0)),$AK$1:AK59)&lt;16,VLOOKUP(AJ59,$AN$2:$AX$11,10,0),VLOOKUP(AJ59,$AN$2:$AX$11,11,0)))))))))),VLOOKUP(AJ59,$AN$2:$AX$11,2,0))</f>
        <v>Crouch</v>
      </c>
      <c r="AK60">
        <f>COUNTIF($AD$1:AD60,AD60)</f>
        <v>0</v>
      </c>
      <c r="AL60">
        <f>COUNTIF($AK$1:AK60,"16")</f>
        <v>0</v>
      </c>
      <c r="AZ60" s="32">
        <f t="shared" si="17"/>
        <v>200</v>
      </c>
      <c r="BA60" s="33">
        <f t="shared" si="18"/>
        <v>200</v>
      </c>
      <c r="BB60" s="33">
        <f t="shared" si="19"/>
        <v>200</v>
      </c>
      <c r="BC60" s="33">
        <f t="shared" si="20"/>
        <v>200</v>
      </c>
      <c r="BD60" s="33">
        <f t="shared" si="21"/>
        <v>200</v>
      </c>
      <c r="BE60" s="33">
        <f t="shared" si="22"/>
        <v>200</v>
      </c>
      <c r="BF60" s="33">
        <f t="shared" si="23"/>
        <v>200</v>
      </c>
      <c r="BG60" s="33">
        <f t="shared" si="24"/>
        <v>200</v>
      </c>
      <c r="BH60" s="33">
        <f t="shared" si="25"/>
        <v>200</v>
      </c>
      <c r="BI60" s="34">
        <f t="shared" si="26"/>
        <v>200</v>
      </c>
    </row>
    <row r="61" spans="5:61" x14ac:dyDescent="0.25">
      <c r="AB61" s="14" t="str">
        <f>AD61&amp;COUNTIF($AD$2:AD61,AD61)</f>
        <v>0</v>
      </c>
      <c r="AC61" s="136"/>
      <c r="AD61" s="136"/>
      <c r="AE61" s="135"/>
      <c r="AF61" s="23" t="str">
        <f>IFERROR(VLOOKUP(AC61,Players!$B:$F,3,0),"")</f>
        <v/>
      </c>
      <c r="AG61" s="23" t="str">
        <f>IFERROR(VLOOKUP(AC61,Players!$B:$F,2,0),"")</f>
        <v/>
      </c>
      <c r="AH61" s="23" t="str">
        <f>IFERROR(VLOOKUP(AC61,Players!$B:$N,5,0),"")</f>
        <v/>
      </c>
      <c r="AI61" s="23">
        <v>60</v>
      </c>
      <c r="AJ61" s="28" t="str">
        <f>IFERROR(IF(LOOKUP(2,1/($AD$1:AD60=VLOOKUP(AJ60,$AN$2:$AX$11,2,0)),$AK$1:AK60)&lt;16,VLOOKUP(AJ60,$AN$2:$AX$11,2,0),IF(LOOKUP(2,1/($AD$1:AD60=VLOOKUP(AJ60,$AN$2:$AX$11,3,0)),$AK$1:AK60)&lt;16,VLOOKUP(AJ60,$AN$2:$AX$11,3,0),IF(LOOKUP(2,1/($AD$1:AD60=VLOOKUP(AJ60,$AN$2:$AX$11,4,0)),$AK$1:AK60)&lt;16,VLOOKUP(AJ60,$AN$2:$AX$11,4,0),IF(LOOKUP(2,1/($AD$1:AD60=VLOOKUP(AJ60,$AN$2:$AX$11,5,0)),$AK$1:AK60)&lt;16,VLOOKUP(AJ60,$AN$2:$AX$11,5,0),IF(LOOKUP(2,1/($AD$1:AD60=VLOOKUP(AJ60,$AN$2:$AX$11,6,0)),$AK$1:AK60)&lt;16,VLOOKUP(AJ60,$AN$2:$AX$11,6,0),IF(LOOKUP(2,1/($AD$1:AD60=VLOOKUP(AJ60,$AN$2:$AX$11,7,0)),$AK$1:AK60)&lt;16,VLOOKUP(AJ60,$AN$2:$AX$11,7,0),IF(LOOKUP(2,1/($AD$1:AD60=VLOOKUP(AJ60,$AN$2:$AX$11,8,0)),$AK$1:AK60)&lt;16,VLOOKUP(AJ60,$AN$2:$AX$11,8,0),IF(LOOKUP(2,1/($AD$1:AD60=VLOOKUP(AJ60,$AN$2:$AX$11,9,0)),$AK$1:AK60)&lt;16,VLOOKUP(AJ60,$AN$2:$AX$11,9,0),IF(LOOKUP(2,1/($AD$1:AD60=VLOOKUP(AJ60,$AN$2:$AX$11,10,0)),$AK$1:AK60)&lt;16,VLOOKUP(AJ60,$AN$2:$AX$11,10,0),VLOOKUP(AJ60,$AN$2:$AX$11,11,0)))))))))),VLOOKUP(AJ60,$AN$2:$AX$11,2,0))</f>
        <v>Team 4</v>
      </c>
      <c r="AK61">
        <f>COUNTIF($AD$1:AD61,AD61)</f>
        <v>0</v>
      </c>
      <c r="AL61">
        <f>COUNTIF($AK$1:AK61,"16")</f>
        <v>0</v>
      </c>
      <c r="AZ61" s="32">
        <f t="shared" si="17"/>
        <v>200</v>
      </c>
      <c r="BA61" s="33">
        <f t="shared" si="18"/>
        <v>200</v>
      </c>
      <c r="BB61" s="33">
        <f t="shared" si="19"/>
        <v>200</v>
      </c>
      <c r="BC61" s="33">
        <f t="shared" si="20"/>
        <v>200</v>
      </c>
      <c r="BD61" s="33">
        <f t="shared" si="21"/>
        <v>200</v>
      </c>
      <c r="BE61" s="33">
        <f t="shared" si="22"/>
        <v>200</v>
      </c>
      <c r="BF61" s="33">
        <f t="shared" si="23"/>
        <v>200</v>
      </c>
      <c r="BG61" s="33">
        <f t="shared" si="24"/>
        <v>200</v>
      </c>
      <c r="BH61" s="33">
        <f t="shared" si="25"/>
        <v>200</v>
      </c>
      <c r="BI61" s="34">
        <f t="shared" si="26"/>
        <v>200</v>
      </c>
    </row>
    <row r="62" spans="5:61" x14ac:dyDescent="0.25">
      <c r="AB62" s="14" t="str">
        <f>AD62&amp;COUNTIF($AD$2:AD62,AD62)</f>
        <v>0</v>
      </c>
      <c r="AC62" s="136"/>
      <c r="AD62" s="136"/>
      <c r="AE62" s="135"/>
      <c r="AF62" s="23" t="str">
        <f>IFERROR(VLOOKUP(AC62,Players!$B:$F,3,0),"")</f>
        <v/>
      </c>
      <c r="AG62" s="23" t="str">
        <f>IFERROR(VLOOKUP(AC62,Players!$B:$F,2,0),"")</f>
        <v/>
      </c>
      <c r="AH62" s="23" t="str">
        <f>IFERROR(VLOOKUP(AC62,Players!$B:$N,5,0),"")</f>
        <v/>
      </c>
      <c r="AI62" s="23">
        <v>61</v>
      </c>
      <c r="AJ62" s="28" t="str">
        <f>IFERROR(IF(LOOKUP(2,1/($AD$1:AD61=VLOOKUP(AJ61,$AN$2:$AX$11,2,0)),$AK$1:AK61)&lt;16,VLOOKUP(AJ61,$AN$2:$AX$11,2,0),IF(LOOKUP(2,1/($AD$1:AD61=VLOOKUP(AJ61,$AN$2:$AX$11,3,0)),$AK$1:AK61)&lt;16,VLOOKUP(AJ61,$AN$2:$AX$11,3,0),IF(LOOKUP(2,1/($AD$1:AD61=VLOOKUP(AJ61,$AN$2:$AX$11,4,0)),$AK$1:AK61)&lt;16,VLOOKUP(AJ61,$AN$2:$AX$11,4,0),IF(LOOKUP(2,1/($AD$1:AD61=VLOOKUP(AJ61,$AN$2:$AX$11,5,0)),$AK$1:AK61)&lt;16,VLOOKUP(AJ61,$AN$2:$AX$11,5,0),IF(LOOKUP(2,1/($AD$1:AD61=VLOOKUP(AJ61,$AN$2:$AX$11,6,0)),$AK$1:AK61)&lt;16,VLOOKUP(AJ61,$AN$2:$AX$11,6,0),IF(LOOKUP(2,1/($AD$1:AD61=VLOOKUP(AJ61,$AN$2:$AX$11,7,0)),$AK$1:AK61)&lt;16,VLOOKUP(AJ61,$AN$2:$AX$11,7,0),IF(LOOKUP(2,1/($AD$1:AD61=VLOOKUP(AJ61,$AN$2:$AX$11,8,0)),$AK$1:AK61)&lt;16,VLOOKUP(AJ61,$AN$2:$AX$11,8,0),IF(LOOKUP(2,1/($AD$1:AD61=VLOOKUP(AJ61,$AN$2:$AX$11,9,0)),$AK$1:AK61)&lt;16,VLOOKUP(AJ61,$AN$2:$AX$11,9,0),IF(LOOKUP(2,1/($AD$1:AD61=VLOOKUP(AJ61,$AN$2:$AX$11,10,0)),$AK$1:AK61)&lt;16,VLOOKUP(AJ61,$AN$2:$AX$11,10,0),VLOOKUP(AJ61,$AN$2:$AX$11,11,0)))))))))),VLOOKUP(AJ61,$AN$2:$AX$11,2,0))</f>
        <v>Team 5</v>
      </c>
      <c r="AK62">
        <f>COUNTIF($AD$1:AD62,AD62)</f>
        <v>0</v>
      </c>
      <c r="AL62">
        <f>COUNTIF($AK$1:AK62,"16")</f>
        <v>0</v>
      </c>
      <c r="AZ62" s="32">
        <f t="shared" si="17"/>
        <v>200</v>
      </c>
      <c r="BA62" s="33">
        <f t="shared" si="18"/>
        <v>200</v>
      </c>
      <c r="BB62" s="33">
        <f t="shared" si="19"/>
        <v>200</v>
      </c>
      <c r="BC62" s="33">
        <f t="shared" si="20"/>
        <v>200</v>
      </c>
      <c r="BD62" s="33">
        <f t="shared" si="21"/>
        <v>200</v>
      </c>
      <c r="BE62" s="33">
        <f t="shared" si="22"/>
        <v>200</v>
      </c>
      <c r="BF62" s="33">
        <f t="shared" si="23"/>
        <v>200</v>
      </c>
      <c r="BG62" s="33">
        <f t="shared" si="24"/>
        <v>200</v>
      </c>
      <c r="BH62" s="33">
        <f t="shared" si="25"/>
        <v>200</v>
      </c>
      <c r="BI62" s="34">
        <f t="shared" si="26"/>
        <v>200</v>
      </c>
    </row>
    <row r="63" spans="5:61" x14ac:dyDescent="0.25">
      <c r="AB63" s="14" t="str">
        <f>AD63&amp;COUNTIF($AD$2:AD63,AD63)</f>
        <v>0</v>
      </c>
      <c r="AC63" s="136"/>
      <c r="AD63" s="136"/>
      <c r="AE63" s="135"/>
      <c r="AF63" s="23" t="str">
        <f>IFERROR(VLOOKUP(AC63,Players!$B:$F,3,0),"")</f>
        <v/>
      </c>
      <c r="AG63" s="23" t="str">
        <f>IFERROR(VLOOKUP(AC63,Players!$B:$F,2,0),"")</f>
        <v/>
      </c>
      <c r="AH63" s="23" t="str">
        <f>IFERROR(VLOOKUP(AC63,Players!$B:$N,5,0),"")</f>
        <v/>
      </c>
      <c r="AI63" s="23">
        <v>62</v>
      </c>
      <c r="AJ63" s="28" t="str">
        <f>IFERROR(IF(LOOKUP(2,1/($AD$1:AD62=VLOOKUP(AJ62,$AN$2:$AX$11,2,0)),$AK$1:AK62)&lt;16,VLOOKUP(AJ62,$AN$2:$AX$11,2,0),IF(LOOKUP(2,1/($AD$1:AD62=VLOOKUP(AJ62,$AN$2:$AX$11,3,0)),$AK$1:AK62)&lt;16,VLOOKUP(AJ62,$AN$2:$AX$11,3,0),IF(LOOKUP(2,1/($AD$1:AD62=VLOOKUP(AJ62,$AN$2:$AX$11,4,0)),$AK$1:AK62)&lt;16,VLOOKUP(AJ62,$AN$2:$AX$11,4,0),IF(LOOKUP(2,1/($AD$1:AD62=VLOOKUP(AJ62,$AN$2:$AX$11,5,0)),$AK$1:AK62)&lt;16,VLOOKUP(AJ62,$AN$2:$AX$11,5,0),IF(LOOKUP(2,1/($AD$1:AD62=VLOOKUP(AJ62,$AN$2:$AX$11,6,0)),$AK$1:AK62)&lt;16,VLOOKUP(AJ62,$AN$2:$AX$11,6,0),IF(LOOKUP(2,1/($AD$1:AD62=VLOOKUP(AJ62,$AN$2:$AX$11,7,0)),$AK$1:AK62)&lt;16,VLOOKUP(AJ62,$AN$2:$AX$11,7,0),IF(LOOKUP(2,1/($AD$1:AD62=VLOOKUP(AJ62,$AN$2:$AX$11,8,0)),$AK$1:AK62)&lt;16,VLOOKUP(AJ62,$AN$2:$AX$11,8,0),IF(LOOKUP(2,1/($AD$1:AD62=VLOOKUP(AJ62,$AN$2:$AX$11,9,0)),$AK$1:AK62)&lt;16,VLOOKUP(AJ62,$AN$2:$AX$11,9,0),IF(LOOKUP(2,1/($AD$1:AD62=VLOOKUP(AJ62,$AN$2:$AX$11,10,0)),$AK$1:AK62)&lt;16,VLOOKUP(AJ62,$AN$2:$AX$11,10,0),VLOOKUP(AJ62,$AN$2:$AX$11,11,0)))))))))),VLOOKUP(AJ62,$AN$2:$AX$11,2,0))</f>
        <v>Team 9</v>
      </c>
      <c r="AK63">
        <f>COUNTIF($AD$1:AD63,AD63)</f>
        <v>0</v>
      </c>
      <c r="AL63">
        <f>COUNTIF($AK$1:AK63,"16")</f>
        <v>0</v>
      </c>
      <c r="AZ63" s="32">
        <f t="shared" si="17"/>
        <v>200</v>
      </c>
      <c r="BA63" s="33">
        <f t="shared" si="18"/>
        <v>200</v>
      </c>
      <c r="BB63" s="33">
        <f t="shared" si="19"/>
        <v>200</v>
      </c>
      <c r="BC63" s="33">
        <f t="shared" si="20"/>
        <v>200</v>
      </c>
      <c r="BD63" s="33">
        <f t="shared" si="21"/>
        <v>200</v>
      </c>
      <c r="BE63" s="33">
        <f t="shared" si="22"/>
        <v>200</v>
      </c>
      <c r="BF63" s="33">
        <f t="shared" si="23"/>
        <v>200</v>
      </c>
      <c r="BG63" s="33">
        <f t="shared" si="24"/>
        <v>200</v>
      </c>
      <c r="BH63" s="33">
        <f t="shared" si="25"/>
        <v>200</v>
      </c>
      <c r="BI63" s="34">
        <f t="shared" si="26"/>
        <v>200</v>
      </c>
    </row>
    <row r="64" spans="5:61" x14ac:dyDescent="0.25">
      <c r="AB64" s="14" t="str">
        <f>AD64&amp;COUNTIF($AD$2:AD64,AD64)</f>
        <v>0</v>
      </c>
      <c r="AC64" s="136"/>
      <c r="AD64" s="136"/>
      <c r="AE64" s="135"/>
      <c r="AF64" s="23" t="str">
        <f>IFERROR(VLOOKUP(AC64,Players!$B:$F,3,0),"")</f>
        <v/>
      </c>
      <c r="AG64" s="23" t="str">
        <f>IFERROR(VLOOKUP(AC64,Players!$B:$F,2,0),"")</f>
        <v/>
      </c>
      <c r="AH64" s="23" t="str">
        <f>IFERROR(VLOOKUP(AC64,Players!$B:$N,5,0),"")</f>
        <v/>
      </c>
      <c r="AI64" s="23">
        <v>63</v>
      </c>
      <c r="AJ64" s="28" t="str">
        <f>IFERROR(IF(LOOKUP(2,1/($AD$1:AD63=VLOOKUP(AJ63,$AN$2:$AX$11,2,0)),$AK$1:AK63)&lt;16,VLOOKUP(AJ63,$AN$2:$AX$11,2,0),IF(LOOKUP(2,1/($AD$1:AD63=VLOOKUP(AJ63,$AN$2:$AX$11,3,0)),$AK$1:AK63)&lt;16,VLOOKUP(AJ63,$AN$2:$AX$11,3,0),IF(LOOKUP(2,1/($AD$1:AD63=VLOOKUP(AJ63,$AN$2:$AX$11,4,0)),$AK$1:AK63)&lt;16,VLOOKUP(AJ63,$AN$2:$AX$11,4,0),IF(LOOKUP(2,1/($AD$1:AD63=VLOOKUP(AJ63,$AN$2:$AX$11,5,0)),$AK$1:AK63)&lt;16,VLOOKUP(AJ63,$AN$2:$AX$11,5,0),IF(LOOKUP(2,1/($AD$1:AD63=VLOOKUP(AJ63,$AN$2:$AX$11,6,0)),$AK$1:AK63)&lt;16,VLOOKUP(AJ63,$AN$2:$AX$11,6,0),IF(LOOKUP(2,1/($AD$1:AD63=VLOOKUP(AJ63,$AN$2:$AX$11,7,0)),$AK$1:AK63)&lt;16,VLOOKUP(AJ63,$AN$2:$AX$11,7,0),IF(LOOKUP(2,1/($AD$1:AD63=VLOOKUP(AJ63,$AN$2:$AX$11,8,0)),$AK$1:AK63)&lt;16,VLOOKUP(AJ63,$AN$2:$AX$11,8,0),IF(LOOKUP(2,1/($AD$1:AD63=VLOOKUP(AJ63,$AN$2:$AX$11,9,0)),$AK$1:AK63)&lt;16,VLOOKUP(AJ63,$AN$2:$AX$11,9,0),IF(LOOKUP(2,1/($AD$1:AD63=VLOOKUP(AJ63,$AN$2:$AX$11,10,0)),$AK$1:AK63)&lt;16,VLOOKUP(AJ63,$AN$2:$AX$11,10,0),VLOOKUP(AJ63,$AN$2:$AX$11,11,0)))))))))),VLOOKUP(AJ63,$AN$2:$AX$11,2,0))</f>
        <v>Team 3</v>
      </c>
      <c r="AK64">
        <f>COUNTIF($AD$1:AD64,AD64)</f>
        <v>0</v>
      </c>
      <c r="AL64">
        <f>COUNTIF($AK$1:AK64,"16")</f>
        <v>0</v>
      </c>
      <c r="AZ64" s="32">
        <f t="shared" si="17"/>
        <v>200</v>
      </c>
      <c r="BA64" s="33">
        <f t="shared" si="18"/>
        <v>200</v>
      </c>
      <c r="BB64" s="33">
        <f t="shared" si="19"/>
        <v>200</v>
      </c>
      <c r="BC64" s="33">
        <f t="shared" si="20"/>
        <v>200</v>
      </c>
      <c r="BD64" s="33">
        <f t="shared" si="21"/>
        <v>200</v>
      </c>
      <c r="BE64" s="33">
        <f t="shared" si="22"/>
        <v>200</v>
      </c>
      <c r="BF64" s="33">
        <f t="shared" si="23"/>
        <v>200</v>
      </c>
      <c r="BG64" s="33">
        <f t="shared" si="24"/>
        <v>200</v>
      </c>
      <c r="BH64" s="33">
        <f t="shared" si="25"/>
        <v>200</v>
      </c>
      <c r="BI64" s="34">
        <f t="shared" si="26"/>
        <v>200</v>
      </c>
    </row>
    <row r="65" spans="28:61" x14ac:dyDescent="0.25">
      <c r="AB65" s="14" t="str">
        <f>AD65&amp;COUNTIF($AD$2:AD65,AD65)</f>
        <v>0</v>
      </c>
      <c r="AC65" s="136"/>
      <c r="AD65" s="136"/>
      <c r="AE65" s="135"/>
      <c r="AF65" s="23" t="str">
        <f>IFERROR(VLOOKUP(AC65,Players!$B:$F,3,0),"")</f>
        <v/>
      </c>
      <c r="AG65" s="23" t="str">
        <f>IFERROR(VLOOKUP(AC65,Players!$B:$F,2,0),"")</f>
        <v/>
      </c>
      <c r="AH65" s="23" t="str">
        <f>IFERROR(VLOOKUP(AC65,Players!$B:$N,5,0),"")</f>
        <v/>
      </c>
      <c r="AI65" s="23">
        <v>64</v>
      </c>
      <c r="AJ65" s="28" t="str">
        <f>IFERROR(IF(LOOKUP(2,1/($AD$1:AD64=VLOOKUP(AJ64,$AN$2:$AX$11,2,0)),$AK$1:AK64)&lt;16,VLOOKUP(AJ64,$AN$2:$AX$11,2,0),IF(LOOKUP(2,1/($AD$1:AD64=VLOOKUP(AJ64,$AN$2:$AX$11,3,0)),$AK$1:AK64)&lt;16,VLOOKUP(AJ64,$AN$2:$AX$11,3,0),IF(LOOKUP(2,1/($AD$1:AD64=VLOOKUP(AJ64,$AN$2:$AX$11,4,0)),$AK$1:AK64)&lt;16,VLOOKUP(AJ64,$AN$2:$AX$11,4,0),IF(LOOKUP(2,1/($AD$1:AD64=VLOOKUP(AJ64,$AN$2:$AX$11,5,0)),$AK$1:AK64)&lt;16,VLOOKUP(AJ64,$AN$2:$AX$11,5,0),IF(LOOKUP(2,1/($AD$1:AD64=VLOOKUP(AJ64,$AN$2:$AX$11,6,0)),$AK$1:AK64)&lt;16,VLOOKUP(AJ64,$AN$2:$AX$11,6,0),IF(LOOKUP(2,1/($AD$1:AD64=VLOOKUP(AJ64,$AN$2:$AX$11,7,0)),$AK$1:AK64)&lt;16,VLOOKUP(AJ64,$AN$2:$AX$11,7,0),IF(LOOKUP(2,1/($AD$1:AD64=VLOOKUP(AJ64,$AN$2:$AX$11,8,0)),$AK$1:AK64)&lt;16,VLOOKUP(AJ64,$AN$2:$AX$11,8,0),IF(LOOKUP(2,1/($AD$1:AD64=VLOOKUP(AJ64,$AN$2:$AX$11,9,0)),$AK$1:AK64)&lt;16,VLOOKUP(AJ64,$AN$2:$AX$11,9,0),IF(LOOKUP(2,1/($AD$1:AD64=VLOOKUP(AJ64,$AN$2:$AX$11,10,0)),$AK$1:AK64)&lt;16,VLOOKUP(AJ64,$AN$2:$AX$11,10,0),VLOOKUP(AJ64,$AN$2:$AX$11,11,0)))))))))),VLOOKUP(AJ64,$AN$2:$AX$11,2,0))</f>
        <v>Team 6</v>
      </c>
      <c r="AK65">
        <f>COUNTIF($AD$1:AD65,AD65)</f>
        <v>0</v>
      </c>
      <c r="AL65">
        <f>COUNTIF($AK$1:AK65,"16")</f>
        <v>0</v>
      </c>
      <c r="AZ65" s="32">
        <f t="shared" si="17"/>
        <v>200</v>
      </c>
      <c r="BA65" s="33">
        <f t="shared" si="18"/>
        <v>200</v>
      </c>
      <c r="BB65" s="33">
        <f t="shared" si="19"/>
        <v>200</v>
      </c>
      <c r="BC65" s="33">
        <f t="shared" si="20"/>
        <v>200</v>
      </c>
      <c r="BD65" s="33">
        <f t="shared" si="21"/>
        <v>200</v>
      </c>
      <c r="BE65" s="33">
        <f t="shared" si="22"/>
        <v>200</v>
      </c>
      <c r="BF65" s="33">
        <f t="shared" si="23"/>
        <v>200</v>
      </c>
      <c r="BG65" s="33">
        <f t="shared" si="24"/>
        <v>200</v>
      </c>
      <c r="BH65" s="33">
        <f t="shared" si="25"/>
        <v>200</v>
      </c>
      <c r="BI65" s="34">
        <f t="shared" si="26"/>
        <v>200</v>
      </c>
    </row>
    <row r="66" spans="28:61" x14ac:dyDescent="0.25">
      <c r="AB66" s="14" t="str">
        <f>AD66&amp;COUNTIF($AD$2:AD66,AD66)</f>
        <v>0</v>
      </c>
      <c r="AC66" s="136"/>
      <c r="AD66" s="136"/>
      <c r="AE66" s="135"/>
      <c r="AF66" s="23" t="str">
        <f>IFERROR(VLOOKUP(AC66,Players!$B:$F,3,0),"")</f>
        <v/>
      </c>
      <c r="AG66" s="23" t="str">
        <f>IFERROR(VLOOKUP(AC66,Players!$B:$F,2,0),"")</f>
        <v/>
      </c>
      <c r="AH66" s="23" t="str">
        <f>IFERROR(VLOOKUP(AC66,Players!$B:$N,5,0),"")</f>
        <v/>
      </c>
      <c r="AI66" s="23">
        <v>65</v>
      </c>
      <c r="AJ66" s="28" t="str">
        <f>IFERROR(IF(LOOKUP(2,1/($AD$1:AD65=VLOOKUP(AJ65,$AN$2:$AX$11,2,0)),$AK$1:AK65)&lt;16,VLOOKUP(AJ65,$AN$2:$AX$11,2,0),IF(LOOKUP(2,1/($AD$1:AD65=VLOOKUP(AJ65,$AN$2:$AX$11,3,0)),$AK$1:AK65)&lt;16,VLOOKUP(AJ65,$AN$2:$AX$11,3,0),IF(LOOKUP(2,1/($AD$1:AD65=VLOOKUP(AJ65,$AN$2:$AX$11,4,0)),$AK$1:AK65)&lt;16,VLOOKUP(AJ65,$AN$2:$AX$11,4,0),IF(LOOKUP(2,1/($AD$1:AD65=VLOOKUP(AJ65,$AN$2:$AX$11,5,0)),$AK$1:AK65)&lt;16,VLOOKUP(AJ65,$AN$2:$AX$11,5,0),IF(LOOKUP(2,1/($AD$1:AD65=VLOOKUP(AJ65,$AN$2:$AX$11,6,0)),$AK$1:AK65)&lt;16,VLOOKUP(AJ65,$AN$2:$AX$11,6,0),IF(LOOKUP(2,1/($AD$1:AD65=VLOOKUP(AJ65,$AN$2:$AX$11,7,0)),$AK$1:AK65)&lt;16,VLOOKUP(AJ65,$AN$2:$AX$11,7,0),IF(LOOKUP(2,1/($AD$1:AD65=VLOOKUP(AJ65,$AN$2:$AX$11,8,0)),$AK$1:AK65)&lt;16,VLOOKUP(AJ65,$AN$2:$AX$11,8,0),IF(LOOKUP(2,1/($AD$1:AD65=VLOOKUP(AJ65,$AN$2:$AX$11,9,0)),$AK$1:AK65)&lt;16,VLOOKUP(AJ65,$AN$2:$AX$11,9,0),IF(LOOKUP(2,1/($AD$1:AD65=VLOOKUP(AJ65,$AN$2:$AX$11,10,0)),$AK$1:AK65)&lt;16,VLOOKUP(AJ65,$AN$2:$AX$11,10,0),VLOOKUP(AJ65,$AN$2:$AX$11,11,0)))))))))),VLOOKUP(AJ65,$AN$2:$AX$11,2,0))</f>
        <v>Team 7</v>
      </c>
      <c r="AK66">
        <f>COUNTIF($AD$1:AD66,AD66)</f>
        <v>0</v>
      </c>
      <c r="AL66">
        <f>COUNTIF($AK$1:AK66,"16")</f>
        <v>0</v>
      </c>
      <c r="AZ66" s="32">
        <f t="shared" ref="AZ66:AZ97" si="27">IF($AD66=AZ$1,IFERROR(AZ65-$AE66,200-$AE66),IFERROR(+AZ65-AZ65+AZ65,200))</f>
        <v>200</v>
      </c>
      <c r="BA66" s="33">
        <f t="shared" ref="BA66:BA97" si="28">IF($AD66=BA$1,IFERROR(BA65-$AE66,200-$AE66),IFERROR(+BA65-BA65+BA65,200))</f>
        <v>200</v>
      </c>
      <c r="BB66" s="33">
        <f t="shared" ref="BB66:BB97" si="29">IF($AD66=BB$1,IFERROR(BB65-$AE66,200-$AE66),IFERROR(+BB65-BB65+BB65,200))</f>
        <v>200</v>
      </c>
      <c r="BC66" s="33">
        <f t="shared" ref="BC66:BC97" si="30">IF($AD66=BC$1,IFERROR(BC65-$AE66,200-$AE66),IFERROR(+BC65-BC65+BC65,200))</f>
        <v>200</v>
      </c>
      <c r="BD66" s="33">
        <f t="shared" ref="BD66:BD97" si="31">IF($AD66=BD$1,IFERROR(BD65-$AE66,200-$AE66),IFERROR(+BD65-BD65+BD65,200))</f>
        <v>200</v>
      </c>
      <c r="BE66" s="33">
        <f t="shared" ref="BE66:BE97" si="32">IF($AD66=BE$1,IFERROR(BE65-$AE66,200-$AE66),IFERROR(+BE65-BE65+BE65,200))</f>
        <v>200</v>
      </c>
      <c r="BF66" s="33">
        <f t="shared" ref="BF66:BF97" si="33">IF($AD66=BF$1,IFERROR(BF65-$AE66,200-$AE66),IFERROR(+BF65-BF65+BF65,200))</f>
        <v>200</v>
      </c>
      <c r="BG66" s="33">
        <f t="shared" ref="BG66:BG97" si="34">IF($AD66=BG$1,IFERROR(BG65-$AE66,200-$AE66),IFERROR(+BG65-BG65+BG65,200))</f>
        <v>200</v>
      </c>
      <c r="BH66" s="33">
        <f t="shared" ref="BH66:BH97" si="35">IF($AD66=BH$1,IFERROR(BH65-$AE66,200-$AE66),IFERROR(+BH65-BH65+BH65,200))</f>
        <v>200</v>
      </c>
      <c r="BI66" s="34">
        <f t="shared" ref="BI66:BI97" si="36">IF($AD66=BI$1,IFERROR(BI65-$AE66,200-$AE66),IFERROR(+BI65-BI65+BI65,200))</f>
        <v>200</v>
      </c>
    </row>
    <row r="67" spans="28:61" x14ac:dyDescent="0.25">
      <c r="AB67" s="14" t="str">
        <f>AD67&amp;COUNTIF($AD$2:AD67,AD67)</f>
        <v>0</v>
      </c>
      <c r="AC67" s="136"/>
      <c r="AD67" s="136"/>
      <c r="AE67" s="135"/>
      <c r="AF67" s="23" t="str">
        <f>IFERROR(VLOOKUP(AC67,Players!$B:$F,3,0),"")</f>
        <v/>
      </c>
      <c r="AG67" s="23" t="str">
        <f>IFERROR(VLOOKUP(AC67,Players!$B:$F,2,0),"")</f>
        <v/>
      </c>
      <c r="AH67" s="23" t="str">
        <f>IFERROR(VLOOKUP(AC67,Players!$B:$N,5,0),"")</f>
        <v/>
      </c>
      <c r="AI67" s="23">
        <v>66</v>
      </c>
      <c r="AJ67" s="28" t="str">
        <f>IFERROR(IF(LOOKUP(2,1/($AD$1:AD66=VLOOKUP(AJ66,$AN$2:$AX$11,2,0)),$AK$1:AK66)&lt;16,VLOOKUP(AJ66,$AN$2:$AX$11,2,0),IF(LOOKUP(2,1/($AD$1:AD66=VLOOKUP(AJ66,$AN$2:$AX$11,3,0)),$AK$1:AK66)&lt;16,VLOOKUP(AJ66,$AN$2:$AX$11,3,0),IF(LOOKUP(2,1/($AD$1:AD66=VLOOKUP(AJ66,$AN$2:$AX$11,4,0)),$AK$1:AK66)&lt;16,VLOOKUP(AJ66,$AN$2:$AX$11,4,0),IF(LOOKUP(2,1/($AD$1:AD66=VLOOKUP(AJ66,$AN$2:$AX$11,5,0)),$AK$1:AK66)&lt;16,VLOOKUP(AJ66,$AN$2:$AX$11,5,0),IF(LOOKUP(2,1/($AD$1:AD66=VLOOKUP(AJ66,$AN$2:$AX$11,6,0)),$AK$1:AK66)&lt;16,VLOOKUP(AJ66,$AN$2:$AX$11,6,0),IF(LOOKUP(2,1/($AD$1:AD66=VLOOKUP(AJ66,$AN$2:$AX$11,7,0)),$AK$1:AK66)&lt;16,VLOOKUP(AJ66,$AN$2:$AX$11,7,0),IF(LOOKUP(2,1/($AD$1:AD66=VLOOKUP(AJ66,$AN$2:$AX$11,8,0)),$AK$1:AK66)&lt;16,VLOOKUP(AJ66,$AN$2:$AX$11,8,0),IF(LOOKUP(2,1/($AD$1:AD66=VLOOKUP(AJ66,$AN$2:$AX$11,9,0)),$AK$1:AK66)&lt;16,VLOOKUP(AJ66,$AN$2:$AX$11,9,0),IF(LOOKUP(2,1/($AD$1:AD66=VLOOKUP(AJ66,$AN$2:$AX$11,10,0)),$AK$1:AK66)&lt;16,VLOOKUP(AJ66,$AN$2:$AX$11,10,0),VLOOKUP(AJ66,$AN$2:$AX$11,11,0)))))))))),VLOOKUP(AJ66,$AN$2:$AX$11,2,0))</f>
        <v>Team 8</v>
      </c>
      <c r="AK67">
        <f>COUNTIF($AD$1:AD67,AD67)</f>
        <v>0</v>
      </c>
      <c r="AL67">
        <f>COUNTIF($AK$1:AK67,"16")</f>
        <v>0</v>
      </c>
      <c r="AZ67" s="32">
        <f t="shared" si="27"/>
        <v>200</v>
      </c>
      <c r="BA67" s="33">
        <f t="shared" si="28"/>
        <v>200</v>
      </c>
      <c r="BB67" s="33">
        <f t="shared" si="29"/>
        <v>200</v>
      </c>
      <c r="BC67" s="33">
        <f t="shared" si="30"/>
        <v>200</v>
      </c>
      <c r="BD67" s="33">
        <f t="shared" si="31"/>
        <v>200</v>
      </c>
      <c r="BE67" s="33">
        <f t="shared" si="32"/>
        <v>200</v>
      </c>
      <c r="BF67" s="33">
        <f t="shared" si="33"/>
        <v>200</v>
      </c>
      <c r="BG67" s="33">
        <f t="shared" si="34"/>
        <v>200</v>
      </c>
      <c r="BH67" s="33">
        <f t="shared" si="35"/>
        <v>200</v>
      </c>
      <c r="BI67" s="34">
        <f t="shared" si="36"/>
        <v>200</v>
      </c>
    </row>
    <row r="68" spans="28:61" x14ac:dyDescent="0.25">
      <c r="AB68" s="14" t="str">
        <f>AD68&amp;COUNTIF($AD$2:AD68,AD68)</f>
        <v>0</v>
      </c>
      <c r="AC68" s="136"/>
      <c r="AD68" s="136"/>
      <c r="AE68" s="135"/>
      <c r="AF68" s="23" t="str">
        <f>IFERROR(VLOOKUP(AC68,Players!$B:$F,3,0),"")</f>
        <v/>
      </c>
      <c r="AG68" s="23" t="str">
        <f>IFERROR(VLOOKUP(AC68,Players!$B:$F,2,0),"")</f>
        <v/>
      </c>
      <c r="AH68" s="23" t="str">
        <f>IFERROR(VLOOKUP(AC68,Players!$B:$N,5,0),"")</f>
        <v/>
      </c>
      <c r="AI68" s="23">
        <v>67</v>
      </c>
      <c r="AJ68" s="28" t="str">
        <f>IFERROR(IF(LOOKUP(2,1/($AD$1:AD67=VLOOKUP(AJ67,$AN$2:$AX$11,2,0)),$AK$1:AK67)&lt;16,VLOOKUP(AJ67,$AN$2:$AX$11,2,0),IF(LOOKUP(2,1/($AD$1:AD67=VLOOKUP(AJ67,$AN$2:$AX$11,3,0)),$AK$1:AK67)&lt;16,VLOOKUP(AJ67,$AN$2:$AX$11,3,0),IF(LOOKUP(2,1/($AD$1:AD67=VLOOKUP(AJ67,$AN$2:$AX$11,4,0)),$AK$1:AK67)&lt;16,VLOOKUP(AJ67,$AN$2:$AX$11,4,0),IF(LOOKUP(2,1/($AD$1:AD67=VLOOKUP(AJ67,$AN$2:$AX$11,5,0)),$AK$1:AK67)&lt;16,VLOOKUP(AJ67,$AN$2:$AX$11,5,0),IF(LOOKUP(2,1/($AD$1:AD67=VLOOKUP(AJ67,$AN$2:$AX$11,6,0)),$AK$1:AK67)&lt;16,VLOOKUP(AJ67,$AN$2:$AX$11,6,0),IF(LOOKUP(2,1/($AD$1:AD67=VLOOKUP(AJ67,$AN$2:$AX$11,7,0)),$AK$1:AK67)&lt;16,VLOOKUP(AJ67,$AN$2:$AX$11,7,0),IF(LOOKUP(2,1/($AD$1:AD67=VLOOKUP(AJ67,$AN$2:$AX$11,8,0)),$AK$1:AK67)&lt;16,VLOOKUP(AJ67,$AN$2:$AX$11,8,0),IF(LOOKUP(2,1/($AD$1:AD67=VLOOKUP(AJ67,$AN$2:$AX$11,9,0)),$AK$1:AK67)&lt;16,VLOOKUP(AJ67,$AN$2:$AX$11,9,0),IF(LOOKUP(2,1/($AD$1:AD67=VLOOKUP(AJ67,$AN$2:$AX$11,10,0)),$AK$1:AK67)&lt;16,VLOOKUP(AJ67,$AN$2:$AX$11,10,0),VLOOKUP(AJ67,$AN$2:$AX$11,11,0)))))))))),VLOOKUP(AJ67,$AN$2:$AX$11,2,0))</f>
        <v>Team Se</v>
      </c>
      <c r="AK68">
        <f>COUNTIF($AD$1:AD68,AD68)</f>
        <v>0</v>
      </c>
      <c r="AL68">
        <f>COUNTIF($AK$1:AK68,"16")</f>
        <v>0</v>
      </c>
      <c r="AZ68" s="32">
        <f t="shared" si="27"/>
        <v>200</v>
      </c>
      <c r="BA68" s="33">
        <f t="shared" si="28"/>
        <v>200</v>
      </c>
      <c r="BB68" s="33">
        <f t="shared" si="29"/>
        <v>200</v>
      </c>
      <c r="BC68" s="33">
        <f t="shared" si="30"/>
        <v>200</v>
      </c>
      <c r="BD68" s="33">
        <f t="shared" si="31"/>
        <v>200</v>
      </c>
      <c r="BE68" s="33">
        <f t="shared" si="32"/>
        <v>200</v>
      </c>
      <c r="BF68" s="33">
        <f t="shared" si="33"/>
        <v>200</v>
      </c>
      <c r="BG68" s="33">
        <f t="shared" si="34"/>
        <v>200</v>
      </c>
      <c r="BH68" s="33">
        <f t="shared" si="35"/>
        <v>200</v>
      </c>
      <c r="BI68" s="34">
        <f t="shared" si="36"/>
        <v>200</v>
      </c>
    </row>
    <row r="69" spans="28:61" x14ac:dyDescent="0.25">
      <c r="AB69" s="14" t="str">
        <f>AD69&amp;COUNTIF($AD$2:AD69,AD69)</f>
        <v>0</v>
      </c>
      <c r="AC69" s="136"/>
      <c r="AD69" s="136"/>
      <c r="AE69" s="135"/>
      <c r="AF69" s="23" t="str">
        <f>IFERROR(VLOOKUP(AC69,Players!$B:$F,3,0),"")</f>
        <v/>
      </c>
      <c r="AG69" s="23" t="str">
        <f>IFERROR(VLOOKUP(AC69,Players!$B:$F,2,0),"")</f>
        <v/>
      </c>
      <c r="AH69" s="23" t="str">
        <f>IFERROR(VLOOKUP(AC69,Players!$B:$N,5,0),"")</f>
        <v/>
      </c>
      <c r="AI69" s="23">
        <v>68</v>
      </c>
      <c r="AJ69" s="28" t="str">
        <f>IFERROR(IF(LOOKUP(2,1/($AD$1:AD68=VLOOKUP(AJ68,$AN$2:$AX$11,2,0)),$AK$1:AK68)&lt;16,VLOOKUP(AJ68,$AN$2:$AX$11,2,0),IF(LOOKUP(2,1/($AD$1:AD68=VLOOKUP(AJ68,$AN$2:$AX$11,3,0)),$AK$1:AK68)&lt;16,VLOOKUP(AJ68,$AN$2:$AX$11,3,0),IF(LOOKUP(2,1/($AD$1:AD68=VLOOKUP(AJ68,$AN$2:$AX$11,4,0)),$AK$1:AK68)&lt;16,VLOOKUP(AJ68,$AN$2:$AX$11,4,0),IF(LOOKUP(2,1/($AD$1:AD68=VLOOKUP(AJ68,$AN$2:$AX$11,5,0)),$AK$1:AK68)&lt;16,VLOOKUP(AJ68,$AN$2:$AX$11,5,0),IF(LOOKUP(2,1/($AD$1:AD68=VLOOKUP(AJ68,$AN$2:$AX$11,6,0)),$AK$1:AK68)&lt;16,VLOOKUP(AJ68,$AN$2:$AX$11,6,0),IF(LOOKUP(2,1/($AD$1:AD68=VLOOKUP(AJ68,$AN$2:$AX$11,7,0)),$AK$1:AK68)&lt;16,VLOOKUP(AJ68,$AN$2:$AX$11,7,0),IF(LOOKUP(2,1/($AD$1:AD68=VLOOKUP(AJ68,$AN$2:$AX$11,8,0)),$AK$1:AK68)&lt;16,VLOOKUP(AJ68,$AN$2:$AX$11,8,0),IF(LOOKUP(2,1/($AD$1:AD68=VLOOKUP(AJ68,$AN$2:$AX$11,9,0)),$AK$1:AK68)&lt;16,VLOOKUP(AJ68,$AN$2:$AX$11,9,0),IF(LOOKUP(2,1/($AD$1:AD68=VLOOKUP(AJ68,$AN$2:$AX$11,10,0)),$AK$1:AK68)&lt;16,VLOOKUP(AJ68,$AN$2:$AX$11,10,0),VLOOKUP(AJ68,$AN$2:$AX$11,11,0)))))))))),VLOOKUP(AJ68,$AN$2:$AX$11,2,0))</f>
        <v>Team 10</v>
      </c>
      <c r="AK69">
        <f>COUNTIF($AD$1:AD69,AD69)</f>
        <v>0</v>
      </c>
      <c r="AL69">
        <f>COUNTIF($AK$1:AK69,"16")</f>
        <v>0</v>
      </c>
      <c r="AZ69" s="32">
        <f t="shared" si="27"/>
        <v>200</v>
      </c>
      <c r="BA69" s="33">
        <f t="shared" si="28"/>
        <v>200</v>
      </c>
      <c r="BB69" s="33">
        <f t="shared" si="29"/>
        <v>200</v>
      </c>
      <c r="BC69" s="33">
        <f t="shared" si="30"/>
        <v>200</v>
      </c>
      <c r="BD69" s="33">
        <f t="shared" si="31"/>
        <v>200</v>
      </c>
      <c r="BE69" s="33">
        <f t="shared" si="32"/>
        <v>200</v>
      </c>
      <c r="BF69" s="33">
        <f t="shared" si="33"/>
        <v>200</v>
      </c>
      <c r="BG69" s="33">
        <f t="shared" si="34"/>
        <v>200</v>
      </c>
      <c r="BH69" s="33">
        <f t="shared" si="35"/>
        <v>200</v>
      </c>
      <c r="BI69" s="34">
        <f t="shared" si="36"/>
        <v>200</v>
      </c>
    </row>
    <row r="70" spans="28:61" x14ac:dyDescent="0.25">
      <c r="AB70" s="14" t="str">
        <f>AD70&amp;COUNTIF($AD$2:AD70,AD70)</f>
        <v>0</v>
      </c>
      <c r="AC70" s="136"/>
      <c r="AD70" s="136"/>
      <c r="AE70" s="135"/>
      <c r="AF70" s="23" t="str">
        <f>IFERROR(VLOOKUP(AC70,Players!$B:$F,3,0),"")</f>
        <v/>
      </c>
      <c r="AG70" s="23" t="str">
        <f>IFERROR(VLOOKUP(AC70,Players!$B:$F,2,0),"")</f>
        <v/>
      </c>
      <c r="AH70" s="23" t="str">
        <f>IFERROR(VLOOKUP(AC70,Players!$B:$N,5,0),"")</f>
        <v/>
      </c>
      <c r="AI70" s="23">
        <v>69</v>
      </c>
      <c r="AJ70" s="28" t="str">
        <f>IFERROR(IF(LOOKUP(2,1/($AD$1:AD69=VLOOKUP(AJ69,$AN$2:$AX$11,2,0)),$AK$1:AK69)&lt;16,VLOOKUP(AJ69,$AN$2:$AX$11,2,0),IF(LOOKUP(2,1/($AD$1:AD69=VLOOKUP(AJ69,$AN$2:$AX$11,3,0)),$AK$1:AK69)&lt;16,VLOOKUP(AJ69,$AN$2:$AX$11,3,0),IF(LOOKUP(2,1/($AD$1:AD69=VLOOKUP(AJ69,$AN$2:$AX$11,4,0)),$AK$1:AK69)&lt;16,VLOOKUP(AJ69,$AN$2:$AX$11,4,0),IF(LOOKUP(2,1/($AD$1:AD69=VLOOKUP(AJ69,$AN$2:$AX$11,5,0)),$AK$1:AK69)&lt;16,VLOOKUP(AJ69,$AN$2:$AX$11,5,0),IF(LOOKUP(2,1/($AD$1:AD69=VLOOKUP(AJ69,$AN$2:$AX$11,6,0)),$AK$1:AK69)&lt;16,VLOOKUP(AJ69,$AN$2:$AX$11,6,0),IF(LOOKUP(2,1/($AD$1:AD69=VLOOKUP(AJ69,$AN$2:$AX$11,7,0)),$AK$1:AK69)&lt;16,VLOOKUP(AJ69,$AN$2:$AX$11,7,0),IF(LOOKUP(2,1/($AD$1:AD69=VLOOKUP(AJ69,$AN$2:$AX$11,8,0)),$AK$1:AK69)&lt;16,VLOOKUP(AJ69,$AN$2:$AX$11,8,0),IF(LOOKUP(2,1/($AD$1:AD69=VLOOKUP(AJ69,$AN$2:$AX$11,9,0)),$AK$1:AK69)&lt;16,VLOOKUP(AJ69,$AN$2:$AX$11,9,0),IF(LOOKUP(2,1/($AD$1:AD69=VLOOKUP(AJ69,$AN$2:$AX$11,10,0)),$AK$1:AK69)&lt;16,VLOOKUP(AJ69,$AN$2:$AX$11,10,0),VLOOKUP(AJ69,$AN$2:$AX$11,11,0)))))))))),VLOOKUP(AJ69,$AN$2:$AX$11,2,0))</f>
        <v>Crouch</v>
      </c>
      <c r="AK70">
        <f>COUNTIF($AD$1:AD70,AD70)</f>
        <v>0</v>
      </c>
      <c r="AL70">
        <f>COUNTIF($AK$1:AK70,"16")</f>
        <v>0</v>
      </c>
      <c r="AZ70" s="32">
        <f t="shared" si="27"/>
        <v>200</v>
      </c>
      <c r="BA70" s="33">
        <f t="shared" si="28"/>
        <v>200</v>
      </c>
      <c r="BB70" s="33">
        <f t="shared" si="29"/>
        <v>200</v>
      </c>
      <c r="BC70" s="33">
        <f t="shared" si="30"/>
        <v>200</v>
      </c>
      <c r="BD70" s="33">
        <f t="shared" si="31"/>
        <v>200</v>
      </c>
      <c r="BE70" s="33">
        <f t="shared" si="32"/>
        <v>200</v>
      </c>
      <c r="BF70" s="33">
        <f t="shared" si="33"/>
        <v>200</v>
      </c>
      <c r="BG70" s="33">
        <f t="shared" si="34"/>
        <v>200</v>
      </c>
      <c r="BH70" s="33">
        <f t="shared" si="35"/>
        <v>200</v>
      </c>
      <c r="BI70" s="34">
        <f t="shared" si="36"/>
        <v>200</v>
      </c>
    </row>
    <row r="71" spans="28:61" x14ac:dyDescent="0.25">
      <c r="AB71" s="14" t="str">
        <f>AD71&amp;COUNTIF($AD$2:AD71,AD71)</f>
        <v>0</v>
      </c>
      <c r="AC71" s="136"/>
      <c r="AD71" s="136"/>
      <c r="AE71" s="135"/>
      <c r="AF71" s="23" t="str">
        <f>IFERROR(VLOOKUP(AC71,Players!$B:$F,3,0),"")</f>
        <v/>
      </c>
      <c r="AG71" s="23" t="str">
        <f>IFERROR(VLOOKUP(AC71,Players!$B:$F,2,0),"")</f>
        <v/>
      </c>
      <c r="AH71" s="23" t="str">
        <f>IFERROR(VLOOKUP(AC71,Players!$B:$N,5,0),"")</f>
        <v/>
      </c>
      <c r="AI71" s="23">
        <v>70</v>
      </c>
      <c r="AJ71" s="28" t="str">
        <f>IFERROR(IF(LOOKUP(2,1/($AD$1:AD70=VLOOKUP(AJ70,$AN$2:$AX$11,2,0)),$AK$1:AK70)&lt;16,VLOOKUP(AJ70,$AN$2:$AX$11,2,0),IF(LOOKUP(2,1/($AD$1:AD70=VLOOKUP(AJ70,$AN$2:$AX$11,3,0)),$AK$1:AK70)&lt;16,VLOOKUP(AJ70,$AN$2:$AX$11,3,0),IF(LOOKUP(2,1/($AD$1:AD70=VLOOKUP(AJ70,$AN$2:$AX$11,4,0)),$AK$1:AK70)&lt;16,VLOOKUP(AJ70,$AN$2:$AX$11,4,0),IF(LOOKUP(2,1/($AD$1:AD70=VLOOKUP(AJ70,$AN$2:$AX$11,5,0)),$AK$1:AK70)&lt;16,VLOOKUP(AJ70,$AN$2:$AX$11,5,0),IF(LOOKUP(2,1/($AD$1:AD70=VLOOKUP(AJ70,$AN$2:$AX$11,6,0)),$AK$1:AK70)&lt;16,VLOOKUP(AJ70,$AN$2:$AX$11,6,0),IF(LOOKUP(2,1/($AD$1:AD70=VLOOKUP(AJ70,$AN$2:$AX$11,7,0)),$AK$1:AK70)&lt;16,VLOOKUP(AJ70,$AN$2:$AX$11,7,0),IF(LOOKUP(2,1/($AD$1:AD70=VLOOKUP(AJ70,$AN$2:$AX$11,8,0)),$AK$1:AK70)&lt;16,VLOOKUP(AJ70,$AN$2:$AX$11,8,0),IF(LOOKUP(2,1/($AD$1:AD70=VLOOKUP(AJ70,$AN$2:$AX$11,9,0)),$AK$1:AK70)&lt;16,VLOOKUP(AJ70,$AN$2:$AX$11,9,0),IF(LOOKUP(2,1/($AD$1:AD70=VLOOKUP(AJ70,$AN$2:$AX$11,10,0)),$AK$1:AK70)&lt;16,VLOOKUP(AJ70,$AN$2:$AX$11,10,0),VLOOKUP(AJ70,$AN$2:$AX$11,11,0)))))))))),VLOOKUP(AJ70,$AN$2:$AX$11,2,0))</f>
        <v>Team 4</v>
      </c>
      <c r="AK71">
        <f>COUNTIF($AD$1:AD71,AD71)</f>
        <v>0</v>
      </c>
      <c r="AL71">
        <f>COUNTIF($AK$1:AK71,"16")</f>
        <v>0</v>
      </c>
      <c r="AZ71" s="32">
        <f t="shared" si="27"/>
        <v>200</v>
      </c>
      <c r="BA71" s="33">
        <f t="shared" si="28"/>
        <v>200</v>
      </c>
      <c r="BB71" s="33">
        <f t="shared" si="29"/>
        <v>200</v>
      </c>
      <c r="BC71" s="33">
        <f t="shared" si="30"/>
        <v>200</v>
      </c>
      <c r="BD71" s="33">
        <f t="shared" si="31"/>
        <v>200</v>
      </c>
      <c r="BE71" s="33">
        <f t="shared" si="32"/>
        <v>200</v>
      </c>
      <c r="BF71" s="33">
        <f t="shared" si="33"/>
        <v>200</v>
      </c>
      <c r="BG71" s="33">
        <f t="shared" si="34"/>
        <v>200</v>
      </c>
      <c r="BH71" s="33">
        <f t="shared" si="35"/>
        <v>200</v>
      </c>
      <c r="BI71" s="34">
        <f t="shared" si="36"/>
        <v>200</v>
      </c>
    </row>
    <row r="72" spans="28:61" x14ac:dyDescent="0.25">
      <c r="AB72" s="14" t="str">
        <f>AD72&amp;COUNTIF($AD$2:AD72,AD72)</f>
        <v>0</v>
      </c>
      <c r="AC72" s="136"/>
      <c r="AD72" s="136"/>
      <c r="AE72" s="135"/>
      <c r="AF72" s="23" t="str">
        <f>IFERROR(VLOOKUP(AC72,Players!$B:$F,3,0),"")</f>
        <v/>
      </c>
      <c r="AG72" s="23" t="str">
        <f>IFERROR(VLOOKUP(AC72,Players!$B:$F,2,0),"")</f>
        <v/>
      </c>
      <c r="AH72" s="23" t="str">
        <f>IFERROR(VLOOKUP(AC72,Players!$B:$N,5,0),"")</f>
        <v/>
      </c>
      <c r="AI72" s="23">
        <v>71</v>
      </c>
      <c r="AJ72" s="28" t="str">
        <f>IFERROR(IF(LOOKUP(2,1/($AD$1:AD71=VLOOKUP(AJ71,$AN$2:$AX$11,2,0)),$AK$1:AK71)&lt;16,VLOOKUP(AJ71,$AN$2:$AX$11,2,0),IF(LOOKUP(2,1/($AD$1:AD71=VLOOKUP(AJ71,$AN$2:$AX$11,3,0)),$AK$1:AK71)&lt;16,VLOOKUP(AJ71,$AN$2:$AX$11,3,0),IF(LOOKUP(2,1/($AD$1:AD71=VLOOKUP(AJ71,$AN$2:$AX$11,4,0)),$AK$1:AK71)&lt;16,VLOOKUP(AJ71,$AN$2:$AX$11,4,0),IF(LOOKUP(2,1/($AD$1:AD71=VLOOKUP(AJ71,$AN$2:$AX$11,5,0)),$AK$1:AK71)&lt;16,VLOOKUP(AJ71,$AN$2:$AX$11,5,0),IF(LOOKUP(2,1/($AD$1:AD71=VLOOKUP(AJ71,$AN$2:$AX$11,6,0)),$AK$1:AK71)&lt;16,VLOOKUP(AJ71,$AN$2:$AX$11,6,0),IF(LOOKUP(2,1/($AD$1:AD71=VLOOKUP(AJ71,$AN$2:$AX$11,7,0)),$AK$1:AK71)&lt;16,VLOOKUP(AJ71,$AN$2:$AX$11,7,0),IF(LOOKUP(2,1/($AD$1:AD71=VLOOKUP(AJ71,$AN$2:$AX$11,8,0)),$AK$1:AK71)&lt;16,VLOOKUP(AJ71,$AN$2:$AX$11,8,0),IF(LOOKUP(2,1/($AD$1:AD71=VLOOKUP(AJ71,$AN$2:$AX$11,9,0)),$AK$1:AK71)&lt;16,VLOOKUP(AJ71,$AN$2:$AX$11,9,0),IF(LOOKUP(2,1/($AD$1:AD71=VLOOKUP(AJ71,$AN$2:$AX$11,10,0)),$AK$1:AK71)&lt;16,VLOOKUP(AJ71,$AN$2:$AX$11,10,0),VLOOKUP(AJ71,$AN$2:$AX$11,11,0)))))))))),VLOOKUP(AJ71,$AN$2:$AX$11,2,0))</f>
        <v>Team 5</v>
      </c>
      <c r="AK72">
        <f>COUNTIF($AD$1:AD72,AD72)</f>
        <v>0</v>
      </c>
      <c r="AL72">
        <f>COUNTIF($AK$1:AK72,"16")</f>
        <v>0</v>
      </c>
      <c r="AZ72" s="32">
        <f t="shared" si="27"/>
        <v>200</v>
      </c>
      <c r="BA72" s="33">
        <f t="shared" si="28"/>
        <v>200</v>
      </c>
      <c r="BB72" s="33">
        <f t="shared" si="29"/>
        <v>200</v>
      </c>
      <c r="BC72" s="33">
        <f t="shared" si="30"/>
        <v>200</v>
      </c>
      <c r="BD72" s="33">
        <f t="shared" si="31"/>
        <v>200</v>
      </c>
      <c r="BE72" s="33">
        <f t="shared" si="32"/>
        <v>200</v>
      </c>
      <c r="BF72" s="33">
        <f t="shared" si="33"/>
        <v>200</v>
      </c>
      <c r="BG72" s="33">
        <f t="shared" si="34"/>
        <v>200</v>
      </c>
      <c r="BH72" s="33">
        <f t="shared" si="35"/>
        <v>200</v>
      </c>
      <c r="BI72" s="34">
        <f t="shared" si="36"/>
        <v>200</v>
      </c>
    </row>
    <row r="73" spans="28:61" x14ac:dyDescent="0.25">
      <c r="AB73" s="14" t="str">
        <f>AD73&amp;COUNTIF($AD$2:AD73,AD73)</f>
        <v>0</v>
      </c>
      <c r="AC73" s="136"/>
      <c r="AD73" s="136"/>
      <c r="AE73" s="135"/>
      <c r="AF73" s="23" t="str">
        <f>IFERROR(VLOOKUP(AC73,Players!$B:$F,3,0),"")</f>
        <v/>
      </c>
      <c r="AG73" s="23" t="str">
        <f>IFERROR(VLOOKUP(AC73,Players!$B:$F,2,0),"")</f>
        <v/>
      </c>
      <c r="AH73" s="23" t="str">
        <f>IFERROR(VLOOKUP(AC73,Players!$B:$N,5,0),"")</f>
        <v/>
      </c>
      <c r="AI73" s="23">
        <v>72</v>
      </c>
      <c r="AJ73" s="28" t="str">
        <f>IFERROR(IF(LOOKUP(2,1/($AD$1:AD72=VLOOKUP(AJ72,$AN$2:$AX$11,2,0)),$AK$1:AK72)&lt;16,VLOOKUP(AJ72,$AN$2:$AX$11,2,0),IF(LOOKUP(2,1/($AD$1:AD72=VLOOKUP(AJ72,$AN$2:$AX$11,3,0)),$AK$1:AK72)&lt;16,VLOOKUP(AJ72,$AN$2:$AX$11,3,0),IF(LOOKUP(2,1/($AD$1:AD72=VLOOKUP(AJ72,$AN$2:$AX$11,4,0)),$AK$1:AK72)&lt;16,VLOOKUP(AJ72,$AN$2:$AX$11,4,0),IF(LOOKUP(2,1/($AD$1:AD72=VLOOKUP(AJ72,$AN$2:$AX$11,5,0)),$AK$1:AK72)&lt;16,VLOOKUP(AJ72,$AN$2:$AX$11,5,0),IF(LOOKUP(2,1/($AD$1:AD72=VLOOKUP(AJ72,$AN$2:$AX$11,6,0)),$AK$1:AK72)&lt;16,VLOOKUP(AJ72,$AN$2:$AX$11,6,0),IF(LOOKUP(2,1/($AD$1:AD72=VLOOKUP(AJ72,$AN$2:$AX$11,7,0)),$AK$1:AK72)&lt;16,VLOOKUP(AJ72,$AN$2:$AX$11,7,0),IF(LOOKUP(2,1/($AD$1:AD72=VLOOKUP(AJ72,$AN$2:$AX$11,8,0)),$AK$1:AK72)&lt;16,VLOOKUP(AJ72,$AN$2:$AX$11,8,0),IF(LOOKUP(2,1/($AD$1:AD72=VLOOKUP(AJ72,$AN$2:$AX$11,9,0)),$AK$1:AK72)&lt;16,VLOOKUP(AJ72,$AN$2:$AX$11,9,0),IF(LOOKUP(2,1/($AD$1:AD72=VLOOKUP(AJ72,$AN$2:$AX$11,10,0)),$AK$1:AK72)&lt;16,VLOOKUP(AJ72,$AN$2:$AX$11,10,0),VLOOKUP(AJ72,$AN$2:$AX$11,11,0)))))))))),VLOOKUP(AJ72,$AN$2:$AX$11,2,0))</f>
        <v>Team 9</v>
      </c>
      <c r="AK73">
        <f>COUNTIF($AD$1:AD73,AD73)</f>
        <v>0</v>
      </c>
      <c r="AL73">
        <f>COUNTIF($AK$1:AK73,"16")</f>
        <v>0</v>
      </c>
      <c r="AZ73" s="32">
        <f t="shared" si="27"/>
        <v>200</v>
      </c>
      <c r="BA73" s="33">
        <f t="shared" si="28"/>
        <v>200</v>
      </c>
      <c r="BB73" s="33">
        <f t="shared" si="29"/>
        <v>200</v>
      </c>
      <c r="BC73" s="33">
        <f t="shared" si="30"/>
        <v>200</v>
      </c>
      <c r="BD73" s="33">
        <f t="shared" si="31"/>
        <v>200</v>
      </c>
      <c r="BE73" s="33">
        <f t="shared" si="32"/>
        <v>200</v>
      </c>
      <c r="BF73" s="33">
        <f t="shared" si="33"/>
        <v>200</v>
      </c>
      <c r="BG73" s="33">
        <f t="shared" si="34"/>
        <v>200</v>
      </c>
      <c r="BH73" s="33">
        <f t="shared" si="35"/>
        <v>200</v>
      </c>
      <c r="BI73" s="34">
        <f t="shared" si="36"/>
        <v>200</v>
      </c>
    </row>
    <row r="74" spans="28:61" x14ac:dyDescent="0.25">
      <c r="AB74" s="14" t="str">
        <f>AD74&amp;COUNTIF($AD$2:AD74,AD74)</f>
        <v>0</v>
      </c>
      <c r="AC74" s="136"/>
      <c r="AD74" s="136"/>
      <c r="AE74" s="135"/>
      <c r="AF74" s="23" t="str">
        <f>IFERROR(VLOOKUP(AC74,Players!$B:$F,3,0),"")</f>
        <v/>
      </c>
      <c r="AG74" s="23" t="str">
        <f>IFERROR(VLOOKUP(AC74,Players!$B:$F,2,0),"")</f>
        <v/>
      </c>
      <c r="AH74" s="23" t="str">
        <f>IFERROR(VLOOKUP(AC74,Players!$B:$N,5,0),"")</f>
        <v/>
      </c>
      <c r="AI74" s="23">
        <v>73</v>
      </c>
      <c r="AJ74" s="28" t="str">
        <f>IFERROR(IF(LOOKUP(2,1/($AD$1:AD73=VLOOKUP(AJ73,$AN$2:$AX$11,2,0)),$AK$1:AK73)&lt;16,VLOOKUP(AJ73,$AN$2:$AX$11,2,0),IF(LOOKUP(2,1/($AD$1:AD73=VLOOKUP(AJ73,$AN$2:$AX$11,3,0)),$AK$1:AK73)&lt;16,VLOOKUP(AJ73,$AN$2:$AX$11,3,0),IF(LOOKUP(2,1/($AD$1:AD73=VLOOKUP(AJ73,$AN$2:$AX$11,4,0)),$AK$1:AK73)&lt;16,VLOOKUP(AJ73,$AN$2:$AX$11,4,0),IF(LOOKUP(2,1/($AD$1:AD73=VLOOKUP(AJ73,$AN$2:$AX$11,5,0)),$AK$1:AK73)&lt;16,VLOOKUP(AJ73,$AN$2:$AX$11,5,0),IF(LOOKUP(2,1/($AD$1:AD73=VLOOKUP(AJ73,$AN$2:$AX$11,6,0)),$AK$1:AK73)&lt;16,VLOOKUP(AJ73,$AN$2:$AX$11,6,0),IF(LOOKUP(2,1/($AD$1:AD73=VLOOKUP(AJ73,$AN$2:$AX$11,7,0)),$AK$1:AK73)&lt;16,VLOOKUP(AJ73,$AN$2:$AX$11,7,0),IF(LOOKUP(2,1/($AD$1:AD73=VLOOKUP(AJ73,$AN$2:$AX$11,8,0)),$AK$1:AK73)&lt;16,VLOOKUP(AJ73,$AN$2:$AX$11,8,0),IF(LOOKUP(2,1/($AD$1:AD73=VLOOKUP(AJ73,$AN$2:$AX$11,9,0)),$AK$1:AK73)&lt;16,VLOOKUP(AJ73,$AN$2:$AX$11,9,0),IF(LOOKUP(2,1/($AD$1:AD73=VLOOKUP(AJ73,$AN$2:$AX$11,10,0)),$AK$1:AK73)&lt;16,VLOOKUP(AJ73,$AN$2:$AX$11,10,0),VLOOKUP(AJ73,$AN$2:$AX$11,11,0)))))))))),VLOOKUP(AJ73,$AN$2:$AX$11,2,0))</f>
        <v>Team 3</v>
      </c>
      <c r="AK74">
        <f>COUNTIF($AD$1:AD74,AD74)</f>
        <v>0</v>
      </c>
      <c r="AL74">
        <f>COUNTIF($AK$1:AK74,"16")</f>
        <v>0</v>
      </c>
      <c r="AZ74" s="32">
        <f t="shared" si="27"/>
        <v>200</v>
      </c>
      <c r="BA74" s="33">
        <f t="shared" si="28"/>
        <v>200</v>
      </c>
      <c r="BB74" s="33">
        <f t="shared" si="29"/>
        <v>200</v>
      </c>
      <c r="BC74" s="33">
        <f t="shared" si="30"/>
        <v>200</v>
      </c>
      <c r="BD74" s="33">
        <f t="shared" si="31"/>
        <v>200</v>
      </c>
      <c r="BE74" s="33">
        <f t="shared" si="32"/>
        <v>200</v>
      </c>
      <c r="BF74" s="33">
        <f t="shared" si="33"/>
        <v>200</v>
      </c>
      <c r="BG74" s="33">
        <f t="shared" si="34"/>
        <v>200</v>
      </c>
      <c r="BH74" s="33">
        <f t="shared" si="35"/>
        <v>200</v>
      </c>
      <c r="BI74" s="34">
        <f t="shared" si="36"/>
        <v>200</v>
      </c>
    </row>
    <row r="75" spans="28:61" x14ac:dyDescent="0.25">
      <c r="AB75" s="14" t="str">
        <f>AD75&amp;COUNTIF($AD$2:AD75,AD75)</f>
        <v>0</v>
      </c>
      <c r="AC75" s="136"/>
      <c r="AD75" s="136"/>
      <c r="AE75" s="135"/>
      <c r="AF75" s="23" t="str">
        <f>IFERROR(VLOOKUP(AC75,Players!$B:$F,3,0),"")</f>
        <v/>
      </c>
      <c r="AG75" s="23" t="str">
        <f>IFERROR(VLOOKUP(AC75,Players!$B:$F,2,0),"")</f>
        <v/>
      </c>
      <c r="AH75" s="23" t="str">
        <f>IFERROR(VLOOKUP(AC75,Players!$B:$N,5,0),"")</f>
        <v/>
      </c>
      <c r="AI75" s="23">
        <v>74</v>
      </c>
      <c r="AJ75" s="28" t="str">
        <f>IFERROR(IF(LOOKUP(2,1/($AD$1:AD74=VLOOKUP(AJ74,$AN$2:$AX$11,2,0)),$AK$1:AK74)&lt;16,VLOOKUP(AJ74,$AN$2:$AX$11,2,0),IF(LOOKUP(2,1/($AD$1:AD74=VLOOKUP(AJ74,$AN$2:$AX$11,3,0)),$AK$1:AK74)&lt;16,VLOOKUP(AJ74,$AN$2:$AX$11,3,0),IF(LOOKUP(2,1/($AD$1:AD74=VLOOKUP(AJ74,$AN$2:$AX$11,4,0)),$AK$1:AK74)&lt;16,VLOOKUP(AJ74,$AN$2:$AX$11,4,0),IF(LOOKUP(2,1/($AD$1:AD74=VLOOKUP(AJ74,$AN$2:$AX$11,5,0)),$AK$1:AK74)&lt;16,VLOOKUP(AJ74,$AN$2:$AX$11,5,0),IF(LOOKUP(2,1/($AD$1:AD74=VLOOKUP(AJ74,$AN$2:$AX$11,6,0)),$AK$1:AK74)&lt;16,VLOOKUP(AJ74,$AN$2:$AX$11,6,0),IF(LOOKUP(2,1/($AD$1:AD74=VLOOKUP(AJ74,$AN$2:$AX$11,7,0)),$AK$1:AK74)&lt;16,VLOOKUP(AJ74,$AN$2:$AX$11,7,0),IF(LOOKUP(2,1/($AD$1:AD74=VLOOKUP(AJ74,$AN$2:$AX$11,8,0)),$AK$1:AK74)&lt;16,VLOOKUP(AJ74,$AN$2:$AX$11,8,0),IF(LOOKUP(2,1/($AD$1:AD74=VLOOKUP(AJ74,$AN$2:$AX$11,9,0)),$AK$1:AK74)&lt;16,VLOOKUP(AJ74,$AN$2:$AX$11,9,0),IF(LOOKUP(2,1/($AD$1:AD74=VLOOKUP(AJ74,$AN$2:$AX$11,10,0)),$AK$1:AK74)&lt;16,VLOOKUP(AJ74,$AN$2:$AX$11,10,0),VLOOKUP(AJ74,$AN$2:$AX$11,11,0)))))))))),VLOOKUP(AJ74,$AN$2:$AX$11,2,0))</f>
        <v>Team 6</v>
      </c>
      <c r="AK75">
        <f>COUNTIF($AD$1:AD75,AD75)</f>
        <v>0</v>
      </c>
      <c r="AL75">
        <f>COUNTIF($AK$1:AK75,"16")</f>
        <v>0</v>
      </c>
      <c r="AZ75" s="32">
        <f t="shared" si="27"/>
        <v>200</v>
      </c>
      <c r="BA75" s="33">
        <f t="shared" si="28"/>
        <v>200</v>
      </c>
      <c r="BB75" s="33">
        <f t="shared" si="29"/>
        <v>200</v>
      </c>
      <c r="BC75" s="33">
        <f t="shared" si="30"/>
        <v>200</v>
      </c>
      <c r="BD75" s="33">
        <f t="shared" si="31"/>
        <v>200</v>
      </c>
      <c r="BE75" s="33">
        <f t="shared" si="32"/>
        <v>200</v>
      </c>
      <c r="BF75" s="33">
        <f t="shared" si="33"/>
        <v>200</v>
      </c>
      <c r="BG75" s="33">
        <f t="shared" si="34"/>
        <v>200</v>
      </c>
      <c r="BH75" s="33">
        <f t="shared" si="35"/>
        <v>200</v>
      </c>
      <c r="BI75" s="34">
        <f t="shared" si="36"/>
        <v>200</v>
      </c>
    </row>
    <row r="76" spans="28:61" x14ac:dyDescent="0.25">
      <c r="AB76" s="14" t="str">
        <f>AD76&amp;COUNTIF($AD$2:AD76,AD76)</f>
        <v>0</v>
      </c>
      <c r="AC76" s="136"/>
      <c r="AD76" s="136"/>
      <c r="AE76" s="135"/>
      <c r="AF76" s="23" t="str">
        <f>IFERROR(VLOOKUP(AC76,Players!$B:$F,3,0),"")</f>
        <v/>
      </c>
      <c r="AG76" s="23" t="str">
        <f>IFERROR(VLOOKUP(AC76,Players!$B:$F,2,0),"")</f>
        <v/>
      </c>
      <c r="AH76" s="23" t="str">
        <f>IFERROR(VLOOKUP(AC76,Players!$B:$N,5,0),"")</f>
        <v/>
      </c>
      <c r="AI76" s="23">
        <v>75</v>
      </c>
      <c r="AJ76" s="28" t="str">
        <f>IFERROR(IF(LOOKUP(2,1/($AD$1:AD75=VLOOKUP(AJ75,$AN$2:$AX$11,2,0)),$AK$1:AK75)&lt;16,VLOOKUP(AJ75,$AN$2:$AX$11,2,0),IF(LOOKUP(2,1/($AD$1:AD75=VLOOKUP(AJ75,$AN$2:$AX$11,3,0)),$AK$1:AK75)&lt;16,VLOOKUP(AJ75,$AN$2:$AX$11,3,0),IF(LOOKUP(2,1/($AD$1:AD75=VLOOKUP(AJ75,$AN$2:$AX$11,4,0)),$AK$1:AK75)&lt;16,VLOOKUP(AJ75,$AN$2:$AX$11,4,0),IF(LOOKUP(2,1/($AD$1:AD75=VLOOKUP(AJ75,$AN$2:$AX$11,5,0)),$AK$1:AK75)&lt;16,VLOOKUP(AJ75,$AN$2:$AX$11,5,0),IF(LOOKUP(2,1/($AD$1:AD75=VLOOKUP(AJ75,$AN$2:$AX$11,6,0)),$AK$1:AK75)&lt;16,VLOOKUP(AJ75,$AN$2:$AX$11,6,0),IF(LOOKUP(2,1/($AD$1:AD75=VLOOKUP(AJ75,$AN$2:$AX$11,7,0)),$AK$1:AK75)&lt;16,VLOOKUP(AJ75,$AN$2:$AX$11,7,0),IF(LOOKUP(2,1/($AD$1:AD75=VLOOKUP(AJ75,$AN$2:$AX$11,8,0)),$AK$1:AK75)&lt;16,VLOOKUP(AJ75,$AN$2:$AX$11,8,0),IF(LOOKUP(2,1/($AD$1:AD75=VLOOKUP(AJ75,$AN$2:$AX$11,9,0)),$AK$1:AK75)&lt;16,VLOOKUP(AJ75,$AN$2:$AX$11,9,0),IF(LOOKUP(2,1/($AD$1:AD75=VLOOKUP(AJ75,$AN$2:$AX$11,10,0)),$AK$1:AK75)&lt;16,VLOOKUP(AJ75,$AN$2:$AX$11,10,0),VLOOKUP(AJ75,$AN$2:$AX$11,11,0)))))))))),VLOOKUP(AJ75,$AN$2:$AX$11,2,0))</f>
        <v>Team 7</v>
      </c>
      <c r="AK76">
        <f>COUNTIF($AD$1:AD76,AD76)</f>
        <v>0</v>
      </c>
      <c r="AL76">
        <f>COUNTIF($AK$1:AK76,"16")</f>
        <v>0</v>
      </c>
      <c r="AZ76" s="32">
        <f t="shared" si="27"/>
        <v>200</v>
      </c>
      <c r="BA76" s="33">
        <f t="shared" si="28"/>
        <v>200</v>
      </c>
      <c r="BB76" s="33">
        <f t="shared" si="29"/>
        <v>200</v>
      </c>
      <c r="BC76" s="33">
        <f t="shared" si="30"/>
        <v>200</v>
      </c>
      <c r="BD76" s="33">
        <f t="shared" si="31"/>
        <v>200</v>
      </c>
      <c r="BE76" s="33">
        <f t="shared" si="32"/>
        <v>200</v>
      </c>
      <c r="BF76" s="33">
        <f t="shared" si="33"/>
        <v>200</v>
      </c>
      <c r="BG76" s="33">
        <f t="shared" si="34"/>
        <v>200</v>
      </c>
      <c r="BH76" s="33">
        <f t="shared" si="35"/>
        <v>200</v>
      </c>
      <c r="BI76" s="34">
        <f t="shared" si="36"/>
        <v>200</v>
      </c>
    </row>
    <row r="77" spans="28:61" x14ac:dyDescent="0.25">
      <c r="AB77" s="14" t="str">
        <f>AD77&amp;COUNTIF($AD$2:AD77,AD77)</f>
        <v>0</v>
      </c>
      <c r="AC77" s="136"/>
      <c r="AD77" s="136"/>
      <c r="AE77" s="135"/>
      <c r="AF77" s="23" t="str">
        <f>IFERROR(VLOOKUP(AC77,Players!$B:$F,3,0),"")</f>
        <v/>
      </c>
      <c r="AG77" s="23" t="str">
        <f>IFERROR(VLOOKUP(AC77,Players!$B:$F,2,0),"")</f>
        <v/>
      </c>
      <c r="AH77" s="23" t="str">
        <f>IFERROR(VLOOKUP(AC77,Players!$B:$N,5,0),"")</f>
        <v/>
      </c>
      <c r="AI77" s="23">
        <v>76</v>
      </c>
      <c r="AJ77" s="28" t="str">
        <f>IFERROR(IF(LOOKUP(2,1/($AD$1:AD76=VLOOKUP(AJ76,$AN$2:$AX$11,2,0)),$AK$1:AK76)&lt;16,VLOOKUP(AJ76,$AN$2:$AX$11,2,0),IF(LOOKUP(2,1/($AD$1:AD76=VLOOKUP(AJ76,$AN$2:$AX$11,3,0)),$AK$1:AK76)&lt;16,VLOOKUP(AJ76,$AN$2:$AX$11,3,0),IF(LOOKUP(2,1/($AD$1:AD76=VLOOKUP(AJ76,$AN$2:$AX$11,4,0)),$AK$1:AK76)&lt;16,VLOOKUP(AJ76,$AN$2:$AX$11,4,0),IF(LOOKUP(2,1/($AD$1:AD76=VLOOKUP(AJ76,$AN$2:$AX$11,5,0)),$AK$1:AK76)&lt;16,VLOOKUP(AJ76,$AN$2:$AX$11,5,0),IF(LOOKUP(2,1/($AD$1:AD76=VLOOKUP(AJ76,$AN$2:$AX$11,6,0)),$AK$1:AK76)&lt;16,VLOOKUP(AJ76,$AN$2:$AX$11,6,0),IF(LOOKUP(2,1/($AD$1:AD76=VLOOKUP(AJ76,$AN$2:$AX$11,7,0)),$AK$1:AK76)&lt;16,VLOOKUP(AJ76,$AN$2:$AX$11,7,0),IF(LOOKUP(2,1/($AD$1:AD76=VLOOKUP(AJ76,$AN$2:$AX$11,8,0)),$AK$1:AK76)&lt;16,VLOOKUP(AJ76,$AN$2:$AX$11,8,0),IF(LOOKUP(2,1/($AD$1:AD76=VLOOKUP(AJ76,$AN$2:$AX$11,9,0)),$AK$1:AK76)&lt;16,VLOOKUP(AJ76,$AN$2:$AX$11,9,0),IF(LOOKUP(2,1/($AD$1:AD76=VLOOKUP(AJ76,$AN$2:$AX$11,10,0)),$AK$1:AK76)&lt;16,VLOOKUP(AJ76,$AN$2:$AX$11,10,0),VLOOKUP(AJ76,$AN$2:$AX$11,11,0)))))))))),VLOOKUP(AJ76,$AN$2:$AX$11,2,0))</f>
        <v>Team 8</v>
      </c>
      <c r="AK77">
        <f>COUNTIF($AD$1:AD77,AD77)</f>
        <v>0</v>
      </c>
      <c r="AL77">
        <f>COUNTIF($AK$1:AK77,"16")</f>
        <v>0</v>
      </c>
      <c r="AZ77" s="32">
        <f t="shared" si="27"/>
        <v>200</v>
      </c>
      <c r="BA77" s="33">
        <f t="shared" si="28"/>
        <v>200</v>
      </c>
      <c r="BB77" s="33">
        <f t="shared" si="29"/>
        <v>200</v>
      </c>
      <c r="BC77" s="33">
        <f t="shared" si="30"/>
        <v>200</v>
      </c>
      <c r="BD77" s="33">
        <f t="shared" si="31"/>
        <v>200</v>
      </c>
      <c r="BE77" s="33">
        <f t="shared" si="32"/>
        <v>200</v>
      </c>
      <c r="BF77" s="33">
        <f t="shared" si="33"/>
        <v>200</v>
      </c>
      <c r="BG77" s="33">
        <f t="shared" si="34"/>
        <v>200</v>
      </c>
      <c r="BH77" s="33">
        <f t="shared" si="35"/>
        <v>200</v>
      </c>
      <c r="BI77" s="34">
        <f t="shared" si="36"/>
        <v>200</v>
      </c>
    </row>
    <row r="78" spans="28:61" x14ac:dyDescent="0.25">
      <c r="AB78" s="14" t="str">
        <f>AD78&amp;COUNTIF($AD$2:AD78,AD78)</f>
        <v>0</v>
      </c>
      <c r="AC78" s="136"/>
      <c r="AD78" s="136"/>
      <c r="AE78" s="135"/>
      <c r="AF78" s="23" t="str">
        <f>IFERROR(VLOOKUP(AC78,Players!$B:$F,3,0),"")</f>
        <v/>
      </c>
      <c r="AG78" s="23" t="str">
        <f>IFERROR(VLOOKUP(AC78,Players!$B:$F,2,0),"")</f>
        <v/>
      </c>
      <c r="AH78" s="23" t="str">
        <f>IFERROR(VLOOKUP(AC78,Players!$B:$N,5,0),"")</f>
        <v/>
      </c>
      <c r="AI78" s="23">
        <v>77</v>
      </c>
      <c r="AJ78" s="28" t="str">
        <f>IFERROR(IF(LOOKUP(2,1/($AD$1:AD77=VLOOKUP(AJ77,$AN$2:$AX$11,2,0)),$AK$1:AK77)&lt;16,VLOOKUP(AJ77,$AN$2:$AX$11,2,0),IF(LOOKUP(2,1/($AD$1:AD77=VLOOKUP(AJ77,$AN$2:$AX$11,3,0)),$AK$1:AK77)&lt;16,VLOOKUP(AJ77,$AN$2:$AX$11,3,0),IF(LOOKUP(2,1/($AD$1:AD77=VLOOKUP(AJ77,$AN$2:$AX$11,4,0)),$AK$1:AK77)&lt;16,VLOOKUP(AJ77,$AN$2:$AX$11,4,0),IF(LOOKUP(2,1/($AD$1:AD77=VLOOKUP(AJ77,$AN$2:$AX$11,5,0)),$AK$1:AK77)&lt;16,VLOOKUP(AJ77,$AN$2:$AX$11,5,0),IF(LOOKUP(2,1/($AD$1:AD77=VLOOKUP(AJ77,$AN$2:$AX$11,6,0)),$AK$1:AK77)&lt;16,VLOOKUP(AJ77,$AN$2:$AX$11,6,0),IF(LOOKUP(2,1/($AD$1:AD77=VLOOKUP(AJ77,$AN$2:$AX$11,7,0)),$AK$1:AK77)&lt;16,VLOOKUP(AJ77,$AN$2:$AX$11,7,0),IF(LOOKUP(2,1/($AD$1:AD77=VLOOKUP(AJ77,$AN$2:$AX$11,8,0)),$AK$1:AK77)&lt;16,VLOOKUP(AJ77,$AN$2:$AX$11,8,0),IF(LOOKUP(2,1/($AD$1:AD77=VLOOKUP(AJ77,$AN$2:$AX$11,9,0)),$AK$1:AK77)&lt;16,VLOOKUP(AJ77,$AN$2:$AX$11,9,0),IF(LOOKUP(2,1/($AD$1:AD77=VLOOKUP(AJ77,$AN$2:$AX$11,10,0)),$AK$1:AK77)&lt;16,VLOOKUP(AJ77,$AN$2:$AX$11,10,0),VLOOKUP(AJ77,$AN$2:$AX$11,11,0)))))))))),VLOOKUP(AJ77,$AN$2:$AX$11,2,0))</f>
        <v>Team Se</v>
      </c>
      <c r="AK78">
        <f>COUNTIF($AD$1:AD78,AD78)</f>
        <v>0</v>
      </c>
      <c r="AL78">
        <f>COUNTIF($AK$1:AK78,"16")</f>
        <v>0</v>
      </c>
      <c r="AZ78" s="32">
        <f t="shared" si="27"/>
        <v>200</v>
      </c>
      <c r="BA78" s="33">
        <f t="shared" si="28"/>
        <v>200</v>
      </c>
      <c r="BB78" s="33">
        <f t="shared" si="29"/>
        <v>200</v>
      </c>
      <c r="BC78" s="33">
        <f t="shared" si="30"/>
        <v>200</v>
      </c>
      <c r="BD78" s="33">
        <f t="shared" si="31"/>
        <v>200</v>
      </c>
      <c r="BE78" s="33">
        <f t="shared" si="32"/>
        <v>200</v>
      </c>
      <c r="BF78" s="33">
        <f t="shared" si="33"/>
        <v>200</v>
      </c>
      <c r="BG78" s="33">
        <f t="shared" si="34"/>
        <v>200</v>
      </c>
      <c r="BH78" s="33">
        <f t="shared" si="35"/>
        <v>200</v>
      </c>
      <c r="BI78" s="34">
        <f t="shared" si="36"/>
        <v>200</v>
      </c>
    </row>
    <row r="79" spans="28:61" x14ac:dyDescent="0.25">
      <c r="AB79" s="14" t="str">
        <f>AD79&amp;COUNTIF($AD$2:AD79,AD79)</f>
        <v>0</v>
      </c>
      <c r="AC79" s="136"/>
      <c r="AD79" s="136"/>
      <c r="AE79" s="135"/>
      <c r="AF79" s="23" t="str">
        <f>IFERROR(VLOOKUP(AC79,Players!$B:$F,3,0),"")</f>
        <v/>
      </c>
      <c r="AG79" s="23" t="str">
        <f>IFERROR(VLOOKUP(AC79,Players!$B:$F,2,0),"")</f>
        <v/>
      </c>
      <c r="AH79" s="23" t="str">
        <f>IFERROR(VLOOKUP(AC79,Players!$B:$N,5,0),"")</f>
        <v/>
      </c>
      <c r="AI79" s="23">
        <v>78</v>
      </c>
      <c r="AJ79" s="28" t="str">
        <f>IFERROR(IF(LOOKUP(2,1/($AD$1:AD78=VLOOKUP(AJ78,$AN$2:$AX$11,2,0)),$AK$1:AK78)&lt;16,VLOOKUP(AJ78,$AN$2:$AX$11,2,0),IF(LOOKUP(2,1/($AD$1:AD78=VLOOKUP(AJ78,$AN$2:$AX$11,3,0)),$AK$1:AK78)&lt;16,VLOOKUP(AJ78,$AN$2:$AX$11,3,0),IF(LOOKUP(2,1/($AD$1:AD78=VLOOKUP(AJ78,$AN$2:$AX$11,4,0)),$AK$1:AK78)&lt;16,VLOOKUP(AJ78,$AN$2:$AX$11,4,0),IF(LOOKUP(2,1/($AD$1:AD78=VLOOKUP(AJ78,$AN$2:$AX$11,5,0)),$AK$1:AK78)&lt;16,VLOOKUP(AJ78,$AN$2:$AX$11,5,0),IF(LOOKUP(2,1/($AD$1:AD78=VLOOKUP(AJ78,$AN$2:$AX$11,6,0)),$AK$1:AK78)&lt;16,VLOOKUP(AJ78,$AN$2:$AX$11,6,0),IF(LOOKUP(2,1/($AD$1:AD78=VLOOKUP(AJ78,$AN$2:$AX$11,7,0)),$AK$1:AK78)&lt;16,VLOOKUP(AJ78,$AN$2:$AX$11,7,0),IF(LOOKUP(2,1/($AD$1:AD78=VLOOKUP(AJ78,$AN$2:$AX$11,8,0)),$AK$1:AK78)&lt;16,VLOOKUP(AJ78,$AN$2:$AX$11,8,0),IF(LOOKUP(2,1/($AD$1:AD78=VLOOKUP(AJ78,$AN$2:$AX$11,9,0)),$AK$1:AK78)&lt;16,VLOOKUP(AJ78,$AN$2:$AX$11,9,0),IF(LOOKUP(2,1/($AD$1:AD78=VLOOKUP(AJ78,$AN$2:$AX$11,10,0)),$AK$1:AK78)&lt;16,VLOOKUP(AJ78,$AN$2:$AX$11,10,0),VLOOKUP(AJ78,$AN$2:$AX$11,11,0)))))))))),VLOOKUP(AJ78,$AN$2:$AX$11,2,0))</f>
        <v>Team 10</v>
      </c>
      <c r="AK79">
        <f>COUNTIF($AD$1:AD79,AD79)</f>
        <v>0</v>
      </c>
      <c r="AL79">
        <f>COUNTIF($AK$1:AK79,"16")</f>
        <v>0</v>
      </c>
      <c r="AZ79" s="32">
        <f t="shared" si="27"/>
        <v>200</v>
      </c>
      <c r="BA79" s="33">
        <f t="shared" si="28"/>
        <v>200</v>
      </c>
      <c r="BB79" s="33">
        <f t="shared" si="29"/>
        <v>200</v>
      </c>
      <c r="BC79" s="33">
        <f t="shared" si="30"/>
        <v>200</v>
      </c>
      <c r="BD79" s="33">
        <f t="shared" si="31"/>
        <v>200</v>
      </c>
      <c r="BE79" s="33">
        <f t="shared" si="32"/>
        <v>200</v>
      </c>
      <c r="BF79" s="33">
        <f t="shared" si="33"/>
        <v>200</v>
      </c>
      <c r="BG79" s="33">
        <f t="shared" si="34"/>
        <v>200</v>
      </c>
      <c r="BH79" s="33">
        <f t="shared" si="35"/>
        <v>200</v>
      </c>
      <c r="BI79" s="34">
        <f t="shared" si="36"/>
        <v>200</v>
      </c>
    </row>
    <row r="80" spans="28:61" x14ac:dyDescent="0.25">
      <c r="AB80" s="14" t="str">
        <f>AD80&amp;COUNTIF($AD$2:AD80,AD80)</f>
        <v>0</v>
      </c>
      <c r="AC80" s="136"/>
      <c r="AD80" s="136"/>
      <c r="AE80" s="135"/>
      <c r="AF80" s="23" t="str">
        <f>IFERROR(VLOOKUP(AC80,Players!$B:$F,3,0),"")</f>
        <v/>
      </c>
      <c r="AG80" s="23" t="str">
        <f>IFERROR(VLOOKUP(AC80,Players!$B:$F,2,0),"")</f>
        <v/>
      </c>
      <c r="AH80" s="23" t="str">
        <f>IFERROR(VLOOKUP(AC80,Players!$B:$N,5,0),"")</f>
        <v/>
      </c>
      <c r="AI80" s="23">
        <v>79</v>
      </c>
      <c r="AJ80" s="28" t="str">
        <f>IFERROR(IF(LOOKUP(2,1/($AD$1:AD79=VLOOKUP(AJ79,$AN$2:$AX$11,2,0)),$AK$1:AK79)&lt;16,VLOOKUP(AJ79,$AN$2:$AX$11,2,0),IF(LOOKUP(2,1/($AD$1:AD79=VLOOKUP(AJ79,$AN$2:$AX$11,3,0)),$AK$1:AK79)&lt;16,VLOOKUP(AJ79,$AN$2:$AX$11,3,0),IF(LOOKUP(2,1/($AD$1:AD79=VLOOKUP(AJ79,$AN$2:$AX$11,4,0)),$AK$1:AK79)&lt;16,VLOOKUP(AJ79,$AN$2:$AX$11,4,0),IF(LOOKUP(2,1/($AD$1:AD79=VLOOKUP(AJ79,$AN$2:$AX$11,5,0)),$AK$1:AK79)&lt;16,VLOOKUP(AJ79,$AN$2:$AX$11,5,0),IF(LOOKUP(2,1/($AD$1:AD79=VLOOKUP(AJ79,$AN$2:$AX$11,6,0)),$AK$1:AK79)&lt;16,VLOOKUP(AJ79,$AN$2:$AX$11,6,0),IF(LOOKUP(2,1/($AD$1:AD79=VLOOKUP(AJ79,$AN$2:$AX$11,7,0)),$AK$1:AK79)&lt;16,VLOOKUP(AJ79,$AN$2:$AX$11,7,0),IF(LOOKUP(2,1/($AD$1:AD79=VLOOKUP(AJ79,$AN$2:$AX$11,8,0)),$AK$1:AK79)&lt;16,VLOOKUP(AJ79,$AN$2:$AX$11,8,0),IF(LOOKUP(2,1/($AD$1:AD79=VLOOKUP(AJ79,$AN$2:$AX$11,9,0)),$AK$1:AK79)&lt;16,VLOOKUP(AJ79,$AN$2:$AX$11,9,0),IF(LOOKUP(2,1/($AD$1:AD79=VLOOKUP(AJ79,$AN$2:$AX$11,10,0)),$AK$1:AK79)&lt;16,VLOOKUP(AJ79,$AN$2:$AX$11,10,0),VLOOKUP(AJ79,$AN$2:$AX$11,11,0)))))))))),VLOOKUP(AJ79,$AN$2:$AX$11,2,0))</f>
        <v>Crouch</v>
      </c>
      <c r="AK80">
        <f>COUNTIF($AD$1:AD80,AD80)</f>
        <v>0</v>
      </c>
      <c r="AL80">
        <f>COUNTIF($AK$1:AK80,"16")</f>
        <v>0</v>
      </c>
      <c r="AZ80" s="32">
        <f t="shared" si="27"/>
        <v>200</v>
      </c>
      <c r="BA80" s="33">
        <f t="shared" si="28"/>
        <v>200</v>
      </c>
      <c r="BB80" s="33">
        <f t="shared" si="29"/>
        <v>200</v>
      </c>
      <c r="BC80" s="33">
        <f t="shared" si="30"/>
        <v>200</v>
      </c>
      <c r="BD80" s="33">
        <f t="shared" si="31"/>
        <v>200</v>
      </c>
      <c r="BE80" s="33">
        <f t="shared" si="32"/>
        <v>200</v>
      </c>
      <c r="BF80" s="33">
        <f t="shared" si="33"/>
        <v>200</v>
      </c>
      <c r="BG80" s="33">
        <f t="shared" si="34"/>
        <v>200</v>
      </c>
      <c r="BH80" s="33">
        <f t="shared" si="35"/>
        <v>200</v>
      </c>
      <c r="BI80" s="34">
        <f t="shared" si="36"/>
        <v>200</v>
      </c>
    </row>
    <row r="81" spans="28:61" x14ac:dyDescent="0.25">
      <c r="AB81" s="14" t="str">
        <f>AD81&amp;COUNTIF($AD$2:AD81,AD81)</f>
        <v>0</v>
      </c>
      <c r="AC81" s="136"/>
      <c r="AD81" s="136"/>
      <c r="AE81" s="135"/>
      <c r="AF81" s="23" t="str">
        <f>IFERROR(VLOOKUP(AC81,Players!$B:$F,3,0),"")</f>
        <v/>
      </c>
      <c r="AG81" s="23" t="str">
        <f>IFERROR(VLOOKUP(AC81,Players!$B:$F,2,0),"")</f>
        <v/>
      </c>
      <c r="AH81" s="23" t="str">
        <f>IFERROR(VLOOKUP(AC81,Players!$B:$N,5,0),"")</f>
        <v/>
      </c>
      <c r="AI81" s="23">
        <v>80</v>
      </c>
      <c r="AJ81" s="28" t="str">
        <f>IFERROR(IF(LOOKUP(2,1/($AD$1:AD80=VLOOKUP(AJ80,$AN$2:$AX$11,2,0)),$AK$1:AK80)&lt;16,VLOOKUP(AJ80,$AN$2:$AX$11,2,0),IF(LOOKUP(2,1/($AD$1:AD80=VLOOKUP(AJ80,$AN$2:$AX$11,3,0)),$AK$1:AK80)&lt;16,VLOOKUP(AJ80,$AN$2:$AX$11,3,0),IF(LOOKUP(2,1/($AD$1:AD80=VLOOKUP(AJ80,$AN$2:$AX$11,4,0)),$AK$1:AK80)&lt;16,VLOOKUP(AJ80,$AN$2:$AX$11,4,0),IF(LOOKUP(2,1/($AD$1:AD80=VLOOKUP(AJ80,$AN$2:$AX$11,5,0)),$AK$1:AK80)&lt;16,VLOOKUP(AJ80,$AN$2:$AX$11,5,0),IF(LOOKUP(2,1/($AD$1:AD80=VLOOKUP(AJ80,$AN$2:$AX$11,6,0)),$AK$1:AK80)&lt;16,VLOOKUP(AJ80,$AN$2:$AX$11,6,0),IF(LOOKUP(2,1/($AD$1:AD80=VLOOKUP(AJ80,$AN$2:$AX$11,7,0)),$AK$1:AK80)&lt;16,VLOOKUP(AJ80,$AN$2:$AX$11,7,0),IF(LOOKUP(2,1/($AD$1:AD80=VLOOKUP(AJ80,$AN$2:$AX$11,8,0)),$AK$1:AK80)&lt;16,VLOOKUP(AJ80,$AN$2:$AX$11,8,0),IF(LOOKUP(2,1/($AD$1:AD80=VLOOKUP(AJ80,$AN$2:$AX$11,9,0)),$AK$1:AK80)&lt;16,VLOOKUP(AJ80,$AN$2:$AX$11,9,0),IF(LOOKUP(2,1/($AD$1:AD80=VLOOKUP(AJ80,$AN$2:$AX$11,10,0)),$AK$1:AK80)&lt;16,VLOOKUP(AJ80,$AN$2:$AX$11,10,0),VLOOKUP(AJ80,$AN$2:$AX$11,11,0)))))))))),VLOOKUP(AJ80,$AN$2:$AX$11,2,0))</f>
        <v>Team 4</v>
      </c>
      <c r="AK81">
        <f>COUNTIF($AD$1:AD81,AD81)</f>
        <v>0</v>
      </c>
      <c r="AL81">
        <f>COUNTIF($AK$1:AK81,"16")</f>
        <v>0</v>
      </c>
      <c r="AZ81" s="32">
        <f t="shared" si="27"/>
        <v>200</v>
      </c>
      <c r="BA81" s="33">
        <f t="shared" si="28"/>
        <v>200</v>
      </c>
      <c r="BB81" s="33">
        <f t="shared" si="29"/>
        <v>200</v>
      </c>
      <c r="BC81" s="33">
        <f t="shared" si="30"/>
        <v>200</v>
      </c>
      <c r="BD81" s="33">
        <f t="shared" si="31"/>
        <v>200</v>
      </c>
      <c r="BE81" s="33">
        <f t="shared" si="32"/>
        <v>200</v>
      </c>
      <c r="BF81" s="33">
        <f t="shared" si="33"/>
        <v>200</v>
      </c>
      <c r="BG81" s="33">
        <f t="shared" si="34"/>
        <v>200</v>
      </c>
      <c r="BH81" s="33">
        <f t="shared" si="35"/>
        <v>200</v>
      </c>
      <c r="BI81" s="34">
        <f t="shared" si="36"/>
        <v>200</v>
      </c>
    </row>
    <row r="82" spans="28:61" x14ac:dyDescent="0.25">
      <c r="AB82" s="14" t="str">
        <f>AD82&amp;COUNTIF($AD$2:AD82,AD82)</f>
        <v>0</v>
      </c>
      <c r="AC82" s="136"/>
      <c r="AD82" s="136"/>
      <c r="AE82" s="135"/>
      <c r="AF82" s="23" t="str">
        <f>IFERROR(VLOOKUP(AC82,Players!$B:$F,3,0),"")</f>
        <v/>
      </c>
      <c r="AG82" s="23" t="str">
        <f>IFERROR(VLOOKUP(AC82,Players!$B:$F,2,0),"")</f>
        <v/>
      </c>
      <c r="AH82" s="23" t="str">
        <f>IFERROR(VLOOKUP(AC82,Players!$B:$N,5,0),"")</f>
        <v/>
      </c>
      <c r="AI82" s="23">
        <v>81</v>
      </c>
      <c r="AJ82" s="28" t="str">
        <f>IFERROR(IF(LOOKUP(2,1/($AD$1:AD81=VLOOKUP(AJ81,$AN$2:$AX$11,2,0)),$AK$1:AK81)&lt;16,VLOOKUP(AJ81,$AN$2:$AX$11,2,0),IF(LOOKUP(2,1/($AD$1:AD81=VLOOKUP(AJ81,$AN$2:$AX$11,3,0)),$AK$1:AK81)&lt;16,VLOOKUP(AJ81,$AN$2:$AX$11,3,0),IF(LOOKUP(2,1/($AD$1:AD81=VLOOKUP(AJ81,$AN$2:$AX$11,4,0)),$AK$1:AK81)&lt;16,VLOOKUP(AJ81,$AN$2:$AX$11,4,0),IF(LOOKUP(2,1/($AD$1:AD81=VLOOKUP(AJ81,$AN$2:$AX$11,5,0)),$AK$1:AK81)&lt;16,VLOOKUP(AJ81,$AN$2:$AX$11,5,0),IF(LOOKUP(2,1/($AD$1:AD81=VLOOKUP(AJ81,$AN$2:$AX$11,6,0)),$AK$1:AK81)&lt;16,VLOOKUP(AJ81,$AN$2:$AX$11,6,0),IF(LOOKUP(2,1/($AD$1:AD81=VLOOKUP(AJ81,$AN$2:$AX$11,7,0)),$AK$1:AK81)&lt;16,VLOOKUP(AJ81,$AN$2:$AX$11,7,0),IF(LOOKUP(2,1/($AD$1:AD81=VLOOKUP(AJ81,$AN$2:$AX$11,8,0)),$AK$1:AK81)&lt;16,VLOOKUP(AJ81,$AN$2:$AX$11,8,0),IF(LOOKUP(2,1/($AD$1:AD81=VLOOKUP(AJ81,$AN$2:$AX$11,9,0)),$AK$1:AK81)&lt;16,VLOOKUP(AJ81,$AN$2:$AX$11,9,0),IF(LOOKUP(2,1/($AD$1:AD81=VLOOKUP(AJ81,$AN$2:$AX$11,10,0)),$AK$1:AK81)&lt;16,VLOOKUP(AJ81,$AN$2:$AX$11,10,0),VLOOKUP(AJ81,$AN$2:$AX$11,11,0)))))))))),VLOOKUP(AJ81,$AN$2:$AX$11,2,0))</f>
        <v>Team 5</v>
      </c>
      <c r="AK82">
        <f>COUNTIF($AD$1:AD82,AD82)</f>
        <v>0</v>
      </c>
      <c r="AL82">
        <f>COUNTIF($AK$1:AK82,"16")</f>
        <v>0</v>
      </c>
      <c r="AZ82" s="32">
        <f t="shared" si="27"/>
        <v>200</v>
      </c>
      <c r="BA82" s="33">
        <f t="shared" si="28"/>
        <v>200</v>
      </c>
      <c r="BB82" s="33">
        <f t="shared" si="29"/>
        <v>200</v>
      </c>
      <c r="BC82" s="33">
        <f t="shared" si="30"/>
        <v>200</v>
      </c>
      <c r="BD82" s="33">
        <f t="shared" si="31"/>
        <v>200</v>
      </c>
      <c r="BE82" s="33">
        <f t="shared" si="32"/>
        <v>200</v>
      </c>
      <c r="BF82" s="33">
        <f t="shared" si="33"/>
        <v>200</v>
      </c>
      <c r="BG82" s="33">
        <f t="shared" si="34"/>
        <v>200</v>
      </c>
      <c r="BH82" s="33">
        <f t="shared" si="35"/>
        <v>200</v>
      </c>
      <c r="BI82" s="34">
        <f t="shared" si="36"/>
        <v>200</v>
      </c>
    </row>
    <row r="83" spans="28:61" x14ac:dyDescent="0.25">
      <c r="AB83" s="14" t="str">
        <f>AD83&amp;COUNTIF($AD$2:AD83,AD83)</f>
        <v>0</v>
      </c>
      <c r="AC83" s="136"/>
      <c r="AD83" s="136"/>
      <c r="AE83" s="135"/>
      <c r="AF83" s="23" t="str">
        <f>IFERROR(VLOOKUP(AC83,Players!$B:$F,3,0),"")</f>
        <v/>
      </c>
      <c r="AG83" s="23" t="str">
        <f>IFERROR(VLOOKUP(AC83,Players!$B:$F,2,0),"")</f>
        <v/>
      </c>
      <c r="AH83" s="23" t="str">
        <f>IFERROR(VLOOKUP(AC83,Players!$B:$N,5,0),"")</f>
        <v/>
      </c>
      <c r="AI83" s="23">
        <v>82</v>
      </c>
      <c r="AJ83" s="28" t="str">
        <f>IFERROR(IF(LOOKUP(2,1/($AD$1:AD82=VLOOKUP(AJ82,$AN$2:$AX$11,2,0)),$AK$1:AK82)&lt;16,VLOOKUP(AJ82,$AN$2:$AX$11,2,0),IF(LOOKUP(2,1/($AD$1:AD82=VLOOKUP(AJ82,$AN$2:$AX$11,3,0)),$AK$1:AK82)&lt;16,VLOOKUP(AJ82,$AN$2:$AX$11,3,0),IF(LOOKUP(2,1/($AD$1:AD82=VLOOKUP(AJ82,$AN$2:$AX$11,4,0)),$AK$1:AK82)&lt;16,VLOOKUP(AJ82,$AN$2:$AX$11,4,0),IF(LOOKUP(2,1/($AD$1:AD82=VLOOKUP(AJ82,$AN$2:$AX$11,5,0)),$AK$1:AK82)&lt;16,VLOOKUP(AJ82,$AN$2:$AX$11,5,0),IF(LOOKUP(2,1/($AD$1:AD82=VLOOKUP(AJ82,$AN$2:$AX$11,6,0)),$AK$1:AK82)&lt;16,VLOOKUP(AJ82,$AN$2:$AX$11,6,0),IF(LOOKUP(2,1/($AD$1:AD82=VLOOKUP(AJ82,$AN$2:$AX$11,7,0)),$AK$1:AK82)&lt;16,VLOOKUP(AJ82,$AN$2:$AX$11,7,0),IF(LOOKUP(2,1/($AD$1:AD82=VLOOKUP(AJ82,$AN$2:$AX$11,8,0)),$AK$1:AK82)&lt;16,VLOOKUP(AJ82,$AN$2:$AX$11,8,0),IF(LOOKUP(2,1/($AD$1:AD82=VLOOKUP(AJ82,$AN$2:$AX$11,9,0)),$AK$1:AK82)&lt;16,VLOOKUP(AJ82,$AN$2:$AX$11,9,0),IF(LOOKUP(2,1/($AD$1:AD82=VLOOKUP(AJ82,$AN$2:$AX$11,10,0)),$AK$1:AK82)&lt;16,VLOOKUP(AJ82,$AN$2:$AX$11,10,0),VLOOKUP(AJ82,$AN$2:$AX$11,11,0)))))))))),VLOOKUP(AJ82,$AN$2:$AX$11,2,0))</f>
        <v>Team 9</v>
      </c>
      <c r="AK83">
        <f>COUNTIF($AD$1:AD83,AD83)</f>
        <v>0</v>
      </c>
      <c r="AL83">
        <f>COUNTIF($AK$1:AK83,"16")</f>
        <v>0</v>
      </c>
      <c r="AZ83" s="32">
        <f t="shared" si="27"/>
        <v>200</v>
      </c>
      <c r="BA83" s="33">
        <f t="shared" si="28"/>
        <v>200</v>
      </c>
      <c r="BB83" s="33">
        <f t="shared" si="29"/>
        <v>200</v>
      </c>
      <c r="BC83" s="33">
        <f t="shared" si="30"/>
        <v>200</v>
      </c>
      <c r="BD83" s="33">
        <f t="shared" si="31"/>
        <v>200</v>
      </c>
      <c r="BE83" s="33">
        <f t="shared" si="32"/>
        <v>200</v>
      </c>
      <c r="BF83" s="33">
        <f t="shared" si="33"/>
        <v>200</v>
      </c>
      <c r="BG83" s="33">
        <f t="shared" si="34"/>
        <v>200</v>
      </c>
      <c r="BH83" s="33">
        <f t="shared" si="35"/>
        <v>200</v>
      </c>
      <c r="BI83" s="34">
        <f t="shared" si="36"/>
        <v>200</v>
      </c>
    </row>
    <row r="84" spans="28:61" x14ac:dyDescent="0.25">
      <c r="AB84" s="14" t="str">
        <f>AD84&amp;COUNTIF($AD$2:AD84,AD84)</f>
        <v>0</v>
      </c>
      <c r="AC84" s="136"/>
      <c r="AD84" s="136"/>
      <c r="AE84" s="135"/>
      <c r="AF84" s="23" t="str">
        <f>IFERROR(VLOOKUP(AC84,Players!$B:$F,3,0),"")</f>
        <v/>
      </c>
      <c r="AG84" s="23" t="str">
        <f>IFERROR(VLOOKUP(AC84,Players!$B:$F,2,0),"")</f>
        <v/>
      </c>
      <c r="AH84" s="23" t="str">
        <f>IFERROR(VLOOKUP(AC84,Players!$B:$N,5,0),"")</f>
        <v/>
      </c>
      <c r="AI84" s="23">
        <v>83</v>
      </c>
      <c r="AJ84" s="28" t="str">
        <f>IFERROR(IF(LOOKUP(2,1/($AD$1:AD83=VLOOKUP(AJ83,$AN$2:$AX$11,2,0)),$AK$1:AK83)&lt;16,VLOOKUP(AJ83,$AN$2:$AX$11,2,0),IF(LOOKUP(2,1/($AD$1:AD83=VLOOKUP(AJ83,$AN$2:$AX$11,3,0)),$AK$1:AK83)&lt;16,VLOOKUP(AJ83,$AN$2:$AX$11,3,0),IF(LOOKUP(2,1/($AD$1:AD83=VLOOKUP(AJ83,$AN$2:$AX$11,4,0)),$AK$1:AK83)&lt;16,VLOOKUP(AJ83,$AN$2:$AX$11,4,0),IF(LOOKUP(2,1/($AD$1:AD83=VLOOKUP(AJ83,$AN$2:$AX$11,5,0)),$AK$1:AK83)&lt;16,VLOOKUP(AJ83,$AN$2:$AX$11,5,0),IF(LOOKUP(2,1/($AD$1:AD83=VLOOKUP(AJ83,$AN$2:$AX$11,6,0)),$AK$1:AK83)&lt;16,VLOOKUP(AJ83,$AN$2:$AX$11,6,0),IF(LOOKUP(2,1/($AD$1:AD83=VLOOKUP(AJ83,$AN$2:$AX$11,7,0)),$AK$1:AK83)&lt;16,VLOOKUP(AJ83,$AN$2:$AX$11,7,0),IF(LOOKUP(2,1/($AD$1:AD83=VLOOKUP(AJ83,$AN$2:$AX$11,8,0)),$AK$1:AK83)&lt;16,VLOOKUP(AJ83,$AN$2:$AX$11,8,0),IF(LOOKUP(2,1/($AD$1:AD83=VLOOKUP(AJ83,$AN$2:$AX$11,9,0)),$AK$1:AK83)&lt;16,VLOOKUP(AJ83,$AN$2:$AX$11,9,0),IF(LOOKUP(2,1/($AD$1:AD83=VLOOKUP(AJ83,$AN$2:$AX$11,10,0)),$AK$1:AK83)&lt;16,VLOOKUP(AJ83,$AN$2:$AX$11,10,0),VLOOKUP(AJ83,$AN$2:$AX$11,11,0)))))))))),VLOOKUP(AJ83,$AN$2:$AX$11,2,0))</f>
        <v>Team 3</v>
      </c>
      <c r="AK84">
        <f>COUNTIF($AD$1:AD84,AD84)</f>
        <v>0</v>
      </c>
      <c r="AL84">
        <f>COUNTIF($AK$1:AK84,"16")</f>
        <v>0</v>
      </c>
      <c r="AZ84" s="32">
        <f t="shared" si="27"/>
        <v>200</v>
      </c>
      <c r="BA84" s="33">
        <f t="shared" si="28"/>
        <v>200</v>
      </c>
      <c r="BB84" s="33">
        <f t="shared" si="29"/>
        <v>200</v>
      </c>
      <c r="BC84" s="33">
        <f t="shared" si="30"/>
        <v>200</v>
      </c>
      <c r="BD84" s="33">
        <f t="shared" si="31"/>
        <v>200</v>
      </c>
      <c r="BE84" s="33">
        <f t="shared" si="32"/>
        <v>200</v>
      </c>
      <c r="BF84" s="33">
        <f t="shared" si="33"/>
        <v>200</v>
      </c>
      <c r="BG84" s="33">
        <f t="shared" si="34"/>
        <v>200</v>
      </c>
      <c r="BH84" s="33">
        <f t="shared" si="35"/>
        <v>200</v>
      </c>
      <c r="BI84" s="34">
        <f t="shared" si="36"/>
        <v>200</v>
      </c>
    </row>
    <row r="85" spans="28:61" x14ac:dyDescent="0.25">
      <c r="AB85" s="14" t="str">
        <f>AD85&amp;COUNTIF($AD$2:AD85,AD85)</f>
        <v>0</v>
      </c>
      <c r="AC85" s="136"/>
      <c r="AD85" s="136"/>
      <c r="AE85" s="135"/>
      <c r="AF85" s="23" t="str">
        <f>IFERROR(VLOOKUP(AC85,Players!$B:$F,3,0),"")</f>
        <v/>
      </c>
      <c r="AG85" s="23" t="str">
        <f>IFERROR(VLOOKUP(AC85,Players!$B:$F,2,0),"")</f>
        <v/>
      </c>
      <c r="AH85" s="23" t="str">
        <f>IFERROR(VLOOKUP(AC85,Players!$B:$N,5,0),"")</f>
        <v/>
      </c>
      <c r="AI85" s="23">
        <v>84</v>
      </c>
      <c r="AJ85" s="28" t="str">
        <f>IFERROR(IF(LOOKUP(2,1/($AD$1:AD84=VLOOKUP(AJ84,$AN$2:$AX$11,2,0)),$AK$1:AK84)&lt;16,VLOOKUP(AJ84,$AN$2:$AX$11,2,0),IF(LOOKUP(2,1/($AD$1:AD84=VLOOKUP(AJ84,$AN$2:$AX$11,3,0)),$AK$1:AK84)&lt;16,VLOOKUP(AJ84,$AN$2:$AX$11,3,0),IF(LOOKUP(2,1/($AD$1:AD84=VLOOKUP(AJ84,$AN$2:$AX$11,4,0)),$AK$1:AK84)&lt;16,VLOOKUP(AJ84,$AN$2:$AX$11,4,0),IF(LOOKUP(2,1/($AD$1:AD84=VLOOKUP(AJ84,$AN$2:$AX$11,5,0)),$AK$1:AK84)&lt;16,VLOOKUP(AJ84,$AN$2:$AX$11,5,0),IF(LOOKUP(2,1/($AD$1:AD84=VLOOKUP(AJ84,$AN$2:$AX$11,6,0)),$AK$1:AK84)&lt;16,VLOOKUP(AJ84,$AN$2:$AX$11,6,0),IF(LOOKUP(2,1/($AD$1:AD84=VLOOKUP(AJ84,$AN$2:$AX$11,7,0)),$AK$1:AK84)&lt;16,VLOOKUP(AJ84,$AN$2:$AX$11,7,0),IF(LOOKUP(2,1/($AD$1:AD84=VLOOKUP(AJ84,$AN$2:$AX$11,8,0)),$AK$1:AK84)&lt;16,VLOOKUP(AJ84,$AN$2:$AX$11,8,0),IF(LOOKUP(2,1/($AD$1:AD84=VLOOKUP(AJ84,$AN$2:$AX$11,9,0)),$AK$1:AK84)&lt;16,VLOOKUP(AJ84,$AN$2:$AX$11,9,0),IF(LOOKUP(2,1/($AD$1:AD84=VLOOKUP(AJ84,$AN$2:$AX$11,10,0)),$AK$1:AK84)&lt;16,VLOOKUP(AJ84,$AN$2:$AX$11,10,0),VLOOKUP(AJ84,$AN$2:$AX$11,11,0)))))))))),VLOOKUP(AJ84,$AN$2:$AX$11,2,0))</f>
        <v>Team 6</v>
      </c>
      <c r="AK85">
        <f>COUNTIF($AD$1:AD85,AD85)</f>
        <v>0</v>
      </c>
      <c r="AL85">
        <f>COUNTIF($AK$1:AK85,"16")</f>
        <v>0</v>
      </c>
      <c r="AZ85" s="32">
        <f t="shared" si="27"/>
        <v>200</v>
      </c>
      <c r="BA85" s="33">
        <f t="shared" si="28"/>
        <v>200</v>
      </c>
      <c r="BB85" s="33">
        <f t="shared" si="29"/>
        <v>200</v>
      </c>
      <c r="BC85" s="33">
        <f t="shared" si="30"/>
        <v>200</v>
      </c>
      <c r="BD85" s="33">
        <f t="shared" si="31"/>
        <v>200</v>
      </c>
      <c r="BE85" s="33">
        <f t="shared" si="32"/>
        <v>200</v>
      </c>
      <c r="BF85" s="33">
        <f t="shared" si="33"/>
        <v>200</v>
      </c>
      <c r="BG85" s="33">
        <f t="shared" si="34"/>
        <v>200</v>
      </c>
      <c r="BH85" s="33">
        <f t="shared" si="35"/>
        <v>200</v>
      </c>
      <c r="BI85" s="34">
        <f t="shared" si="36"/>
        <v>200</v>
      </c>
    </row>
    <row r="86" spans="28:61" x14ac:dyDescent="0.25">
      <c r="AB86" s="14" t="str">
        <f>AD86&amp;COUNTIF($AD$2:AD86,AD86)</f>
        <v>0</v>
      </c>
      <c r="AC86" s="136"/>
      <c r="AD86" s="136"/>
      <c r="AE86" s="135"/>
      <c r="AF86" s="23" t="str">
        <f>IFERROR(VLOOKUP(AC86,Players!$B:$F,3,0),"")</f>
        <v/>
      </c>
      <c r="AG86" s="23" t="str">
        <f>IFERROR(VLOOKUP(AC86,Players!$B:$F,2,0),"")</f>
        <v/>
      </c>
      <c r="AH86" s="23" t="str">
        <f>IFERROR(VLOOKUP(AC86,Players!$B:$N,5,0),"")</f>
        <v/>
      </c>
      <c r="AI86" s="23">
        <v>85</v>
      </c>
      <c r="AJ86" s="28" t="str">
        <f>IFERROR(IF(LOOKUP(2,1/($AD$1:AD85=VLOOKUP(AJ85,$AN$2:$AX$11,2,0)),$AK$1:AK85)&lt;16,VLOOKUP(AJ85,$AN$2:$AX$11,2,0),IF(LOOKUP(2,1/($AD$1:AD85=VLOOKUP(AJ85,$AN$2:$AX$11,3,0)),$AK$1:AK85)&lt;16,VLOOKUP(AJ85,$AN$2:$AX$11,3,0),IF(LOOKUP(2,1/($AD$1:AD85=VLOOKUP(AJ85,$AN$2:$AX$11,4,0)),$AK$1:AK85)&lt;16,VLOOKUP(AJ85,$AN$2:$AX$11,4,0),IF(LOOKUP(2,1/($AD$1:AD85=VLOOKUP(AJ85,$AN$2:$AX$11,5,0)),$AK$1:AK85)&lt;16,VLOOKUP(AJ85,$AN$2:$AX$11,5,0),IF(LOOKUP(2,1/($AD$1:AD85=VLOOKUP(AJ85,$AN$2:$AX$11,6,0)),$AK$1:AK85)&lt;16,VLOOKUP(AJ85,$AN$2:$AX$11,6,0),IF(LOOKUP(2,1/($AD$1:AD85=VLOOKUP(AJ85,$AN$2:$AX$11,7,0)),$AK$1:AK85)&lt;16,VLOOKUP(AJ85,$AN$2:$AX$11,7,0),IF(LOOKUP(2,1/($AD$1:AD85=VLOOKUP(AJ85,$AN$2:$AX$11,8,0)),$AK$1:AK85)&lt;16,VLOOKUP(AJ85,$AN$2:$AX$11,8,0),IF(LOOKUP(2,1/($AD$1:AD85=VLOOKUP(AJ85,$AN$2:$AX$11,9,0)),$AK$1:AK85)&lt;16,VLOOKUP(AJ85,$AN$2:$AX$11,9,0),IF(LOOKUP(2,1/($AD$1:AD85=VLOOKUP(AJ85,$AN$2:$AX$11,10,0)),$AK$1:AK85)&lt;16,VLOOKUP(AJ85,$AN$2:$AX$11,10,0),VLOOKUP(AJ85,$AN$2:$AX$11,11,0)))))))))),VLOOKUP(AJ85,$AN$2:$AX$11,2,0))</f>
        <v>Team 7</v>
      </c>
      <c r="AK86">
        <f>COUNTIF($AD$1:AD86,AD86)</f>
        <v>0</v>
      </c>
      <c r="AL86">
        <f>COUNTIF($AK$1:AK86,"16")</f>
        <v>0</v>
      </c>
      <c r="AZ86" s="32">
        <f t="shared" si="27"/>
        <v>200</v>
      </c>
      <c r="BA86" s="33">
        <f t="shared" si="28"/>
        <v>200</v>
      </c>
      <c r="BB86" s="33">
        <f t="shared" si="29"/>
        <v>200</v>
      </c>
      <c r="BC86" s="33">
        <f t="shared" si="30"/>
        <v>200</v>
      </c>
      <c r="BD86" s="33">
        <f t="shared" si="31"/>
        <v>200</v>
      </c>
      <c r="BE86" s="33">
        <f t="shared" si="32"/>
        <v>200</v>
      </c>
      <c r="BF86" s="33">
        <f t="shared" si="33"/>
        <v>200</v>
      </c>
      <c r="BG86" s="33">
        <f t="shared" si="34"/>
        <v>200</v>
      </c>
      <c r="BH86" s="33">
        <f t="shared" si="35"/>
        <v>200</v>
      </c>
      <c r="BI86" s="34">
        <f t="shared" si="36"/>
        <v>200</v>
      </c>
    </row>
    <row r="87" spans="28:61" x14ac:dyDescent="0.25">
      <c r="AB87" s="14" t="str">
        <f>AD87&amp;COUNTIF($AD$2:AD87,AD87)</f>
        <v>0</v>
      </c>
      <c r="AC87" s="136"/>
      <c r="AD87" s="136"/>
      <c r="AE87" s="135"/>
      <c r="AF87" s="23" t="str">
        <f>IFERROR(VLOOKUP(AC87,Players!$B:$F,3,0),"")</f>
        <v/>
      </c>
      <c r="AG87" s="23" t="str">
        <f>IFERROR(VLOOKUP(AC87,Players!$B:$F,2,0),"")</f>
        <v/>
      </c>
      <c r="AH87" s="23" t="str">
        <f>IFERROR(VLOOKUP(AC87,Players!$B:$N,5,0),"")</f>
        <v/>
      </c>
      <c r="AI87" s="23">
        <v>86</v>
      </c>
      <c r="AJ87" s="28" t="str">
        <f>IFERROR(IF(LOOKUP(2,1/($AD$1:AD86=VLOOKUP(AJ86,$AN$2:$AX$11,2,0)),$AK$1:AK86)&lt;16,VLOOKUP(AJ86,$AN$2:$AX$11,2,0),IF(LOOKUP(2,1/($AD$1:AD86=VLOOKUP(AJ86,$AN$2:$AX$11,3,0)),$AK$1:AK86)&lt;16,VLOOKUP(AJ86,$AN$2:$AX$11,3,0),IF(LOOKUP(2,1/($AD$1:AD86=VLOOKUP(AJ86,$AN$2:$AX$11,4,0)),$AK$1:AK86)&lt;16,VLOOKUP(AJ86,$AN$2:$AX$11,4,0),IF(LOOKUP(2,1/($AD$1:AD86=VLOOKUP(AJ86,$AN$2:$AX$11,5,0)),$AK$1:AK86)&lt;16,VLOOKUP(AJ86,$AN$2:$AX$11,5,0),IF(LOOKUP(2,1/($AD$1:AD86=VLOOKUP(AJ86,$AN$2:$AX$11,6,0)),$AK$1:AK86)&lt;16,VLOOKUP(AJ86,$AN$2:$AX$11,6,0),IF(LOOKUP(2,1/($AD$1:AD86=VLOOKUP(AJ86,$AN$2:$AX$11,7,0)),$AK$1:AK86)&lt;16,VLOOKUP(AJ86,$AN$2:$AX$11,7,0),IF(LOOKUP(2,1/($AD$1:AD86=VLOOKUP(AJ86,$AN$2:$AX$11,8,0)),$AK$1:AK86)&lt;16,VLOOKUP(AJ86,$AN$2:$AX$11,8,0),IF(LOOKUP(2,1/($AD$1:AD86=VLOOKUP(AJ86,$AN$2:$AX$11,9,0)),$AK$1:AK86)&lt;16,VLOOKUP(AJ86,$AN$2:$AX$11,9,0),IF(LOOKUP(2,1/($AD$1:AD86=VLOOKUP(AJ86,$AN$2:$AX$11,10,0)),$AK$1:AK86)&lt;16,VLOOKUP(AJ86,$AN$2:$AX$11,10,0),VLOOKUP(AJ86,$AN$2:$AX$11,11,0)))))))))),VLOOKUP(AJ86,$AN$2:$AX$11,2,0))</f>
        <v>Team 8</v>
      </c>
      <c r="AK87">
        <f>COUNTIF($AD$1:AD87,AD87)</f>
        <v>0</v>
      </c>
      <c r="AL87">
        <f>COUNTIF($AK$1:AK87,"16")</f>
        <v>0</v>
      </c>
      <c r="AZ87" s="32">
        <f t="shared" si="27"/>
        <v>200</v>
      </c>
      <c r="BA87" s="33">
        <f t="shared" si="28"/>
        <v>200</v>
      </c>
      <c r="BB87" s="33">
        <f t="shared" si="29"/>
        <v>200</v>
      </c>
      <c r="BC87" s="33">
        <f t="shared" si="30"/>
        <v>200</v>
      </c>
      <c r="BD87" s="33">
        <f t="shared" si="31"/>
        <v>200</v>
      </c>
      <c r="BE87" s="33">
        <f t="shared" si="32"/>
        <v>200</v>
      </c>
      <c r="BF87" s="33">
        <f t="shared" si="33"/>
        <v>200</v>
      </c>
      <c r="BG87" s="33">
        <f t="shared" si="34"/>
        <v>200</v>
      </c>
      <c r="BH87" s="33">
        <f t="shared" si="35"/>
        <v>200</v>
      </c>
      <c r="BI87" s="34">
        <f t="shared" si="36"/>
        <v>200</v>
      </c>
    </row>
    <row r="88" spans="28:61" x14ac:dyDescent="0.25">
      <c r="AB88" s="14" t="str">
        <f>AD88&amp;COUNTIF($AD$2:AD88,AD88)</f>
        <v>0</v>
      </c>
      <c r="AC88" s="136"/>
      <c r="AD88" s="136"/>
      <c r="AE88" s="135"/>
      <c r="AF88" s="23" t="str">
        <f>IFERROR(VLOOKUP(AC88,Players!$B:$F,3,0),"")</f>
        <v/>
      </c>
      <c r="AG88" s="23" t="str">
        <f>IFERROR(VLOOKUP(AC88,Players!$B:$F,2,0),"")</f>
        <v/>
      </c>
      <c r="AH88" s="23" t="str">
        <f>IFERROR(VLOOKUP(AC88,Players!$B:$N,5,0),"")</f>
        <v/>
      </c>
      <c r="AI88" s="23">
        <v>87</v>
      </c>
      <c r="AJ88" s="28" t="str">
        <f>IFERROR(IF(LOOKUP(2,1/($AD$1:AD87=VLOOKUP(AJ87,$AN$2:$AX$11,2,0)),$AK$1:AK87)&lt;16,VLOOKUP(AJ87,$AN$2:$AX$11,2,0),IF(LOOKUP(2,1/($AD$1:AD87=VLOOKUP(AJ87,$AN$2:$AX$11,3,0)),$AK$1:AK87)&lt;16,VLOOKUP(AJ87,$AN$2:$AX$11,3,0),IF(LOOKUP(2,1/($AD$1:AD87=VLOOKUP(AJ87,$AN$2:$AX$11,4,0)),$AK$1:AK87)&lt;16,VLOOKUP(AJ87,$AN$2:$AX$11,4,0),IF(LOOKUP(2,1/($AD$1:AD87=VLOOKUP(AJ87,$AN$2:$AX$11,5,0)),$AK$1:AK87)&lt;16,VLOOKUP(AJ87,$AN$2:$AX$11,5,0),IF(LOOKUP(2,1/($AD$1:AD87=VLOOKUP(AJ87,$AN$2:$AX$11,6,0)),$AK$1:AK87)&lt;16,VLOOKUP(AJ87,$AN$2:$AX$11,6,0),IF(LOOKUP(2,1/($AD$1:AD87=VLOOKUP(AJ87,$AN$2:$AX$11,7,0)),$AK$1:AK87)&lt;16,VLOOKUP(AJ87,$AN$2:$AX$11,7,0),IF(LOOKUP(2,1/($AD$1:AD87=VLOOKUP(AJ87,$AN$2:$AX$11,8,0)),$AK$1:AK87)&lt;16,VLOOKUP(AJ87,$AN$2:$AX$11,8,0),IF(LOOKUP(2,1/($AD$1:AD87=VLOOKUP(AJ87,$AN$2:$AX$11,9,0)),$AK$1:AK87)&lt;16,VLOOKUP(AJ87,$AN$2:$AX$11,9,0),IF(LOOKUP(2,1/($AD$1:AD87=VLOOKUP(AJ87,$AN$2:$AX$11,10,0)),$AK$1:AK87)&lt;16,VLOOKUP(AJ87,$AN$2:$AX$11,10,0),VLOOKUP(AJ87,$AN$2:$AX$11,11,0)))))))))),VLOOKUP(AJ87,$AN$2:$AX$11,2,0))</f>
        <v>Team Se</v>
      </c>
      <c r="AK88">
        <f>COUNTIF($AD$1:AD88,AD88)</f>
        <v>0</v>
      </c>
      <c r="AL88">
        <f>COUNTIF($AK$1:AK88,"16")</f>
        <v>0</v>
      </c>
      <c r="AZ88" s="32">
        <f t="shared" si="27"/>
        <v>200</v>
      </c>
      <c r="BA88" s="33">
        <f t="shared" si="28"/>
        <v>200</v>
      </c>
      <c r="BB88" s="33">
        <f t="shared" si="29"/>
        <v>200</v>
      </c>
      <c r="BC88" s="33">
        <f t="shared" si="30"/>
        <v>200</v>
      </c>
      <c r="BD88" s="33">
        <f t="shared" si="31"/>
        <v>200</v>
      </c>
      <c r="BE88" s="33">
        <f t="shared" si="32"/>
        <v>200</v>
      </c>
      <c r="BF88" s="33">
        <f t="shared" si="33"/>
        <v>200</v>
      </c>
      <c r="BG88" s="33">
        <f t="shared" si="34"/>
        <v>200</v>
      </c>
      <c r="BH88" s="33">
        <f t="shared" si="35"/>
        <v>200</v>
      </c>
      <c r="BI88" s="34">
        <f t="shared" si="36"/>
        <v>200</v>
      </c>
    </row>
    <row r="89" spans="28:61" x14ac:dyDescent="0.25">
      <c r="AB89" s="14" t="str">
        <f>AD89&amp;COUNTIF($AD$2:AD89,AD89)</f>
        <v>0</v>
      </c>
      <c r="AC89" s="136"/>
      <c r="AD89" s="136"/>
      <c r="AE89" s="135"/>
      <c r="AF89" s="23" t="str">
        <f>IFERROR(VLOOKUP(AC89,Players!$B:$F,3,0),"")</f>
        <v/>
      </c>
      <c r="AG89" s="23" t="str">
        <f>IFERROR(VLOOKUP(AC89,Players!$B:$F,2,0),"")</f>
        <v/>
      </c>
      <c r="AH89" s="23" t="str">
        <f>IFERROR(VLOOKUP(AC89,Players!$B:$N,5,0),"")</f>
        <v/>
      </c>
      <c r="AI89" s="23">
        <v>88</v>
      </c>
      <c r="AJ89" s="28" t="str">
        <f>IFERROR(IF(LOOKUP(2,1/($AD$1:AD88=VLOOKUP(AJ88,$AN$2:$AX$11,2,0)),$AK$1:AK88)&lt;16,VLOOKUP(AJ88,$AN$2:$AX$11,2,0),IF(LOOKUP(2,1/($AD$1:AD88=VLOOKUP(AJ88,$AN$2:$AX$11,3,0)),$AK$1:AK88)&lt;16,VLOOKUP(AJ88,$AN$2:$AX$11,3,0),IF(LOOKUP(2,1/($AD$1:AD88=VLOOKUP(AJ88,$AN$2:$AX$11,4,0)),$AK$1:AK88)&lt;16,VLOOKUP(AJ88,$AN$2:$AX$11,4,0),IF(LOOKUP(2,1/($AD$1:AD88=VLOOKUP(AJ88,$AN$2:$AX$11,5,0)),$AK$1:AK88)&lt;16,VLOOKUP(AJ88,$AN$2:$AX$11,5,0),IF(LOOKUP(2,1/($AD$1:AD88=VLOOKUP(AJ88,$AN$2:$AX$11,6,0)),$AK$1:AK88)&lt;16,VLOOKUP(AJ88,$AN$2:$AX$11,6,0),IF(LOOKUP(2,1/($AD$1:AD88=VLOOKUP(AJ88,$AN$2:$AX$11,7,0)),$AK$1:AK88)&lt;16,VLOOKUP(AJ88,$AN$2:$AX$11,7,0),IF(LOOKUP(2,1/($AD$1:AD88=VLOOKUP(AJ88,$AN$2:$AX$11,8,0)),$AK$1:AK88)&lt;16,VLOOKUP(AJ88,$AN$2:$AX$11,8,0),IF(LOOKUP(2,1/($AD$1:AD88=VLOOKUP(AJ88,$AN$2:$AX$11,9,0)),$AK$1:AK88)&lt;16,VLOOKUP(AJ88,$AN$2:$AX$11,9,0),IF(LOOKUP(2,1/($AD$1:AD88=VLOOKUP(AJ88,$AN$2:$AX$11,10,0)),$AK$1:AK88)&lt;16,VLOOKUP(AJ88,$AN$2:$AX$11,10,0),VLOOKUP(AJ88,$AN$2:$AX$11,11,0)))))))))),VLOOKUP(AJ88,$AN$2:$AX$11,2,0))</f>
        <v>Team 10</v>
      </c>
      <c r="AK89">
        <f>COUNTIF($AD$1:AD89,AD89)</f>
        <v>0</v>
      </c>
      <c r="AL89">
        <f>COUNTIF($AK$1:AK89,"16")</f>
        <v>0</v>
      </c>
      <c r="AZ89" s="32">
        <f t="shared" si="27"/>
        <v>200</v>
      </c>
      <c r="BA89" s="33">
        <f t="shared" si="28"/>
        <v>200</v>
      </c>
      <c r="BB89" s="33">
        <f t="shared" si="29"/>
        <v>200</v>
      </c>
      <c r="BC89" s="33">
        <f t="shared" si="30"/>
        <v>200</v>
      </c>
      <c r="BD89" s="33">
        <f t="shared" si="31"/>
        <v>200</v>
      </c>
      <c r="BE89" s="33">
        <f t="shared" si="32"/>
        <v>200</v>
      </c>
      <c r="BF89" s="33">
        <f t="shared" si="33"/>
        <v>200</v>
      </c>
      <c r="BG89" s="33">
        <f t="shared" si="34"/>
        <v>200</v>
      </c>
      <c r="BH89" s="33">
        <f t="shared" si="35"/>
        <v>200</v>
      </c>
      <c r="BI89" s="34">
        <f t="shared" si="36"/>
        <v>200</v>
      </c>
    </row>
    <row r="90" spans="28:61" x14ac:dyDescent="0.25">
      <c r="AB90" s="14" t="str">
        <f>AD90&amp;COUNTIF($AD$2:AD90,AD90)</f>
        <v>0</v>
      </c>
      <c r="AC90" s="136"/>
      <c r="AD90" s="136"/>
      <c r="AE90" s="135"/>
      <c r="AF90" s="23" t="str">
        <f>IFERROR(VLOOKUP(AC90,Players!$B:$F,3,0),"")</f>
        <v/>
      </c>
      <c r="AG90" s="23" t="str">
        <f>IFERROR(VLOOKUP(AC90,Players!$B:$F,2,0),"")</f>
        <v/>
      </c>
      <c r="AH90" s="23" t="str">
        <f>IFERROR(VLOOKUP(AC90,Players!$B:$N,5,0),"")</f>
        <v/>
      </c>
      <c r="AI90" s="23">
        <v>89</v>
      </c>
      <c r="AJ90" s="28" t="str">
        <f>IFERROR(IF(LOOKUP(2,1/($AD$1:AD89=VLOOKUP(AJ89,$AN$2:$AX$11,2,0)),$AK$1:AK89)&lt;16,VLOOKUP(AJ89,$AN$2:$AX$11,2,0),IF(LOOKUP(2,1/($AD$1:AD89=VLOOKUP(AJ89,$AN$2:$AX$11,3,0)),$AK$1:AK89)&lt;16,VLOOKUP(AJ89,$AN$2:$AX$11,3,0),IF(LOOKUP(2,1/($AD$1:AD89=VLOOKUP(AJ89,$AN$2:$AX$11,4,0)),$AK$1:AK89)&lt;16,VLOOKUP(AJ89,$AN$2:$AX$11,4,0),IF(LOOKUP(2,1/($AD$1:AD89=VLOOKUP(AJ89,$AN$2:$AX$11,5,0)),$AK$1:AK89)&lt;16,VLOOKUP(AJ89,$AN$2:$AX$11,5,0),IF(LOOKUP(2,1/($AD$1:AD89=VLOOKUP(AJ89,$AN$2:$AX$11,6,0)),$AK$1:AK89)&lt;16,VLOOKUP(AJ89,$AN$2:$AX$11,6,0),IF(LOOKUP(2,1/($AD$1:AD89=VLOOKUP(AJ89,$AN$2:$AX$11,7,0)),$AK$1:AK89)&lt;16,VLOOKUP(AJ89,$AN$2:$AX$11,7,0),IF(LOOKUP(2,1/($AD$1:AD89=VLOOKUP(AJ89,$AN$2:$AX$11,8,0)),$AK$1:AK89)&lt;16,VLOOKUP(AJ89,$AN$2:$AX$11,8,0),IF(LOOKUP(2,1/($AD$1:AD89=VLOOKUP(AJ89,$AN$2:$AX$11,9,0)),$AK$1:AK89)&lt;16,VLOOKUP(AJ89,$AN$2:$AX$11,9,0),IF(LOOKUP(2,1/($AD$1:AD89=VLOOKUP(AJ89,$AN$2:$AX$11,10,0)),$AK$1:AK89)&lt;16,VLOOKUP(AJ89,$AN$2:$AX$11,10,0),VLOOKUP(AJ89,$AN$2:$AX$11,11,0)))))))))),VLOOKUP(AJ89,$AN$2:$AX$11,2,0))</f>
        <v>Crouch</v>
      </c>
      <c r="AK90">
        <f>COUNTIF($AD$1:AD90,AD90)</f>
        <v>0</v>
      </c>
      <c r="AL90">
        <f>COUNTIF($AK$1:AK90,"16")</f>
        <v>0</v>
      </c>
      <c r="AZ90" s="32">
        <f t="shared" si="27"/>
        <v>200</v>
      </c>
      <c r="BA90" s="33">
        <f t="shared" si="28"/>
        <v>200</v>
      </c>
      <c r="BB90" s="33">
        <f t="shared" si="29"/>
        <v>200</v>
      </c>
      <c r="BC90" s="33">
        <f t="shared" si="30"/>
        <v>200</v>
      </c>
      <c r="BD90" s="33">
        <f t="shared" si="31"/>
        <v>200</v>
      </c>
      <c r="BE90" s="33">
        <f t="shared" si="32"/>
        <v>200</v>
      </c>
      <c r="BF90" s="33">
        <f t="shared" si="33"/>
        <v>200</v>
      </c>
      <c r="BG90" s="33">
        <f t="shared" si="34"/>
        <v>200</v>
      </c>
      <c r="BH90" s="33">
        <f t="shared" si="35"/>
        <v>200</v>
      </c>
      <c r="BI90" s="34">
        <f t="shared" si="36"/>
        <v>200</v>
      </c>
    </row>
    <row r="91" spans="28:61" x14ac:dyDescent="0.25">
      <c r="AB91" s="14" t="str">
        <f>AD91&amp;COUNTIF($AD$2:AD91,AD91)</f>
        <v>0</v>
      </c>
      <c r="AC91" s="136"/>
      <c r="AD91" s="136"/>
      <c r="AE91" s="135"/>
      <c r="AF91" s="23" t="str">
        <f>IFERROR(VLOOKUP(AC91,Players!$B:$F,3,0),"")</f>
        <v/>
      </c>
      <c r="AG91" s="23" t="str">
        <f>IFERROR(VLOOKUP(AC91,Players!$B:$F,2,0),"")</f>
        <v/>
      </c>
      <c r="AH91" s="23" t="str">
        <f>IFERROR(VLOOKUP(AC91,Players!$B:$N,5,0),"")</f>
        <v/>
      </c>
      <c r="AI91" s="23">
        <v>90</v>
      </c>
      <c r="AJ91" s="28" t="str">
        <f>IFERROR(IF(LOOKUP(2,1/($AD$1:AD90=VLOOKUP(AJ90,$AN$2:$AX$11,2,0)),$AK$1:AK90)&lt;16,VLOOKUP(AJ90,$AN$2:$AX$11,2,0),IF(LOOKUP(2,1/($AD$1:AD90=VLOOKUP(AJ90,$AN$2:$AX$11,3,0)),$AK$1:AK90)&lt;16,VLOOKUP(AJ90,$AN$2:$AX$11,3,0),IF(LOOKUP(2,1/($AD$1:AD90=VLOOKUP(AJ90,$AN$2:$AX$11,4,0)),$AK$1:AK90)&lt;16,VLOOKUP(AJ90,$AN$2:$AX$11,4,0),IF(LOOKUP(2,1/($AD$1:AD90=VLOOKUP(AJ90,$AN$2:$AX$11,5,0)),$AK$1:AK90)&lt;16,VLOOKUP(AJ90,$AN$2:$AX$11,5,0),IF(LOOKUP(2,1/($AD$1:AD90=VLOOKUP(AJ90,$AN$2:$AX$11,6,0)),$AK$1:AK90)&lt;16,VLOOKUP(AJ90,$AN$2:$AX$11,6,0),IF(LOOKUP(2,1/($AD$1:AD90=VLOOKUP(AJ90,$AN$2:$AX$11,7,0)),$AK$1:AK90)&lt;16,VLOOKUP(AJ90,$AN$2:$AX$11,7,0),IF(LOOKUP(2,1/($AD$1:AD90=VLOOKUP(AJ90,$AN$2:$AX$11,8,0)),$AK$1:AK90)&lt;16,VLOOKUP(AJ90,$AN$2:$AX$11,8,0),IF(LOOKUP(2,1/($AD$1:AD90=VLOOKUP(AJ90,$AN$2:$AX$11,9,0)),$AK$1:AK90)&lt;16,VLOOKUP(AJ90,$AN$2:$AX$11,9,0),IF(LOOKUP(2,1/($AD$1:AD90=VLOOKUP(AJ90,$AN$2:$AX$11,10,0)),$AK$1:AK90)&lt;16,VLOOKUP(AJ90,$AN$2:$AX$11,10,0),VLOOKUP(AJ90,$AN$2:$AX$11,11,0)))))))))),VLOOKUP(AJ90,$AN$2:$AX$11,2,0))</f>
        <v>Team 4</v>
      </c>
      <c r="AK91">
        <f>COUNTIF($AD$1:AD91,AD91)</f>
        <v>0</v>
      </c>
      <c r="AL91">
        <f>COUNTIF($AK$1:AK91,"16")</f>
        <v>0</v>
      </c>
      <c r="AZ91" s="32">
        <f t="shared" si="27"/>
        <v>200</v>
      </c>
      <c r="BA91" s="33">
        <f t="shared" si="28"/>
        <v>200</v>
      </c>
      <c r="BB91" s="33">
        <f t="shared" si="29"/>
        <v>200</v>
      </c>
      <c r="BC91" s="33">
        <f t="shared" si="30"/>
        <v>200</v>
      </c>
      <c r="BD91" s="33">
        <f t="shared" si="31"/>
        <v>200</v>
      </c>
      <c r="BE91" s="33">
        <f t="shared" si="32"/>
        <v>200</v>
      </c>
      <c r="BF91" s="33">
        <f t="shared" si="33"/>
        <v>200</v>
      </c>
      <c r="BG91" s="33">
        <f t="shared" si="34"/>
        <v>200</v>
      </c>
      <c r="BH91" s="33">
        <f t="shared" si="35"/>
        <v>200</v>
      </c>
      <c r="BI91" s="34">
        <f t="shared" si="36"/>
        <v>200</v>
      </c>
    </row>
    <row r="92" spans="28:61" x14ac:dyDescent="0.25">
      <c r="AB92" s="14" t="str">
        <f>AD92&amp;COUNTIF($AD$2:AD92,AD92)</f>
        <v>0</v>
      </c>
      <c r="AC92" s="136"/>
      <c r="AD92" s="136"/>
      <c r="AE92" s="135"/>
      <c r="AF92" s="23" t="str">
        <f>IFERROR(VLOOKUP(AC92,Players!$B:$F,3,0),"")</f>
        <v/>
      </c>
      <c r="AG92" s="23" t="str">
        <f>IFERROR(VLOOKUP(AC92,Players!$B:$F,2,0),"")</f>
        <v/>
      </c>
      <c r="AH92" s="23" t="str">
        <f>IFERROR(VLOOKUP(AC92,Players!$B:$N,5,0),"")</f>
        <v/>
      </c>
      <c r="AI92" s="23">
        <v>91</v>
      </c>
      <c r="AJ92" s="28" t="str">
        <f>IFERROR(IF(LOOKUP(2,1/($AD$1:AD91=VLOOKUP(AJ91,$AN$2:$AX$11,2,0)),$AK$1:AK91)&lt;16,VLOOKUP(AJ91,$AN$2:$AX$11,2,0),IF(LOOKUP(2,1/($AD$1:AD91=VLOOKUP(AJ91,$AN$2:$AX$11,3,0)),$AK$1:AK91)&lt;16,VLOOKUP(AJ91,$AN$2:$AX$11,3,0),IF(LOOKUP(2,1/($AD$1:AD91=VLOOKUP(AJ91,$AN$2:$AX$11,4,0)),$AK$1:AK91)&lt;16,VLOOKUP(AJ91,$AN$2:$AX$11,4,0),IF(LOOKUP(2,1/($AD$1:AD91=VLOOKUP(AJ91,$AN$2:$AX$11,5,0)),$AK$1:AK91)&lt;16,VLOOKUP(AJ91,$AN$2:$AX$11,5,0),IF(LOOKUP(2,1/($AD$1:AD91=VLOOKUP(AJ91,$AN$2:$AX$11,6,0)),$AK$1:AK91)&lt;16,VLOOKUP(AJ91,$AN$2:$AX$11,6,0),IF(LOOKUP(2,1/($AD$1:AD91=VLOOKUP(AJ91,$AN$2:$AX$11,7,0)),$AK$1:AK91)&lt;16,VLOOKUP(AJ91,$AN$2:$AX$11,7,0),IF(LOOKUP(2,1/($AD$1:AD91=VLOOKUP(AJ91,$AN$2:$AX$11,8,0)),$AK$1:AK91)&lt;16,VLOOKUP(AJ91,$AN$2:$AX$11,8,0),IF(LOOKUP(2,1/($AD$1:AD91=VLOOKUP(AJ91,$AN$2:$AX$11,9,0)),$AK$1:AK91)&lt;16,VLOOKUP(AJ91,$AN$2:$AX$11,9,0),IF(LOOKUP(2,1/($AD$1:AD91=VLOOKUP(AJ91,$AN$2:$AX$11,10,0)),$AK$1:AK91)&lt;16,VLOOKUP(AJ91,$AN$2:$AX$11,10,0),VLOOKUP(AJ91,$AN$2:$AX$11,11,0)))))))))),VLOOKUP(AJ91,$AN$2:$AX$11,2,0))</f>
        <v>Team 5</v>
      </c>
      <c r="AK92">
        <f>COUNTIF($AD$1:AD92,AD92)</f>
        <v>0</v>
      </c>
      <c r="AL92">
        <f>COUNTIF($AK$1:AK92,"16")</f>
        <v>0</v>
      </c>
      <c r="AZ92" s="32">
        <f t="shared" si="27"/>
        <v>200</v>
      </c>
      <c r="BA92" s="33">
        <f t="shared" si="28"/>
        <v>200</v>
      </c>
      <c r="BB92" s="33">
        <f t="shared" si="29"/>
        <v>200</v>
      </c>
      <c r="BC92" s="33">
        <f t="shared" si="30"/>
        <v>200</v>
      </c>
      <c r="BD92" s="33">
        <f t="shared" si="31"/>
        <v>200</v>
      </c>
      <c r="BE92" s="33">
        <f t="shared" si="32"/>
        <v>200</v>
      </c>
      <c r="BF92" s="33">
        <f t="shared" si="33"/>
        <v>200</v>
      </c>
      <c r="BG92" s="33">
        <f t="shared" si="34"/>
        <v>200</v>
      </c>
      <c r="BH92" s="33">
        <f t="shared" si="35"/>
        <v>200</v>
      </c>
      <c r="BI92" s="34">
        <f t="shared" si="36"/>
        <v>200</v>
      </c>
    </row>
    <row r="93" spans="28:61" x14ac:dyDescent="0.25">
      <c r="AB93" s="14" t="str">
        <f>AD93&amp;COUNTIF($AD$2:AD93,AD93)</f>
        <v>0</v>
      </c>
      <c r="AC93" s="136"/>
      <c r="AD93" s="136"/>
      <c r="AE93" s="135"/>
      <c r="AF93" s="23" t="str">
        <f>IFERROR(VLOOKUP(AC93,Players!$B:$F,3,0),"")</f>
        <v/>
      </c>
      <c r="AG93" s="23" t="str">
        <f>IFERROR(VLOOKUP(AC93,Players!$B:$F,2,0),"")</f>
        <v/>
      </c>
      <c r="AH93" s="23" t="str">
        <f>IFERROR(VLOOKUP(AC93,Players!$B:$N,5,0),"")</f>
        <v/>
      </c>
      <c r="AI93" s="23">
        <v>92</v>
      </c>
      <c r="AJ93" s="28" t="str">
        <f>IFERROR(IF(LOOKUP(2,1/($AD$1:AD92=VLOOKUP(AJ92,$AN$2:$AX$11,2,0)),$AK$1:AK92)&lt;16,VLOOKUP(AJ92,$AN$2:$AX$11,2,0),IF(LOOKUP(2,1/($AD$1:AD92=VLOOKUP(AJ92,$AN$2:$AX$11,3,0)),$AK$1:AK92)&lt;16,VLOOKUP(AJ92,$AN$2:$AX$11,3,0),IF(LOOKUP(2,1/($AD$1:AD92=VLOOKUP(AJ92,$AN$2:$AX$11,4,0)),$AK$1:AK92)&lt;16,VLOOKUP(AJ92,$AN$2:$AX$11,4,0),IF(LOOKUP(2,1/($AD$1:AD92=VLOOKUP(AJ92,$AN$2:$AX$11,5,0)),$AK$1:AK92)&lt;16,VLOOKUP(AJ92,$AN$2:$AX$11,5,0),IF(LOOKUP(2,1/($AD$1:AD92=VLOOKUP(AJ92,$AN$2:$AX$11,6,0)),$AK$1:AK92)&lt;16,VLOOKUP(AJ92,$AN$2:$AX$11,6,0),IF(LOOKUP(2,1/($AD$1:AD92=VLOOKUP(AJ92,$AN$2:$AX$11,7,0)),$AK$1:AK92)&lt;16,VLOOKUP(AJ92,$AN$2:$AX$11,7,0),IF(LOOKUP(2,1/($AD$1:AD92=VLOOKUP(AJ92,$AN$2:$AX$11,8,0)),$AK$1:AK92)&lt;16,VLOOKUP(AJ92,$AN$2:$AX$11,8,0),IF(LOOKUP(2,1/($AD$1:AD92=VLOOKUP(AJ92,$AN$2:$AX$11,9,0)),$AK$1:AK92)&lt;16,VLOOKUP(AJ92,$AN$2:$AX$11,9,0),IF(LOOKUP(2,1/($AD$1:AD92=VLOOKUP(AJ92,$AN$2:$AX$11,10,0)),$AK$1:AK92)&lt;16,VLOOKUP(AJ92,$AN$2:$AX$11,10,0),VLOOKUP(AJ92,$AN$2:$AX$11,11,0)))))))))),VLOOKUP(AJ92,$AN$2:$AX$11,2,0))</f>
        <v>Team 9</v>
      </c>
      <c r="AK93">
        <f>COUNTIF($AD$1:AD93,AD93)</f>
        <v>0</v>
      </c>
      <c r="AL93">
        <f>COUNTIF($AK$1:AK93,"16")</f>
        <v>0</v>
      </c>
      <c r="AZ93" s="32">
        <f t="shared" si="27"/>
        <v>200</v>
      </c>
      <c r="BA93" s="33">
        <f t="shared" si="28"/>
        <v>200</v>
      </c>
      <c r="BB93" s="33">
        <f t="shared" si="29"/>
        <v>200</v>
      </c>
      <c r="BC93" s="33">
        <f t="shared" si="30"/>
        <v>200</v>
      </c>
      <c r="BD93" s="33">
        <f t="shared" si="31"/>
        <v>200</v>
      </c>
      <c r="BE93" s="33">
        <f t="shared" si="32"/>
        <v>200</v>
      </c>
      <c r="BF93" s="33">
        <f t="shared" si="33"/>
        <v>200</v>
      </c>
      <c r="BG93" s="33">
        <f t="shared" si="34"/>
        <v>200</v>
      </c>
      <c r="BH93" s="33">
        <f t="shared" si="35"/>
        <v>200</v>
      </c>
      <c r="BI93" s="34">
        <f t="shared" si="36"/>
        <v>200</v>
      </c>
    </row>
    <row r="94" spans="28:61" x14ac:dyDescent="0.25">
      <c r="AB94" s="14" t="str">
        <f>AD94&amp;COUNTIF($AD$2:AD94,AD94)</f>
        <v>0</v>
      </c>
      <c r="AC94" s="136"/>
      <c r="AD94" s="136"/>
      <c r="AE94" s="135"/>
      <c r="AF94" s="23" t="str">
        <f>IFERROR(VLOOKUP(AC94,Players!$B:$F,3,0),"")</f>
        <v/>
      </c>
      <c r="AG94" s="23" t="str">
        <f>IFERROR(VLOOKUP(AC94,Players!$B:$F,2,0),"")</f>
        <v/>
      </c>
      <c r="AH94" s="23" t="str">
        <f>IFERROR(VLOOKUP(AC94,Players!$B:$N,5,0),"")</f>
        <v/>
      </c>
      <c r="AI94" s="23">
        <v>93</v>
      </c>
      <c r="AJ94" s="28" t="str">
        <f>IFERROR(IF(LOOKUP(2,1/($AD$1:AD93=VLOOKUP(AJ93,$AN$2:$AX$11,2,0)),$AK$1:AK93)&lt;16,VLOOKUP(AJ93,$AN$2:$AX$11,2,0),IF(LOOKUP(2,1/($AD$1:AD93=VLOOKUP(AJ93,$AN$2:$AX$11,3,0)),$AK$1:AK93)&lt;16,VLOOKUP(AJ93,$AN$2:$AX$11,3,0),IF(LOOKUP(2,1/($AD$1:AD93=VLOOKUP(AJ93,$AN$2:$AX$11,4,0)),$AK$1:AK93)&lt;16,VLOOKUP(AJ93,$AN$2:$AX$11,4,0),IF(LOOKUP(2,1/($AD$1:AD93=VLOOKUP(AJ93,$AN$2:$AX$11,5,0)),$AK$1:AK93)&lt;16,VLOOKUP(AJ93,$AN$2:$AX$11,5,0),IF(LOOKUP(2,1/($AD$1:AD93=VLOOKUP(AJ93,$AN$2:$AX$11,6,0)),$AK$1:AK93)&lt;16,VLOOKUP(AJ93,$AN$2:$AX$11,6,0),IF(LOOKUP(2,1/($AD$1:AD93=VLOOKUP(AJ93,$AN$2:$AX$11,7,0)),$AK$1:AK93)&lt;16,VLOOKUP(AJ93,$AN$2:$AX$11,7,0),IF(LOOKUP(2,1/($AD$1:AD93=VLOOKUP(AJ93,$AN$2:$AX$11,8,0)),$AK$1:AK93)&lt;16,VLOOKUP(AJ93,$AN$2:$AX$11,8,0),IF(LOOKUP(2,1/($AD$1:AD93=VLOOKUP(AJ93,$AN$2:$AX$11,9,0)),$AK$1:AK93)&lt;16,VLOOKUP(AJ93,$AN$2:$AX$11,9,0),IF(LOOKUP(2,1/($AD$1:AD93=VLOOKUP(AJ93,$AN$2:$AX$11,10,0)),$AK$1:AK93)&lt;16,VLOOKUP(AJ93,$AN$2:$AX$11,10,0),VLOOKUP(AJ93,$AN$2:$AX$11,11,0)))))))))),VLOOKUP(AJ93,$AN$2:$AX$11,2,0))</f>
        <v>Team 3</v>
      </c>
      <c r="AK94">
        <f>COUNTIF($AD$1:AD94,AD94)</f>
        <v>0</v>
      </c>
      <c r="AL94">
        <f>COUNTIF($AK$1:AK94,"16")</f>
        <v>0</v>
      </c>
      <c r="AZ94" s="32">
        <f t="shared" si="27"/>
        <v>200</v>
      </c>
      <c r="BA94" s="33">
        <f t="shared" si="28"/>
        <v>200</v>
      </c>
      <c r="BB94" s="33">
        <f t="shared" si="29"/>
        <v>200</v>
      </c>
      <c r="BC94" s="33">
        <f t="shared" si="30"/>
        <v>200</v>
      </c>
      <c r="BD94" s="33">
        <f t="shared" si="31"/>
        <v>200</v>
      </c>
      <c r="BE94" s="33">
        <f t="shared" si="32"/>
        <v>200</v>
      </c>
      <c r="BF94" s="33">
        <f t="shared" si="33"/>
        <v>200</v>
      </c>
      <c r="BG94" s="33">
        <f t="shared" si="34"/>
        <v>200</v>
      </c>
      <c r="BH94" s="33">
        <f t="shared" si="35"/>
        <v>200</v>
      </c>
      <c r="BI94" s="34">
        <f t="shared" si="36"/>
        <v>200</v>
      </c>
    </row>
    <row r="95" spans="28:61" x14ac:dyDescent="0.25">
      <c r="AB95" s="14" t="str">
        <f>AD95&amp;COUNTIF($AD$2:AD95,AD95)</f>
        <v>0</v>
      </c>
      <c r="AC95" s="136"/>
      <c r="AD95" s="136"/>
      <c r="AE95" s="135"/>
      <c r="AF95" s="23" t="str">
        <f>IFERROR(VLOOKUP(AC95,Players!$B:$F,3,0),"")</f>
        <v/>
      </c>
      <c r="AG95" s="23" t="str">
        <f>IFERROR(VLOOKUP(AC95,Players!$B:$F,2,0),"")</f>
        <v/>
      </c>
      <c r="AH95" s="23" t="str">
        <f>IFERROR(VLOOKUP(AC95,Players!$B:$N,5,0),"")</f>
        <v/>
      </c>
      <c r="AI95" s="23">
        <v>94</v>
      </c>
      <c r="AJ95" s="28" t="str">
        <f>IFERROR(IF(LOOKUP(2,1/($AD$1:AD94=VLOOKUP(AJ94,$AN$2:$AX$11,2,0)),$AK$1:AK94)&lt;16,VLOOKUP(AJ94,$AN$2:$AX$11,2,0),IF(LOOKUP(2,1/($AD$1:AD94=VLOOKUP(AJ94,$AN$2:$AX$11,3,0)),$AK$1:AK94)&lt;16,VLOOKUP(AJ94,$AN$2:$AX$11,3,0),IF(LOOKUP(2,1/($AD$1:AD94=VLOOKUP(AJ94,$AN$2:$AX$11,4,0)),$AK$1:AK94)&lt;16,VLOOKUP(AJ94,$AN$2:$AX$11,4,0),IF(LOOKUP(2,1/($AD$1:AD94=VLOOKUP(AJ94,$AN$2:$AX$11,5,0)),$AK$1:AK94)&lt;16,VLOOKUP(AJ94,$AN$2:$AX$11,5,0),IF(LOOKUP(2,1/($AD$1:AD94=VLOOKUP(AJ94,$AN$2:$AX$11,6,0)),$AK$1:AK94)&lt;16,VLOOKUP(AJ94,$AN$2:$AX$11,6,0),IF(LOOKUP(2,1/($AD$1:AD94=VLOOKUP(AJ94,$AN$2:$AX$11,7,0)),$AK$1:AK94)&lt;16,VLOOKUP(AJ94,$AN$2:$AX$11,7,0),IF(LOOKUP(2,1/($AD$1:AD94=VLOOKUP(AJ94,$AN$2:$AX$11,8,0)),$AK$1:AK94)&lt;16,VLOOKUP(AJ94,$AN$2:$AX$11,8,0),IF(LOOKUP(2,1/($AD$1:AD94=VLOOKUP(AJ94,$AN$2:$AX$11,9,0)),$AK$1:AK94)&lt;16,VLOOKUP(AJ94,$AN$2:$AX$11,9,0),IF(LOOKUP(2,1/($AD$1:AD94=VLOOKUP(AJ94,$AN$2:$AX$11,10,0)),$AK$1:AK94)&lt;16,VLOOKUP(AJ94,$AN$2:$AX$11,10,0),VLOOKUP(AJ94,$AN$2:$AX$11,11,0)))))))))),VLOOKUP(AJ94,$AN$2:$AX$11,2,0))</f>
        <v>Team 6</v>
      </c>
      <c r="AK95">
        <f>COUNTIF($AD$1:AD95,AD95)</f>
        <v>0</v>
      </c>
      <c r="AL95">
        <f>COUNTIF($AK$1:AK95,"16")</f>
        <v>0</v>
      </c>
      <c r="AZ95" s="32">
        <f t="shared" si="27"/>
        <v>200</v>
      </c>
      <c r="BA95" s="33">
        <f t="shared" si="28"/>
        <v>200</v>
      </c>
      <c r="BB95" s="33">
        <f t="shared" si="29"/>
        <v>200</v>
      </c>
      <c r="BC95" s="33">
        <f t="shared" si="30"/>
        <v>200</v>
      </c>
      <c r="BD95" s="33">
        <f t="shared" si="31"/>
        <v>200</v>
      </c>
      <c r="BE95" s="33">
        <f t="shared" si="32"/>
        <v>200</v>
      </c>
      <c r="BF95" s="33">
        <f t="shared" si="33"/>
        <v>200</v>
      </c>
      <c r="BG95" s="33">
        <f t="shared" si="34"/>
        <v>200</v>
      </c>
      <c r="BH95" s="33">
        <f t="shared" si="35"/>
        <v>200</v>
      </c>
      <c r="BI95" s="34">
        <f t="shared" si="36"/>
        <v>200</v>
      </c>
    </row>
    <row r="96" spans="28:61" x14ac:dyDescent="0.25">
      <c r="AB96" s="14" t="str">
        <f>AD96&amp;COUNTIF($AD$2:AD96,AD96)</f>
        <v>0</v>
      </c>
      <c r="AC96" s="136"/>
      <c r="AD96" s="136"/>
      <c r="AE96" s="135"/>
      <c r="AF96" s="23" t="str">
        <f>IFERROR(VLOOKUP(AC96,Players!$B:$F,3,0),"")</f>
        <v/>
      </c>
      <c r="AG96" s="23" t="str">
        <f>IFERROR(VLOOKUP(AC96,Players!$B:$F,2,0),"")</f>
        <v/>
      </c>
      <c r="AH96" s="23" t="str">
        <f>IFERROR(VLOOKUP(AC96,Players!$B:$N,5,0),"")</f>
        <v/>
      </c>
      <c r="AI96" s="23">
        <v>95</v>
      </c>
      <c r="AJ96" s="28" t="str">
        <f>IFERROR(IF(LOOKUP(2,1/($AD$1:AD95=VLOOKUP(AJ95,$AN$2:$AX$11,2,0)),$AK$1:AK95)&lt;16,VLOOKUP(AJ95,$AN$2:$AX$11,2,0),IF(LOOKUP(2,1/($AD$1:AD95=VLOOKUP(AJ95,$AN$2:$AX$11,3,0)),$AK$1:AK95)&lt;16,VLOOKUP(AJ95,$AN$2:$AX$11,3,0),IF(LOOKUP(2,1/($AD$1:AD95=VLOOKUP(AJ95,$AN$2:$AX$11,4,0)),$AK$1:AK95)&lt;16,VLOOKUP(AJ95,$AN$2:$AX$11,4,0),IF(LOOKUP(2,1/($AD$1:AD95=VLOOKUP(AJ95,$AN$2:$AX$11,5,0)),$AK$1:AK95)&lt;16,VLOOKUP(AJ95,$AN$2:$AX$11,5,0),IF(LOOKUP(2,1/($AD$1:AD95=VLOOKUP(AJ95,$AN$2:$AX$11,6,0)),$AK$1:AK95)&lt;16,VLOOKUP(AJ95,$AN$2:$AX$11,6,0),IF(LOOKUP(2,1/($AD$1:AD95=VLOOKUP(AJ95,$AN$2:$AX$11,7,0)),$AK$1:AK95)&lt;16,VLOOKUP(AJ95,$AN$2:$AX$11,7,0),IF(LOOKUP(2,1/($AD$1:AD95=VLOOKUP(AJ95,$AN$2:$AX$11,8,0)),$AK$1:AK95)&lt;16,VLOOKUP(AJ95,$AN$2:$AX$11,8,0),IF(LOOKUP(2,1/($AD$1:AD95=VLOOKUP(AJ95,$AN$2:$AX$11,9,0)),$AK$1:AK95)&lt;16,VLOOKUP(AJ95,$AN$2:$AX$11,9,0),IF(LOOKUP(2,1/($AD$1:AD95=VLOOKUP(AJ95,$AN$2:$AX$11,10,0)),$AK$1:AK95)&lt;16,VLOOKUP(AJ95,$AN$2:$AX$11,10,0),VLOOKUP(AJ95,$AN$2:$AX$11,11,0)))))))))),VLOOKUP(AJ95,$AN$2:$AX$11,2,0))</f>
        <v>Team 7</v>
      </c>
      <c r="AK96">
        <f>COUNTIF($AD$1:AD96,AD96)</f>
        <v>0</v>
      </c>
      <c r="AL96">
        <f>COUNTIF($AK$1:AK96,"16")</f>
        <v>0</v>
      </c>
      <c r="AZ96" s="32">
        <f t="shared" si="27"/>
        <v>200</v>
      </c>
      <c r="BA96" s="33">
        <f t="shared" si="28"/>
        <v>200</v>
      </c>
      <c r="BB96" s="33">
        <f t="shared" si="29"/>
        <v>200</v>
      </c>
      <c r="BC96" s="33">
        <f t="shared" si="30"/>
        <v>200</v>
      </c>
      <c r="BD96" s="33">
        <f t="shared" si="31"/>
        <v>200</v>
      </c>
      <c r="BE96" s="33">
        <f t="shared" si="32"/>
        <v>200</v>
      </c>
      <c r="BF96" s="33">
        <f t="shared" si="33"/>
        <v>200</v>
      </c>
      <c r="BG96" s="33">
        <f t="shared" si="34"/>
        <v>200</v>
      </c>
      <c r="BH96" s="33">
        <f t="shared" si="35"/>
        <v>200</v>
      </c>
      <c r="BI96" s="34">
        <f t="shared" si="36"/>
        <v>200</v>
      </c>
    </row>
    <row r="97" spans="28:61" x14ac:dyDescent="0.25">
      <c r="AB97" s="14" t="str">
        <f>AD97&amp;COUNTIF($AD$2:AD97,AD97)</f>
        <v>0</v>
      </c>
      <c r="AC97" s="136"/>
      <c r="AD97" s="136"/>
      <c r="AE97" s="135"/>
      <c r="AF97" s="23" t="str">
        <f>IFERROR(VLOOKUP(AC97,Players!$B:$F,3,0),"")</f>
        <v/>
      </c>
      <c r="AG97" s="23" t="str">
        <f>IFERROR(VLOOKUP(AC97,Players!$B:$F,2,0),"")</f>
        <v/>
      </c>
      <c r="AH97" s="23" t="str">
        <f>IFERROR(VLOOKUP(AC97,Players!$B:$N,5,0),"")</f>
        <v/>
      </c>
      <c r="AI97" s="23">
        <v>96</v>
      </c>
      <c r="AJ97" s="28" t="str">
        <f>IFERROR(IF(LOOKUP(2,1/($AD$1:AD96=VLOOKUP(AJ96,$AN$2:$AX$11,2,0)),$AK$1:AK96)&lt;16,VLOOKUP(AJ96,$AN$2:$AX$11,2,0),IF(LOOKUP(2,1/($AD$1:AD96=VLOOKUP(AJ96,$AN$2:$AX$11,3,0)),$AK$1:AK96)&lt;16,VLOOKUP(AJ96,$AN$2:$AX$11,3,0),IF(LOOKUP(2,1/($AD$1:AD96=VLOOKUP(AJ96,$AN$2:$AX$11,4,0)),$AK$1:AK96)&lt;16,VLOOKUP(AJ96,$AN$2:$AX$11,4,0),IF(LOOKUP(2,1/($AD$1:AD96=VLOOKUP(AJ96,$AN$2:$AX$11,5,0)),$AK$1:AK96)&lt;16,VLOOKUP(AJ96,$AN$2:$AX$11,5,0),IF(LOOKUP(2,1/($AD$1:AD96=VLOOKUP(AJ96,$AN$2:$AX$11,6,0)),$AK$1:AK96)&lt;16,VLOOKUP(AJ96,$AN$2:$AX$11,6,0),IF(LOOKUP(2,1/($AD$1:AD96=VLOOKUP(AJ96,$AN$2:$AX$11,7,0)),$AK$1:AK96)&lt;16,VLOOKUP(AJ96,$AN$2:$AX$11,7,0),IF(LOOKUP(2,1/($AD$1:AD96=VLOOKUP(AJ96,$AN$2:$AX$11,8,0)),$AK$1:AK96)&lt;16,VLOOKUP(AJ96,$AN$2:$AX$11,8,0),IF(LOOKUP(2,1/($AD$1:AD96=VLOOKUP(AJ96,$AN$2:$AX$11,9,0)),$AK$1:AK96)&lt;16,VLOOKUP(AJ96,$AN$2:$AX$11,9,0),IF(LOOKUP(2,1/($AD$1:AD96=VLOOKUP(AJ96,$AN$2:$AX$11,10,0)),$AK$1:AK96)&lt;16,VLOOKUP(AJ96,$AN$2:$AX$11,10,0),VLOOKUP(AJ96,$AN$2:$AX$11,11,0)))))))))),VLOOKUP(AJ96,$AN$2:$AX$11,2,0))</f>
        <v>Team 8</v>
      </c>
      <c r="AK97">
        <f>COUNTIF($AD$1:AD97,AD97)</f>
        <v>0</v>
      </c>
      <c r="AL97">
        <f>COUNTIF($AK$1:AK97,"16")</f>
        <v>0</v>
      </c>
      <c r="AZ97" s="32">
        <f t="shared" si="27"/>
        <v>200</v>
      </c>
      <c r="BA97" s="33">
        <f t="shared" si="28"/>
        <v>200</v>
      </c>
      <c r="BB97" s="33">
        <f t="shared" si="29"/>
        <v>200</v>
      </c>
      <c r="BC97" s="33">
        <f t="shared" si="30"/>
        <v>200</v>
      </c>
      <c r="BD97" s="33">
        <f t="shared" si="31"/>
        <v>200</v>
      </c>
      <c r="BE97" s="33">
        <f t="shared" si="32"/>
        <v>200</v>
      </c>
      <c r="BF97" s="33">
        <f t="shared" si="33"/>
        <v>200</v>
      </c>
      <c r="BG97" s="33">
        <f t="shared" si="34"/>
        <v>200</v>
      </c>
      <c r="BH97" s="33">
        <f t="shared" si="35"/>
        <v>200</v>
      </c>
      <c r="BI97" s="34">
        <f t="shared" si="36"/>
        <v>200</v>
      </c>
    </row>
    <row r="98" spans="28:61" x14ac:dyDescent="0.25">
      <c r="AB98" s="14" t="str">
        <f>AD98&amp;COUNTIF($AD$2:AD98,AD98)</f>
        <v>0</v>
      </c>
      <c r="AC98" s="136"/>
      <c r="AD98" s="136"/>
      <c r="AE98" s="135"/>
      <c r="AF98" s="23" t="str">
        <f>IFERROR(VLOOKUP(AC98,Players!$B:$F,3,0),"")</f>
        <v/>
      </c>
      <c r="AG98" s="23" t="str">
        <f>IFERROR(VLOOKUP(AC98,Players!$B:$F,2,0),"")</f>
        <v/>
      </c>
      <c r="AH98" s="23" t="str">
        <f>IFERROR(VLOOKUP(AC98,Players!$B:$N,5,0),"")</f>
        <v/>
      </c>
      <c r="AI98" s="23">
        <v>97</v>
      </c>
      <c r="AJ98" s="28" t="str">
        <f>IFERROR(IF(LOOKUP(2,1/($AD$1:AD97=VLOOKUP(AJ97,$AN$2:$AX$11,2,0)),$AK$1:AK97)&lt;16,VLOOKUP(AJ97,$AN$2:$AX$11,2,0),IF(LOOKUP(2,1/($AD$1:AD97=VLOOKUP(AJ97,$AN$2:$AX$11,3,0)),$AK$1:AK97)&lt;16,VLOOKUP(AJ97,$AN$2:$AX$11,3,0),IF(LOOKUP(2,1/($AD$1:AD97=VLOOKUP(AJ97,$AN$2:$AX$11,4,0)),$AK$1:AK97)&lt;16,VLOOKUP(AJ97,$AN$2:$AX$11,4,0),IF(LOOKUP(2,1/($AD$1:AD97=VLOOKUP(AJ97,$AN$2:$AX$11,5,0)),$AK$1:AK97)&lt;16,VLOOKUP(AJ97,$AN$2:$AX$11,5,0),IF(LOOKUP(2,1/($AD$1:AD97=VLOOKUP(AJ97,$AN$2:$AX$11,6,0)),$AK$1:AK97)&lt;16,VLOOKUP(AJ97,$AN$2:$AX$11,6,0),IF(LOOKUP(2,1/($AD$1:AD97=VLOOKUP(AJ97,$AN$2:$AX$11,7,0)),$AK$1:AK97)&lt;16,VLOOKUP(AJ97,$AN$2:$AX$11,7,0),IF(LOOKUP(2,1/($AD$1:AD97=VLOOKUP(AJ97,$AN$2:$AX$11,8,0)),$AK$1:AK97)&lt;16,VLOOKUP(AJ97,$AN$2:$AX$11,8,0),IF(LOOKUP(2,1/($AD$1:AD97=VLOOKUP(AJ97,$AN$2:$AX$11,9,0)),$AK$1:AK97)&lt;16,VLOOKUP(AJ97,$AN$2:$AX$11,9,0),IF(LOOKUP(2,1/($AD$1:AD97=VLOOKUP(AJ97,$AN$2:$AX$11,10,0)),$AK$1:AK97)&lt;16,VLOOKUP(AJ97,$AN$2:$AX$11,10,0),VLOOKUP(AJ97,$AN$2:$AX$11,11,0)))))))))),VLOOKUP(AJ97,$AN$2:$AX$11,2,0))</f>
        <v>Team Se</v>
      </c>
      <c r="AK98">
        <f>COUNTIF($AD$1:AD98,AD98)</f>
        <v>0</v>
      </c>
      <c r="AL98">
        <f>COUNTIF($AK$1:AK98,"16")</f>
        <v>0</v>
      </c>
      <c r="AZ98" s="32">
        <f t="shared" ref="AZ98:AZ129" si="37">IF($AD98=AZ$1,IFERROR(AZ97-$AE98,200-$AE98),IFERROR(+AZ97-AZ97+AZ97,200))</f>
        <v>200</v>
      </c>
      <c r="BA98" s="33">
        <f t="shared" ref="BA98:BA129" si="38">IF($AD98=BA$1,IFERROR(BA97-$AE98,200-$AE98),IFERROR(+BA97-BA97+BA97,200))</f>
        <v>200</v>
      </c>
      <c r="BB98" s="33">
        <f t="shared" ref="BB98:BB129" si="39">IF($AD98=BB$1,IFERROR(BB97-$AE98,200-$AE98),IFERROR(+BB97-BB97+BB97,200))</f>
        <v>200</v>
      </c>
      <c r="BC98" s="33">
        <f t="shared" ref="BC98:BC129" si="40">IF($AD98=BC$1,IFERROR(BC97-$AE98,200-$AE98),IFERROR(+BC97-BC97+BC97,200))</f>
        <v>200</v>
      </c>
      <c r="BD98" s="33">
        <f t="shared" ref="BD98:BD129" si="41">IF($AD98=BD$1,IFERROR(BD97-$AE98,200-$AE98),IFERROR(+BD97-BD97+BD97,200))</f>
        <v>200</v>
      </c>
      <c r="BE98" s="33">
        <f t="shared" ref="BE98:BE129" si="42">IF($AD98=BE$1,IFERROR(BE97-$AE98,200-$AE98),IFERROR(+BE97-BE97+BE97,200))</f>
        <v>200</v>
      </c>
      <c r="BF98" s="33">
        <f t="shared" ref="BF98:BF129" si="43">IF($AD98=BF$1,IFERROR(BF97-$AE98,200-$AE98),IFERROR(+BF97-BF97+BF97,200))</f>
        <v>200</v>
      </c>
      <c r="BG98" s="33">
        <f t="shared" ref="BG98:BG129" si="44">IF($AD98=BG$1,IFERROR(BG97-$AE98,200-$AE98),IFERROR(+BG97-BG97+BG97,200))</f>
        <v>200</v>
      </c>
      <c r="BH98" s="33">
        <f t="shared" ref="BH98:BH129" si="45">IF($AD98=BH$1,IFERROR(BH97-$AE98,200-$AE98),IFERROR(+BH97-BH97+BH97,200))</f>
        <v>200</v>
      </c>
      <c r="BI98" s="34">
        <f t="shared" ref="BI98:BI129" si="46">IF($AD98=BI$1,IFERROR(BI97-$AE98,200-$AE98),IFERROR(+BI97-BI97+BI97,200))</f>
        <v>200</v>
      </c>
    </row>
    <row r="99" spans="28:61" x14ac:dyDescent="0.25">
      <c r="AB99" s="14" t="str">
        <f>AD99&amp;COUNTIF($AD$2:AD99,AD99)</f>
        <v>0</v>
      </c>
      <c r="AC99" s="136"/>
      <c r="AD99" s="136"/>
      <c r="AE99" s="135"/>
      <c r="AF99" s="23" t="str">
        <f>IFERROR(VLOOKUP(AC99,Players!$B:$F,3,0),"")</f>
        <v/>
      </c>
      <c r="AG99" s="23" t="str">
        <f>IFERROR(VLOOKUP(AC99,Players!$B:$F,2,0),"")</f>
        <v/>
      </c>
      <c r="AH99" s="23" t="str">
        <f>IFERROR(VLOOKUP(AC99,Players!$B:$N,5,0),"")</f>
        <v/>
      </c>
      <c r="AI99" s="23">
        <v>98</v>
      </c>
      <c r="AJ99" s="28" t="str">
        <f>IFERROR(IF(LOOKUP(2,1/($AD$1:AD98=VLOOKUP(AJ98,$AN$2:$AX$11,2,0)),$AK$1:AK98)&lt;16,VLOOKUP(AJ98,$AN$2:$AX$11,2,0),IF(LOOKUP(2,1/($AD$1:AD98=VLOOKUP(AJ98,$AN$2:$AX$11,3,0)),$AK$1:AK98)&lt;16,VLOOKUP(AJ98,$AN$2:$AX$11,3,0),IF(LOOKUP(2,1/($AD$1:AD98=VLOOKUP(AJ98,$AN$2:$AX$11,4,0)),$AK$1:AK98)&lt;16,VLOOKUP(AJ98,$AN$2:$AX$11,4,0),IF(LOOKUP(2,1/($AD$1:AD98=VLOOKUP(AJ98,$AN$2:$AX$11,5,0)),$AK$1:AK98)&lt;16,VLOOKUP(AJ98,$AN$2:$AX$11,5,0),IF(LOOKUP(2,1/($AD$1:AD98=VLOOKUP(AJ98,$AN$2:$AX$11,6,0)),$AK$1:AK98)&lt;16,VLOOKUP(AJ98,$AN$2:$AX$11,6,0),IF(LOOKUP(2,1/($AD$1:AD98=VLOOKUP(AJ98,$AN$2:$AX$11,7,0)),$AK$1:AK98)&lt;16,VLOOKUP(AJ98,$AN$2:$AX$11,7,0),IF(LOOKUP(2,1/($AD$1:AD98=VLOOKUP(AJ98,$AN$2:$AX$11,8,0)),$AK$1:AK98)&lt;16,VLOOKUP(AJ98,$AN$2:$AX$11,8,0),IF(LOOKUP(2,1/($AD$1:AD98=VLOOKUP(AJ98,$AN$2:$AX$11,9,0)),$AK$1:AK98)&lt;16,VLOOKUP(AJ98,$AN$2:$AX$11,9,0),IF(LOOKUP(2,1/($AD$1:AD98=VLOOKUP(AJ98,$AN$2:$AX$11,10,0)),$AK$1:AK98)&lt;16,VLOOKUP(AJ98,$AN$2:$AX$11,10,0),VLOOKUP(AJ98,$AN$2:$AX$11,11,0)))))))))),VLOOKUP(AJ98,$AN$2:$AX$11,2,0))</f>
        <v>Team 10</v>
      </c>
      <c r="AK99">
        <f>COUNTIF($AD$1:AD99,AD99)</f>
        <v>0</v>
      </c>
      <c r="AL99">
        <f>COUNTIF($AK$1:AK99,"16")</f>
        <v>0</v>
      </c>
      <c r="AZ99" s="32">
        <f t="shared" si="37"/>
        <v>200</v>
      </c>
      <c r="BA99" s="33">
        <f t="shared" si="38"/>
        <v>200</v>
      </c>
      <c r="BB99" s="33">
        <f t="shared" si="39"/>
        <v>200</v>
      </c>
      <c r="BC99" s="33">
        <f t="shared" si="40"/>
        <v>200</v>
      </c>
      <c r="BD99" s="33">
        <f t="shared" si="41"/>
        <v>200</v>
      </c>
      <c r="BE99" s="33">
        <f t="shared" si="42"/>
        <v>200</v>
      </c>
      <c r="BF99" s="33">
        <f t="shared" si="43"/>
        <v>200</v>
      </c>
      <c r="BG99" s="33">
        <f t="shared" si="44"/>
        <v>200</v>
      </c>
      <c r="BH99" s="33">
        <f t="shared" si="45"/>
        <v>200</v>
      </c>
      <c r="BI99" s="34">
        <f t="shared" si="46"/>
        <v>200</v>
      </c>
    </row>
    <row r="100" spans="28:61" x14ac:dyDescent="0.25">
      <c r="AB100" s="14" t="str">
        <f>AD100&amp;COUNTIF($AD$2:AD100,AD100)</f>
        <v>0</v>
      </c>
      <c r="AC100" s="136"/>
      <c r="AD100" s="136"/>
      <c r="AE100" s="135"/>
      <c r="AF100" s="23" t="str">
        <f>IFERROR(VLOOKUP(AC100,Players!$B:$F,3,0),"")</f>
        <v/>
      </c>
      <c r="AG100" s="23" t="str">
        <f>IFERROR(VLOOKUP(AC100,Players!$B:$F,2,0),"")</f>
        <v/>
      </c>
      <c r="AH100" s="23" t="str">
        <f>IFERROR(VLOOKUP(AC100,Players!$B:$N,5,0),"")</f>
        <v/>
      </c>
      <c r="AI100" s="23">
        <v>99</v>
      </c>
      <c r="AJ100" s="28" t="str">
        <f>IFERROR(IF(LOOKUP(2,1/($AD$1:AD99=VLOOKUP(AJ99,$AN$2:$AX$11,2,0)),$AK$1:AK99)&lt;16,VLOOKUP(AJ99,$AN$2:$AX$11,2,0),IF(LOOKUP(2,1/($AD$1:AD99=VLOOKUP(AJ99,$AN$2:$AX$11,3,0)),$AK$1:AK99)&lt;16,VLOOKUP(AJ99,$AN$2:$AX$11,3,0),IF(LOOKUP(2,1/($AD$1:AD99=VLOOKUP(AJ99,$AN$2:$AX$11,4,0)),$AK$1:AK99)&lt;16,VLOOKUP(AJ99,$AN$2:$AX$11,4,0),IF(LOOKUP(2,1/($AD$1:AD99=VLOOKUP(AJ99,$AN$2:$AX$11,5,0)),$AK$1:AK99)&lt;16,VLOOKUP(AJ99,$AN$2:$AX$11,5,0),IF(LOOKUP(2,1/($AD$1:AD99=VLOOKUP(AJ99,$AN$2:$AX$11,6,0)),$AK$1:AK99)&lt;16,VLOOKUP(AJ99,$AN$2:$AX$11,6,0),IF(LOOKUP(2,1/($AD$1:AD99=VLOOKUP(AJ99,$AN$2:$AX$11,7,0)),$AK$1:AK99)&lt;16,VLOOKUP(AJ99,$AN$2:$AX$11,7,0),IF(LOOKUP(2,1/($AD$1:AD99=VLOOKUP(AJ99,$AN$2:$AX$11,8,0)),$AK$1:AK99)&lt;16,VLOOKUP(AJ99,$AN$2:$AX$11,8,0),IF(LOOKUP(2,1/($AD$1:AD99=VLOOKUP(AJ99,$AN$2:$AX$11,9,0)),$AK$1:AK99)&lt;16,VLOOKUP(AJ99,$AN$2:$AX$11,9,0),IF(LOOKUP(2,1/($AD$1:AD99=VLOOKUP(AJ99,$AN$2:$AX$11,10,0)),$AK$1:AK99)&lt;16,VLOOKUP(AJ99,$AN$2:$AX$11,10,0),VLOOKUP(AJ99,$AN$2:$AX$11,11,0)))))))))),VLOOKUP(AJ99,$AN$2:$AX$11,2,0))</f>
        <v>Crouch</v>
      </c>
      <c r="AK100">
        <f>COUNTIF($AD$1:AD100,AD100)</f>
        <v>0</v>
      </c>
      <c r="AL100">
        <f>COUNTIF($AK$1:AK100,"16")</f>
        <v>0</v>
      </c>
      <c r="AZ100" s="32">
        <f t="shared" si="37"/>
        <v>200</v>
      </c>
      <c r="BA100" s="33">
        <f t="shared" si="38"/>
        <v>200</v>
      </c>
      <c r="BB100" s="33">
        <f t="shared" si="39"/>
        <v>200</v>
      </c>
      <c r="BC100" s="33">
        <f t="shared" si="40"/>
        <v>200</v>
      </c>
      <c r="BD100" s="33">
        <f t="shared" si="41"/>
        <v>200</v>
      </c>
      <c r="BE100" s="33">
        <f t="shared" si="42"/>
        <v>200</v>
      </c>
      <c r="BF100" s="33">
        <f t="shared" si="43"/>
        <v>200</v>
      </c>
      <c r="BG100" s="33">
        <f t="shared" si="44"/>
        <v>200</v>
      </c>
      <c r="BH100" s="33">
        <f t="shared" si="45"/>
        <v>200</v>
      </c>
      <c r="BI100" s="34">
        <f t="shared" si="46"/>
        <v>200</v>
      </c>
    </row>
    <row r="101" spans="28:61" x14ac:dyDescent="0.25">
      <c r="AB101" s="14" t="str">
        <f>AD101&amp;COUNTIF($AD$2:AD101,AD101)</f>
        <v>0</v>
      </c>
      <c r="AC101" s="136"/>
      <c r="AD101" s="136"/>
      <c r="AE101" s="135"/>
      <c r="AF101" s="23" t="str">
        <f>IFERROR(VLOOKUP(AC101,Players!$B:$F,3,0),"")</f>
        <v/>
      </c>
      <c r="AG101" s="23" t="str">
        <f>IFERROR(VLOOKUP(AC101,Players!$B:$F,2,0),"")</f>
        <v/>
      </c>
      <c r="AH101" s="23" t="str">
        <f>IFERROR(VLOOKUP(AC101,Players!$B:$N,5,0),"")</f>
        <v/>
      </c>
      <c r="AI101" s="23">
        <v>100</v>
      </c>
      <c r="AJ101" s="28" t="str">
        <f>IFERROR(IF(LOOKUP(2,1/($AD$1:AD100=VLOOKUP(AJ100,$AN$2:$AX$11,2,0)),$AK$1:AK100)&lt;16,VLOOKUP(AJ100,$AN$2:$AX$11,2,0),IF(LOOKUP(2,1/($AD$1:AD100=VLOOKUP(AJ100,$AN$2:$AX$11,3,0)),$AK$1:AK100)&lt;16,VLOOKUP(AJ100,$AN$2:$AX$11,3,0),IF(LOOKUP(2,1/($AD$1:AD100=VLOOKUP(AJ100,$AN$2:$AX$11,4,0)),$AK$1:AK100)&lt;16,VLOOKUP(AJ100,$AN$2:$AX$11,4,0),IF(LOOKUP(2,1/($AD$1:AD100=VLOOKUP(AJ100,$AN$2:$AX$11,5,0)),$AK$1:AK100)&lt;16,VLOOKUP(AJ100,$AN$2:$AX$11,5,0),IF(LOOKUP(2,1/($AD$1:AD100=VLOOKUP(AJ100,$AN$2:$AX$11,6,0)),$AK$1:AK100)&lt;16,VLOOKUP(AJ100,$AN$2:$AX$11,6,0),IF(LOOKUP(2,1/($AD$1:AD100=VLOOKUP(AJ100,$AN$2:$AX$11,7,0)),$AK$1:AK100)&lt;16,VLOOKUP(AJ100,$AN$2:$AX$11,7,0),IF(LOOKUP(2,1/($AD$1:AD100=VLOOKUP(AJ100,$AN$2:$AX$11,8,0)),$AK$1:AK100)&lt;16,VLOOKUP(AJ100,$AN$2:$AX$11,8,0),IF(LOOKUP(2,1/($AD$1:AD100=VLOOKUP(AJ100,$AN$2:$AX$11,9,0)),$AK$1:AK100)&lt;16,VLOOKUP(AJ100,$AN$2:$AX$11,9,0),IF(LOOKUP(2,1/($AD$1:AD100=VLOOKUP(AJ100,$AN$2:$AX$11,10,0)),$AK$1:AK100)&lt;16,VLOOKUP(AJ100,$AN$2:$AX$11,10,0),VLOOKUP(AJ100,$AN$2:$AX$11,11,0)))))))))),VLOOKUP(AJ100,$AN$2:$AX$11,2,0))</f>
        <v>Team 4</v>
      </c>
      <c r="AK101">
        <f>COUNTIF($AD$1:AD101,AD101)</f>
        <v>0</v>
      </c>
      <c r="AL101">
        <f>COUNTIF($AK$1:AK101,"16")</f>
        <v>0</v>
      </c>
      <c r="AZ101" s="32">
        <f t="shared" si="37"/>
        <v>200</v>
      </c>
      <c r="BA101" s="33">
        <f t="shared" si="38"/>
        <v>200</v>
      </c>
      <c r="BB101" s="33">
        <f t="shared" si="39"/>
        <v>200</v>
      </c>
      <c r="BC101" s="33">
        <f t="shared" si="40"/>
        <v>200</v>
      </c>
      <c r="BD101" s="33">
        <f t="shared" si="41"/>
        <v>200</v>
      </c>
      <c r="BE101" s="33">
        <f t="shared" si="42"/>
        <v>200</v>
      </c>
      <c r="BF101" s="33">
        <f t="shared" si="43"/>
        <v>200</v>
      </c>
      <c r="BG101" s="33">
        <f t="shared" si="44"/>
        <v>200</v>
      </c>
      <c r="BH101" s="33">
        <f t="shared" si="45"/>
        <v>200</v>
      </c>
      <c r="BI101" s="34">
        <f t="shared" si="46"/>
        <v>200</v>
      </c>
    </row>
    <row r="102" spans="28:61" x14ac:dyDescent="0.25">
      <c r="AB102" s="14" t="str">
        <f>AD102&amp;COUNTIF($AD$2:AD102,AD102)</f>
        <v>0</v>
      </c>
      <c r="AC102" s="136"/>
      <c r="AD102" s="136"/>
      <c r="AE102" s="135"/>
      <c r="AF102" s="23" t="str">
        <f>IFERROR(VLOOKUP(AC102,Players!$B:$F,3,0),"")</f>
        <v/>
      </c>
      <c r="AG102" s="23" t="str">
        <f>IFERROR(VLOOKUP(AC102,Players!$B:$F,2,0),"")</f>
        <v/>
      </c>
      <c r="AH102" s="23" t="str">
        <f>IFERROR(VLOOKUP(AC102,Players!$B:$N,5,0),"")</f>
        <v/>
      </c>
      <c r="AI102" s="23">
        <v>101</v>
      </c>
      <c r="AJ102" s="28" t="str">
        <f>IFERROR(IF(LOOKUP(2,1/($AD$1:AD101=VLOOKUP(AJ101,$AN$2:$AX$11,2,0)),$AK$1:AK101)&lt;16,VLOOKUP(AJ101,$AN$2:$AX$11,2,0),IF(LOOKUP(2,1/($AD$1:AD101=VLOOKUP(AJ101,$AN$2:$AX$11,3,0)),$AK$1:AK101)&lt;16,VLOOKUP(AJ101,$AN$2:$AX$11,3,0),IF(LOOKUP(2,1/($AD$1:AD101=VLOOKUP(AJ101,$AN$2:$AX$11,4,0)),$AK$1:AK101)&lt;16,VLOOKUP(AJ101,$AN$2:$AX$11,4,0),IF(LOOKUP(2,1/($AD$1:AD101=VLOOKUP(AJ101,$AN$2:$AX$11,5,0)),$AK$1:AK101)&lt;16,VLOOKUP(AJ101,$AN$2:$AX$11,5,0),IF(LOOKUP(2,1/($AD$1:AD101=VLOOKUP(AJ101,$AN$2:$AX$11,6,0)),$AK$1:AK101)&lt;16,VLOOKUP(AJ101,$AN$2:$AX$11,6,0),IF(LOOKUP(2,1/($AD$1:AD101=VLOOKUP(AJ101,$AN$2:$AX$11,7,0)),$AK$1:AK101)&lt;16,VLOOKUP(AJ101,$AN$2:$AX$11,7,0),IF(LOOKUP(2,1/($AD$1:AD101=VLOOKUP(AJ101,$AN$2:$AX$11,8,0)),$AK$1:AK101)&lt;16,VLOOKUP(AJ101,$AN$2:$AX$11,8,0),IF(LOOKUP(2,1/($AD$1:AD101=VLOOKUP(AJ101,$AN$2:$AX$11,9,0)),$AK$1:AK101)&lt;16,VLOOKUP(AJ101,$AN$2:$AX$11,9,0),IF(LOOKUP(2,1/($AD$1:AD101=VLOOKUP(AJ101,$AN$2:$AX$11,10,0)),$AK$1:AK101)&lt;16,VLOOKUP(AJ101,$AN$2:$AX$11,10,0),VLOOKUP(AJ101,$AN$2:$AX$11,11,0)))))))))),VLOOKUP(AJ101,$AN$2:$AX$11,2,0))</f>
        <v>Team 5</v>
      </c>
      <c r="AK102">
        <f>COUNTIF($AD$1:AD102,AD102)</f>
        <v>0</v>
      </c>
      <c r="AL102">
        <f>COUNTIF($AK$1:AK102,"16")</f>
        <v>0</v>
      </c>
      <c r="AZ102" s="32">
        <f t="shared" si="37"/>
        <v>200</v>
      </c>
      <c r="BA102" s="33">
        <f t="shared" si="38"/>
        <v>200</v>
      </c>
      <c r="BB102" s="33">
        <f t="shared" si="39"/>
        <v>200</v>
      </c>
      <c r="BC102" s="33">
        <f t="shared" si="40"/>
        <v>200</v>
      </c>
      <c r="BD102" s="33">
        <f t="shared" si="41"/>
        <v>200</v>
      </c>
      <c r="BE102" s="33">
        <f t="shared" si="42"/>
        <v>200</v>
      </c>
      <c r="BF102" s="33">
        <f t="shared" si="43"/>
        <v>200</v>
      </c>
      <c r="BG102" s="33">
        <f t="shared" si="44"/>
        <v>200</v>
      </c>
      <c r="BH102" s="33">
        <f t="shared" si="45"/>
        <v>200</v>
      </c>
      <c r="BI102" s="34">
        <f t="shared" si="46"/>
        <v>200</v>
      </c>
    </row>
    <row r="103" spans="28:61" x14ac:dyDescent="0.25">
      <c r="AB103" s="14" t="str">
        <f>AD103&amp;COUNTIF($AD$2:AD103,AD103)</f>
        <v>0</v>
      </c>
      <c r="AC103" s="136"/>
      <c r="AD103" s="136"/>
      <c r="AE103" s="135"/>
      <c r="AF103" s="23" t="str">
        <f>IFERROR(VLOOKUP(AC103,Players!$B:$F,3,0),"")</f>
        <v/>
      </c>
      <c r="AG103" s="23" t="str">
        <f>IFERROR(VLOOKUP(AC103,Players!$B:$F,2,0),"")</f>
        <v/>
      </c>
      <c r="AH103" s="23" t="str">
        <f>IFERROR(VLOOKUP(AC103,Players!$B:$N,5,0),"")</f>
        <v/>
      </c>
      <c r="AI103" s="23">
        <v>102</v>
      </c>
      <c r="AJ103" s="28" t="str">
        <f>IFERROR(IF(LOOKUP(2,1/($AD$1:AD102=VLOOKUP(AJ102,$AN$2:$AX$11,2,0)),$AK$1:AK102)&lt;16,VLOOKUP(AJ102,$AN$2:$AX$11,2,0),IF(LOOKUP(2,1/($AD$1:AD102=VLOOKUP(AJ102,$AN$2:$AX$11,3,0)),$AK$1:AK102)&lt;16,VLOOKUP(AJ102,$AN$2:$AX$11,3,0),IF(LOOKUP(2,1/($AD$1:AD102=VLOOKUP(AJ102,$AN$2:$AX$11,4,0)),$AK$1:AK102)&lt;16,VLOOKUP(AJ102,$AN$2:$AX$11,4,0),IF(LOOKUP(2,1/($AD$1:AD102=VLOOKUP(AJ102,$AN$2:$AX$11,5,0)),$AK$1:AK102)&lt;16,VLOOKUP(AJ102,$AN$2:$AX$11,5,0),IF(LOOKUP(2,1/($AD$1:AD102=VLOOKUP(AJ102,$AN$2:$AX$11,6,0)),$AK$1:AK102)&lt;16,VLOOKUP(AJ102,$AN$2:$AX$11,6,0),IF(LOOKUP(2,1/($AD$1:AD102=VLOOKUP(AJ102,$AN$2:$AX$11,7,0)),$AK$1:AK102)&lt;16,VLOOKUP(AJ102,$AN$2:$AX$11,7,0),IF(LOOKUP(2,1/($AD$1:AD102=VLOOKUP(AJ102,$AN$2:$AX$11,8,0)),$AK$1:AK102)&lt;16,VLOOKUP(AJ102,$AN$2:$AX$11,8,0),IF(LOOKUP(2,1/($AD$1:AD102=VLOOKUP(AJ102,$AN$2:$AX$11,9,0)),$AK$1:AK102)&lt;16,VLOOKUP(AJ102,$AN$2:$AX$11,9,0),IF(LOOKUP(2,1/($AD$1:AD102=VLOOKUP(AJ102,$AN$2:$AX$11,10,0)),$AK$1:AK102)&lt;16,VLOOKUP(AJ102,$AN$2:$AX$11,10,0),VLOOKUP(AJ102,$AN$2:$AX$11,11,0)))))))))),VLOOKUP(AJ102,$AN$2:$AX$11,2,0))</f>
        <v>Team 9</v>
      </c>
      <c r="AK103">
        <f>COUNTIF($AD$1:AD103,AD103)</f>
        <v>0</v>
      </c>
      <c r="AL103">
        <f>COUNTIF($AK$1:AK103,"16")</f>
        <v>0</v>
      </c>
      <c r="AZ103" s="32">
        <f t="shared" si="37"/>
        <v>200</v>
      </c>
      <c r="BA103" s="33">
        <f t="shared" si="38"/>
        <v>200</v>
      </c>
      <c r="BB103" s="33">
        <f t="shared" si="39"/>
        <v>200</v>
      </c>
      <c r="BC103" s="33">
        <f t="shared" si="40"/>
        <v>200</v>
      </c>
      <c r="BD103" s="33">
        <f t="shared" si="41"/>
        <v>200</v>
      </c>
      <c r="BE103" s="33">
        <f t="shared" si="42"/>
        <v>200</v>
      </c>
      <c r="BF103" s="33">
        <f t="shared" si="43"/>
        <v>200</v>
      </c>
      <c r="BG103" s="33">
        <f t="shared" si="44"/>
        <v>200</v>
      </c>
      <c r="BH103" s="33">
        <f t="shared" si="45"/>
        <v>200</v>
      </c>
      <c r="BI103" s="34">
        <f t="shared" si="46"/>
        <v>200</v>
      </c>
    </row>
    <row r="104" spans="28:61" x14ac:dyDescent="0.25">
      <c r="AB104" s="14" t="str">
        <f>AD104&amp;COUNTIF($AD$2:AD104,AD104)</f>
        <v>0</v>
      </c>
      <c r="AC104" s="136"/>
      <c r="AD104" s="136"/>
      <c r="AE104" s="135"/>
      <c r="AF104" s="23" t="str">
        <f>IFERROR(VLOOKUP(AC104,Players!$B:$F,3,0),"")</f>
        <v/>
      </c>
      <c r="AG104" s="23" t="str">
        <f>IFERROR(VLOOKUP(AC104,Players!$B:$F,2,0),"")</f>
        <v/>
      </c>
      <c r="AH104" s="23" t="str">
        <f>IFERROR(VLOOKUP(AC104,Players!$B:$N,5,0),"")</f>
        <v/>
      </c>
      <c r="AI104" s="23">
        <v>103</v>
      </c>
      <c r="AJ104" s="28" t="str">
        <f>IFERROR(IF(LOOKUP(2,1/($AD$1:AD103=VLOOKUP(AJ103,$AN$2:$AX$11,2,0)),$AK$1:AK103)&lt;16,VLOOKUP(AJ103,$AN$2:$AX$11,2,0),IF(LOOKUP(2,1/($AD$1:AD103=VLOOKUP(AJ103,$AN$2:$AX$11,3,0)),$AK$1:AK103)&lt;16,VLOOKUP(AJ103,$AN$2:$AX$11,3,0),IF(LOOKUP(2,1/($AD$1:AD103=VLOOKUP(AJ103,$AN$2:$AX$11,4,0)),$AK$1:AK103)&lt;16,VLOOKUP(AJ103,$AN$2:$AX$11,4,0),IF(LOOKUP(2,1/($AD$1:AD103=VLOOKUP(AJ103,$AN$2:$AX$11,5,0)),$AK$1:AK103)&lt;16,VLOOKUP(AJ103,$AN$2:$AX$11,5,0),IF(LOOKUP(2,1/($AD$1:AD103=VLOOKUP(AJ103,$AN$2:$AX$11,6,0)),$AK$1:AK103)&lt;16,VLOOKUP(AJ103,$AN$2:$AX$11,6,0),IF(LOOKUP(2,1/($AD$1:AD103=VLOOKUP(AJ103,$AN$2:$AX$11,7,0)),$AK$1:AK103)&lt;16,VLOOKUP(AJ103,$AN$2:$AX$11,7,0),IF(LOOKUP(2,1/($AD$1:AD103=VLOOKUP(AJ103,$AN$2:$AX$11,8,0)),$AK$1:AK103)&lt;16,VLOOKUP(AJ103,$AN$2:$AX$11,8,0),IF(LOOKUP(2,1/($AD$1:AD103=VLOOKUP(AJ103,$AN$2:$AX$11,9,0)),$AK$1:AK103)&lt;16,VLOOKUP(AJ103,$AN$2:$AX$11,9,0),IF(LOOKUP(2,1/($AD$1:AD103=VLOOKUP(AJ103,$AN$2:$AX$11,10,0)),$AK$1:AK103)&lt;16,VLOOKUP(AJ103,$AN$2:$AX$11,10,0),VLOOKUP(AJ103,$AN$2:$AX$11,11,0)))))))))),VLOOKUP(AJ103,$AN$2:$AX$11,2,0))</f>
        <v>Team 3</v>
      </c>
      <c r="AK104">
        <f>COUNTIF($AD$1:AD104,AD104)</f>
        <v>0</v>
      </c>
      <c r="AL104">
        <f>COUNTIF($AK$1:AK104,"16")</f>
        <v>0</v>
      </c>
      <c r="AZ104" s="32">
        <f t="shared" si="37"/>
        <v>200</v>
      </c>
      <c r="BA104" s="33">
        <f t="shared" si="38"/>
        <v>200</v>
      </c>
      <c r="BB104" s="33">
        <f t="shared" si="39"/>
        <v>200</v>
      </c>
      <c r="BC104" s="33">
        <f t="shared" si="40"/>
        <v>200</v>
      </c>
      <c r="BD104" s="33">
        <f t="shared" si="41"/>
        <v>200</v>
      </c>
      <c r="BE104" s="33">
        <f t="shared" si="42"/>
        <v>200</v>
      </c>
      <c r="BF104" s="33">
        <f t="shared" si="43"/>
        <v>200</v>
      </c>
      <c r="BG104" s="33">
        <f t="shared" si="44"/>
        <v>200</v>
      </c>
      <c r="BH104" s="33">
        <f t="shared" si="45"/>
        <v>200</v>
      </c>
      <c r="BI104" s="34">
        <f t="shared" si="46"/>
        <v>200</v>
      </c>
    </row>
    <row r="105" spans="28:61" x14ac:dyDescent="0.25">
      <c r="AB105" s="14" t="str">
        <f>AD105&amp;COUNTIF($AD$2:AD105,AD105)</f>
        <v>0</v>
      </c>
      <c r="AC105" s="136"/>
      <c r="AD105" s="136"/>
      <c r="AE105" s="135"/>
      <c r="AF105" s="23" t="str">
        <f>IFERROR(VLOOKUP(AC105,Players!$B:$F,3,0),"")</f>
        <v/>
      </c>
      <c r="AG105" s="23" t="str">
        <f>IFERROR(VLOOKUP(AC105,Players!$B:$F,2,0),"")</f>
        <v/>
      </c>
      <c r="AH105" s="23" t="str">
        <f>IFERROR(VLOOKUP(AC105,Players!$B:$N,5,0),"")</f>
        <v/>
      </c>
      <c r="AI105" s="23">
        <v>104</v>
      </c>
      <c r="AJ105" s="28" t="str">
        <f>IFERROR(IF(LOOKUP(2,1/($AD$1:AD104=VLOOKUP(AJ104,$AN$2:$AX$11,2,0)),$AK$1:AK104)&lt;16,VLOOKUP(AJ104,$AN$2:$AX$11,2,0),IF(LOOKUP(2,1/($AD$1:AD104=VLOOKUP(AJ104,$AN$2:$AX$11,3,0)),$AK$1:AK104)&lt;16,VLOOKUP(AJ104,$AN$2:$AX$11,3,0),IF(LOOKUP(2,1/($AD$1:AD104=VLOOKUP(AJ104,$AN$2:$AX$11,4,0)),$AK$1:AK104)&lt;16,VLOOKUP(AJ104,$AN$2:$AX$11,4,0),IF(LOOKUP(2,1/($AD$1:AD104=VLOOKUP(AJ104,$AN$2:$AX$11,5,0)),$AK$1:AK104)&lt;16,VLOOKUP(AJ104,$AN$2:$AX$11,5,0),IF(LOOKUP(2,1/($AD$1:AD104=VLOOKUP(AJ104,$AN$2:$AX$11,6,0)),$AK$1:AK104)&lt;16,VLOOKUP(AJ104,$AN$2:$AX$11,6,0),IF(LOOKUP(2,1/($AD$1:AD104=VLOOKUP(AJ104,$AN$2:$AX$11,7,0)),$AK$1:AK104)&lt;16,VLOOKUP(AJ104,$AN$2:$AX$11,7,0),IF(LOOKUP(2,1/($AD$1:AD104=VLOOKUP(AJ104,$AN$2:$AX$11,8,0)),$AK$1:AK104)&lt;16,VLOOKUP(AJ104,$AN$2:$AX$11,8,0),IF(LOOKUP(2,1/($AD$1:AD104=VLOOKUP(AJ104,$AN$2:$AX$11,9,0)),$AK$1:AK104)&lt;16,VLOOKUP(AJ104,$AN$2:$AX$11,9,0),IF(LOOKUP(2,1/($AD$1:AD104=VLOOKUP(AJ104,$AN$2:$AX$11,10,0)),$AK$1:AK104)&lt;16,VLOOKUP(AJ104,$AN$2:$AX$11,10,0),VLOOKUP(AJ104,$AN$2:$AX$11,11,0)))))))))),VLOOKUP(AJ104,$AN$2:$AX$11,2,0))</f>
        <v>Team 6</v>
      </c>
      <c r="AK105">
        <f>COUNTIF($AD$1:AD105,AD105)</f>
        <v>0</v>
      </c>
      <c r="AL105">
        <f>COUNTIF($AK$1:AK105,"16")</f>
        <v>0</v>
      </c>
      <c r="AZ105" s="32">
        <f t="shared" si="37"/>
        <v>200</v>
      </c>
      <c r="BA105" s="33">
        <f t="shared" si="38"/>
        <v>200</v>
      </c>
      <c r="BB105" s="33">
        <f t="shared" si="39"/>
        <v>200</v>
      </c>
      <c r="BC105" s="33">
        <f t="shared" si="40"/>
        <v>200</v>
      </c>
      <c r="BD105" s="33">
        <f t="shared" si="41"/>
        <v>200</v>
      </c>
      <c r="BE105" s="33">
        <f t="shared" si="42"/>
        <v>200</v>
      </c>
      <c r="BF105" s="33">
        <f t="shared" si="43"/>
        <v>200</v>
      </c>
      <c r="BG105" s="33">
        <f t="shared" si="44"/>
        <v>200</v>
      </c>
      <c r="BH105" s="33">
        <f t="shared" si="45"/>
        <v>200</v>
      </c>
      <c r="BI105" s="34">
        <f t="shared" si="46"/>
        <v>200</v>
      </c>
    </row>
    <row r="106" spans="28:61" x14ac:dyDescent="0.25">
      <c r="AB106" s="14" t="str">
        <f>AD106&amp;COUNTIF($AD$2:AD106,AD106)</f>
        <v>0</v>
      </c>
      <c r="AC106" s="136"/>
      <c r="AD106" s="136"/>
      <c r="AE106" s="135"/>
      <c r="AF106" s="23" t="str">
        <f>IFERROR(VLOOKUP(AC106,Players!$B:$F,3,0),"")</f>
        <v/>
      </c>
      <c r="AG106" s="23" t="str">
        <f>IFERROR(VLOOKUP(AC106,Players!$B:$F,2,0),"")</f>
        <v/>
      </c>
      <c r="AH106" s="23" t="str">
        <f>IFERROR(VLOOKUP(AC106,Players!$B:$N,5,0),"")</f>
        <v/>
      </c>
      <c r="AI106" s="23">
        <v>105</v>
      </c>
      <c r="AJ106" s="28" t="str">
        <f>IFERROR(IF(LOOKUP(2,1/($AD$1:AD105=VLOOKUP(AJ105,$AN$2:$AX$11,2,0)),$AK$1:AK105)&lt;16,VLOOKUP(AJ105,$AN$2:$AX$11,2,0),IF(LOOKUP(2,1/($AD$1:AD105=VLOOKUP(AJ105,$AN$2:$AX$11,3,0)),$AK$1:AK105)&lt;16,VLOOKUP(AJ105,$AN$2:$AX$11,3,0),IF(LOOKUP(2,1/($AD$1:AD105=VLOOKUP(AJ105,$AN$2:$AX$11,4,0)),$AK$1:AK105)&lt;16,VLOOKUP(AJ105,$AN$2:$AX$11,4,0),IF(LOOKUP(2,1/($AD$1:AD105=VLOOKUP(AJ105,$AN$2:$AX$11,5,0)),$AK$1:AK105)&lt;16,VLOOKUP(AJ105,$AN$2:$AX$11,5,0),IF(LOOKUP(2,1/($AD$1:AD105=VLOOKUP(AJ105,$AN$2:$AX$11,6,0)),$AK$1:AK105)&lt;16,VLOOKUP(AJ105,$AN$2:$AX$11,6,0),IF(LOOKUP(2,1/($AD$1:AD105=VLOOKUP(AJ105,$AN$2:$AX$11,7,0)),$AK$1:AK105)&lt;16,VLOOKUP(AJ105,$AN$2:$AX$11,7,0),IF(LOOKUP(2,1/($AD$1:AD105=VLOOKUP(AJ105,$AN$2:$AX$11,8,0)),$AK$1:AK105)&lt;16,VLOOKUP(AJ105,$AN$2:$AX$11,8,0),IF(LOOKUP(2,1/($AD$1:AD105=VLOOKUP(AJ105,$AN$2:$AX$11,9,0)),$AK$1:AK105)&lt;16,VLOOKUP(AJ105,$AN$2:$AX$11,9,0),IF(LOOKUP(2,1/($AD$1:AD105=VLOOKUP(AJ105,$AN$2:$AX$11,10,0)),$AK$1:AK105)&lt;16,VLOOKUP(AJ105,$AN$2:$AX$11,10,0),VLOOKUP(AJ105,$AN$2:$AX$11,11,0)))))))))),VLOOKUP(AJ105,$AN$2:$AX$11,2,0))</f>
        <v>Team 7</v>
      </c>
      <c r="AK106">
        <f>COUNTIF($AD$1:AD106,AD106)</f>
        <v>0</v>
      </c>
      <c r="AL106">
        <f>COUNTIF($AK$1:AK106,"16")</f>
        <v>0</v>
      </c>
      <c r="AZ106" s="32">
        <f t="shared" si="37"/>
        <v>200</v>
      </c>
      <c r="BA106" s="33">
        <f t="shared" si="38"/>
        <v>200</v>
      </c>
      <c r="BB106" s="33">
        <f t="shared" si="39"/>
        <v>200</v>
      </c>
      <c r="BC106" s="33">
        <f t="shared" si="40"/>
        <v>200</v>
      </c>
      <c r="BD106" s="33">
        <f t="shared" si="41"/>
        <v>200</v>
      </c>
      <c r="BE106" s="33">
        <f t="shared" si="42"/>
        <v>200</v>
      </c>
      <c r="BF106" s="33">
        <f t="shared" si="43"/>
        <v>200</v>
      </c>
      <c r="BG106" s="33">
        <f t="shared" si="44"/>
        <v>200</v>
      </c>
      <c r="BH106" s="33">
        <f t="shared" si="45"/>
        <v>200</v>
      </c>
      <c r="BI106" s="34">
        <f t="shared" si="46"/>
        <v>200</v>
      </c>
    </row>
    <row r="107" spans="28:61" x14ac:dyDescent="0.25">
      <c r="AB107" s="14" t="str">
        <f>AD107&amp;COUNTIF($AD$2:AD107,AD107)</f>
        <v>0</v>
      </c>
      <c r="AC107" s="136"/>
      <c r="AD107" s="136"/>
      <c r="AE107" s="135"/>
      <c r="AF107" s="23" t="str">
        <f>IFERROR(VLOOKUP(AC107,Players!$B:$F,3,0),"")</f>
        <v/>
      </c>
      <c r="AG107" s="23" t="str">
        <f>IFERROR(VLOOKUP(AC107,Players!$B:$F,2,0),"")</f>
        <v/>
      </c>
      <c r="AH107" s="23" t="str">
        <f>IFERROR(VLOOKUP(AC107,Players!$B:$N,5,0),"")</f>
        <v/>
      </c>
      <c r="AI107" s="23">
        <v>106</v>
      </c>
      <c r="AJ107" s="28" t="str">
        <f>IFERROR(IF(LOOKUP(2,1/($AD$1:AD106=VLOOKUP(AJ106,$AN$2:$AX$11,2,0)),$AK$1:AK106)&lt;16,VLOOKUP(AJ106,$AN$2:$AX$11,2,0),IF(LOOKUP(2,1/($AD$1:AD106=VLOOKUP(AJ106,$AN$2:$AX$11,3,0)),$AK$1:AK106)&lt;16,VLOOKUP(AJ106,$AN$2:$AX$11,3,0),IF(LOOKUP(2,1/($AD$1:AD106=VLOOKUP(AJ106,$AN$2:$AX$11,4,0)),$AK$1:AK106)&lt;16,VLOOKUP(AJ106,$AN$2:$AX$11,4,0),IF(LOOKUP(2,1/($AD$1:AD106=VLOOKUP(AJ106,$AN$2:$AX$11,5,0)),$AK$1:AK106)&lt;16,VLOOKUP(AJ106,$AN$2:$AX$11,5,0),IF(LOOKUP(2,1/($AD$1:AD106=VLOOKUP(AJ106,$AN$2:$AX$11,6,0)),$AK$1:AK106)&lt;16,VLOOKUP(AJ106,$AN$2:$AX$11,6,0),IF(LOOKUP(2,1/($AD$1:AD106=VLOOKUP(AJ106,$AN$2:$AX$11,7,0)),$AK$1:AK106)&lt;16,VLOOKUP(AJ106,$AN$2:$AX$11,7,0),IF(LOOKUP(2,1/($AD$1:AD106=VLOOKUP(AJ106,$AN$2:$AX$11,8,0)),$AK$1:AK106)&lt;16,VLOOKUP(AJ106,$AN$2:$AX$11,8,0),IF(LOOKUP(2,1/($AD$1:AD106=VLOOKUP(AJ106,$AN$2:$AX$11,9,0)),$AK$1:AK106)&lt;16,VLOOKUP(AJ106,$AN$2:$AX$11,9,0),IF(LOOKUP(2,1/($AD$1:AD106=VLOOKUP(AJ106,$AN$2:$AX$11,10,0)),$AK$1:AK106)&lt;16,VLOOKUP(AJ106,$AN$2:$AX$11,10,0),VLOOKUP(AJ106,$AN$2:$AX$11,11,0)))))))))),VLOOKUP(AJ106,$AN$2:$AX$11,2,0))</f>
        <v>Team 8</v>
      </c>
      <c r="AK107">
        <f>COUNTIF($AD$1:AD107,AD107)</f>
        <v>0</v>
      </c>
      <c r="AL107">
        <f>COUNTIF($AK$1:AK107,"16")</f>
        <v>0</v>
      </c>
      <c r="AZ107" s="32">
        <f t="shared" si="37"/>
        <v>200</v>
      </c>
      <c r="BA107" s="33">
        <f t="shared" si="38"/>
        <v>200</v>
      </c>
      <c r="BB107" s="33">
        <f t="shared" si="39"/>
        <v>200</v>
      </c>
      <c r="BC107" s="33">
        <f t="shared" si="40"/>
        <v>200</v>
      </c>
      <c r="BD107" s="33">
        <f t="shared" si="41"/>
        <v>200</v>
      </c>
      <c r="BE107" s="33">
        <f t="shared" si="42"/>
        <v>200</v>
      </c>
      <c r="BF107" s="33">
        <f t="shared" si="43"/>
        <v>200</v>
      </c>
      <c r="BG107" s="33">
        <f t="shared" si="44"/>
        <v>200</v>
      </c>
      <c r="BH107" s="33">
        <f t="shared" si="45"/>
        <v>200</v>
      </c>
      <c r="BI107" s="34">
        <f t="shared" si="46"/>
        <v>200</v>
      </c>
    </row>
    <row r="108" spans="28:61" x14ac:dyDescent="0.25">
      <c r="AB108" s="14" t="str">
        <f>AD108&amp;COUNTIF($AD$2:AD108,AD108)</f>
        <v>0</v>
      </c>
      <c r="AC108" s="136"/>
      <c r="AD108" s="136"/>
      <c r="AE108" s="135"/>
      <c r="AF108" s="23" t="str">
        <f>IFERROR(VLOOKUP(AC108,Players!$B:$F,3,0),"")</f>
        <v/>
      </c>
      <c r="AG108" s="23" t="str">
        <f>IFERROR(VLOOKUP(AC108,Players!$B:$F,2,0),"")</f>
        <v/>
      </c>
      <c r="AH108" s="23" t="str">
        <f>IFERROR(VLOOKUP(AC108,Players!$B:$N,5,0),"")</f>
        <v/>
      </c>
      <c r="AI108" s="23">
        <v>107</v>
      </c>
      <c r="AJ108" s="28" t="str">
        <f>IFERROR(IF(LOOKUP(2,1/($AD$1:AD107=VLOOKUP(AJ107,$AN$2:$AX$11,2,0)),$AK$1:AK107)&lt;16,VLOOKUP(AJ107,$AN$2:$AX$11,2,0),IF(LOOKUP(2,1/($AD$1:AD107=VLOOKUP(AJ107,$AN$2:$AX$11,3,0)),$AK$1:AK107)&lt;16,VLOOKUP(AJ107,$AN$2:$AX$11,3,0),IF(LOOKUP(2,1/($AD$1:AD107=VLOOKUP(AJ107,$AN$2:$AX$11,4,0)),$AK$1:AK107)&lt;16,VLOOKUP(AJ107,$AN$2:$AX$11,4,0),IF(LOOKUP(2,1/($AD$1:AD107=VLOOKUP(AJ107,$AN$2:$AX$11,5,0)),$AK$1:AK107)&lt;16,VLOOKUP(AJ107,$AN$2:$AX$11,5,0),IF(LOOKUP(2,1/($AD$1:AD107=VLOOKUP(AJ107,$AN$2:$AX$11,6,0)),$AK$1:AK107)&lt;16,VLOOKUP(AJ107,$AN$2:$AX$11,6,0),IF(LOOKUP(2,1/($AD$1:AD107=VLOOKUP(AJ107,$AN$2:$AX$11,7,0)),$AK$1:AK107)&lt;16,VLOOKUP(AJ107,$AN$2:$AX$11,7,0),IF(LOOKUP(2,1/($AD$1:AD107=VLOOKUP(AJ107,$AN$2:$AX$11,8,0)),$AK$1:AK107)&lt;16,VLOOKUP(AJ107,$AN$2:$AX$11,8,0),IF(LOOKUP(2,1/($AD$1:AD107=VLOOKUP(AJ107,$AN$2:$AX$11,9,0)),$AK$1:AK107)&lt;16,VLOOKUP(AJ107,$AN$2:$AX$11,9,0),IF(LOOKUP(2,1/($AD$1:AD107=VLOOKUP(AJ107,$AN$2:$AX$11,10,0)),$AK$1:AK107)&lt;16,VLOOKUP(AJ107,$AN$2:$AX$11,10,0),VLOOKUP(AJ107,$AN$2:$AX$11,11,0)))))))))),VLOOKUP(AJ107,$AN$2:$AX$11,2,0))</f>
        <v>Team Se</v>
      </c>
      <c r="AK108">
        <f>COUNTIF($AD$1:AD108,AD108)</f>
        <v>0</v>
      </c>
      <c r="AL108">
        <f>COUNTIF($AK$1:AK108,"16")</f>
        <v>0</v>
      </c>
      <c r="AZ108" s="32">
        <f t="shared" si="37"/>
        <v>200</v>
      </c>
      <c r="BA108" s="33">
        <f t="shared" si="38"/>
        <v>200</v>
      </c>
      <c r="BB108" s="33">
        <f t="shared" si="39"/>
        <v>200</v>
      </c>
      <c r="BC108" s="33">
        <f t="shared" si="40"/>
        <v>200</v>
      </c>
      <c r="BD108" s="33">
        <f t="shared" si="41"/>
        <v>200</v>
      </c>
      <c r="BE108" s="33">
        <f t="shared" si="42"/>
        <v>200</v>
      </c>
      <c r="BF108" s="33">
        <f t="shared" si="43"/>
        <v>200</v>
      </c>
      <c r="BG108" s="33">
        <f t="shared" si="44"/>
        <v>200</v>
      </c>
      <c r="BH108" s="33">
        <f t="shared" si="45"/>
        <v>200</v>
      </c>
      <c r="BI108" s="34">
        <f t="shared" si="46"/>
        <v>200</v>
      </c>
    </row>
    <row r="109" spans="28:61" x14ac:dyDescent="0.25">
      <c r="AB109" s="14" t="str">
        <f>AD109&amp;COUNTIF($AD$2:AD109,AD109)</f>
        <v>0</v>
      </c>
      <c r="AC109" s="136"/>
      <c r="AD109" s="136"/>
      <c r="AE109" s="135"/>
      <c r="AF109" s="23" t="str">
        <f>IFERROR(VLOOKUP(AC109,Players!$B:$F,3,0),"")</f>
        <v/>
      </c>
      <c r="AG109" s="23" t="str">
        <f>IFERROR(VLOOKUP(AC109,Players!$B:$F,2,0),"")</f>
        <v/>
      </c>
      <c r="AH109" s="23" t="str">
        <f>IFERROR(VLOOKUP(AC109,Players!$B:$N,5,0),"")</f>
        <v/>
      </c>
      <c r="AI109" s="23">
        <v>108</v>
      </c>
      <c r="AJ109" s="28" t="str">
        <f>IFERROR(IF(LOOKUP(2,1/($AD$1:AD108=VLOOKUP(AJ108,$AN$2:$AX$11,2,0)),$AK$1:AK108)&lt;16,VLOOKUP(AJ108,$AN$2:$AX$11,2,0),IF(LOOKUP(2,1/($AD$1:AD108=VLOOKUP(AJ108,$AN$2:$AX$11,3,0)),$AK$1:AK108)&lt;16,VLOOKUP(AJ108,$AN$2:$AX$11,3,0),IF(LOOKUP(2,1/($AD$1:AD108=VLOOKUP(AJ108,$AN$2:$AX$11,4,0)),$AK$1:AK108)&lt;16,VLOOKUP(AJ108,$AN$2:$AX$11,4,0),IF(LOOKUP(2,1/($AD$1:AD108=VLOOKUP(AJ108,$AN$2:$AX$11,5,0)),$AK$1:AK108)&lt;16,VLOOKUP(AJ108,$AN$2:$AX$11,5,0),IF(LOOKUP(2,1/($AD$1:AD108=VLOOKUP(AJ108,$AN$2:$AX$11,6,0)),$AK$1:AK108)&lt;16,VLOOKUP(AJ108,$AN$2:$AX$11,6,0),IF(LOOKUP(2,1/($AD$1:AD108=VLOOKUP(AJ108,$AN$2:$AX$11,7,0)),$AK$1:AK108)&lt;16,VLOOKUP(AJ108,$AN$2:$AX$11,7,0),IF(LOOKUP(2,1/($AD$1:AD108=VLOOKUP(AJ108,$AN$2:$AX$11,8,0)),$AK$1:AK108)&lt;16,VLOOKUP(AJ108,$AN$2:$AX$11,8,0),IF(LOOKUP(2,1/($AD$1:AD108=VLOOKUP(AJ108,$AN$2:$AX$11,9,0)),$AK$1:AK108)&lt;16,VLOOKUP(AJ108,$AN$2:$AX$11,9,0),IF(LOOKUP(2,1/($AD$1:AD108=VLOOKUP(AJ108,$AN$2:$AX$11,10,0)),$AK$1:AK108)&lt;16,VLOOKUP(AJ108,$AN$2:$AX$11,10,0),VLOOKUP(AJ108,$AN$2:$AX$11,11,0)))))))))),VLOOKUP(AJ108,$AN$2:$AX$11,2,0))</f>
        <v>Team 10</v>
      </c>
      <c r="AK109">
        <f>COUNTIF($AD$1:AD109,AD109)</f>
        <v>0</v>
      </c>
      <c r="AL109">
        <f>COUNTIF($AK$1:AK109,"16")</f>
        <v>0</v>
      </c>
      <c r="AZ109" s="32">
        <f t="shared" si="37"/>
        <v>200</v>
      </c>
      <c r="BA109" s="33">
        <f t="shared" si="38"/>
        <v>200</v>
      </c>
      <c r="BB109" s="33">
        <f t="shared" si="39"/>
        <v>200</v>
      </c>
      <c r="BC109" s="33">
        <f t="shared" si="40"/>
        <v>200</v>
      </c>
      <c r="BD109" s="33">
        <f t="shared" si="41"/>
        <v>200</v>
      </c>
      <c r="BE109" s="33">
        <f t="shared" si="42"/>
        <v>200</v>
      </c>
      <c r="BF109" s="33">
        <f t="shared" si="43"/>
        <v>200</v>
      </c>
      <c r="BG109" s="33">
        <f t="shared" si="44"/>
        <v>200</v>
      </c>
      <c r="BH109" s="33">
        <f t="shared" si="45"/>
        <v>200</v>
      </c>
      <c r="BI109" s="34">
        <f t="shared" si="46"/>
        <v>200</v>
      </c>
    </row>
    <row r="110" spans="28:61" x14ac:dyDescent="0.25">
      <c r="AB110" s="14" t="str">
        <f>AD110&amp;COUNTIF($AD$2:AD110,AD110)</f>
        <v>0</v>
      </c>
      <c r="AC110" s="136"/>
      <c r="AD110" s="136"/>
      <c r="AE110" s="135"/>
      <c r="AF110" s="23" t="str">
        <f>IFERROR(VLOOKUP(AC110,Players!$B:$F,3,0),"")</f>
        <v/>
      </c>
      <c r="AG110" s="23" t="str">
        <f>IFERROR(VLOOKUP(AC110,Players!$B:$F,2,0),"")</f>
        <v/>
      </c>
      <c r="AH110" s="23" t="str">
        <f>IFERROR(VLOOKUP(AC110,Players!$B:$N,5,0),"")</f>
        <v/>
      </c>
      <c r="AI110" s="23">
        <v>109</v>
      </c>
      <c r="AJ110" s="28" t="str">
        <f>IFERROR(IF(LOOKUP(2,1/($AD$1:AD109=VLOOKUP(AJ109,$AN$2:$AX$11,2,0)),$AK$1:AK109)&lt;16,VLOOKUP(AJ109,$AN$2:$AX$11,2,0),IF(LOOKUP(2,1/($AD$1:AD109=VLOOKUP(AJ109,$AN$2:$AX$11,3,0)),$AK$1:AK109)&lt;16,VLOOKUP(AJ109,$AN$2:$AX$11,3,0),IF(LOOKUP(2,1/($AD$1:AD109=VLOOKUP(AJ109,$AN$2:$AX$11,4,0)),$AK$1:AK109)&lt;16,VLOOKUP(AJ109,$AN$2:$AX$11,4,0),IF(LOOKUP(2,1/($AD$1:AD109=VLOOKUP(AJ109,$AN$2:$AX$11,5,0)),$AK$1:AK109)&lt;16,VLOOKUP(AJ109,$AN$2:$AX$11,5,0),IF(LOOKUP(2,1/($AD$1:AD109=VLOOKUP(AJ109,$AN$2:$AX$11,6,0)),$AK$1:AK109)&lt;16,VLOOKUP(AJ109,$AN$2:$AX$11,6,0),IF(LOOKUP(2,1/($AD$1:AD109=VLOOKUP(AJ109,$AN$2:$AX$11,7,0)),$AK$1:AK109)&lt;16,VLOOKUP(AJ109,$AN$2:$AX$11,7,0),IF(LOOKUP(2,1/($AD$1:AD109=VLOOKUP(AJ109,$AN$2:$AX$11,8,0)),$AK$1:AK109)&lt;16,VLOOKUP(AJ109,$AN$2:$AX$11,8,0),IF(LOOKUP(2,1/($AD$1:AD109=VLOOKUP(AJ109,$AN$2:$AX$11,9,0)),$AK$1:AK109)&lt;16,VLOOKUP(AJ109,$AN$2:$AX$11,9,0),IF(LOOKUP(2,1/($AD$1:AD109=VLOOKUP(AJ109,$AN$2:$AX$11,10,0)),$AK$1:AK109)&lt;16,VLOOKUP(AJ109,$AN$2:$AX$11,10,0),VLOOKUP(AJ109,$AN$2:$AX$11,11,0)))))))))),VLOOKUP(AJ109,$AN$2:$AX$11,2,0))</f>
        <v>Crouch</v>
      </c>
      <c r="AK110">
        <f>COUNTIF($AD$1:AD110,AD110)</f>
        <v>0</v>
      </c>
      <c r="AL110">
        <f>COUNTIF($AK$1:AK110,"16")</f>
        <v>0</v>
      </c>
      <c r="AZ110" s="32">
        <f t="shared" si="37"/>
        <v>200</v>
      </c>
      <c r="BA110" s="33">
        <f t="shared" si="38"/>
        <v>200</v>
      </c>
      <c r="BB110" s="33">
        <f t="shared" si="39"/>
        <v>200</v>
      </c>
      <c r="BC110" s="33">
        <f t="shared" si="40"/>
        <v>200</v>
      </c>
      <c r="BD110" s="33">
        <f t="shared" si="41"/>
        <v>200</v>
      </c>
      <c r="BE110" s="33">
        <f t="shared" si="42"/>
        <v>200</v>
      </c>
      <c r="BF110" s="33">
        <f t="shared" si="43"/>
        <v>200</v>
      </c>
      <c r="BG110" s="33">
        <f t="shared" si="44"/>
        <v>200</v>
      </c>
      <c r="BH110" s="33">
        <f t="shared" si="45"/>
        <v>200</v>
      </c>
      <c r="BI110" s="34">
        <f t="shared" si="46"/>
        <v>200</v>
      </c>
    </row>
    <row r="111" spans="28:61" x14ac:dyDescent="0.25">
      <c r="AB111" s="14" t="str">
        <f>AD111&amp;COUNTIF($AD$2:AD111,AD111)</f>
        <v>0</v>
      </c>
      <c r="AC111" s="136"/>
      <c r="AD111" s="136"/>
      <c r="AE111" s="135"/>
      <c r="AF111" s="23" t="str">
        <f>IFERROR(VLOOKUP(AC111,Players!$B:$F,3,0),"")</f>
        <v/>
      </c>
      <c r="AG111" s="23" t="str">
        <f>IFERROR(VLOOKUP(AC111,Players!$B:$F,2,0),"")</f>
        <v/>
      </c>
      <c r="AH111" s="23" t="str">
        <f>IFERROR(VLOOKUP(AC111,Players!$B:$N,5,0),"")</f>
        <v/>
      </c>
      <c r="AI111" s="23">
        <v>110</v>
      </c>
      <c r="AJ111" s="28" t="str">
        <f>IFERROR(IF(LOOKUP(2,1/($AD$1:AD110=VLOOKUP(AJ110,$AN$2:$AX$11,2,0)),$AK$1:AK110)&lt;16,VLOOKUP(AJ110,$AN$2:$AX$11,2,0),IF(LOOKUP(2,1/($AD$1:AD110=VLOOKUP(AJ110,$AN$2:$AX$11,3,0)),$AK$1:AK110)&lt;16,VLOOKUP(AJ110,$AN$2:$AX$11,3,0),IF(LOOKUP(2,1/($AD$1:AD110=VLOOKUP(AJ110,$AN$2:$AX$11,4,0)),$AK$1:AK110)&lt;16,VLOOKUP(AJ110,$AN$2:$AX$11,4,0),IF(LOOKUP(2,1/($AD$1:AD110=VLOOKUP(AJ110,$AN$2:$AX$11,5,0)),$AK$1:AK110)&lt;16,VLOOKUP(AJ110,$AN$2:$AX$11,5,0),IF(LOOKUP(2,1/($AD$1:AD110=VLOOKUP(AJ110,$AN$2:$AX$11,6,0)),$AK$1:AK110)&lt;16,VLOOKUP(AJ110,$AN$2:$AX$11,6,0),IF(LOOKUP(2,1/($AD$1:AD110=VLOOKUP(AJ110,$AN$2:$AX$11,7,0)),$AK$1:AK110)&lt;16,VLOOKUP(AJ110,$AN$2:$AX$11,7,0),IF(LOOKUP(2,1/($AD$1:AD110=VLOOKUP(AJ110,$AN$2:$AX$11,8,0)),$AK$1:AK110)&lt;16,VLOOKUP(AJ110,$AN$2:$AX$11,8,0),IF(LOOKUP(2,1/($AD$1:AD110=VLOOKUP(AJ110,$AN$2:$AX$11,9,0)),$AK$1:AK110)&lt;16,VLOOKUP(AJ110,$AN$2:$AX$11,9,0),IF(LOOKUP(2,1/($AD$1:AD110=VLOOKUP(AJ110,$AN$2:$AX$11,10,0)),$AK$1:AK110)&lt;16,VLOOKUP(AJ110,$AN$2:$AX$11,10,0),VLOOKUP(AJ110,$AN$2:$AX$11,11,0)))))))))),VLOOKUP(AJ110,$AN$2:$AX$11,2,0))</f>
        <v>Team 4</v>
      </c>
      <c r="AK111">
        <f>COUNTIF($AD$1:AD111,AD111)</f>
        <v>0</v>
      </c>
      <c r="AL111">
        <f>COUNTIF($AK$1:AK111,"16")</f>
        <v>0</v>
      </c>
      <c r="AZ111" s="32">
        <f t="shared" si="37"/>
        <v>200</v>
      </c>
      <c r="BA111" s="33">
        <f t="shared" si="38"/>
        <v>200</v>
      </c>
      <c r="BB111" s="33">
        <f t="shared" si="39"/>
        <v>200</v>
      </c>
      <c r="BC111" s="33">
        <f t="shared" si="40"/>
        <v>200</v>
      </c>
      <c r="BD111" s="33">
        <f t="shared" si="41"/>
        <v>200</v>
      </c>
      <c r="BE111" s="33">
        <f t="shared" si="42"/>
        <v>200</v>
      </c>
      <c r="BF111" s="33">
        <f t="shared" si="43"/>
        <v>200</v>
      </c>
      <c r="BG111" s="33">
        <f t="shared" si="44"/>
        <v>200</v>
      </c>
      <c r="BH111" s="33">
        <f t="shared" si="45"/>
        <v>200</v>
      </c>
      <c r="BI111" s="34">
        <f t="shared" si="46"/>
        <v>200</v>
      </c>
    </row>
    <row r="112" spans="28:61" x14ac:dyDescent="0.25">
      <c r="AB112" s="14" t="str">
        <f>AD112&amp;COUNTIF($AD$2:AD112,AD112)</f>
        <v>0</v>
      </c>
      <c r="AC112" s="136"/>
      <c r="AD112" s="136"/>
      <c r="AE112" s="135"/>
      <c r="AF112" s="23" t="str">
        <f>IFERROR(VLOOKUP(AC112,Players!$B:$F,3,0),"")</f>
        <v/>
      </c>
      <c r="AG112" s="23" t="str">
        <f>IFERROR(VLOOKUP(AC112,Players!$B:$F,2,0),"")</f>
        <v/>
      </c>
      <c r="AH112" s="23" t="str">
        <f>IFERROR(VLOOKUP(AC112,Players!$B:$N,5,0),"")</f>
        <v/>
      </c>
      <c r="AI112" s="23">
        <v>111</v>
      </c>
      <c r="AJ112" s="28" t="str">
        <f>IFERROR(IF(LOOKUP(2,1/($AD$1:AD111=VLOOKUP(AJ111,$AN$2:$AX$11,2,0)),$AK$1:AK111)&lt;16,VLOOKUP(AJ111,$AN$2:$AX$11,2,0),IF(LOOKUP(2,1/($AD$1:AD111=VLOOKUP(AJ111,$AN$2:$AX$11,3,0)),$AK$1:AK111)&lt;16,VLOOKUP(AJ111,$AN$2:$AX$11,3,0),IF(LOOKUP(2,1/($AD$1:AD111=VLOOKUP(AJ111,$AN$2:$AX$11,4,0)),$AK$1:AK111)&lt;16,VLOOKUP(AJ111,$AN$2:$AX$11,4,0),IF(LOOKUP(2,1/($AD$1:AD111=VLOOKUP(AJ111,$AN$2:$AX$11,5,0)),$AK$1:AK111)&lt;16,VLOOKUP(AJ111,$AN$2:$AX$11,5,0),IF(LOOKUP(2,1/($AD$1:AD111=VLOOKUP(AJ111,$AN$2:$AX$11,6,0)),$AK$1:AK111)&lt;16,VLOOKUP(AJ111,$AN$2:$AX$11,6,0),IF(LOOKUP(2,1/($AD$1:AD111=VLOOKUP(AJ111,$AN$2:$AX$11,7,0)),$AK$1:AK111)&lt;16,VLOOKUP(AJ111,$AN$2:$AX$11,7,0),IF(LOOKUP(2,1/($AD$1:AD111=VLOOKUP(AJ111,$AN$2:$AX$11,8,0)),$AK$1:AK111)&lt;16,VLOOKUP(AJ111,$AN$2:$AX$11,8,0),IF(LOOKUP(2,1/($AD$1:AD111=VLOOKUP(AJ111,$AN$2:$AX$11,9,0)),$AK$1:AK111)&lt;16,VLOOKUP(AJ111,$AN$2:$AX$11,9,0),IF(LOOKUP(2,1/($AD$1:AD111=VLOOKUP(AJ111,$AN$2:$AX$11,10,0)),$AK$1:AK111)&lt;16,VLOOKUP(AJ111,$AN$2:$AX$11,10,0),VLOOKUP(AJ111,$AN$2:$AX$11,11,0)))))))))),VLOOKUP(AJ111,$AN$2:$AX$11,2,0))</f>
        <v>Team 5</v>
      </c>
      <c r="AK112">
        <f>COUNTIF($AD$1:AD112,AD112)</f>
        <v>0</v>
      </c>
      <c r="AL112">
        <f>COUNTIF($AK$1:AK112,"16")</f>
        <v>0</v>
      </c>
      <c r="AZ112" s="32">
        <f t="shared" si="37"/>
        <v>200</v>
      </c>
      <c r="BA112" s="33">
        <f t="shared" si="38"/>
        <v>200</v>
      </c>
      <c r="BB112" s="33">
        <f t="shared" si="39"/>
        <v>200</v>
      </c>
      <c r="BC112" s="33">
        <f t="shared" si="40"/>
        <v>200</v>
      </c>
      <c r="BD112" s="33">
        <f t="shared" si="41"/>
        <v>200</v>
      </c>
      <c r="BE112" s="33">
        <f t="shared" si="42"/>
        <v>200</v>
      </c>
      <c r="BF112" s="33">
        <f t="shared" si="43"/>
        <v>200</v>
      </c>
      <c r="BG112" s="33">
        <f t="shared" si="44"/>
        <v>200</v>
      </c>
      <c r="BH112" s="33">
        <f t="shared" si="45"/>
        <v>200</v>
      </c>
      <c r="BI112" s="34">
        <f t="shared" si="46"/>
        <v>200</v>
      </c>
    </row>
    <row r="113" spans="28:61" x14ac:dyDescent="0.25">
      <c r="AB113" s="14" t="str">
        <f>AD113&amp;COUNTIF($AD$2:AD113,AD113)</f>
        <v>0</v>
      </c>
      <c r="AC113" s="136"/>
      <c r="AD113" s="136"/>
      <c r="AE113" s="135"/>
      <c r="AF113" s="23" t="str">
        <f>IFERROR(VLOOKUP(AC113,Players!$B:$F,3,0),"")</f>
        <v/>
      </c>
      <c r="AG113" s="23" t="str">
        <f>IFERROR(VLOOKUP(AC113,Players!$B:$F,2,0),"")</f>
        <v/>
      </c>
      <c r="AH113" s="23" t="str">
        <f>IFERROR(VLOOKUP(AC113,Players!$B:$N,5,0),"")</f>
        <v/>
      </c>
      <c r="AI113" s="23">
        <v>112</v>
      </c>
      <c r="AJ113" s="28" t="str">
        <f>IFERROR(IF(LOOKUP(2,1/($AD$1:AD112=VLOOKUP(AJ112,$AN$2:$AX$11,2,0)),$AK$1:AK112)&lt;16,VLOOKUP(AJ112,$AN$2:$AX$11,2,0),IF(LOOKUP(2,1/($AD$1:AD112=VLOOKUP(AJ112,$AN$2:$AX$11,3,0)),$AK$1:AK112)&lt;16,VLOOKUP(AJ112,$AN$2:$AX$11,3,0),IF(LOOKUP(2,1/($AD$1:AD112=VLOOKUP(AJ112,$AN$2:$AX$11,4,0)),$AK$1:AK112)&lt;16,VLOOKUP(AJ112,$AN$2:$AX$11,4,0),IF(LOOKUP(2,1/($AD$1:AD112=VLOOKUP(AJ112,$AN$2:$AX$11,5,0)),$AK$1:AK112)&lt;16,VLOOKUP(AJ112,$AN$2:$AX$11,5,0),IF(LOOKUP(2,1/($AD$1:AD112=VLOOKUP(AJ112,$AN$2:$AX$11,6,0)),$AK$1:AK112)&lt;16,VLOOKUP(AJ112,$AN$2:$AX$11,6,0),IF(LOOKUP(2,1/($AD$1:AD112=VLOOKUP(AJ112,$AN$2:$AX$11,7,0)),$AK$1:AK112)&lt;16,VLOOKUP(AJ112,$AN$2:$AX$11,7,0),IF(LOOKUP(2,1/($AD$1:AD112=VLOOKUP(AJ112,$AN$2:$AX$11,8,0)),$AK$1:AK112)&lt;16,VLOOKUP(AJ112,$AN$2:$AX$11,8,0),IF(LOOKUP(2,1/($AD$1:AD112=VLOOKUP(AJ112,$AN$2:$AX$11,9,0)),$AK$1:AK112)&lt;16,VLOOKUP(AJ112,$AN$2:$AX$11,9,0),IF(LOOKUP(2,1/($AD$1:AD112=VLOOKUP(AJ112,$AN$2:$AX$11,10,0)),$AK$1:AK112)&lt;16,VLOOKUP(AJ112,$AN$2:$AX$11,10,0),VLOOKUP(AJ112,$AN$2:$AX$11,11,0)))))))))),VLOOKUP(AJ112,$AN$2:$AX$11,2,0))</f>
        <v>Team 9</v>
      </c>
      <c r="AK113">
        <f>COUNTIF($AD$1:AD113,AD113)</f>
        <v>0</v>
      </c>
      <c r="AL113">
        <f>COUNTIF($AK$1:AK113,"16")</f>
        <v>0</v>
      </c>
      <c r="AZ113" s="32">
        <f t="shared" si="37"/>
        <v>200</v>
      </c>
      <c r="BA113" s="33">
        <f t="shared" si="38"/>
        <v>200</v>
      </c>
      <c r="BB113" s="33">
        <f t="shared" si="39"/>
        <v>200</v>
      </c>
      <c r="BC113" s="33">
        <f t="shared" si="40"/>
        <v>200</v>
      </c>
      <c r="BD113" s="33">
        <f t="shared" si="41"/>
        <v>200</v>
      </c>
      <c r="BE113" s="33">
        <f t="shared" si="42"/>
        <v>200</v>
      </c>
      <c r="BF113" s="33">
        <f t="shared" si="43"/>
        <v>200</v>
      </c>
      <c r="BG113" s="33">
        <f t="shared" si="44"/>
        <v>200</v>
      </c>
      <c r="BH113" s="33">
        <f t="shared" si="45"/>
        <v>200</v>
      </c>
      <c r="BI113" s="34">
        <f t="shared" si="46"/>
        <v>200</v>
      </c>
    </row>
    <row r="114" spans="28:61" x14ac:dyDescent="0.25">
      <c r="AB114" s="14" t="str">
        <f>AD114&amp;COUNTIF($AD$2:AD114,AD114)</f>
        <v>0</v>
      </c>
      <c r="AC114" s="136"/>
      <c r="AD114" s="136"/>
      <c r="AE114" s="135"/>
      <c r="AF114" s="23" t="str">
        <f>IFERROR(VLOOKUP(AC114,Players!$B:$F,3,0),"")</f>
        <v/>
      </c>
      <c r="AG114" s="23" t="str">
        <f>IFERROR(VLOOKUP(AC114,Players!$B:$F,2,0),"")</f>
        <v/>
      </c>
      <c r="AH114" s="23" t="str">
        <f>IFERROR(VLOOKUP(AC114,Players!$B:$N,5,0),"")</f>
        <v/>
      </c>
      <c r="AI114" s="23">
        <v>113</v>
      </c>
      <c r="AJ114" s="28" t="str">
        <f>IFERROR(IF(LOOKUP(2,1/($AD$1:AD113=VLOOKUP(AJ113,$AN$2:$AX$11,2,0)),$AK$1:AK113)&lt;16,VLOOKUP(AJ113,$AN$2:$AX$11,2,0),IF(LOOKUP(2,1/($AD$1:AD113=VLOOKUP(AJ113,$AN$2:$AX$11,3,0)),$AK$1:AK113)&lt;16,VLOOKUP(AJ113,$AN$2:$AX$11,3,0),IF(LOOKUP(2,1/($AD$1:AD113=VLOOKUP(AJ113,$AN$2:$AX$11,4,0)),$AK$1:AK113)&lt;16,VLOOKUP(AJ113,$AN$2:$AX$11,4,0),IF(LOOKUP(2,1/($AD$1:AD113=VLOOKUP(AJ113,$AN$2:$AX$11,5,0)),$AK$1:AK113)&lt;16,VLOOKUP(AJ113,$AN$2:$AX$11,5,0),IF(LOOKUP(2,1/($AD$1:AD113=VLOOKUP(AJ113,$AN$2:$AX$11,6,0)),$AK$1:AK113)&lt;16,VLOOKUP(AJ113,$AN$2:$AX$11,6,0),IF(LOOKUP(2,1/($AD$1:AD113=VLOOKUP(AJ113,$AN$2:$AX$11,7,0)),$AK$1:AK113)&lt;16,VLOOKUP(AJ113,$AN$2:$AX$11,7,0),IF(LOOKUP(2,1/($AD$1:AD113=VLOOKUP(AJ113,$AN$2:$AX$11,8,0)),$AK$1:AK113)&lt;16,VLOOKUP(AJ113,$AN$2:$AX$11,8,0),IF(LOOKUP(2,1/($AD$1:AD113=VLOOKUP(AJ113,$AN$2:$AX$11,9,0)),$AK$1:AK113)&lt;16,VLOOKUP(AJ113,$AN$2:$AX$11,9,0),IF(LOOKUP(2,1/($AD$1:AD113=VLOOKUP(AJ113,$AN$2:$AX$11,10,0)),$AK$1:AK113)&lt;16,VLOOKUP(AJ113,$AN$2:$AX$11,10,0),VLOOKUP(AJ113,$AN$2:$AX$11,11,0)))))))))),VLOOKUP(AJ113,$AN$2:$AX$11,2,0))</f>
        <v>Team 3</v>
      </c>
      <c r="AK114">
        <f>COUNTIF($AD$1:AD114,AD114)</f>
        <v>0</v>
      </c>
      <c r="AL114">
        <f>COUNTIF($AK$1:AK114,"16")</f>
        <v>0</v>
      </c>
      <c r="AZ114" s="32">
        <f t="shared" si="37"/>
        <v>200</v>
      </c>
      <c r="BA114" s="33">
        <f t="shared" si="38"/>
        <v>200</v>
      </c>
      <c r="BB114" s="33">
        <f t="shared" si="39"/>
        <v>200</v>
      </c>
      <c r="BC114" s="33">
        <f t="shared" si="40"/>
        <v>200</v>
      </c>
      <c r="BD114" s="33">
        <f t="shared" si="41"/>
        <v>200</v>
      </c>
      <c r="BE114" s="33">
        <f t="shared" si="42"/>
        <v>200</v>
      </c>
      <c r="BF114" s="33">
        <f t="shared" si="43"/>
        <v>200</v>
      </c>
      <c r="BG114" s="33">
        <f t="shared" si="44"/>
        <v>200</v>
      </c>
      <c r="BH114" s="33">
        <f t="shared" si="45"/>
        <v>200</v>
      </c>
      <c r="BI114" s="34">
        <f t="shared" si="46"/>
        <v>200</v>
      </c>
    </row>
    <row r="115" spans="28:61" x14ac:dyDescent="0.25">
      <c r="AB115" s="14" t="str">
        <f>AD115&amp;COUNTIF($AD$2:AD115,AD115)</f>
        <v>0</v>
      </c>
      <c r="AC115" s="136"/>
      <c r="AD115" s="136"/>
      <c r="AE115" s="135"/>
      <c r="AF115" s="23" t="str">
        <f>IFERROR(VLOOKUP(AC115,Players!$B:$F,3,0),"")</f>
        <v/>
      </c>
      <c r="AG115" s="23" t="str">
        <f>IFERROR(VLOOKUP(AC115,Players!$B:$F,2,0),"")</f>
        <v/>
      </c>
      <c r="AH115" s="23" t="str">
        <f>IFERROR(VLOOKUP(AC115,Players!$B:$N,5,0),"")</f>
        <v/>
      </c>
      <c r="AI115" s="23">
        <v>114</v>
      </c>
      <c r="AJ115" s="28" t="str">
        <f>IFERROR(IF(LOOKUP(2,1/($AD$1:AD114=VLOOKUP(AJ114,$AN$2:$AX$11,2,0)),$AK$1:AK114)&lt;16,VLOOKUP(AJ114,$AN$2:$AX$11,2,0),IF(LOOKUP(2,1/($AD$1:AD114=VLOOKUP(AJ114,$AN$2:$AX$11,3,0)),$AK$1:AK114)&lt;16,VLOOKUP(AJ114,$AN$2:$AX$11,3,0),IF(LOOKUP(2,1/($AD$1:AD114=VLOOKUP(AJ114,$AN$2:$AX$11,4,0)),$AK$1:AK114)&lt;16,VLOOKUP(AJ114,$AN$2:$AX$11,4,0),IF(LOOKUP(2,1/($AD$1:AD114=VLOOKUP(AJ114,$AN$2:$AX$11,5,0)),$AK$1:AK114)&lt;16,VLOOKUP(AJ114,$AN$2:$AX$11,5,0),IF(LOOKUP(2,1/($AD$1:AD114=VLOOKUP(AJ114,$AN$2:$AX$11,6,0)),$AK$1:AK114)&lt;16,VLOOKUP(AJ114,$AN$2:$AX$11,6,0),IF(LOOKUP(2,1/($AD$1:AD114=VLOOKUP(AJ114,$AN$2:$AX$11,7,0)),$AK$1:AK114)&lt;16,VLOOKUP(AJ114,$AN$2:$AX$11,7,0),IF(LOOKUP(2,1/($AD$1:AD114=VLOOKUP(AJ114,$AN$2:$AX$11,8,0)),$AK$1:AK114)&lt;16,VLOOKUP(AJ114,$AN$2:$AX$11,8,0),IF(LOOKUP(2,1/($AD$1:AD114=VLOOKUP(AJ114,$AN$2:$AX$11,9,0)),$AK$1:AK114)&lt;16,VLOOKUP(AJ114,$AN$2:$AX$11,9,0),IF(LOOKUP(2,1/($AD$1:AD114=VLOOKUP(AJ114,$AN$2:$AX$11,10,0)),$AK$1:AK114)&lt;16,VLOOKUP(AJ114,$AN$2:$AX$11,10,0),VLOOKUP(AJ114,$AN$2:$AX$11,11,0)))))))))),VLOOKUP(AJ114,$AN$2:$AX$11,2,0))</f>
        <v>Team 6</v>
      </c>
      <c r="AK115">
        <f>COUNTIF($AD$1:AD115,AD115)</f>
        <v>0</v>
      </c>
      <c r="AL115">
        <f>COUNTIF($AK$1:AK115,"16")</f>
        <v>0</v>
      </c>
      <c r="AZ115" s="32">
        <f t="shared" si="37"/>
        <v>200</v>
      </c>
      <c r="BA115" s="33">
        <f t="shared" si="38"/>
        <v>200</v>
      </c>
      <c r="BB115" s="33">
        <f t="shared" si="39"/>
        <v>200</v>
      </c>
      <c r="BC115" s="33">
        <f t="shared" si="40"/>
        <v>200</v>
      </c>
      <c r="BD115" s="33">
        <f t="shared" si="41"/>
        <v>200</v>
      </c>
      <c r="BE115" s="33">
        <f t="shared" si="42"/>
        <v>200</v>
      </c>
      <c r="BF115" s="33">
        <f t="shared" si="43"/>
        <v>200</v>
      </c>
      <c r="BG115" s="33">
        <f t="shared" si="44"/>
        <v>200</v>
      </c>
      <c r="BH115" s="33">
        <f t="shared" si="45"/>
        <v>200</v>
      </c>
      <c r="BI115" s="34">
        <f t="shared" si="46"/>
        <v>200</v>
      </c>
    </row>
    <row r="116" spans="28:61" x14ac:dyDescent="0.25">
      <c r="AB116" s="14" t="str">
        <f>AD116&amp;COUNTIF($AD$2:AD116,AD116)</f>
        <v>0</v>
      </c>
      <c r="AC116" s="136"/>
      <c r="AD116" s="136"/>
      <c r="AE116" s="135"/>
      <c r="AF116" s="23" t="str">
        <f>IFERROR(VLOOKUP(AC116,Players!$B:$F,3,0),"")</f>
        <v/>
      </c>
      <c r="AG116" s="23" t="str">
        <f>IFERROR(VLOOKUP(AC116,Players!$B:$F,2,0),"")</f>
        <v/>
      </c>
      <c r="AH116" s="23" t="str">
        <f>IFERROR(VLOOKUP(AC116,Players!$B:$N,5,0),"")</f>
        <v/>
      </c>
      <c r="AI116" s="23">
        <v>115</v>
      </c>
      <c r="AJ116" s="28" t="str">
        <f>IFERROR(IF(LOOKUP(2,1/($AD$1:AD115=VLOOKUP(AJ115,$AN$2:$AX$11,2,0)),$AK$1:AK115)&lt;16,VLOOKUP(AJ115,$AN$2:$AX$11,2,0),IF(LOOKUP(2,1/($AD$1:AD115=VLOOKUP(AJ115,$AN$2:$AX$11,3,0)),$AK$1:AK115)&lt;16,VLOOKUP(AJ115,$AN$2:$AX$11,3,0),IF(LOOKUP(2,1/($AD$1:AD115=VLOOKUP(AJ115,$AN$2:$AX$11,4,0)),$AK$1:AK115)&lt;16,VLOOKUP(AJ115,$AN$2:$AX$11,4,0),IF(LOOKUP(2,1/($AD$1:AD115=VLOOKUP(AJ115,$AN$2:$AX$11,5,0)),$AK$1:AK115)&lt;16,VLOOKUP(AJ115,$AN$2:$AX$11,5,0),IF(LOOKUP(2,1/($AD$1:AD115=VLOOKUP(AJ115,$AN$2:$AX$11,6,0)),$AK$1:AK115)&lt;16,VLOOKUP(AJ115,$AN$2:$AX$11,6,0),IF(LOOKUP(2,1/($AD$1:AD115=VLOOKUP(AJ115,$AN$2:$AX$11,7,0)),$AK$1:AK115)&lt;16,VLOOKUP(AJ115,$AN$2:$AX$11,7,0),IF(LOOKUP(2,1/($AD$1:AD115=VLOOKUP(AJ115,$AN$2:$AX$11,8,0)),$AK$1:AK115)&lt;16,VLOOKUP(AJ115,$AN$2:$AX$11,8,0),IF(LOOKUP(2,1/($AD$1:AD115=VLOOKUP(AJ115,$AN$2:$AX$11,9,0)),$AK$1:AK115)&lt;16,VLOOKUP(AJ115,$AN$2:$AX$11,9,0),IF(LOOKUP(2,1/($AD$1:AD115=VLOOKUP(AJ115,$AN$2:$AX$11,10,0)),$AK$1:AK115)&lt;16,VLOOKUP(AJ115,$AN$2:$AX$11,10,0),VLOOKUP(AJ115,$AN$2:$AX$11,11,0)))))))))),VLOOKUP(AJ115,$AN$2:$AX$11,2,0))</f>
        <v>Team 7</v>
      </c>
      <c r="AK116">
        <f>COUNTIF($AD$1:AD116,AD116)</f>
        <v>0</v>
      </c>
      <c r="AL116">
        <f>COUNTIF($AK$1:AK116,"16")</f>
        <v>0</v>
      </c>
      <c r="AZ116" s="32">
        <f t="shared" si="37"/>
        <v>200</v>
      </c>
      <c r="BA116" s="33">
        <f t="shared" si="38"/>
        <v>200</v>
      </c>
      <c r="BB116" s="33">
        <f t="shared" si="39"/>
        <v>200</v>
      </c>
      <c r="BC116" s="33">
        <f t="shared" si="40"/>
        <v>200</v>
      </c>
      <c r="BD116" s="33">
        <f t="shared" si="41"/>
        <v>200</v>
      </c>
      <c r="BE116" s="33">
        <f t="shared" si="42"/>
        <v>200</v>
      </c>
      <c r="BF116" s="33">
        <f t="shared" si="43"/>
        <v>200</v>
      </c>
      <c r="BG116" s="33">
        <f t="shared" si="44"/>
        <v>200</v>
      </c>
      <c r="BH116" s="33">
        <f t="shared" si="45"/>
        <v>200</v>
      </c>
      <c r="BI116" s="34">
        <f t="shared" si="46"/>
        <v>200</v>
      </c>
    </row>
    <row r="117" spans="28:61" x14ac:dyDescent="0.25">
      <c r="AB117" s="14" t="str">
        <f>AD117&amp;COUNTIF($AD$2:AD117,AD117)</f>
        <v>0</v>
      </c>
      <c r="AC117" s="136"/>
      <c r="AD117" s="136"/>
      <c r="AE117" s="135"/>
      <c r="AF117" s="23" t="str">
        <f>IFERROR(VLOOKUP(AC117,Players!$B:$F,3,0),"")</f>
        <v/>
      </c>
      <c r="AG117" s="23" t="str">
        <f>IFERROR(VLOOKUP(AC117,Players!$B:$F,2,0),"")</f>
        <v/>
      </c>
      <c r="AH117" s="23" t="str">
        <f>IFERROR(VLOOKUP(AC117,Players!$B:$N,5,0),"")</f>
        <v/>
      </c>
      <c r="AI117" s="23">
        <v>116</v>
      </c>
      <c r="AJ117" s="28" t="str">
        <f>IFERROR(IF(LOOKUP(2,1/($AD$1:AD116=VLOOKUP(AJ116,$AN$2:$AX$11,2,0)),$AK$1:AK116)&lt;16,VLOOKUP(AJ116,$AN$2:$AX$11,2,0),IF(LOOKUP(2,1/($AD$1:AD116=VLOOKUP(AJ116,$AN$2:$AX$11,3,0)),$AK$1:AK116)&lt;16,VLOOKUP(AJ116,$AN$2:$AX$11,3,0),IF(LOOKUP(2,1/($AD$1:AD116=VLOOKUP(AJ116,$AN$2:$AX$11,4,0)),$AK$1:AK116)&lt;16,VLOOKUP(AJ116,$AN$2:$AX$11,4,0),IF(LOOKUP(2,1/($AD$1:AD116=VLOOKUP(AJ116,$AN$2:$AX$11,5,0)),$AK$1:AK116)&lt;16,VLOOKUP(AJ116,$AN$2:$AX$11,5,0),IF(LOOKUP(2,1/($AD$1:AD116=VLOOKUP(AJ116,$AN$2:$AX$11,6,0)),$AK$1:AK116)&lt;16,VLOOKUP(AJ116,$AN$2:$AX$11,6,0),IF(LOOKUP(2,1/($AD$1:AD116=VLOOKUP(AJ116,$AN$2:$AX$11,7,0)),$AK$1:AK116)&lt;16,VLOOKUP(AJ116,$AN$2:$AX$11,7,0),IF(LOOKUP(2,1/($AD$1:AD116=VLOOKUP(AJ116,$AN$2:$AX$11,8,0)),$AK$1:AK116)&lt;16,VLOOKUP(AJ116,$AN$2:$AX$11,8,0),IF(LOOKUP(2,1/($AD$1:AD116=VLOOKUP(AJ116,$AN$2:$AX$11,9,0)),$AK$1:AK116)&lt;16,VLOOKUP(AJ116,$AN$2:$AX$11,9,0),IF(LOOKUP(2,1/($AD$1:AD116=VLOOKUP(AJ116,$AN$2:$AX$11,10,0)),$AK$1:AK116)&lt;16,VLOOKUP(AJ116,$AN$2:$AX$11,10,0),VLOOKUP(AJ116,$AN$2:$AX$11,11,0)))))))))),VLOOKUP(AJ116,$AN$2:$AX$11,2,0))</f>
        <v>Team 8</v>
      </c>
      <c r="AK117">
        <f>COUNTIF($AD$1:AD117,AD117)</f>
        <v>0</v>
      </c>
      <c r="AL117">
        <f>COUNTIF($AK$1:AK117,"16")</f>
        <v>0</v>
      </c>
      <c r="AZ117" s="32">
        <f t="shared" si="37"/>
        <v>200</v>
      </c>
      <c r="BA117" s="33">
        <f t="shared" si="38"/>
        <v>200</v>
      </c>
      <c r="BB117" s="33">
        <f t="shared" si="39"/>
        <v>200</v>
      </c>
      <c r="BC117" s="33">
        <f t="shared" si="40"/>
        <v>200</v>
      </c>
      <c r="BD117" s="33">
        <f t="shared" si="41"/>
        <v>200</v>
      </c>
      <c r="BE117" s="33">
        <f t="shared" si="42"/>
        <v>200</v>
      </c>
      <c r="BF117" s="33">
        <f t="shared" si="43"/>
        <v>200</v>
      </c>
      <c r="BG117" s="33">
        <f t="shared" si="44"/>
        <v>200</v>
      </c>
      <c r="BH117" s="33">
        <f t="shared" si="45"/>
        <v>200</v>
      </c>
      <c r="BI117" s="34">
        <f t="shared" si="46"/>
        <v>200</v>
      </c>
    </row>
    <row r="118" spans="28:61" x14ac:dyDescent="0.25">
      <c r="AB118" s="14" t="str">
        <f>AD118&amp;COUNTIF($AD$2:AD118,AD118)</f>
        <v>0</v>
      </c>
      <c r="AC118" s="136"/>
      <c r="AD118" s="136"/>
      <c r="AE118" s="135"/>
      <c r="AF118" s="23" t="str">
        <f>IFERROR(VLOOKUP(AC118,Players!$B:$F,3,0),"")</f>
        <v/>
      </c>
      <c r="AG118" s="23" t="str">
        <f>IFERROR(VLOOKUP(AC118,Players!$B:$F,2,0),"")</f>
        <v/>
      </c>
      <c r="AH118" s="23" t="str">
        <f>IFERROR(VLOOKUP(AC118,Players!$B:$N,5,0),"")</f>
        <v/>
      </c>
      <c r="AI118" s="23">
        <v>117</v>
      </c>
      <c r="AJ118" s="28" t="str">
        <f>IFERROR(IF(LOOKUP(2,1/($AD$1:AD117=VLOOKUP(AJ117,$AN$2:$AX$11,2,0)),$AK$1:AK117)&lt;16,VLOOKUP(AJ117,$AN$2:$AX$11,2,0),IF(LOOKUP(2,1/($AD$1:AD117=VLOOKUP(AJ117,$AN$2:$AX$11,3,0)),$AK$1:AK117)&lt;16,VLOOKUP(AJ117,$AN$2:$AX$11,3,0),IF(LOOKUP(2,1/($AD$1:AD117=VLOOKUP(AJ117,$AN$2:$AX$11,4,0)),$AK$1:AK117)&lt;16,VLOOKUP(AJ117,$AN$2:$AX$11,4,0),IF(LOOKUP(2,1/($AD$1:AD117=VLOOKUP(AJ117,$AN$2:$AX$11,5,0)),$AK$1:AK117)&lt;16,VLOOKUP(AJ117,$AN$2:$AX$11,5,0),IF(LOOKUP(2,1/($AD$1:AD117=VLOOKUP(AJ117,$AN$2:$AX$11,6,0)),$AK$1:AK117)&lt;16,VLOOKUP(AJ117,$AN$2:$AX$11,6,0),IF(LOOKUP(2,1/($AD$1:AD117=VLOOKUP(AJ117,$AN$2:$AX$11,7,0)),$AK$1:AK117)&lt;16,VLOOKUP(AJ117,$AN$2:$AX$11,7,0),IF(LOOKUP(2,1/($AD$1:AD117=VLOOKUP(AJ117,$AN$2:$AX$11,8,0)),$AK$1:AK117)&lt;16,VLOOKUP(AJ117,$AN$2:$AX$11,8,0),IF(LOOKUP(2,1/($AD$1:AD117=VLOOKUP(AJ117,$AN$2:$AX$11,9,0)),$AK$1:AK117)&lt;16,VLOOKUP(AJ117,$AN$2:$AX$11,9,0),IF(LOOKUP(2,1/($AD$1:AD117=VLOOKUP(AJ117,$AN$2:$AX$11,10,0)),$AK$1:AK117)&lt;16,VLOOKUP(AJ117,$AN$2:$AX$11,10,0),VLOOKUP(AJ117,$AN$2:$AX$11,11,0)))))))))),VLOOKUP(AJ117,$AN$2:$AX$11,2,0))</f>
        <v>Team Se</v>
      </c>
      <c r="AK118">
        <f>COUNTIF($AD$1:AD118,AD118)</f>
        <v>0</v>
      </c>
      <c r="AL118">
        <f>COUNTIF($AK$1:AK118,"16")</f>
        <v>0</v>
      </c>
      <c r="AZ118" s="32">
        <f t="shared" si="37"/>
        <v>200</v>
      </c>
      <c r="BA118" s="33">
        <f t="shared" si="38"/>
        <v>200</v>
      </c>
      <c r="BB118" s="33">
        <f t="shared" si="39"/>
        <v>200</v>
      </c>
      <c r="BC118" s="33">
        <f t="shared" si="40"/>
        <v>200</v>
      </c>
      <c r="BD118" s="33">
        <f t="shared" si="41"/>
        <v>200</v>
      </c>
      <c r="BE118" s="33">
        <f t="shared" si="42"/>
        <v>200</v>
      </c>
      <c r="BF118" s="33">
        <f t="shared" si="43"/>
        <v>200</v>
      </c>
      <c r="BG118" s="33">
        <f t="shared" si="44"/>
        <v>200</v>
      </c>
      <c r="BH118" s="33">
        <f t="shared" si="45"/>
        <v>200</v>
      </c>
      <c r="BI118" s="34">
        <f t="shared" si="46"/>
        <v>200</v>
      </c>
    </row>
    <row r="119" spans="28:61" x14ac:dyDescent="0.25">
      <c r="AB119" s="14" t="str">
        <f>AD119&amp;COUNTIF($AD$2:AD119,AD119)</f>
        <v>0</v>
      </c>
      <c r="AC119" s="136"/>
      <c r="AD119" s="136"/>
      <c r="AE119" s="135"/>
      <c r="AF119" s="23" t="str">
        <f>IFERROR(VLOOKUP(AC119,Players!$B:$F,3,0),"")</f>
        <v/>
      </c>
      <c r="AG119" s="23" t="str">
        <f>IFERROR(VLOOKUP(AC119,Players!$B:$F,2,0),"")</f>
        <v/>
      </c>
      <c r="AH119" s="23" t="str">
        <f>IFERROR(VLOOKUP(AC119,Players!$B:$N,5,0),"")</f>
        <v/>
      </c>
      <c r="AI119" s="23">
        <v>118</v>
      </c>
      <c r="AJ119" s="28" t="str">
        <f>IFERROR(IF(LOOKUP(2,1/($AD$1:AD118=VLOOKUP(AJ118,$AN$2:$AX$11,2,0)),$AK$1:AK118)&lt;16,VLOOKUP(AJ118,$AN$2:$AX$11,2,0),IF(LOOKUP(2,1/($AD$1:AD118=VLOOKUP(AJ118,$AN$2:$AX$11,3,0)),$AK$1:AK118)&lt;16,VLOOKUP(AJ118,$AN$2:$AX$11,3,0),IF(LOOKUP(2,1/($AD$1:AD118=VLOOKUP(AJ118,$AN$2:$AX$11,4,0)),$AK$1:AK118)&lt;16,VLOOKUP(AJ118,$AN$2:$AX$11,4,0),IF(LOOKUP(2,1/($AD$1:AD118=VLOOKUP(AJ118,$AN$2:$AX$11,5,0)),$AK$1:AK118)&lt;16,VLOOKUP(AJ118,$AN$2:$AX$11,5,0),IF(LOOKUP(2,1/($AD$1:AD118=VLOOKUP(AJ118,$AN$2:$AX$11,6,0)),$AK$1:AK118)&lt;16,VLOOKUP(AJ118,$AN$2:$AX$11,6,0),IF(LOOKUP(2,1/($AD$1:AD118=VLOOKUP(AJ118,$AN$2:$AX$11,7,0)),$AK$1:AK118)&lt;16,VLOOKUP(AJ118,$AN$2:$AX$11,7,0),IF(LOOKUP(2,1/($AD$1:AD118=VLOOKUP(AJ118,$AN$2:$AX$11,8,0)),$AK$1:AK118)&lt;16,VLOOKUP(AJ118,$AN$2:$AX$11,8,0),IF(LOOKUP(2,1/($AD$1:AD118=VLOOKUP(AJ118,$AN$2:$AX$11,9,0)),$AK$1:AK118)&lt;16,VLOOKUP(AJ118,$AN$2:$AX$11,9,0),IF(LOOKUP(2,1/($AD$1:AD118=VLOOKUP(AJ118,$AN$2:$AX$11,10,0)),$AK$1:AK118)&lt;16,VLOOKUP(AJ118,$AN$2:$AX$11,10,0),VLOOKUP(AJ118,$AN$2:$AX$11,11,0)))))))))),VLOOKUP(AJ118,$AN$2:$AX$11,2,0))</f>
        <v>Team 10</v>
      </c>
      <c r="AK119">
        <f>COUNTIF($AD$1:AD119,AD119)</f>
        <v>0</v>
      </c>
      <c r="AL119">
        <f>COUNTIF($AK$1:AK119,"16")</f>
        <v>0</v>
      </c>
      <c r="AZ119" s="32">
        <f t="shared" si="37"/>
        <v>200</v>
      </c>
      <c r="BA119" s="33">
        <f t="shared" si="38"/>
        <v>200</v>
      </c>
      <c r="BB119" s="33">
        <f t="shared" si="39"/>
        <v>200</v>
      </c>
      <c r="BC119" s="33">
        <f t="shared" si="40"/>
        <v>200</v>
      </c>
      <c r="BD119" s="33">
        <f t="shared" si="41"/>
        <v>200</v>
      </c>
      <c r="BE119" s="33">
        <f t="shared" si="42"/>
        <v>200</v>
      </c>
      <c r="BF119" s="33">
        <f t="shared" si="43"/>
        <v>200</v>
      </c>
      <c r="BG119" s="33">
        <f t="shared" si="44"/>
        <v>200</v>
      </c>
      <c r="BH119" s="33">
        <f t="shared" si="45"/>
        <v>200</v>
      </c>
      <c r="BI119" s="34">
        <f t="shared" si="46"/>
        <v>200</v>
      </c>
    </row>
    <row r="120" spans="28:61" x14ac:dyDescent="0.25">
      <c r="AB120" s="14" t="str">
        <f>AD120&amp;COUNTIF($AD$2:AD120,AD120)</f>
        <v>0</v>
      </c>
      <c r="AC120" s="136"/>
      <c r="AD120" s="136"/>
      <c r="AE120" s="135"/>
      <c r="AF120" s="23" t="str">
        <f>IFERROR(VLOOKUP(AC120,Players!$B:$F,3,0),"")</f>
        <v/>
      </c>
      <c r="AG120" s="23" t="str">
        <f>IFERROR(VLOOKUP(AC120,Players!$B:$F,2,0),"")</f>
        <v/>
      </c>
      <c r="AH120" s="23" t="str">
        <f>IFERROR(VLOOKUP(AC120,Players!$B:$N,5,0),"")</f>
        <v/>
      </c>
      <c r="AI120" s="23">
        <v>119</v>
      </c>
      <c r="AJ120" s="28" t="str">
        <f>IFERROR(IF(LOOKUP(2,1/($AD$1:AD119=VLOOKUP(AJ119,$AN$2:$AX$11,2,0)),$AK$1:AK119)&lt;16,VLOOKUP(AJ119,$AN$2:$AX$11,2,0),IF(LOOKUP(2,1/($AD$1:AD119=VLOOKUP(AJ119,$AN$2:$AX$11,3,0)),$AK$1:AK119)&lt;16,VLOOKUP(AJ119,$AN$2:$AX$11,3,0),IF(LOOKUP(2,1/($AD$1:AD119=VLOOKUP(AJ119,$AN$2:$AX$11,4,0)),$AK$1:AK119)&lt;16,VLOOKUP(AJ119,$AN$2:$AX$11,4,0),IF(LOOKUP(2,1/($AD$1:AD119=VLOOKUP(AJ119,$AN$2:$AX$11,5,0)),$AK$1:AK119)&lt;16,VLOOKUP(AJ119,$AN$2:$AX$11,5,0),IF(LOOKUP(2,1/($AD$1:AD119=VLOOKUP(AJ119,$AN$2:$AX$11,6,0)),$AK$1:AK119)&lt;16,VLOOKUP(AJ119,$AN$2:$AX$11,6,0),IF(LOOKUP(2,1/($AD$1:AD119=VLOOKUP(AJ119,$AN$2:$AX$11,7,0)),$AK$1:AK119)&lt;16,VLOOKUP(AJ119,$AN$2:$AX$11,7,0),IF(LOOKUP(2,1/($AD$1:AD119=VLOOKUP(AJ119,$AN$2:$AX$11,8,0)),$AK$1:AK119)&lt;16,VLOOKUP(AJ119,$AN$2:$AX$11,8,0),IF(LOOKUP(2,1/($AD$1:AD119=VLOOKUP(AJ119,$AN$2:$AX$11,9,0)),$AK$1:AK119)&lt;16,VLOOKUP(AJ119,$AN$2:$AX$11,9,0),IF(LOOKUP(2,1/($AD$1:AD119=VLOOKUP(AJ119,$AN$2:$AX$11,10,0)),$AK$1:AK119)&lt;16,VLOOKUP(AJ119,$AN$2:$AX$11,10,0),VLOOKUP(AJ119,$AN$2:$AX$11,11,0)))))))))),VLOOKUP(AJ119,$AN$2:$AX$11,2,0))</f>
        <v>Crouch</v>
      </c>
      <c r="AK120">
        <f>COUNTIF($AD$1:AD120,AD120)</f>
        <v>0</v>
      </c>
      <c r="AL120">
        <f>COUNTIF($AK$1:AK120,"16")</f>
        <v>0</v>
      </c>
      <c r="AZ120" s="32">
        <f t="shared" si="37"/>
        <v>200</v>
      </c>
      <c r="BA120" s="33">
        <f t="shared" si="38"/>
        <v>200</v>
      </c>
      <c r="BB120" s="33">
        <f t="shared" si="39"/>
        <v>200</v>
      </c>
      <c r="BC120" s="33">
        <f t="shared" si="40"/>
        <v>200</v>
      </c>
      <c r="BD120" s="33">
        <f t="shared" si="41"/>
        <v>200</v>
      </c>
      <c r="BE120" s="33">
        <f t="shared" si="42"/>
        <v>200</v>
      </c>
      <c r="BF120" s="33">
        <f t="shared" si="43"/>
        <v>200</v>
      </c>
      <c r="BG120" s="33">
        <f t="shared" si="44"/>
        <v>200</v>
      </c>
      <c r="BH120" s="33">
        <f t="shared" si="45"/>
        <v>200</v>
      </c>
      <c r="BI120" s="34">
        <f t="shared" si="46"/>
        <v>200</v>
      </c>
    </row>
    <row r="121" spans="28:61" x14ac:dyDescent="0.25">
      <c r="AB121" s="14" t="str">
        <f>AD121&amp;COUNTIF($AD$2:AD121,AD121)</f>
        <v>0</v>
      </c>
      <c r="AC121" s="136"/>
      <c r="AD121" s="136"/>
      <c r="AE121" s="135"/>
      <c r="AF121" s="23" t="str">
        <f>IFERROR(VLOOKUP(AC121,Players!$B:$F,3,0),"")</f>
        <v/>
      </c>
      <c r="AG121" s="23" t="str">
        <f>IFERROR(VLOOKUP(AC121,Players!$B:$F,2,0),"")</f>
        <v/>
      </c>
      <c r="AH121" s="23" t="str">
        <f>IFERROR(VLOOKUP(AC121,Players!$B:$N,5,0),"")</f>
        <v/>
      </c>
      <c r="AI121" s="23">
        <v>120</v>
      </c>
      <c r="AJ121" s="28" t="str">
        <f>IFERROR(IF(LOOKUP(2,1/($AD$1:AD120=VLOOKUP(AJ120,$AN$2:$AX$11,2,0)),$AK$1:AK120)&lt;16,VLOOKUP(AJ120,$AN$2:$AX$11,2,0),IF(LOOKUP(2,1/($AD$1:AD120=VLOOKUP(AJ120,$AN$2:$AX$11,3,0)),$AK$1:AK120)&lt;16,VLOOKUP(AJ120,$AN$2:$AX$11,3,0),IF(LOOKUP(2,1/($AD$1:AD120=VLOOKUP(AJ120,$AN$2:$AX$11,4,0)),$AK$1:AK120)&lt;16,VLOOKUP(AJ120,$AN$2:$AX$11,4,0),IF(LOOKUP(2,1/($AD$1:AD120=VLOOKUP(AJ120,$AN$2:$AX$11,5,0)),$AK$1:AK120)&lt;16,VLOOKUP(AJ120,$AN$2:$AX$11,5,0),IF(LOOKUP(2,1/($AD$1:AD120=VLOOKUP(AJ120,$AN$2:$AX$11,6,0)),$AK$1:AK120)&lt;16,VLOOKUP(AJ120,$AN$2:$AX$11,6,0),IF(LOOKUP(2,1/($AD$1:AD120=VLOOKUP(AJ120,$AN$2:$AX$11,7,0)),$AK$1:AK120)&lt;16,VLOOKUP(AJ120,$AN$2:$AX$11,7,0),IF(LOOKUP(2,1/($AD$1:AD120=VLOOKUP(AJ120,$AN$2:$AX$11,8,0)),$AK$1:AK120)&lt;16,VLOOKUP(AJ120,$AN$2:$AX$11,8,0),IF(LOOKUP(2,1/($AD$1:AD120=VLOOKUP(AJ120,$AN$2:$AX$11,9,0)),$AK$1:AK120)&lt;16,VLOOKUP(AJ120,$AN$2:$AX$11,9,0),IF(LOOKUP(2,1/($AD$1:AD120=VLOOKUP(AJ120,$AN$2:$AX$11,10,0)),$AK$1:AK120)&lt;16,VLOOKUP(AJ120,$AN$2:$AX$11,10,0),VLOOKUP(AJ120,$AN$2:$AX$11,11,0)))))))))),VLOOKUP(AJ120,$AN$2:$AX$11,2,0))</f>
        <v>Team 4</v>
      </c>
      <c r="AK121">
        <f>COUNTIF($AD$1:AD121,AD121)</f>
        <v>0</v>
      </c>
      <c r="AL121">
        <f>COUNTIF($AK$1:AK121,"16")</f>
        <v>0</v>
      </c>
      <c r="AZ121" s="32">
        <f t="shared" si="37"/>
        <v>200</v>
      </c>
      <c r="BA121" s="33">
        <f t="shared" si="38"/>
        <v>200</v>
      </c>
      <c r="BB121" s="33">
        <f t="shared" si="39"/>
        <v>200</v>
      </c>
      <c r="BC121" s="33">
        <f t="shared" si="40"/>
        <v>200</v>
      </c>
      <c r="BD121" s="33">
        <f t="shared" si="41"/>
        <v>200</v>
      </c>
      <c r="BE121" s="33">
        <f t="shared" si="42"/>
        <v>200</v>
      </c>
      <c r="BF121" s="33">
        <f t="shared" si="43"/>
        <v>200</v>
      </c>
      <c r="BG121" s="33">
        <f t="shared" si="44"/>
        <v>200</v>
      </c>
      <c r="BH121" s="33">
        <f t="shared" si="45"/>
        <v>200</v>
      </c>
      <c r="BI121" s="34">
        <f t="shared" si="46"/>
        <v>200</v>
      </c>
    </row>
    <row r="122" spans="28:61" x14ac:dyDescent="0.25">
      <c r="AB122" s="14" t="str">
        <f>AD122&amp;COUNTIF($AD$2:AD122,AD122)</f>
        <v>0</v>
      </c>
      <c r="AC122" s="136"/>
      <c r="AD122" s="136"/>
      <c r="AE122" s="135"/>
      <c r="AF122" s="23" t="str">
        <f>IFERROR(VLOOKUP(AC122,Players!$B:$F,3,0),"")</f>
        <v/>
      </c>
      <c r="AG122" s="23" t="str">
        <f>IFERROR(VLOOKUP(AC122,Players!$B:$F,2,0),"")</f>
        <v/>
      </c>
      <c r="AH122" s="23" t="str">
        <f>IFERROR(VLOOKUP(AC122,Players!$B:$N,5,0),"")</f>
        <v/>
      </c>
      <c r="AI122" s="23">
        <v>121</v>
      </c>
      <c r="AJ122" s="28" t="str">
        <f>IFERROR(IF(LOOKUP(2,1/($AD$1:AD121=VLOOKUP(AJ121,$AN$2:$AX$11,2,0)),$AK$1:AK121)&lt;16,VLOOKUP(AJ121,$AN$2:$AX$11,2,0),IF(LOOKUP(2,1/($AD$1:AD121=VLOOKUP(AJ121,$AN$2:$AX$11,3,0)),$AK$1:AK121)&lt;16,VLOOKUP(AJ121,$AN$2:$AX$11,3,0),IF(LOOKUP(2,1/($AD$1:AD121=VLOOKUP(AJ121,$AN$2:$AX$11,4,0)),$AK$1:AK121)&lt;16,VLOOKUP(AJ121,$AN$2:$AX$11,4,0),IF(LOOKUP(2,1/($AD$1:AD121=VLOOKUP(AJ121,$AN$2:$AX$11,5,0)),$AK$1:AK121)&lt;16,VLOOKUP(AJ121,$AN$2:$AX$11,5,0),IF(LOOKUP(2,1/($AD$1:AD121=VLOOKUP(AJ121,$AN$2:$AX$11,6,0)),$AK$1:AK121)&lt;16,VLOOKUP(AJ121,$AN$2:$AX$11,6,0),IF(LOOKUP(2,1/($AD$1:AD121=VLOOKUP(AJ121,$AN$2:$AX$11,7,0)),$AK$1:AK121)&lt;16,VLOOKUP(AJ121,$AN$2:$AX$11,7,0),IF(LOOKUP(2,1/($AD$1:AD121=VLOOKUP(AJ121,$AN$2:$AX$11,8,0)),$AK$1:AK121)&lt;16,VLOOKUP(AJ121,$AN$2:$AX$11,8,0),IF(LOOKUP(2,1/($AD$1:AD121=VLOOKUP(AJ121,$AN$2:$AX$11,9,0)),$AK$1:AK121)&lt;16,VLOOKUP(AJ121,$AN$2:$AX$11,9,0),IF(LOOKUP(2,1/($AD$1:AD121=VLOOKUP(AJ121,$AN$2:$AX$11,10,0)),$AK$1:AK121)&lt;16,VLOOKUP(AJ121,$AN$2:$AX$11,10,0),VLOOKUP(AJ121,$AN$2:$AX$11,11,0)))))))))),VLOOKUP(AJ121,$AN$2:$AX$11,2,0))</f>
        <v>Team 5</v>
      </c>
      <c r="AK122">
        <f>COUNTIF($AD$1:AD122,AD122)</f>
        <v>0</v>
      </c>
      <c r="AL122">
        <f>COUNTIF($AK$1:AK122,"16")</f>
        <v>0</v>
      </c>
      <c r="AZ122" s="32">
        <f t="shared" si="37"/>
        <v>200</v>
      </c>
      <c r="BA122" s="33">
        <f t="shared" si="38"/>
        <v>200</v>
      </c>
      <c r="BB122" s="33">
        <f t="shared" si="39"/>
        <v>200</v>
      </c>
      <c r="BC122" s="33">
        <f t="shared" si="40"/>
        <v>200</v>
      </c>
      <c r="BD122" s="33">
        <f t="shared" si="41"/>
        <v>200</v>
      </c>
      <c r="BE122" s="33">
        <f t="shared" si="42"/>
        <v>200</v>
      </c>
      <c r="BF122" s="33">
        <f t="shared" si="43"/>
        <v>200</v>
      </c>
      <c r="BG122" s="33">
        <f t="shared" si="44"/>
        <v>200</v>
      </c>
      <c r="BH122" s="33">
        <f t="shared" si="45"/>
        <v>200</v>
      </c>
      <c r="BI122" s="34">
        <f t="shared" si="46"/>
        <v>200</v>
      </c>
    </row>
    <row r="123" spans="28:61" x14ac:dyDescent="0.25">
      <c r="AB123" s="14" t="str">
        <f>AD123&amp;COUNTIF($AD$2:AD123,AD123)</f>
        <v>0</v>
      </c>
      <c r="AC123" s="136"/>
      <c r="AD123" s="136"/>
      <c r="AE123" s="135"/>
      <c r="AF123" s="23" t="str">
        <f>IFERROR(VLOOKUP(AC123,Players!$B:$F,3,0),"")</f>
        <v/>
      </c>
      <c r="AG123" s="23" t="str">
        <f>IFERROR(VLOOKUP(AC123,Players!$B:$F,2,0),"")</f>
        <v/>
      </c>
      <c r="AH123" s="23" t="str">
        <f>IFERROR(VLOOKUP(AC123,Players!$B:$N,5,0),"")</f>
        <v/>
      </c>
      <c r="AI123" s="23">
        <v>122</v>
      </c>
      <c r="AJ123" s="28" t="str">
        <f>IFERROR(IF(LOOKUP(2,1/($AD$1:AD122=VLOOKUP(AJ122,$AN$2:$AX$11,2,0)),$AK$1:AK122)&lt;16,VLOOKUP(AJ122,$AN$2:$AX$11,2,0),IF(LOOKUP(2,1/($AD$1:AD122=VLOOKUP(AJ122,$AN$2:$AX$11,3,0)),$AK$1:AK122)&lt;16,VLOOKUP(AJ122,$AN$2:$AX$11,3,0),IF(LOOKUP(2,1/($AD$1:AD122=VLOOKUP(AJ122,$AN$2:$AX$11,4,0)),$AK$1:AK122)&lt;16,VLOOKUP(AJ122,$AN$2:$AX$11,4,0),IF(LOOKUP(2,1/($AD$1:AD122=VLOOKUP(AJ122,$AN$2:$AX$11,5,0)),$AK$1:AK122)&lt;16,VLOOKUP(AJ122,$AN$2:$AX$11,5,0),IF(LOOKUP(2,1/($AD$1:AD122=VLOOKUP(AJ122,$AN$2:$AX$11,6,0)),$AK$1:AK122)&lt;16,VLOOKUP(AJ122,$AN$2:$AX$11,6,0),IF(LOOKUP(2,1/($AD$1:AD122=VLOOKUP(AJ122,$AN$2:$AX$11,7,0)),$AK$1:AK122)&lt;16,VLOOKUP(AJ122,$AN$2:$AX$11,7,0),IF(LOOKUP(2,1/($AD$1:AD122=VLOOKUP(AJ122,$AN$2:$AX$11,8,0)),$AK$1:AK122)&lt;16,VLOOKUP(AJ122,$AN$2:$AX$11,8,0),IF(LOOKUP(2,1/($AD$1:AD122=VLOOKUP(AJ122,$AN$2:$AX$11,9,0)),$AK$1:AK122)&lt;16,VLOOKUP(AJ122,$AN$2:$AX$11,9,0),IF(LOOKUP(2,1/($AD$1:AD122=VLOOKUP(AJ122,$AN$2:$AX$11,10,0)),$AK$1:AK122)&lt;16,VLOOKUP(AJ122,$AN$2:$AX$11,10,0),VLOOKUP(AJ122,$AN$2:$AX$11,11,0)))))))))),VLOOKUP(AJ122,$AN$2:$AX$11,2,0))</f>
        <v>Team 9</v>
      </c>
      <c r="AK123">
        <f>COUNTIF($AD$1:AD123,AD123)</f>
        <v>0</v>
      </c>
      <c r="AL123">
        <f>COUNTIF($AK$1:AK123,"16")</f>
        <v>0</v>
      </c>
      <c r="AZ123" s="32">
        <f t="shared" si="37"/>
        <v>200</v>
      </c>
      <c r="BA123" s="33">
        <f t="shared" si="38"/>
        <v>200</v>
      </c>
      <c r="BB123" s="33">
        <f t="shared" si="39"/>
        <v>200</v>
      </c>
      <c r="BC123" s="33">
        <f t="shared" si="40"/>
        <v>200</v>
      </c>
      <c r="BD123" s="33">
        <f t="shared" si="41"/>
        <v>200</v>
      </c>
      <c r="BE123" s="33">
        <f t="shared" si="42"/>
        <v>200</v>
      </c>
      <c r="BF123" s="33">
        <f t="shared" si="43"/>
        <v>200</v>
      </c>
      <c r="BG123" s="33">
        <f t="shared" si="44"/>
        <v>200</v>
      </c>
      <c r="BH123" s="33">
        <f t="shared" si="45"/>
        <v>200</v>
      </c>
      <c r="BI123" s="34">
        <f t="shared" si="46"/>
        <v>200</v>
      </c>
    </row>
    <row r="124" spans="28:61" x14ac:dyDescent="0.25">
      <c r="AB124" s="14" t="str">
        <f>AD124&amp;COUNTIF($AD$2:AD124,AD124)</f>
        <v>0</v>
      </c>
      <c r="AC124" s="136"/>
      <c r="AD124" s="136"/>
      <c r="AE124" s="135"/>
      <c r="AF124" s="23" t="str">
        <f>IFERROR(VLOOKUP(AC124,Players!$B:$F,3,0),"")</f>
        <v/>
      </c>
      <c r="AG124" s="23" t="str">
        <f>IFERROR(VLOOKUP(AC124,Players!$B:$F,2,0),"")</f>
        <v/>
      </c>
      <c r="AH124" s="23" t="str">
        <f>IFERROR(VLOOKUP(AC124,Players!$B:$N,5,0),"")</f>
        <v/>
      </c>
      <c r="AI124" s="23">
        <v>123</v>
      </c>
      <c r="AJ124" s="28" t="str">
        <f>IFERROR(IF(LOOKUP(2,1/($AD$1:AD123=VLOOKUP(AJ123,$AN$2:$AX$11,2,0)),$AK$1:AK123)&lt;16,VLOOKUP(AJ123,$AN$2:$AX$11,2,0),IF(LOOKUP(2,1/($AD$1:AD123=VLOOKUP(AJ123,$AN$2:$AX$11,3,0)),$AK$1:AK123)&lt;16,VLOOKUP(AJ123,$AN$2:$AX$11,3,0),IF(LOOKUP(2,1/($AD$1:AD123=VLOOKUP(AJ123,$AN$2:$AX$11,4,0)),$AK$1:AK123)&lt;16,VLOOKUP(AJ123,$AN$2:$AX$11,4,0),IF(LOOKUP(2,1/($AD$1:AD123=VLOOKUP(AJ123,$AN$2:$AX$11,5,0)),$AK$1:AK123)&lt;16,VLOOKUP(AJ123,$AN$2:$AX$11,5,0),IF(LOOKUP(2,1/($AD$1:AD123=VLOOKUP(AJ123,$AN$2:$AX$11,6,0)),$AK$1:AK123)&lt;16,VLOOKUP(AJ123,$AN$2:$AX$11,6,0),IF(LOOKUP(2,1/($AD$1:AD123=VLOOKUP(AJ123,$AN$2:$AX$11,7,0)),$AK$1:AK123)&lt;16,VLOOKUP(AJ123,$AN$2:$AX$11,7,0),IF(LOOKUP(2,1/($AD$1:AD123=VLOOKUP(AJ123,$AN$2:$AX$11,8,0)),$AK$1:AK123)&lt;16,VLOOKUP(AJ123,$AN$2:$AX$11,8,0),IF(LOOKUP(2,1/($AD$1:AD123=VLOOKUP(AJ123,$AN$2:$AX$11,9,0)),$AK$1:AK123)&lt;16,VLOOKUP(AJ123,$AN$2:$AX$11,9,0),IF(LOOKUP(2,1/($AD$1:AD123=VLOOKUP(AJ123,$AN$2:$AX$11,10,0)),$AK$1:AK123)&lt;16,VLOOKUP(AJ123,$AN$2:$AX$11,10,0),VLOOKUP(AJ123,$AN$2:$AX$11,11,0)))))))))),VLOOKUP(AJ123,$AN$2:$AX$11,2,0))</f>
        <v>Team 3</v>
      </c>
      <c r="AK124">
        <f>COUNTIF($AD$1:AD124,AD124)</f>
        <v>0</v>
      </c>
      <c r="AL124">
        <f>COUNTIF($AK$1:AK124,"16")</f>
        <v>0</v>
      </c>
      <c r="AZ124" s="32">
        <f t="shared" si="37"/>
        <v>200</v>
      </c>
      <c r="BA124" s="33">
        <f t="shared" si="38"/>
        <v>200</v>
      </c>
      <c r="BB124" s="33">
        <f t="shared" si="39"/>
        <v>200</v>
      </c>
      <c r="BC124" s="33">
        <f t="shared" si="40"/>
        <v>200</v>
      </c>
      <c r="BD124" s="33">
        <f t="shared" si="41"/>
        <v>200</v>
      </c>
      <c r="BE124" s="33">
        <f t="shared" si="42"/>
        <v>200</v>
      </c>
      <c r="BF124" s="33">
        <f t="shared" si="43"/>
        <v>200</v>
      </c>
      <c r="BG124" s="33">
        <f t="shared" si="44"/>
        <v>200</v>
      </c>
      <c r="BH124" s="33">
        <f t="shared" si="45"/>
        <v>200</v>
      </c>
      <c r="BI124" s="34">
        <f t="shared" si="46"/>
        <v>200</v>
      </c>
    </row>
    <row r="125" spans="28:61" x14ac:dyDescent="0.25">
      <c r="AB125" s="14" t="str">
        <f>AD125&amp;COUNTIF($AD$2:AD125,AD125)</f>
        <v>0</v>
      </c>
      <c r="AC125" s="136"/>
      <c r="AD125" s="136"/>
      <c r="AE125" s="135"/>
      <c r="AF125" s="23" t="str">
        <f>IFERROR(VLOOKUP(AC125,Players!$B:$F,3,0),"")</f>
        <v/>
      </c>
      <c r="AG125" s="23" t="str">
        <f>IFERROR(VLOOKUP(AC125,Players!$B:$F,2,0),"")</f>
        <v/>
      </c>
      <c r="AH125" s="23" t="str">
        <f>IFERROR(VLOOKUP(AC125,Players!$B:$N,5,0),"")</f>
        <v/>
      </c>
      <c r="AI125" s="23">
        <v>124</v>
      </c>
      <c r="AJ125" s="28" t="str">
        <f>IFERROR(IF(LOOKUP(2,1/($AD$1:AD124=VLOOKUP(AJ124,$AN$2:$AX$11,2,0)),$AK$1:AK124)&lt;16,VLOOKUP(AJ124,$AN$2:$AX$11,2,0),IF(LOOKUP(2,1/($AD$1:AD124=VLOOKUP(AJ124,$AN$2:$AX$11,3,0)),$AK$1:AK124)&lt;16,VLOOKUP(AJ124,$AN$2:$AX$11,3,0),IF(LOOKUP(2,1/($AD$1:AD124=VLOOKUP(AJ124,$AN$2:$AX$11,4,0)),$AK$1:AK124)&lt;16,VLOOKUP(AJ124,$AN$2:$AX$11,4,0),IF(LOOKUP(2,1/($AD$1:AD124=VLOOKUP(AJ124,$AN$2:$AX$11,5,0)),$AK$1:AK124)&lt;16,VLOOKUP(AJ124,$AN$2:$AX$11,5,0),IF(LOOKUP(2,1/($AD$1:AD124=VLOOKUP(AJ124,$AN$2:$AX$11,6,0)),$AK$1:AK124)&lt;16,VLOOKUP(AJ124,$AN$2:$AX$11,6,0),IF(LOOKUP(2,1/($AD$1:AD124=VLOOKUP(AJ124,$AN$2:$AX$11,7,0)),$AK$1:AK124)&lt;16,VLOOKUP(AJ124,$AN$2:$AX$11,7,0),IF(LOOKUP(2,1/($AD$1:AD124=VLOOKUP(AJ124,$AN$2:$AX$11,8,0)),$AK$1:AK124)&lt;16,VLOOKUP(AJ124,$AN$2:$AX$11,8,0),IF(LOOKUP(2,1/($AD$1:AD124=VLOOKUP(AJ124,$AN$2:$AX$11,9,0)),$AK$1:AK124)&lt;16,VLOOKUP(AJ124,$AN$2:$AX$11,9,0),IF(LOOKUP(2,1/($AD$1:AD124=VLOOKUP(AJ124,$AN$2:$AX$11,10,0)),$AK$1:AK124)&lt;16,VLOOKUP(AJ124,$AN$2:$AX$11,10,0),VLOOKUP(AJ124,$AN$2:$AX$11,11,0)))))))))),VLOOKUP(AJ124,$AN$2:$AX$11,2,0))</f>
        <v>Team 6</v>
      </c>
      <c r="AK125">
        <f>COUNTIF($AD$1:AD125,AD125)</f>
        <v>0</v>
      </c>
      <c r="AL125">
        <f>COUNTIF($AK$1:AK125,"16")</f>
        <v>0</v>
      </c>
      <c r="AZ125" s="32">
        <f t="shared" si="37"/>
        <v>200</v>
      </c>
      <c r="BA125" s="33">
        <f t="shared" si="38"/>
        <v>200</v>
      </c>
      <c r="BB125" s="33">
        <f t="shared" si="39"/>
        <v>200</v>
      </c>
      <c r="BC125" s="33">
        <f t="shared" si="40"/>
        <v>200</v>
      </c>
      <c r="BD125" s="33">
        <f t="shared" si="41"/>
        <v>200</v>
      </c>
      <c r="BE125" s="33">
        <f t="shared" si="42"/>
        <v>200</v>
      </c>
      <c r="BF125" s="33">
        <f t="shared" si="43"/>
        <v>200</v>
      </c>
      <c r="BG125" s="33">
        <f t="shared" si="44"/>
        <v>200</v>
      </c>
      <c r="BH125" s="33">
        <f t="shared" si="45"/>
        <v>200</v>
      </c>
      <c r="BI125" s="34">
        <f t="shared" si="46"/>
        <v>200</v>
      </c>
    </row>
    <row r="126" spans="28:61" x14ac:dyDescent="0.25">
      <c r="AB126" s="14" t="str">
        <f>AD126&amp;COUNTIF($AD$2:AD126,AD126)</f>
        <v>0</v>
      </c>
      <c r="AC126" s="136"/>
      <c r="AD126" s="136"/>
      <c r="AE126" s="135"/>
      <c r="AF126" s="23" t="str">
        <f>IFERROR(VLOOKUP(AC126,Players!$B:$F,3,0),"")</f>
        <v/>
      </c>
      <c r="AG126" s="23" t="str">
        <f>IFERROR(VLOOKUP(AC126,Players!$B:$F,2,0),"")</f>
        <v/>
      </c>
      <c r="AH126" s="23" t="str">
        <f>IFERROR(VLOOKUP(AC126,Players!$B:$N,5,0),"")</f>
        <v/>
      </c>
      <c r="AI126" s="23">
        <v>125</v>
      </c>
      <c r="AJ126" s="28" t="str">
        <f>IFERROR(IF(LOOKUP(2,1/($AD$1:AD125=VLOOKUP(AJ125,$AN$2:$AX$11,2,0)),$AK$1:AK125)&lt;16,VLOOKUP(AJ125,$AN$2:$AX$11,2,0),IF(LOOKUP(2,1/($AD$1:AD125=VLOOKUP(AJ125,$AN$2:$AX$11,3,0)),$AK$1:AK125)&lt;16,VLOOKUP(AJ125,$AN$2:$AX$11,3,0),IF(LOOKUP(2,1/($AD$1:AD125=VLOOKUP(AJ125,$AN$2:$AX$11,4,0)),$AK$1:AK125)&lt;16,VLOOKUP(AJ125,$AN$2:$AX$11,4,0),IF(LOOKUP(2,1/($AD$1:AD125=VLOOKUP(AJ125,$AN$2:$AX$11,5,0)),$AK$1:AK125)&lt;16,VLOOKUP(AJ125,$AN$2:$AX$11,5,0),IF(LOOKUP(2,1/($AD$1:AD125=VLOOKUP(AJ125,$AN$2:$AX$11,6,0)),$AK$1:AK125)&lt;16,VLOOKUP(AJ125,$AN$2:$AX$11,6,0),IF(LOOKUP(2,1/($AD$1:AD125=VLOOKUP(AJ125,$AN$2:$AX$11,7,0)),$AK$1:AK125)&lt;16,VLOOKUP(AJ125,$AN$2:$AX$11,7,0),IF(LOOKUP(2,1/($AD$1:AD125=VLOOKUP(AJ125,$AN$2:$AX$11,8,0)),$AK$1:AK125)&lt;16,VLOOKUP(AJ125,$AN$2:$AX$11,8,0),IF(LOOKUP(2,1/($AD$1:AD125=VLOOKUP(AJ125,$AN$2:$AX$11,9,0)),$AK$1:AK125)&lt;16,VLOOKUP(AJ125,$AN$2:$AX$11,9,0),IF(LOOKUP(2,1/($AD$1:AD125=VLOOKUP(AJ125,$AN$2:$AX$11,10,0)),$AK$1:AK125)&lt;16,VLOOKUP(AJ125,$AN$2:$AX$11,10,0),VLOOKUP(AJ125,$AN$2:$AX$11,11,0)))))))))),VLOOKUP(AJ125,$AN$2:$AX$11,2,0))</f>
        <v>Team 7</v>
      </c>
      <c r="AK126">
        <f>COUNTIF($AD$1:AD126,AD126)</f>
        <v>0</v>
      </c>
      <c r="AL126">
        <f>COUNTIF($AK$1:AK126,"16")</f>
        <v>0</v>
      </c>
      <c r="AZ126" s="32">
        <f t="shared" si="37"/>
        <v>200</v>
      </c>
      <c r="BA126" s="33">
        <f t="shared" si="38"/>
        <v>200</v>
      </c>
      <c r="BB126" s="33">
        <f t="shared" si="39"/>
        <v>200</v>
      </c>
      <c r="BC126" s="33">
        <f t="shared" si="40"/>
        <v>200</v>
      </c>
      <c r="BD126" s="33">
        <f t="shared" si="41"/>
        <v>200</v>
      </c>
      <c r="BE126" s="33">
        <f t="shared" si="42"/>
        <v>200</v>
      </c>
      <c r="BF126" s="33">
        <f t="shared" si="43"/>
        <v>200</v>
      </c>
      <c r="BG126" s="33">
        <f t="shared" si="44"/>
        <v>200</v>
      </c>
      <c r="BH126" s="33">
        <f t="shared" si="45"/>
        <v>200</v>
      </c>
      <c r="BI126" s="34">
        <f t="shared" si="46"/>
        <v>200</v>
      </c>
    </row>
    <row r="127" spans="28:61" x14ac:dyDescent="0.25">
      <c r="AB127" s="14" t="str">
        <f>AD127&amp;COUNTIF($AD$2:AD127,AD127)</f>
        <v>0</v>
      </c>
      <c r="AC127" s="136"/>
      <c r="AD127" s="136"/>
      <c r="AE127" s="135"/>
      <c r="AF127" s="23" t="str">
        <f>IFERROR(VLOOKUP(AC127,Players!$B:$F,3,0),"")</f>
        <v/>
      </c>
      <c r="AG127" s="23" t="str">
        <f>IFERROR(VLOOKUP(AC127,Players!$B:$F,2,0),"")</f>
        <v/>
      </c>
      <c r="AH127" s="23" t="str">
        <f>IFERROR(VLOOKUP(AC127,Players!$B:$N,5,0),"")</f>
        <v/>
      </c>
      <c r="AI127" s="23">
        <v>126</v>
      </c>
      <c r="AJ127" s="28" t="str">
        <f>IFERROR(IF(LOOKUP(2,1/($AD$1:AD126=VLOOKUP(AJ126,$AN$2:$AX$11,2,0)),$AK$1:AK126)&lt;16,VLOOKUP(AJ126,$AN$2:$AX$11,2,0),IF(LOOKUP(2,1/($AD$1:AD126=VLOOKUP(AJ126,$AN$2:$AX$11,3,0)),$AK$1:AK126)&lt;16,VLOOKUP(AJ126,$AN$2:$AX$11,3,0),IF(LOOKUP(2,1/($AD$1:AD126=VLOOKUP(AJ126,$AN$2:$AX$11,4,0)),$AK$1:AK126)&lt;16,VLOOKUP(AJ126,$AN$2:$AX$11,4,0),IF(LOOKUP(2,1/($AD$1:AD126=VLOOKUP(AJ126,$AN$2:$AX$11,5,0)),$AK$1:AK126)&lt;16,VLOOKUP(AJ126,$AN$2:$AX$11,5,0),IF(LOOKUP(2,1/($AD$1:AD126=VLOOKUP(AJ126,$AN$2:$AX$11,6,0)),$AK$1:AK126)&lt;16,VLOOKUP(AJ126,$AN$2:$AX$11,6,0),IF(LOOKUP(2,1/($AD$1:AD126=VLOOKUP(AJ126,$AN$2:$AX$11,7,0)),$AK$1:AK126)&lt;16,VLOOKUP(AJ126,$AN$2:$AX$11,7,0),IF(LOOKUP(2,1/($AD$1:AD126=VLOOKUP(AJ126,$AN$2:$AX$11,8,0)),$AK$1:AK126)&lt;16,VLOOKUP(AJ126,$AN$2:$AX$11,8,0),IF(LOOKUP(2,1/($AD$1:AD126=VLOOKUP(AJ126,$AN$2:$AX$11,9,0)),$AK$1:AK126)&lt;16,VLOOKUP(AJ126,$AN$2:$AX$11,9,0),IF(LOOKUP(2,1/($AD$1:AD126=VLOOKUP(AJ126,$AN$2:$AX$11,10,0)),$AK$1:AK126)&lt;16,VLOOKUP(AJ126,$AN$2:$AX$11,10,0),VLOOKUP(AJ126,$AN$2:$AX$11,11,0)))))))))),VLOOKUP(AJ126,$AN$2:$AX$11,2,0))</f>
        <v>Team 8</v>
      </c>
      <c r="AK127">
        <f>COUNTIF($AD$1:AD127,AD127)</f>
        <v>0</v>
      </c>
      <c r="AL127">
        <f>COUNTIF($AK$1:AK127,"16")</f>
        <v>0</v>
      </c>
      <c r="AZ127" s="32">
        <f t="shared" si="37"/>
        <v>200</v>
      </c>
      <c r="BA127" s="33">
        <f t="shared" si="38"/>
        <v>200</v>
      </c>
      <c r="BB127" s="33">
        <f t="shared" si="39"/>
        <v>200</v>
      </c>
      <c r="BC127" s="33">
        <f t="shared" si="40"/>
        <v>200</v>
      </c>
      <c r="BD127" s="33">
        <f t="shared" si="41"/>
        <v>200</v>
      </c>
      <c r="BE127" s="33">
        <f t="shared" si="42"/>
        <v>200</v>
      </c>
      <c r="BF127" s="33">
        <f t="shared" si="43"/>
        <v>200</v>
      </c>
      <c r="BG127" s="33">
        <f t="shared" si="44"/>
        <v>200</v>
      </c>
      <c r="BH127" s="33">
        <f t="shared" si="45"/>
        <v>200</v>
      </c>
      <c r="BI127" s="34">
        <f t="shared" si="46"/>
        <v>200</v>
      </c>
    </row>
    <row r="128" spans="28:61" x14ac:dyDescent="0.25">
      <c r="AB128" s="14" t="str">
        <f>AD128&amp;COUNTIF($AD$2:AD128,AD128)</f>
        <v>0</v>
      </c>
      <c r="AC128" s="136"/>
      <c r="AD128" s="136"/>
      <c r="AE128" s="135"/>
      <c r="AF128" s="23" t="str">
        <f>IFERROR(VLOOKUP(AC128,Players!$B:$F,3,0),"")</f>
        <v/>
      </c>
      <c r="AG128" s="23" t="str">
        <f>IFERROR(VLOOKUP(AC128,Players!$B:$F,2,0),"")</f>
        <v/>
      </c>
      <c r="AH128" s="23" t="str">
        <f>IFERROR(VLOOKUP(AC128,Players!$B:$N,5,0),"")</f>
        <v/>
      </c>
      <c r="AI128" s="23">
        <v>127</v>
      </c>
      <c r="AJ128" s="28" t="str">
        <f>IFERROR(IF(LOOKUP(2,1/($AD$1:AD127=VLOOKUP(AJ127,$AN$2:$AX$11,2,0)),$AK$1:AK127)&lt;16,VLOOKUP(AJ127,$AN$2:$AX$11,2,0),IF(LOOKUP(2,1/($AD$1:AD127=VLOOKUP(AJ127,$AN$2:$AX$11,3,0)),$AK$1:AK127)&lt;16,VLOOKUP(AJ127,$AN$2:$AX$11,3,0),IF(LOOKUP(2,1/($AD$1:AD127=VLOOKUP(AJ127,$AN$2:$AX$11,4,0)),$AK$1:AK127)&lt;16,VLOOKUP(AJ127,$AN$2:$AX$11,4,0),IF(LOOKUP(2,1/($AD$1:AD127=VLOOKUP(AJ127,$AN$2:$AX$11,5,0)),$AK$1:AK127)&lt;16,VLOOKUP(AJ127,$AN$2:$AX$11,5,0),IF(LOOKUP(2,1/($AD$1:AD127=VLOOKUP(AJ127,$AN$2:$AX$11,6,0)),$AK$1:AK127)&lt;16,VLOOKUP(AJ127,$AN$2:$AX$11,6,0),IF(LOOKUP(2,1/($AD$1:AD127=VLOOKUP(AJ127,$AN$2:$AX$11,7,0)),$AK$1:AK127)&lt;16,VLOOKUP(AJ127,$AN$2:$AX$11,7,0),IF(LOOKUP(2,1/($AD$1:AD127=VLOOKUP(AJ127,$AN$2:$AX$11,8,0)),$AK$1:AK127)&lt;16,VLOOKUP(AJ127,$AN$2:$AX$11,8,0),IF(LOOKUP(2,1/($AD$1:AD127=VLOOKUP(AJ127,$AN$2:$AX$11,9,0)),$AK$1:AK127)&lt;16,VLOOKUP(AJ127,$AN$2:$AX$11,9,0),IF(LOOKUP(2,1/($AD$1:AD127=VLOOKUP(AJ127,$AN$2:$AX$11,10,0)),$AK$1:AK127)&lt;16,VLOOKUP(AJ127,$AN$2:$AX$11,10,0),VLOOKUP(AJ127,$AN$2:$AX$11,11,0)))))))))),VLOOKUP(AJ127,$AN$2:$AX$11,2,0))</f>
        <v>Team Se</v>
      </c>
      <c r="AK128">
        <f>COUNTIF($AD$1:AD128,AD128)</f>
        <v>0</v>
      </c>
      <c r="AL128">
        <f>COUNTIF($AK$1:AK128,"16")</f>
        <v>0</v>
      </c>
      <c r="AZ128" s="32">
        <f t="shared" si="37"/>
        <v>200</v>
      </c>
      <c r="BA128" s="33">
        <f t="shared" si="38"/>
        <v>200</v>
      </c>
      <c r="BB128" s="33">
        <f t="shared" si="39"/>
        <v>200</v>
      </c>
      <c r="BC128" s="33">
        <f t="shared" si="40"/>
        <v>200</v>
      </c>
      <c r="BD128" s="33">
        <f t="shared" si="41"/>
        <v>200</v>
      </c>
      <c r="BE128" s="33">
        <f t="shared" si="42"/>
        <v>200</v>
      </c>
      <c r="BF128" s="33">
        <f t="shared" si="43"/>
        <v>200</v>
      </c>
      <c r="BG128" s="33">
        <f t="shared" si="44"/>
        <v>200</v>
      </c>
      <c r="BH128" s="33">
        <f t="shared" si="45"/>
        <v>200</v>
      </c>
      <c r="BI128" s="34">
        <f t="shared" si="46"/>
        <v>200</v>
      </c>
    </row>
    <row r="129" spans="28:61" x14ac:dyDescent="0.25">
      <c r="AB129" s="14" t="str">
        <f>AD129&amp;COUNTIF($AD$2:AD129,AD129)</f>
        <v>0</v>
      </c>
      <c r="AC129" s="136"/>
      <c r="AD129" s="136"/>
      <c r="AE129" s="135"/>
      <c r="AF129" s="23" t="str">
        <f>IFERROR(VLOOKUP(AC129,Players!$B:$F,3,0),"")</f>
        <v/>
      </c>
      <c r="AG129" s="23" t="str">
        <f>IFERROR(VLOOKUP(AC129,Players!$B:$F,2,0),"")</f>
        <v/>
      </c>
      <c r="AH129" s="23" t="str">
        <f>IFERROR(VLOOKUP(AC129,Players!$B:$N,5,0),"")</f>
        <v/>
      </c>
      <c r="AI129" s="23">
        <v>128</v>
      </c>
      <c r="AJ129" s="28" t="str">
        <f>IFERROR(IF(LOOKUP(2,1/($AD$1:AD128=VLOOKUP(AJ128,$AN$2:$AX$11,2,0)),$AK$1:AK128)&lt;16,VLOOKUP(AJ128,$AN$2:$AX$11,2,0),IF(LOOKUP(2,1/($AD$1:AD128=VLOOKUP(AJ128,$AN$2:$AX$11,3,0)),$AK$1:AK128)&lt;16,VLOOKUP(AJ128,$AN$2:$AX$11,3,0),IF(LOOKUP(2,1/($AD$1:AD128=VLOOKUP(AJ128,$AN$2:$AX$11,4,0)),$AK$1:AK128)&lt;16,VLOOKUP(AJ128,$AN$2:$AX$11,4,0),IF(LOOKUP(2,1/($AD$1:AD128=VLOOKUP(AJ128,$AN$2:$AX$11,5,0)),$AK$1:AK128)&lt;16,VLOOKUP(AJ128,$AN$2:$AX$11,5,0),IF(LOOKUP(2,1/($AD$1:AD128=VLOOKUP(AJ128,$AN$2:$AX$11,6,0)),$AK$1:AK128)&lt;16,VLOOKUP(AJ128,$AN$2:$AX$11,6,0),IF(LOOKUP(2,1/($AD$1:AD128=VLOOKUP(AJ128,$AN$2:$AX$11,7,0)),$AK$1:AK128)&lt;16,VLOOKUP(AJ128,$AN$2:$AX$11,7,0),IF(LOOKUP(2,1/($AD$1:AD128=VLOOKUP(AJ128,$AN$2:$AX$11,8,0)),$AK$1:AK128)&lt;16,VLOOKUP(AJ128,$AN$2:$AX$11,8,0),IF(LOOKUP(2,1/($AD$1:AD128=VLOOKUP(AJ128,$AN$2:$AX$11,9,0)),$AK$1:AK128)&lt;16,VLOOKUP(AJ128,$AN$2:$AX$11,9,0),IF(LOOKUP(2,1/($AD$1:AD128=VLOOKUP(AJ128,$AN$2:$AX$11,10,0)),$AK$1:AK128)&lt;16,VLOOKUP(AJ128,$AN$2:$AX$11,10,0),VLOOKUP(AJ128,$AN$2:$AX$11,11,0)))))))))),VLOOKUP(AJ128,$AN$2:$AX$11,2,0))</f>
        <v>Team 10</v>
      </c>
      <c r="AK129">
        <f>COUNTIF($AD$1:AD129,AD129)</f>
        <v>0</v>
      </c>
      <c r="AL129">
        <f>COUNTIF($AK$1:AK129,"16")</f>
        <v>0</v>
      </c>
      <c r="AZ129" s="32">
        <f t="shared" si="37"/>
        <v>200</v>
      </c>
      <c r="BA129" s="33">
        <f t="shared" si="38"/>
        <v>200</v>
      </c>
      <c r="BB129" s="33">
        <f t="shared" si="39"/>
        <v>200</v>
      </c>
      <c r="BC129" s="33">
        <f t="shared" si="40"/>
        <v>200</v>
      </c>
      <c r="BD129" s="33">
        <f t="shared" si="41"/>
        <v>200</v>
      </c>
      <c r="BE129" s="33">
        <f t="shared" si="42"/>
        <v>200</v>
      </c>
      <c r="BF129" s="33">
        <f t="shared" si="43"/>
        <v>200</v>
      </c>
      <c r="BG129" s="33">
        <f t="shared" si="44"/>
        <v>200</v>
      </c>
      <c r="BH129" s="33">
        <f t="shared" si="45"/>
        <v>200</v>
      </c>
      <c r="BI129" s="34">
        <f t="shared" si="46"/>
        <v>200</v>
      </c>
    </row>
    <row r="130" spans="28:61" x14ac:dyDescent="0.25">
      <c r="AB130" s="14" t="str">
        <f>AD130&amp;COUNTIF($AD$2:AD130,AD130)</f>
        <v>0</v>
      </c>
      <c r="AC130" s="136"/>
      <c r="AD130" s="136"/>
      <c r="AE130" s="135"/>
      <c r="AF130" s="23" t="str">
        <f>IFERROR(VLOOKUP(AC130,Players!$B:$F,3,0),"")</f>
        <v/>
      </c>
      <c r="AG130" s="23" t="str">
        <f>IFERROR(VLOOKUP(AC130,Players!$B:$F,2,0),"")</f>
        <v/>
      </c>
      <c r="AH130" s="23" t="str">
        <f>IFERROR(VLOOKUP(AC130,Players!$B:$N,5,0),"")</f>
        <v/>
      </c>
      <c r="AI130" s="23">
        <v>129</v>
      </c>
      <c r="AJ130" s="28" t="str">
        <f>IFERROR(IF(LOOKUP(2,1/($AD$1:AD129=VLOOKUP(AJ129,$AN$2:$AX$11,2,0)),$AK$1:AK129)&lt;16,VLOOKUP(AJ129,$AN$2:$AX$11,2,0),IF(LOOKUP(2,1/($AD$1:AD129=VLOOKUP(AJ129,$AN$2:$AX$11,3,0)),$AK$1:AK129)&lt;16,VLOOKUP(AJ129,$AN$2:$AX$11,3,0),IF(LOOKUP(2,1/($AD$1:AD129=VLOOKUP(AJ129,$AN$2:$AX$11,4,0)),$AK$1:AK129)&lt;16,VLOOKUP(AJ129,$AN$2:$AX$11,4,0),IF(LOOKUP(2,1/($AD$1:AD129=VLOOKUP(AJ129,$AN$2:$AX$11,5,0)),$AK$1:AK129)&lt;16,VLOOKUP(AJ129,$AN$2:$AX$11,5,0),IF(LOOKUP(2,1/($AD$1:AD129=VLOOKUP(AJ129,$AN$2:$AX$11,6,0)),$AK$1:AK129)&lt;16,VLOOKUP(AJ129,$AN$2:$AX$11,6,0),IF(LOOKUP(2,1/($AD$1:AD129=VLOOKUP(AJ129,$AN$2:$AX$11,7,0)),$AK$1:AK129)&lt;16,VLOOKUP(AJ129,$AN$2:$AX$11,7,0),IF(LOOKUP(2,1/($AD$1:AD129=VLOOKUP(AJ129,$AN$2:$AX$11,8,0)),$AK$1:AK129)&lt;16,VLOOKUP(AJ129,$AN$2:$AX$11,8,0),IF(LOOKUP(2,1/($AD$1:AD129=VLOOKUP(AJ129,$AN$2:$AX$11,9,0)),$AK$1:AK129)&lt;16,VLOOKUP(AJ129,$AN$2:$AX$11,9,0),IF(LOOKUP(2,1/($AD$1:AD129=VLOOKUP(AJ129,$AN$2:$AX$11,10,0)),$AK$1:AK129)&lt;16,VLOOKUP(AJ129,$AN$2:$AX$11,10,0),VLOOKUP(AJ129,$AN$2:$AX$11,11,0)))))))))),VLOOKUP(AJ129,$AN$2:$AX$11,2,0))</f>
        <v>Crouch</v>
      </c>
      <c r="AK130">
        <f>COUNTIF($AD$1:AD130,AD130)</f>
        <v>0</v>
      </c>
      <c r="AL130">
        <f>COUNTIF($AK$1:AK130,"16")</f>
        <v>0</v>
      </c>
      <c r="AZ130" s="32">
        <f t="shared" ref="AZ130:AZ161" si="47">IF($AD130=AZ$1,IFERROR(AZ129-$AE130,200-$AE130),IFERROR(+AZ129-AZ129+AZ129,200))</f>
        <v>200</v>
      </c>
      <c r="BA130" s="33">
        <f t="shared" ref="BA130:BA161" si="48">IF($AD130=BA$1,IFERROR(BA129-$AE130,200-$AE130),IFERROR(+BA129-BA129+BA129,200))</f>
        <v>200</v>
      </c>
      <c r="BB130" s="33">
        <f t="shared" ref="BB130:BB161" si="49">IF($AD130=BB$1,IFERROR(BB129-$AE130,200-$AE130),IFERROR(+BB129-BB129+BB129,200))</f>
        <v>200</v>
      </c>
      <c r="BC130" s="33">
        <f t="shared" ref="BC130:BC161" si="50">IF($AD130=BC$1,IFERROR(BC129-$AE130,200-$AE130),IFERROR(+BC129-BC129+BC129,200))</f>
        <v>200</v>
      </c>
      <c r="BD130" s="33">
        <f t="shared" ref="BD130:BD161" si="51">IF($AD130=BD$1,IFERROR(BD129-$AE130,200-$AE130),IFERROR(+BD129-BD129+BD129,200))</f>
        <v>200</v>
      </c>
      <c r="BE130" s="33">
        <f t="shared" ref="BE130:BE161" si="52">IF($AD130=BE$1,IFERROR(BE129-$AE130,200-$AE130),IFERROR(+BE129-BE129+BE129,200))</f>
        <v>200</v>
      </c>
      <c r="BF130" s="33">
        <f t="shared" ref="BF130:BF161" si="53">IF($AD130=BF$1,IFERROR(BF129-$AE130,200-$AE130),IFERROR(+BF129-BF129+BF129,200))</f>
        <v>200</v>
      </c>
      <c r="BG130" s="33">
        <f t="shared" ref="BG130:BG161" si="54">IF($AD130=BG$1,IFERROR(BG129-$AE130,200-$AE130),IFERROR(+BG129-BG129+BG129,200))</f>
        <v>200</v>
      </c>
      <c r="BH130" s="33">
        <f t="shared" ref="BH130:BH161" si="55">IF($AD130=BH$1,IFERROR(BH129-$AE130,200-$AE130),IFERROR(+BH129-BH129+BH129,200))</f>
        <v>200</v>
      </c>
      <c r="BI130" s="34">
        <f t="shared" ref="BI130:BI161" si="56">IF($AD130=BI$1,IFERROR(BI129-$AE130,200-$AE130),IFERROR(+BI129-BI129+BI129,200))</f>
        <v>200</v>
      </c>
    </row>
    <row r="131" spans="28:61" x14ac:dyDescent="0.25">
      <c r="AB131" s="14" t="str">
        <f>AD131&amp;COUNTIF($AD$2:AD131,AD131)</f>
        <v>0</v>
      </c>
      <c r="AC131" s="136"/>
      <c r="AD131" s="136"/>
      <c r="AE131" s="135"/>
      <c r="AF131" s="23" t="str">
        <f>IFERROR(VLOOKUP(AC131,Players!$B:$F,3,0),"")</f>
        <v/>
      </c>
      <c r="AG131" s="23" t="str">
        <f>IFERROR(VLOOKUP(AC131,Players!$B:$F,2,0),"")</f>
        <v/>
      </c>
      <c r="AH131" s="23" t="str">
        <f>IFERROR(VLOOKUP(AC131,Players!$B:$N,5,0),"")</f>
        <v/>
      </c>
      <c r="AI131" s="23">
        <v>130</v>
      </c>
      <c r="AJ131" s="28" t="str">
        <f>IFERROR(IF(LOOKUP(2,1/($AD$1:AD130=VLOOKUP(AJ130,$AN$2:$AX$11,2,0)),$AK$1:AK130)&lt;16,VLOOKUP(AJ130,$AN$2:$AX$11,2,0),IF(LOOKUP(2,1/($AD$1:AD130=VLOOKUP(AJ130,$AN$2:$AX$11,3,0)),$AK$1:AK130)&lt;16,VLOOKUP(AJ130,$AN$2:$AX$11,3,0),IF(LOOKUP(2,1/($AD$1:AD130=VLOOKUP(AJ130,$AN$2:$AX$11,4,0)),$AK$1:AK130)&lt;16,VLOOKUP(AJ130,$AN$2:$AX$11,4,0),IF(LOOKUP(2,1/($AD$1:AD130=VLOOKUP(AJ130,$AN$2:$AX$11,5,0)),$AK$1:AK130)&lt;16,VLOOKUP(AJ130,$AN$2:$AX$11,5,0),IF(LOOKUP(2,1/($AD$1:AD130=VLOOKUP(AJ130,$AN$2:$AX$11,6,0)),$AK$1:AK130)&lt;16,VLOOKUP(AJ130,$AN$2:$AX$11,6,0),IF(LOOKUP(2,1/($AD$1:AD130=VLOOKUP(AJ130,$AN$2:$AX$11,7,0)),$AK$1:AK130)&lt;16,VLOOKUP(AJ130,$AN$2:$AX$11,7,0),IF(LOOKUP(2,1/($AD$1:AD130=VLOOKUP(AJ130,$AN$2:$AX$11,8,0)),$AK$1:AK130)&lt;16,VLOOKUP(AJ130,$AN$2:$AX$11,8,0),IF(LOOKUP(2,1/($AD$1:AD130=VLOOKUP(AJ130,$AN$2:$AX$11,9,0)),$AK$1:AK130)&lt;16,VLOOKUP(AJ130,$AN$2:$AX$11,9,0),IF(LOOKUP(2,1/($AD$1:AD130=VLOOKUP(AJ130,$AN$2:$AX$11,10,0)),$AK$1:AK130)&lt;16,VLOOKUP(AJ130,$AN$2:$AX$11,10,0),VLOOKUP(AJ130,$AN$2:$AX$11,11,0)))))))))),VLOOKUP(AJ130,$AN$2:$AX$11,2,0))</f>
        <v>Team 4</v>
      </c>
      <c r="AK131">
        <f>COUNTIF($AD$1:AD131,AD131)</f>
        <v>0</v>
      </c>
      <c r="AL131">
        <f>COUNTIF($AK$1:AK131,"16")</f>
        <v>0</v>
      </c>
      <c r="AZ131" s="32">
        <f t="shared" si="47"/>
        <v>200</v>
      </c>
      <c r="BA131" s="33">
        <f t="shared" si="48"/>
        <v>200</v>
      </c>
      <c r="BB131" s="33">
        <f t="shared" si="49"/>
        <v>200</v>
      </c>
      <c r="BC131" s="33">
        <f t="shared" si="50"/>
        <v>200</v>
      </c>
      <c r="BD131" s="33">
        <f t="shared" si="51"/>
        <v>200</v>
      </c>
      <c r="BE131" s="33">
        <f t="shared" si="52"/>
        <v>200</v>
      </c>
      <c r="BF131" s="33">
        <f t="shared" si="53"/>
        <v>200</v>
      </c>
      <c r="BG131" s="33">
        <f t="shared" si="54"/>
        <v>200</v>
      </c>
      <c r="BH131" s="33">
        <f t="shared" si="55"/>
        <v>200</v>
      </c>
      <c r="BI131" s="34">
        <f t="shared" si="56"/>
        <v>200</v>
      </c>
    </row>
    <row r="132" spans="28:61" x14ac:dyDescent="0.25">
      <c r="AB132" s="14" t="str">
        <f>AD132&amp;COUNTIF($AD$2:AD132,AD132)</f>
        <v>0</v>
      </c>
      <c r="AC132" s="136"/>
      <c r="AD132" s="136"/>
      <c r="AE132" s="135"/>
      <c r="AF132" s="23" t="str">
        <f>IFERROR(VLOOKUP(AC132,Players!$B:$F,3,0),"")</f>
        <v/>
      </c>
      <c r="AG132" s="23" t="str">
        <f>IFERROR(VLOOKUP(AC132,Players!$B:$F,2,0),"")</f>
        <v/>
      </c>
      <c r="AH132" s="23" t="str">
        <f>IFERROR(VLOOKUP(AC132,Players!$B:$N,5,0),"")</f>
        <v/>
      </c>
      <c r="AI132" s="23">
        <v>131</v>
      </c>
      <c r="AJ132" s="28" t="str">
        <f>IFERROR(IF(LOOKUP(2,1/($AD$1:AD131=VLOOKUP(AJ131,$AN$2:$AX$11,2,0)),$AK$1:AK131)&lt;16,VLOOKUP(AJ131,$AN$2:$AX$11,2,0),IF(LOOKUP(2,1/($AD$1:AD131=VLOOKUP(AJ131,$AN$2:$AX$11,3,0)),$AK$1:AK131)&lt;16,VLOOKUP(AJ131,$AN$2:$AX$11,3,0),IF(LOOKUP(2,1/($AD$1:AD131=VLOOKUP(AJ131,$AN$2:$AX$11,4,0)),$AK$1:AK131)&lt;16,VLOOKUP(AJ131,$AN$2:$AX$11,4,0),IF(LOOKUP(2,1/($AD$1:AD131=VLOOKUP(AJ131,$AN$2:$AX$11,5,0)),$AK$1:AK131)&lt;16,VLOOKUP(AJ131,$AN$2:$AX$11,5,0),IF(LOOKUP(2,1/($AD$1:AD131=VLOOKUP(AJ131,$AN$2:$AX$11,6,0)),$AK$1:AK131)&lt;16,VLOOKUP(AJ131,$AN$2:$AX$11,6,0),IF(LOOKUP(2,1/($AD$1:AD131=VLOOKUP(AJ131,$AN$2:$AX$11,7,0)),$AK$1:AK131)&lt;16,VLOOKUP(AJ131,$AN$2:$AX$11,7,0),IF(LOOKUP(2,1/($AD$1:AD131=VLOOKUP(AJ131,$AN$2:$AX$11,8,0)),$AK$1:AK131)&lt;16,VLOOKUP(AJ131,$AN$2:$AX$11,8,0),IF(LOOKUP(2,1/($AD$1:AD131=VLOOKUP(AJ131,$AN$2:$AX$11,9,0)),$AK$1:AK131)&lt;16,VLOOKUP(AJ131,$AN$2:$AX$11,9,0),IF(LOOKUP(2,1/($AD$1:AD131=VLOOKUP(AJ131,$AN$2:$AX$11,10,0)),$AK$1:AK131)&lt;16,VLOOKUP(AJ131,$AN$2:$AX$11,10,0),VLOOKUP(AJ131,$AN$2:$AX$11,11,0)))))))))),VLOOKUP(AJ131,$AN$2:$AX$11,2,0))</f>
        <v>Team 5</v>
      </c>
      <c r="AK132">
        <f>COUNTIF($AD$1:AD132,AD132)</f>
        <v>0</v>
      </c>
      <c r="AL132">
        <f>COUNTIF($AK$1:AK132,"16")</f>
        <v>0</v>
      </c>
      <c r="AN132" s="16"/>
      <c r="AO132" s="16"/>
      <c r="AP132" s="16"/>
      <c r="AQ132" s="16"/>
      <c r="AR132" s="16"/>
      <c r="AS132" s="16"/>
      <c r="AT132" s="16"/>
      <c r="AU132" s="16"/>
      <c r="AV132" s="16"/>
      <c r="AW132" s="16"/>
      <c r="AX132" s="16"/>
      <c r="AZ132" s="32">
        <f t="shared" si="47"/>
        <v>200</v>
      </c>
      <c r="BA132" s="33">
        <f t="shared" si="48"/>
        <v>200</v>
      </c>
      <c r="BB132" s="33">
        <f t="shared" si="49"/>
        <v>200</v>
      </c>
      <c r="BC132" s="33">
        <f t="shared" si="50"/>
        <v>200</v>
      </c>
      <c r="BD132" s="33">
        <f t="shared" si="51"/>
        <v>200</v>
      </c>
      <c r="BE132" s="33">
        <f t="shared" si="52"/>
        <v>200</v>
      </c>
      <c r="BF132" s="33">
        <f t="shared" si="53"/>
        <v>200</v>
      </c>
      <c r="BG132" s="33">
        <f t="shared" si="54"/>
        <v>200</v>
      </c>
      <c r="BH132" s="33">
        <f t="shared" si="55"/>
        <v>200</v>
      </c>
      <c r="BI132" s="34">
        <f t="shared" si="56"/>
        <v>200</v>
      </c>
    </row>
    <row r="133" spans="28:61" x14ac:dyDescent="0.25">
      <c r="AB133" s="14" t="str">
        <f>AD133&amp;COUNTIF($AD$2:AD133,AD133)</f>
        <v>0</v>
      </c>
      <c r="AC133" s="136"/>
      <c r="AD133" s="136"/>
      <c r="AE133" s="135"/>
      <c r="AF133" s="23" t="str">
        <f>IFERROR(VLOOKUP(AC133,Players!$B:$F,3,0),"")</f>
        <v/>
      </c>
      <c r="AG133" s="23" t="str">
        <f>IFERROR(VLOOKUP(AC133,Players!$B:$F,2,0),"")</f>
        <v/>
      </c>
      <c r="AH133" s="23" t="str">
        <f>IFERROR(VLOOKUP(AC133,Players!$B:$N,5,0),"")</f>
        <v/>
      </c>
      <c r="AI133" s="23">
        <v>132</v>
      </c>
      <c r="AJ133" s="28" t="str">
        <f>IFERROR(IF(LOOKUP(2,1/($AD$1:AD132=VLOOKUP(AJ132,$AN$2:$AX$11,2,0)),$AK$1:AK132)&lt;16,VLOOKUP(AJ132,$AN$2:$AX$11,2,0),IF(LOOKUP(2,1/($AD$1:AD132=VLOOKUP(AJ132,$AN$2:$AX$11,3,0)),$AK$1:AK132)&lt;16,VLOOKUP(AJ132,$AN$2:$AX$11,3,0),IF(LOOKUP(2,1/($AD$1:AD132=VLOOKUP(AJ132,$AN$2:$AX$11,4,0)),$AK$1:AK132)&lt;16,VLOOKUP(AJ132,$AN$2:$AX$11,4,0),IF(LOOKUP(2,1/($AD$1:AD132=VLOOKUP(AJ132,$AN$2:$AX$11,5,0)),$AK$1:AK132)&lt;16,VLOOKUP(AJ132,$AN$2:$AX$11,5,0),IF(LOOKUP(2,1/($AD$1:AD132=VLOOKUP(AJ132,$AN$2:$AX$11,6,0)),$AK$1:AK132)&lt;16,VLOOKUP(AJ132,$AN$2:$AX$11,6,0),IF(LOOKUP(2,1/($AD$1:AD132=VLOOKUP(AJ132,$AN$2:$AX$11,7,0)),$AK$1:AK132)&lt;16,VLOOKUP(AJ132,$AN$2:$AX$11,7,0),IF(LOOKUP(2,1/($AD$1:AD132=VLOOKUP(AJ132,$AN$2:$AX$11,8,0)),$AK$1:AK132)&lt;16,VLOOKUP(AJ132,$AN$2:$AX$11,8,0),IF(LOOKUP(2,1/($AD$1:AD132=VLOOKUP(AJ132,$AN$2:$AX$11,9,0)),$AK$1:AK132)&lt;16,VLOOKUP(AJ132,$AN$2:$AX$11,9,0),IF(LOOKUP(2,1/($AD$1:AD132=VLOOKUP(AJ132,$AN$2:$AX$11,10,0)),$AK$1:AK132)&lt;16,VLOOKUP(AJ132,$AN$2:$AX$11,10,0),VLOOKUP(AJ132,$AN$2:$AX$11,11,0)))))))))),VLOOKUP(AJ132,$AN$2:$AX$11,2,0))</f>
        <v>Team 9</v>
      </c>
      <c r="AK133">
        <f>COUNTIF($AD$1:AD133,AD133)</f>
        <v>0</v>
      </c>
      <c r="AL133">
        <f>COUNTIF($AK$1:AK133,"16")</f>
        <v>0</v>
      </c>
      <c r="AZ133" s="32">
        <f t="shared" si="47"/>
        <v>200</v>
      </c>
      <c r="BA133" s="33">
        <f t="shared" si="48"/>
        <v>200</v>
      </c>
      <c r="BB133" s="33">
        <f t="shared" si="49"/>
        <v>200</v>
      </c>
      <c r="BC133" s="33">
        <f t="shared" si="50"/>
        <v>200</v>
      </c>
      <c r="BD133" s="33">
        <f t="shared" si="51"/>
        <v>200</v>
      </c>
      <c r="BE133" s="33">
        <f t="shared" si="52"/>
        <v>200</v>
      </c>
      <c r="BF133" s="33">
        <f t="shared" si="53"/>
        <v>200</v>
      </c>
      <c r="BG133" s="33">
        <f t="shared" si="54"/>
        <v>200</v>
      </c>
      <c r="BH133" s="33">
        <f t="shared" si="55"/>
        <v>200</v>
      </c>
      <c r="BI133" s="34">
        <f t="shared" si="56"/>
        <v>200</v>
      </c>
    </row>
    <row r="134" spans="28:61" x14ac:dyDescent="0.25">
      <c r="AB134" s="14" t="str">
        <f>AD134&amp;COUNTIF($AD$2:AD134,AD134)</f>
        <v>0</v>
      </c>
      <c r="AC134" s="136"/>
      <c r="AD134" s="136"/>
      <c r="AE134" s="135"/>
      <c r="AF134" s="23" t="str">
        <f>IFERROR(VLOOKUP(AC134,Players!$B:$F,3,0),"")</f>
        <v/>
      </c>
      <c r="AG134" s="23" t="str">
        <f>IFERROR(VLOOKUP(AC134,Players!$B:$F,2,0),"")</f>
        <v/>
      </c>
      <c r="AH134" s="23" t="str">
        <f>IFERROR(VLOOKUP(AC134,Players!$B:$N,5,0),"")</f>
        <v/>
      </c>
      <c r="AI134" s="23">
        <v>133</v>
      </c>
      <c r="AJ134" s="28" t="str">
        <f>IFERROR(IF(LOOKUP(2,1/($AD$1:AD133=VLOOKUP(AJ133,$AN$2:$AX$11,2,0)),$AK$1:AK133)&lt;16,VLOOKUP(AJ133,$AN$2:$AX$11,2,0),IF(LOOKUP(2,1/($AD$1:AD133=VLOOKUP(AJ133,$AN$2:$AX$11,3,0)),$AK$1:AK133)&lt;16,VLOOKUP(AJ133,$AN$2:$AX$11,3,0),IF(LOOKUP(2,1/($AD$1:AD133=VLOOKUP(AJ133,$AN$2:$AX$11,4,0)),$AK$1:AK133)&lt;16,VLOOKUP(AJ133,$AN$2:$AX$11,4,0),IF(LOOKUP(2,1/($AD$1:AD133=VLOOKUP(AJ133,$AN$2:$AX$11,5,0)),$AK$1:AK133)&lt;16,VLOOKUP(AJ133,$AN$2:$AX$11,5,0),IF(LOOKUP(2,1/($AD$1:AD133=VLOOKUP(AJ133,$AN$2:$AX$11,6,0)),$AK$1:AK133)&lt;16,VLOOKUP(AJ133,$AN$2:$AX$11,6,0),IF(LOOKUP(2,1/($AD$1:AD133=VLOOKUP(AJ133,$AN$2:$AX$11,7,0)),$AK$1:AK133)&lt;16,VLOOKUP(AJ133,$AN$2:$AX$11,7,0),IF(LOOKUP(2,1/($AD$1:AD133=VLOOKUP(AJ133,$AN$2:$AX$11,8,0)),$AK$1:AK133)&lt;16,VLOOKUP(AJ133,$AN$2:$AX$11,8,0),IF(LOOKUP(2,1/($AD$1:AD133=VLOOKUP(AJ133,$AN$2:$AX$11,9,0)),$AK$1:AK133)&lt;16,VLOOKUP(AJ133,$AN$2:$AX$11,9,0),IF(LOOKUP(2,1/($AD$1:AD133=VLOOKUP(AJ133,$AN$2:$AX$11,10,0)),$AK$1:AK133)&lt;16,VLOOKUP(AJ133,$AN$2:$AX$11,10,0),VLOOKUP(AJ133,$AN$2:$AX$11,11,0)))))))))),VLOOKUP(AJ133,$AN$2:$AX$11,2,0))</f>
        <v>Team 3</v>
      </c>
      <c r="AK134">
        <f>COUNTIF($AD$1:AD134,AD134)</f>
        <v>0</v>
      </c>
      <c r="AL134">
        <f>COUNTIF($AK$1:AK134,"16")</f>
        <v>0</v>
      </c>
      <c r="AZ134" s="32">
        <f t="shared" si="47"/>
        <v>200</v>
      </c>
      <c r="BA134" s="33">
        <f t="shared" si="48"/>
        <v>200</v>
      </c>
      <c r="BB134" s="33">
        <f t="shared" si="49"/>
        <v>200</v>
      </c>
      <c r="BC134" s="33">
        <f t="shared" si="50"/>
        <v>200</v>
      </c>
      <c r="BD134" s="33">
        <f t="shared" si="51"/>
        <v>200</v>
      </c>
      <c r="BE134" s="33">
        <f t="shared" si="52"/>
        <v>200</v>
      </c>
      <c r="BF134" s="33">
        <f t="shared" si="53"/>
        <v>200</v>
      </c>
      <c r="BG134" s="33">
        <f t="shared" si="54"/>
        <v>200</v>
      </c>
      <c r="BH134" s="33">
        <f t="shared" si="55"/>
        <v>200</v>
      </c>
      <c r="BI134" s="34">
        <f t="shared" si="56"/>
        <v>200</v>
      </c>
    </row>
    <row r="135" spans="28:61" x14ac:dyDescent="0.25">
      <c r="AB135" s="14" t="str">
        <f>AD135&amp;COUNTIF($AD$2:AD135,AD135)</f>
        <v>0</v>
      </c>
      <c r="AC135" s="136"/>
      <c r="AD135" s="136"/>
      <c r="AE135" s="135"/>
      <c r="AF135" s="23" t="str">
        <f>IFERROR(VLOOKUP(AC135,Players!$B:$F,3,0),"")</f>
        <v/>
      </c>
      <c r="AG135" s="23" t="str">
        <f>IFERROR(VLOOKUP(AC135,Players!$B:$F,2,0),"")</f>
        <v/>
      </c>
      <c r="AH135" s="23" t="str">
        <f>IFERROR(VLOOKUP(AC135,Players!$B:$N,5,0),"")</f>
        <v/>
      </c>
      <c r="AI135" s="23">
        <v>134</v>
      </c>
      <c r="AJ135" s="28" t="str">
        <f>IFERROR(IF(LOOKUP(2,1/($AD$1:AD134=VLOOKUP(AJ134,$AN$2:$AX$11,2,0)),$AK$1:AK134)&lt;16,VLOOKUP(AJ134,$AN$2:$AX$11,2,0),IF(LOOKUP(2,1/($AD$1:AD134=VLOOKUP(AJ134,$AN$2:$AX$11,3,0)),$AK$1:AK134)&lt;16,VLOOKUP(AJ134,$AN$2:$AX$11,3,0),IF(LOOKUP(2,1/($AD$1:AD134=VLOOKUP(AJ134,$AN$2:$AX$11,4,0)),$AK$1:AK134)&lt;16,VLOOKUP(AJ134,$AN$2:$AX$11,4,0),IF(LOOKUP(2,1/($AD$1:AD134=VLOOKUP(AJ134,$AN$2:$AX$11,5,0)),$AK$1:AK134)&lt;16,VLOOKUP(AJ134,$AN$2:$AX$11,5,0),IF(LOOKUP(2,1/($AD$1:AD134=VLOOKUP(AJ134,$AN$2:$AX$11,6,0)),$AK$1:AK134)&lt;16,VLOOKUP(AJ134,$AN$2:$AX$11,6,0),IF(LOOKUP(2,1/($AD$1:AD134=VLOOKUP(AJ134,$AN$2:$AX$11,7,0)),$AK$1:AK134)&lt;16,VLOOKUP(AJ134,$AN$2:$AX$11,7,0),IF(LOOKUP(2,1/($AD$1:AD134=VLOOKUP(AJ134,$AN$2:$AX$11,8,0)),$AK$1:AK134)&lt;16,VLOOKUP(AJ134,$AN$2:$AX$11,8,0),IF(LOOKUP(2,1/($AD$1:AD134=VLOOKUP(AJ134,$AN$2:$AX$11,9,0)),$AK$1:AK134)&lt;16,VLOOKUP(AJ134,$AN$2:$AX$11,9,0),IF(LOOKUP(2,1/($AD$1:AD134=VLOOKUP(AJ134,$AN$2:$AX$11,10,0)),$AK$1:AK134)&lt;16,VLOOKUP(AJ134,$AN$2:$AX$11,10,0),VLOOKUP(AJ134,$AN$2:$AX$11,11,0)))))))))),VLOOKUP(AJ134,$AN$2:$AX$11,2,0))</f>
        <v>Team 6</v>
      </c>
      <c r="AK135">
        <f>COUNTIF($AD$1:AD135,AD135)</f>
        <v>0</v>
      </c>
      <c r="AL135">
        <f>COUNTIF($AK$1:AK135,"16")</f>
        <v>0</v>
      </c>
      <c r="AZ135" s="32">
        <f t="shared" si="47"/>
        <v>200</v>
      </c>
      <c r="BA135" s="33">
        <f t="shared" si="48"/>
        <v>200</v>
      </c>
      <c r="BB135" s="33">
        <f t="shared" si="49"/>
        <v>200</v>
      </c>
      <c r="BC135" s="33">
        <f t="shared" si="50"/>
        <v>200</v>
      </c>
      <c r="BD135" s="33">
        <f t="shared" si="51"/>
        <v>200</v>
      </c>
      <c r="BE135" s="33">
        <f t="shared" si="52"/>
        <v>200</v>
      </c>
      <c r="BF135" s="33">
        <f t="shared" si="53"/>
        <v>200</v>
      </c>
      <c r="BG135" s="33">
        <f t="shared" si="54"/>
        <v>200</v>
      </c>
      <c r="BH135" s="33">
        <f t="shared" si="55"/>
        <v>200</v>
      </c>
      <c r="BI135" s="34">
        <f t="shared" si="56"/>
        <v>200</v>
      </c>
    </row>
    <row r="136" spans="28:61" x14ac:dyDescent="0.25">
      <c r="AB136" s="14" t="str">
        <f>AD136&amp;COUNTIF($AD$2:AD136,AD136)</f>
        <v>0</v>
      </c>
      <c r="AC136" s="136"/>
      <c r="AD136" s="136"/>
      <c r="AE136" s="135"/>
      <c r="AF136" s="23" t="str">
        <f>IFERROR(VLOOKUP(AC136,Players!$B:$F,3,0),"")</f>
        <v/>
      </c>
      <c r="AG136" s="23" t="str">
        <f>IFERROR(VLOOKUP(AC136,Players!$B:$F,2,0),"")</f>
        <v/>
      </c>
      <c r="AH136" s="23" t="str">
        <f>IFERROR(VLOOKUP(AC136,Players!$B:$N,5,0),"")</f>
        <v/>
      </c>
      <c r="AI136" s="23">
        <v>135</v>
      </c>
      <c r="AJ136" s="28" t="str">
        <f>IFERROR(IF(LOOKUP(2,1/($AD$1:AD135=VLOOKUP(AJ135,$AN$2:$AX$11,2,0)),$AK$1:AK135)&lt;16,VLOOKUP(AJ135,$AN$2:$AX$11,2,0),IF(LOOKUP(2,1/($AD$1:AD135=VLOOKUP(AJ135,$AN$2:$AX$11,3,0)),$AK$1:AK135)&lt;16,VLOOKUP(AJ135,$AN$2:$AX$11,3,0),IF(LOOKUP(2,1/($AD$1:AD135=VLOOKUP(AJ135,$AN$2:$AX$11,4,0)),$AK$1:AK135)&lt;16,VLOOKUP(AJ135,$AN$2:$AX$11,4,0),IF(LOOKUP(2,1/($AD$1:AD135=VLOOKUP(AJ135,$AN$2:$AX$11,5,0)),$AK$1:AK135)&lt;16,VLOOKUP(AJ135,$AN$2:$AX$11,5,0),IF(LOOKUP(2,1/($AD$1:AD135=VLOOKUP(AJ135,$AN$2:$AX$11,6,0)),$AK$1:AK135)&lt;16,VLOOKUP(AJ135,$AN$2:$AX$11,6,0),IF(LOOKUP(2,1/($AD$1:AD135=VLOOKUP(AJ135,$AN$2:$AX$11,7,0)),$AK$1:AK135)&lt;16,VLOOKUP(AJ135,$AN$2:$AX$11,7,0),IF(LOOKUP(2,1/($AD$1:AD135=VLOOKUP(AJ135,$AN$2:$AX$11,8,0)),$AK$1:AK135)&lt;16,VLOOKUP(AJ135,$AN$2:$AX$11,8,0),IF(LOOKUP(2,1/($AD$1:AD135=VLOOKUP(AJ135,$AN$2:$AX$11,9,0)),$AK$1:AK135)&lt;16,VLOOKUP(AJ135,$AN$2:$AX$11,9,0),IF(LOOKUP(2,1/($AD$1:AD135=VLOOKUP(AJ135,$AN$2:$AX$11,10,0)),$AK$1:AK135)&lt;16,VLOOKUP(AJ135,$AN$2:$AX$11,10,0),VLOOKUP(AJ135,$AN$2:$AX$11,11,0)))))))))),VLOOKUP(AJ135,$AN$2:$AX$11,2,0))</f>
        <v>Team 7</v>
      </c>
      <c r="AK136">
        <f>COUNTIF($AD$1:AD136,AD136)</f>
        <v>0</v>
      </c>
      <c r="AL136">
        <f>COUNTIF($AK$1:AK136,"16")</f>
        <v>0</v>
      </c>
      <c r="AZ136" s="32">
        <f t="shared" si="47"/>
        <v>200</v>
      </c>
      <c r="BA136" s="33">
        <f t="shared" si="48"/>
        <v>200</v>
      </c>
      <c r="BB136" s="33">
        <f t="shared" si="49"/>
        <v>200</v>
      </c>
      <c r="BC136" s="33">
        <f t="shared" si="50"/>
        <v>200</v>
      </c>
      <c r="BD136" s="33">
        <f t="shared" si="51"/>
        <v>200</v>
      </c>
      <c r="BE136" s="33">
        <f t="shared" si="52"/>
        <v>200</v>
      </c>
      <c r="BF136" s="33">
        <f t="shared" si="53"/>
        <v>200</v>
      </c>
      <c r="BG136" s="33">
        <f t="shared" si="54"/>
        <v>200</v>
      </c>
      <c r="BH136" s="33">
        <f t="shared" si="55"/>
        <v>200</v>
      </c>
      <c r="BI136" s="34">
        <f t="shared" si="56"/>
        <v>200</v>
      </c>
    </row>
    <row r="137" spans="28:61" x14ac:dyDescent="0.25">
      <c r="AB137" s="14" t="str">
        <f>AD137&amp;COUNTIF($AD$2:AD137,AD137)</f>
        <v>0</v>
      </c>
      <c r="AC137" s="136"/>
      <c r="AD137" s="136"/>
      <c r="AE137" s="135"/>
      <c r="AF137" s="23" t="str">
        <f>IFERROR(VLOOKUP(AC137,Players!$B:$F,3,0),"")</f>
        <v/>
      </c>
      <c r="AG137" s="23" t="str">
        <f>IFERROR(VLOOKUP(AC137,Players!$B:$F,2,0),"")</f>
        <v/>
      </c>
      <c r="AH137" s="23" t="str">
        <f>IFERROR(VLOOKUP(AC137,Players!$B:$N,5,0),"")</f>
        <v/>
      </c>
      <c r="AI137" s="23">
        <v>136</v>
      </c>
      <c r="AJ137" s="28" t="str">
        <f>IFERROR(IF(LOOKUP(2,1/($AD$1:AD136=VLOOKUP(AJ136,$AN$2:$AX$11,2,0)),$AK$1:AK136)&lt;16,VLOOKUP(AJ136,$AN$2:$AX$11,2,0),IF(LOOKUP(2,1/($AD$1:AD136=VLOOKUP(AJ136,$AN$2:$AX$11,3,0)),$AK$1:AK136)&lt;16,VLOOKUP(AJ136,$AN$2:$AX$11,3,0),IF(LOOKUP(2,1/($AD$1:AD136=VLOOKUP(AJ136,$AN$2:$AX$11,4,0)),$AK$1:AK136)&lt;16,VLOOKUP(AJ136,$AN$2:$AX$11,4,0),IF(LOOKUP(2,1/($AD$1:AD136=VLOOKUP(AJ136,$AN$2:$AX$11,5,0)),$AK$1:AK136)&lt;16,VLOOKUP(AJ136,$AN$2:$AX$11,5,0),IF(LOOKUP(2,1/($AD$1:AD136=VLOOKUP(AJ136,$AN$2:$AX$11,6,0)),$AK$1:AK136)&lt;16,VLOOKUP(AJ136,$AN$2:$AX$11,6,0),IF(LOOKUP(2,1/($AD$1:AD136=VLOOKUP(AJ136,$AN$2:$AX$11,7,0)),$AK$1:AK136)&lt;16,VLOOKUP(AJ136,$AN$2:$AX$11,7,0),IF(LOOKUP(2,1/($AD$1:AD136=VLOOKUP(AJ136,$AN$2:$AX$11,8,0)),$AK$1:AK136)&lt;16,VLOOKUP(AJ136,$AN$2:$AX$11,8,0),IF(LOOKUP(2,1/($AD$1:AD136=VLOOKUP(AJ136,$AN$2:$AX$11,9,0)),$AK$1:AK136)&lt;16,VLOOKUP(AJ136,$AN$2:$AX$11,9,0),IF(LOOKUP(2,1/($AD$1:AD136=VLOOKUP(AJ136,$AN$2:$AX$11,10,0)),$AK$1:AK136)&lt;16,VLOOKUP(AJ136,$AN$2:$AX$11,10,0),VLOOKUP(AJ136,$AN$2:$AX$11,11,0)))))))))),VLOOKUP(AJ136,$AN$2:$AX$11,2,0))</f>
        <v>Team 8</v>
      </c>
      <c r="AK137">
        <f>COUNTIF($AD$1:AD137,AD137)</f>
        <v>0</v>
      </c>
      <c r="AL137">
        <f>COUNTIF($AK$1:AK137,"16")</f>
        <v>0</v>
      </c>
      <c r="AZ137" s="32">
        <f t="shared" si="47"/>
        <v>200</v>
      </c>
      <c r="BA137" s="33">
        <f t="shared" si="48"/>
        <v>200</v>
      </c>
      <c r="BB137" s="33">
        <f t="shared" si="49"/>
        <v>200</v>
      </c>
      <c r="BC137" s="33">
        <f t="shared" si="50"/>
        <v>200</v>
      </c>
      <c r="BD137" s="33">
        <f t="shared" si="51"/>
        <v>200</v>
      </c>
      <c r="BE137" s="33">
        <f t="shared" si="52"/>
        <v>200</v>
      </c>
      <c r="BF137" s="33">
        <f t="shared" si="53"/>
        <v>200</v>
      </c>
      <c r="BG137" s="33">
        <f t="shared" si="54"/>
        <v>200</v>
      </c>
      <c r="BH137" s="33">
        <f t="shared" si="55"/>
        <v>200</v>
      </c>
      <c r="BI137" s="34">
        <f t="shared" si="56"/>
        <v>200</v>
      </c>
    </row>
    <row r="138" spans="28:61" x14ac:dyDescent="0.25">
      <c r="AB138" s="14" t="str">
        <f>AD138&amp;COUNTIF($AD$2:AD138,AD138)</f>
        <v>0</v>
      </c>
      <c r="AC138" s="136"/>
      <c r="AD138" s="136"/>
      <c r="AE138" s="135"/>
      <c r="AF138" s="23" t="str">
        <f>IFERROR(VLOOKUP(AC138,Players!$B:$F,3,0),"")</f>
        <v/>
      </c>
      <c r="AG138" s="23" t="str">
        <f>IFERROR(VLOOKUP(AC138,Players!$B:$F,2,0),"")</f>
        <v/>
      </c>
      <c r="AH138" s="23" t="str">
        <f>IFERROR(VLOOKUP(AC138,Players!$B:$N,5,0),"")</f>
        <v/>
      </c>
      <c r="AI138" s="23">
        <v>137</v>
      </c>
      <c r="AJ138" s="28" t="str">
        <f>IFERROR(IF(LOOKUP(2,1/($AD$1:AD137=VLOOKUP(AJ137,$AN$2:$AX$11,2,0)),$AK$1:AK137)&lt;16,VLOOKUP(AJ137,$AN$2:$AX$11,2,0),IF(LOOKUP(2,1/($AD$1:AD137=VLOOKUP(AJ137,$AN$2:$AX$11,3,0)),$AK$1:AK137)&lt;16,VLOOKUP(AJ137,$AN$2:$AX$11,3,0),IF(LOOKUP(2,1/($AD$1:AD137=VLOOKUP(AJ137,$AN$2:$AX$11,4,0)),$AK$1:AK137)&lt;16,VLOOKUP(AJ137,$AN$2:$AX$11,4,0),IF(LOOKUP(2,1/($AD$1:AD137=VLOOKUP(AJ137,$AN$2:$AX$11,5,0)),$AK$1:AK137)&lt;16,VLOOKUP(AJ137,$AN$2:$AX$11,5,0),IF(LOOKUP(2,1/($AD$1:AD137=VLOOKUP(AJ137,$AN$2:$AX$11,6,0)),$AK$1:AK137)&lt;16,VLOOKUP(AJ137,$AN$2:$AX$11,6,0),IF(LOOKUP(2,1/($AD$1:AD137=VLOOKUP(AJ137,$AN$2:$AX$11,7,0)),$AK$1:AK137)&lt;16,VLOOKUP(AJ137,$AN$2:$AX$11,7,0),IF(LOOKUP(2,1/($AD$1:AD137=VLOOKUP(AJ137,$AN$2:$AX$11,8,0)),$AK$1:AK137)&lt;16,VLOOKUP(AJ137,$AN$2:$AX$11,8,0),IF(LOOKUP(2,1/($AD$1:AD137=VLOOKUP(AJ137,$AN$2:$AX$11,9,0)),$AK$1:AK137)&lt;16,VLOOKUP(AJ137,$AN$2:$AX$11,9,0),IF(LOOKUP(2,1/($AD$1:AD137=VLOOKUP(AJ137,$AN$2:$AX$11,10,0)),$AK$1:AK137)&lt;16,VLOOKUP(AJ137,$AN$2:$AX$11,10,0),VLOOKUP(AJ137,$AN$2:$AX$11,11,0)))))))))),VLOOKUP(AJ137,$AN$2:$AX$11,2,0))</f>
        <v>Team Se</v>
      </c>
      <c r="AK138">
        <f>COUNTIF($AD$1:AD138,AD138)</f>
        <v>0</v>
      </c>
      <c r="AL138">
        <f>COUNTIF($AK$1:AK138,"16")</f>
        <v>0</v>
      </c>
      <c r="AZ138" s="32">
        <f t="shared" si="47"/>
        <v>200</v>
      </c>
      <c r="BA138" s="33">
        <f t="shared" si="48"/>
        <v>200</v>
      </c>
      <c r="BB138" s="33">
        <f t="shared" si="49"/>
        <v>200</v>
      </c>
      <c r="BC138" s="33">
        <f t="shared" si="50"/>
        <v>200</v>
      </c>
      <c r="BD138" s="33">
        <f t="shared" si="51"/>
        <v>200</v>
      </c>
      <c r="BE138" s="33">
        <f t="shared" si="52"/>
        <v>200</v>
      </c>
      <c r="BF138" s="33">
        <f t="shared" si="53"/>
        <v>200</v>
      </c>
      <c r="BG138" s="33">
        <f t="shared" si="54"/>
        <v>200</v>
      </c>
      <c r="BH138" s="33">
        <f t="shared" si="55"/>
        <v>200</v>
      </c>
      <c r="BI138" s="34">
        <f t="shared" si="56"/>
        <v>200</v>
      </c>
    </row>
    <row r="139" spans="28:61" x14ac:dyDescent="0.25">
      <c r="AB139" s="14" t="str">
        <f>AD139&amp;COUNTIF($AD$2:AD139,AD139)</f>
        <v>0</v>
      </c>
      <c r="AC139" s="136"/>
      <c r="AD139" s="136"/>
      <c r="AE139" s="135"/>
      <c r="AF139" s="23" t="str">
        <f>IFERROR(VLOOKUP(AC139,Players!$B:$F,3,0),"")</f>
        <v/>
      </c>
      <c r="AG139" s="23" t="str">
        <f>IFERROR(VLOOKUP(AC139,Players!$B:$F,2,0),"")</f>
        <v/>
      </c>
      <c r="AH139" s="23" t="str">
        <f>IFERROR(VLOOKUP(AC139,Players!$B:$N,5,0),"")</f>
        <v/>
      </c>
      <c r="AI139" s="23">
        <v>138</v>
      </c>
      <c r="AJ139" s="28" t="str">
        <f>IFERROR(IF(LOOKUP(2,1/($AD$1:AD138=VLOOKUP(AJ138,$AN$2:$AX$11,2,0)),$AK$1:AK138)&lt;16,VLOOKUP(AJ138,$AN$2:$AX$11,2,0),IF(LOOKUP(2,1/($AD$1:AD138=VLOOKUP(AJ138,$AN$2:$AX$11,3,0)),$AK$1:AK138)&lt;16,VLOOKUP(AJ138,$AN$2:$AX$11,3,0),IF(LOOKUP(2,1/($AD$1:AD138=VLOOKUP(AJ138,$AN$2:$AX$11,4,0)),$AK$1:AK138)&lt;16,VLOOKUP(AJ138,$AN$2:$AX$11,4,0),IF(LOOKUP(2,1/($AD$1:AD138=VLOOKUP(AJ138,$AN$2:$AX$11,5,0)),$AK$1:AK138)&lt;16,VLOOKUP(AJ138,$AN$2:$AX$11,5,0),IF(LOOKUP(2,1/($AD$1:AD138=VLOOKUP(AJ138,$AN$2:$AX$11,6,0)),$AK$1:AK138)&lt;16,VLOOKUP(AJ138,$AN$2:$AX$11,6,0),IF(LOOKUP(2,1/($AD$1:AD138=VLOOKUP(AJ138,$AN$2:$AX$11,7,0)),$AK$1:AK138)&lt;16,VLOOKUP(AJ138,$AN$2:$AX$11,7,0),IF(LOOKUP(2,1/($AD$1:AD138=VLOOKUP(AJ138,$AN$2:$AX$11,8,0)),$AK$1:AK138)&lt;16,VLOOKUP(AJ138,$AN$2:$AX$11,8,0),IF(LOOKUP(2,1/($AD$1:AD138=VLOOKUP(AJ138,$AN$2:$AX$11,9,0)),$AK$1:AK138)&lt;16,VLOOKUP(AJ138,$AN$2:$AX$11,9,0),IF(LOOKUP(2,1/($AD$1:AD138=VLOOKUP(AJ138,$AN$2:$AX$11,10,0)),$AK$1:AK138)&lt;16,VLOOKUP(AJ138,$AN$2:$AX$11,10,0),VLOOKUP(AJ138,$AN$2:$AX$11,11,0)))))))))),VLOOKUP(AJ138,$AN$2:$AX$11,2,0))</f>
        <v>Team 10</v>
      </c>
      <c r="AK139">
        <f>COUNTIF($AD$1:AD139,AD139)</f>
        <v>0</v>
      </c>
      <c r="AL139">
        <f>COUNTIF($AK$1:AK139,"16")</f>
        <v>0</v>
      </c>
      <c r="AN139" s="16"/>
      <c r="AO139" s="16"/>
      <c r="AP139" s="16"/>
      <c r="AQ139" s="16"/>
      <c r="AR139" s="16"/>
      <c r="AS139" s="16"/>
      <c r="AT139" s="16"/>
      <c r="AU139" s="16"/>
      <c r="AV139" s="16"/>
      <c r="AW139" s="16"/>
      <c r="AX139" s="16"/>
      <c r="AZ139" s="32">
        <f t="shared" si="47"/>
        <v>200</v>
      </c>
      <c r="BA139" s="33">
        <f t="shared" si="48"/>
        <v>200</v>
      </c>
      <c r="BB139" s="33">
        <f t="shared" si="49"/>
        <v>200</v>
      </c>
      <c r="BC139" s="33">
        <f t="shared" si="50"/>
        <v>200</v>
      </c>
      <c r="BD139" s="33">
        <f t="shared" si="51"/>
        <v>200</v>
      </c>
      <c r="BE139" s="33">
        <f t="shared" si="52"/>
        <v>200</v>
      </c>
      <c r="BF139" s="33">
        <f t="shared" si="53"/>
        <v>200</v>
      </c>
      <c r="BG139" s="33">
        <f t="shared" si="54"/>
        <v>200</v>
      </c>
      <c r="BH139" s="33">
        <f t="shared" si="55"/>
        <v>200</v>
      </c>
      <c r="BI139" s="34">
        <f t="shared" si="56"/>
        <v>200</v>
      </c>
    </row>
    <row r="140" spans="28:61" x14ac:dyDescent="0.25">
      <c r="AB140" s="14" t="str">
        <f>AD140&amp;COUNTIF($AD$2:AD140,AD140)</f>
        <v>0</v>
      </c>
      <c r="AC140" s="136"/>
      <c r="AD140" s="136"/>
      <c r="AE140" s="135"/>
      <c r="AF140" s="23" t="str">
        <f>IFERROR(VLOOKUP(AC140,Players!$B:$F,3,0),"")</f>
        <v/>
      </c>
      <c r="AG140" s="23" t="str">
        <f>IFERROR(VLOOKUP(AC140,Players!$B:$F,2,0),"")</f>
        <v/>
      </c>
      <c r="AH140" s="23" t="str">
        <f>IFERROR(VLOOKUP(AC140,Players!$B:$N,5,0),"")</f>
        <v/>
      </c>
      <c r="AI140" s="23">
        <v>139</v>
      </c>
      <c r="AJ140" s="28" t="str">
        <f>IFERROR(IF(LOOKUP(2,1/($AD$1:AD139=VLOOKUP(AJ139,$AN$2:$AX$11,2,0)),$AK$1:AK139)&lt;16,VLOOKUP(AJ139,$AN$2:$AX$11,2,0),IF(LOOKUP(2,1/($AD$1:AD139=VLOOKUP(AJ139,$AN$2:$AX$11,3,0)),$AK$1:AK139)&lt;16,VLOOKUP(AJ139,$AN$2:$AX$11,3,0),IF(LOOKUP(2,1/($AD$1:AD139=VLOOKUP(AJ139,$AN$2:$AX$11,4,0)),$AK$1:AK139)&lt;16,VLOOKUP(AJ139,$AN$2:$AX$11,4,0),IF(LOOKUP(2,1/($AD$1:AD139=VLOOKUP(AJ139,$AN$2:$AX$11,5,0)),$AK$1:AK139)&lt;16,VLOOKUP(AJ139,$AN$2:$AX$11,5,0),IF(LOOKUP(2,1/($AD$1:AD139=VLOOKUP(AJ139,$AN$2:$AX$11,6,0)),$AK$1:AK139)&lt;16,VLOOKUP(AJ139,$AN$2:$AX$11,6,0),IF(LOOKUP(2,1/($AD$1:AD139=VLOOKUP(AJ139,$AN$2:$AX$11,7,0)),$AK$1:AK139)&lt;16,VLOOKUP(AJ139,$AN$2:$AX$11,7,0),IF(LOOKUP(2,1/($AD$1:AD139=VLOOKUP(AJ139,$AN$2:$AX$11,8,0)),$AK$1:AK139)&lt;16,VLOOKUP(AJ139,$AN$2:$AX$11,8,0),IF(LOOKUP(2,1/($AD$1:AD139=VLOOKUP(AJ139,$AN$2:$AX$11,9,0)),$AK$1:AK139)&lt;16,VLOOKUP(AJ139,$AN$2:$AX$11,9,0),IF(LOOKUP(2,1/($AD$1:AD139=VLOOKUP(AJ139,$AN$2:$AX$11,10,0)),$AK$1:AK139)&lt;16,VLOOKUP(AJ139,$AN$2:$AX$11,10,0),VLOOKUP(AJ139,$AN$2:$AX$11,11,0)))))))))),VLOOKUP(AJ139,$AN$2:$AX$11,2,0))</f>
        <v>Crouch</v>
      </c>
      <c r="AK140">
        <f>COUNTIF($AD$1:AD140,AD140)</f>
        <v>0</v>
      </c>
      <c r="AL140">
        <f>COUNTIF($AK$1:AK140,"16")</f>
        <v>0</v>
      </c>
      <c r="AZ140" s="32">
        <f t="shared" si="47"/>
        <v>200</v>
      </c>
      <c r="BA140" s="33">
        <f t="shared" si="48"/>
        <v>200</v>
      </c>
      <c r="BB140" s="33">
        <f t="shared" si="49"/>
        <v>200</v>
      </c>
      <c r="BC140" s="33">
        <f t="shared" si="50"/>
        <v>200</v>
      </c>
      <c r="BD140" s="33">
        <f t="shared" si="51"/>
        <v>200</v>
      </c>
      <c r="BE140" s="33">
        <f t="shared" si="52"/>
        <v>200</v>
      </c>
      <c r="BF140" s="33">
        <f t="shared" si="53"/>
        <v>200</v>
      </c>
      <c r="BG140" s="33">
        <f t="shared" si="54"/>
        <v>200</v>
      </c>
      <c r="BH140" s="33">
        <f t="shared" si="55"/>
        <v>200</v>
      </c>
      <c r="BI140" s="34">
        <f t="shared" si="56"/>
        <v>200</v>
      </c>
    </row>
    <row r="141" spans="28:61" x14ac:dyDescent="0.25">
      <c r="AB141" s="14" t="str">
        <f>AD141&amp;COUNTIF($AD$2:AD141,AD141)</f>
        <v>0</v>
      </c>
      <c r="AC141" s="136"/>
      <c r="AD141" s="136"/>
      <c r="AE141" s="135"/>
      <c r="AF141" s="23" t="str">
        <f>IFERROR(VLOOKUP(AC141,Players!$B:$F,3,0),"")</f>
        <v/>
      </c>
      <c r="AG141" s="23" t="str">
        <f>IFERROR(VLOOKUP(AC141,Players!$B:$F,2,0),"")</f>
        <v/>
      </c>
      <c r="AH141" s="23" t="str">
        <f>IFERROR(VLOOKUP(AC141,Players!$B:$N,5,0),"")</f>
        <v/>
      </c>
      <c r="AI141" s="23">
        <v>140</v>
      </c>
      <c r="AJ141" s="28" t="str">
        <f>IFERROR(IF(LOOKUP(2,1/($AD$1:AD140=VLOOKUP(AJ140,$AN$2:$AX$11,2,0)),$AK$1:AK140)&lt;16,VLOOKUP(AJ140,$AN$2:$AX$11,2,0),IF(LOOKUP(2,1/($AD$1:AD140=VLOOKUP(AJ140,$AN$2:$AX$11,3,0)),$AK$1:AK140)&lt;16,VLOOKUP(AJ140,$AN$2:$AX$11,3,0),IF(LOOKUP(2,1/($AD$1:AD140=VLOOKUP(AJ140,$AN$2:$AX$11,4,0)),$AK$1:AK140)&lt;16,VLOOKUP(AJ140,$AN$2:$AX$11,4,0),IF(LOOKUP(2,1/($AD$1:AD140=VLOOKUP(AJ140,$AN$2:$AX$11,5,0)),$AK$1:AK140)&lt;16,VLOOKUP(AJ140,$AN$2:$AX$11,5,0),IF(LOOKUP(2,1/($AD$1:AD140=VLOOKUP(AJ140,$AN$2:$AX$11,6,0)),$AK$1:AK140)&lt;16,VLOOKUP(AJ140,$AN$2:$AX$11,6,0),IF(LOOKUP(2,1/($AD$1:AD140=VLOOKUP(AJ140,$AN$2:$AX$11,7,0)),$AK$1:AK140)&lt;16,VLOOKUP(AJ140,$AN$2:$AX$11,7,0),IF(LOOKUP(2,1/($AD$1:AD140=VLOOKUP(AJ140,$AN$2:$AX$11,8,0)),$AK$1:AK140)&lt;16,VLOOKUP(AJ140,$AN$2:$AX$11,8,0),IF(LOOKUP(2,1/($AD$1:AD140=VLOOKUP(AJ140,$AN$2:$AX$11,9,0)),$AK$1:AK140)&lt;16,VLOOKUP(AJ140,$AN$2:$AX$11,9,0),IF(LOOKUP(2,1/($AD$1:AD140=VLOOKUP(AJ140,$AN$2:$AX$11,10,0)),$AK$1:AK140)&lt;16,VLOOKUP(AJ140,$AN$2:$AX$11,10,0),VLOOKUP(AJ140,$AN$2:$AX$11,11,0)))))))))),VLOOKUP(AJ140,$AN$2:$AX$11,2,0))</f>
        <v>Team 4</v>
      </c>
      <c r="AK141">
        <f>COUNTIF($AD$1:AD141,AD141)</f>
        <v>0</v>
      </c>
      <c r="AL141">
        <f>COUNTIF($AK$1:AK141,"16")</f>
        <v>0</v>
      </c>
      <c r="AZ141" s="32">
        <f t="shared" si="47"/>
        <v>200</v>
      </c>
      <c r="BA141" s="33">
        <f t="shared" si="48"/>
        <v>200</v>
      </c>
      <c r="BB141" s="33">
        <f t="shared" si="49"/>
        <v>200</v>
      </c>
      <c r="BC141" s="33">
        <f t="shared" si="50"/>
        <v>200</v>
      </c>
      <c r="BD141" s="33">
        <f t="shared" si="51"/>
        <v>200</v>
      </c>
      <c r="BE141" s="33">
        <f t="shared" si="52"/>
        <v>200</v>
      </c>
      <c r="BF141" s="33">
        <f t="shared" si="53"/>
        <v>200</v>
      </c>
      <c r="BG141" s="33">
        <f t="shared" si="54"/>
        <v>200</v>
      </c>
      <c r="BH141" s="33">
        <f t="shared" si="55"/>
        <v>200</v>
      </c>
      <c r="BI141" s="34">
        <f t="shared" si="56"/>
        <v>200</v>
      </c>
    </row>
    <row r="142" spans="28:61" x14ac:dyDescent="0.25">
      <c r="AB142" s="14" t="str">
        <f>AD142&amp;COUNTIF($AD$2:AD142,AD142)</f>
        <v>0</v>
      </c>
      <c r="AC142" s="136"/>
      <c r="AD142" s="136"/>
      <c r="AE142" s="135"/>
      <c r="AF142" s="23" t="str">
        <f>IFERROR(VLOOKUP(AC142,Players!$B:$F,3,0),"")</f>
        <v/>
      </c>
      <c r="AG142" s="23" t="str">
        <f>IFERROR(VLOOKUP(AC142,Players!$B:$F,2,0),"")</f>
        <v/>
      </c>
      <c r="AH142" s="23" t="str">
        <f>IFERROR(VLOOKUP(AC142,Players!$B:$N,5,0),"")</f>
        <v/>
      </c>
      <c r="AI142" s="23">
        <v>141</v>
      </c>
      <c r="AJ142" s="28" t="str">
        <f>IFERROR(IF(LOOKUP(2,1/($AD$1:AD141=VLOOKUP(AJ141,$AN$2:$AX$11,2,0)),$AK$1:AK141)&lt;16,VLOOKUP(AJ141,$AN$2:$AX$11,2,0),IF(LOOKUP(2,1/($AD$1:AD141=VLOOKUP(AJ141,$AN$2:$AX$11,3,0)),$AK$1:AK141)&lt;16,VLOOKUP(AJ141,$AN$2:$AX$11,3,0),IF(LOOKUP(2,1/($AD$1:AD141=VLOOKUP(AJ141,$AN$2:$AX$11,4,0)),$AK$1:AK141)&lt;16,VLOOKUP(AJ141,$AN$2:$AX$11,4,0),IF(LOOKUP(2,1/($AD$1:AD141=VLOOKUP(AJ141,$AN$2:$AX$11,5,0)),$AK$1:AK141)&lt;16,VLOOKUP(AJ141,$AN$2:$AX$11,5,0),IF(LOOKUP(2,1/($AD$1:AD141=VLOOKUP(AJ141,$AN$2:$AX$11,6,0)),$AK$1:AK141)&lt;16,VLOOKUP(AJ141,$AN$2:$AX$11,6,0),IF(LOOKUP(2,1/($AD$1:AD141=VLOOKUP(AJ141,$AN$2:$AX$11,7,0)),$AK$1:AK141)&lt;16,VLOOKUP(AJ141,$AN$2:$AX$11,7,0),IF(LOOKUP(2,1/($AD$1:AD141=VLOOKUP(AJ141,$AN$2:$AX$11,8,0)),$AK$1:AK141)&lt;16,VLOOKUP(AJ141,$AN$2:$AX$11,8,0),IF(LOOKUP(2,1/($AD$1:AD141=VLOOKUP(AJ141,$AN$2:$AX$11,9,0)),$AK$1:AK141)&lt;16,VLOOKUP(AJ141,$AN$2:$AX$11,9,0),IF(LOOKUP(2,1/($AD$1:AD141=VLOOKUP(AJ141,$AN$2:$AX$11,10,0)),$AK$1:AK141)&lt;16,VLOOKUP(AJ141,$AN$2:$AX$11,10,0),VLOOKUP(AJ141,$AN$2:$AX$11,11,0)))))))))),VLOOKUP(AJ141,$AN$2:$AX$11,2,0))</f>
        <v>Team 5</v>
      </c>
      <c r="AK142">
        <f>COUNTIF($AD$1:AD142,AD142)</f>
        <v>0</v>
      </c>
      <c r="AL142">
        <f>COUNTIF($AK$1:AK142,"16")</f>
        <v>0</v>
      </c>
      <c r="AZ142" s="32">
        <f t="shared" si="47"/>
        <v>200</v>
      </c>
      <c r="BA142" s="33">
        <f t="shared" si="48"/>
        <v>200</v>
      </c>
      <c r="BB142" s="33">
        <f t="shared" si="49"/>
        <v>200</v>
      </c>
      <c r="BC142" s="33">
        <f t="shared" si="50"/>
        <v>200</v>
      </c>
      <c r="BD142" s="33">
        <f t="shared" si="51"/>
        <v>200</v>
      </c>
      <c r="BE142" s="33">
        <f t="shared" si="52"/>
        <v>200</v>
      </c>
      <c r="BF142" s="33">
        <f t="shared" si="53"/>
        <v>200</v>
      </c>
      <c r="BG142" s="33">
        <f t="shared" si="54"/>
        <v>200</v>
      </c>
      <c r="BH142" s="33">
        <f t="shared" si="55"/>
        <v>200</v>
      </c>
      <c r="BI142" s="34">
        <f t="shared" si="56"/>
        <v>200</v>
      </c>
    </row>
    <row r="143" spans="28:61" x14ac:dyDescent="0.25">
      <c r="AB143" s="14" t="str">
        <f>AD143&amp;COUNTIF($AD$2:AD143,AD143)</f>
        <v>0</v>
      </c>
      <c r="AC143" s="136"/>
      <c r="AD143" s="136"/>
      <c r="AE143" s="135"/>
      <c r="AF143" s="23" t="str">
        <f>IFERROR(VLOOKUP(AC143,Players!$B:$F,3,0),"")</f>
        <v/>
      </c>
      <c r="AG143" s="23" t="str">
        <f>IFERROR(VLOOKUP(AC143,Players!$B:$F,2,0),"")</f>
        <v/>
      </c>
      <c r="AH143" s="23" t="str">
        <f>IFERROR(VLOOKUP(AC143,Players!$B:$N,5,0),"")</f>
        <v/>
      </c>
      <c r="AI143" s="23">
        <v>142</v>
      </c>
      <c r="AJ143" s="28" t="str">
        <f>IFERROR(IF(LOOKUP(2,1/($AD$1:AD142=VLOOKUP(AJ142,$AN$2:$AX$11,2,0)),$AK$1:AK142)&lt;16,VLOOKUP(AJ142,$AN$2:$AX$11,2,0),IF(LOOKUP(2,1/($AD$1:AD142=VLOOKUP(AJ142,$AN$2:$AX$11,3,0)),$AK$1:AK142)&lt;16,VLOOKUP(AJ142,$AN$2:$AX$11,3,0),IF(LOOKUP(2,1/($AD$1:AD142=VLOOKUP(AJ142,$AN$2:$AX$11,4,0)),$AK$1:AK142)&lt;16,VLOOKUP(AJ142,$AN$2:$AX$11,4,0),IF(LOOKUP(2,1/($AD$1:AD142=VLOOKUP(AJ142,$AN$2:$AX$11,5,0)),$AK$1:AK142)&lt;16,VLOOKUP(AJ142,$AN$2:$AX$11,5,0),IF(LOOKUP(2,1/($AD$1:AD142=VLOOKUP(AJ142,$AN$2:$AX$11,6,0)),$AK$1:AK142)&lt;16,VLOOKUP(AJ142,$AN$2:$AX$11,6,0),IF(LOOKUP(2,1/($AD$1:AD142=VLOOKUP(AJ142,$AN$2:$AX$11,7,0)),$AK$1:AK142)&lt;16,VLOOKUP(AJ142,$AN$2:$AX$11,7,0),IF(LOOKUP(2,1/($AD$1:AD142=VLOOKUP(AJ142,$AN$2:$AX$11,8,0)),$AK$1:AK142)&lt;16,VLOOKUP(AJ142,$AN$2:$AX$11,8,0),IF(LOOKUP(2,1/($AD$1:AD142=VLOOKUP(AJ142,$AN$2:$AX$11,9,0)),$AK$1:AK142)&lt;16,VLOOKUP(AJ142,$AN$2:$AX$11,9,0),IF(LOOKUP(2,1/($AD$1:AD142=VLOOKUP(AJ142,$AN$2:$AX$11,10,0)),$AK$1:AK142)&lt;16,VLOOKUP(AJ142,$AN$2:$AX$11,10,0),VLOOKUP(AJ142,$AN$2:$AX$11,11,0)))))))))),VLOOKUP(AJ142,$AN$2:$AX$11,2,0))</f>
        <v>Team 9</v>
      </c>
      <c r="AK143">
        <f>COUNTIF($AD$1:AD143,AD143)</f>
        <v>0</v>
      </c>
      <c r="AL143">
        <f>COUNTIF($AK$1:AK143,"16")</f>
        <v>0</v>
      </c>
      <c r="AZ143" s="32">
        <f t="shared" si="47"/>
        <v>200</v>
      </c>
      <c r="BA143" s="33">
        <f t="shared" si="48"/>
        <v>200</v>
      </c>
      <c r="BB143" s="33">
        <f t="shared" si="49"/>
        <v>200</v>
      </c>
      <c r="BC143" s="33">
        <f t="shared" si="50"/>
        <v>200</v>
      </c>
      <c r="BD143" s="33">
        <f t="shared" si="51"/>
        <v>200</v>
      </c>
      <c r="BE143" s="33">
        <f t="shared" si="52"/>
        <v>200</v>
      </c>
      <c r="BF143" s="33">
        <f t="shared" si="53"/>
        <v>200</v>
      </c>
      <c r="BG143" s="33">
        <f t="shared" si="54"/>
        <v>200</v>
      </c>
      <c r="BH143" s="33">
        <f t="shared" si="55"/>
        <v>200</v>
      </c>
      <c r="BI143" s="34">
        <f t="shared" si="56"/>
        <v>200</v>
      </c>
    </row>
    <row r="144" spans="28:61" x14ac:dyDescent="0.25">
      <c r="AB144" s="14" t="str">
        <f>AD144&amp;COUNTIF($AD$2:AD144,AD144)</f>
        <v>0</v>
      </c>
      <c r="AC144" s="136"/>
      <c r="AD144" s="136"/>
      <c r="AE144" s="135"/>
      <c r="AF144" s="23" t="str">
        <f>IFERROR(VLOOKUP(AC144,Players!$B:$F,3,0),"")</f>
        <v/>
      </c>
      <c r="AG144" s="23" t="str">
        <f>IFERROR(VLOOKUP(AC144,Players!$B:$F,2,0),"")</f>
        <v/>
      </c>
      <c r="AH144" s="23" t="str">
        <f>IFERROR(VLOOKUP(AC144,Players!$B:$N,5,0),"")</f>
        <v/>
      </c>
      <c r="AI144" s="23">
        <v>143</v>
      </c>
      <c r="AJ144" s="28" t="str">
        <f>IFERROR(IF(LOOKUP(2,1/($AD$1:AD143=VLOOKUP(AJ143,$AN$2:$AX$11,2,0)),$AK$1:AK143)&lt;16,VLOOKUP(AJ143,$AN$2:$AX$11,2,0),IF(LOOKUP(2,1/($AD$1:AD143=VLOOKUP(AJ143,$AN$2:$AX$11,3,0)),$AK$1:AK143)&lt;16,VLOOKUP(AJ143,$AN$2:$AX$11,3,0),IF(LOOKUP(2,1/($AD$1:AD143=VLOOKUP(AJ143,$AN$2:$AX$11,4,0)),$AK$1:AK143)&lt;16,VLOOKUP(AJ143,$AN$2:$AX$11,4,0),IF(LOOKUP(2,1/($AD$1:AD143=VLOOKUP(AJ143,$AN$2:$AX$11,5,0)),$AK$1:AK143)&lt;16,VLOOKUP(AJ143,$AN$2:$AX$11,5,0),IF(LOOKUP(2,1/($AD$1:AD143=VLOOKUP(AJ143,$AN$2:$AX$11,6,0)),$AK$1:AK143)&lt;16,VLOOKUP(AJ143,$AN$2:$AX$11,6,0),IF(LOOKUP(2,1/($AD$1:AD143=VLOOKUP(AJ143,$AN$2:$AX$11,7,0)),$AK$1:AK143)&lt;16,VLOOKUP(AJ143,$AN$2:$AX$11,7,0),IF(LOOKUP(2,1/($AD$1:AD143=VLOOKUP(AJ143,$AN$2:$AX$11,8,0)),$AK$1:AK143)&lt;16,VLOOKUP(AJ143,$AN$2:$AX$11,8,0),IF(LOOKUP(2,1/($AD$1:AD143=VLOOKUP(AJ143,$AN$2:$AX$11,9,0)),$AK$1:AK143)&lt;16,VLOOKUP(AJ143,$AN$2:$AX$11,9,0),IF(LOOKUP(2,1/($AD$1:AD143=VLOOKUP(AJ143,$AN$2:$AX$11,10,0)),$AK$1:AK143)&lt;16,VLOOKUP(AJ143,$AN$2:$AX$11,10,0),VLOOKUP(AJ143,$AN$2:$AX$11,11,0)))))))))),VLOOKUP(AJ143,$AN$2:$AX$11,2,0))</f>
        <v>Team 3</v>
      </c>
      <c r="AK144">
        <f>COUNTIF($AD$1:AD144,AD144)</f>
        <v>0</v>
      </c>
      <c r="AL144">
        <f>COUNTIF($AK$1:AK144,"16")</f>
        <v>0</v>
      </c>
      <c r="AZ144" s="32">
        <f t="shared" si="47"/>
        <v>200</v>
      </c>
      <c r="BA144" s="33">
        <f t="shared" si="48"/>
        <v>200</v>
      </c>
      <c r="BB144" s="33">
        <f t="shared" si="49"/>
        <v>200</v>
      </c>
      <c r="BC144" s="33">
        <f t="shared" si="50"/>
        <v>200</v>
      </c>
      <c r="BD144" s="33">
        <f t="shared" si="51"/>
        <v>200</v>
      </c>
      <c r="BE144" s="33">
        <f t="shared" si="52"/>
        <v>200</v>
      </c>
      <c r="BF144" s="33">
        <f t="shared" si="53"/>
        <v>200</v>
      </c>
      <c r="BG144" s="33">
        <f t="shared" si="54"/>
        <v>200</v>
      </c>
      <c r="BH144" s="33">
        <f t="shared" si="55"/>
        <v>200</v>
      </c>
      <c r="BI144" s="34">
        <f t="shared" si="56"/>
        <v>200</v>
      </c>
    </row>
    <row r="145" spans="28:61" x14ac:dyDescent="0.25">
      <c r="AB145" s="14" t="str">
        <f>AD145&amp;COUNTIF($AD$2:AD145,AD145)</f>
        <v>0</v>
      </c>
      <c r="AC145" s="136"/>
      <c r="AD145" s="136"/>
      <c r="AE145" s="135"/>
      <c r="AF145" s="23" t="str">
        <f>IFERROR(VLOOKUP(AC145,Players!$B:$F,3,0),"")</f>
        <v/>
      </c>
      <c r="AG145" s="23" t="str">
        <f>IFERROR(VLOOKUP(AC145,Players!$B:$F,2,0),"")</f>
        <v/>
      </c>
      <c r="AH145" s="23" t="str">
        <f>IFERROR(VLOOKUP(AC145,Players!$B:$N,5,0),"")</f>
        <v/>
      </c>
      <c r="AI145" s="23">
        <v>144</v>
      </c>
      <c r="AJ145" s="28" t="str">
        <f>IFERROR(IF(LOOKUP(2,1/($AD$1:AD144=VLOOKUP(AJ144,$AN$2:$AX$11,2,0)),$AK$1:AK144)&lt;16,VLOOKUP(AJ144,$AN$2:$AX$11,2,0),IF(LOOKUP(2,1/($AD$1:AD144=VLOOKUP(AJ144,$AN$2:$AX$11,3,0)),$AK$1:AK144)&lt;16,VLOOKUP(AJ144,$AN$2:$AX$11,3,0),IF(LOOKUP(2,1/($AD$1:AD144=VLOOKUP(AJ144,$AN$2:$AX$11,4,0)),$AK$1:AK144)&lt;16,VLOOKUP(AJ144,$AN$2:$AX$11,4,0),IF(LOOKUP(2,1/($AD$1:AD144=VLOOKUP(AJ144,$AN$2:$AX$11,5,0)),$AK$1:AK144)&lt;16,VLOOKUP(AJ144,$AN$2:$AX$11,5,0),IF(LOOKUP(2,1/($AD$1:AD144=VLOOKUP(AJ144,$AN$2:$AX$11,6,0)),$AK$1:AK144)&lt;16,VLOOKUP(AJ144,$AN$2:$AX$11,6,0),IF(LOOKUP(2,1/($AD$1:AD144=VLOOKUP(AJ144,$AN$2:$AX$11,7,0)),$AK$1:AK144)&lt;16,VLOOKUP(AJ144,$AN$2:$AX$11,7,0),IF(LOOKUP(2,1/($AD$1:AD144=VLOOKUP(AJ144,$AN$2:$AX$11,8,0)),$AK$1:AK144)&lt;16,VLOOKUP(AJ144,$AN$2:$AX$11,8,0),IF(LOOKUP(2,1/($AD$1:AD144=VLOOKUP(AJ144,$AN$2:$AX$11,9,0)),$AK$1:AK144)&lt;16,VLOOKUP(AJ144,$AN$2:$AX$11,9,0),IF(LOOKUP(2,1/($AD$1:AD144=VLOOKUP(AJ144,$AN$2:$AX$11,10,0)),$AK$1:AK144)&lt;16,VLOOKUP(AJ144,$AN$2:$AX$11,10,0),VLOOKUP(AJ144,$AN$2:$AX$11,11,0)))))))))),VLOOKUP(AJ144,$AN$2:$AX$11,2,0))</f>
        <v>Team 6</v>
      </c>
      <c r="AK145">
        <f>COUNTIF($AD$1:AD145,AD145)</f>
        <v>0</v>
      </c>
      <c r="AL145">
        <f>COUNTIF($AK$1:AK145,"16")</f>
        <v>0</v>
      </c>
      <c r="AZ145" s="32">
        <f t="shared" si="47"/>
        <v>200</v>
      </c>
      <c r="BA145" s="33">
        <f t="shared" si="48"/>
        <v>200</v>
      </c>
      <c r="BB145" s="33">
        <f t="shared" si="49"/>
        <v>200</v>
      </c>
      <c r="BC145" s="33">
        <f t="shared" si="50"/>
        <v>200</v>
      </c>
      <c r="BD145" s="33">
        <f t="shared" si="51"/>
        <v>200</v>
      </c>
      <c r="BE145" s="33">
        <f t="shared" si="52"/>
        <v>200</v>
      </c>
      <c r="BF145" s="33">
        <f t="shared" si="53"/>
        <v>200</v>
      </c>
      <c r="BG145" s="33">
        <f t="shared" si="54"/>
        <v>200</v>
      </c>
      <c r="BH145" s="33">
        <f t="shared" si="55"/>
        <v>200</v>
      </c>
      <c r="BI145" s="34">
        <f t="shared" si="56"/>
        <v>200</v>
      </c>
    </row>
    <row r="146" spans="28:61" x14ac:dyDescent="0.25">
      <c r="AB146" s="14" t="str">
        <f>AD146&amp;COUNTIF($AD$2:AD146,AD146)</f>
        <v>0</v>
      </c>
      <c r="AC146" s="136"/>
      <c r="AD146" s="136"/>
      <c r="AE146" s="135"/>
      <c r="AF146" s="23" t="str">
        <f>IFERROR(VLOOKUP(AC146,Players!$B:$F,3,0),"")</f>
        <v/>
      </c>
      <c r="AG146" s="23" t="str">
        <f>IFERROR(VLOOKUP(AC146,Players!$B:$F,2,0),"")</f>
        <v/>
      </c>
      <c r="AH146" s="23" t="str">
        <f>IFERROR(VLOOKUP(AC146,Players!$B:$N,5,0),"")</f>
        <v/>
      </c>
      <c r="AI146" s="23">
        <v>145</v>
      </c>
      <c r="AJ146" s="28" t="str">
        <f>IFERROR(IF(LOOKUP(2,1/($AD$1:AD145=VLOOKUP(AJ145,$AN$2:$AX$11,2,0)),$AK$1:AK145)&lt;16,VLOOKUP(AJ145,$AN$2:$AX$11,2,0),IF(LOOKUP(2,1/($AD$1:AD145=VLOOKUP(AJ145,$AN$2:$AX$11,3,0)),$AK$1:AK145)&lt;16,VLOOKUP(AJ145,$AN$2:$AX$11,3,0),IF(LOOKUP(2,1/($AD$1:AD145=VLOOKUP(AJ145,$AN$2:$AX$11,4,0)),$AK$1:AK145)&lt;16,VLOOKUP(AJ145,$AN$2:$AX$11,4,0),IF(LOOKUP(2,1/($AD$1:AD145=VLOOKUP(AJ145,$AN$2:$AX$11,5,0)),$AK$1:AK145)&lt;16,VLOOKUP(AJ145,$AN$2:$AX$11,5,0),IF(LOOKUP(2,1/($AD$1:AD145=VLOOKUP(AJ145,$AN$2:$AX$11,6,0)),$AK$1:AK145)&lt;16,VLOOKUP(AJ145,$AN$2:$AX$11,6,0),IF(LOOKUP(2,1/($AD$1:AD145=VLOOKUP(AJ145,$AN$2:$AX$11,7,0)),$AK$1:AK145)&lt;16,VLOOKUP(AJ145,$AN$2:$AX$11,7,0),IF(LOOKUP(2,1/($AD$1:AD145=VLOOKUP(AJ145,$AN$2:$AX$11,8,0)),$AK$1:AK145)&lt;16,VLOOKUP(AJ145,$AN$2:$AX$11,8,0),IF(LOOKUP(2,1/($AD$1:AD145=VLOOKUP(AJ145,$AN$2:$AX$11,9,0)),$AK$1:AK145)&lt;16,VLOOKUP(AJ145,$AN$2:$AX$11,9,0),IF(LOOKUP(2,1/($AD$1:AD145=VLOOKUP(AJ145,$AN$2:$AX$11,10,0)),$AK$1:AK145)&lt;16,VLOOKUP(AJ145,$AN$2:$AX$11,10,0),VLOOKUP(AJ145,$AN$2:$AX$11,11,0)))))))))),VLOOKUP(AJ145,$AN$2:$AX$11,2,0))</f>
        <v>Team 7</v>
      </c>
      <c r="AK146">
        <f>COUNTIF($AD$1:AD146,AD146)</f>
        <v>0</v>
      </c>
      <c r="AL146">
        <f>COUNTIF($AK$1:AK146,"16")</f>
        <v>0</v>
      </c>
      <c r="AZ146" s="32">
        <f t="shared" si="47"/>
        <v>200</v>
      </c>
      <c r="BA146" s="33">
        <f t="shared" si="48"/>
        <v>200</v>
      </c>
      <c r="BB146" s="33">
        <f t="shared" si="49"/>
        <v>200</v>
      </c>
      <c r="BC146" s="33">
        <f t="shared" si="50"/>
        <v>200</v>
      </c>
      <c r="BD146" s="33">
        <f t="shared" si="51"/>
        <v>200</v>
      </c>
      <c r="BE146" s="33">
        <f t="shared" si="52"/>
        <v>200</v>
      </c>
      <c r="BF146" s="33">
        <f t="shared" si="53"/>
        <v>200</v>
      </c>
      <c r="BG146" s="33">
        <f t="shared" si="54"/>
        <v>200</v>
      </c>
      <c r="BH146" s="33">
        <f t="shared" si="55"/>
        <v>200</v>
      </c>
      <c r="BI146" s="34">
        <f t="shared" si="56"/>
        <v>200</v>
      </c>
    </row>
    <row r="147" spans="28:61" x14ac:dyDescent="0.25">
      <c r="AB147" s="14" t="str">
        <f>AD147&amp;COUNTIF($AD$2:AD147,AD147)</f>
        <v>0</v>
      </c>
      <c r="AC147" s="136"/>
      <c r="AD147" s="136"/>
      <c r="AE147" s="135"/>
      <c r="AF147" s="23" t="str">
        <f>IFERROR(VLOOKUP(AC147,Players!$B:$F,3,0),"")</f>
        <v/>
      </c>
      <c r="AG147" s="23" t="str">
        <f>IFERROR(VLOOKUP(AC147,Players!$B:$F,2,0),"")</f>
        <v/>
      </c>
      <c r="AH147" s="23" t="str">
        <f>IFERROR(VLOOKUP(AC147,Players!$B:$N,5,0),"")</f>
        <v/>
      </c>
      <c r="AI147" s="23">
        <v>146</v>
      </c>
      <c r="AJ147" s="28" t="str">
        <f>IFERROR(IF(LOOKUP(2,1/($AD$1:AD146=VLOOKUP(AJ146,$AN$2:$AX$11,2,0)),$AK$1:AK146)&lt;16,VLOOKUP(AJ146,$AN$2:$AX$11,2,0),IF(LOOKUP(2,1/($AD$1:AD146=VLOOKUP(AJ146,$AN$2:$AX$11,3,0)),$AK$1:AK146)&lt;16,VLOOKUP(AJ146,$AN$2:$AX$11,3,0),IF(LOOKUP(2,1/($AD$1:AD146=VLOOKUP(AJ146,$AN$2:$AX$11,4,0)),$AK$1:AK146)&lt;16,VLOOKUP(AJ146,$AN$2:$AX$11,4,0),IF(LOOKUP(2,1/($AD$1:AD146=VLOOKUP(AJ146,$AN$2:$AX$11,5,0)),$AK$1:AK146)&lt;16,VLOOKUP(AJ146,$AN$2:$AX$11,5,0),IF(LOOKUP(2,1/($AD$1:AD146=VLOOKUP(AJ146,$AN$2:$AX$11,6,0)),$AK$1:AK146)&lt;16,VLOOKUP(AJ146,$AN$2:$AX$11,6,0),IF(LOOKUP(2,1/($AD$1:AD146=VLOOKUP(AJ146,$AN$2:$AX$11,7,0)),$AK$1:AK146)&lt;16,VLOOKUP(AJ146,$AN$2:$AX$11,7,0),IF(LOOKUP(2,1/($AD$1:AD146=VLOOKUP(AJ146,$AN$2:$AX$11,8,0)),$AK$1:AK146)&lt;16,VLOOKUP(AJ146,$AN$2:$AX$11,8,0),IF(LOOKUP(2,1/($AD$1:AD146=VLOOKUP(AJ146,$AN$2:$AX$11,9,0)),$AK$1:AK146)&lt;16,VLOOKUP(AJ146,$AN$2:$AX$11,9,0),IF(LOOKUP(2,1/($AD$1:AD146=VLOOKUP(AJ146,$AN$2:$AX$11,10,0)),$AK$1:AK146)&lt;16,VLOOKUP(AJ146,$AN$2:$AX$11,10,0),VLOOKUP(AJ146,$AN$2:$AX$11,11,0)))))))))),VLOOKUP(AJ146,$AN$2:$AX$11,2,0))</f>
        <v>Team 8</v>
      </c>
      <c r="AK147">
        <f>COUNTIF($AD$1:AD147,AD147)</f>
        <v>0</v>
      </c>
      <c r="AL147">
        <f>COUNTIF($AK$1:AK147,"16")</f>
        <v>0</v>
      </c>
      <c r="AZ147" s="32">
        <f t="shared" si="47"/>
        <v>200</v>
      </c>
      <c r="BA147" s="33">
        <f t="shared" si="48"/>
        <v>200</v>
      </c>
      <c r="BB147" s="33">
        <f t="shared" si="49"/>
        <v>200</v>
      </c>
      <c r="BC147" s="33">
        <f t="shared" si="50"/>
        <v>200</v>
      </c>
      <c r="BD147" s="33">
        <f t="shared" si="51"/>
        <v>200</v>
      </c>
      <c r="BE147" s="33">
        <f t="shared" si="52"/>
        <v>200</v>
      </c>
      <c r="BF147" s="33">
        <f t="shared" si="53"/>
        <v>200</v>
      </c>
      <c r="BG147" s="33">
        <f t="shared" si="54"/>
        <v>200</v>
      </c>
      <c r="BH147" s="33">
        <f t="shared" si="55"/>
        <v>200</v>
      </c>
      <c r="BI147" s="34">
        <f t="shared" si="56"/>
        <v>200</v>
      </c>
    </row>
    <row r="148" spans="28:61" x14ac:dyDescent="0.25">
      <c r="AB148" s="14" t="str">
        <f>AD148&amp;COUNTIF($AD$2:AD148,AD148)</f>
        <v>0</v>
      </c>
      <c r="AC148" s="136"/>
      <c r="AD148" s="136"/>
      <c r="AE148" s="135"/>
      <c r="AF148" s="23" t="str">
        <f>IFERROR(VLOOKUP(AC148,Players!$B:$F,3,0),"")</f>
        <v/>
      </c>
      <c r="AG148" s="23" t="str">
        <f>IFERROR(VLOOKUP(AC148,Players!$B:$F,2,0),"")</f>
        <v/>
      </c>
      <c r="AH148" s="23" t="str">
        <f>IFERROR(VLOOKUP(AC148,Players!$B:$N,5,0),"")</f>
        <v/>
      </c>
      <c r="AI148" s="23">
        <v>147</v>
      </c>
      <c r="AJ148" s="28" t="str">
        <f>IFERROR(IF(LOOKUP(2,1/($AD$1:AD147=VLOOKUP(AJ147,$AN$2:$AX$11,2,0)),$AK$1:AK147)&lt;16,VLOOKUP(AJ147,$AN$2:$AX$11,2,0),IF(LOOKUP(2,1/($AD$1:AD147=VLOOKUP(AJ147,$AN$2:$AX$11,3,0)),$AK$1:AK147)&lt;16,VLOOKUP(AJ147,$AN$2:$AX$11,3,0),IF(LOOKUP(2,1/($AD$1:AD147=VLOOKUP(AJ147,$AN$2:$AX$11,4,0)),$AK$1:AK147)&lt;16,VLOOKUP(AJ147,$AN$2:$AX$11,4,0),IF(LOOKUP(2,1/($AD$1:AD147=VLOOKUP(AJ147,$AN$2:$AX$11,5,0)),$AK$1:AK147)&lt;16,VLOOKUP(AJ147,$AN$2:$AX$11,5,0),IF(LOOKUP(2,1/($AD$1:AD147=VLOOKUP(AJ147,$AN$2:$AX$11,6,0)),$AK$1:AK147)&lt;16,VLOOKUP(AJ147,$AN$2:$AX$11,6,0),IF(LOOKUP(2,1/($AD$1:AD147=VLOOKUP(AJ147,$AN$2:$AX$11,7,0)),$AK$1:AK147)&lt;16,VLOOKUP(AJ147,$AN$2:$AX$11,7,0),IF(LOOKUP(2,1/($AD$1:AD147=VLOOKUP(AJ147,$AN$2:$AX$11,8,0)),$AK$1:AK147)&lt;16,VLOOKUP(AJ147,$AN$2:$AX$11,8,0),IF(LOOKUP(2,1/($AD$1:AD147=VLOOKUP(AJ147,$AN$2:$AX$11,9,0)),$AK$1:AK147)&lt;16,VLOOKUP(AJ147,$AN$2:$AX$11,9,0),IF(LOOKUP(2,1/($AD$1:AD147=VLOOKUP(AJ147,$AN$2:$AX$11,10,0)),$AK$1:AK147)&lt;16,VLOOKUP(AJ147,$AN$2:$AX$11,10,0),VLOOKUP(AJ147,$AN$2:$AX$11,11,0)))))))))),VLOOKUP(AJ147,$AN$2:$AX$11,2,0))</f>
        <v>Team Se</v>
      </c>
      <c r="AK148">
        <f>COUNTIF($AD$1:AD148,AD148)</f>
        <v>0</v>
      </c>
      <c r="AL148">
        <f>COUNTIF($AK$1:AK148,"16")</f>
        <v>0</v>
      </c>
      <c r="AZ148" s="32">
        <f t="shared" si="47"/>
        <v>200</v>
      </c>
      <c r="BA148" s="33">
        <f t="shared" si="48"/>
        <v>200</v>
      </c>
      <c r="BB148" s="33">
        <f t="shared" si="49"/>
        <v>200</v>
      </c>
      <c r="BC148" s="33">
        <f t="shared" si="50"/>
        <v>200</v>
      </c>
      <c r="BD148" s="33">
        <f t="shared" si="51"/>
        <v>200</v>
      </c>
      <c r="BE148" s="33">
        <f t="shared" si="52"/>
        <v>200</v>
      </c>
      <c r="BF148" s="33">
        <f t="shared" si="53"/>
        <v>200</v>
      </c>
      <c r="BG148" s="33">
        <f t="shared" si="54"/>
        <v>200</v>
      </c>
      <c r="BH148" s="33">
        <f t="shared" si="55"/>
        <v>200</v>
      </c>
      <c r="BI148" s="34">
        <f t="shared" si="56"/>
        <v>200</v>
      </c>
    </row>
    <row r="149" spans="28:61" x14ac:dyDescent="0.25">
      <c r="AB149" s="14" t="str">
        <f>AD149&amp;COUNTIF($AD$2:AD149,AD149)</f>
        <v>0</v>
      </c>
      <c r="AC149" s="136"/>
      <c r="AD149" s="136"/>
      <c r="AE149" s="135"/>
      <c r="AF149" s="23" t="str">
        <f>IFERROR(VLOOKUP(AC149,Players!$B:$F,3,0),"")</f>
        <v/>
      </c>
      <c r="AG149" s="23" t="str">
        <f>IFERROR(VLOOKUP(AC149,Players!$B:$F,2,0),"")</f>
        <v/>
      </c>
      <c r="AH149" s="23" t="str">
        <f>IFERROR(VLOOKUP(AC149,Players!$B:$N,5,0),"")</f>
        <v/>
      </c>
      <c r="AI149" s="23">
        <v>148</v>
      </c>
      <c r="AJ149" s="28" t="str">
        <f>IFERROR(IF(LOOKUP(2,1/($AD$1:AD148=VLOOKUP(AJ148,$AN$2:$AX$11,2,0)),$AK$1:AK148)&lt;16,VLOOKUP(AJ148,$AN$2:$AX$11,2,0),IF(LOOKUP(2,1/($AD$1:AD148=VLOOKUP(AJ148,$AN$2:$AX$11,3,0)),$AK$1:AK148)&lt;16,VLOOKUP(AJ148,$AN$2:$AX$11,3,0),IF(LOOKUP(2,1/($AD$1:AD148=VLOOKUP(AJ148,$AN$2:$AX$11,4,0)),$AK$1:AK148)&lt;16,VLOOKUP(AJ148,$AN$2:$AX$11,4,0),IF(LOOKUP(2,1/($AD$1:AD148=VLOOKUP(AJ148,$AN$2:$AX$11,5,0)),$AK$1:AK148)&lt;16,VLOOKUP(AJ148,$AN$2:$AX$11,5,0),IF(LOOKUP(2,1/($AD$1:AD148=VLOOKUP(AJ148,$AN$2:$AX$11,6,0)),$AK$1:AK148)&lt;16,VLOOKUP(AJ148,$AN$2:$AX$11,6,0),IF(LOOKUP(2,1/($AD$1:AD148=VLOOKUP(AJ148,$AN$2:$AX$11,7,0)),$AK$1:AK148)&lt;16,VLOOKUP(AJ148,$AN$2:$AX$11,7,0),IF(LOOKUP(2,1/($AD$1:AD148=VLOOKUP(AJ148,$AN$2:$AX$11,8,0)),$AK$1:AK148)&lt;16,VLOOKUP(AJ148,$AN$2:$AX$11,8,0),IF(LOOKUP(2,1/($AD$1:AD148=VLOOKUP(AJ148,$AN$2:$AX$11,9,0)),$AK$1:AK148)&lt;16,VLOOKUP(AJ148,$AN$2:$AX$11,9,0),IF(LOOKUP(2,1/($AD$1:AD148=VLOOKUP(AJ148,$AN$2:$AX$11,10,0)),$AK$1:AK148)&lt;16,VLOOKUP(AJ148,$AN$2:$AX$11,10,0),VLOOKUP(AJ148,$AN$2:$AX$11,11,0)))))))))),VLOOKUP(AJ148,$AN$2:$AX$11,2,0))</f>
        <v>Team 10</v>
      </c>
      <c r="AK149">
        <f>COUNTIF($AD$1:AD149,AD149)</f>
        <v>0</v>
      </c>
      <c r="AL149">
        <f>COUNTIF($AK$1:AK149,"16")</f>
        <v>0</v>
      </c>
      <c r="AZ149" s="32">
        <f t="shared" si="47"/>
        <v>200</v>
      </c>
      <c r="BA149" s="33">
        <f t="shared" si="48"/>
        <v>200</v>
      </c>
      <c r="BB149" s="33">
        <f t="shared" si="49"/>
        <v>200</v>
      </c>
      <c r="BC149" s="33">
        <f t="shared" si="50"/>
        <v>200</v>
      </c>
      <c r="BD149" s="33">
        <f t="shared" si="51"/>
        <v>200</v>
      </c>
      <c r="BE149" s="33">
        <f t="shared" si="52"/>
        <v>200</v>
      </c>
      <c r="BF149" s="33">
        <f t="shared" si="53"/>
        <v>200</v>
      </c>
      <c r="BG149" s="33">
        <f t="shared" si="54"/>
        <v>200</v>
      </c>
      <c r="BH149" s="33">
        <f t="shared" si="55"/>
        <v>200</v>
      </c>
      <c r="BI149" s="34">
        <f t="shared" si="56"/>
        <v>200</v>
      </c>
    </row>
    <row r="150" spans="28:61" x14ac:dyDescent="0.25">
      <c r="AB150" s="14" t="str">
        <f>AD150&amp;COUNTIF($AD$2:AD150,AD150)</f>
        <v>0</v>
      </c>
      <c r="AC150" s="136"/>
      <c r="AD150" s="136"/>
      <c r="AE150" s="135"/>
      <c r="AF150" s="23" t="str">
        <f>IFERROR(VLOOKUP(AC150,Players!$B:$F,3,0),"")</f>
        <v/>
      </c>
      <c r="AG150" s="23" t="str">
        <f>IFERROR(VLOOKUP(AC150,Players!$B:$F,2,0),"")</f>
        <v/>
      </c>
      <c r="AH150" s="23" t="str">
        <f>IFERROR(VLOOKUP(AC150,Players!$B:$N,5,0),"")</f>
        <v/>
      </c>
      <c r="AI150" s="23">
        <v>149</v>
      </c>
      <c r="AJ150" s="28" t="str">
        <f>IFERROR(IF(LOOKUP(2,1/($AD$1:AD149=VLOOKUP(AJ149,$AN$2:$AX$11,2,0)),$AK$1:AK149)&lt;16,VLOOKUP(AJ149,$AN$2:$AX$11,2,0),IF(LOOKUP(2,1/($AD$1:AD149=VLOOKUP(AJ149,$AN$2:$AX$11,3,0)),$AK$1:AK149)&lt;16,VLOOKUP(AJ149,$AN$2:$AX$11,3,0),IF(LOOKUP(2,1/($AD$1:AD149=VLOOKUP(AJ149,$AN$2:$AX$11,4,0)),$AK$1:AK149)&lt;16,VLOOKUP(AJ149,$AN$2:$AX$11,4,0),IF(LOOKUP(2,1/($AD$1:AD149=VLOOKUP(AJ149,$AN$2:$AX$11,5,0)),$AK$1:AK149)&lt;16,VLOOKUP(AJ149,$AN$2:$AX$11,5,0),IF(LOOKUP(2,1/($AD$1:AD149=VLOOKUP(AJ149,$AN$2:$AX$11,6,0)),$AK$1:AK149)&lt;16,VLOOKUP(AJ149,$AN$2:$AX$11,6,0),IF(LOOKUP(2,1/($AD$1:AD149=VLOOKUP(AJ149,$AN$2:$AX$11,7,0)),$AK$1:AK149)&lt;16,VLOOKUP(AJ149,$AN$2:$AX$11,7,0),IF(LOOKUP(2,1/($AD$1:AD149=VLOOKUP(AJ149,$AN$2:$AX$11,8,0)),$AK$1:AK149)&lt;16,VLOOKUP(AJ149,$AN$2:$AX$11,8,0),IF(LOOKUP(2,1/($AD$1:AD149=VLOOKUP(AJ149,$AN$2:$AX$11,9,0)),$AK$1:AK149)&lt;16,VLOOKUP(AJ149,$AN$2:$AX$11,9,0),IF(LOOKUP(2,1/($AD$1:AD149=VLOOKUP(AJ149,$AN$2:$AX$11,10,0)),$AK$1:AK149)&lt;16,VLOOKUP(AJ149,$AN$2:$AX$11,10,0),VLOOKUP(AJ149,$AN$2:$AX$11,11,0)))))))))),VLOOKUP(AJ149,$AN$2:$AX$11,2,0))</f>
        <v>Crouch</v>
      </c>
      <c r="AK150">
        <f>COUNTIF($AD$1:AD150,AD150)</f>
        <v>0</v>
      </c>
      <c r="AL150">
        <f>COUNTIF($AK$1:AK150,"16")</f>
        <v>0</v>
      </c>
      <c r="AZ150" s="32">
        <f t="shared" si="47"/>
        <v>200</v>
      </c>
      <c r="BA150" s="33">
        <f t="shared" si="48"/>
        <v>200</v>
      </c>
      <c r="BB150" s="33">
        <f t="shared" si="49"/>
        <v>200</v>
      </c>
      <c r="BC150" s="33">
        <f t="shared" si="50"/>
        <v>200</v>
      </c>
      <c r="BD150" s="33">
        <f t="shared" si="51"/>
        <v>200</v>
      </c>
      <c r="BE150" s="33">
        <f t="shared" si="52"/>
        <v>200</v>
      </c>
      <c r="BF150" s="33">
        <f t="shared" si="53"/>
        <v>200</v>
      </c>
      <c r="BG150" s="33">
        <f t="shared" si="54"/>
        <v>200</v>
      </c>
      <c r="BH150" s="33">
        <f t="shared" si="55"/>
        <v>200</v>
      </c>
      <c r="BI150" s="34">
        <f t="shared" si="56"/>
        <v>200</v>
      </c>
    </row>
    <row r="151" spans="28:61" x14ac:dyDescent="0.25">
      <c r="AB151" s="14" t="str">
        <f>AD151&amp;COUNTIF($AD$2:AD151,AD151)</f>
        <v>0</v>
      </c>
      <c r="AC151" s="136"/>
      <c r="AD151" s="136"/>
      <c r="AE151" s="135"/>
      <c r="AF151" s="23" t="str">
        <f>IFERROR(VLOOKUP(AC151,Players!$B:$F,3,0),"")</f>
        <v/>
      </c>
      <c r="AG151" s="23" t="str">
        <f>IFERROR(VLOOKUP(AC151,Players!$B:$F,2,0),"")</f>
        <v/>
      </c>
      <c r="AH151" s="23" t="str">
        <f>IFERROR(VLOOKUP(AC151,Players!$B:$N,5,0),"")</f>
        <v/>
      </c>
      <c r="AI151" s="23">
        <v>150</v>
      </c>
      <c r="AJ151" s="28" t="str">
        <f>IFERROR(IF(LOOKUP(2,1/($AD$1:AD150=VLOOKUP(AJ150,$AN$2:$AX$11,2,0)),$AK$1:AK150)&lt;16,VLOOKUP(AJ150,$AN$2:$AX$11,2,0),IF(LOOKUP(2,1/($AD$1:AD150=VLOOKUP(AJ150,$AN$2:$AX$11,3,0)),$AK$1:AK150)&lt;16,VLOOKUP(AJ150,$AN$2:$AX$11,3,0),IF(LOOKUP(2,1/($AD$1:AD150=VLOOKUP(AJ150,$AN$2:$AX$11,4,0)),$AK$1:AK150)&lt;16,VLOOKUP(AJ150,$AN$2:$AX$11,4,0),IF(LOOKUP(2,1/($AD$1:AD150=VLOOKUP(AJ150,$AN$2:$AX$11,5,0)),$AK$1:AK150)&lt;16,VLOOKUP(AJ150,$AN$2:$AX$11,5,0),IF(LOOKUP(2,1/($AD$1:AD150=VLOOKUP(AJ150,$AN$2:$AX$11,6,0)),$AK$1:AK150)&lt;16,VLOOKUP(AJ150,$AN$2:$AX$11,6,0),IF(LOOKUP(2,1/($AD$1:AD150=VLOOKUP(AJ150,$AN$2:$AX$11,7,0)),$AK$1:AK150)&lt;16,VLOOKUP(AJ150,$AN$2:$AX$11,7,0),IF(LOOKUP(2,1/($AD$1:AD150=VLOOKUP(AJ150,$AN$2:$AX$11,8,0)),$AK$1:AK150)&lt;16,VLOOKUP(AJ150,$AN$2:$AX$11,8,0),IF(LOOKUP(2,1/($AD$1:AD150=VLOOKUP(AJ150,$AN$2:$AX$11,9,0)),$AK$1:AK150)&lt;16,VLOOKUP(AJ150,$AN$2:$AX$11,9,0),IF(LOOKUP(2,1/($AD$1:AD150=VLOOKUP(AJ150,$AN$2:$AX$11,10,0)),$AK$1:AK150)&lt;16,VLOOKUP(AJ150,$AN$2:$AX$11,10,0),VLOOKUP(AJ150,$AN$2:$AX$11,11,0)))))))))),VLOOKUP(AJ150,$AN$2:$AX$11,2,0))</f>
        <v>Team 4</v>
      </c>
      <c r="AK151">
        <f>COUNTIF($AD$1:AD151,AD151)</f>
        <v>0</v>
      </c>
      <c r="AL151">
        <f>COUNTIF($AK$1:AK151,"16")</f>
        <v>0</v>
      </c>
      <c r="AZ151" s="32">
        <f t="shared" si="47"/>
        <v>200</v>
      </c>
      <c r="BA151" s="33">
        <f t="shared" si="48"/>
        <v>200</v>
      </c>
      <c r="BB151" s="33">
        <f t="shared" si="49"/>
        <v>200</v>
      </c>
      <c r="BC151" s="33">
        <f t="shared" si="50"/>
        <v>200</v>
      </c>
      <c r="BD151" s="33">
        <f t="shared" si="51"/>
        <v>200</v>
      </c>
      <c r="BE151" s="33">
        <f t="shared" si="52"/>
        <v>200</v>
      </c>
      <c r="BF151" s="33">
        <f t="shared" si="53"/>
        <v>200</v>
      </c>
      <c r="BG151" s="33">
        <f t="shared" si="54"/>
        <v>200</v>
      </c>
      <c r="BH151" s="33">
        <f t="shared" si="55"/>
        <v>200</v>
      </c>
      <c r="BI151" s="34">
        <f t="shared" si="56"/>
        <v>200</v>
      </c>
    </row>
    <row r="152" spans="28:61" x14ac:dyDescent="0.25">
      <c r="AB152" s="14" t="str">
        <f>AD152&amp;COUNTIF($AD$2:AD152,AD152)</f>
        <v>0</v>
      </c>
      <c r="AC152" s="136"/>
      <c r="AD152" s="136"/>
      <c r="AE152" s="135"/>
      <c r="AF152" s="23" t="str">
        <f>IFERROR(VLOOKUP(AC152,Players!$B:$F,3,0),"")</f>
        <v/>
      </c>
      <c r="AG152" s="23" t="str">
        <f>IFERROR(VLOOKUP(AC152,Players!$B:$F,2,0),"")</f>
        <v/>
      </c>
      <c r="AH152" s="23" t="str">
        <f>IFERROR(VLOOKUP(AC152,Players!$B:$N,5,0),"")</f>
        <v/>
      </c>
      <c r="AI152" s="23">
        <v>151</v>
      </c>
      <c r="AJ152" s="28" t="str">
        <f>IFERROR(IF(LOOKUP(2,1/($AD$1:AD151=VLOOKUP(AJ151,$AN$2:$AX$11,2,0)),$AK$1:AK151)&lt;16,VLOOKUP(AJ151,$AN$2:$AX$11,2,0),IF(LOOKUP(2,1/($AD$1:AD151=VLOOKUP(AJ151,$AN$2:$AX$11,3,0)),$AK$1:AK151)&lt;16,VLOOKUP(AJ151,$AN$2:$AX$11,3,0),IF(LOOKUP(2,1/($AD$1:AD151=VLOOKUP(AJ151,$AN$2:$AX$11,4,0)),$AK$1:AK151)&lt;16,VLOOKUP(AJ151,$AN$2:$AX$11,4,0),IF(LOOKUP(2,1/($AD$1:AD151=VLOOKUP(AJ151,$AN$2:$AX$11,5,0)),$AK$1:AK151)&lt;16,VLOOKUP(AJ151,$AN$2:$AX$11,5,0),IF(LOOKUP(2,1/($AD$1:AD151=VLOOKUP(AJ151,$AN$2:$AX$11,6,0)),$AK$1:AK151)&lt;16,VLOOKUP(AJ151,$AN$2:$AX$11,6,0),IF(LOOKUP(2,1/($AD$1:AD151=VLOOKUP(AJ151,$AN$2:$AX$11,7,0)),$AK$1:AK151)&lt;16,VLOOKUP(AJ151,$AN$2:$AX$11,7,0),IF(LOOKUP(2,1/($AD$1:AD151=VLOOKUP(AJ151,$AN$2:$AX$11,8,0)),$AK$1:AK151)&lt;16,VLOOKUP(AJ151,$AN$2:$AX$11,8,0),IF(LOOKUP(2,1/($AD$1:AD151=VLOOKUP(AJ151,$AN$2:$AX$11,9,0)),$AK$1:AK151)&lt;16,VLOOKUP(AJ151,$AN$2:$AX$11,9,0),IF(LOOKUP(2,1/($AD$1:AD151=VLOOKUP(AJ151,$AN$2:$AX$11,10,0)),$AK$1:AK151)&lt;16,VLOOKUP(AJ151,$AN$2:$AX$11,10,0),VLOOKUP(AJ151,$AN$2:$AX$11,11,0)))))))))),VLOOKUP(AJ151,$AN$2:$AX$11,2,0))</f>
        <v>Team 5</v>
      </c>
      <c r="AK152">
        <f>COUNTIF($AD$1:AD152,AD152)</f>
        <v>0</v>
      </c>
      <c r="AL152">
        <f>COUNTIF($AK$1:AK152,"16")</f>
        <v>0</v>
      </c>
      <c r="AZ152" s="32">
        <f t="shared" si="47"/>
        <v>200</v>
      </c>
      <c r="BA152" s="33">
        <f t="shared" si="48"/>
        <v>200</v>
      </c>
      <c r="BB152" s="33">
        <f t="shared" si="49"/>
        <v>200</v>
      </c>
      <c r="BC152" s="33">
        <f t="shared" si="50"/>
        <v>200</v>
      </c>
      <c r="BD152" s="33">
        <f t="shared" si="51"/>
        <v>200</v>
      </c>
      <c r="BE152" s="33">
        <f t="shared" si="52"/>
        <v>200</v>
      </c>
      <c r="BF152" s="33">
        <f t="shared" si="53"/>
        <v>200</v>
      </c>
      <c r="BG152" s="33">
        <f t="shared" si="54"/>
        <v>200</v>
      </c>
      <c r="BH152" s="33">
        <f t="shared" si="55"/>
        <v>200</v>
      </c>
      <c r="BI152" s="34">
        <f t="shared" si="56"/>
        <v>200</v>
      </c>
    </row>
    <row r="153" spans="28:61" x14ac:dyDescent="0.25">
      <c r="AB153" s="14" t="str">
        <f>AD153&amp;COUNTIF($AD$2:AD153,AD153)</f>
        <v>0</v>
      </c>
      <c r="AC153" s="136"/>
      <c r="AD153" s="136"/>
      <c r="AE153" s="135"/>
      <c r="AF153" s="23" t="str">
        <f>IFERROR(VLOOKUP(AC153,Players!$B:$F,3,0),"")</f>
        <v/>
      </c>
      <c r="AG153" s="23" t="str">
        <f>IFERROR(VLOOKUP(AC153,Players!$B:$F,2,0),"")</f>
        <v/>
      </c>
      <c r="AH153" s="23" t="str">
        <f>IFERROR(VLOOKUP(AC153,Players!$B:$N,5,0),"")</f>
        <v/>
      </c>
      <c r="AI153" s="23">
        <v>152</v>
      </c>
      <c r="AJ153" s="28" t="str">
        <f>IFERROR(IF(LOOKUP(2,1/($AD$1:AD152=VLOOKUP(AJ152,$AN$2:$AX$11,2,0)),$AK$1:AK152)&lt;16,VLOOKUP(AJ152,$AN$2:$AX$11,2,0),IF(LOOKUP(2,1/($AD$1:AD152=VLOOKUP(AJ152,$AN$2:$AX$11,3,0)),$AK$1:AK152)&lt;16,VLOOKUP(AJ152,$AN$2:$AX$11,3,0),IF(LOOKUP(2,1/($AD$1:AD152=VLOOKUP(AJ152,$AN$2:$AX$11,4,0)),$AK$1:AK152)&lt;16,VLOOKUP(AJ152,$AN$2:$AX$11,4,0),IF(LOOKUP(2,1/($AD$1:AD152=VLOOKUP(AJ152,$AN$2:$AX$11,5,0)),$AK$1:AK152)&lt;16,VLOOKUP(AJ152,$AN$2:$AX$11,5,0),IF(LOOKUP(2,1/($AD$1:AD152=VLOOKUP(AJ152,$AN$2:$AX$11,6,0)),$AK$1:AK152)&lt;16,VLOOKUP(AJ152,$AN$2:$AX$11,6,0),IF(LOOKUP(2,1/($AD$1:AD152=VLOOKUP(AJ152,$AN$2:$AX$11,7,0)),$AK$1:AK152)&lt;16,VLOOKUP(AJ152,$AN$2:$AX$11,7,0),IF(LOOKUP(2,1/($AD$1:AD152=VLOOKUP(AJ152,$AN$2:$AX$11,8,0)),$AK$1:AK152)&lt;16,VLOOKUP(AJ152,$AN$2:$AX$11,8,0),IF(LOOKUP(2,1/($AD$1:AD152=VLOOKUP(AJ152,$AN$2:$AX$11,9,0)),$AK$1:AK152)&lt;16,VLOOKUP(AJ152,$AN$2:$AX$11,9,0),IF(LOOKUP(2,1/($AD$1:AD152=VLOOKUP(AJ152,$AN$2:$AX$11,10,0)),$AK$1:AK152)&lt;16,VLOOKUP(AJ152,$AN$2:$AX$11,10,0),VLOOKUP(AJ152,$AN$2:$AX$11,11,0)))))))))),VLOOKUP(AJ152,$AN$2:$AX$11,2,0))</f>
        <v>Team 9</v>
      </c>
      <c r="AK153">
        <f>COUNTIF($AD$1:AD153,AD153)</f>
        <v>0</v>
      </c>
      <c r="AL153">
        <f>COUNTIF($AK$1:AK153,"16")</f>
        <v>0</v>
      </c>
      <c r="AZ153" s="32">
        <f t="shared" si="47"/>
        <v>200</v>
      </c>
      <c r="BA153" s="33">
        <f t="shared" si="48"/>
        <v>200</v>
      </c>
      <c r="BB153" s="33">
        <f t="shared" si="49"/>
        <v>200</v>
      </c>
      <c r="BC153" s="33">
        <f t="shared" si="50"/>
        <v>200</v>
      </c>
      <c r="BD153" s="33">
        <f t="shared" si="51"/>
        <v>200</v>
      </c>
      <c r="BE153" s="33">
        <f t="shared" si="52"/>
        <v>200</v>
      </c>
      <c r="BF153" s="33">
        <f t="shared" si="53"/>
        <v>200</v>
      </c>
      <c r="BG153" s="33">
        <f t="shared" si="54"/>
        <v>200</v>
      </c>
      <c r="BH153" s="33">
        <f t="shared" si="55"/>
        <v>200</v>
      </c>
      <c r="BI153" s="34">
        <f t="shared" si="56"/>
        <v>200</v>
      </c>
    </row>
    <row r="154" spans="28:61" x14ac:dyDescent="0.25">
      <c r="AB154" s="14" t="str">
        <f>AD154&amp;COUNTIF($AD$2:AD154,AD154)</f>
        <v>0</v>
      </c>
      <c r="AC154" s="136"/>
      <c r="AD154" s="136"/>
      <c r="AE154" s="135"/>
      <c r="AF154" s="23" t="str">
        <f>IFERROR(VLOOKUP(AC154,Players!$B:$F,3,0),"")</f>
        <v/>
      </c>
      <c r="AG154" s="23" t="str">
        <f>IFERROR(VLOOKUP(AC154,Players!$B:$F,2,0),"")</f>
        <v/>
      </c>
      <c r="AH154" s="23" t="str">
        <f>IFERROR(VLOOKUP(AC154,Players!$B:$N,5,0),"")</f>
        <v/>
      </c>
      <c r="AI154" s="23">
        <v>153</v>
      </c>
      <c r="AJ154" s="28" t="str">
        <f>IFERROR(IF(LOOKUP(2,1/($AD$1:AD153=VLOOKUP(AJ153,$AN$2:$AX$11,2,0)),$AK$1:AK153)&lt;16,VLOOKUP(AJ153,$AN$2:$AX$11,2,0),IF(LOOKUP(2,1/($AD$1:AD153=VLOOKUP(AJ153,$AN$2:$AX$11,3,0)),$AK$1:AK153)&lt;16,VLOOKUP(AJ153,$AN$2:$AX$11,3,0),IF(LOOKUP(2,1/($AD$1:AD153=VLOOKUP(AJ153,$AN$2:$AX$11,4,0)),$AK$1:AK153)&lt;16,VLOOKUP(AJ153,$AN$2:$AX$11,4,0),IF(LOOKUP(2,1/($AD$1:AD153=VLOOKUP(AJ153,$AN$2:$AX$11,5,0)),$AK$1:AK153)&lt;16,VLOOKUP(AJ153,$AN$2:$AX$11,5,0),IF(LOOKUP(2,1/($AD$1:AD153=VLOOKUP(AJ153,$AN$2:$AX$11,6,0)),$AK$1:AK153)&lt;16,VLOOKUP(AJ153,$AN$2:$AX$11,6,0),IF(LOOKUP(2,1/($AD$1:AD153=VLOOKUP(AJ153,$AN$2:$AX$11,7,0)),$AK$1:AK153)&lt;16,VLOOKUP(AJ153,$AN$2:$AX$11,7,0),IF(LOOKUP(2,1/($AD$1:AD153=VLOOKUP(AJ153,$AN$2:$AX$11,8,0)),$AK$1:AK153)&lt;16,VLOOKUP(AJ153,$AN$2:$AX$11,8,0),IF(LOOKUP(2,1/($AD$1:AD153=VLOOKUP(AJ153,$AN$2:$AX$11,9,0)),$AK$1:AK153)&lt;16,VLOOKUP(AJ153,$AN$2:$AX$11,9,0),IF(LOOKUP(2,1/($AD$1:AD153=VLOOKUP(AJ153,$AN$2:$AX$11,10,0)),$AK$1:AK153)&lt;16,VLOOKUP(AJ153,$AN$2:$AX$11,10,0),VLOOKUP(AJ153,$AN$2:$AX$11,11,0)))))))))),VLOOKUP(AJ153,$AN$2:$AX$11,2,0))</f>
        <v>Team 3</v>
      </c>
      <c r="AK154">
        <f>COUNTIF($AD$1:AD154,AD154)</f>
        <v>0</v>
      </c>
      <c r="AL154">
        <f>COUNTIF($AK$1:AK154,"16")</f>
        <v>0</v>
      </c>
      <c r="AZ154" s="32">
        <f t="shared" si="47"/>
        <v>200</v>
      </c>
      <c r="BA154" s="33">
        <f t="shared" si="48"/>
        <v>200</v>
      </c>
      <c r="BB154" s="33">
        <f t="shared" si="49"/>
        <v>200</v>
      </c>
      <c r="BC154" s="33">
        <f t="shared" si="50"/>
        <v>200</v>
      </c>
      <c r="BD154" s="33">
        <f t="shared" si="51"/>
        <v>200</v>
      </c>
      <c r="BE154" s="33">
        <f t="shared" si="52"/>
        <v>200</v>
      </c>
      <c r="BF154" s="33">
        <f t="shared" si="53"/>
        <v>200</v>
      </c>
      <c r="BG154" s="33">
        <f t="shared" si="54"/>
        <v>200</v>
      </c>
      <c r="BH154" s="33">
        <f t="shared" si="55"/>
        <v>200</v>
      </c>
      <c r="BI154" s="34">
        <f t="shared" si="56"/>
        <v>200</v>
      </c>
    </row>
    <row r="155" spans="28:61" x14ac:dyDescent="0.25">
      <c r="AB155" s="14" t="str">
        <f>AD155&amp;COUNTIF($AD$2:AD155,AD155)</f>
        <v>0</v>
      </c>
      <c r="AC155" s="136"/>
      <c r="AD155" s="136"/>
      <c r="AE155" s="135"/>
      <c r="AF155" s="23" t="str">
        <f>IFERROR(VLOOKUP(AC155,Players!$B:$F,3,0),"")</f>
        <v/>
      </c>
      <c r="AG155" s="23" t="str">
        <f>IFERROR(VLOOKUP(AC155,Players!$B:$F,2,0),"")</f>
        <v/>
      </c>
      <c r="AH155" s="23" t="str">
        <f>IFERROR(VLOOKUP(AC155,Players!$B:$N,5,0),"")</f>
        <v/>
      </c>
      <c r="AI155" s="23">
        <v>154</v>
      </c>
      <c r="AJ155" s="28" t="str">
        <f>IFERROR(IF(LOOKUP(2,1/($AD$1:AD154=VLOOKUP(AJ154,$AN$2:$AX$11,2,0)),$AK$1:AK154)&lt;16,VLOOKUP(AJ154,$AN$2:$AX$11,2,0),IF(LOOKUP(2,1/($AD$1:AD154=VLOOKUP(AJ154,$AN$2:$AX$11,3,0)),$AK$1:AK154)&lt;16,VLOOKUP(AJ154,$AN$2:$AX$11,3,0),IF(LOOKUP(2,1/($AD$1:AD154=VLOOKUP(AJ154,$AN$2:$AX$11,4,0)),$AK$1:AK154)&lt;16,VLOOKUP(AJ154,$AN$2:$AX$11,4,0),IF(LOOKUP(2,1/($AD$1:AD154=VLOOKUP(AJ154,$AN$2:$AX$11,5,0)),$AK$1:AK154)&lt;16,VLOOKUP(AJ154,$AN$2:$AX$11,5,0),IF(LOOKUP(2,1/($AD$1:AD154=VLOOKUP(AJ154,$AN$2:$AX$11,6,0)),$AK$1:AK154)&lt;16,VLOOKUP(AJ154,$AN$2:$AX$11,6,0),IF(LOOKUP(2,1/($AD$1:AD154=VLOOKUP(AJ154,$AN$2:$AX$11,7,0)),$AK$1:AK154)&lt;16,VLOOKUP(AJ154,$AN$2:$AX$11,7,0),IF(LOOKUP(2,1/($AD$1:AD154=VLOOKUP(AJ154,$AN$2:$AX$11,8,0)),$AK$1:AK154)&lt;16,VLOOKUP(AJ154,$AN$2:$AX$11,8,0),IF(LOOKUP(2,1/($AD$1:AD154=VLOOKUP(AJ154,$AN$2:$AX$11,9,0)),$AK$1:AK154)&lt;16,VLOOKUP(AJ154,$AN$2:$AX$11,9,0),IF(LOOKUP(2,1/($AD$1:AD154=VLOOKUP(AJ154,$AN$2:$AX$11,10,0)),$AK$1:AK154)&lt;16,VLOOKUP(AJ154,$AN$2:$AX$11,10,0),VLOOKUP(AJ154,$AN$2:$AX$11,11,0)))))))))),VLOOKUP(AJ154,$AN$2:$AX$11,2,0))</f>
        <v>Team 6</v>
      </c>
      <c r="AK155">
        <f>COUNTIF($AD$1:AD155,AD155)</f>
        <v>0</v>
      </c>
      <c r="AL155">
        <f>COUNTIF($AK$1:AK155,"16")</f>
        <v>0</v>
      </c>
      <c r="AZ155" s="32">
        <f t="shared" si="47"/>
        <v>200</v>
      </c>
      <c r="BA155" s="33">
        <f t="shared" si="48"/>
        <v>200</v>
      </c>
      <c r="BB155" s="33">
        <f t="shared" si="49"/>
        <v>200</v>
      </c>
      <c r="BC155" s="33">
        <f t="shared" si="50"/>
        <v>200</v>
      </c>
      <c r="BD155" s="33">
        <f t="shared" si="51"/>
        <v>200</v>
      </c>
      <c r="BE155" s="33">
        <f t="shared" si="52"/>
        <v>200</v>
      </c>
      <c r="BF155" s="33">
        <f t="shared" si="53"/>
        <v>200</v>
      </c>
      <c r="BG155" s="33">
        <f t="shared" si="54"/>
        <v>200</v>
      </c>
      <c r="BH155" s="33">
        <f t="shared" si="55"/>
        <v>200</v>
      </c>
      <c r="BI155" s="34">
        <f t="shared" si="56"/>
        <v>200</v>
      </c>
    </row>
    <row r="156" spans="28:61" x14ac:dyDescent="0.25">
      <c r="AB156" s="14" t="str">
        <f>AD156&amp;COUNTIF($AD$2:AD156,AD156)</f>
        <v>0</v>
      </c>
      <c r="AC156" s="136"/>
      <c r="AD156" s="136"/>
      <c r="AE156" s="135"/>
      <c r="AF156" s="23" t="str">
        <f>IFERROR(VLOOKUP(AC156,Players!$B:$F,3,0),"")</f>
        <v/>
      </c>
      <c r="AG156" s="23" t="str">
        <f>IFERROR(VLOOKUP(AC156,Players!$B:$F,2,0),"")</f>
        <v/>
      </c>
      <c r="AH156" s="23" t="str">
        <f>IFERROR(VLOOKUP(AC156,Players!$B:$N,5,0),"")</f>
        <v/>
      </c>
      <c r="AI156" s="23">
        <v>155</v>
      </c>
      <c r="AJ156" s="28" t="str">
        <f>IFERROR(IF(LOOKUP(2,1/($AD$1:AD155=VLOOKUP(AJ155,$AN$2:$AX$11,2,0)),$AK$1:AK155)&lt;16,VLOOKUP(AJ155,$AN$2:$AX$11,2,0),IF(LOOKUP(2,1/($AD$1:AD155=VLOOKUP(AJ155,$AN$2:$AX$11,3,0)),$AK$1:AK155)&lt;16,VLOOKUP(AJ155,$AN$2:$AX$11,3,0),IF(LOOKUP(2,1/($AD$1:AD155=VLOOKUP(AJ155,$AN$2:$AX$11,4,0)),$AK$1:AK155)&lt;16,VLOOKUP(AJ155,$AN$2:$AX$11,4,0),IF(LOOKUP(2,1/($AD$1:AD155=VLOOKUP(AJ155,$AN$2:$AX$11,5,0)),$AK$1:AK155)&lt;16,VLOOKUP(AJ155,$AN$2:$AX$11,5,0),IF(LOOKUP(2,1/($AD$1:AD155=VLOOKUP(AJ155,$AN$2:$AX$11,6,0)),$AK$1:AK155)&lt;16,VLOOKUP(AJ155,$AN$2:$AX$11,6,0),IF(LOOKUP(2,1/($AD$1:AD155=VLOOKUP(AJ155,$AN$2:$AX$11,7,0)),$AK$1:AK155)&lt;16,VLOOKUP(AJ155,$AN$2:$AX$11,7,0),IF(LOOKUP(2,1/($AD$1:AD155=VLOOKUP(AJ155,$AN$2:$AX$11,8,0)),$AK$1:AK155)&lt;16,VLOOKUP(AJ155,$AN$2:$AX$11,8,0),IF(LOOKUP(2,1/($AD$1:AD155=VLOOKUP(AJ155,$AN$2:$AX$11,9,0)),$AK$1:AK155)&lt;16,VLOOKUP(AJ155,$AN$2:$AX$11,9,0),IF(LOOKUP(2,1/($AD$1:AD155=VLOOKUP(AJ155,$AN$2:$AX$11,10,0)),$AK$1:AK155)&lt;16,VLOOKUP(AJ155,$AN$2:$AX$11,10,0),VLOOKUP(AJ155,$AN$2:$AX$11,11,0)))))))))),VLOOKUP(AJ155,$AN$2:$AX$11,2,0))</f>
        <v>Team 7</v>
      </c>
      <c r="AK156">
        <f>COUNTIF($AD$1:AD156,AD156)</f>
        <v>0</v>
      </c>
      <c r="AL156">
        <f>COUNTIF($AK$1:AK156,"16")</f>
        <v>0</v>
      </c>
      <c r="AZ156" s="32">
        <f t="shared" si="47"/>
        <v>200</v>
      </c>
      <c r="BA156" s="33">
        <f t="shared" si="48"/>
        <v>200</v>
      </c>
      <c r="BB156" s="33">
        <f t="shared" si="49"/>
        <v>200</v>
      </c>
      <c r="BC156" s="33">
        <f t="shared" si="50"/>
        <v>200</v>
      </c>
      <c r="BD156" s="33">
        <f t="shared" si="51"/>
        <v>200</v>
      </c>
      <c r="BE156" s="33">
        <f t="shared" si="52"/>
        <v>200</v>
      </c>
      <c r="BF156" s="33">
        <f t="shared" si="53"/>
        <v>200</v>
      </c>
      <c r="BG156" s="33">
        <f t="shared" si="54"/>
        <v>200</v>
      </c>
      <c r="BH156" s="33">
        <f t="shared" si="55"/>
        <v>200</v>
      </c>
      <c r="BI156" s="34">
        <f t="shared" si="56"/>
        <v>200</v>
      </c>
    </row>
    <row r="157" spans="28:61" x14ac:dyDescent="0.25">
      <c r="AB157" s="14" t="str">
        <f>AD157&amp;COUNTIF($AD$2:AD157,AD157)</f>
        <v>0</v>
      </c>
      <c r="AC157" s="136"/>
      <c r="AD157" s="136"/>
      <c r="AE157" s="135"/>
      <c r="AF157" s="23" t="str">
        <f>IFERROR(VLOOKUP(AC157,Players!$B:$F,3,0),"")</f>
        <v/>
      </c>
      <c r="AG157" s="23" t="str">
        <f>IFERROR(VLOOKUP(AC157,Players!$B:$F,2,0),"")</f>
        <v/>
      </c>
      <c r="AH157" s="23" t="str">
        <f>IFERROR(VLOOKUP(AC157,Players!$B:$N,5,0),"")</f>
        <v/>
      </c>
      <c r="AI157" s="23">
        <v>156</v>
      </c>
      <c r="AJ157" s="28" t="str">
        <f>IFERROR(IF(LOOKUP(2,1/($AD$1:AD156=VLOOKUP(AJ156,$AN$2:$AX$11,2,0)),$AK$1:AK156)&lt;16,VLOOKUP(AJ156,$AN$2:$AX$11,2,0),IF(LOOKUP(2,1/($AD$1:AD156=VLOOKUP(AJ156,$AN$2:$AX$11,3,0)),$AK$1:AK156)&lt;16,VLOOKUP(AJ156,$AN$2:$AX$11,3,0),IF(LOOKUP(2,1/($AD$1:AD156=VLOOKUP(AJ156,$AN$2:$AX$11,4,0)),$AK$1:AK156)&lt;16,VLOOKUP(AJ156,$AN$2:$AX$11,4,0),IF(LOOKUP(2,1/($AD$1:AD156=VLOOKUP(AJ156,$AN$2:$AX$11,5,0)),$AK$1:AK156)&lt;16,VLOOKUP(AJ156,$AN$2:$AX$11,5,0),IF(LOOKUP(2,1/($AD$1:AD156=VLOOKUP(AJ156,$AN$2:$AX$11,6,0)),$AK$1:AK156)&lt;16,VLOOKUP(AJ156,$AN$2:$AX$11,6,0),IF(LOOKUP(2,1/($AD$1:AD156=VLOOKUP(AJ156,$AN$2:$AX$11,7,0)),$AK$1:AK156)&lt;16,VLOOKUP(AJ156,$AN$2:$AX$11,7,0),IF(LOOKUP(2,1/($AD$1:AD156=VLOOKUP(AJ156,$AN$2:$AX$11,8,0)),$AK$1:AK156)&lt;16,VLOOKUP(AJ156,$AN$2:$AX$11,8,0),IF(LOOKUP(2,1/($AD$1:AD156=VLOOKUP(AJ156,$AN$2:$AX$11,9,0)),$AK$1:AK156)&lt;16,VLOOKUP(AJ156,$AN$2:$AX$11,9,0),IF(LOOKUP(2,1/($AD$1:AD156=VLOOKUP(AJ156,$AN$2:$AX$11,10,0)),$AK$1:AK156)&lt;16,VLOOKUP(AJ156,$AN$2:$AX$11,10,0),VLOOKUP(AJ156,$AN$2:$AX$11,11,0)))))))))),VLOOKUP(AJ156,$AN$2:$AX$11,2,0))</f>
        <v>Team 8</v>
      </c>
      <c r="AK157">
        <f>COUNTIF($AD$1:AD157,AD157)</f>
        <v>0</v>
      </c>
      <c r="AL157">
        <f>COUNTIF($AK$1:AK157,"16")</f>
        <v>0</v>
      </c>
      <c r="AZ157" s="32">
        <f t="shared" si="47"/>
        <v>200</v>
      </c>
      <c r="BA157" s="33">
        <f t="shared" si="48"/>
        <v>200</v>
      </c>
      <c r="BB157" s="33">
        <f t="shared" si="49"/>
        <v>200</v>
      </c>
      <c r="BC157" s="33">
        <f t="shared" si="50"/>
        <v>200</v>
      </c>
      <c r="BD157" s="33">
        <f t="shared" si="51"/>
        <v>200</v>
      </c>
      <c r="BE157" s="33">
        <f t="shared" si="52"/>
        <v>200</v>
      </c>
      <c r="BF157" s="33">
        <f t="shared" si="53"/>
        <v>200</v>
      </c>
      <c r="BG157" s="33">
        <f t="shared" si="54"/>
        <v>200</v>
      </c>
      <c r="BH157" s="33">
        <f t="shared" si="55"/>
        <v>200</v>
      </c>
      <c r="BI157" s="34">
        <f t="shared" si="56"/>
        <v>200</v>
      </c>
    </row>
    <row r="158" spans="28:61" x14ac:dyDescent="0.25">
      <c r="AB158" s="14" t="str">
        <f>AD158&amp;COUNTIF($AD$2:AD158,AD158)</f>
        <v>0</v>
      </c>
      <c r="AC158" s="136"/>
      <c r="AD158" s="136"/>
      <c r="AE158" s="135"/>
      <c r="AF158" s="23" t="str">
        <f>IFERROR(VLOOKUP(AC158,Players!$B:$F,3,0),"")</f>
        <v/>
      </c>
      <c r="AG158" s="23" t="str">
        <f>IFERROR(VLOOKUP(AC158,Players!$B:$F,2,0),"")</f>
        <v/>
      </c>
      <c r="AH158" s="23" t="str">
        <f>IFERROR(VLOOKUP(AC158,Players!$B:$N,5,0),"")</f>
        <v/>
      </c>
      <c r="AI158" s="23">
        <v>157</v>
      </c>
      <c r="AJ158" s="28" t="str">
        <f>IFERROR(IF(LOOKUP(2,1/($AD$1:AD157=VLOOKUP(AJ157,$AN$2:$AX$11,2,0)),$AK$1:AK157)&lt;16,VLOOKUP(AJ157,$AN$2:$AX$11,2,0),IF(LOOKUP(2,1/($AD$1:AD157=VLOOKUP(AJ157,$AN$2:$AX$11,3,0)),$AK$1:AK157)&lt;16,VLOOKUP(AJ157,$AN$2:$AX$11,3,0),IF(LOOKUP(2,1/($AD$1:AD157=VLOOKUP(AJ157,$AN$2:$AX$11,4,0)),$AK$1:AK157)&lt;16,VLOOKUP(AJ157,$AN$2:$AX$11,4,0),IF(LOOKUP(2,1/($AD$1:AD157=VLOOKUP(AJ157,$AN$2:$AX$11,5,0)),$AK$1:AK157)&lt;16,VLOOKUP(AJ157,$AN$2:$AX$11,5,0),IF(LOOKUP(2,1/($AD$1:AD157=VLOOKUP(AJ157,$AN$2:$AX$11,6,0)),$AK$1:AK157)&lt;16,VLOOKUP(AJ157,$AN$2:$AX$11,6,0),IF(LOOKUP(2,1/($AD$1:AD157=VLOOKUP(AJ157,$AN$2:$AX$11,7,0)),$AK$1:AK157)&lt;16,VLOOKUP(AJ157,$AN$2:$AX$11,7,0),IF(LOOKUP(2,1/($AD$1:AD157=VLOOKUP(AJ157,$AN$2:$AX$11,8,0)),$AK$1:AK157)&lt;16,VLOOKUP(AJ157,$AN$2:$AX$11,8,0),IF(LOOKUP(2,1/($AD$1:AD157=VLOOKUP(AJ157,$AN$2:$AX$11,9,0)),$AK$1:AK157)&lt;16,VLOOKUP(AJ157,$AN$2:$AX$11,9,0),IF(LOOKUP(2,1/($AD$1:AD157=VLOOKUP(AJ157,$AN$2:$AX$11,10,0)),$AK$1:AK157)&lt;16,VLOOKUP(AJ157,$AN$2:$AX$11,10,0),VLOOKUP(AJ157,$AN$2:$AX$11,11,0)))))))))),VLOOKUP(AJ157,$AN$2:$AX$11,2,0))</f>
        <v>Team Se</v>
      </c>
      <c r="AK158">
        <f>COUNTIF($AD$1:AD158,AD158)</f>
        <v>0</v>
      </c>
      <c r="AL158">
        <f>COUNTIF($AK$1:AK158,"16")</f>
        <v>0</v>
      </c>
      <c r="AZ158" s="32">
        <f t="shared" si="47"/>
        <v>200</v>
      </c>
      <c r="BA158" s="33">
        <f t="shared" si="48"/>
        <v>200</v>
      </c>
      <c r="BB158" s="33">
        <f t="shared" si="49"/>
        <v>200</v>
      </c>
      <c r="BC158" s="33">
        <f t="shared" si="50"/>
        <v>200</v>
      </c>
      <c r="BD158" s="33">
        <f t="shared" si="51"/>
        <v>200</v>
      </c>
      <c r="BE158" s="33">
        <f t="shared" si="52"/>
        <v>200</v>
      </c>
      <c r="BF158" s="33">
        <f t="shared" si="53"/>
        <v>200</v>
      </c>
      <c r="BG158" s="33">
        <f t="shared" si="54"/>
        <v>200</v>
      </c>
      <c r="BH158" s="33">
        <f t="shared" si="55"/>
        <v>200</v>
      </c>
      <c r="BI158" s="34">
        <f t="shared" si="56"/>
        <v>200</v>
      </c>
    </row>
    <row r="159" spans="28:61" x14ac:dyDescent="0.25">
      <c r="AB159" s="14" t="str">
        <f>AD159&amp;COUNTIF($AD$2:AD159,AD159)</f>
        <v>0</v>
      </c>
      <c r="AC159" s="136"/>
      <c r="AD159" s="136"/>
      <c r="AE159" s="135"/>
      <c r="AF159" s="23" t="str">
        <f>IFERROR(VLOOKUP(AC159,Players!$B:$F,3,0),"")</f>
        <v/>
      </c>
      <c r="AG159" s="23" t="str">
        <f>IFERROR(VLOOKUP(AC159,Players!$B:$F,2,0),"")</f>
        <v/>
      </c>
      <c r="AH159" s="23" t="str">
        <f>IFERROR(VLOOKUP(AC159,Players!$B:$N,5,0),"")</f>
        <v/>
      </c>
      <c r="AI159" s="23">
        <v>158</v>
      </c>
      <c r="AJ159" s="28" t="str">
        <f>IFERROR(IF(LOOKUP(2,1/($AD$1:AD158=VLOOKUP(AJ158,$AN$2:$AX$11,2,0)),$AK$1:AK158)&lt;16,VLOOKUP(AJ158,$AN$2:$AX$11,2,0),IF(LOOKUP(2,1/($AD$1:AD158=VLOOKUP(AJ158,$AN$2:$AX$11,3,0)),$AK$1:AK158)&lt;16,VLOOKUP(AJ158,$AN$2:$AX$11,3,0),IF(LOOKUP(2,1/($AD$1:AD158=VLOOKUP(AJ158,$AN$2:$AX$11,4,0)),$AK$1:AK158)&lt;16,VLOOKUP(AJ158,$AN$2:$AX$11,4,0),IF(LOOKUP(2,1/($AD$1:AD158=VLOOKUP(AJ158,$AN$2:$AX$11,5,0)),$AK$1:AK158)&lt;16,VLOOKUP(AJ158,$AN$2:$AX$11,5,0),IF(LOOKUP(2,1/($AD$1:AD158=VLOOKUP(AJ158,$AN$2:$AX$11,6,0)),$AK$1:AK158)&lt;16,VLOOKUP(AJ158,$AN$2:$AX$11,6,0),IF(LOOKUP(2,1/($AD$1:AD158=VLOOKUP(AJ158,$AN$2:$AX$11,7,0)),$AK$1:AK158)&lt;16,VLOOKUP(AJ158,$AN$2:$AX$11,7,0),IF(LOOKUP(2,1/($AD$1:AD158=VLOOKUP(AJ158,$AN$2:$AX$11,8,0)),$AK$1:AK158)&lt;16,VLOOKUP(AJ158,$AN$2:$AX$11,8,0),IF(LOOKUP(2,1/($AD$1:AD158=VLOOKUP(AJ158,$AN$2:$AX$11,9,0)),$AK$1:AK158)&lt;16,VLOOKUP(AJ158,$AN$2:$AX$11,9,0),IF(LOOKUP(2,1/($AD$1:AD158=VLOOKUP(AJ158,$AN$2:$AX$11,10,0)),$AK$1:AK158)&lt;16,VLOOKUP(AJ158,$AN$2:$AX$11,10,0),VLOOKUP(AJ158,$AN$2:$AX$11,11,0)))))))))),VLOOKUP(AJ158,$AN$2:$AX$11,2,0))</f>
        <v>Team 10</v>
      </c>
      <c r="AK159">
        <f>COUNTIF($AD$1:AD159,AD159)</f>
        <v>0</v>
      </c>
      <c r="AL159">
        <f>COUNTIF($AK$1:AK159,"16")</f>
        <v>0</v>
      </c>
      <c r="AZ159" s="32">
        <f t="shared" si="47"/>
        <v>200</v>
      </c>
      <c r="BA159" s="33">
        <f t="shared" si="48"/>
        <v>200</v>
      </c>
      <c r="BB159" s="33">
        <f t="shared" si="49"/>
        <v>200</v>
      </c>
      <c r="BC159" s="33">
        <f t="shared" si="50"/>
        <v>200</v>
      </c>
      <c r="BD159" s="33">
        <f t="shared" si="51"/>
        <v>200</v>
      </c>
      <c r="BE159" s="33">
        <f t="shared" si="52"/>
        <v>200</v>
      </c>
      <c r="BF159" s="33">
        <f t="shared" si="53"/>
        <v>200</v>
      </c>
      <c r="BG159" s="33">
        <f t="shared" si="54"/>
        <v>200</v>
      </c>
      <c r="BH159" s="33">
        <f t="shared" si="55"/>
        <v>200</v>
      </c>
      <c r="BI159" s="34">
        <f t="shared" si="56"/>
        <v>200</v>
      </c>
    </row>
    <row r="160" spans="28:61" x14ac:dyDescent="0.25">
      <c r="AB160" s="14" t="str">
        <f>AD160&amp;COUNTIF($AD$2:AD160,AD160)</f>
        <v>0</v>
      </c>
      <c r="AC160" s="136"/>
      <c r="AD160" s="136"/>
      <c r="AE160" s="135"/>
      <c r="AF160" s="23" t="str">
        <f>IFERROR(VLOOKUP(AC160,Players!$B:$F,3,0),"")</f>
        <v/>
      </c>
      <c r="AG160" s="23" t="str">
        <f>IFERROR(VLOOKUP(AC160,Players!$B:$F,2,0),"")</f>
        <v/>
      </c>
      <c r="AH160" s="23" t="str">
        <f>IFERROR(VLOOKUP(AC160,Players!$B:$N,5,0),"")</f>
        <v/>
      </c>
      <c r="AI160" s="23">
        <v>159</v>
      </c>
      <c r="AJ160" s="28" t="str">
        <f>IFERROR(IF(LOOKUP(2,1/($AD$1:AD159=VLOOKUP(AJ159,$AN$2:$AX$11,2,0)),$AK$1:AK159)&lt;16,VLOOKUP(AJ159,$AN$2:$AX$11,2,0),IF(LOOKUP(2,1/($AD$1:AD159=VLOOKUP(AJ159,$AN$2:$AX$11,3,0)),$AK$1:AK159)&lt;16,VLOOKUP(AJ159,$AN$2:$AX$11,3,0),IF(LOOKUP(2,1/($AD$1:AD159=VLOOKUP(AJ159,$AN$2:$AX$11,4,0)),$AK$1:AK159)&lt;16,VLOOKUP(AJ159,$AN$2:$AX$11,4,0),IF(LOOKUP(2,1/($AD$1:AD159=VLOOKUP(AJ159,$AN$2:$AX$11,5,0)),$AK$1:AK159)&lt;16,VLOOKUP(AJ159,$AN$2:$AX$11,5,0),IF(LOOKUP(2,1/($AD$1:AD159=VLOOKUP(AJ159,$AN$2:$AX$11,6,0)),$AK$1:AK159)&lt;16,VLOOKUP(AJ159,$AN$2:$AX$11,6,0),IF(LOOKUP(2,1/($AD$1:AD159=VLOOKUP(AJ159,$AN$2:$AX$11,7,0)),$AK$1:AK159)&lt;16,VLOOKUP(AJ159,$AN$2:$AX$11,7,0),IF(LOOKUP(2,1/($AD$1:AD159=VLOOKUP(AJ159,$AN$2:$AX$11,8,0)),$AK$1:AK159)&lt;16,VLOOKUP(AJ159,$AN$2:$AX$11,8,0),IF(LOOKUP(2,1/($AD$1:AD159=VLOOKUP(AJ159,$AN$2:$AX$11,9,0)),$AK$1:AK159)&lt;16,VLOOKUP(AJ159,$AN$2:$AX$11,9,0),IF(LOOKUP(2,1/($AD$1:AD159=VLOOKUP(AJ159,$AN$2:$AX$11,10,0)),$AK$1:AK159)&lt;16,VLOOKUP(AJ159,$AN$2:$AX$11,10,0),VLOOKUP(AJ159,$AN$2:$AX$11,11,0)))))))))),VLOOKUP(AJ159,$AN$2:$AX$11,2,0))</f>
        <v>Crouch</v>
      </c>
      <c r="AK160">
        <f>COUNTIF($AD$1:AD160,AD160)</f>
        <v>0</v>
      </c>
      <c r="AL160">
        <f>COUNTIF($AK$1:AK160,"16")</f>
        <v>0</v>
      </c>
      <c r="AZ160" s="32">
        <f t="shared" si="47"/>
        <v>200</v>
      </c>
      <c r="BA160" s="33">
        <f t="shared" si="48"/>
        <v>200</v>
      </c>
      <c r="BB160" s="33">
        <f t="shared" si="49"/>
        <v>200</v>
      </c>
      <c r="BC160" s="33">
        <f t="shared" si="50"/>
        <v>200</v>
      </c>
      <c r="BD160" s="33">
        <f t="shared" si="51"/>
        <v>200</v>
      </c>
      <c r="BE160" s="33">
        <f t="shared" si="52"/>
        <v>200</v>
      </c>
      <c r="BF160" s="33">
        <f t="shared" si="53"/>
        <v>200</v>
      </c>
      <c r="BG160" s="33">
        <f t="shared" si="54"/>
        <v>200</v>
      </c>
      <c r="BH160" s="33">
        <f t="shared" si="55"/>
        <v>200</v>
      </c>
      <c r="BI160" s="34">
        <f t="shared" si="56"/>
        <v>200</v>
      </c>
    </row>
    <row r="161" spans="28:61" ht="15.75" thickBot="1" x14ac:dyDescent="0.3">
      <c r="AB161" s="14" t="str">
        <f>AD161&amp;COUNTIF($AD$2:AD161,AD161)</f>
        <v>0</v>
      </c>
      <c r="AC161" s="137"/>
      <c r="AD161" s="137"/>
      <c r="AE161" s="146"/>
      <c r="AF161" s="30"/>
      <c r="AG161" s="30"/>
      <c r="AH161" s="30" t="str">
        <f>IFERROR(VLOOKUP(AC161,Players!$B:$N,5,0),"")</f>
        <v/>
      </c>
      <c r="AI161" s="30">
        <v>160</v>
      </c>
      <c r="AJ161" s="31" t="str">
        <f>IFERROR(IF(LOOKUP(2,1/($AD$1:AD160=VLOOKUP(AJ160,$AN$2:$AX$11,2,0)),$AK$1:AK160)&lt;16,VLOOKUP(AJ160,$AN$2:$AX$11,2,0),IF(LOOKUP(2,1/($AD$1:AD160=VLOOKUP(AJ160,$AN$2:$AX$11,3,0)),$AK$1:AK160)&lt;16,VLOOKUP(AJ160,$AN$2:$AX$11,3,0),IF(LOOKUP(2,1/($AD$1:AD160=VLOOKUP(AJ160,$AN$2:$AX$11,4,0)),$AK$1:AK160)&lt;16,VLOOKUP(AJ160,$AN$2:$AX$11,4,0),IF(LOOKUP(2,1/($AD$1:AD160=VLOOKUP(AJ160,$AN$2:$AX$11,5,0)),$AK$1:AK160)&lt;16,VLOOKUP(AJ160,$AN$2:$AX$11,5,0),IF(LOOKUP(2,1/($AD$1:AD160=VLOOKUP(AJ160,$AN$2:$AX$11,6,0)),$AK$1:AK160)&lt;16,VLOOKUP(AJ160,$AN$2:$AX$11,6,0),IF(LOOKUP(2,1/($AD$1:AD160=VLOOKUP(AJ160,$AN$2:$AX$11,7,0)),$AK$1:AK160)&lt;16,VLOOKUP(AJ160,$AN$2:$AX$11,7,0),IF(LOOKUP(2,1/($AD$1:AD160=VLOOKUP(AJ160,$AN$2:$AX$11,8,0)),$AK$1:AK160)&lt;16,VLOOKUP(AJ160,$AN$2:$AX$11,8,0),IF(LOOKUP(2,1/($AD$1:AD160=VLOOKUP(AJ160,$AN$2:$AX$11,9,0)),$AK$1:AK160)&lt;16,VLOOKUP(AJ160,$AN$2:$AX$11,9,0),IF(LOOKUP(2,1/($AD$1:AD160=VLOOKUP(AJ160,$AN$2:$AX$11,10,0)),$AK$1:AK160)&lt;16,VLOOKUP(AJ160,$AN$2:$AX$11,10,0),VLOOKUP(AJ160,$AN$2:$AX$11,11,0)))))))))),VLOOKUP(AJ160,$AN$2:$AX$11,2,0))</f>
        <v>Team 4</v>
      </c>
      <c r="AK161">
        <f>COUNTIF($AD$1:AD161,AD161)</f>
        <v>0</v>
      </c>
      <c r="AL161">
        <f>COUNTIF($AK$1:AK161,"16")</f>
        <v>0</v>
      </c>
      <c r="AZ161" s="35">
        <f t="shared" si="47"/>
        <v>200</v>
      </c>
      <c r="BA161" s="36">
        <f t="shared" si="48"/>
        <v>200</v>
      </c>
      <c r="BB161" s="36">
        <f t="shared" si="49"/>
        <v>200</v>
      </c>
      <c r="BC161" s="36">
        <f t="shared" si="50"/>
        <v>200</v>
      </c>
      <c r="BD161" s="36">
        <f t="shared" si="51"/>
        <v>200</v>
      </c>
      <c r="BE161" s="36">
        <f t="shared" si="52"/>
        <v>200</v>
      </c>
      <c r="BF161" s="36">
        <f t="shared" si="53"/>
        <v>200</v>
      </c>
      <c r="BG161" s="36">
        <f t="shared" si="54"/>
        <v>200</v>
      </c>
      <c r="BH161" s="36">
        <f t="shared" si="55"/>
        <v>200</v>
      </c>
      <c r="BI161" s="37">
        <f t="shared" si="56"/>
        <v>200</v>
      </c>
    </row>
    <row r="162" spans="28:61" x14ac:dyDescent="0.25">
      <c r="AJ162" s="68"/>
    </row>
    <row r="163" spans="28:61" x14ac:dyDescent="0.25">
      <c r="AC163" t="str">
        <f>Players!B2</f>
        <v>David Johnson</v>
      </c>
      <c r="AD163" t="str">
        <f t="shared" ref="AD163:AD172" si="57">AN2</f>
        <v>Team 5</v>
      </c>
      <c r="AJ163" s="68"/>
    </row>
    <row r="164" spans="28:61" x14ac:dyDescent="0.25">
      <c r="AC164" t="str">
        <f>Players!B3</f>
        <v>LeVeon Bell</v>
      </c>
      <c r="AD164" t="str">
        <f t="shared" si="57"/>
        <v>Team 9</v>
      </c>
      <c r="AJ164" s="68"/>
    </row>
    <row r="165" spans="28:61" x14ac:dyDescent="0.25">
      <c r="AC165" t="str">
        <f>Players!B4</f>
        <v>Ezekiel Elliott</v>
      </c>
      <c r="AD165" t="str">
        <f t="shared" si="57"/>
        <v>Team 3</v>
      </c>
      <c r="AJ165" s="68"/>
    </row>
    <row r="166" spans="28:61" x14ac:dyDescent="0.25">
      <c r="AC166" t="str">
        <f>Players!B5</f>
        <v>Antonio Brown</v>
      </c>
      <c r="AD166" t="str">
        <f t="shared" si="57"/>
        <v>Team 6</v>
      </c>
      <c r="AJ166" s="68"/>
    </row>
    <row r="167" spans="28:61" x14ac:dyDescent="0.25">
      <c r="AC167" t="str">
        <f>Players!B6</f>
        <v>Devonta Freeman</v>
      </c>
      <c r="AD167" t="str">
        <f t="shared" si="57"/>
        <v>Team 7</v>
      </c>
      <c r="AJ167" s="68"/>
    </row>
    <row r="168" spans="28:61" x14ac:dyDescent="0.25">
      <c r="AC168" t="str">
        <f>Players!B7</f>
        <v>LeSean McCoy</v>
      </c>
      <c r="AD168" t="str">
        <f t="shared" si="57"/>
        <v>Team 8</v>
      </c>
      <c r="AJ168" s="68"/>
    </row>
    <row r="169" spans="28:61" x14ac:dyDescent="0.25">
      <c r="AC169" t="str">
        <f>Players!B8</f>
        <v>Julio Jones</v>
      </c>
      <c r="AD169" t="str">
        <f t="shared" si="57"/>
        <v>Team Se</v>
      </c>
      <c r="AJ169" s="68"/>
    </row>
    <row r="170" spans="28:61" x14ac:dyDescent="0.25">
      <c r="AC170" t="str">
        <f>Players!B9</f>
        <v>Odell Beckham</v>
      </c>
      <c r="AD170" t="str">
        <f t="shared" si="57"/>
        <v>Team 10</v>
      </c>
      <c r="AJ170" s="68"/>
    </row>
    <row r="171" spans="28:61" x14ac:dyDescent="0.25">
      <c r="AC171" t="str">
        <f>Players!B10</f>
        <v>Jordan Howard</v>
      </c>
      <c r="AD171" t="str">
        <f t="shared" si="57"/>
        <v>Crouch</v>
      </c>
      <c r="AJ171" s="68"/>
    </row>
    <row r="172" spans="28:61" x14ac:dyDescent="0.25">
      <c r="AC172" t="str">
        <f>Players!B11</f>
        <v>Melvin Gordon</v>
      </c>
      <c r="AD172" t="str">
        <f t="shared" si="57"/>
        <v>Team 4</v>
      </c>
      <c r="AJ172" s="68"/>
    </row>
    <row r="173" spans="28:61" x14ac:dyDescent="0.25">
      <c r="AC173" t="str">
        <f>Players!B12</f>
        <v>Mike Evans</v>
      </c>
      <c r="AJ173" s="68"/>
    </row>
    <row r="174" spans="28:61" x14ac:dyDescent="0.25">
      <c r="AC174" t="str">
        <f>Players!B13</f>
        <v>Aaron Rodgers</v>
      </c>
      <c r="AJ174" s="68"/>
    </row>
    <row r="175" spans="28:61" x14ac:dyDescent="0.25">
      <c r="AC175" t="str">
        <f>Players!B14</f>
        <v>Jordy Nelson</v>
      </c>
      <c r="AJ175" s="68"/>
    </row>
    <row r="176" spans="28:61" x14ac:dyDescent="0.25">
      <c r="AC176" t="str">
        <f>Players!B15</f>
        <v>DeMarco Murray</v>
      </c>
      <c r="AJ176" s="68"/>
    </row>
    <row r="177" spans="29:36" x14ac:dyDescent="0.25">
      <c r="AC177" t="str">
        <f>Players!B16</f>
        <v>Travis Kelce</v>
      </c>
      <c r="AJ177" s="68"/>
    </row>
    <row r="178" spans="29:36" x14ac:dyDescent="0.25">
      <c r="AC178" t="str">
        <f>Players!B17</f>
        <v>Rob Gronkowski</v>
      </c>
      <c r="AJ178" s="68"/>
    </row>
    <row r="179" spans="29:36" x14ac:dyDescent="0.25">
      <c r="AC179" t="str">
        <f>Players!B18</f>
        <v>Jordan Reed</v>
      </c>
      <c r="AJ179" s="68"/>
    </row>
    <row r="180" spans="29:36" x14ac:dyDescent="0.25">
      <c r="AC180" t="str">
        <f>Players!B19</f>
        <v>Greg Olsen</v>
      </c>
      <c r="AJ180" s="68"/>
    </row>
    <row r="181" spans="29:36" x14ac:dyDescent="0.25">
      <c r="AC181" t="str">
        <f>Players!B20</f>
        <v>Jay Ajayi</v>
      </c>
      <c r="AJ181" s="68"/>
    </row>
    <row r="182" spans="29:36" x14ac:dyDescent="0.25">
      <c r="AC182" t="str">
        <f>Players!B21</f>
        <v>A.J. Green</v>
      </c>
      <c r="AJ182" s="68"/>
    </row>
    <row r="183" spans="29:36" x14ac:dyDescent="0.25">
      <c r="AC183" t="str">
        <f>Players!B22</f>
        <v>Michael Thomas</v>
      </c>
      <c r="AJ183" s="68"/>
    </row>
    <row r="184" spans="29:36" x14ac:dyDescent="0.25">
      <c r="AC184" t="str">
        <f>Players!B23</f>
        <v>Todd Gurley</v>
      </c>
      <c r="AJ184" s="68"/>
    </row>
    <row r="185" spans="29:36" x14ac:dyDescent="0.25">
      <c r="AC185" t="str">
        <f>Players!B24</f>
        <v>Tom Brady</v>
      </c>
      <c r="AJ185" s="68"/>
    </row>
    <row r="186" spans="29:36" x14ac:dyDescent="0.25">
      <c r="AC186" t="str">
        <f>Players!B25</f>
        <v>Redskins</v>
      </c>
      <c r="AJ186" s="68"/>
    </row>
    <row r="187" spans="29:36" x14ac:dyDescent="0.25">
      <c r="AC187" t="str">
        <f>Players!B26</f>
        <v>Lamar Miller</v>
      </c>
      <c r="AJ187" s="68"/>
    </row>
    <row r="188" spans="29:36" x14ac:dyDescent="0.25">
      <c r="AC188" t="str">
        <f>Players!B27</f>
        <v>T.Y. Hilton</v>
      </c>
      <c r="AJ188" s="68"/>
    </row>
    <row r="189" spans="29:36" x14ac:dyDescent="0.25">
      <c r="AC189" t="str">
        <f>Players!B28</f>
        <v>Leonard Fournette</v>
      </c>
      <c r="AJ189" s="68"/>
    </row>
    <row r="190" spans="29:36" x14ac:dyDescent="0.25">
      <c r="AC190" t="str">
        <f>Players!B29</f>
        <v>Doug Baldwin</v>
      </c>
      <c r="AJ190" s="68"/>
    </row>
    <row r="191" spans="29:36" x14ac:dyDescent="0.25">
      <c r="AC191" t="str">
        <f>Players!B30</f>
        <v>Kyle Rudolph</v>
      </c>
      <c r="AJ191" s="68"/>
    </row>
    <row r="192" spans="29:36" x14ac:dyDescent="0.25">
      <c r="AC192" t="str">
        <f>Players!B31</f>
        <v>Ty Montgomery</v>
      </c>
      <c r="AJ192" s="68"/>
    </row>
    <row r="193" spans="29:36" x14ac:dyDescent="0.25">
      <c r="AC193" t="str">
        <f>Players!B32</f>
        <v>Drew Brees</v>
      </c>
      <c r="AJ193" s="68"/>
    </row>
    <row r="194" spans="29:36" x14ac:dyDescent="0.25">
      <c r="AC194" t="str">
        <f>Players!B33</f>
        <v>Mark Ingram</v>
      </c>
      <c r="AJ194" s="68"/>
    </row>
    <row r="195" spans="29:36" x14ac:dyDescent="0.25">
      <c r="AC195" t="str">
        <f>Players!B34</f>
        <v>Isaiah Crowell</v>
      </c>
      <c r="AJ195" s="68"/>
    </row>
    <row r="196" spans="29:36" x14ac:dyDescent="0.25">
      <c r="AC196" t="str">
        <f>Players!B35</f>
        <v>Bilal Powell</v>
      </c>
      <c r="AJ196" s="68"/>
    </row>
    <row r="197" spans="29:36" x14ac:dyDescent="0.25">
      <c r="AC197" t="str">
        <f>Players!B36</f>
        <v>Marshawn Lynch</v>
      </c>
      <c r="AJ197" s="68"/>
    </row>
    <row r="198" spans="29:36" x14ac:dyDescent="0.25">
      <c r="AC198" t="str">
        <f>Players!B37</f>
        <v>Dez Bryant</v>
      </c>
      <c r="AJ198" s="68"/>
    </row>
    <row r="199" spans="29:36" x14ac:dyDescent="0.25">
      <c r="AC199" t="str">
        <f>Players!B38</f>
        <v>Amari Cooper</v>
      </c>
      <c r="AJ199" s="68"/>
    </row>
    <row r="200" spans="29:36" x14ac:dyDescent="0.25">
      <c r="AC200" t="str">
        <f>Players!B39</f>
        <v>49ers</v>
      </c>
      <c r="AJ200" s="68"/>
    </row>
    <row r="201" spans="29:36" x14ac:dyDescent="0.25">
      <c r="AC201" t="str">
        <f>Players!B40</f>
        <v>Jimmy Graham</v>
      </c>
      <c r="AJ201" s="68"/>
    </row>
    <row r="202" spans="29:36" x14ac:dyDescent="0.25">
      <c r="AC202" t="str">
        <f>Players!B41</f>
        <v>Matt Ryan</v>
      </c>
      <c r="AJ202" s="68"/>
    </row>
    <row r="203" spans="29:36" x14ac:dyDescent="0.25">
      <c r="AC203" t="str">
        <f>Players!B42</f>
        <v>Zach Ertz</v>
      </c>
      <c r="AJ203" s="68"/>
    </row>
    <row r="204" spans="29:36" x14ac:dyDescent="0.25">
      <c r="AC204" t="str">
        <f>Players!B43</f>
        <v>Justin Tucker</v>
      </c>
      <c r="AJ204" s="68"/>
    </row>
    <row r="205" spans="29:36" x14ac:dyDescent="0.25">
      <c r="AC205" t="str">
        <f>Players!B44</f>
        <v>Russell Wilson</v>
      </c>
      <c r="AJ205" s="68"/>
    </row>
    <row r="206" spans="29:36" x14ac:dyDescent="0.25">
      <c r="AC206" t="str">
        <f>Players!B45</f>
        <v>Jarvis Landry</v>
      </c>
      <c r="AJ206" s="68"/>
    </row>
    <row r="207" spans="29:36" x14ac:dyDescent="0.25">
      <c r="AC207" t="str">
        <f>Players!B46</f>
        <v>Demaryius Thomas</v>
      </c>
      <c r="AJ207" s="68"/>
    </row>
    <row r="208" spans="29:36" x14ac:dyDescent="0.25">
      <c r="AC208" t="str">
        <f>Players!B47</f>
        <v>Matt Bryant</v>
      </c>
      <c r="AJ208" s="68"/>
    </row>
    <row r="209" spans="29:36" x14ac:dyDescent="0.25">
      <c r="AC209" t="str">
        <f>Players!B48</f>
        <v>DeAndre Hopkins</v>
      </c>
      <c r="AJ209" s="68"/>
    </row>
    <row r="210" spans="29:36" x14ac:dyDescent="0.25">
      <c r="AC210" t="str">
        <f>Players!B49</f>
        <v>Delanie Walker</v>
      </c>
      <c r="AJ210" s="68"/>
    </row>
    <row r="211" spans="29:36" x14ac:dyDescent="0.25">
      <c r="AC211" t="str">
        <f>Players!B50</f>
        <v>Stephen Gostkowski</v>
      </c>
      <c r="AJ211" s="68"/>
    </row>
    <row r="212" spans="29:36" x14ac:dyDescent="0.25">
      <c r="AC212" t="str">
        <f>Players!B51</f>
        <v>Broncos</v>
      </c>
      <c r="AJ212" s="68"/>
    </row>
    <row r="213" spans="29:36" x14ac:dyDescent="0.25">
      <c r="AC213" t="str">
        <f>Players!B52</f>
        <v>Brandin Cooks</v>
      </c>
      <c r="AJ213" s="68"/>
    </row>
    <row r="214" spans="29:36" x14ac:dyDescent="0.25">
      <c r="AC214" t="str">
        <f>Players!B53</f>
        <v>Andrew Luck</v>
      </c>
      <c r="AJ214" s="68"/>
    </row>
    <row r="215" spans="29:36" x14ac:dyDescent="0.25">
      <c r="AC215" t="str">
        <f>Players!B54</f>
        <v>Patriots</v>
      </c>
      <c r="AJ215" s="68"/>
    </row>
    <row r="216" spans="29:36" x14ac:dyDescent="0.25">
      <c r="AC216" t="str">
        <f>Players!B55</f>
        <v>Christian McCaffrey</v>
      </c>
      <c r="AJ216" s="68"/>
    </row>
    <row r="217" spans="29:36" x14ac:dyDescent="0.25">
      <c r="AC217" t="str">
        <f>Players!B56</f>
        <v>Michael Crabtree</v>
      </c>
      <c r="AJ217" s="68"/>
    </row>
    <row r="218" spans="29:36" x14ac:dyDescent="0.25">
      <c r="AC218" t="str">
        <f>Players!B57</f>
        <v>Golden Tate</v>
      </c>
      <c r="AJ218" s="68"/>
    </row>
    <row r="219" spans="29:36" x14ac:dyDescent="0.25">
      <c r="AC219" t="str">
        <f>Players!B58</f>
        <v>Chiefs</v>
      </c>
      <c r="AJ219" s="68"/>
    </row>
    <row r="220" spans="29:36" x14ac:dyDescent="0.25">
      <c r="AC220" t="str">
        <f>Players!B59</f>
        <v>Allen Robinson</v>
      </c>
      <c r="AJ220" s="68"/>
    </row>
    <row r="221" spans="29:36" x14ac:dyDescent="0.25">
      <c r="AC221" t="str">
        <f>Players!B60</f>
        <v>Larry Fitzgerald</v>
      </c>
      <c r="AJ221" s="68"/>
    </row>
    <row r="222" spans="29:36" x14ac:dyDescent="0.25">
      <c r="AC222" t="str">
        <f>Players!B61</f>
        <v>Cam Newton</v>
      </c>
      <c r="AJ222" s="68"/>
    </row>
    <row r="223" spans="29:36" x14ac:dyDescent="0.25">
      <c r="AC223" t="str">
        <f>Players!B62</f>
        <v>Julian Edelman</v>
      </c>
      <c r="AJ223" s="68"/>
    </row>
    <row r="224" spans="29:36" x14ac:dyDescent="0.25">
      <c r="AC224" t="str">
        <f>Players!B63</f>
        <v>Cardinals</v>
      </c>
      <c r="AJ224" s="68"/>
    </row>
    <row r="225" spans="29:36" x14ac:dyDescent="0.25">
      <c r="AC225" t="str">
        <f>Players!B64</f>
        <v>Paul Perkins</v>
      </c>
      <c r="AJ225" s="68"/>
    </row>
    <row r="226" spans="29:36" x14ac:dyDescent="0.25">
      <c r="AC226" t="str">
        <f>Players!B65</f>
        <v>C.J. Anderson</v>
      </c>
      <c r="AJ226" s="68"/>
    </row>
    <row r="227" spans="29:36" x14ac:dyDescent="0.25">
      <c r="AC227" t="str">
        <f>Players!B66</f>
        <v>Rams</v>
      </c>
      <c r="AJ227" s="68"/>
    </row>
    <row r="228" spans="29:36" x14ac:dyDescent="0.25">
      <c r="AC228" t="str">
        <f>Players!B67</f>
        <v>Danny Woodhead</v>
      </c>
      <c r="AJ228" s="68"/>
    </row>
    <row r="229" spans="29:36" x14ac:dyDescent="0.25">
      <c r="AC229" t="str">
        <f>Players!B68</f>
        <v>Dan Bailey</v>
      </c>
      <c r="AJ229" s="68"/>
    </row>
    <row r="230" spans="29:36" x14ac:dyDescent="0.25">
      <c r="AC230" t="str">
        <f>Players!B69</f>
        <v>Seahawks</v>
      </c>
      <c r="AJ230" s="68"/>
    </row>
    <row r="231" spans="29:36" x14ac:dyDescent="0.25">
      <c r="AC231" t="str">
        <f>Players!B70</f>
        <v>Adam Vinatieri</v>
      </c>
      <c r="AJ231" s="68"/>
    </row>
    <row r="232" spans="29:36" x14ac:dyDescent="0.25">
      <c r="AC232" t="str">
        <f>Players!B71</f>
        <v>Tyreek Hill</v>
      </c>
      <c r="AJ232" s="68"/>
    </row>
    <row r="233" spans="29:36" x14ac:dyDescent="0.25">
      <c r="AC233" t="str">
        <f>Players!B72</f>
        <v>Carlos Hyde</v>
      </c>
      <c r="AJ233" s="68"/>
    </row>
    <row r="234" spans="29:36" x14ac:dyDescent="0.25">
      <c r="AC234" t="str">
        <f>Players!B73</f>
        <v>Martellus Bennett</v>
      </c>
      <c r="AJ234" s="68"/>
    </row>
    <row r="235" spans="29:36" x14ac:dyDescent="0.25">
      <c r="AC235" t="str">
        <f>Players!B74</f>
        <v>Tyler Eifert</v>
      </c>
      <c r="AJ235" s="68"/>
    </row>
    <row r="236" spans="29:36" x14ac:dyDescent="0.25">
      <c r="AC236" t="str">
        <f>Players!B75</f>
        <v>Spencer Ware</v>
      </c>
      <c r="AJ236" s="68"/>
    </row>
    <row r="237" spans="29:36" x14ac:dyDescent="0.25">
      <c r="AC237" t="str">
        <f>Players!B76</f>
        <v>Matt Prater</v>
      </c>
      <c r="AJ237" s="68"/>
    </row>
    <row r="238" spans="29:36" x14ac:dyDescent="0.25">
      <c r="AC238" t="str">
        <f>Players!B77</f>
        <v>Sammy Watkins</v>
      </c>
      <c r="AJ238" s="68"/>
    </row>
    <row r="239" spans="29:36" x14ac:dyDescent="0.25">
      <c r="AC239" t="str">
        <f>Players!B78</f>
        <v>Mason Crosby</v>
      </c>
      <c r="AJ239" s="68"/>
    </row>
    <row r="240" spans="29:36" x14ac:dyDescent="0.25">
      <c r="AC240" t="str">
        <f>Players!B79</f>
        <v>Bengals</v>
      </c>
      <c r="AJ240" s="68"/>
    </row>
    <row r="241" spans="29:36" x14ac:dyDescent="0.25">
      <c r="AC241" t="str">
        <f>Players!B80</f>
        <v>Terrelle Pryor</v>
      </c>
      <c r="AJ241" s="68"/>
    </row>
    <row r="242" spans="29:36" x14ac:dyDescent="0.25">
      <c r="AC242" t="str">
        <f>Players!B81</f>
        <v>Alshon Jeffery</v>
      </c>
      <c r="AJ242" s="68"/>
    </row>
    <row r="243" spans="29:36" x14ac:dyDescent="0.25">
      <c r="AC243" t="str">
        <f>Players!B82</f>
        <v>Jameis Winston</v>
      </c>
      <c r="AJ243" s="68"/>
    </row>
    <row r="244" spans="29:36" x14ac:dyDescent="0.25">
      <c r="AC244" t="str">
        <f>Players!B83</f>
        <v>Panthers</v>
      </c>
      <c r="AJ244" s="68"/>
    </row>
    <row r="245" spans="29:36" x14ac:dyDescent="0.25">
      <c r="AC245" t="str">
        <f>Players!B84</f>
        <v>Kirk Cousins</v>
      </c>
      <c r="AJ245" s="68"/>
    </row>
    <row r="246" spans="29:36" x14ac:dyDescent="0.25">
      <c r="AC246" t="str">
        <f>Players!B85</f>
        <v>Wil Lutz</v>
      </c>
      <c r="AJ246" s="68"/>
    </row>
    <row r="247" spans="29:36" x14ac:dyDescent="0.25">
      <c r="AC247" t="str">
        <f>Players!B86</f>
        <v>Dak Prescott</v>
      </c>
      <c r="AJ247" s="68"/>
    </row>
    <row r="248" spans="29:36" x14ac:dyDescent="0.25">
      <c r="AC248" t="str">
        <f>Players!B87</f>
        <v>Blair Walsh</v>
      </c>
      <c r="AJ248" s="68"/>
    </row>
    <row r="249" spans="29:36" x14ac:dyDescent="0.25">
      <c r="AC249" t="str">
        <f>Players!B88</f>
        <v>Emmanuel Sanders</v>
      </c>
      <c r="AJ249" s="68"/>
    </row>
    <row r="250" spans="29:36" x14ac:dyDescent="0.25">
      <c r="AC250" t="str">
        <f>Players!B89</f>
        <v>Keenan Allen</v>
      </c>
      <c r="AJ250" s="68"/>
    </row>
    <row r="251" spans="29:36" x14ac:dyDescent="0.25">
      <c r="AC251" t="str">
        <f>Players!B90</f>
        <v>Tevin Coleman</v>
      </c>
      <c r="AJ251" s="68"/>
    </row>
    <row r="252" spans="29:36" x14ac:dyDescent="0.25">
      <c r="AC252" t="str">
        <f>Players!B91</f>
        <v>Caleb Sturgis</v>
      </c>
      <c r="AJ252" s="68"/>
    </row>
    <row r="253" spans="29:36" x14ac:dyDescent="0.25">
      <c r="AC253" t="str">
        <f>Players!B92</f>
        <v>Frank Gore</v>
      </c>
      <c r="AJ253" s="68"/>
    </row>
    <row r="254" spans="29:36" x14ac:dyDescent="0.25">
      <c r="AC254" t="str">
        <f>Players!B93</f>
        <v>Stefon Diggs</v>
      </c>
      <c r="AJ254" s="68"/>
    </row>
    <row r="255" spans="29:36" x14ac:dyDescent="0.25">
      <c r="AC255" t="str">
        <f>Players!B94</f>
        <v>Sebastian Janikowski</v>
      </c>
      <c r="AJ255" s="68"/>
    </row>
    <row r="256" spans="29:36" x14ac:dyDescent="0.25">
      <c r="AC256" t="str">
        <f>Players!B95</f>
        <v>Tyrod Taylor</v>
      </c>
      <c r="AJ256" s="68"/>
    </row>
    <row r="257" spans="29:36" x14ac:dyDescent="0.25">
      <c r="AC257" t="str">
        <f>Players!B96</f>
        <v>Graham Gano</v>
      </c>
      <c r="AJ257" s="68"/>
    </row>
    <row r="258" spans="29:36" x14ac:dyDescent="0.25">
      <c r="AC258" t="str">
        <f>Players!B97</f>
        <v>Vikings</v>
      </c>
      <c r="AJ258" s="68"/>
    </row>
    <row r="259" spans="29:36" x14ac:dyDescent="0.25">
      <c r="AC259" t="str">
        <f>Players!B98</f>
        <v>Cairo Santos</v>
      </c>
      <c r="AJ259" s="68"/>
    </row>
    <row r="260" spans="29:36" x14ac:dyDescent="0.25">
      <c r="AC260" t="str">
        <f>Players!B99</f>
        <v>Theo Riddick</v>
      </c>
      <c r="AJ260" s="68"/>
    </row>
    <row r="261" spans="29:36" x14ac:dyDescent="0.25">
      <c r="AC261" t="str">
        <f>Players!B100</f>
        <v>Davante Adams</v>
      </c>
      <c r="AJ261" s="68"/>
    </row>
    <row r="262" spans="29:36" x14ac:dyDescent="0.25">
      <c r="AC262" t="str">
        <f>Players!B101</f>
        <v>Marcus Mariota</v>
      </c>
      <c r="AJ262" s="68"/>
    </row>
    <row r="263" spans="29:36" x14ac:dyDescent="0.25">
      <c r="AC263" t="str">
        <f>Players!B102</f>
        <v>Joe Mixon</v>
      </c>
      <c r="AJ263" s="68"/>
    </row>
    <row r="264" spans="29:36" x14ac:dyDescent="0.25">
      <c r="AC264" t="str">
        <f>Players!B103</f>
        <v>Texans</v>
      </c>
      <c r="AJ264" s="68"/>
    </row>
    <row r="265" spans="29:36" x14ac:dyDescent="0.25">
      <c r="AC265" t="str">
        <f>Players!B104</f>
        <v>Chris Boswell</v>
      </c>
      <c r="AJ265" s="68"/>
    </row>
    <row r="266" spans="29:36" x14ac:dyDescent="0.25">
      <c r="AC266" t="str">
        <f>Players!B105</f>
        <v>Eric Ebron</v>
      </c>
      <c r="AJ266" s="68"/>
    </row>
    <row r="267" spans="29:36" x14ac:dyDescent="0.25">
      <c r="AC267" t="str">
        <f>Players!B106</f>
        <v>Dustin Hopkins</v>
      </c>
      <c r="AJ267" s="68"/>
    </row>
    <row r="268" spans="29:36" x14ac:dyDescent="0.25">
      <c r="AC268" t="str">
        <f>Players!B107</f>
        <v>Duke Johnson</v>
      </c>
      <c r="AJ268" s="68"/>
    </row>
    <row r="269" spans="29:36" x14ac:dyDescent="0.25">
      <c r="AC269" t="str">
        <f>Players!B108</f>
        <v>Jason Witten</v>
      </c>
      <c r="AJ269" s="68"/>
    </row>
    <row r="270" spans="29:36" x14ac:dyDescent="0.25">
      <c r="AC270" t="str">
        <f>Players!B109</f>
        <v>Brandon McManus</v>
      </c>
      <c r="AJ270" s="68"/>
    </row>
    <row r="271" spans="29:36" x14ac:dyDescent="0.25">
      <c r="AC271" t="str">
        <f>Players!B110</f>
        <v>Jack Doyle</v>
      </c>
      <c r="AJ271" s="68"/>
    </row>
    <row r="272" spans="29:36" x14ac:dyDescent="0.25">
      <c r="AC272" t="str">
        <f>Players!B111</f>
        <v>Kelvin Benjamin</v>
      </c>
      <c r="AJ272" s="68"/>
    </row>
    <row r="273" spans="29:36" x14ac:dyDescent="0.25">
      <c r="AC273" t="str">
        <f>Players!B112</f>
        <v>Dalvin Cook</v>
      </c>
      <c r="AJ273" s="68"/>
    </row>
    <row r="274" spans="29:36" x14ac:dyDescent="0.25">
      <c r="AC274" t="str">
        <f>Players!B113</f>
        <v>Eagles</v>
      </c>
      <c r="AJ274" s="68"/>
    </row>
    <row r="275" spans="29:36" x14ac:dyDescent="0.25">
      <c r="AC275" t="str">
        <f>Players!B114</f>
        <v>Matthew Stafford</v>
      </c>
      <c r="AJ275" s="68"/>
    </row>
    <row r="276" spans="29:36" x14ac:dyDescent="0.25">
      <c r="AC276" t="str">
        <f>Players!B115</f>
        <v>Giants</v>
      </c>
      <c r="AJ276" s="68"/>
    </row>
    <row r="277" spans="29:36" x14ac:dyDescent="0.25">
      <c r="AC277" t="str">
        <f>Players!B116</f>
        <v>Falcons</v>
      </c>
      <c r="AJ277" s="68"/>
    </row>
    <row r="278" spans="29:36" x14ac:dyDescent="0.25">
      <c r="AC278" t="str">
        <f>Players!B117</f>
        <v>Steelers</v>
      </c>
      <c r="AJ278" s="68"/>
    </row>
    <row r="279" spans="29:36" x14ac:dyDescent="0.25">
      <c r="AC279" t="str">
        <f>Players!B118</f>
        <v>Buccaneers</v>
      </c>
      <c r="AJ279" s="68"/>
    </row>
    <row r="280" spans="29:36" x14ac:dyDescent="0.25">
      <c r="AC280" t="str">
        <f>Players!B119</f>
        <v>Matt Forte</v>
      </c>
      <c r="AJ280" s="68"/>
    </row>
    <row r="281" spans="29:36" x14ac:dyDescent="0.25">
      <c r="AC281" t="str">
        <f>Players!B120</f>
        <v>Nick Novak</v>
      </c>
      <c r="AJ281" s="68"/>
    </row>
    <row r="282" spans="29:36" x14ac:dyDescent="0.25">
      <c r="AC282" t="str">
        <f>Players!B121</f>
        <v>Ameer Abdullah</v>
      </c>
      <c r="AJ282" s="68"/>
    </row>
    <row r="283" spans="29:36" x14ac:dyDescent="0.25">
      <c r="AC283" t="str">
        <f>Players!B122</f>
        <v>Hunter Henry</v>
      </c>
      <c r="AJ283" s="68"/>
    </row>
    <row r="284" spans="29:36" x14ac:dyDescent="0.25">
      <c r="AC284" t="str">
        <f>Players!B123</f>
        <v>Terrance West</v>
      </c>
      <c r="AJ284" s="68"/>
    </row>
    <row r="285" spans="29:36" x14ac:dyDescent="0.25">
      <c r="AC285" t="str">
        <f>Players!B124</f>
        <v>Jamison Crowder</v>
      </c>
      <c r="AJ285" s="68"/>
    </row>
    <row r="286" spans="29:36" x14ac:dyDescent="0.25">
      <c r="AC286" t="str">
        <f>Players!B125</f>
        <v>Pierre Garcon</v>
      </c>
      <c r="AJ286" s="68"/>
    </row>
    <row r="287" spans="29:36" x14ac:dyDescent="0.25">
      <c r="AC287" t="str">
        <f>Players!B126</f>
        <v>Titans</v>
      </c>
      <c r="AJ287" s="68"/>
    </row>
    <row r="288" spans="29:36" x14ac:dyDescent="0.25">
      <c r="AC288" t="str">
        <f>Players!B127</f>
        <v>Kai Forbath</v>
      </c>
      <c r="AJ288" s="68"/>
    </row>
    <row r="289" spans="29:36" x14ac:dyDescent="0.25">
      <c r="AC289" t="str">
        <f>Players!B128</f>
        <v>Jason Myers</v>
      </c>
      <c r="AJ289" s="68"/>
    </row>
    <row r="290" spans="29:36" x14ac:dyDescent="0.25">
      <c r="AC290" t="str">
        <f>Players!B129</f>
        <v>Ryan Succop</v>
      </c>
      <c r="AJ290" s="68"/>
    </row>
    <row r="291" spans="29:36" x14ac:dyDescent="0.25">
      <c r="AC291" t="str">
        <f>Players!B130</f>
        <v>Derek Carr</v>
      </c>
      <c r="AJ291" s="68"/>
    </row>
    <row r="292" spans="29:36" x14ac:dyDescent="0.25">
      <c r="AC292" t="str">
        <f>Players!B131</f>
        <v>Josh Lambo</v>
      </c>
      <c r="AJ292" s="68"/>
    </row>
    <row r="293" spans="29:36" x14ac:dyDescent="0.25">
      <c r="AC293" t="str">
        <f>Players!B132</f>
        <v>Phil Dawson</v>
      </c>
      <c r="AJ293" s="68"/>
    </row>
    <row r="294" spans="29:36" x14ac:dyDescent="0.25">
      <c r="AC294" t="str">
        <f>Players!B133</f>
        <v>Ravens</v>
      </c>
      <c r="AJ294" s="68"/>
    </row>
    <row r="295" spans="29:36" x14ac:dyDescent="0.25">
      <c r="AC295" t="str">
        <f>Players!B134</f>
        <v>Dolphins</v>
      </c>
      <c r="AJ295" s="68"/>
    </row>
    <row r="296" spans="29:36" x14ac:dyDescent="0.25">
      <c r="AC296" t="str">
        <f>Players!B135</f>
        <v>Bills</v>
      </c>
      <c r="AJ296" s="68"/>
    </row>
    <row r="297" spans="29:36" x14ac:dyDescent="0.25">
      <c r="AC297" t="str">
        <f>Players!B136</f>
        <v>Eddie Lacy</v>
      </c>
      <c r="AJ297" s="68"/>
    </row>
    <row r="298" spans="29:36" x14ac:dyDescent="0.25">
      <c r="AC298" t="str">
        <f>Players!B137</f>
        <v>Jaguars</v>
      </c>
      <c r="AJ298" s="68"/>
    </row>
    <row r="299" spans="29:36" x14ac:dyDescent="0.25">
      <c r="AC299" t="str">
        <f>Players!B138</f>
        <v>Randall Cobb</v>
      </c>
      <c r="AJ299" s="68"/>
    </row>
    <row r="300" spans="29:36" x14ac:dyDescent="0.25">
      <c r="AC300" t="str">
        <f>Players!B139</f>
        <v>Raiders</v>
      </c>
      <c r="AJ300" s="68"/>
    </row>
    <row r="301" spans="29:36" x14ac:dyDescent="0.25">
      <c r="AC301" t="str">
        <f>Players!B140</f>
        <v>James White</v>
      </c>
      <c r="AJ301" s="68"/>
    </row>
    <row r="302" spans="29:36" x14ac:dyDescent="0.25">
      <c r="AC302" t="str">
        <f>Players!B141</f>
        <v>Andy Dalton</v>
      </c>
      <c r="AJ302" s="68"/>
    </row>
    <row r="303" spans="29:36" x14ac:dyDescent="0.25">
      <c r="AC303" t="str">
        <f>Players!B142</f>
        <v>Chargers</v>
      </c>
      <c r="AJ303" s="68"/>
    </row>
    <row r="304" spans="29:36" x14ac:dyDescent="0.25">
      <c r="AC304" t="str">
        <f>Players!B143</f>
        <v>Steven Hauschka</v>
      </c>
      <c r="AJ304" s="68"/>
    </row>
    <row r="305" spans="29:36" x14ac:dyDescent="0.25">
      <c r="AC305" t="str">
        <f>Players!B144</f>
        <v>Packers</v>
      </c>
      <c r="AJ305" s="68"/>
    </row>
    <row r="306" spans="29:36" x14ac:dyDescent="0.25">
      <c r="AC306" t="str">
        <f>Players!B145</f>
        <v>Willie Snead</v>
      </c>
      <c r="AJ306" s="68"/>
    </row>
    <row r="307" spans="29:36" x14ac:dyDescent="0.25">
      <c r="AC307" t="str">
        <f>Players!B146</f>
        <v>Mike Gillislee</v>
      </c>
      <c r="AJ307" s="68"/>
    </row>
    <row r="308" spans="29:36" x14ac:dyDescent="0.25">
      <c r="AC308" t="str">
        <f>Players!B147</f>
        <v>Cowboys</v>
      </c>
      <c r="AJ308" s="68"/>
    </row>
    <row r="309" spans="29:36" x14ac:dyDescent="0.25">
      <c r="AC309" t="str">
        <f>Players!B148</f>
        <v>Colts</v>
      </c>
      <c r="AJ309" s="68"/>
    </row>
    <row r="310" spans="29:36" x14ac:dyDescent="0.25">
      <c r="AC310" t="str">
        <f>Players!B149</f>
        <v>Philip Rivers</v>
      </c>
      <c r="AJ310" s="68"/>
    </row>
    <row r="311" spans="29:36" x14ac:dyDescent="0.25">
      <c r="AC311" t="str">
        <f>Players!B150</f>
        <v>Cameron Meredith</v>
      </c>
      <c r="AJ311" s="68"/>
    </row>
    <row r="312" spans="29:36" x14ac:dyDescent="0.25">
      <c r="AC312" t="str">
        <f>Players!B151</f>
        <v>Adrian Peterson</v>
      </c>
      <c r="AJ312" s="68"/>
    </row>
    <row r="313" spans="29:36" x14ac:dyDescent="0.25">
      <c r="AC313" t="str">
        <f>Players!B152</f>
        <v>Cameron Brate</v>
      </c>
      <c r="AJ313" s="68"/>
    </row>
    <row r="314" spans="29:36" x14ac:dyDescent="0.25">
      <c r="AC314" t="str">
        <f>Players!B153</f>
        <v>Coby Fleener</v>
      </c>
      <c r="AJ314" s="68"/>
    </row>
    <row r="315" spans="29:36" x14ac:dyDescent="0.25">
      <c r="AC315" t="str">
        <f>Players!B154</f>
        <v>Ben Roethlisberger</v>
      </c>
      <c r="AJ315" s="68"/>
    </row>
    <row r="316" spans="29:36" x14ac:dyDescent="0.25">
      <c r="AC316" t="str">
        <f>Players!B155</f>
        <v>Saints</v>
      </c>
      <c r="AJ316" s="68"/>
    </row>
    <row r="317" spans="29:36" x14ac:dyDescent="0.25">
      <c r="AC317" t="str">
        <f>Players!B156</f>
        <v>Darren Sproles</v>
      </c>
      <c r="AJ317" s="68"/>
    </row>
    <row r="318" spans="29:36" x14ac:dyDescent="0.25">
      <c r="AC318" t="str">
        <f>Players!B157</f>
        <v>Charles Clay</v>
      </c>
      <c r="AJ318" s="68"/>
    </row>
    <row r="319" spans="29:36" x14ac:dyDescent="0.25">
      <c r="AC319" t="str">
        <f>Players!B158</f>
        <v>C.J. Fiedorowicz</v>
      </c>
      <c r="AJ319" s="68"/>
    </row>
    <row r="320" spans="29:36" x14ac:dyDescent="0.25">
      <c r="AC320" t="str">
        <f>Players!B159</f>
        <v>Eric Decker</v>
      </c>
      <c r="AJ320" s="68"/>
    </row>
    <row r="321" spans="29:36" x14ac:dyDescent="0.25">
      <c r="AC321" t="str">
        <f>Players!B160</f>
        <v>Donte Moncrief</v>
      </c>
      <c r="AJ321" s="68"/>
    </row>
    <row r="322" spans="29:36" x14ac:dyDescent="0.25">
      <c r="AC322" t="str">
        <f>Players!B161</f>
        <v>Brandon Marshall</v>
      </c>
      <c r="AJ322" s="68"/>
    </row>
    <row r="323" spans="29:36" x14ac:dyDescent="0.25">
      <c r="AC323" t="str">
        <f>Players!B162</f>
        <v>Martavis Bryant</v>
      </c>
      <c r="AJ323" s="68"/>
    </row>
    <row r="324" spans="29:36" x14ac:dyDescent="0.25">
      <c r="AC324" t="str">
        <f>Players!B163</f>
        <v>Blake Bortles</v>
      </c>
      <c r="AJ324" s="68"/>
    </row>
    <row r="325" spans="29:36" x14ac:dyDescent="0.25">
      <c r="AC325" t="str">
        <f>Players!B164</f>
        <v>Robbie Gould</v>
      </c>
      <c r="AJ325" s="68"/>
    </row>
    <row r="326" spans="29:36" x14ac:dyDescent="0.25">
      <c r="AC326" t="str">
        <f>Players!B165</f>
        <v>DeVante Parker</v>
      </c>
      <c r="AJ326" s="68"/>
    </row>
    <row r="327" spans="29:36" x14ac:dyDescent="0.25">
      <c r="AC327" t="str">
        <f>Players!B166</f>
        <v>Bears</v>
      </c>
      <c r="AJ327" s="68"/>
    </row>
    <row r="328" spans="29:36" x14ac:dyDescent="0.25">
      <c r="AC328" t="str">
        <f>Players!B167</f>
        <v>DeSean Jackson</v>
      </c>
      <c r="AJ328" s="68"/>
    </row>
    <row r="329" spans="29:36" x14ac:dyDescent="0.25">
      <c r="AC329" t="str">
        <f>Players!B168</f>
        <v>Connor Barth</v>
      </c>
      <c r="AJ329" s="68"/>
    </row>
    <row r="330" spans="29:36" x14ac:dyDescent="0.25">
      <c r="AC330" t="str">
        <f>Players!B169</f>
        <v>Jets</v>
      </c>
      <c r="AJ330" s="68"/>
    </row>
    <row r="331" spans="29:36" x14ac:dyDescent="0.25">
      <c r="AC331" t="str">
        <f>Players!B170</f>
        <v>Chandler Catanzaro</v>
      </c>
      <c r="AJ331" s="68"/>
    </row>
    <row r="332" spans="29:36" x14ac:dyDescent="0.25">
      <c r="AC332" t="str">
        <f>Players!B171</f>
        <v>Lions</v>
      </c>
      <c r="AJ332" s="68"/>
    </row>
    <row r="333" spans="29:36" x14ac:dyDescent="0.25">
      <c r="AC333" t="str">
        <f>Players!B172</f>
        <v>Mike Wallace</v>
      </c>
      <c r="AJ333" s="68"/>
    </row>
    <row r="334" spans="29:36" x14ac:dyDescent="0.25">
      <c r="AC334" t="str">
        <f>Players!B173</f>
        <v>Tyrell Williams</v>
      </c>
      <c r="AJ334" s="68"/>
    </row>
    <row r="335" spans="29:36" x14ac:dyDescent="0.25">
      <c r="AC335" t="str">
        <f>Players!B174</f>
        <v>Jared Cook</v>
      </c>
      <c r="AJ335" s="68"/>
    </row>
    <row r="336" spans="29:36" x14ac:dyDescent="0.25">
      <c r="AC336" t="str">
        <f>Players!B175</f>
        <v>Rishard Matthews</v>
      </c>
      <c r="AJ336" s="68"/>
    </row>
    <row r="337" spans="29:36" x14ac:dyDescent="0.25">
      <c r="AC337" t="str">
        <f>Players!B176</f>
        <v>Julius Thomas</v>
      </c>
      <c r="AJ337" s="68"/>
    </row>
    <row r="338" spans="29:36" x14ac:dyDescent="0.25">
      <c r="AC338" t="str">
        <f>Players!B177</f>
        <v>LeGarrette Blount</v>
      </c>
      <c r="AJ338" s="68"/>
    </row>
    <row r="339" spans="29:36" x14ac:dyDescent="0.25">
      <c r="AC339" t="str">
        <f>Players!B178</f>
        <v>Browns</v>
      </c>
      <c r="AJ339" s="68"/>
    </row>
    <row r="340" spans="29:36" x14ac:dyDescent="0.25">
      <c r="AC340" t="str">
        <f>Players!B179</f>
        <v>Greg Zuerlein</v>
      </c>
      <c r="AJ340" s="68"/>
    </row>
    <row r="341" spans="29:36" x14ac:dyDescent="0.25">
      <c r="AC341" t="str">
        <f>Players!B180</f>
        <v>Antonio Gates</v>
      </c>
      <c r="AJ341" s="68"/>
    </row>
    <row r="342" spans="29:36" x14ac:dyDescent="0.25">
      <c r="AC342" t="str">
        <f>Players!B181</f>
        <v>Carson Wentz</v>
      </c>
      <c r="AJ342" s="68"/>
    </row>
    <row r="343" spans="29:36" x14ac:dyDescent="0.25">
      <c r="AC343" t="str">
        <f>Players!B182</f>
        <v>Jeremy Maclin</v>
      </c>
      <c r="AJ343" s="68"/>
    </row>
    <row r="344" spans="29:36" x14ac:dyDescent="0.25">
      <c r="AC344" t="str">
        <f>Players!B183</f>
        <v>Carson Palmer</v>
      </c>
      <c r="AJ344" s="68"/>
    </row>
    <row r="345" spans="29:36" x14ac:dyDescent="0.25">
      <c r="AC345" t="str">
        <f>Players!B184</f>
        <v>Chris Thompson</v>
      </c>
      <c r="AJ345" s="68"/>
    </row>
    <row r="346" spans="29:36" x14ac:dyDescent="0.25">
      <c r="AC346" t="str">
        <f>Players!B185</f>
        <v>Doug Martin</v>
      </c>
      <c r="AJ346" s="68"/>
    </row>
    <row r="347" spans="29:36" x14ac:dyDescent="0.25">
      <c r="AC347" t="str">
        <f>Players!B186</f>
        <v>Andrew Franks</v>
      </c>
      <c r="AJ347" s="68"/>
    </row>
    <row r="348" spans="29:36" x14ac:dyDescent="0.25">
      <c r="AC348" t="str">
        <f>Players!B187</f>
        <v>Jonathan Stewart</v>
      </c>
      <c r="AJ348" s="68"/>
    </row>
    <row r="349" spans="29:36" x14ac:dyDescent="0.25">
      <c r="AC349" t="str">
        <f>Players!B188</f>
        <v>Kenny Britt</v>
      </c>
      <c r="AJ349" s="68"/>
    </row>
    <row r="350" spans="29:36" x14ac:dyDescent="0.25">
      <c r="AC350" t="str">
        <f>Players!B189</f>
        <v>Austin Hooper</v>
      </c>
      <c r="AJ350" s="68"/>
    </row>
    <row r="351" spans="29:36" x14ac:dyDescent="0.25">
      <c r="AC351" t="str">
        <f>Players!B190</f>
        <v>Eli Manning</v>
      </c>
      <c r="AJ351" s="68"/>
    </row>
    <row r="352" spans="29:36" x14ac:dyDescent="0.25">
      <c r="AC352" t="str">
        <f>Players!B191</f>
        <v>Rob Kelley</v>
      </c>
      <c r="AJ352" s="68"/>
    </row>
    <row r="353" spans="29:36" x14ac:dyDescent="0.25">
      <c r="AC353" t="str">
        <f>Players!B192</f>
        <v>C.J. Prosise</v>
      </c>
      <c r="AJ353" s="68"/>
    </row>
    <row r="354" spans="29:36" x14ac:dyDescent="0.25">
      <c r="AC354" t="str">
        <f>Players!B193</f>
        <v>Charles Sims</v>
      </c>
      <c r="AJ354" s="68"/>
    </row>
    <row r="355" spans="29:36" x14ac:dyDescent="0.25">
      <c r="AC355" t="str">
        <f>Players!B194</f>
        <v>Ryan Tannehill</v>
      </c>
      <c r="AJ355" s="68"/>
    </row>
    <row r="356" spans="29:36" x14ac:dyDescent="0.25">
      <c r="AC356" t="str">
        <f>Players!B195</f>
        <v>Kareem Hunt</v>
      </c>
      <c r="AJ356" s="68"/>
    </row>
    <row r="357" spans="29:36" x14ac:dyDescent="0.25">
      <c r="AC357" t="str">
        <f>Players!B196</f>
        <v>Aldrick Rosas</v>
      </c>
      <c r="AJ357" s="68"/>
    </row>
    <row r="358" spans="29:36" x14ac:dyDescent="0.25">
      <c r="AC358" t="str">
        <f>Players!B197</f>
        <v>Adam Thielen</v>
      </c>
      <c r="AJ358" s="68"/>
    </row>
    <row r="359" spans="29:36" x14ac:dyDescent="0.25">
      <c r="AC359" t="str">
        <f>Players!B198</f>
        <v>O.J. Howard</v>
      </c>
      <c r="AJ359" s="68"/>
    </row>
    <row r="360" spans="29:36" x14ac:dyDescent="0.25">
      <c r="AC360" t="str">
        <f>Players!B199</f>
        <v>David Njoku</v>
      </c>
      <c r="AJ360" s="68"/>
    </row>
    <row r="361" spans="29:36" x14ac:dyDescent="0.25">
      <c r="AC361" t="str">
        <f>Players!B200</f>
        <v>Giovani Bernard</v>
      </c>
      <c r="AJ361" s="68"/>
    </row>
    <row r="362" spans="29:36" x14ac:dyDescent="0.25">
      <c r="AC362" t="str">
        <f>Players!B201</f>
        <v>Shane Vereen</v>
      </c>
      <c r="AJ362" s="68"/>
    </row>
    <row r="363" spans="29:36" x14ac:dyDescent="0.25">
      <c r="AC363" t="str">
        <f>Players!B202</f>
        <v>Marvin Jones</v>
      </c>
      <c r="AJ363" s="68"/>
    </row>
    <row r="364" spans="29:36" x14ac:dyDescent="0.25">
      <c r="AC364" t="str">
        <f>Players!B203</f>
        <v>Evan Engram</v>
      </c>
      <c r="AJ364" s="68"/>
    </row>
    <row r="365" spans="29:36" x14ac:dyDescent="0.25">
      <c r="AC365" t="str">
        <f>Players!B204</f>
        <v>Quincy Enunwa</v>
      </c>
      <c r="AJ365" s="68"/>
    </row>
    <row r="366" spans="29:36" x14ac:dyDescent="0.25">
      <c r="AC366" t="str">
        <f>Players!B205</f>
        <v>Latavius Murray</v>
      </c>
      <c r="AJ366" s="68"/>
    </row>
    <row r="367" spans="29:36" x14ac:dyDescent="0.25">
      <c r="AC367" t="str">
        <f>Players!B206</f>
        <v>Randy Bullock</v>
      </c>
      <c r="AJ367" s="68"/>
    </row>
    <row r="368" spans="29:36" x14ac:dyDescent="0.25">
      <c r="AC368" t="str">
        <f>Players!B207</f>
        <v>Corey Coleman</v>
      </c>
      <c r="AJ368" s="68"/>
    </row>
    <row r="369" spans="29:36" x14ac:dyDescent="0.25">
      <c r="AC369" t="str">
        <f>Players!B208</f>
        <v>Alex Smith</v>
      </c>
      <c r="AJ369" s="68"/>
    </row>
    <row r="370" spans="29:36" x14ac:dyDescent="0.25">
      <c r="AC370" t="str">
        <f>Players!B209</f>
        <v>Jake Elliott</v>
      </c>
      <c r="AJ370" s="68"/>
    </row>
    <row r="371" spans="29:36" x14ac:dyDescent="0.25">
      <c r="AC371" t="str">
        <f>Players!B210</f>
        <v>Jordan Matthews</v>
      </c>
      <c r="AJ371" s="68"/>
    </row>
    <row r="372" spans="29:36" x14ac:dyDescent="0.25">
      <c r="AC372" t="str">
        <f>Players!B211</f>
        <v>John Brown</v>
      </c>
      <c r="AJ372" s="68"/>
    </row>
    <row r="373" spans="29:36" x14ac:dyDescent="0.25">
      <c r="AC373" t="str">
        <f>Players!B212</f>
        <v>Derrick Henry</v>
      </c>
      <c r="AJ373" s="68"/>
    </row>
    <row r="374" spans="29:36" x14ac:dyDescent="0.25">
      <c r="AC374" t="str">
        <f>Players!B213</f>
        <v>Roberto Aguayo</v>
      </c>
      <c r="AJ374" s="68"/>
    </row>
    <row r="375" spans="29:36" x14ac:dyDescent="0.25">
      <c r="AC375" t="str">
        <f>Players!B214</f>
        <v>Joe Flacco</v>
      </c>
      <c r="AJ375" s="68"/>
    </row>
    <row r="376" spans="29:36" x14ac:dyDescent="0.25">
      <c r="AC376" t="str">
        <f>Players!B215</f>
        <v>Jesse James</v>
      </c>
      <c r="AJ376" s="68"/>
    </row>
    <row r="377" spans="29:36" x14ac:dyDescent="0.25">
      <c r="AC377" t="str">
        <f>Players!B216</f>
        <v>Tavon Austin</v>
      </c>
      <c r="AJ377" s="68"/>
    </row>
    <row r="378" spans="29:36" x14ac:dyDescent="0.25">
      <c r="AC378" t="str">
        <f>Players!B217</f>
        <v>Jamaal Charles</v>
      </c>
      <c r="AJ378" s="68"/>
    </row>
    <row r="379" spans="29:36" x14ac:dyDescent="0.25">
      <c r="AC379" t="str">
        <f>Players!B218</f>
        <v>Cole Beasley</v>
      </c>
      <c r="AJ379" s="68"/>
    </row>
    <row r="380" spans="29:36" x14ac:dyDescent="0.25">
      <c r="AC380" t="str">
        <f>Players!B219</f>
        <v>Zane Gonzalez</v>
      </c>
      <c r="AJ380" s="68"/>
    </row>
    <row r="381" spans="29:36" x14ac:dyDescent="0.25">
      <c r="AC381" t="str">
        <f>Players!B220</f>
        <v>Zach Miller</v>
      </c>
      <c r="AJ381" s="68"/>
    </row>
    <row r="382" spans="29:36" x14ac:dyDescent="0.25">
      <c r="AC382" t="str">
        <f>Players!B221</f>
        <v>Jermaine Gresham</v>
      </c>
      <c r="AJ382" s="68"/>
    </row>
    <row r="383" spans="29:36" x14ac:dyDescent="0.25">
      <c r="AC383" t="str">
        <f>Players!B222</f>
        <v>Cody Parkey</v>
      </c>
      <c r="AJ383" s="68"/>
    </row>
    <row r="384" spans="29:36" x14ac:dyDescent="0.25">
      <c r="AC384" t="str">
        <f>Players!B223</f>
        <v>Jeremy Hill</v>
      </c>
      <c r="AJ384" s="68"/>
    </row>
    <row r="385" spans="29:36" x14ac:dyDescent="0.25">
      <c r="AC385" t="str">
        <f>Players!B224</f>
        <v>Sam Bradford</v>
      </c>
      <c r="AJ385" s="68"/>
    </row>
    <row r="386" spans="29:36" x14ac:dyDescent="0.25">
      <c r="AC386" t="str">
        <f>Players!B225</f>
        <v>Ted Ginn</v>
      </c>
      <c r="AJ386" s="68"/>
    </row>
    <row r="387" spans="29:36" x14ac:dyDescent="0.25">
      <c r="AC387" t="str">
        <f>Players!B226</f>
        <v>Robert Turbin</v>
      </c>
      <c r="AJ387" s="68"/>
    </row>
    <row r="388" spans="29:36" x14ac:dyDescent="0.25">
      <c r="AC388" t="str">
        <f>Players!B227</f>
        <v>Robert Woods</v>
      </c>
      <c r="AJ388" s="68"/>
    </row>
    <row r="389" spans="29:36" x14ac:dyDescent="0.25">
      <c r="AC389" t="str">
        <f>Players!B228</f>
        <v>Mohamed Sanu</v>
      </c>
      <c r="AJ389" s="68"/>
    </row>
    <row r="390" spans="29:36" x14ac:dyDescent="0.25">
      <c r="AC390" t="str">
        <f>Players!B229</f>
        <v>Marqise Lee</v>
      </c>
      <c r="AJ390" s="68"/>
    </row>
    <row r="391" spans="29:36" x14ac:dyDescent="0.25">
      <c r="AC391" t="str">
        <f>Players!B230</f>
        <v>T.J. Yeldon</v>
      </c>
      <c r="AJ391" s="68"/>
    </row>
    <row r="392" spans="29:36" x14ac:dyDescent="0.25">
      <c r="AC392" t="str">
        <f>Players!B231</f>
        <v>Taylor Gabriel</v>
      </c>
      <c r="AJ392" s="68"/>
    </row>
    <row r="393" spans="29:36" x14ac:dyDescent="0.25">
      <c r="AC393" t="str">
        <f>Players!B232</f>
        <v>Allen Hurns</v>
      </c>
      <c r="AJ393" s="68"/>
    </row>
    <row r="394" spans="29:36" x14ac:dyDescent="0.25">
      <c r="AC394" t="str">
        <f>Players!B233</f>
        <v>Dominique Jones</v>
      </c>
      <c r="AJ394" s="68"/>
    </row>
    <row r="395" spans="29:36" x14ac:dyDescent="0.25">
      <c r="AC395" t="str">
        <f>Players!B234</f>
        <v>Kenny Stills</v>
      </c>
      <c r="AJ395" s="68"/>
    </row>
    <row r="396" spans="29:36" x14ac:dyDescent="0.25">
      <c r="AC396" t="str">
        <f>Players!B235</f>
        <v>Kevin White</v>
      </c>
      <c r="AJ396" s="68"/>
    </row>
    <row r="397" spans="29:36" x14ac:dyDescent="0.25">
      <c r="AC397" t="str">
        <f>Players!B236</f>
        <v>Rex Burkhead</v>
      </c>
      <c r="AJ397" s="68"/>
    </row>
    <row r="398" spans="29:36" x14ac:dyDescent="0.25">
      <c r="AC398" t="str">
        <f>Players!B237</f>
        <v>Breshad Perriman</v>
      </c>
      <c r="AJ398" s="68"/>
    </row>
    <row r="399" spans="29:36" x14ac:dyDescent="0.25">
      <c r="AC399" t="str">
        <f>Players!B238</f>
        <v>Tyler Lockett</v>
      </c>
      <c r="AJ399" s="68"/>
    </row>
    <row r="400" spans="29:36" x14ac:dyDescent="0.25">
      <c r="AC400" t="str">
        <f>Players!B239</f>
        <v>Jerick McKinnon</v>
      </c>
      <c r="AJ400" s="68"/>
    </row>
    <row r="401" spans="29:36" x14ac:dyDescent="0.25">
      <c r="AC401" t="str">
        <f>Players!B240</f>
        <v>Sterling Shepard</v>
      </c>
      <c r="AJ401" s="68"/>
    </row>
    <row r="402" spans="29:36" x14ac:dyDescent="0.25">
      <c r="AC402" t="str">
        <f>Players!B241</f>
        <v>Vance McDonald</v>
      </c>
      <c r="AJ402" s="68"/>
    </row>
    <row r="403" spans="29:36" x14ac:dyDescent="0.25">
      <c r="AC403" t="str">
        <f>Players!B242</f>
        <v>Benjamin Watson</v>
      </c>
      <c r="AJ403" s="68"/>
    </row>
    <row r="404" spans="29:36" x14ac:dyDescent="0.25">
      <c r="AC404" t="str">
        <f>Players!B243</f>
        <v>Thomas Rawls</v>
      </c>
      <c r="AJ404" s="68"/>
    </row>
    <row r="405" spans="29:36" x14ac:dyDescent="0.25">
      <c r="AC405" t="str">
        <f>Players!B244</f>
        <v>Jalen Richard</v>
      </c>
      <c r="AJ405" s="68"/>
    </row>
    <row r="406" spans="29:36" x14ac:dyDescent="0.25">
      <c r="AC406" t="str">
        <f>Players!B245</f>
        <v>Corey Davis</v>
      </c>
      <c r="AJ406" s="68"/>
    </row>
    <row r="407" spans="29:36" x14ac:dyDescent="0.25">
      <c r="AC407" t="str">
        <f>Players!B246</f>
        <v>Vernon Davis</v>
      </c>
      <c r="AJ407" s="68"/>
    </row>
    <row r="408" spans="29:36" x14ac:dyDescent="0.25">
      <c r="AC408" t="str">
        <f>Players!B247</f>
        <v>Nick Folk</v>
      </c>
      <c r="AJ408" s="68"/>
    </row>
    <row r="409" spans="29:36" x14ac:dyDescent="0.25">
      <c r="AC409" t="str">
        <f>Players!B248</f>
        <v>Samaje Perine</v>
      </c>
      <c r="AJ409" s="68"/>
    </row>
    <row r="410" spans="29:36" x14ac:dyDescent="0.25">
      <c r="AC410" t="str">
        <f>Players!B249</f>
        <v>J.J. Nelson</v>
      </c>
      <c r="AJ410" s="68"/>
    </row>
    <row r="411" spans="29:36" x14ac:dyDescent="0.25">
      <c r="AC411" t="str">
        <f>Players!B250</f>
        <v>Dwayne Allen</v>
      </c>
      <c r="AJ411" s="68"/>
    </row>
    <row r="412" spans="29:36" x14ac:dyDescent="0.25">
      <c r="AC412" t="str">
        <f>Players!B251</f>
        <v>Alvin Kamara</v>
      </c>
      <c r="AJ412" s="68"/>
    </row>
    <row r="413" spans="29:36" x14ac:dyDescent="0.25">
      <c r="AC413" t="str">
        <f>Players!B252</f>
        <v>Dion Lewis</v>
      </c>
      <c r="AJ413" s="68"/>
    </row>
    <row r="414" spans="29:36" x14ac:dyDescent="0.25">
      <c r="AC414" t="str">
        <f>Players!B253</f>
        <v>Devontae Booker</v>
      </c>
      <c r="AJ414" s="68"/>
    </row>
    <row r="415" spans="29:36" x14ac:dyDescent="0.25">
      <c r="AC415" t="str">
        <f>Players!B254</f>
        <v>DeAndre Washington</v>
      </c>
      <c r="AJ415" s="68"/>
    </row>
    <row r="416" spans="29:36" x14ac:dyDescent="0.25">
      <c r="AC416" t="str">
        <f>Players!B255</f>
        <v>Austin Seferian-Jenkins</v>
      </c>
      <c r="AJ416" s="68"/>
    </row>
    <row r="417" spans="29:36" x14ac:dyDescent="0.25">
      <c r="AC417" t="str">
        <f>Players!B256</f>
        <v>Erik Swoope</v>
      </c>
      <c r="AJ417" s="68"/>
    </row>
    <row r="418" spans="29:36" x14ac:dyDescent="0.25">
      <c r="AC418" t="str">
        <f>Players!B257</f>
        <v>Zay Jones</v>
      </c>
      <c r="AJ418" s="68"/>
    </row>
    <row r="419" spans="29:36" x14ac:dyDescent="0.25">
      <c r="AC419" t="str">
        <f>Players!B258</f>
        <v>Robby Anderson</v>
      </c>
      <c r="AJ419" s="68"/>
    </row>
    <row r="420" spans="29:36" x14ac:dyDescent="0.25">
      <c r="AC420" t="str">
        <f>Players!B259</f>
        <v>Ryan Mathews</v>
      </c>
      <c r="AJ420" s="68"/>
    </row>
    <row r="421" spans="29:36" x14ac:dyDescent="0.25">
      <c r="AC421" t="str">
        <f>Players!B260</f>
        <v>Brandon LaFell</v>
      </c>
      <c r="AJ421" s="68"/>
    </row>
    <row r="422" spans="29:36" x14ac:dyDescent="0.25">
      <c r="AC422" t="str">
        <f>Players!B261</f>
        <v>Tyler Higbee</v>
      </c>
      <c r="AJ422" s="68"/>
    </row>
    <row r="423" spans="29:36" x14ac:dyDescent="0.25">
      <c r="AC423" t="str">
        <f>Players!B262</f>
        <v>Ryan Griffin</v>
      </c>
      <c r="AJ423" s="68"/>
    </row>
    <row r="424" spans="29:36" x14ac:dyDescent="0.25">
      <c r="AC424" t="str">
        <f>Players!B263</f>
        <v>Josh Doctson</v>
      </c>
      <c r="AJ424" s="68"/>
    </row>
    <row r="425" spans="29:36" x14ac:dyDescent="0.25">
      <c r="AC425" t="str">
        <f>Players!B264</f>
        <v>Jacquizz Rodgers</v>
      </c>
      <c r="AJ425" s="68"/>
    </row>
    <row r="426" spans="29:36" x14ac:dyDescent="0.25">
      <c r="AC426" t="str">
        <f>Players!B265</f>
        <v>Darren McFadden</v>
      </c>
      <c r="AJ426" s="68"/>
    </row>
    <row r="427" spans="29:36" x14ac:dyDescent="0.25">
      <c r="AC427" t="str">
        <f>Players!B266</f>
        <v>Joe Williams</v>
      </c>
      <c r="AJ427" s="68"/>
    </row>
    <row r="428" spans="29:36" x14ac:dyDescent="0.25">
      <c r="AC428" t="str">
        <f>Players!B267</f>
        <v>Jonathan Williams</v>
      </c>
      <c r="AJ428" s="68"/>
    </row>
    <row r="429" spans="29:36" x14ac:dyDescent="0.25">
      <c r="AC429" t="str">
        <f>Players!B268</f>
        <v>Virgil Green</v>
      </c>
      <c r="AJ429" s="68"/>
    </row>
    <row r="430" spans="29:36" x14ac:dyDescent="0.25">
      <c r="AC430" t="str">
        <f>Players!B269</f>
        <v>Will Tye</v>
      </c>
      <c r="AJ430" s="68"/>
    </row>
    <row r="431" spans="29:36" x14ac:dyDescent="0.25">
      <c r="AC431" t="str">
        <f>Players!B270</f>
        <v>Gerald Everett</v>
      </c>
      <c r="AJ431" s="68"/>
    </row>
    <row r="432" spans="29:36" x14ac:dyDescent="0.25">
      <c r="AC432" t="str">
        <f>Players!B271</f>
        <v>Mychal Rivera</v>
      </c>
      <c r="AJ432" s="68"/>
    </row>
    <row r="433" spans="29:36" x14ac:dyDescent="0.25">
      <c r="AC433" t="str">
        <f>Players!B272</f>
        <v>Terrance Williams</v>
      </c>
      <c r="AJ433" s="68"/>
    </row>
    <row r="434" spans="29:36" x14ac:dyDescent="0.25">
      <c r="AC434" t="str">
        <f>Players!B273</f>
        <v>Jamaal Williams</v>
      </c>
      <c r="AJ434" s="68"/>
    </row>
    <row r="435" spans="29:36" x14ac:dyDescent="0.25">
      <c r="AC435" t="str">
        <f>Players!B274</f>
        <v>Tim Hightower</v>
      </c>
      <c r="AJ435" s="68"/>
    </row>
    <row r="436" spans="29:36" x14ac:dyDescent="0.25">
      <c r="AC436" t="str">
        <f>Players!B275</f>
        <v>Clive Walford</v>
      </c>
      <c r="AJ436" s="68"/>
    </row>
    <row r="437" spans="29:36" x14ac:dyDescent="0.25">
      <c r="AC437" t="str">
        <f>Players!B276</f>
        <v>Seth DeValve</v>
      </c>
      <c r="AJ437" s="68"/>
    </row>
    <row r="438" spans="29:36" x14ac:dyDescent="0.25">
      <c r="AC438" t="str">
        <f>Players!B277</f>
        <v>Chris Conley</v>
      </c>
      <c r="AJ438" s="68"/>
    </row>
    <row r="439" spans="29:36" x14ac:dyDescent="0.25">
      <c r="AC439" t="str">
        <f>Players!B278</f>
        <v>Devin Funchess</v>
      </c>
      <c r="AJ439" s="68"/>
    </row>
    <row r="440" spans="29:36" x14ac:dyDescent="0.25">
      <c r="AC440" t="str">
        <f>Players!B279</f>
        <v>Curtis Samuel</v>
      </c>
      <c r="AJ440" s="68"/>
    </row>
    <row r="441" spans="29:36" x14ac:dyDescent="0.25">
      <c r="AC441" t="str">
        <f>Players!B280</f>
        <v>Trey Burton</v>
      </c>
      <c r="AJ441" s="68"/>
    </row>
    <row r="442" spans="29:36" x14ac:dyDescent="0.25">
      <c r="AC442" t="str">
        <f>Players!B281</f>
        <v>Damien Williams</v>
      </c>
      <c r="AJ442" s="68"/>
    </row>
    <row r="443" spans="29:36" x14ac:dyDescent="0.25">
      <c r="AC443" t="str">
        <f>Players!B282</f>
        <v>Marcedes Lewis</v>
      </c>
      <c r="AJ443" s="68"/>
    </row>
    <row r="444" spans="29:36" x14ac:dyDescent="0.25">
      <c r="AC444" t="str">
        <f>Players!B283</f>
        <v>Brian Hoyer</v>
      </c>
      <c r="AJ444" s="68"/>
    </row>
    <row r="445" spans="29:36" x14ac:dyDescent="0.25">
      <c r="AC445" t="str">
        <f>Players!B284</f>
        <v>Jeremy Kerley</v>
      </c>
      <c r="AJ445" s="68"/>
    </row>
    <row r="446" spans="29:36" x14ac:dyDescent="0.25">
      <c r="AC446" t="str">
        <f>Players!B285</f>
        <v>Torrey Smith</v>
      </c>
      <c r="AJ446" s="68"/>
    </row>
    <row r="447" spans="29:36" x14ac:dyDescent="0.25">
      <c r="AC447" t="str">
        <f>Players!B286</f>
        <v>Eli Rogers</v>
      </c>
      <c r="AJ447" s="68"/>
    </row>
    <row r="448" spans="29:36" x14ac:dyDescent="0.25">
      <c r="AC448" t="str">
        <f>Players!B287</f>
        <v>Garrett Celek</v>
      </c>
      <c r="AJ448" s="68"/>
    </row>
    <row r="449" spans="29:36" x14ac:dyDescent="0.25">
      <c r="AC449" t="str">
        <f>Players!B288</f>
        <v>Josh Hill</v>
      </c>
      <c r="AJ449" s="68"/>
    </row>
    <row r="450" spans="29:36" x14ac:dyDescent="0.25">
      <c r="AC450" t="str">
        <f>Players!B289</f>
        <v>Dion Sims</v>
      </c>
      <c r="AJ450" s="68"/>
    </row>
    <row r="451" spans="29:36" x14ac:dyDescent="0.25">
      <c r="AC451" t="str">
        <f>Players!B290</f>
        <v>Chris Ivory</v>
      </c>
      <c r="AJ451" s="68"/>
    </row>
    <row r="452" spans="29:36" x14ac:dyDescent="0.25">
      <c r="AC452" t="str">
        <f>Players!B291</f>
        <v>Tyler Boyd</v>
      </c>
      <c r="AJ452" s="68"/>
    </row>
    <row r="453" spans="29:36" x14ac:dyDescent="0.25">
      <c r="AC453" t="str">
        <f>Players!B292</f>
        <v>Crockett Gillmore</v>
      </c>
      <c r="AJ453" s="68"/>
    </row>
    <row r="454" spans="29:36" x14ac:dyDescent="0.25">
      <c r="AC454" t="str">
        <f>Players!B293</f>
        <v>Lance Kendricks</v>
      </c>
      <c r="AJ454" s="68"/>
    </row>
    <row r="455" spans="29:36" x14ac:dyDescent="0.25">
      <c r="AC455" t="str">
        <f>Players!B294</f>
        <v>Will Fuller</v>
      </c>
      <c r="AJ455" s="68"/>
    </row>
    <row r="456" spans="29:36" x14ac:dyDescent="0.25">
      <c r="AC456" t="str">
        <f>Players!B295</f>
        <v>Zach Zenner</v>
      </c>
      <c r="AJ456" s="68"/>
    </row>
    <row r="457" spans="29:36" x14ac:dyDescent="0.25">
      <c r="AC457" t="str">
        <f>Players!B296</f>
        <v>Mike Glennon</v>
      </c>
      <c r="AJ457" s="68"/>
    </row>
    <row r="458" spans="29:36" x14ac:dyDescent="0.25">
      <c r="AC458" t="str">
        <f>Players!B297</f>
        <v>John Ross</v>
      </c>
      <c r="AJ458" s="68"/>
    </row>
    <row r="459" spans="29:36" x14ac:dyDescent="0.25">
      <c r="AC459" t="str">
        <f>Players!B298</f>
        <v>Xavier Grimble</v>
      </c>
      <c r="AJ459" s="68"/>
    </row>
    <row r="460" spans="29:36" x14ac:dyDescent="0.25">
      <c r="AC460" t="str">
        <f>Players!B299</f>
        <v>DOnta Foreman</v>
      </c>
      <c r="AJ460" s="68"/>
    </row>
    <row r="461" spans="29:36" x14ac:dyDescent="0.25">
      <c r="AC461" t="str">
        <f>Players!B300</f>
        <v>Chris Hogan</v>
      </c>
      <c r="AJ461" s="68"/>
    </row>
    <row r="462" spans="29:36" x14ac:dyDescent="0.25">
      <c r="AC462" t="str">
        <f>Players!B301</f>
        <v>Lance Dunbar</v>
      </c>
      <c r="AJ462" s="68"/>
    </row>
    <row r="463" spans="29:36" x14ac:dyDescent="0.25">
      <c r="AC463" t="str">
        <f>Players!B302</f>
        <v>Marlon Mack</v>
      </c>
      <c r="AJ463" s="68"/>
    </row>
    <row r="464" spans="29:36" x14ac:dyDescent="0.25">
      <c r="AC464" t="str">
        <f>Players!B303</f>
        <v>Branden Oliver</v>
      </c>
      <c r="AJ464" s="68"/>
    </row>
    <row r="465" spans="29:36" x14ac:dyDescent="0.25">
      <c r="AC465" t="str">
        <f>Players!B304</f>
        <v>Jordan Leggett</v>
      </c>
      <c r="AJ465" s="68"/>
    </row>
    <row r="466" spans="29:36" x14ac:dyDescent="0.25">
      <c r="AC466" t="str">
        <f>Players!B305</f>
        <v>A.J. Derby</v>
      </c>
      <c r="AJ466" s="68"/>
    </row>
    <row r="467" spans="29:36" x14ac:dyDescent="0.25">
      <c r="AC467" t="str">
        <f>Players!B306</f>
        <v>Maxx Williams</v>
      </c>
      <c r="AJ467" s="68"/>
    </row>
    <row r="468" spans="29:36" x14ac:dyDescent="0.25">
      <c r="AC468" t="str">
        <f>Players!B307</f>
        <v>Charcandrick West</v>
      </c>
      <c r="AJ468" s="68"/>
    </row>
    <row r="469" spans="29:36" x14ac:dyDescent="0.25">
      <c r="AC469" t="str">
        <f>Players!B308</f>
        <v>George Kittle</v>
      </c>
      <c r="AJ469" s="68"/>
    </row>
    <row r="470" spans="29:36" x14ac:dyDescent="0.25">
      <c r="AC470" t="str">
        <f>Players!B309</f>
        <v>Kenneth Dixon</v>
      </c>
      <c r="AJ470" s="68"/>
    </row>
    <row r="471" spans="29:36" x14ac:dyDescent="0.25">
      <c r="AC471" t="str">
        <f>Players!B310</f>
        <v>Seth Roberts</v>
      </c>
      <c r="AJ471" s="68"/>
    </row>
    <row r="472" spans="29:36" x14ac:dyDescent="0.25">
      <c r="AC472" t="str">
        <f>Players!B311</f>
        <v>Jonnu Smith</v>
      </c>
      <c r="AJ472" s="68"/>
    </row>
    <row r="473" spans="29:36" x14ac:dyDescent="0.25">
      <c r="AC473" t="str">
        <f>Players!B312</f>
        <v>Richard Rodgers</v>
      </c>
      <c r="AJ473" s="68"/>
    </row>
    <row r="474" spans="29:36" x14ac:dyDescent="0.25">
      <c r="AC474" t="str">
        <f>Players!B313</f>
        <v>Tarik Cohen</v>
      </c>
      <c r="AJ474" s="68"/>
    </row>
    <row r="475" spans="29:36" x14ac:dyDescent="0.25">
      <c r="AC475" t="str">
        <f>Players!B314</f>
        <v>Travis Benjamin</v>
      </c>
      <c r="AJ475" s="68"/>
    </row>
    <row r="476" spans="29:36" x14ac:dyDescent="0.25">
      <c r="AC476" t="str">
        <f>Players!B315</f>
        <v>Jeremy Langford</v>
      </c>
      <c r="AJ476" s="68"/>
    </row>
    <row r="477" spans="29:36" x14ac:dyDescent="0.25">
      <c r="AC477" t="str">
        <f>Players!B316</f>
        <v>Wendell Smallwood</v>
      </c>
      <c r="AJ477" s="68"/>
    </row>
    <row r="478" spans="29:36" x14ac:dyDescent="0.25">
      <c r="AC478" t="str">
        <f>Players!B317</f>
        <v>Kerwynn Williams</v>
      </c>
      <c r="AJ478" s="68"/>
    </row>
    <row r="479" spans="29:36" x14ac:dyDescent="0.25">
      <c r="AC479" t="str">
        <f>Players!B318</f>
        <v>Kenny Golladay</v>
      </c>
      <c r="AJ479" s="68"/>
    </row>
    <row r="480" spans="29:36" x14ac:dyDescent="0.25">
      <c r="AC480" t="str">
        <f>Players!B319</f>
        <v>Matt Jones</v>
      </c>
      <c r="AJ480" s="68"/>
    </row>
    <row r="481" spans="29:36" x14ac:dyDescent="0.25">
      <c r="AC481" t="str">
        <f>Players!B320</f>
        <v>Luke Willson</v>
      </c>
      <c r="AJ481" s="68"/>
    </row>
    <row r="482" spans="29:36" x14ac:dyDescent="0.25">
      <c r="AC482" t="str">
        <f>Players!B321</f>
        <v>Jeff Heuerman</v>
      </c>
      <c r="AJ482" s="68"/>
    </row>
    <row r="483" spans="29:36" x14ac:dyDescent="0.25">
      <c r="AC483" t="str">
        <f>Players!B322</f>
        <v>Jermaine Kearse</v>
      </c>
      <c r="AJ483" s="68"/>
    </row>
    <row r="484" spans="29:36" x14ac:dyDescent="0.25">
      <c r="AC484" t="str">
        <f>Players!B323</f>
        <v>Markus Wheaton</v>
      </c>
      <c r="AJ484" s="68"/>
    </row>
    <row r="485" spans="29:36" x14ac:dyDescent="0.25">
      <c r="AC485" t="str">
        <f>Players!B324</f>
        <v>Matt Asiata</v>
      </c>
      <c r="AJ485" s="68"/>
    </row>
    <row r="486" spans="29:36" x14ac:dyDescent="0.25">
      <c r="AC486" t="str">
        <f>Players!B325</f>
        <v>Kenyan Drake</v>
      </c>
      <c r="AJ486" s="68"/>
    </row>
    <row r="487" spans="29:36" x14ac:dyDescent="0.25">
      <c r="AC487" t="str">
        <f>Players!B326</f>
        <v>Adam Shaheen</v>
      </c>
      <c r="AJ487" s="68"/>
    </row>
    <row r="488" spans="29:36" x14ac:dyDescent="0.25">
      <c r="AC488" t="str">
        <f>Players!B327</f>
        <v>Jerell Adams</v>
      </c>
      <c r="AJ488" s="68"/>
    </row>
    <row r="489" spans="29:36" x14ac:dyDescent="0.25">
      <c r="AC489" t="str">
        <f>Players!B328</f>
        <v>Marshall Koehn</v>
      </c>
      <c r="AJ489" s="68"/>
    </row>
    <row r="490" spans="29:36" x14ac:dyDescent="0.25">
      <c r="AC490" t="str">
        <f>Players!B329</f>
        <v>Phillip Dorsett</v>
      </c>
      <c r="AJ490" s="68"/>
    </row>
    <row r="491" spans="29:36" x14ac:dyDescent="0.25">
      <c r="AC491" t="str">
        <f>Players!B330</f>
        <v>Levine Toilolo</v>
      </c>
      <c r="AJ491" s="68"/>
    </row>
    <row r="492" spans="29:36" x14ac:dyDescent="0.25">
      <c r="AC492" t="str">
        <f>Players!B331</f>
        <v>Adam Humphries</v>
      </c>
      <c r="AJ492" s="68"/>
    </row>
    <row r="493" spans="29:36" x14ac:dyDescent="0.25">
      <c r="AC493" t="str">
        <f>Players!B332</f>
        <v>Andre Ellington</v>
      </c>
      <c r="AJ493" s="68"/>
    </row>
    <row r="494" spans="29:36" x14ac:dyDescent="0.25">
      <c r="AC494" t="str">
        <f>Players!B333</f>
        <v>Travaris Cadet</v>
      </c>
      <c r="AJ494" s="68"/>
    </row>
    <row r="495" spans="29:36" x14ac:dyDescent="0.25">
      <c r="AC495" t="str">
        <f>Players!B334</f>
        <v>Marquise Goodwin</v>
      </c>
      <c r="AJ495" s="68"/>
    </row>
    <row r="496" spans="29:36" x14ac:dyDescent="0.25">
      <c r="AC496" t="str">
        <f>Players!B335</f>
        <v>Stephen Anderson</v>
      </c>
      <c r="AJ496" s="68"/>
    </row>
    <row r="497" spans="29:36" x14ac:dyDescent="0.25">
      <c r="AC497" t="str">
        <f>Players!B336</f>
        <v>Laquon Treadwell</v>
      </c>
      <c r="AJ497" s="68"/>
    </row>
    <row r="498" spans="29:36" x14ac:dyDescent="0.25">
      <c r="AC498" t="str">
        <f>Players!B337</f>
        <v>Aaron Jones</v>
      </c>
      <c r="AJ498" s="68"/>
    </row>
    <row r="499" spans="29:36" x14ac:dyDescent="0.25">
      <c r="AC499" t="str">
        <f>Players!B338</f>
        <v>Alfred Blue</v>
      </c>
      <c r="AJ499" s="68"/>
    </row>
    <row r="500" spans="29:36" x14ac:dyDescent="0.25">
      <c r="AC500" t="str">
        <f>Players!B339</f>
        <v>Anthony Fasano</v>
      </c>
      <c r="AJ500" s="68"/>
    </row>
    <row r="501" spans="29:36" x14ac:dyDescent="0.25">
      <c r="AC501" t="str">
        <f>Players!B340</f>
        <v>James Conner</v>
      </c>
      <c r="AJ501" s="68"/>
    </row>
    <row r="502" spans="29:36" x14ac:dyDescent="0.25">
      <c r="AC502" t="str">
        <f>Players!B341</f>
        <v>Ed Dickson</v>
      </c>
      <c r="AJ502" s="68"/>
    </row>
    <row r="503" spans="29:36" x14ac:dyDescent="0.25">
      <c r="AC503" t="str">
        <f>Players!B342</f>
        <v>Kyle Juszczyk</v>
      </c>
      <c r="AJ503" s="68"/>
    </row>
    <row r="504" spans="29:36" x14ac:dyDescent="0.25">
      <c r="AC504" t="str">
        <f>Players!B343</f>
        <v>Brent Celek</v>
      </c>
      <c r="AJ504" s="68"/>
    </row>
    <row r="505" spans="29:36" x14ac:dyDescent="0.25">
      <c r="AC505" t="str">
        <f>Players!B344</f>
        <v>Demetrius Harris</v>
      </c>
      <c r="AJ505" s="68"/>
    </row>
    <row r="506" spans="29:36" x14ac:dyDescent="0.25">
      <c r="AC506" t="str">
        <f>Players!B345</f>
        <v>Michael Roberts</v>
      </c>
      <c r="AJ506" s="68"/>
    </row>
    <row r="507" spans="29:36" x14ac:dyDescent="0.25">
      <c r="AC507" t="str">
        <f>Players!B346</f>
        <v>Gavin Escobar</v>
      </c>
      <c r="AJ507" s="68"/>
    </row>
    <row r="508" spans="29:36" x14ac:dyDescent="0.25">
      <c r="AC508" t="str">
        <f>Players!B347</f>
        <v>Nick Boyle</v>
      </c>
      <c r="AJ508" s="68"/>
    </row>
    <row r="509" spans="29:36" x14ac:dyDescent="0.25">
      <c r="AC509" t="str">
        <f>Players!B348</f>
        <v>Mike Nugent</v>
      </c>
      <c r="AJ509" s="68"/>
    </row>
    <row r="510" spans="29:36" x14ac:dyDescent="0.25">
      <c r="AC510" t="str">
        <f>Players!B349</f>
        <v>Jared Goff</v>
      </c>
      <c r="AJ510" s="68"/>
    </row>
    <row r="511" spans="29:36" x14ac:dyDescent="0.25">
      <c r="AC511" t="str">
        <f>Players!B350</f>
        <v>Aaron Ripkowski</v>
      </c>
      <c r="AJ511" s="68"/>
    </row>
    <row r="512" spans="29:36" x14ac:dyDescent="0.25">
      <c r="AC512" t="str">
        <f>Players!B351</f>
        <v>Darren Fells</v>
      </c>
      <c r="AJ512" s="68"/>
    </row>
    <row r="513" spans="29:36" x14ac:dyDescent="0.25">
      <c r="AC513" t="str">
        <f>Players!B352</f>
        <v>Rhett Ellison</v>
      </c>
      <c r="AJ513" s="68"/>
    </row>
    <row r="514" spans="29:36" x14ac:dyDescent="0.25">
      <c r="AC514" t="str">
        <f>Players!B353</f>
        <v>Elijah McGuire</v>
      </c>
      <c r="AJ514" s="68"/>
    </row>
    <row r="515" spans="29:36" x14ac:dyDescent="0.25">
      <c r="AC515" t="str">
        <f>Players!B354</f>
        <v>Benny Cunningham</v>
      </c>
      <c r="AJ515" s="68"/>
    </row>
    <row r="516" spans="29:36" x14ac:dyDescent="0.25">
      <c r="AC516" t="str">
        <f>Players!B355</f>
        <v>Malcolm Mitchell</v>
      </c>
      <c r="AJ516" s="68"/>
    </row>
    <row r="517" spans="29:36" x14ac:dyDescent="0.25">
      <c r="AC517" t="str">
        <f>Players!B356</f>
        <v>Shaun Draughn</v>
      </c>
      <c r="AJ517" s="68"/>
    </row>
    <row r="518" spans="29:36" x14ac:dyDescent="0.25">
      <c r="AC518" t="str">
        <f>Players!B357</f>
        <v>Chris Godwin</v>
      </c>
      <c r="AJ518" s="68"/>
    </row>
    <row r="519" spans="29:36" x14ac:dyDescent="0.25">
      <c r="AC519" t="str">
        <f>Players!B358</f>
        <v>Albert Wilson</v>
      </c>
      <c r="AJ519" s="68"/>
    </row>
    <row r="520" spans="29:36" x14ac:dyDescent="0.25">
      <c r="AC520" t="str">
        <f>Players!B359</f>
        <v>Jace Amaro</v>
      </c>
      <c r="AJ520" s="68"/>
    </row>
    <row r="521" spans="29:36" x14ac:dyDescent="0.25">
      <c r="AC521" t="str">
        <f>Players!B360</f>
        <v>Rhett Ellison</v>
      </c>
      <c r="AJ521" s="68"/>
    </row>
    <row r="522" spans="29:36" x14ac:dyDescent="0.25">
      <c r="AC522" t="str">
        <f>Players!B361</f>
        <v>Dan Carpenter</v>
      </c>
      <c r="AJ522" s="68"/>
    </row>
    <row r="523" spans="29:36" x14ac:dyDescent="0.25">
      <c r="AC523" t="str">
        <f>Players!B362</f>
        <v>Andre Holmes</v>
      </c>
      <c r="AJ523" s="68"/>
    </row>
    <row r="524" spans="29:36" x14ac:dyDescent="0.25">
      <c r="AC524" t="str">
        <f>Players!B363</f>
        <v>C.J. Uzomah</v>
      </c>
      <c r="AJ524" s="68"/>
    </row>
    <row r="525" spans="29:36" x14ac:dyDescent="0.25">
      <c r="AC525" t="str">
        <f>Players!B364</f>
        <v>Cooper Kupp</v>
      </c>
      <c r="AJ525" s="68"/>
    </row>
    <row r="526" spans="29:36" x14ac:dyDescent="0.25">
      <c r="AC526" t="str">
        <f>Players!B365</f>
        <v>Jacob Tamme</v>
      </c>
      <c r="AJ526" s="68"/>
    </row>
    <row r="527" spans="29:36" x14ac:dyDescent="0.25">
      <c r="AC527" t="str">
        <f>Players!B366</f>
        <v>Patrick Murray</v>
      </c>
      <c r="AJ527" s="68"/>
    </row>
    <row r="528" spans="29:36" x14ac:dyDescent="0.25">
      <c r="AC528" t="str">
        <f>Players!B367</f>
        <v>Bruce Ellington</v>
      </c>
      <c r="AJ528" s="68"/>
    </row>
    <row r="529" spans="29:36" x14ac:dyDescent="0.25">
      <c r="AC529" t="str">
        <f>Players!B368</f>
        <v>Wayne Gallman</v>
      </c>
      <c r="AJ529" s="68"/>
    </row>
    <row r="530" spans="29:36" x14ac:dyDescent="0.25">
      <c r="AC530" t="str">
        <f>Players!B369</f>
        <v>Tyler Kroft</v>
      </c>
      <c r="AJ530" s="68"/>
    </row>
    <row r="531" spans="29:36" x14ac:dyDescent="0.25">
      <c r="AC531" t="str">
        <f>Players!B370</f>
        <v>Paul Richardson</v>
      </c>
      <c r="AJ531" s="68"/>
    </row>
    <row r="532" spans="29:36" x14ac:dyDescent="0.25">
      <c r="AC532" t="str">
        <f>Players!B371</f>
        <v>Kaimi Fairbairn</v>
      </c>
      <c r="AJ532" s="68"/>
    </row>
    <row r="533" spans="29:36" x14ac:dyDescent="0.25">
      <c r="AC533" t="str">
        <f>Players!B372</f>
        <v>Jordan Gay</v>
      </c>
      <c r="AJ533" s="68"/>
    </row>
    <row r="534" spans="29:36" x14ac:dyDescent="0.25">
      <c r="AC534" t="str">
        <f>Players!B373</f>
        <v>Jake Butt</v>
      </c>
      <c r="AJ534" s="68"/>
    </row>
    <row r="535" spans="29:36" x14ac:dyDescent="0.25">
      <c r="AC535" t="str">
        <f>Players!B374</f>
        <v>MarQueis Gray</v>
      </c>
      <c r="AJ535" s="68"/>
    </row>
    <row r="536" spans="29:36" x14ac:dyDescent="0.25">
      <c r="AC536" t="str">
        <f>Players!B375</f>
        <v>Matt Breida</v>
      </c>
      <c r="AJ536" s="68"/>
    </row>
    <row r="537" spans="29:36" x14ac:dyDescent="0.25">
      <c r="AC537" t="str">
        <f>Players!B376</f>
        <v>Cameron Artis-Payne</v>
      </c>
      <c r="AJ537" s="68"/>
    </row>
    <row r="538" spans="29:36" x14ac:dyDescent="0.25">
      <c r="AC538" t="str">
        <f>Players!B377</f>
        <v>ArDarius Stewart</v>
      </c>
      <c r="AJ538" s="68"/>
    </row>
    <row r="539" spans="29:36" x14ac:dyDescent="0.25">
      <c r="AC539" t="str">
        <f>Players!B378</f>
        <v>Kenjon Barner</v>
      </c>
      <c r="AJ539" s="68"/>
    </row>
    <row r="540" spans="29:36" x14ac:dyDescent="0.25">
      <c r="AC540" t="str">
        <f>Players!B379</f>
        <v>David Morgan</v>
      </c>
      <c r="AJ540" s="68"/>
    </row>
    <row r="541" spans="29:36" x14ac:dyDescent="0.25">
      <c r="AC541" t="str">
        <f>Players!B380</f>
        <v>Mike Williams</v>
      </c>
      <c r="AJ541" s="68"/>
    </row>
    <row r="542" spans="29:36" x14ac:dyDescent="0.25">
      <c r="AC542" t="str">
        <f>Players!B381</f>
        <v>Nick Vannett</v>
      </c>
      <c r="AJ542" s="68"/>
    </row>
    <row r="543" spans="29:36" x14ac:dyDescent="0.25">
      <c r="AC543" t="str">
        <f>Players!B382</f>
        <v>Eric Saubert</v>
      </c>
      <c r="AJ543" s="68"/>
    </row>
    <row r="544" spans="29:36" x14ac:dyDescent="0.25">
      <c r="AC544" t="str">
        <f>Players!B383</f>
        <v>Deshaun Watson</v>
      </c>
      <c r="AJ544" s="68"/>
    </row>
    <row r="545" spans="29:36" x14ac:dyDescent="0.25">
      <c r="AC545" t="str">
        <f>Players!B384</f>
        <v>Dontrelle Inman</v>
      </c>
      <c r="AJ545" s="68"/>
    </row>
    <row r="546" spans="29:36" x14ac:dyDescent="0.25">
      <c r="AC546" t="str">
        <f>Players!B385</f>
        <v>Bucky Hodges</v>
      </c>
      <c r="AJ546" s="68"/>
    </row>
    <row r="547" spans="29:36" x14ac:dyDescent="0.25">
      <c r="AC547" t="str">
        <f>Players!B386</f>
        <v>Temarrick Hemingway</v>
      </c>
      <c r="AJ547" s="68"/>
    </row>
    <row r="548" spans="29:36" x14ac:dyDescent="0.25">
      <c r="AC548" t="str">
        <f>Players!B387</f>
        <v>Fozzy Whittaker</v>
      </c>
      <c r="AJ548" s="68"/>
    </row>
    <row r="549" spans="29:36" x14ac:dyDescent="0.25">
      <c r="AC549" t="str">
        <f>Players!B388</f>
        <v>Mike Tolbert</v>
      </c>
      <c r="AJ549" s="68"/>
    </row>
    <row r="550" spans="29:36" x14ac:dyDescent="0.25">
      <c r="AC550" t="str">
        <f>Players!B389</f>
        <v>Troy Niklas</v>
      </c>
      <c r="AJ550" s="68"/>
    </row>
    <row r="551" spans="29:36" x14ac:dyDescent="0.25">
      <c r="AC551" t="str">
        <f>Players!B390</f>
        <v>Javorius Allen</v>
      </c>
      <c r="AJ551" s="68"/>
    </row>
    <row r="552" spans="29:36" x14ac:dyDescent="0.25">
      <c r="AC552" t="str">
        <f>Players!B391</f>
        <v>Nick OLeary</v>
      </c>
      <c r="AJ552" s="68"/>
    </row>
    <row r="553" spans="29:36" x14ac:dyDescent="0.25">
      <c r="AC553" t="str">
        <f>Players!B392</f>
        <v>Kamar Aiken</v>
      </c>
      <c r="AJ553" s="68"/>
    </row>
    <row r="554" spans="29:36" x14ac:dyDescent="0.25">
      <c r="AC554" t="str">
        <f>Players!B393</f>
        <v>Ben Koyack</v>
      </c>
      <c r="AJ554" s="68"/>
    </row>
    <row r="555" spans="29:36" x14ac:dyDescent="0.25">
      <c r="AC555" t="str">
        <f>Players!B394</f>
        <v>Kendall Wright</v>
      </c>
      <c r="AJ555" s="68"/>
    </row>
    <row r="556" spans="29:36" x14ac:dyDescent="0.25">
      <c r="AC556" t="str">
        <f>Players!B395</f>
        <v>John Kuhn</v>
      </c>
      <c r="AJ556" s="68"/>
    </row>
    <row r="557" spans="29:36" x14ac:dyDescent="0.25">
      <c r="AC557" t="str">
        <f>Players!B396</f>
        <v>Trevor Siemian</v>
      </c>
      <c r="AJ557" s="68"/>
    </row>
    <row r="558" spans="29:36" x14ac:dyDescent="0.25">
      <c r="AC558" t="str">
        <f>Players!B397</f>
        <v>Elijah Hood</v>
      </c>
      <c r="AJ558" s="68"/>
    </row>
    <row r="559" spans="29:36" x14ac:dyDescent="0.25">
      <c r="AC559" t="str">
        <f>Players!B398</f>
        <v>Cody Kessler</v>
      </c>
      <c r="AJ559" s="68"/>
    </row>
    <row r="560" spans="29:36" x14ac:dyDescent="0.25">
      <c r="AC560" t="str">
        <f>Players!B399</f>
        <v>Brandon Coleman</v>
      </c>
      <c r="AJ560" s="68"/>
    </row>
    <row r="561" spans="29:36" x14ac:dyDescent="0.25">
      <c r="AC561" t="str">
        <f>Players!B400</f>
        <v>Larry Donnell</v>
      </c>
      <c r="AJ561" s="68"/>
    </row>
    <row r="562" spans="29:36" x14ac:dyDescent="0.25">
      <c r="AC562" t="str">
        <f>Players!B401</f>
        <v>DeAngelo Henderson</v>
      </c>
      <c r="AJ562" s="68"/>
    </row>
    <row r="563" spans="29:36" x14ac:dyDescent="0.25">
      <c r="AC563" t="str">
        <f>Players!B402</f>
        <v>Michael Hoomanawanui</v>
      </c>
      <c r="AJ563" s="68"/>
    </row>
    <row r="564" spans="29:36" x14ac:dyDescent="0.25">
      <c r="AC564" t="str">
        <f>Players!B403</f>
        <v>Kenneth Farrow</v>
      </c>
      <c r="AJ564" s="68"/>
    </row>
    <row r="565" spans="29:36" x14ac:dyDescent="0.25">
      <c r="AC565" t="str">
        <f>Players!B404</f>
        <v>Logan Paulsen</v>
      </c>
      <c r="AJ565" s="68"/>
    </row>
    <row r="566" spans="29:36" x14ac:dyDescent="0.25">
      <c r="AC566" t="str">
        <f>Players!B405</f>
        <v>Andrew Quarless</v>
      </c>
      <c r="AJ566" s="68"/>
    </row>
    <row r="567" spans="29:36" x14ac:dyDescent="0.25">
      <c r="AC567" t="str">
        <f>Players!B406</f>
        <v>Fitzgerald Toussaint</v>
      </c>
      <c r="AJ567" s="68"/>
    </row>
    <row r="568" spans="29:36" x14ac:dyDescent="0.25">
      <c r="AC568" t="str">
        <f>Players!B407</f>
        <v>James Hanna</v>
      </c>
      <c r="AJ568" s="68"/>
    </row>
    <row r="569" spans="29:36" x14ac:dyDescent="0.25">
      <c r="AC569" t="str">
        <f>Players!B408</f>
        <v>Neal Sterling</v>
      </c>
      <c r="AJ569" s="68"/>
    </row>
    <row r="570" spans="29:36" x14ac:dyDescent="0.25">
      <c r="AC570" t="str">
        <f>Players!B409</f>
        <v>Lee Smith</v>
      </c>
      <c r="AJ570" s="68"/>
    </row>
    <row r="571" spans="29:36" x14ac:dyDescent="0.25">
      <c r="AC571" t="str">
        <f>Players!B410</f>
        <v>Phillip Supernaw</v>
      </c>
      <c r="AJ571" s="68"/>
    </row>
    <row r="572" spans="29:36" x14ac:dyDescent="0.25">
      <c r="AC572" t="str">
        <f>Players!B411</f>
        <v>Kapri Bibbs</v>
      </c>
      <c r="AJ572" s="68"/>
    </row>
    <row r="573" spans="29:36" x14ac:dyDescent="0.25">
      <c r="AC573" t="str">
        <f>Players!B412</f>
        <v>Alfred Morris</v>
      </c>
      <c r="AJ573" s="68"/>
    </row>
    <row r="574" spans="29:36" x14ac:dyDescent="0.25">
      <c r="AC574" t="str">
        <f>Players!B413</f>
        <v>Jeremy McNichols</v>
      </c>
      <c r="AJ574" s="68"/>
    </row>
    <row r="575" spans="29:36" x14ac:dyDescent="0.25">
      <c r="AC575" t="str">
        <f>Players!B414</f>
        <v>Ben Braunecker</v>
      </c>
      <c r="AJ575" s="68"/>
    </row>
    <row r="576" spans="29:36" x14ac:dyDescent="0.25">
      <c r="AC576" t="str">
        <f>Players!B415</f>
        <v>Greg Scruggs</v>
      </c>
      <c r="AJ576" s="68"/>
    </row>
    <row r="577" spans="29:36" x14ac:dyDescent="0.25">
      <c r="AC577" t="str">
        <f>Players!B416</f>
        <v>Jeremy Sprinkle</v>
      </c>
      <c r="AJ577" s="68"/>
    </row>
    <row r="578" spans="29:36" x14ac:dyDescent="0.25">
      <c r="AC578" t="str">
        <f>Players!B417</f>
        <v>Brian Hill</v>
      </c>
      <c r="AJ578" s="68"/>
    </row>
    <row r="579" spans="29:36" x14ac:dyDescent="0.25">
      <c r="AC579" t="str">
        <f>Players!B418</f>
        <v>Geronimo Allison</v>
      </c>
      <c r="AJ579" s="68"/>
    </row>
    <row r="580" spans="29:36" x14ac:dyDescent="0.25">
      <c r="AC580" t="str">
        <f>Players!B419</f>
        <v>Josh Gordon</v>
      </c>
      <c r="AJ580" s="68"/>
    </row>
    <row r="581" spans="29:36" x14ac:dyDescent="0.25">
      <c r="AC581" t="str">
        <f>Players!B420</f>
        <v>Alex Collins</v>
      </c>
      <c r="AJ581" s="68"/>
    </row>
    <row r="582" spans="29:36" x14ac:dyDescent="0.25">
      <c r="AC582" t="str">
        <f>Players!B421</f>
        <v>Mack Brown</v>
      </c>
      <c r="AJ582" s="68"/>
    </row>
    <row r="583" spans="29:36" x14ac:dyDescent="0.25">
      <c r="AC583" t="str">
        <f>Players!B422</f>
        <v>Josh Ferguson</v>
      </c>
      <c r="AJ583" s="68"/>
    </row>
    <row r="584" spans="29:36" x14ac:dyDescent="0.25">
      <c r="AC584" t="str">
        <f>Players!B423</f>
        <v>Rico Gathers</v>
      </c>
      <c r="AJ584" s="68"/>
    </row>
    <row r="585" spans="29:36" x14ac:dyDescent="0.25">
      <c r="AC585" t="str">
        <f>Players!B424</f>
        <v>Corey Grant</v>
      </c>
      <c r="AJ585" s="68"/>
    </row>
    <row r="586" spans="29:36" x14ac:dyDescent="0.25">
      <c r="AC586" t="str">
        <f>Players!B425</f>
        <v>Cordarrelle Patterson</v>
      </c>
      <c r="AJ586" s="68"/>
    </row>
    <row r="587" spans="29:36" x14ac:dyDescent="0.25">
      <c r="AC587" t="str">
        <f>Players!B426</f>
        <v>Mason Schreck</v>
      </c>
      <c r="AJ587" s="68"/>
    </row>
    <row r="588" spans="29:36" x14ac:dyDescent="0.25">
      <c r="AC588" t="str">
        <f>Players!B427</f>
        <v>Chris Johnson</v>
      </c>
      <c r="AJ588" s="68"/>
    </row>
    <row r="589" spans="29:36" x14ac:dyDescent="0.25">
      <c r="AC589" t="str">
        <f>Players!B428</f>
        <v>Braxton Miller</v>
      </c>
      <c r="AJ589" s="68"/>
    </row>
    <row r="590" spans="29:36" x14ac:dyDescent="0.25">
      <c r="AC590" t="str">
        <f>Players!B429</f>
        <v>Josh McCown</v>
      </c>
      <c r="AJ590" s="68"/>
    </row>
    <row r="591" spans="29:36" x14ac:dyDescent="0.25">
      <c r="AC591" t="str">
        <f>Players!B430</f>
        <v>Dwayne Washington</v>
      </c>
      <c r="AJ591" s="68"/>
    </row>
    <row r="592" spans="29:36" x14ac:dyDescent="0.25">
      <c r="AC592" t="str">
        <f>Players!B431</f>
        <v>David Johnson2</v>
      </c>
      <c r="AJ592" s="68"/>
    </row>
    <row r="593" spans="29:36" x14ac:dyDescent="0.25">
      <c r="AC593" t="str">
        <f>Players!B432</f>
        <v>Luke Stocker</v>
      </c>
      <c r="AJ593" s="68"/>
    </row>
    <row r="594" spans="29:36" x14ac:dyDescent="0.25">
      <c r="AC594" t="str">
        <f>Players!B433</f>
        <v>Geoff Swaim</v>
      </c>
      <c r="AJ594" s="68"/>
    </row>
    <row r="595" spans="29:36" x14ac:dyDescent="0.25">
      <c r="AC595" t="str">
        <f>Players!B434</f>
        <v>Tajae Sharpe</v>
      </c>
      <c r="AJ595" s="68"/>
    </row>
    <row r="596" spans="29:36" x14ac:dyDescent="0.25">
      <c r="AC596" t="str">
        <f>Players!B435</f>
        <v>Matt LaCosse</v>
      </c>
      <c r="AJ596" s="68"/>
    </row>
    <row r="597" spans="29:36" x14ac:dyDescent="0.25">
      <c r="AC597" t="str">
        <f>Players!B436</f>
        <v>Malcolm Brown</v>
      </c>
      <c r="AJ597" s="68"/>
    </row>
    <row r="598" spans="29:36" x14ac:dyDescent="0.25">
      <c r="AC598" t="str">
        <f>Players!B437</f>
        <v>Brandon Bostick</v>
      </c>
      <c r="AJ598" s="68"/>
    </row>
    <row r="599" spans="29:36" x14ac:dyDescent="0.25">
      <c r="AC599" t="str">
        <f>Players!B438</f>
        <v>Knile Davis</v>
      </c>
      <c r="AJ599" s="68"/>
    </row>
    <row r="600" spans="29:36" x14ac:dyDescent="0.25">
      <c r="AC600" t="str">
        <f>Players!B439</f>
        <v>John Phillips</v>
      </c>
      <c r="AJ600" s="68"/>
    </row>
    <row r="601" spans="29:36" x14ac:dyDescent="0.25">
      <c r="AC601" t="str">
        <f>Players!B440</f>
        <v>Niles Paul</v>
      </c>
      <c r="AJ601" s="68"/>
    </row>
    <row r="602" spans="29:36" x14ac:dyDescent="0.25">
      <c r="AC602" t="str">
        <f>Players!B441</f>
        <v>Brice Butler</v>
      </c>
      <c r="AJ602" s="68"/>
    </row>
    <row r="603" spans="29:36" x14ac:dyDescent="0.25">
      <c r="AC603" t="str">
        <f>Players!B442</f>
        <v>Blake Bell</v>
      </c>
      <c r="AJ603" s="68"/>
    </row>
    <row r="604" spans="29:36" x14ac:dyDescent="0.25">
      <c r="AC604" t="str">
        <f>Players!B443</f>
        <v>Taywan Taylor</v>
      </c>
      <c r="AJ604" s="68"/>
    </row>
    <row r="605" spans="29:36" x14ac:dyDescent="0.25">
      <c r="AC605" t="str">
        <f>Players!B444</f>
        <v>James OShaughnessy</v>
      </c>
      <c r="AJ605" s="68"/>
    </row>
    <row r="606" spans="29:36" x14ac:dyDescent="0.25">
      <c r="AC606" t="str">
        <f>Players!B445</f>
        <v>Ifeanyi Momah</v>
      </c>
      <c r="AJ606" s="68"/>
    </row>
    <row r="607" spans="29:36" x14ac:dyDescent="0.25">
      <c r="AC607" t="str">
        <f>Players!B446</f>
        <v>Marcel Reece</v>
      </c>
      <c r="AJ607" s="68"/>
    </row>
    <row r="608" spans="29:36" x14ac:dyDescent="0.25">
      <c r="AC608" t="str">
        <f>Players!B447</f>
        <v>Ryan Hewitt</v>
      </c>
      <c r="AJ608" s="68"/>
    </row>
    <row r="609" spans="29:36" x14ac:dyDescent="0.25">
      <c r="AC609" t="str">
        <f>Players!B448</f>
        <v>Randall Telfer</v>
      </c>
      <c r="AJ609" s="68"/>
    </row>
    <row r="610" spans="29:36" x14ac:dyDescent="0.25">
      <c r="AC610" t="str">
        <f>Players!B449</f>
        <v>Matt Lengel</v>
      </c>
      <c r="AJ610" s="68"/>
    </row>
    <row r="611" spans="29:36" x14ac:dyDescent="0.25">
      <c r="AC611" t="str">
        <f>Players!B450</f>
        <v>Brandon Williams</v>
      </c>
      <c r="AJ611" s="68"/>
    </row>
    <row r="612" spans="29:36" x14ac:dyDescent="0.25">
      <c r="AC612" t="str">
        <f>Players!B451</f>
        <v>Andre Williams</v>
      </c>
      <c r="AJ612" s="68"/>
    </row>
    <row r="613" spans="29:36" x14ac:dyDescent="0.25">
      <c r="AC613" t="str">
        <f>Players!B452</f>
        <v>KaDeem Carey</v>
      </c>
      <c r="AJ613" s="68"/>
    </row>
    <row r="614" spans="29:36" x14ac:dyDescent="0.25">
      <c r="AC614" t="str">
        <f>Players!B453</f>
        <v>Logan Thomas</v>
      </c>
      <c r="AJ614" s="68"/>
    </row>
    <row r="615" spans="29:36" x14ac:dyDescent="0.25">
      <c r="AC615" t="str">
        <f>Players!B454</f>
        <v>Terron Ward</v>
      </c>
      <c r="AJ615" s="68"/>
    </row>
    <row r="616" spans="29:36" x14ac:dyDescent="0.25">
      <c r="AC616" t="str">
        <f>Players!B455</f>
        <v>Sean McGrath</v>
      </c>
      <c r="AJ616" s="68"/>
    </row>
    <row r="617" spans="29:36" x14ac:dyDescent="0.25">
      <c r="AC617" t="str">
        <f>Players!B456</f>
        <v>Philly Brown</v>
      </c>
      <c r="AJ617" s="68"/>
    </row>
    <row r="618" spans="29:36" x14ac:dyDescent="0.25">
      <c r="AC618" t="str">
        <f>Players!B457</f>
        <v>MyCole Pruitt</v>
      </c>
      <c r="AJ618" s="68"/>
    </row>
    <row r="619" spans="29:36" x14ac:dyDescent="0.25">
      <c r="AC619" t="str">
        <f>Players!B458</f>
        <v>Derek Carrier</v>
      </c>
      <c r="AJ619" s="68"/>
    </row>
    <row r="620" spans="29:36" x14ac:dyDescent="0.25">
      <c r="AC620" t="str">
        <f>Players!B459</f>
        <v>Clay Harbor</v>
      </c>
      <c r="AJ620" s="68"/>
    </row>
    <row r="621" spans="29:36" x14ac:dyDescent="0.25">
      <c r="AC621" t="str">
        <f>Players!B460</f>
        <v>Akeem Hunt</v>
      </c>
      <c r="AJ621" s="68"/>
    </row>
    <row r="622" spans="29:36" x14ac:dyDescent="0.25">
      <c r="AC622" t="str">
        <f>Players!B461</f>
        <v>Hakeem Valles</v>
      </c>
      <c r="AJ622" s="68"/>
    </row>
    <row r="623" spans="29:36" x14ac:dyDescent="0.25">
      <c r="AC623" t="str">
        <f>Players!B462</f>
        <v>Garrett Graham</v>
      </c>
      <c r="AJ623" s="68"/>
    </row>
    <row r="624" spans="29:36" x14ac:dyDescent="0.25">
      <c r="AC624" t="str">
        <f>Players!B463</f>
        <v>Anquan Boldin</v>
      </c>
      <c r="AJ624" s="68"/>
    </row>
    <row r="625" spans="29:36" x14ac:dyDescent="0.25">
      <c r="AC625" t="str">
        <f>Players!B464</f>
        <v>Cole Wick</v>
      </c>
      <c r="AJ625" s="68"/>
    </row>
    <row r="626" spans="29:36" x14ac:dyDescent="0.25">
      <c r="AC626" t="str">
        <f>Players!B465</f>
        <v>Chris Manhertz</v>
      </c>
      <c r="AJ626" s="68"/>
    </row>
    <row r="627" spans="29:36" x14ac:dyDescent="0.25">
      <c r="AC627" t="str">
        <f>Players!B466</f>
        <v>T.J. Logan</v>
      </c>
      <c r="AJ627" s="68"/>
    </row>
    <row r="628" spans="29:36" x14ac:dyDescent="0.25">
      <c r="AC628" t="str">
        <f>Players!B467</f>
        <v>JuJu Smith-Schuster</v>
      </c>
      <c r="AJ628" s="68"/>
    </row>
    <row r="629" spans="29:36" x14ac:dyDescent="0.25">
      <c r="AC629" t="str">
        <f>Players!B468</f>
        <v>Matthew Mulligan</v>
      </c>
      <c r="AJ629" s="68"/>
    </row>
    <row r="630" spans="29:36" x14ac:dyDescent="0.25">
      <c r="AC630" t="str">
        <f>Players!B469</f>
        <v>Khalfani Muhammad</v>
      </c>
      <c r="AJ630" s="68"/>
    </row>
    <row r="631" spans="29:36" x14ac:dyDescent="0.25">
      <c r="AC631" t="str">
        <f>Players!B470</f>
        <v>Cory Harkey</v>
      </c>
      <c r="AJ631" s="68"/>
    </row>
    <row r="632" spans="29:36" x14ac:dyDescent="0.25">
      <c r="AC632" t="str">
        <f>Players!B471</f>
        <v>Charone Peake</v>
      </c>
      <c r="AJ632" s="68"/>
    </row>
    <row r="633" spans="29:36" x14ac:dyDescent="0.25">
      <c r="AC633" t="str">
        <f>Players!B472</f>
        <v>Chris Gragg</v>
      </c>
      <c r="AJ633" s="68"/>
    </row>
    <row r="634" spans="29:36" x14ac:dyDescent="0.25">
      <c r="AC634" t="str">
        <f>Players!B473</f>
        <v>Rob Housler</v>
      </c>
      <c r="AJ634" s="68"/>
    </row>
    <row r="635" spans="29:36" x14ac:dyDescent="0.25">
      <c r="AC635" t="str">
        <f>Players!B474</f>
        <v>Lorenzo Taliaferro</v>
      </c>
      <c r="AJ635" s="68"/>
    </row>
    <row r="636" spans="29:36" x14ac:dyDescent="0.25">
      <c r="AC636" t="str">
        <f>Players!B475</f>
        <v>Wes Saxton</v>
      </c>
      <c r="AJ636" s="68"/>
    </row>
    <row r="637" spans="29:36" x14ac:dyDescent="0.25">
      <c r="AC637" t="str">
        <f>Players!B476</f>
        <v>Tim Wright</v>
      </c>
      <c r="AJ637" s="68"/>
    </row>
    <row r="638" spans="29:36" x14ac:dyDescent="0.25">
      <c r="AC638" t="str">
        <f>Players!B477</f>
        <v>Gerald Christian</v>
      </c>
      <c r="AJ638" s="68"/>
    </row>
    <row r="639" spans="29:36" x14ac:dyDescent="0.25">
      <c r="AC639" t="str">
        <f>Players!B478</f>
        <v>Darren Waller</v>
      </c>
      <c r="AJ639" s="68"/>
    </row>
    <row r="640" spans="29:36" x14ac:dyDescent="0.25">
      <c r="AC640" t="str">
        <f>Players!B479</f>
        <v>Daniel Brown</v>
      </c>
      <c r="AJ640" s="68"/>
    </row>
    <row r="641" spans="29:36" x14ac:dyDescent="0.25">
      <c r="AC641" t="str">
        <f>Players!B480</f>
        <v>Clark Harris</v>
      </c>
      <c r="AJ641" s="68"/>
    </row>
    <row r="642" spans="29:36" x14ac:dyDescent="0.25">
      <c r="AC642" t="str">
        <f>Players!B481</f>
        <v>Dan Vitale</v>
      </c>
      <c r="AJ642" s="68"/>
    </row>
    <row r="643" spans="29:36" x14ac:dyDescent="0.25">
      <c r="AC643" t="str">
        <f>Players!B482</f>
        <v>Khari Lee</v>
      </c>
      <c r="AJ643" s="68"/>
    </row>
    <row r="644" spans="29:36" x14ac:dyDescent="0.25">
      <c r="AC644" t="str">
        <f>Players!B483</f>
        <v>Gary Barnidge</v>
      </c>
      <c r="AJ644" s="68"/>
    </row>
    <row r="645" spans="29:36" x14ac:dyDescent="0.25">
      <c r="AC645" t="str">
        <f>Players!B484</f>
        <v>Brandon Myers</v>
      </c>
      <c r="AJ645" s="68"/>
    </row>
    <row r="646" spans="29:36" x14ac:dyDescent="0.25">
      <c r="AC646" t="str">
        <f>Players!B485</f>
        <v>Jim Dray</v>
      </c>
      <c r="AJ646" s="68"/>
    </row>
    <row r="647" spans="29:36" x14ac:dyDescent="0.25">
      <c r="AC647" t="str">
        <f>Players!B486</f>
        <v>Dennis Pitta</v>
      </c>
      <c r="AJ647" s="68"/>
    </row>
    <row r="648" spans="29:36" x14ac:dyDescent="0.25">
      <c r="AC648" t="str">
        <f>Players!B487</f>
        <v>David Ausberry</v>
      </c>
      <c r="AJ648" s="68"/>
    </row>
    <row r="649" spans="29:36" x14ac:dyDescent="0.25">
      <c r="AC649" t="str">
        <f>Players!B488</f>
        <v>Kellen Davis</v>
      </c>
      <c r="AJ649" s="68"/>
    </row>
    <row r="650" spans="29:36" x14ac:dyDescent="0.25">
      <c r="AC650" t="str">
        <f>Players!B489</f>
        <v>Ladarius Green</v>
      </c>
      <c r="AJ650" s="68"/>
    </row>
    <row r="651" spans="29:36" x14ac:dyDescent="0.25">
      <c r="AC651" t="str">
        <f>Players!B490</f>
        <v>Michael Williams</v>
      </c>
      <c r="AJ651" s="68"/>
    </row>
    <row r="652" spans="29:36" x14ac:dyDescent="0.25">
      <c r="AC652" t="str">
        <f>Players!B491</f>
        <v>Justin Perillo</v>
      </c>
      <c r="AJ652" s="68"/>
    </row>
    <row r="653" spans="29:36" x14ac:dyDescent="0.25">
      <c r="AC653" t="str">
        <f>Players!B492</f>
        <v>Blake Annen</v>
      </c>
      <c r="AJ653" s="68"/>
    </row>
    <row r="654" spans="29:36" x14ac:dyDescent="0.25">
      <c r="AC654" t="str">
        <f>Players!B493</f>
        <v>Jerome Cunningham</v>
      </c>
      <c r="AJ654" s="68"/>
    </row>
    <row r="655" spans="29:36" x14ac:dyDescent="0.25">
      <c r="AC655" t="str">
        <f>Players!B494</f>
        <v>Kennard Backman</v>
      </c>
      <c r="AJ655" s="68"/>
    </row>
    <row r="656" spans="29:36" x14ac:dyDescent="0.25">
      <c r="AC656" t="str">
        <f>Players!B495</f>
        <v>E.J. Bibbs</v>
      </c>
      <c r="AJ656" s="68"/>
    </row>
    <row r="657" spans="29:36" x14ac:dyDescent="0.25">
      <c r="AC657" t="str">
        <f>Players!B496</f>
        <v>Brian Parker</v>
      </c>
      <c r="AJ657" s="68"/>
    </row>
    <row r="658" spans="29:36" x14ac:dyDescent="0.25">
      <c r="AC658" t="str">
        <f>Players!B497</f>
        <v>Beau Sandland</v>
      </c>
      <c r="AJ658" s="68"/>
    </row>
    <row r="659" spans="29:36" x14ac:dyDescent="0.25">
      <c r="AC659" t="str">
        <f>Players!B498</f>
        <v>Mo Alie-Cox</v>
      </c>
      <c r="AJ659" s="68"/>
    </row>
    <row r="660" spans="29:36" x14ac:dyDescent="0.25">
      <c r="AC660" t="str">
        <f>Players!B499</f>
        <v>Orson Charles</v>
      </c>
      <c r="AJ660" s="68"/>
    </row>
    <row r="661" spans="29:36" x14ac:dyDescent="0.25">
      <c r="AC661" t="str">
        <f>Players!B500</f>
        <v>James Winchester</v>
      </c>
      <c r="AJ661" s="68"/>
    </row>
    <row r="662" spans="29:36" x14ac:dyDescent="0.25">
      <c r="AC662" t="str">
        <f>Players!B501</f>
        <v>Asante Cleveland</v>
      </c>
      <c r="AJ662" s="68"/>
    </row>
    <row r="663" spans="29:36" x14ac:dyDescent="0.25">
      <c r="AC663" t="str">
        <f>Players!B502</f>
        <v>Chris Pantale</v>
      </c>
      <c r="AJ663" s="68"/>
    </row>
    <row r="664" spans="29:36" x14ac:dyDescent="0.25">
      <c r="AC664" t="str">
        <f>Players!B503</f>
        <v>Thomas Duarte</v>
      </c>
      <c r="AJ664" s="68"/>
    </row>
    <row r="665" spans="29:36" x14ac:dyDescent="0.25">
      <c r="AC665" t="str">
        <f>Players!B504</f>
        <v>Nick Truesdell</v>
      </c>
      <c r="AJ665" s="68"/>
    </row>
    <row r="666" spans="29:36" x14ac:dyDescent="0.25">
      <c r="AC666" t="str">
        <f>Players!B505</f>
        <v>Bear Pascoe</v>
      </c>
      <c r="AJ666" s="68"/>
    </row>
    <row r="667" spans="29:36" x14ac:dyDescent="0.25">
      <c r="AC667" t="str">
        <f>Players!B506</f>
        <v>Jake Stoneburner</v>
      </c>
      <c r="AJ667" s="68"/>
    </row>
    <row r="668" spans="29:36" x14ac:dyDescent="0.25">
      <c r="AC668" t="str">
        <f>Players!B507</f>
        <v>Daniel Fells</v>
      </c>
      <c r="AJ668" s="68"/>
    </row>
    <row r="669" spans="29:36" x14ac:dyDescent="0.25">
      <c r="AC669" t="str">
        <f>Players!B508</f>
        <v>Cooper Helfet</v>
      </c>
      <c r="AJ669" s="68"/>
    </row>
    <row r="670" spans="29:36" x14ac:dyDescent="0.25">
      <c r="AC670" t="str">
        <f>Players!B509</f>
        <v>Brian Leonhardt</v>
      </c>
      <c r="AJ670" s="68"/>
    </row>
    <row r="671" spans="29:36" x14ac:dyDescent="0.25">
      <c r="AC671" t="str">
        <f>Players!B510</f>
        <v>Gabe Holmes</v>
      </c>
      <c r="AJ671" s="68"/>
    </row>
    <row r="672" spans="29:36" x14ac:dyDescent="0.25">
      <c r="AC672" t="str">
        <f>Players!B511</f>
        <v>Ryan OMalley</v>
      </c>
      <c r="AJ672" s="68"/>
    </row>
    <row r="673" spans="29:36" x14ac:dyDescent="0.25">
      <c r="AC673" t="str">
        <f>Players!B512</f>
        <v>RaShaun Allen</v>
      </c>
      <c r="AJ673" s="68"/>
    </row>
    <row r="674" spans="29:36" x14ac:dyDescent="0.25">
      <c r="AC674" t="str">
        <f>Players!B513</f>
        <v>Rory Anderson</v>
      </c>
      <c r="AJ674" s="68"/>
    </row>
    <row r="675" spans="29:36" x14ac:dyDescent="0.25">
      <c r="AC675" t="str">
        <f>Players!B514</f>
        <v>Alex Smith</v>
      </c>
      <c r="AJ675" s="68"/>
    </row>
    <row r="676" spans="29:36" x14ac:dyDescent="0.25">
      <c r="AC676" t="str">
        <f>Players!B515</f>
        <v>Marcel Jensen</v>
      </c>
      <c r="AJ676" s="68"/>
    </row>
    <row r="677" spans="29:36" x14ac:dyDescent="0.25">
      <c r="AC677" t="str">
        <f>Players!B516</f>
        <v>Jeff Cumberland</v>
      </c>
      <c r="AJ677" s="68"/>
    </row>
    <row r="678" spans="29:36" x14ac:dyDescent="0.25">
      <c r="AC678" t="str">
        <f>Players!B517</f>
        <v>Chris Carson</v>
      </c>
      <c r="AJ678" s="68"/>
    </row>
    <row r="679" spans="29:36" x14ac:dyDescent="0.25">
      <c r="AC679" t="str">
        <f>Players!B518</f>
        <v>J.D. McKissic</v>
      </c>
      <c r="AJ679" s="68"/>
    </row>
    <row r="680" spans="29:36" x14ac:dyDescent="0.25">
      <c r="AC680" t="str">
        <f>Players!B519</f>
        <v>Andrew Hawkins</v>
      </c>
      <c r="AJ680" s="68"/>
    </row>
    <row r="681" spans="29:36" x14ac:dyDescent="0.25">
      <c r="AC681" t="str">
        <f>Players!B520</f>
        <v>Christine Michael</v>
      </c>
      <c r="AJ681" s="68"/>
    </row>
    <row r="682" spans="29:36" x14ac:dyDescent="0.25">
      <c r="AC682" t="str">
        <f>Players!B521</f>
        <v>Peyton Barber</v>
      </c>
      <c r="AJ682" s="68"/>
    </row>
    <row r="683" spans="29:36" x14ac:dyDescent="0.25">
      <c r="AC683" t="str">
        <f>Players!B522</f>
        <v>Jamize Olawale</v>
      </c>
      <c r="AJ683" s="68"/>
    </row>
    <row r="684" spans="29:36" x14ac:dyDescent="0.25">
      <c r="AC684" t="str">
        <f>Players!B523</f>
        <v>Andy Janovich</v>
      </c>
      <c r="AJ684" s="68"/>
    </row>
    <row r="685" spans="29:36" x14ac:dyDescent="0.25">
      <c r="AC685" t="str">
        <f>Players!B524</f>
        <v>Jaelen Strong</v>
      </c>
      <c r="AJ685" s="68"/>
    </row>
    <row r="686" spans="29:36" x14ac:dyDescent="0.25">
      <c r="AC686" t="str">
        <f>Players!B525</f>
        <v>C.J. Spiller</v>
      </c>
      <c r="AJ686" s="68"/>
    </row>
    <row r="687" spans="29:36" x14ac:dyDescent="0.25">
      <c r="AC687" t="str">
        <f>Players!B526</f>
        <v>DeAngelo Williams</v>
      </c>
      <c r="AJ687" s="68"/>
    </row>
    <row r="688" spans="29:36" x14ac:dyDescent="0.25">
      <c r="AC688" t="str">
        <f>Players!B527</f>
        <v>Daniel Lasco</v>
      </c>
      <c r="AJ688" s="68"/>
    </row>
    <row r="689" spans="29:36" x14ac:dyDescent="0.25">
      <c r="AC689" t="str">
        <f>Players!B528</f>
        <v>Jaron Brown</v>
      </c>
      <c r="AJ689" s="68"/>
    </row>
    <row r="690" spans="29:36" x14ac:dyDescent="0.25">
      <c r="AC690" t="str">
        <f>Players!B529</f>
        <v>Orleans Darkwa</v>
      </c>
      <c r="AJ690" s="68"/>
    </row>
    <row r="691" spans="29:36" x14ac:dyDescent="0.25">
      <c r="AC691" t="str">
        <f>Players!B530</f>
        <v>Raheem Mostert</v>
      </c>
      <c r="AJ691" s="68"/>
    </row>
    <row r="692" spans="29:36" x14ac:dyDescent="0.25">
      <c r="AC692" t="str">
        <f>Players!B531</f>
        <v>Michael Floyd</v>
      </c>
      <c r="AJ692" s="68"/>
    </row>
    <row r="693" spans="29:36" x14ac:dyDescent="0.25">
      <c r="AC693" t="str">
        <f>Players!B532</f>
        <v>Michael Campanaro</v>
      </c>
      <c r="AJ693" s="68"/>
    </row>
    <row r="694" spans="29:36" x14ac:dyDescent="0.25">
      <c r="AC694" t="str">
        <f>Players!B533</f>
        <v>D.J. Foster</v>
      </c>
      <c r="AJ694" s="68"/>
    </row>
    <row r="695" spans="29:36" x14ac:dyDescent="0.25">
      <c r="AC695" t="str">
        <f>Players!B534</f>
        <v>George Atkinson</v>
      </c>
      <c r="AJ695" s="68"/>
    </row>
    <row r="696" spans="29:36" x14ac:dyDescent="0.25">
      <c r="AC696" t="str">
        <f>Players!B535</f>
        <v>Mike Davis</v>
      </c>
      <c r="AJ696" s="68"/>
    </row>
    <row r="697" spans="29:36" x14ac:dyDescent="0.25">
      <c r="AC697" t="str">
        <f>Players!B536</f>
        <v>Brian Quick</v>
      </c>
      <c r="AJ697" s="68"/>
    </row>
    <row r="698" spans="29:36" x14ac:dyDescent="0.25">
      <c r="AC698" t="str">
        <f>Players!B537</f>
        <v>Danny Amendola</v>
      </c>
      <c r="AJ698" s="68"/>
    </row>
    <row r="699" spans="29:36" x14ac:dyDescent="0.25">
      <c r="AC699" t="str">
        <f>Players!B538</f>
        <v>Nelson Agholor</v>
      </c>
      <c r="AJ699" s="68"/>
    </row>
    <row r="700" spans="29:36" x14ac:dyDescent="0.25">
      <c r="AC700" t="str">
        <f>Players!B539</f>
        <v>Patrick DiMarco</v>
      </c>
      <c r="AJ700" s="68"/>
    </row>
    <row r="701" spans="29:36" x14ac:dyDescent="0.25">
      <c r="AC701" t="str">
        <f>Players!B540</f>
        <v>Joe Banyard</v>
      </c>
      <c r="AJ701" s="68"/>
    </row>
    <row r="702" spans="29:36" x14ac:dyDescent="0.25">
      <c r="AC702" t="str">
        <f>Players!B541</f>
        <v>Tyler Ervin</v>
      </c>
      <c r="AJ702" s="68"/>
    </row>
    <row r="703" spans="29:36" x14ac:dyDescent="0.25">
      <c r="AC703" t="str">
        <f>Players!B542</f>
        <v>Justin Hardy</v>
      </c>
      <c r="AJ703" s="68"/>
    </row>
    <row r="704" spans="29:36" x14ac:dyDescent="0.25">
      <c r="AC704" t="str">
        <f>Players!B543</f>
        <v>Charles Johnson</v>
      </c>
      <c r="AJ704" s="68"/>
    </row>
    <row r="705" spans="29:36" x14ac:dyDescent="0.25">
      <c r="AC705" t="str">
        <f>Players!B544</f>
        <v>Dan Vitale</v>
      </c>
      <c r="AJ705" s="68"/>
    </row>
    <row r="706" spans="29:36" x14ac:dyDescent="0.25">
      <c r="AC706" t="str">
        <f>Players!B545</f>
        <v>Ricardo Louis</v>
      </c>
      <c r="AJ706" s="68"/>
    </row>
    <row r="707" spans="29:36" x14ac:dyDescent="0.25">
      <c r="AC707" t="str">
        <f>Players!B546</f>
        <v>Khiry Robinson</v>
      </c>
      <c r="AJ707" s="68"/>
    </row>
    <row r="708" spans="29:36" x14ac:dyDescent="0.25">
      <c r="AC708" t="str">
        <f>Players!B547</f>
        <v>Brandon Wilds</v>
      </c>
      <c r="AJ708" s="68"/>
    </row>
    <row r="709" spans="29:36" x14ac:dyDescent="0.25">
      <c r="AC709" t="str">
        <f>Players!B548</f>
        <v>Bobby Rainey</v>
      </c>
      <c r="AJ709" s="68"/>
    </row>
    <row r="710" spans="29:36" x14ac:dyDescent="0.25">
      <c r="AC710" t="str">
        <f>Players!B549</f>
        <v>Dorial Green-Beckham</v>
      </c>
      <c r="AJ710" s="68"/>
    </row>
    <row r="711" spans="29:36" x14ac:dyDescent="0.25">
      <c r="AC711" t="str">
        <f>Players!B550</f>
        <v>Joique Bell</v>
      </c>
      <c r="AJ711" s="68"/>
    </row>
    <row r="712" spans="29:36" x14ac:dyDescent="0.25">
      <c r="AC712" t="str">
        <f>Players!B551</f>
        <v>Keith Marshall</v>
      </c>
      <c r="AJ712" s="68"/>
    </row>
    <row r="713" spans="29:36" x14ac:dyDescent="0.25">
      <c r="AC713" t="str">
        <f>Players!B552</f>
        <v>Bennie Fowler</v>
      </c>
      <c r="AJ713" s="68"/>
    </row>
    <row r="714" spans="29:36" x14ac:dyDescent="0.25">
      <c r="AC714" t="str">
        <f>Players!B553</f>
        <v>Taiwan Jones</v>
      </c>
      <c r="AJ714" s="68"/>
    </row>
    <row r="715" spans="29:36" x14ac:dyDescent="0.25">
      <c r="AC715" t="str">
        <f>Players!B554</f>
        <v>Jonathan Grimes</v>
      </c>
      <c r="AJ715" s="68"/>
    </row>
    <row r="716" spans="29:36" x14ac:dyDescent="0.25">
      <c r="AC716" t="str">
        <f>Players!B555</f>
        <v>Darrel Young</v>
      </c>
      <c r="AJ716" s="68"/>
    </row>
    <row r="717" spans="29:36" x14ac:dyDescent="0.25">
      <c r="AC717" t="str">
        <f>Players!B556</f>
        <v>Antonio Andrews</v>
      </c>
      <c r="AJ717" s="68"/>
    </row>
    <row r="718" spans="29:36" x14ac:dyDescent="0.25">
      <c r="AC718" t="str">
        <f>Players!B557</f>
        <v>Cedric Peerman</v>
      </c>
      <c r="AJ718" s="68"/>
    </row>
    <row r="719" spans="29:36" x14ac:dyDescent="0.25">
      <c r="AC719" t="str">
        <f>Players!B558</f>
        <v>Antone Smith</v>
      </c>
      <c r="AJ719" s="68"/>
    </row>
    <row r="720" spans="29:36" x14ac:dyDescent="0.25">
      <c r="AC720" t="str">
        <f>Players!B559</f>
        <v>Derek Watt</v>
      </c>
      <c r="AJ720" s="68"/>
    </row>
    <row r="721" spans="29:36" x14ac:dyDescent="0.25">
      <c r="AC721" t="str">
        <f>Players!B560</f>
        <v>Carlos Henderson</v>
      </c>
      <c r="AJ721" s="68"/>
    </row>
    <row r="722" spans="29:36" x14ac:dyDescent="0.25">
      <c r="AC722" t="str">
        <f>Players!B561</f>
        <v>Anthony Sherman</v>
      </c>
      <c r="AJ722" s="68"/>
    </row>
    <row r="723" spans="29:36" x14ac:dyDescent="0.25">
      <c r="AC723" t="str">
        <f>Players!B562</f>
        <v>C.J. Ham</v>
      </c>
      <c r="AJ723" s="68"/>
    </row>
    <row r="724" spans="29:36" x14ac:dyDescent="0.25">
      <c r="AC724" t="str">
        <f>Players!B563</f>
        <v>Malcolm Johnson</v>
      </c>
      <c r="AJ724" s="68"/>
    </row>
    <row r="725" spans="29:36" x14ac:dyDescent="0.25">
      <c r="AC725" t="str">
        <f>Players!B564</f>
        <v>James Develin</v>
      </c>
      <c r="AJ725" s="68"/>
    </row>
    <row r="726" spans="29:36" x14ac:dyDescent="0.25">
      <c r="AC726" t="str">
        <f>Players!B565</f>
        <v>Victor Cruz</v>
      </c>
      <c r="AJ726" s="68"/>
    </row>
    <row r="727" spans="29:36" x14ac:dyDescent="0.25">
      <c r="AC727" t="str">
        <f>Players!B566</f>
        <v>Russell Shepard</v>
      </c>
      <c r="AJ727" s="68"/>
    </row>
    <row r="728" spans="29:36" x14ac:dyDescent="0.25">
      <c r="AC728" t="str">
        <f>Players!B567</f>
        <v>Devante Mays</v>
      </c>
      <c r="AJ728" s="68"/>
    </row>
    <row r="729" spans="29:36" x14ac:dyDescent="0.25">
      <c r="AC729" t="str">
        <f>Players!B568</f>
        <v>Roosevelt Nix</v>
      </c>
      <c r="AJ729" s="68"/>
    </row>
    <row r="730" spans="29:36" x14ac:dyDescent="0.25">
      <c r="AC730" t="str">
        <f>Players!B569</f>
        <v>Sam Rogers</v>
      </c>
      <c r="AJ730" s="68"/>
    </row>
    <row r="731" spans="29:36" x14ac:dyDescent="0.25">
      <c r="AC731" t="str">
        <f>Players!B570</f>
        <v>Will Johnson</v>
      </c>
      <c r="AJ731" s="68"/>
    </row>
    <row r="732" spans="29:36" x14ac:dyDescent="0.25">
      <c r="AC732" t="str">
        <f>Players!B571</f>
        <v>Bishop Sankey</v>
      </c>
      <c r="AJ732" s="68"/>
    </row>
    <row r="733" spans="29:36" x14ac:dyDescent="0.25">
      <c r="AC733" t="str">
        <f>Players!B572</f>
        <v>Troymaine Pope</v>
      </c>
      <c r="AJ733" s="68"/>
    </row>
    <row r="734" spans="29:36" x14ac:dyDescent="0.25">
      <c r="AC734" t="str">
        <f>Players!B573</f>
        <v>Jerome Felton</v>
      </c>
      <c r="AJ734" s="68"/>
    </row>
    <row r="735" spans="29:36" x14ac:dyDescent="0.25">
      <c r="AC735" t="str">
        <f>Players!B574</f>
        <v>Rod Smith</v>
      </c>
      <c r="AJ735" s="68"/>
    </row>
    <row r="736" spans="29:36" x14ac:dyDescent="0.25">
      <c r="AC736" t="str">
        <f>Players!B575</f>
        <v>John Crockett</v>
      </c>
      <c r="AJ736" s="68"/>
    </row>
    <row r="737" spans="29:36" x14ac:dyDescent="0.25">
      <c r="AC737" t="str">
        <f>Players!B576</f>
        <v>Glenn Winston</v>
      </c>
      <c r="AJ737" s="68"/>
    </row>
    <row r="738" spans="29:36" x14ac:dyDescent="0.25">
      <c r="AC738" t="str">
        <f>Players!B577</f>
        <v>Chester Rogers</v>
      </c>
      <c r="AJ738" s="68"/>
    </row>
    <row r="739" spans="29:36" x14ac:dyDescent="0.25">
      <c r="AC739" t="str">
        <f>Players!B578</f>
        <v>Zach Line</v>
      </c>
      <c r="AJ739" s="68"/>
    </row>
    <row r="740" spans="29:36" x14ac:dyDescent="0.25">
      <c r="AC740" t="str">
        <f>Players!B579</f>
        <v>Jordan Todman</v>
      </c>
      <c r="AJ740" s="68"/>
    </row>
    <row r="741" spans="29:36" x14ac:dyDescent="0.25">
      <c r="AC741" t="str">
        <f>Players!B580</f>
        <v>Jay Prosch</v>
      </c>
      <c r="AJ741" s="68"/>
    </row>
    <row r="742" spans="29:36" x14ac:dyDescent="0.25">
      <c r="AC742" t="str">
        <f>Players!B581</f>
        <v>Brandon Bolden</v>
      </c>
      <c r="AJ742" s="68"/>
    </row>
    <row r="743" spans="29:36" x14ac:dyDescent="0.25">
      <c r="AC743" t="str">
        <f>Players!B582</f>
        <v>Pharoh Cooper</v>
      </c>
      <c r="AJ743" s="68"/>
    </row>
    <row r="744" spans="29:36" x14ac:dyDescent="0.25">
      <c r="AC744" t="str">
        <f>Players!B583</f>
        <v>Reggie Bush</v>
      </c>
      <c r="AJ744" s="68"/>
    </row>
    <row r="745" spans="29:36" x14ac:dyDescent="0.25">
      <c r="AC745" t="str">
        <f>Players!B584</f>
        <v>Jalston Fowler</v>
      </c>
      <c r="AJ745" s="68"/>
    </row>
    <row r="746" spans="29:36" x14ac:dyDescent="0.25">
      <c r="AC746" t="str">
        <f>Players!B585</f>
        <v>Keith Smith</v>
      </c>
      <c r="AJ746" s="68"/>
    </row>
    <row r="747" spans="29:36" x14ac:dyDescent="0.25">
      <c r="AC747" t="str">
        <f>Players!B586</f>
        <v>Sammie Coates</v>
      </c>
      <c r="AJ747" s="68"/>
    </row>
    <row r="748" spans="29:36" x14ac:dyDescent="0.25">
      <c r="AC748" t="str">
        <f>Players!B587</f>
        <v>Juwan Thompson</v>
      </c>
      <c r="AJ748" s="68"/>
    </row>
    <row r="749" spans="29:36" x14ac:dyDescent="0.25">
      <c r="AC749" t="str">
        <f>Players!B588</f>
        <v>Michael Burton</v>
      </c>
      <c r="AJ749" s="68"/>
    </row>
    <row r="750" spans="29:36" x14ac:dyDescent="0.25">
      <c r="AC750" t="str">
        <f>Players!B589</f>
        <v>Marcus Murphy</v>
      </c>
      <c r="AJ750" s="68"/>
    </row>
    <row r="751" spans="29:36" x14ac:dyDescent="0.25">
      <c r="AC751" t="str">
        <f>Players!B590</f>
        <v>Jarius Wright</v>
      </c>
      <c r="AJ751" s="68"/>
    </row>
    <row r="752" spans="29:36" x14ac:dyDescent="0.25">
      <c r="AC752" t="str">
        <f>Players!B591</f>
        <v>Mike James</v>
      </c>
      <c r="AJ752" s="68"/>
    </row>
    <row r="753" spans="29:36" x14ac:dyDescent="0.25">
      <c r="AC753" t="str">
        <f>Players!B592</f>
        <v>Stepfan Taylor</v>
      </c>
      <c r="AJ753" s="68"/>
    </row>
    <row r="754" spans="29:36" x14ac:dyDescent="0.25">
      <c r="AC754" t="str">
        <f>Players!B593</f>
        <v>George Winn</v>
      </c>
      <c r="AJ754" s="68"/>
    </row>
    <row r="755" spans="29:36" x14ac:dyDescent="0.25">
      <c r="AC755" t="str">
        <f>Players!B594</f>
        <v>Tra Carson</v>
      </c>
      <c r="AJ755" s="68"/>
    </row>
    <row r="756" spans="29:36" x14ac:dyDescent="0.25">
      <c r="AC756" t="str">
        <f>Players!B595</f>
        <v>Cyrus Gray</v>
      </c>
      <c r="AJ756" s="68"/>
    </row>
    <row r="757" spans="29:36" x14ac:dyDescent="0.25">
      <c r="AC757" t="str">
        <f>Players!B596</f>
        <v>Terrence Magee</v>
      </c>
      <c r="AJ757" s="68"/>
    </row>
    <row r="758" spans="29:36" x14ac:dyDescent="0.25">
      <c r="AC758" t="str">
        <f>Players!B597</f>
        <v>Darius Jackson</v>
      </c>
      <c r="AJ758" s="68"/>
    </row>
    <row r="759" spans="29:36" x14ac:dyDescent="0.25">
      <c r="AC759" t="str">
        <f>Players!B598</f>
        <v>Ronnie Hillman</v>
      </c>
      <c r="AJ759" s="68"/>
    </row>
    <row r="760" spans="29:36" x14ac:dyDescent="0.25">
      <c r="AC760" t="str">
        <f>Players!B599</f>
        <v>Stevan Ridley</v>
      </c>
      <c r="AJ760" s="68"/>
    </row>
    <row r="761" spans="29:36" x14ac:dyDescent="0.25">
      <c r="AC761" t="str">
        <f>Players!B600</f>
        <v>Bernard Pierce</v>
      </c>
      <c r="AJ761" s="68"/>
    </row>
    <row r="762" spans="29:36" x14ac:dyDescent="0.25">
      <c r="AC762" t="str">
        <f>Players!B601</f>
        <v>Zac Brooks</v>
      </c>
      <c r="AJ762" s="68"/>
    </row>
    <row r="763" spans="29:36" x14ac:dyDescent="0.25">
      <c r="AC763" t="str">
        <f>Players!B602</f>
        <v>Justin Forsett</v>
      </c>
      <c r="AJ763" s="68"/>
    </row>
    <row r="764" spans="29:36" x14ac:dyDescent="0.25">
      <c r="AC764" t="str">
        <f>Players!B603</f>
        <v>Rashad Jennings</v>
      </c>
      <c r="AJ764" s="68"/>
    </row>
    <row r="765" spans="29:36" x14ac:dyDescent="0.25">
      <c r="AC765" t="str">
        <f>Players!B604</f>
        <v>Dexter McCluster</v>
      </c>
      <c r="AJ765" s="68"/>
    </row>
    <row r="766" spans="29:36" x14ac:dyDescent="0.25">
      <c r="AC766" t="str">
        <f>Players!B605</f>
        <v>James Starks</v>
      </c>
      <c r="AJ766" s="68"/>
    </row>
    <row r="767" spans="29:36" x14ac:dyDescent="0.25">
      <c r="AC767" t="str">
        <f>Players!B606</f>
        <v>Will Tukuafu</v>
      </c>
      <c r="AJ767" s="68"/>
    </row>
    <row r="768" spans="29:36" x14ac:dyDescent="0.25">
      <c r="AC768" t="str">
        <f>Players!B607</f>
        <v>DuJuan Harris</v>
      </c>
      <c r="AJ768" s="68"/>
    </row>
    <row r="769" spans="29:36" x14ac:dyDescent="0.25">
      <c r="AC769" t="str">
        <f>Players!B608</f>
        <v>Austin Johnson</v>
      </c>
      <c r="AJ769" s="68"/>
    </row>
    <row r="770" spans="29:36" x14ac:dyDescent="0.25">
      <c r="AC770" t="str">
        <f>Players!B609</f>
        <v>Daryl Richardson</v>
      </c>
      <c r="AJ770" s="68"/>
    </row>
    <row r="771" spans="29:36" x14ac:dyDescent="0.25">
      <c r="AC771" t="str">
        <f>Players!B610</f>
        <v>Derrick Coleman</v>
      </c>
      <c r="AJ771" s="68"/>
    </row>
    <row r="772" spans="29:36" x14ac:dyDescent="0.25">
      <c r="AC772" t="str">
        <f>Players!B611</f>
        <v>Denard Robinson</v>
      </c>
      <c r="AJ772" s="68"/>
    </row>
    <row r="773" spans="29:36" x14ac:dyDescent="0.25">
      <c r="AC773" t="str">
        <f>Players!B612</f>
        <v>Montee Ball</v>
      </c>
      <c r="AJ773" s="68"/>
    </row>
    <row r="774" spans="29:36" x14ac:dyDescent="0.25">
      <c r="AC774" t="str">
        <f>Players!B613</f>
        <v>Joseph Randle</v>
      </c>
      <c r="AJ774" s="68"/>
    </row>
    <row r="775" spans="29:36" x14ac:dyDescent="0.25">
      <c r="AC775" t="str">
        <f>Players!B614</f>
        <v>Tommy Bohanon</v>
      </c>
      <c r="AJ775" s="68"/>
    </row>
    <row r="776" spans="29:36" x14ac:dyDescent="0.25">
      <c r="AC776" t="str">
        <f>Players!B615</f>
        <v>Tre Mason</v>
      </c>
      <c r="AJ776" s="68"/>
    </row>
    <row r="777" spans="29:36" x14ac:dyDescent="0.25">
      <c r="AC777" t="str">
        <f>Players!B616</f>
        <v>Dri Archer</v>
      </c>
      <c r="AJ777" s="68"/>
    </row>
    <row r="778" spans="29:36" x14ac:dyDescent="0.25">
      <c r="AC778" t="str">
        <f>Players!B617</f>
        <v>Darrin Reaves</v>
      </c>
      <c r="AJ778" s="68"/>
    </row>
    <row r="779" spans="29:36" x14ac:dyDescent="0.25">
      <c r="AC779" t="str">
        <f>Players!B618</f>
        <v>David Cobb</v>
      </c>
      <c r="AJ779" s="68"/>
    </row>
    <row r="780" spans="29:36" x14ac:dyDescent="0.25">
      <c r="AC780" t="str">
        <f>Players!B619</f>
        <v>Karlos Williams</v>
      </c>
      <c r="AJ780" s="68"/>
    </row>
    <row r="781" spans="29:36" x14ac:dyDescent="0.25">
      <c r="AC781" t="str">
        <f>Players!B620</f>
        <v>Kenny Hilliard</v>
      </c>
      <c r="AJ781" s="68"/>
    </row>
    <row r="782" spans="29:36" x14ac:dyDescent="0.25">
      <c r="AC782" t="str">
        <f>Players!B621</f>
        <v>Trey Williams</v>
      </c>
      <c r="AJ782" s="68"/>
    </row>
    <row r="783" spans="29:36" x14ac:dyDescent="0.25">
      <c r="AC783" t="str">
        <f>Players!B622</f>
        <v>Brandon Wegher</v>
      </c>
      <c r="AJ783" s="68"/>
    </row>
    <row r="784" spans="29:36" x14ac:dyDescent="0.25">
      <c r="AC784" t="str">
        <f>Players!B623</f>
        <v>George Farmer</v>
      </c>
      <c r="AJ784" s="68"/>
    </row>
    <row r="785" spans="29:36" x14ac:dyDescent="0.25">
      <c r="AC785" t="str">
        <f>Players!B624</f>
        <v>Dreamius Smith</v>
      </c>
      <c r="AJ785" s="68"/>
    </row>
    <row r="786" spans="29:36" x14ac:dyDescent="0.25">
      <c r="AC786" t="str">
        <f>Players!B625</f>
        <v>Kelvin Taylor</v>
      </c>
      <c r="AJ786" s="68"/>
    </row>
    <row r="787" spans="29:36" x14ac:dyDescent="0.25">
      <c r="AC787" t="str">
        <f>Players!B626</f>
        <v>Glenn Gronkowski</v>
      </c>
      <c r="AJ787" s="68"/>
    </row>
    <row r="788" spans="29:36" x14ac:dyDescent="0.25">
      <c r="AC788" t="str">
        <f>Players!B627</f>
        <v>Don Jackson</v>
      </c>
      <c r="AJ788" s="68"/>
    </row>
    <row r="789" spans="29:36" x14ac:dyDescent="0.25">
      <c r="AC789" t="str">
        <f>Players!B628</f>
        <v>Brandon Burks</v>
      </c>
      <c r="AJ789" s="68"/>
    </row>
    <row r="790" spans="29:36" x14ac:dyDescent="0.25">
      <c r="AC790" t="str">
        <f>Players!B629</f>
        <v>Devon Johnson</v>
      </c>
      <c r="AJ790" s="68"/>
    </row>
    <row r="791" spans="29:36" x14ac:dyDescent="0.25">
      <c r="AC791" t="str">
        <f>Players!B630</f>
        <v>Dare Ogunbowale</v>
      </c>
      <c r="AJ791" s="68"/>
    </row>
    <row r="792" spans="29:36" x14ac:dyDescent="0.25">
      <c r="AC792" t="str">
        <f>Players!B631</f>
        <v>Tyler Varga</v>
      </c>
      <c r="AJ792" s="68"/>
    </row>
    <row r="793" spans="29:36" x14ac:dyDescent="0.25">
      <c r="AC793" t="str">
        <f>Players!B632</f>
        <v>Tyler Gaffney</v>
      </c>
      <c r="AJ793" s="68"/>
    </row>
    <row r="794" spans="29:36" x14ac:dyDescent="0.25">
      <c r="AC794" t="str">
        <f>Players!B633</f>
        <v>Justin Davis</v>
      </c>
      <c r="AJ794" s="68"/>
    </row>
    <row r="795" spans="29:36" x14ac:dyDescent="0.25">
      <c r="AC795" t="str">
        <f>Players!B634</f>
        <v>Storm Johnson</v>
      </c>
      <c r="AJ795" s="68"/>
    </row>
    <row r="796" spans="29:36" x14ac:dyDescent="0.25">
      <c r="AC796" t="str">
        <f>Players!B635</f>
        <v>Senorise Perry</v>
      </c>
      <c r="AJ796" s="68"/>
    </row>
    <row r="797" spans="29:36" x14ac:dyDescent="0.25">
      <c r="AC797" t="str">
        <f>Players!B636</f>
        <v>Steven Jackson</v>
      </c>
      <c r="AJ797" s="68"/>
    </row>
    <row r="798" spans="29:36" x14ac:dyDescent="0.25">
      <c r="AC798" t="str">
        <f>Players!B637</f>
        <v>Nikita Whitlock</v>
      </c>
      <c r="AJ798" s="68"/>
    </row>
    <row r="799" spans="29:36" x14ac:dyDescent="0.25">
      <c r="AC799" t="str">
        <f>Players!B638</f>
        <v>Corey Clement</v>
      </c>
      <c r="AJ799" s="68"/>
    </row>
    <row r="800" spans="29:36" x14ac:dyDescent="0.25">
      <c r="AC800" t="str">
        <f>Players!B639</f>
        <v>Terrell Watson</v>
      </c>
      <c r="AJ800" s="68"/>
    </row>
    <row r="801" spans="29:36" x14ac:dyDescent="0.25">
      <c r="AC801" t="str">
        <f>Players!B640</f>
        <v>Gus Johnson</v>
      </c>
      <c r="AJ801" s="68"/>
    </row>
    <row r="802" spans="29:36" x14ac:dyDescent="0.25">
      <c r="AC802" t="str">
        <f>Players!B641</f>
        <v>Tre Madden</v>
      </c>
      <c r="AJ802" s="68"/>
    </row>
    <row r="803" spans="29:36" x14ac:dyDescent="0.25">
      <c r="AC803" t="str">
        <f>Players!B642</f>
        <v>Russell Hansbrough</v>
      </c>
      <c r="AJ803" s="68"/>
    </row>
    <row r="804" spans="29:36" x14ac:dyDescent="0.25">
      <c r="AC804" t="str">
        <f>Players!B643</f>
        <v>Silas Redd</v>
      </c>
      <c r="AJ804" s="68"/>
    </row>
    <row r="805" spans="29:36" x14ac:dyDescent="0.25">
      <c r="AC805" t="str">
        <f>Players!B644</f>
        <v>Aaron Green</v>
      </c>
      <c r="AJ805" s="68"/>
    </row>
    <row r="806" spans="29:36" x14ac:dyDescent="0.25">
      <c r="AC806" t="str">
        <f>Players!B645</f>
        <v>Darrius Heyward-Bey</v>
      </c>
      <c r="AJ806" s="68"/>
    </row>
    <row r="807" spans="29:36" x14ac:dyDescent="0.25">
      <c r="AC807" t="str">
        <f>Players!B646</f>
        <v>Jordan Taylor</v>
      </c>
      <c r="AJ807" s="68"/>
    </row>
    <row r="808" spans="29:36" x14ac:dyDescent="0.25">
      <c r="AC808" t="str">
        <f>Players!B647</f>
        <v>Roger Lewis</v>
      </c>
      <c r="AJ808" s="68"/>
    </row>
    <row r="809" spans="29:36" x14ac:dyDescent="0.25">
      <c r="AC809" t="str">
        <f>Players!B648</f>
        <v>Chad Williams</v>
      </c>
      <c r="AJ809" s="68"/>
    </row>
    <row r="810" spans="29:36" x14ac:dyDescent="0.25">
      <c r="AC810" t="str">
        <f>Players!B649</f>
        <v>Josh Reynolds</v>
      </c>
      <c r="AJ810" s="68"/>
    </row>
    <row r="811" spans="29:36" x14ac:dyDescent="0.25">
      <c r="AC811" t="str">
        <f>Players!B650</f>
        <v>Andre Roberts</v>
      </c>
      <c r="AJ811" s="68"/>
    </row>
    <row r="812" spans="29:36" x14ac:dyDescent="0.25">
      <c r="AC812" t="str">
        <f>Players!B651</f>
        <v>Aldrick Robinson</v>
      </c>
      <c r="AJ812" s="68"/>
    </row>
    <row r="813" spans="29:36" x14ac:dyDescent="0.25">
      <c r="AC813" t="str">
        <f>Players!B652</f>
        <v>Chris Moore</v>
      </c>
      <c r="AJ813" s="68"/>
    </row>
    <row r="814" spans="29:36" x14ac:dyDescent="0.25">
      <c r="AC814" t="str">
        <f>Players!B653</f>
        <v>Leonte Carroo</v>
      </c>
      <c r="AJ814" s="68"/>
    </row>
    <row r="815" spans="29:36" x14ac:dyDescent="0.25">
      <c r="AC815" t="str">
        <f>Players!B654</f>
        <v>Tom Savage</v>
      </c>
      <c r="AJ815" s="68"/>
    </row>
    <row r="816" spans="29:36" x14ac:dyDescent="0.25">
      <c r="AC816" t="str">
        <f>Players!B655</f>
        <v>Harry Douglas</v>
      </c>
      <c r="AJ816" s="68"/>
    </row>
    <row r="817" spans="29:36" x14ac:dyDescent="0.25">
      <c r="AC817" t="str">
        <f>Players!B656</f>
        <v>Cobi Hamilton</v>
      </c>
      <c r="AJ817" s="68"/>
    </row>
    <row r="818" spans="29:36" x14ac:dyDescent="0.25">
      <c r="AC818" t="str">
        <f>Players!B657</f>
        <v>Rashard Higgins</v>
      </c>
      <c r="AJ818" s="68"/>
    </row>
    <row r="819" spans="29:36" x14ac:dyDescent="0.25">
      <c r="AC819" t="str">
        <f>Players!B658</f>
        <v>Cody Core</v>
      </c>
      <c r="AJ819" s="68"/>
    </row>
    <row r="820" spans="29:36" x14ac:dyDescent="0.25">
      <c r="AC820" t="str">
        <f>Players!B659</f>
        <v>Vincent Jackson</v>
      </c>
      <c r="AJ820" s="68"/>
    </row>
    <row r="821" spans="29:36" x14ac:dyDescent="0.25">
      <c r="AC821" t="str">
        <f>Players!B660</f>
        <v>Amara Darboh</v>
      </c>
      <c r="AJ821" s="68"/>
    </row>
    <row r="822" spans="29:36" x14ac:dyDescent="0.25">
      <c r="AC822" t="str">
        <f>Players!B661</f>
        <v>Cecil Shorts</v>
      </c>
      <c r="AJ822" s="68"/>
    </row>
    <row r="823" spans="29:36" x14ac:dyDescent="0.25">
      <c r="AC823" t="str">
        <f>Players!B662</f>
        <v>Justin Hunter</v>
      </c>
      <c r="AJ823" s="68"/>
    </row>
    <row r="824" spans="29:36" x14ac:dyDescent="0.25">
      <c r="AC824" t="str">
        <f>Players!B663</f>
        <v>Robert Davis</v>
      </c>
      <c r="AJ824" s="68"/>
    </row>
    <row r="825" spans="29:36" x14ac:dyDescent="0.25">
      <c r="AC825" t="str">
        <f>Players!B664</f>
        <v>Cody Latimer</v>
      </c>
      <c r="AJ825" s="68"/>
    </row>
    <row r="826" spans="29:36" x14ac:dyDescent="0.25">
      <c r="AC826" t="str">
        <f>Players!B665</f>
        <v>Marquess Wilson</v>
      </c>
      <c r="AJ826" s="68"/>
    </row>
    <row r="827" spans="29:36" x14ac:dyDescent="0.25">
      <c r="AC827" t="str">
        <f>Players!B666</f>
        <v>Eddie Royal</v>
      </c>
      <c r="AJ827" s="68"/>
    </row>
    <row r="828" spans="29:36" x14ac:dyDescent="0.25">
      <c r="AC828" t="str">
        <f>Players!B667</f>
        <v>Bryan Walters</v>
      </c>
      <c r="AJ828" s="68"/>
    </row>
    <row r="829" spans="29:36" x14ac:dyDescent="0.25">
      <c r="AC829" t="str">
        <f>Players!B668</f>
        <v>Chad Hansen</v>
      </c>
      <c r="AJ829" s="68"/>
    </row>
    <row r="830" spans="29:36" x14ac:dyDescent="0.25">
      <c r="AC830" t="str">
        <f>Players!B669</f>
        <v>Josh Bellamy</v>
      </c>
      <c r="AJ830" s="68"/>
    </row>
    <row r="831" spans="29:36" x14ac:dyDescent="0.25">
      <c r="AC831" t="str">
        <f>Players!B670</f>
        <v>Rueben Randle</v>
      </c>
      <c r="AJ831" s="68"/>
    </row>
    <row r="832" spans="29:36" x14ac:dyDescent="0.25">
      <c r="AC832" t="str">
        <f>Players!B671</f>
        <v>Ryan Grant</v>
      </c>
      <c r="AJ832" s="68"/>
    </row>
    <row r="833" spans="29:36" x14ac:dyDescent="0.25">
      <c r="AC833" t="str">
        <f>Players!B672</f>
        <v>Paxton Lynch</v>
      </c>
      <c r="AJ833" s="68"/>
    </row>
    <row r="834" spans="29:36" x14ac:dyDescent="0.25">
      <c r="AC834" t="str">
        <f>Players!B673</f>
        <v>Isaiah McKenzie</v>
      </c>
      <c r="AJ834" s="68"/>
    </row>
    <row r="835" spans="29:36" x14ac:dyDescent="0.25">
      <c r="AC835" t="str">
        <f>Players!B674</f>
        <v>Rod Streater</v>
      </c>
      <c r="AJ835" s="68"/>
    </row>
    <row r="836" spans="29:36" x14ac:dyDescent="0.25">
      <c r="AC836" t="str">
        <f>Players!B675</f>
        <v>Trent Taylor</v>
      </c>
      <c r="AJ836" s="68"/>
    </row>
    <row r="837" spans="29:36" x14ac:dyDescent="0.25">
      <c r="AC837" t="str">
        <f>Players!B676</f>
        <v>Demarcus Robinson</v>
      </c>
      <c r="AJ837" s="68"/>
    </row>
    <row r="838" spans="29:36" x14ac:dyDescent="0.25">
      <c r="AC838" t="str">
        <f>Players!B677</f>
        <v>T.J. Jones</v>
      </c>
      <c r="AJ838" s="68"/>
    </row>
    <row r="839" spans="29:36" x14ac:dyDescent="0.25">
      <c r="AC839" t="str">
        <f>Players!B678</f>
        <v>Malachi Dupre</v>
      </c>
      <c r="AJ839" s="68"/>
    </row>
    <row r="840" spans="29:36" x14ac:dyDescent="0.25">
      <c r="AC840" t="str">
        <f>Players!B679</f>
        <v>Josh Malone</v>
      </c>
      <c r="AJ840" s="68"/>
    </row>
    <row r="841" spans="29:36" x14ac:dyDescent="0.25">
      <c r="AC841" t="str">
        <f>Players!B680</f>
        <v>Shelton Gibson</v>
      </c>
      <c r="AJ841" s="68"/>
    </row>
    <row r="842" spans="29:36" x14ac:dyDescent="0.25">
      <c r="AC842" t="str">
        <f>Players!B681</f>
        <v>Brittan Golden</v>
      </c>
      <c r="AJ842" s="68"/>
    </row>
    <row r="843" spans="29:36" x14ac:dyDescent="0.25">
      <c r="AC843" t="str">
        <f>Players!B682</f>
        <v>Deonte Thompson</v>
      </c>
      <c r="AJ843" s="68"/>
    </row>
    <row r="844" spans="29:36" x14ac:dyDescent="0.25">
      <c r="AC844" t="str">
        <f>Players!B683</f>
        <v>Ryan Switzer</v>
      </c>
      <c r="AJ844" s="68"/>
    </row>
    <row r="845" spans="29:36" x14ac:dyDescent="0.25">
      <c r="AC845" t="str">
        <f>Players!B684</f>
        <v>Jordan Norwood</v>
      </c>
      <c r="AJ845" s="68"/>
    </row>
    <row r="846" spans="29:36" x14ac:dyDescent="0.25">
      <c r="AC846" t="str">
        <f>Players!B685</f>
        <v>Greg Salas</v>
      </c>
      <c r="AJ846" s="68"/>
    </row>
    <row r="847" spans="29:36" x14ac:dyDescent="0.25">
      <c r="AC847" t="str">
        <f>Players!B686</f>
        <v>Trevor Davis</v>
      </c>
      <c r="AJ847" s="68"/>
    </row>
    <row r="848" spans="29:36" x14ac:dyDescent="0.25">
      <c r="AC848" t="str">
        <f>Players!B687</f>
        <v>Mack Hollins</v>
      </c>
      <c r="AJ848" s="68"/>
    </row>
    <row r="849" spans="29:36" x14ac:dyDescent="0.25">
      <c r="AC849" t="str">
        <f>Players!B688</f>
        <v>Quinton Patton</v>
      </c>
      <c r="AJ849" s="68"/>
    </row>
    <row r="850" spans="29:36" x14ac:dyDescent="0.25">
      <c r="AC850" t="str">
        <f>Players!B689</f>
        <v>Jalin Marshall</v>
      </c>
      <c r="AJ850" s="68"/>
    </row>
    <row r="851" spans="29:36" x14ac:dyDescent="0.25">
      <c r="AC851" t="str">
        <f>Players!B690</f>
        <v>Jeff Janis</v>
      </c>
      <c r="AJ851" s="68"/>
    </row>
    <row r="852" spans="29:36" x14ac:dyDescent="0.25">
      <c r="AC852" t="str">
        <f>Players!B691</f>
        <v>Javontee Herndon</v>
      </c>
      <c r="AJ852" s="68"/>
    </row>
    <row r="853" spans="29:36" x14ac:dyDescent="0.25">
      <c r="AC853" t="str">
        <f>Players!B692</f>
        <v>Brenton Bersin</v>
      </c>
      <c r="AJ853" s="68"/>
    </row>
    <row r="854" spans="29:36" x14ac:dyDescent="0.25">
      <c r="AC854" t="str">
        <f>Players!B693</f>
        <v>Bradley Marquez</v>
      </c>
      <c r="AJ854" s="68"/>
    </row>
    <row r="855" spans="29:36" x14ac:dyDescent="0.25">
      <c r="AC855" t="str">
        <f>Players!B694</f>
        <v>Jehu Chesson</v>
      </c>
      <c r="AJ855" s="68"/>
    </row>
    <row r="856" spans="29:36" x14ac:dyDescent="0.25">
      <c r="AC856" t="str">
        <f>Players!B695</f>
        <v>Brandon Tate</v>
      </c>
      <c r="AJ856" s="68"/>
    </row>
    <row r="857" spans="29:36" x14ac:dyDescent="0.25">
      <c r="AC857" t="str">
        <f>Players!B696</f>
        <v>Kenny Bell</v>
      </c>
      <c r="AJ857" s="68"/>
    </row>
    <row r="858" spans="29:36" x14ac:dyDescent="0.25">
      <c r="AC858" t="str">
        <f>Players!B697</f>
        <v>Josh Huff</v>
      </c>
      <c r="AJ858" s="68"/>
    </row>
    <row r="859" spans="29:36" x14ac:dyDescent="0.25">
      <c r="AC859" t="str">
        <f>Players!B698</f>
        <v>Johnny Holton</v>
      </c>
      <c r="AJ859" s="68"/>
    </row>
    <row r="860" spans="29:36" x14ac:dyDescent="0.25">
      <c r="AC860" t="str">
        <f>Players!B699</f>
        <v>Walt Powell</v>
      </c>
      <c r="AJ860" s="68"/>
    </row>
    <row r="861" spans="29:36" x14ac:dyDescent="0.25">
      <c r="AC861" t="str">
        <f>Players!B700</f>
        <v>Rashad Greene</v>
      </c>
      <c r="AJ861" s="68"/>
    </row>
    <row r="862" spans="29:36" x14ac:dyDescent="0.25">
      <c r="AC862" t="str">
        <f>Players!B701</f>
        <v>Jace Billingsley</v>
      </c>
      <c r="AJ862" s="68"/>
    </row>
    <row r="863" spans="29:36" x14ac:dyDescent="0.25">
      <c r="AC863" t="str">
        <f>Players!B702</f>
        <v>Tavarres King</v>
      </c>
      <c r="AJ863" s="68"/>
    </row>
    <row r="864" spans="29:36" x14ac:dyDescent="0.25">
      <c r="AC864" t="str">
        <f>Players!B703</f>
        <v>Rodney Adams</v>
      </c>
      <c r="AJ864" s="68"/>
    </row>
    <row r="865" spans="29:36" x14ac:dyDescent="0.25">
      <c r="AC865" t="str">
        <f>Players!B704</f>
        <v>DeAnthony Thomas</v>
      </c>
      <c r="AJ865" s="68"/>
    </row>
    <row r="866" spans="29:36" x14ac:dyDescent="0.25">
      <c r="AC866" t="str">
        <f>Players!B705</f>
        <v>Dwayne Harris</v>
      </c>
      <c r="AJ866" s="68"/>
    </row>
    <row r="867" spans="29:36" x14ac:dyDescent="0.25">
      <c r="AC867" t="str">
        <f>Players!B706</f>
        <v>DeAngelo Yancey</v>
      </c>
      <c r="AJ867" s="68"/>
    </row>
    <row r="868" spans="29:36" x14ac:dyDescent="0.25">
      <c r="AC868" t="str">
        <f>Players!B707</f>
        <v>Paul Turner</v>
      </c>
      <c r="AJ868" s="68"/>
    </row>
    <row r="869" spans="29:36" x14ac:dyDescent="0.25">
      <c r="AC869" t="str">
        <f>Players!B708</f>
        <v>Nick Williams</v>
      </c>
      <c r="AJ869" s="68"/>
    </row>
    <row r="870" spans="29:36" x14ac:dyDescent="0.25">
      <c r="AC870" t="str">
        <f>Players!B709</f>
        <v>Jeremy Butler</v>
      </c>
      <c r="AJ870" s="68"/>
    </row>
    <row r="871" spans="29:36" x14ac:dyDescent="0.25">
      <c r="AC871" t="str">
        <f>Players!B710</f>
        <v>Chris Matthews</v>
      </c>
      <c r="AJ871" s="68"/>
    </row>
    <row r="872" spans="29:36" x14ac:dyDescent="0.25">
      <c r="AC872" t="str">
        <f>Players!B711</f>
        <v>Stacy Coley</v>
      </c>
      <c r="AJ872" s="68"/>
    </row>
    <row r="873" spans="29:36" x14ac:dyDescent="0.25">
      <c r="AC873" t="str">
        <f>Players!B712</f>
        <v>Isaiah Ford</v>
      </c>
      <c r="AJ873" s="68"/>
    </row>
    <row r="874" spans="29:36" x14ac:dyDescent="0.25">
      <c r="AC874" t="str">
        <f>Players!B713</f>
        <v>Tevaun Smith</v>
      </c>
      <c r="AJ874" s="68"/>
    </row>
    <row r="875" spans="29:36" x14ac:dyDescent="0.25">
      <c r="AC875" t="str">
        <f>Players!B714</f>
        <v>Maurice Harris</v>
      </c>
      <c r="AJ875" s="68"/>
    </row>
    <row r="876" spans="29:36" x14ac:dyDescent="0.25">
      <c r="AC876" t="str">
        <f>Players!B715</f>
        <v>David Moore</v>
      </c>
      <c r="AJ876" s="68"/>
    </row>
    <row r="877" spans="29:36" x14ac:dyDescent="0.25">
      <c r="AC877" t="str">
        <f>Players!B716</f>
        <v>Noah Brown</v>
      </c>
      <c r="AJ877" s="68"/>
    </row>
    <row r="878" spans="29:36" x14ac:dyDescent="0.25">
      <c r="AC878" t="str">
        <f>Players!B717</f>
        <v>Keshawn Martin</v>
      </c>
      <c r="AJ878" s="68"/>
    </row>
    <row r="879" spans="29:36" x14ac:dyDescent="0.25">
      <c r="AC879" t="str">
        <f>Players!B718</f>
        <v>Tanner McEvoy</v>
      </c>
      <c r="AJ879" s="68"/>
    </row>
    <row r="880" spans="29:36" x14ac:dyDescent="0.25">
      <c r="AC880" t="str">
        <f>Players!B719</f>
        <v>Freddie Martino</v>
      </c>
      <c r="AJ880" s="68"/>
    </row>
    <row r="881" spans="29:36" x14ac:dyDescent="0.25">
      <c r="AC881" t="str">
        <f>Players!B720</f>
        <v>Tommylee Lewis</v>
      </c>
      <c r="AJ881" s="68"/>
    </row>
    <row r="882" spans="29:36" x14ac:dyDescent="0.25">
      <c r="AC882" t="str">
        <f>Players!B721</f>
        <v>Alex Erickson</v>
      </c>
      <c r="AJ882" s="68"/>
    </row>
    <row r="883" spans="29:36" x14ac:dyDescent="0.25">
      <c r="AC883" t="str">
        <f>Players!B722</f>
        <v>Corey Fuller</v>
      </c>
      <c r="AJ883" s="68"/>
    </row>
    <row r="884" spans="29:36" x14ac:dyDescent="0.25">
      <c r="AC884" t="str">
        <f>Players!B723</f>
        <v>Mike Thomas</v>
      </c>
      <c r="AJ884" s="68"/>
    </row>
    <row r="885" spans="29:36" x14ac:dyDescent="0.25">
      <c r="AC885" t="str">
        <f>Players!B724</f>
        <v>Marc Mariani</v>
      </c>
      <c r="AJ885" s="68"/>
    </row>
    <row r="886" spans="29:36" x14ac:dyDescent="0.25">
      <c r="AC886" t="str">
        <f>Players!B725</f>
        <v>DeAndre Smelter</v>
      </c>
      <c r="AJ886" s="68"/>
    </row>
    <row r="887" spans="29:36" x14ac:dyDescent="0.25">
      <c r="AC887" t="str">
        <f>Players!B726</f>
        <v>Mario Alford</v>
      </c>
      <c r="AJ887" s="68"/>
    </row>
    <row r="888" spans="29:36" x14ac:dyDescent="0.25">
      <c r="AC888" t="str">
        <f>Players!B727</f>
        <v>Arrelious Benn</v>
      </c>
      <c r="AJ888" s="68"/>
    </row>
    <row r="889" spans="29:36" x14ac:dyDescent="0.25">
      <c r="AC889" t="str">
        <f>Players!B728</f>
        <v>Lucky Whitehead</v>
      </c>
      <c r="AJ889" s="68"/>
    </row>
    <row r="890" spans="29:36" x14ac:dyDescent="0.25">
      <c r="AC890" t="str">
        <f>Players!B729</f>
        <v>Ishmael Zamora</v>
      </c>
      <c r="AJ890" s="68"/>
    </row>
    <row r="891" spans="29:36" x14ac:dyDescent="0.25">
      <c r="AC891" t="str">
        <f>Players!B730</f>
        <v>Tre McBride</v>
      </c>
      <c r="AJ891" s="68"/>
    </row>
    <row r="892" spans="29:36" x14ac:dyDescent="0.25">
      <c r="AC892" t="str">
        <f>Players!B731</f>
        <v>Bryce Treggs</v>
      </c>
      <c r="AJ892" s="68"/>
    </row>
    <row r="893" spans="29:36" x14ac:dyDescent="0.25">
      <c r="AC893" t="str">
        <f>Players!B732</f>
        <v>Aaron Burbridge</v>
      </c>
      <c r="AJ893" s="68"/>
    </row>
    <row r="894" spans="29:36" x14ac:dyDescent="0.25">
      <c r="AC894" t="str">
        <f>Players!B733</f>
        <v>Aaron Dobson</v>
      </c>
      <c r="AJ894" s="68"/>
    </row>
    <row r="895" spans="29:36" x14ac:dyDescent="0.25">
      <c r="AC895" t="str">
        <f>Players!B734</f>
        <v>Donteea Dye</v>
      </c>
      <c r="AJ895" s="68"/>
    </row>
    <row r="896" spans="29:36" x14ac:dyDescent="0.25">
      <c r="AC896" t="str">
        <f>Players!B735</f>
        <v>Daniel Braverman</v>
      </c>
      <c r="AJ896" s="68"/>
    </row>
    <row r="897" spans="29:36" x14ac:dyDescent="0.25">
      <c r="AC897" t="str">
        <f>Players!B736</f>
        <v>Frankie Hammond</v>
      </c>
      <c r="AJ897" s="68"/>
    </row>
    <row r="898" spans="29:36" x14ac:dyDescent="0.25">
      <c r="AC898" t="str">
        <f>Players!B737</f>
        <v>Kevin Smith</v>
      </c>
      <c r="AJ898" s="68"/>
    </row>
    <row r="899" spans="29:36" x14ac:dyDescent="0.25">
      <c r="AC899" t="str">
        <f>Players!B738</f>
        <v>Jeremy Ross</v>
      </c>
      <c r="AJ899" s="68"/>
    </row>
    <row r="900" spans="29:36" x14ac:dyDescent="0.25">
      <c r="AC900" t="str">
        <f>Players!B739</f>
        <v>Jakeem Grant</v>
      </c>
      <c r="AJ900" s="68"/>
    </row>
    <row r="901" spans="29:36" x14ac:dyDescent="0.25">
      <c r="AC901" t="str">
        <f>Players!B740</f>
        <v>Jared Abbrederis</v>
      </c>
      <c r="AJ901" s="68"/>
    </row>
    <row r="902" spans="29:36" x14ac:dyDescent="0.25">
      <c r="AC902" t="str">
        <f>Players!B741</f>
        <v>James Wright</v>
      </c>
      <c r="AJ902" s="68"/>
    </row>
    <row r="903" spans="29:36" x14ac:dyDescent="0.25">
      <c r="AC903" t="str">
        <f>Players!B742</f>
        <v>Quan Bray</v>
      </c>
      <c r="AJ903" s="68"/>
    </row>
    <row r="904" spans="29:36" x14ac:dyDescent="0.25">
      <c r="AC904" t="str">
        <f>Players!B743</f>
        <v>Rashad Ross</v>
      </c>
      <c r="AJ904" s="68"/>
    </row>
    <row r="905" spans="29:36" x14ac:dyDescent="0.25">
      <c r="AC905" t="str">
        <f>Players!B744</f>
        <v>Jordan Payton</v>
      </c>
      <c r="AJ905" s="68"/>
    </row>
    <row r="906" spans="29:36" x14ac:dyDescent="0.25">
      <c r="AC906" t="str">
        <f>Players!B745</f>
        <v>Devin Fuller</v>
      </c>
      <c r="AJ906" s="68"/>
    </row>
    <row r="907" spans="29:36" x14ac:dyDescent="0.25">
      <c r="AC907" t="str">
        <f>Players!B746</f>
        <v>Isaiah Burse</v>
      </c>
      <c r="AJ907" s="68"/>
    </row>
    <row r="908" spans="29:36" x14ac:dyDescent="0.25">
      <c r="AC908" t="str">
        <f>Players!B747</f>
        <v>Percy Harvin</v>
      </c>
      <c r="AJ908" s="68"/>
    </row>
    <row r="909" spans="29:36" x14ac:dyDescent="0.25">
      <c r="AC909" t="str">
        <f>Players!B748</f>
        <v>Eric Weems</v>
      </c>
      <c r="AJ909" s="68"/>
    </row>
    <row r="910" spans="29:36" x14ac:dyDescent="0.25">
      <c r="AC910" t="str">
        <f>Players!B749</f>
        <v>Chris Hubert</v>
      </c>
      <c r="AJ910" s="68"/>
    </row>
    <row r="911" spans="29:36" x14ac:dyDescent="0.25">
      <c r="AC911" t="str">
        <f>Players!B750</f>
        <v>Krishawn Hogan</v>
      </c>
      <c r="AJ911" s="68"/>
    </row>
    <row r="912" spans="29:36" x14ac:dyDescent="0.25">
      <c r="AC912" t="str">
        <f>Players!B751</f>
        <v>Griff Whalen</v>
      </c>
      <c r="AJ912" s="68"/>
    </row>
    <row r="913" spans="29:36" x14ac:dyDescent="0.25">
      <c r="AC913" t="str">
        <f>Players!B752</f>
        <v>Vince Mayle</v>
      </c>
      <c r="AJ913" s="68"/>
    </row>
    <row r="914" spans="29:36" x14ac:dyDescent="0.25">
      <c r="AC914" t="str">
        <f>Players!B753</f>
        <v>Kaelin Clay</v>
      </c>
      <c r="AJ914" s="68"/>
    </row>
    <row r="915" spans="29:36" x14ac:dyDescent="0.25">
      <c r="AC915" t="str">
        <f>Players!B754</f>
        <v>Marcus Easley</v>
      </c>
      <c r="AJ915" s="68"/>
    </row>
    <row r="916" spans="29:36" x14ac:dyDescent="0.25">
      <c r="AC916" t="str">
        <f>Players!B755</f>
        <v>Dezmin Lewis</v>
      </c>
      <c r="AJ916" s="68"/>
    </row>
    <row r="917" spans="29:36" x14ac:dyDescent="0.25">
      <c r="AC917" t="str">
        <f>Players!B756</f>
        <v>Keyarris Garrett</v>
      </c>
      <c r="AJ917" s="68"/>
    </row>
    <row r="918" spans="29:36" x14ac:dyDescent="0.25">
      <c r="AC918" t="str">
        <f>Players!B757</f>
        <v>Fred Ross</v>
      </c>
      <c r="AJ918" s="68"/>
    </row>
    <row r="919" spans="29:36" x14ac:dyDescent="0.25">
      <c r="AC919" t="str">
        <f>Players!B758</f>
        <v>Titus Davis</v>
      </c>
      <c r="AJ919" s="68"/>
    </row>
    <row r="920" spans="29:36" x14ac:dyDescent="0.25">
      <c r="AC920" t="str">
        <f>Players!B759</f>
        <v>Rannell Hall</v>
      </c>
      <c r="AJ920" s="68"/>
    </row>
    <row r="921" spans="29:36" x14ac:dyDescent="0.25">
      <c r="AC921" t="str">
        <f>Players!B760</f>
        <v>Antwan Goodley</v>
      </c>
      <c r="AJ921" s="68"/>
    </row>
    <row r="922" spans="29:36" x14ac:dyDescent="0.25">
      <c r="AC922" t="str">
        <f>Players!B761</f>
        <v>Marlon Brown</v>
      </c>
      <c r="AJ922" s="68"/>
    </row>
    <row r="923" spans="29:36" x14ac:dyDescent="0.25">
      <c r="AC923" t="str">
        <f>Players!B762</f>
        <v>Andrew Turzilli</v>
      </c>
      <c r="AJ923" s="68"/>
    </row>
    <row r="924" spans="29:36" x14ac:dyDescent="0.25">
      <c r="AC924" t="str">
        <f>Players!B763</f>
        <v>Donnie Avery</v>
      </c>
      <c r="AJ924" s="68"/>
    </row>
    <row r="925" spans="29:36" x14ac:dyDescent="0.25">
      <c r="AC925" t="str">
        <f>Players!B764</f>
        <v>Andre Caldwell</v>
      </c>
      <c r="AJ925" s="68"/>
    </row>
    <row r="926" spans="29:36" x14ac:dyDescent="0.25">
      <c r="AC926" t="str">
        <f>Players!B765</f>
        <v>Steve Johnson</v>
      </c>
      <c r="AJ926" s="68"/>
    </row>
    <row r="927" spans="29:36" x14ac:dyDescent="0.25">
      <c r="AC927" t="str">
        <f>Players!B766</f>
        <v>Dexter McCluster</v>
      </c>
      <c r="AJ927" s="68"/>
    </row>
    <row r="928" spans="29:36" x14ac:dyDescent="0.25">
      <c r="AC928" t="str">
        <f>Players!B767</f>
        <v>Preston Parker</v>
      </c>
      <c r="AJ928" s="68"/>
    </row>
    <row r="929" spans="29:36" x14ac:dyDescent="0.25">
      <c r="AC929" t="str">
        <f>Players!B768</f>
        <v>T.J. Graham</v>
      </c>
      <c r="AJ929" s="68"/>
    </row>
    <row r="930" spans="29:36" x14ac:dyDescent="0.25">
      <c r="AC930" t="str">
        <f>Players!B769</f>
        <v>Justin Blackmon</v>
      </c>
      <c r="AJ930" s="68"/>
    </row>
    <row r="931" spans="29:36" x14ac:dyDescent="0.25">
      <c r="AC931" t="str">
        <f>Players!B770</f>
        <v>Rodney Smith</v>
      </c>
      <c r="AJ931" s="68"/>
    </row>
    <row r="932" spans="29:36" x14ac:dyDescent="0.25">
      <c r="AC932" t="str">
        <f>Players!B771</f>
        <v>Stedman Bailey</v>
      </c>
      <c r="AJ932" s="68"/>
    </row>
    <row r="933" spans="29:36" x14ac:dyDescent="0.25">
      <c r="AC933" t="str">
        <f>Players!B772</f>
        <v>Josh Boyce</v>
      </c>
      <c r="AJ933" s="68"/>
    </row>
    <row r="934" spans="29:36" x14ac:dyDescent="0.25">
      <c r="AC934" t="str">
        <f>Players!B773</f>
        <v>B.J. Daniels</v>
      </c>
      <c r="AJ934" s="68"/>
    </row>
    <row r="935" spans="29:36" x14ac:dyDescent="0.25">
      <c r="AC935" t="str">
        <f>Players!B774</f>
        <v>Eric Rogers</v>
      </c>
      <c r="AJ935" s="68"/>
    </row>
    <row r="936" spans="29:36" x14ac:dyDescent="0.25">
      <c r="AC936" t="str">
        <f>Players!B775</f>
        <v>Myles White</v>
      </c>
      <c r="AJ936" s="68"/>
    </row>
    <row r="937" spans="29:36" x14ac:dyDescent="0.25">
      <c r="AC937" t="str">
        <f>Players!B776</f>
        <v>Jonathan Krause</v>
      </c>
      <c r="AJ937" s="68"/>
    </row>
    <row r="938" spans="29:36" x14ac:dyDescent="0.25">
      <c r="AC938" t="str">
        <f>Players!B777</f>
        <v>Corey Washington</v>
      </c>
      <c r="AJ938" s="68"/>
    </row>
    <row r="939" spans="29:36" x14ac:dyDescent="0.25">
      <c r="AC939" t="str">
        <f>Players!B778</f>
        <v>Tony Washington</v>
      </c>
      <c r="AJ939" s="68"/>
    </row>
    <row r="940" spans="29:36" x14ac:dyDescent="0.25">
      <c r="AC940" t="str">
        <f>Players!B779</f>
        <v>Keith Mumphery</v>
      </c>
      <c r="AJ940" s="68"/>
    </row>
    <row r="941" spans="29:36" x14ac:dyDescent="0.25">
      <c r="AC941" t="str">
        <f>Players!B780</f>
        <v>DeAndrew White</v>
      </c>
      <c r="AJ941" s="68"/>
    </row>
    <row r="942" spans="29:36" x14ac:dyDescent="0.25">
      <c r="AC942" t="str">
        <f>Players!B781</f>
        <v>Devin Smith</v>
      </c>
      <c r="AJ942" s="68"/>
    </row>
    <row r="943" spans="29:36" x14ac:dyDescent="0.25">
      <c r="AC943" t="str">
        <f>Players!B782</f>
        <v>Jake Kumerow</v>
      </c>
      <c r="AJ943" s="68"/>
    </row>
    <row r="944" spans="29:36" x14ac:dyDescent="0.25">
      <c r="AC944" t="str">
        <f>Players!B783</f>
        <v>Chris Harper</v>
      </c>
      <c r="AJ944" s="68"/>
    </row>
    <row r="945" spans="29:36" x14ac:dyDescent="0.25">
      <c r="AC945" t="str">
        <f>Players!B784</f>
        <v>Chris Harper</v>
      </c>
      <c r="AJ945" s="68"/>
    </row>
    <row r="946" spans="29:36" x14ac:dyDescent="0.25">
      <c r="AC946" t="str">
        <f>Players!B785</f>
        <v>Rasheed Bailey</v>
      </c>
      <c r="AJ946" s="68"/>
    </row>
    <row r="947" spans="29:36" x14ac:dyDescent="0.25">
      <c r="AC947" t="str">
        <f>Players!B786</f>
        <v>Kasen Williams</v>
      </c>
      <c r="AJ947" s="68"/>
    </row>
    <row r="948" spans="29:36" x14ac:dyDescent="0.25">
      <c r="AC948" t="str">
        <f>Players!B787</f>
        <v>Kolby Listenbee</v>
      </c>
      <c r="AJ948" s="68"/>
    </row>
    <row r="949" spans="29:36" x14ac:dyDescent="0.25">
      <c r="AC949" t="str">
        <f>Players!B788</f>
        <v>Anthony Dable</v>
      </c>
      <c r="AJ949" s="68"/>
    </row>
    <row r="950" spans="29:36" x14ac:dyDescent="0.25">
      <c r="AC950" t="str">
        <f>Players!B789</f>
        <v>Mekale McKay</v>
      </c>
      <c r="AJ950" s="68"/>
    </row>
    <row r="951" spans="29:36" x14ac:dyDescent="0.25">
      <c r="AC951" t="str">
        <f>Players!B790</f>
        <v>Marquez North</v>
      </c>
      <c r="AJ951" s="68"/>
    </row>
    <row r="952" spans="29:36" x14ac:dyDescent="0.25">
      <c r="AC952" t="str">
        <f>Players!B791</f>
        <v>Devin Street</v>
      </c>
      <c r="AJ952" s="68"/>
    </row>
    <row r="953" spans="29:36" x14ac:dyDescent="0.25">
      <c r="AC953" t="str">
        <f>Players!B792</f>
        <v>Seantavius Jones</v>
      </c>
      <c r="AJ953" s="68"/>
    </row>
    <row r="954" spans="29:36" x14ac:dyDescent="0.25">
      <c r="AC954" t="str">
        <f>Players!B793</f>
        <v>DaRon Brown</v>
      </c>
      <c r="AJ954" s="68"/>
    </row>
    <row r="955" spans="29:36" x14ac:dyDescent="0.25">
      <c r="AC955" t="str">
        <f>Players!B794</f>
        <v>Geremy Davis</v>
      </c>
      <c r="AJ955" s="68"/>
    </row>
    <row r="956" spans="29:36" x14ac:dyDescent="0.25">
      <c r="AC956" t="str">
        <f>Players!B795</f>
        <v>Nelson Spruce</v>
      </c>
      <c r="AJ956" s="68"/>
    </row>
    <row r="957" spans="29:36" x14ac:dyDescent="0.25">
      <c r="AC957" t="str">
        <f>Players!B796</f>
        <v>Tyler Murphy</v>
      </c>
      <c r="AJ957" s="68"/>
    </row>
    <row r="958" spans="29:36" x14ac:dyDescent="0.25">
      <c r="AC958" t="str">
        <f>Players!B797</f>
        <v>Jordan Leslie</v>
      </c>
      <c r="AJ958" s="68"/>
    </row>
    <row r="959" spans="29:36" x14ac:dyDescent="0.25">
      <c r="AC959" t="str">
        <f>Players!B798</f>
        <v>Moritz Boehringer</v>
      </c>
      <c r="AJ959" s="68"/>
    </row>
    <row r="960" spans="29:36" x14ac:dyDescent="0.25">
      <c r="AC960" t="str">
        <f>Players!B799</f>
        <v>Matthew Slater</v>
      </c>
      <c r="AJ960" s="68"/>
    </row>
    <row r="961" spans="29:36" x14ac:dyDescent="0.25">
      <c r="AC961" t="str">
        <f>Players!B800</f>
        <v>Brandon Gibson</v>
      </c>
      <c r="AJ961" s="68"/>
    </row>
    <row r="962" spans="29:36" x14ac:dyDescent="0.25">
      <c r="AC962" t="str">
        <f>Players!B801</f>
        <v>Devin Lucien</v>
      </c>
      <c r="AJ962" s="68"/>
    </row>
    <row r="963" spans="29:36" x14ac:dyDescent="0.25">
      <c r="AC963" t="str">
        <f>Players!B802</f>
        <v>R.J. Harris</v>
      </c>
      <c r="AJ963" s="68"/>
    </row>
    <row r="964" spans="29:36" x14ac:dyDescent="0.25">
      <c r="AC964" t="str">
        <f>Players!B803</f>
        <v>Jake Lampman</v>
      </c>
      <c r="AJ964" s="68"/>
    </row>
    <row r="965" spans="29:36" x14ac:dyDescent="0.25">
      <c r="AC965" t="str">
        <f>Players!B804</f>
        <v>Travin Dural</v>
      </c>
      <c r="AJ965" s="68"/>
    </row>
    <row r="966" spans="29:36" x14ac:dyDescent="0.25">
      <c r="AC966" t="str">
        <f>Players!B805</f>
        <v>Kevin Norwood</v>
      </c>
      <c r="AJ966" s="68"/>
    </row>
    <row r="967" spans="29:36" x14ac:dyDescent="0.25">
      <c r="AC967" t="str">
        <f>Players!B806</f>
        <v>Chris Owusu</v>
      </c>
      <c r="AJ967" s="68"/>
    </row>
    <row r="968" spans="29:36" x14ac:dyDescent="0.25">
      <c r="AC968" t="str">
        <f>Players!B807</f>
        <v>Darius Jennings</v>
      </c>
      <c r="AJ968" s="68"/>
    </row>
    <row r="969" spans="29:36" x14ac:dyDescent="0.25">
      <c r="AC969" t="str">
        <f>Players!B808</f>
        <v>Keon Hatcher</v>
      </c>
      <c r="AJ969" s="68"/>
    </row>
    <row r="970" spans="29:36" x14ac:dyDescent="0.25">
      <c r="AC970" t="str">
        <f>Players!B809</f>
        <v>Seyi Ajirotutu</v>
      </c>
      <c r="AJ970" s="68"/>
    </row>
    <row r="971" spans="29:36" x14ac:dyDescent="0.25">
      <c r="AC971" t="str">
        <f>Players!B810</f>
        <v>Kenny Lawler</v>
      </c>
      <c r="AJ971" s="68"/>
    </row>
    <row r="972" spans="29:36" x14ac:dyDescent="0.25">
      <c r="AC972" t="str">
        <f>Players!B811</f>
        <v>Louis Murphy</v>
      </c>
      <c r="AJ972" s="68"/>
    </row>
    <row r="973" spans="29:36" x14ac:dyDescent="0.25">
      <c r="AC973" t="str">
        <f>Players!B812</f>
        <v>Dres Anderson</v>
      </c>
      <c r="AJ973" s="68"/>
    </row>
    <row r="974" spans="29:36" x14ac:dyDescent="0.25">
      <c r="AC974" t="str">
        <f>Players!B813</f>
        <v>DeAndre Carter</v>
      </c>
      <c r="AJ974" s="68"/>
    </row>
    <row r="975" spans="29:36" x14ac:dyDescent="0.25">
      <c r="AC975" t="str">
        <f>Players!B814</f>
        <v>Matt Hazel</v>
      </c>
      <c r="AJ975" s="68"/>
    </row>
    <row r="976" spans="29:36" x14ac:dyDescent="0.25">
      <c r="AC976" t="str">
        <f>Players!B815</f>
        <v>Keenan Reynolds</v>
      </c>
      <c r="AJ976" s="68"/>
    </row>
    <row r="977" spans="29:36" x14ac:dyDescent="0.25">
      <c r="AC977" t="str">
        <f>Players!B816</f>
        <v>Andy Jones</v>
      </c>
      <c r="AJ977" s="68"/>
    </row>
    <row r="978" spans="29:36" x14ac:dyDescent="0.25">
      <c r="AC978" t="str">
        <f>Players!B817</f>
        <v>DeShone Kizer</v>
      </c>
      <c r="AJ978" s="68"/>
    </row>
    <row r="979" spans="29:36" x14ac:dyDescent="0.25">
      <c r="AC979" t="str">
        <f>Players!B818</f>
        <v>Christian Hackenberg</v>
      </c>
      <c r="AJ979" s="68"/>
    </row>
    <row r="980" spans="29:36" x14ac:dyDescent="0.25">
      <c r="AC980" t="str">
        <f>Players!B819</f>
        <v>Brock Osweiler</v>
      </c>
      <c r="AJ980" s="68"/>
    </row>
    <row r="981" spans="29:36" x14ac:dyDescent="0.25">
      <c r="AC981" t="str">
        <f>Players!B820</f>
        <v>Mitchell Trubisky</v>
      </c>
      <c r="AJ981" s="68"/>
    </row>
    <row r="982" spans="29:36" x14ac:dyDescent="0.25">
      <c r="AC982" t="str">
        <f>Players!B821</f>
        <v>Ryan Fitzpatrick</v>
      </c>
      <c r="AJ982" s="68"/>
    </row>
    <row r="983" spans="29:36" x14ac:dyDescent="0.25">
      <c r="AC983" t="str">
        <f>Players!B822</f>
        <v>Matt Barkley</v>
      </c>
      <c r="AJ983" s="68"/>
    </row>
    <row r="984" spans="29:36" x14ac:dyDescent="0.25">
      <c r="AC984" t="str">
        <f>Players!B823</f>
        <v>Bryce Petty</v>
      </c>
      <c r="AJ984" s="68"/>
    </row>
    <row r="985" spans="29:36" x14ac:dyDescent="0.25">
      <c r="AC985" t="str">
        <f>Players!B824</f>
        <v>Teddy Bridgewater</v>
      </c>
      <c r="AJ985" s="68"/>
    </row>
    <row r="986" spans="29:36" x14ac:dyDescent="0.25">
      <c r="AC986" t="str">
        <f>Players!B825</f>
        <v>Sean Mannion</v>
      </c>
      <c r="AJ986" s="68"/>
    </row>
    <row r="987" spans="29:36" x14ac:dyDescent="0.25">
      <c r="AC987" t="str">
        <f>Players!B826</f>
        <v>Drew Stanton</v>
      </c>
      <c r="AJ987" s="68"/>
    </row>
    <row r="988" spans="29:36" x14ac:dyDescent="0.25">
      <c r="AC988" t="str">
        <f>Players!B827</f>
        <v>Joshua Dobbs</v>
      </c>
      <c r="AJ988" s="68"/>
    </row>
    <row r="989" spans="29:36" x14ac:dyDescent="0.25">
      <c r="AC989" t="str">
        <f>Players!B828</f>
        <v>Matt Moore</v>
      </c>
      <c r="AJ989" s="68"/>
    </row>
    <row r="990" spans="29:36" x14ac:dyDescent="0.25">
      <c r="AC990" t="str">
        <f>Players!B829</f>
        <v>Matt Cassel</v>
      </c>
      <c r="AJ990" s="68"/>
    </row>
    <row r="991" spans="29:36" x14ac:dyDescent="0.25">
      <c r="AC991" t="str">
        <f>Players!B830</f>
        <v>Derek Anderson</v>
      </c>
      <c r="AJ991" s="68"/>
    </row>
    <row r="992" spans="29:36" x14ac:dyDescent="0.25">
      <c r="AC992" t="str">
        <f>Players!B831</f>
        <v>Landry Jones</v>
      </c>
      <c r="AJ992" s="68"/>
    </row>
    <row r="993" spans="29:36" x14ac:dyDescent="0.25">
      <c r="AC993" t="str">
        <f>Players!B832</f>
        <v>Patrick Mahomes</v>
      </c>
      <c r="AJ993" s="68"/>
    </row>
    <row r="994" spans="29:36" x14ac:dyDescent="0.25">
      <c r="AC994" t="str">
        <f>Players!B833</f>
        <v>AJ McCarron</v>
      </c>
      <c r="AJ994" s="68"/>
    </row>
    <row r="995" spans="29:36" x14ac:dyDescent="0.25">
      <c r="AC995" t="str">
        <f>Players!B834</f>
        <v>C.J. Beathard</v>
      </c>
      <c r="AJ995" s="68"/>
    </row>
    <row r="996" spans="29:36" x14ac:dyDescent="0.25">
      <c r="AC996" t="str">
        <f>Players!B835</f>
        <v>Nick Foles</v>
      </c>
      <c r="AJ996" s="68"/>
    </row>
    <row r="997" spans="29:36" x14ac:dyDescent="0.25">
      <c r="AC997" t="str">
        <f>Players!B836</f>
        <v>Case Keenum</v>
      </c>
      <c r="AJ997" s="68"/>
    </row>
    <row r="998" spans="29:36" x14ac:dyDescent="0.25">
      <c r="AC998" t="str">
        <f>Players!B837</f>
        <v>Blaine Gabbert</v>
      </c>
      <c r="AJ998" s="68"/>
    </row>
    <row r="999" spans="29:36" x14ac:dyDescent="0.25">
      <c r="AC999" t="str">
        <f>Players!B838</f>
        <v>Jimmy Garoppolo</v>
      </c>
      <c r="AJ999" s="68"/>
    </row>
    <row r="1000" spans="29:36" x14ac:dyDescent="0.25">
      <c r="AC1000" t="str">
        <f>Players!B839</f>
        <v>Chad Kelly</v>
      </c>
      <c r="AJ1000" s="68"/>
    </row>
    <row r="1001" spans="29:36" x14ac:dyDescent="0.25">
      <c r="AC1001" t="str">
        <f>Players!B840</f>
        <v>Kevin Hogan</v>
      </c>
      <c r="AJ1001" s="68"/>
    </row>
    <row r="1002" spans="29:36" x14ac:dyDescent="0.25">
      <c r="AC1002" t="str">
        <f>Players!B841</f>
        <v>Scott Tolzien</v>
      </c>
      <c r="AJ1002" s="68"/>
    </row>
    <row r="1003" spans="29:36" x14ac:dyDescent="0.25">
      <c r="AC1003" t="str">
        <f>Players!B842</f>
        <v>Brett Hundley</v>
      </c>
      <c r="AJ1003" s="68"/>
    </row>
    <row r="1004" spans="29:36" x14ac:dyDescent="0.25">
      <c r="AC1004" t="str">
        <f>Players!B843</f>
        <v>Trevone Boykin</v>
      </c>
      <c r="AJ1004" s="68"/>
    </row>
    <row r="1005" spans="29:36" x14ac:dyDescent="0.25">
      <c r="AC1005" t="str">
        <f>Players!B844</f>
        <v>Connor Cook</v>
      </c>
      <c r="AJ1005" s="68"/>
    </row>
    <row r="1006" spans="29:36" x14ac:dyDescent="0.25">
      <c r="AC1006" t="str">
        <f>Players!B845</f>
        <v>Davis Webb</v>
      </c>
      <c r="AJ1006" s="68"/>
    </row>
    <row r="1007" spans="29:36" x14ac:dyDescent="0.25">
      <c r="AC1007" t="str">
        <f>Players!B846</f>
        <v>Nathan Peterman</v>
      </c>
      <c r="AJ1007" s="68"/>
    </row>
    <row r="1008" spans="29:36" x14ac:dyDescent="0.25">
      <c r="AC1008" t="str">
        <f>Players!B847</f>
        <v>Colt McCoy</v>
      </c>
      <c r="AJ1008" s="68"/>
    </row>
    <row r="1009" spans="29:36" x14ac:dyDescent="0.25">
      <c r="AC1009" t="str">
        <f>Players!B848</f>
        <v>Geno Smith</v>
      </c>
      <c r="AJ1009" s="68"/>
    </row>
    <row r="1010" spans="29:36" x14ac:dyDescent="0.25">
      <c r="AC1010" t="str">
        <f>Players!B849</f>
        <v>Kellen Moore</v>
      </c>
      <c r="AJ1010" s="68"/>
    </row>
    <row r="1011" spans="29:36" x14ac:dyDescent="0.25">
      <c r="AC1011" t="str">
        <f>Players!B850</f>
        <v>T.J. Yates</v>
      </c>
      <c r="AJ1011" s="68"/>
    </row>
    <row r="1012" spans="29:36" x14ac:dyDescent="0.25">
      <c r="AC1012" t="str">
        <f>Players!B851</f>
        <v>Austin Davis</v>
      </c>
      <c r="AJ1012" s="68"/>
    </row>
    <row r="1013" spans="29:36" x14ac:dyDescent="0.25">
      <c r="AC1013" t="str">
        <f>Players!B852</f>
        <v>EJ Manuel</v>
      </c>
      <c r="AJ1013" s="68"/>
    </row>
    <row r="1014" spans="29:36" x14ac:dyDescent="0.25">
      <c r="AC1014" t="str">
        <f>Players!B853</f>
        <v>Matt Schaub</v>
      </c>
      <c r="AJ1014" s="68"/>
    </row>
    <row r="1015" spans="29:36" x14ac:dyDescent="0.25">
      <c r="AC1015" t="str">
        <f>Players!B854</f>
        <v>Jake Rudock</v>
      </c>
      <c r="AJ1015" s="68"/>
    </row>
    <row r="1016" spans="29:36" x14ac:dyDescent="0.25">
      <c r="AC1016" t="str">
        <f>Players!B855</f>
        <v>Brad Kaaya</v>
      </c>
      <c r="AJ1016" s="68"/>
    </row>
    <row r="1017" spans="29:36" x14ac:dyDescent="0.25">
      <c r="AC1017" t="str">
        <f>Players!B856</f>
        <v>Cardale Jones</v>
      </c>
      <c r="AJ1017" s="68"/>
    </row>
    <row r="1018" spans="29:36" x14ac:dyDescent="0.25">
      <c r="AC1018" t="str">
        <f>Players!B857</f>
        <v>Brandon Weeden</v>
      </c>
      <c r="AJ1018" s="68"/>
    </row>
    <row r="1019" spans="29:36" x14ac:dyDescent="0.25">
      <c r="AC1019" t="str">
        <f>Players!B858</f>
        <v>Chad Henne</v>
      </c>
      <c r="AJ1019" s="68"/>
    </row>
    <row r="1020" spans="29:36" x14ac:dyDescent="0.25">
      <c r="AC1020" t="str">
        <f>Players!B859</f>
        <v>Matt McGloin</v>
      </c>
      <c r="AJ1020" s="68"/>
    </row>
    <row r="1021" spans="29:36" x14ac:dyDescent="0.25">
      <c r="AC1021" t="str">
        <f>Players!B860</f>
        <v>Ryan Mallett</v>
      </c>
      <c r="AJ1021" s="68"/>
    </row>
    <row r="1022" spans="29:36" x14ac:dyDescent="0.25">
      <c r="AC1022" t="str">
        <f>Players!B861</f>
        <v>Kellen Clemens</v>
      </c>
      <c r="AJ1022" s="68"/>
    </row>
    <row r="1023" spans="29:36" x14ac:dyDescent="0.25">
      <c r="AC1023" t="str">
        <f>Players!B862</f>
        <v>Garrett Grayson</v>
      </c>
      <c r="AJ1023" s="68"/>
    </row>
    <row r="1024" spans="29:36" x14ac:dyDescent="0.25">
      <c r="AC1024" t="str">
        <f>Players!B863</f>
        <v>Chase Daniel</v>
      </c>
      <c r="AJ1024" s="68"/>
    </row>
    <row r="1025" spans="29:36" x14ac:dyDescent="0.25">
      <c r="AC1025" t="str">
        <f>Players!B864</f>
        <v>Nate Sudfeld</v>
      </c>
      <c r="AJ1025" s="68"/>
    </row>
    <row r="1026" spans="29:36" x14ac:dyDescent="0.25">
      <c r="AC1026" t="str">
        <f>Players!B865</f>
        <v>Jacoby Brissett</v>
      </c>
      <c r="AJ1026" s="68"/>
    </row>
    <row r="1027" spans="29:36" x14ac:dyDescent="0.25">
      <c r="AC1027" t="str">
        <f>Players!B866</f>
        <v>Joe Webb</v>
      </c>
      <c r="AJ1027" s="68"/>
    </row>
    <row r="1028" spans="29:36" x14ac:dyDescent="0.25">
      <c r="AC1028" t="str">
        <f>Players!B867</f>
        <v>Jeff Driskel</v>
      </c>
      <c r="AJ1028" s="68"/>
    </row>
    <row r="1029" spans="29:36" x14ac:dyDescent="0.25">
      <c r="AC1029" t="str">
        <f>Players!B868</f>
        <v>Mark Sanchez</v>
      </c>
      <c r="AJ1029" s="68"/>
    </row>
    <row r="1030" spans="29:36" x14ac:dyDescent="0.25">
      <c r="AC1030" t="str">
        <f>Players!B869</f>
        <v>Ryan Nassib</v>
      </c>
      <c r="AJ1030" s="68"/>
    </row>
    <row r="1031" spans="29:36" x14ac:dyDescent="0.25">
      <c r="AC1031" t="str">
        <f>Players!B870</f>
        <v>Connor Shaw</v>
      </c>
      <c r="AJ1031" s="68"/>
    </row>
    <row r="1032" spans="29:36" x14ac:dyDescent="0.25">
      <c r="AC1032" t="str">
        <f>Players!B871</f>
        <v>Jerrod Johnson</v>
      </c>
      <c r="AJ1032" s="68"/>
    </row>
    <row r="1033" spans="29:36" x14ac:dyDescent="0.25">
      <c r="AC1033" t="str">
        <f>Players!B872</f>
        <v>Luke McCown</v>
      </c>
      <c r="AJ1033" s="68"/>
    </row>
    <row r="1034" spans="29:36" x14ac:dyDescent="0.25">
      <c r="AC1034" t="str">
        <f>Players!B873</f>
        <v>Dustin Vaughan</v>
      </c>
      <c r="AJ1034" s="68"/>
    </row>
    <row r="1035" spans="29:36" x14ac:dyDescent="0.25">
      <c r="AC1035" t="str">
        <f>Players!B874</f>
        <v>Tim Tebow</v>
      </c>
      <c r="AJ1035" s="68"/>
    </row>
    <row r="1036" spans="29:36" x14ac:dyDescent="0.25">
      <c r="AC1036" t="str">
        <f>Players!B875</f>
        <v>Colin Kaepernick</v>
      </c>
      <c r="AJ1036" s="68"/>
    </row>
    <row r="1037" spans="29:36" x14ac:dyDescent="0.25">
      <c r="AC1037" t="str">
        <f>Players!B876</f>
        <v>Christian Ponder</v>
      </c>
      <c r="AJ1037" s="68"/>
    </row>
    <row r="1038" spans="29:36" x14ac:dyDescent="0.25">
      <c r="AC1038" t="str">
        <f>Players!B877</f>
        <v>Jay Cutler</v>
      </c>
      <c r="AJ1038" s="68"/>
    </row>
    <row r="1039" spans="29:36" x14ac:dyDescent="0.25">
      <c r="AC1039" t="str">
        <f>Players!B878</f>
        <v>Shaun Hill</v>
      </c>
      <c r="AJ1039" s="68"/>
    </row>
    <row r="1040" spans="29:36" x14ac:dyDescent="0.25">
      <c r="AC1040" t="str">
        <f>Players!B879</f>
        <v>Tony Romo</v>
      </c>
      <c r="AJ1040" s="68"/>
    </row>
    <row r="1041" spans="29:36" x14ac:dyDescent="0.25">
      <c r="AC1041" t="str">
        <f>Players!B880</f>
        <v>Robert Griffin</v>
      </c>
      <c r="AJ1041" s="68"/>
    </row>
    <row r="1042" spans="29:36" x14ac:dyDescent="0.25">
      <c r="AC1042" t="str">
        <f>Players!B881</f>
        <v>Alex Tanney</v>
      </c>
      <c r="AJ1042" s="68"/>
    </row>
    <row r="1043" spans="29:36" x14ac:dyDescent="0.25">
      <c r="AC1043" t="str">
        <f>Players!B882</f>
        <v>Matt Simms</v>
      </c>
      <c r="AJ1043" s="68"/>
    </row>
    <row r="1044" spans="29:36" x14ac:dyDescent="0.25">
      <c r="AC1044" t="str">
        <f>Players!B883</f>
        <v>Zac Dysert</v>
      </c>
      <c r="AJ1044" s="68"/>
    </row>
    <row r="1045" spans="29:36" x14ac:dyDescent="0.25">
      <c r="AC1045" t="str">
        <f>Players!B884</f>
        <v>Johnny Manziel</v>
      </c>
      <c r="AJ1045" s="68"/>
    </row>
    <row r="1046" spans="29:36" x14ac:dyDescent="0.25">
      <c r="AC1046" t="str">
        <f>Players!B885</f>
        <v>Aaron Murray</v>
      </c>
      <c r="AJ1046" s="68"/>
    </row>
  </sheetData>
  <mergeCells count="13">
    <mergeCell ref="Y1:Z1"/>
    <mergeCell ref="P1:Q1"/>
    <mergeCell ref="P19:Q19"/>
    <mergeCell ref="S1:T1"/>
    <mergeCell ref="S19:T19"/>
    <mergeCell ref="V1:W1"/>
    <mergeCell ref="V19:W19"/>
    <mergeCell ref="B26:C27"/>
    <mergeCell ref="B28:C29"/>
    <mergeCell ref="G13:H13"/>
    <mergeCell ref="A13:B13"/>
    <mergeCell ref="D1:N2"/>
    <mergeCell ref="E24:F24"/>
  </mergeCells>
  <conditionalFormatting sqref="AD2:AD161">
    <cfRule type="expression" dxfId="43" priority="1">
      <formula>IF(AK2=16,1,0)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Option Button 3">
              <controlPr defaultSize="0" autoFill="0" autoLine="0" autoPict="0">
                <anchor moveWithCells="1">
                  <from>
                    <xdr:col>1</xdr:col>
                    <xdr:colOff>9525</xdr:colOff>
                    <xdr:row>24</xdr:row>
                    <xdr:rowOff>180975</xdr:rowOff>
                  </from>
                  <to>
                    <xdr:col>3</xdr:col>
                    <xdr:colOff>0</xdr:colOff>
                    <xdr:row>26</xdr:row>
                    <xdr:rowOff>180975</xdr:rowOff>
                  </to>
                </anchor>
              </controlPr>
            </control>
          </mc:Choice>
        </mc:AlternateContent>
        <mc:AlternateContent xmlns:mc="http://schemas.openxmlformats.org/markup-compatibility/2006">
          <mc:Choice Requires="x14">
            <control shapeId="9220" r:id="rId5" name="Option Button 4">
              <controlPr defaultSize="0" autoFill="0" autoLine="0" autoPict="0">
                <anchor moveWithCells="1">
                  <from>
                    <xdr:col>1</xdr:col>
                    <xdr:colOff>0</xdr:colOff>
                    <xdr:row>27</xdr:row>
                    <xdr:rowOff>19050</xdr:rowOff>
                  </from>
                  <to>
                    <xdr:col>2</xdr:col>
                    <xdr:colOff>723900</xdr:colOff>
                    <xdr:row>28</xdr:row>
                    <xdr:rowOff>180975</xdr:rowOff>
                  </to>
                </anchor>
              </controlPr>
            </control>
          </mc:Choice>
        </mc:AlternateContent>
        <mc:AlternateContent xmlns:mc="http://schemas.openxmlformats.org/markup-compatibility/2006">
          <mc:Choice Requires="x14">
            <control shapeId="9223" r:id="rId6" name="Button 7">
              <controlPr defaultSize="0" print="0" autoFill="0" autoPict="0" macro="[0]!HideSheets">
                <anchor moveWithCells="1" sizeWithCells="1">
                  <from>
                    <xdr:col>0</xdr:col>
                    <xdr:colOff>9525</xdr:colOff>
                    <xdr:row>30</xdr:row>
                    <xdr:rowOff>0</xdr:rowOff>
                  </from>
                  <to>
                    <xdr:col>1</xdr:col>
                    <xdr:colOff>0</xdr:colOff>
                    <xdr:row>32</xdr:row>
                    <xdr:rowOff>9525</xdr:rowOff>
                  </to>
                </anchor>
              </controlPr>
            </control>
          </mc:Choice>
        </mc:AlternateContent>
        <mc:AlternateContent xmlns:mc="http://schemas.openxmlformats.org/markup-compatibility/2006">
          <mc:Choice Requires="x14">
            <control shapeId="9224" r:id="rId7" name="Button 8">
              <controlPr defaultSize="0" print="0" autoFill="0" autoPict="0" macro="[0]!VisibleSheets">
                <anchor moveWithCells="1" sizeWithCells="1">
                  <from>
                    <xdr:col>0</xdr:col>
                    <xdr:colOff>9525</xdr:colOff>
                    <xdr:row>33</xdr:row>
                    <xdr:rowOff>9525</xdr:rowOff>
                  </from>
                  <to>
                    <xdr:col>0</xdr:col>
                    <xdr:colOff>1619250</xdr:colOff>
                    <xdr:row>35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Players!$BZ$1:$CC$1</xm:f>
          </x14:formula1>
          <xm:sqref>B12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BE1042"/>
  <sheetViews>
    <sheetView tabSelected="1" zoomScale="85" zoomScaleNormal="85" workbookViewId="0">
      <selection sqref="A1:A2"/>
    </sheetView>
  </sheetViews>
  <sheetFormatPr defaultRowHeight="15" x14ac:dyDescent="0.25"/>
  <cols>
    <col min="1" max="1" width="8.140625" bestFit="1" customWidth="1"/>
    <col min="2" max="12" width="19.140625" customWidth="1"/>
    <col min="13" max="13" width="4.28515625" style="68" bestFit="1" customWidth="1"/>
    <col min="14" max="14" width="6.5703125" bestFit="1" customWidth="1"/>
    <col min="15" max="15" width="3.140625" style="68" bestFit="1" customWidth="1"/>
    <col min="16" max="16" width="20.140625" style="68" bestFit="1" customWidth="1"/>
    <col min="17" max="17" width="5.5703125" style="68" bestFit="1" customWidth="1"/>
    <col min="18" max="18" width="19.140625" bestFit="1" customWidth="1"/>
    <col min="19" max="19" width="6.140625" bestFit="1" customWidth="1"/>
    <col min="20" max="21" width="3.140625" style="68" bestFit="1" customWidth="1"/>
    <col min="22" max="26" width="19.28515625" customWidth="1"/>
    <col min="27" max="27" width="11.5703125" bestFit="1" customWidth="1"/>
    <col min="28" max="28" width="2.42578125" customWidth="1"/>
    <col min="29" max="29" width="3.140625" hidden="1" customWidth="1"/>
    <col min="30" max="42" width="9.140625" hidden="1" customWidth="1"/>
    <col min="43" max="43" width="3.140625" bestFit="1" customWidth="1"/>
  </cols>
  <sheetData>
    <row r="1" spans="1:43" ht="15" customHeight="1" thickBot="1" x14ac:dyDescent="0.3">
      <c r="A1" s="329" t="s">
        <v>12</v>
      </c>
      <c r="B1" s="327">
        <f>IFERROR(VLOOKUP(LOOKUP(2,1/(1-ISBLANK(Input!AC1:AC161)),Input!AC1:AC161),Input!$AC:$AI,7,0)+1,1)</f>
        <v>1</v>
      </c>
      <c r="C1" s="329" t="s">
        <v>577</v>
      </c>
      <c r="D1" s="333">
        <v>1</v>
      </c>
      <c r="E1" s="324" t="s">
        <v>741</v>
      </c>
      <c r="F1" s="331"/>
      <c r="I1" s="292"/>
      <c r="J1" s="253"/>
      <c r="K1" s="292"/>
      <c r="L1" s="253"/>
      <c r="N1" s="241">
        <v>15.140625</v>
      </c>
      <c r="P1" s="342" t="s">
        <v>901</v>
      </c>
      <c r="Q1" s="343"/>
      <c r="R1" s="342" t="s">
        <v>900</v>
      </c>
      <c r="S1" s="343"/>
      <c r="V1" s="346" t="s">
        <v>4</v>
      </c>
      <c r="W1" s="347"/>
      <c r="X1" s="347"/>
      <c r="Y1" s="347"/>
      <c r="Z1" s="347"/>
      <c r="AA1" s="348"/>
      <c r="AC1" s="284"/>
      <c r="AD1" s="285" t="str">
        <f>Input!AZ1</f>
        <v>Crouch</v>
      </c>
      <c r="AE1" s="286" t="s">
        <v>5</v>
      </c>
      <c r="AF1" s="286" t="s">
        <v>905</v>
      </c>
      <c r="AG1" s="286" t="s">
        <v>904</v>
      </c>
      <c r="AH1" s="286" t="s">
        <v>906</v>
      </c>
      <c r="AI1" s="286" t="s">
        <v>907</v>
      </c>
      <c r="AJ1" s="286" t="s">
        <v>908</v>
      </c>
      <c r="AK1" s="286" t="s">
        <v>658</v>
      </c>
      <c r="AL1" s="286" t="s">
        <v>909</v>
      </c>
      <c r="AM1" s="286" t="s">
        <v>910</v>
      </c>
      <c r="AN1" s="287" t="s">
        <v>904</v>
      </c>
      <c r="AO1" s="287" t="s">
        <v>5</v>
      </c>
      <c r="AP1" s="287" t="s">
        <v>728</v>
      </c>
    </row>
    <row r="2" spans="1:43" s="68" customFormat="1" ht="15.75" customHeight="1" thickBot="1" x14ac:dyDescent="0.3">
      <c r="A2" s="330"/>
      <c r="B2" s="328"/>
      <c r="C2" s="330"/>
      <c r="D2" s="334"/>
      <c r="E2" s="325"/>
      <c r="F2" s="332"/>
      <c r="G2" s="292"/>
      <c r="H2" s="253"/>
      <c r="I2" s="292"/>
      <c r="J2" s="253"/>
      <c r="K2" s="292"/>
      <c r="L2" s="253"/>
      <c r="N2" s="240">
        <v>0</v>
      </c>
      <c r="P2" s="344"/>
      <c r="Q2" s="345"/>
      <c r="R2" s="344"/>
      <c r="S2" s="345"/>
      <c r="V2" s="193" t="s">
        <v>53</v>
      </c>
      <c r="W2" s="194" t="s">
        <v>19</v>
      </c>
      <c r="X2" s="243" t="s">
        <v>17</v>
      </c>
      <c r="Y2" s="243" t="s">
        <v>43</v>
      </c>
      <c r="Z2" s="243" t="s">
        <v>147</v>
      </c>
      <c r="AA2" s="244" t="s">
        <v>135</v>
      </c>
      <c r="AC2" s="39">
        <v>1</v>
      </c>
      <c r="AD2" s="27" t="str">
        <f>IFERROR(VLOOKUP(AD$1&amp;AC2,Input!$AB:$AC,2,0),"")</f>
        <v/>
      </c>
      <c r="AE2" s="281" t="str">
        <f>IFERROR(VLOOKUP(AD2,Input!$AC:$AH,6,0),"")</f>
        <v/>
      </c>
      <c r="AF2" s="281" t="e">
        <f>LARGE(AE2:AE17,AC2)</f>
        <v>#NUM!</v>
      </c>
      <c r="AG2" s="281" t="e">
        <f>VLOOKUP(AM2,Input!$AC:$AF,4,0)</f>
        <v>#NUM!</v>
      </c>
      <c r="AH2" s="281" t="e">
        <f>AG2&amp;COUNTIF(AG2:AG2,AG2)</f>
        <v>#NUM!</v>
      </c>
      <c r="AI2" s="281" t="e">
        <f t="shared" ref="AI2:AI17" si="0">IF(AH2="RB3","F",IF(AH2="WR3","F",IF(AH2="TE2","F",0)))</f>
        <v>#NUM!</v>
      </c>
      <c r="AJ2" s="281" t="e">
        <f>AI2&amp;COUNTIF(AI2:AI2,AI2)</f>
        <v>#NUM!</v>
      </c>
      <c r="AK2" s="281" t="str">
        <f>IFERROR(VLOOKUP(AM2,B12:B21,1,0),"B")</f>
        <v>B</v>
      </c>
      <c r="AL2" s="281" t="str">
        <f>AK2&amp;COUNTIF(AK2:AK2,AK2)</f>
        <v>B1</v>
      </c>
      <c r="AM2" s="281" t="e">
        <f t="array" ref="AM2">INDEX(AD$2:AD$17,SMALL(IF(AE$2:AE$17=AF2,ROW(AE$2:AE$17)-ROW(AF$2)+1),COUNTIF(AF$2:AF2,AF2)))</f>
        <v>#NUM!</v>
      </c>
      <c r="AN2" s="39" t="s">
        <v>591</v>
      </c>
      <c r="AO2" s="281" t="str">
        <f>IFERROR(VLOOKUP(B12,Input!$AC:$AH,6,0),"")</f>
        <v/>
      </c>
      <c r="AP2" s="281" t="str">
        <f>IFERROR(VLOOKUP(VLOOKUP(B12,Input!$AC:$AG,5,0),Schedule!$T$3:$U$34,2,0),"")</f>
        <v/>
      </c>
    </row>
    <row r="3" spans="1:43" ht="15" customHeight="1" thickBot="1" x14ac:dyDescent="0.3">
      <c r="A3" s="329" t="s">
        <v>1</v>
      </c>
      <c r="B3" s="327" t="s">
        <v>840</v>
      </c>
      <c r="C3" s="335"/>
      <c r="D3" s="336"/>
      <c r="E3" s="326"/>
      <c r="F3" s="332"/>
      <c r="G3" s="292"/>
      <c r="H3" s="253"/>
      <c r="I3" s="292"/>
      <c r="J3" s="253"/>
      <c r="K3" s="292"/>
      <c r="L3" s="253"/>
      <c r="N3" s="68"/>
      <c r="P3" s="245" t="str">
        <f t="array" ref="P3">IFERROR(INDEX(Players!$B$2:$B$930,MATCH(LARGE(IF(ISNUMBER(MATCH(Players!$U$2:$U$930,$N$2,0)),IF(Players!$P$2:$P$930&lt;&gt;0,IF(Players!$W$2:$W$930&gt;1.1,Players!$W$2:$W$930))),ROW()-2),Players!$W$2:$W$930,0)),"")</f>
        <v>David Johnson</v>
      </c>
      <c r="Q3" s="270">
        <f>IFERROR(INDEX(Players!$W$2:$W$930,MATCH(P3,Players!$B$2:$B$930,0)),"")</f>
        <v>59.100019999999994</v>
      </c>
      <c r="R3" s="24" t="str">
        <f t="array" ref="R3">IFERROR(INDEX(Players!$B$2:$B$930,MATCH(SMALL(IF(ISNUMBER(MATCH(Players!$U$2:$U$930,$N$2,0)),IF(Players!$P$2:$P$930&lt;&gt;0,IF(Players!$W$2:$W$930&lt;0,Players!$W$2:$W$930))),ROW()-2),Players!$W$2:$W$930,0)),"")</f>
        <v>Alshon Jeffery</v>
      </c>
      <c r="S3" s="270">
        <f>IFERROR(INDEX(Players!$W$2:$W$930,MATCH(R3,Players!$B$2:$B$930,0)),"")</f>
        <v>-26.499189999999999</v>
      </c>
      <c r="U3" s="68">
        <v>1</v>
      </c>
      <c r="V3" s="245" t="str">
        <f t="array" ref="V3">IFERROR(INDEX(Players!$B$2:$B$930,MATCH(LARGE(IF(ISNUMBER(MATCH(Players!$U$2:$U$930,$N$2,0)),IF(Players!$P$2:$P$930&lt;&gt;0,IF(Players!$D$2:$D$930=V$2,Players!$P$2:$P$930))),$U3),Players!$P$2:$P$930,0)),"")</f>
        <v>Aaron Rodgers</v>
      </c>
      <c r="W3" s="25" t="str">
        <f t="array" ref="W3">IFERROR(INDEX(Players!$B$2:$B$930,MATCH(LARGE(IF(ISNUMBER(MATCH(Players!$U$2:$U$930,$N$2,0)),IF(Players!$P$2:$P$930&lt;&gt;0,IF(Players!$D$2:$D$930=W$2,Players!$P$2:$P$930))),$U3),Players!$P$2:$P$930,0)),"")</f>
        <v>David Johnson</v>
      </c>
      <c r="X3" s="25" t="str">
        <f t="array" ref="X3">IFERROR(INDEX(Players!$B$2:$B$930,MATCH(LARGE(IF(ISNUMBER(MATCH(Players!$U$2:$U$930,$N$2,0)),IF(Players!$P$2:$P$930&lt;&gt;0,IF(Players!$D$2:$D$930=X$2,Players!$P$2:$P$930))),$U3),Players!$P$2:$P$930,0)),"")</f>
        <v>Antonio Brown</v>
      </c>
      <c r="Y3" s="25" t="str">
        <f t="array" ref="Y3">IFERROR(INDEX(Players!$B$2:$B$930,MATCH(LARGE(IF(ISNUMBER(MATCH(Players!$U$2:$U$930,$N$2,0)),IF(Players!$P$2:$P$930&lt;&gt;0,IF(Players!$D$2:$D$930=Y$2,Players!$P$2:$P$930))),$U3),Players!$P$2:$P$930,0)),"")</f>
        <v>Travis Kelce</v>
      </c>
      <c r="Z3" s="25" t="str">
        <f t="array" ref="Z3">IFERROR(INDEX(Players!$B$2:$B$930,MATCH(LARGE(IF(ISNUMBER(MATCH(Players!$U$2:$U$930,$N$2,0)),IF(Players!$P$2:$P$930&lt;&gt;0,IF(Players!$D$2:$D$930=Z$2,Players!$P$2:$P$930))),$U3),Players!$P$2:$P$930,0)),"")</f>
        <v>Justin Tucker</v>
      </c>
      <c r="AA3" s="26" t="str">
        <f t="array" ref="AA3">IFERROR(INDEX(Players!$B$2:$B$930,MATCH(LARGE(IF(ISNUMBER(MATCH(Players!$U$2:$U$930,$N$2,0)),IF(Players!$P$2:$P$930&lt;&gt;0,IF(Players!$D$2:$D$930=AA$2,Players!$P$2:$P$930))),$U3),Players!$P$2:$P$930,0)),"")</f>
        <v>Redskins</v>
      </c>
      <c r="AC3" s="39">
        <v>2</v>
      </c>
      <c r="AD3" s="27" t="str">
        <f>IFERROR(VLOOKUP(AD$1&amp;AC3,Input!$AB:$AC,2,0),"")</f>
        <v/>
      </c>
      <c r="AE3" s="281" t="str">
        <f>IFERROR(VLOOKUP(AD3,Input!$AC:$AH,6,0),"")</f>
        <v/>
      </c>
      <c r="AF3" s="281" t="e">
        <f>LARGE(AE2:AE17,AC3)</f>
        <v>#NUM!</v>
      </c>
      <c r="AG3" s="281" t="e">
        <f>VLOOKUP(AM3,Input!$AC:$AF,4,0)</f>
        <v>#NUM!</v>
      </c>
      <c r="AH3" s="281" t="e">
        <f>AG3&amp;COUNTIF(AG2:AG3,AG3)</f>
        <v>#NUM!</v>
      </c>
      <c r="AI3" s="281" t="e">
        <f t="shared" si="0"/>
        <v>#NUM!</v>
      </c>
      <c r="AJ3" s="281" t="e">
        <f>AI3&amp;COUNTIF(AI2:AI3,AI3)</f>
        <v>#NUM!</v>
      </c>
      <c r="AK3" s="281" t="str">
        <f>IFERROR(VLOOKUP(AM3,B12:B21,1,0),"B")</f>
        <v>B</v>
      </c>
      <c r="AL3" s="281" t="str">
        <f>AK3&amp;COUNTIF(AK2:AK3,AK3)</f>
        <v>B2</v>
      </c>
      <c r="AM3" s="281" t="e">
        <f t="array" ref="AM3">INDEX(AD$2:AD$17,SMALL(IF(AE$2:AE$17=AF3,ROW(AE$2:AE$17)-ROW(AF$2)+1),COUNTIF(AF$2:AF3,AF3)))</f>
        <v>#NUM!</v>
      </c>
      <c r="AN3" s="39" t="s">
        <v>592</v>
      </c>
      <c r="AO3" s="281" t="str">
        <f>IFERROR(VLOOKUP(B13,Input!$AC:$AH,6,0),"")</f>
        <v/>
      </c>
      <c r="AP3" s="281" t="str">
        <f>IFERROR(VLOOKUP(VLOOKUP(B13,Input!$AC:$AG,5,0),Schedule!$T$3:$U$34,2,0),"")</f>
        <v/>
      </c>
    </row>
    <row r="4" spans="1:43" s="68" customFormat="1" ht="15.75" customHeight="1" thickBot="1" x14ac:dyDescent="0.3">
      <c r="A4" s="330"/>
      <c r="B4" s="328"/>
      <c r="C4" s="340"/>
      <c r="D4" s="341"/>
      <c r="E4" s="324" t="s">
        <v>742</v>
      </c>
      <c r="F4" s="293" t="str">
        <f>Input!B12</f>
        <v>ESPN</v>
      </c>
      <c r="G4" s="292"/>
      <c r="H4" s="253"/>
      <c r="I4" s="292"/>
      <c r="J4" s="253"/>
      <c r="L4" s="253"/>
      <c r="P4" s="228" t="str">
        <f t="array" ref="P4">IFERROR(INDEX(Players!$B$2:$B$930,MATCH(LARGE(IF(ISNUMBER(MATCH(Players!$U$2:$U$930,$N$2,0)),IF(Players!$P$2:$P$930&lt;&gt;0,IF(Players!$W$2:$W$930&gt;1.1,Players!$W$2:$W$930))),ROW()-2),Players!$W$2:$W$930,0)),"")</f>
        <v>LeVeon Bell</v>
      </c>
      <c r="Q4" s="34">
        <f>IFERROR(INDEX(Players!$W$2:$W$930,MATCH(P4,Players!$B$2:$B$930,0)),"")</f>
        <v>49.80003</v>
      </c>
      <c r="R4" s="27" t="str">
        <f t="array" ref="R4">IFERROR(INDEX(Players!$B$2:$B$930,MATCH(SMALL(IF(ISNUMBER(MATCH(Players!$U$2:$U$930,$N$2,0)),IF(Players!$P$2:$P$930&lt;&gt;0,IF(Players!$W$2:$W$930&lt;0,Players!$W$2:$W$930))),ROW()-2),Players!$W$2:$W$930,0)),"")</f>
        <v>Keenan Allen</v>
      </c>
      <c r="S4" s="34">
        <f>IFERROR(INDEX(Players!$W$2:$W$930,MATCH(R4,Players!$B$2:$B$930,0)),"")</f>
        <v>-17.999110000000002</v>
      </c>
      <c r="U4" s="68">
        <v>2</v>
      </c>
      <c r="V4" s="228" t="str">
        <f t="array" ref="V4">IFERROR(INDEX(Players!$B$2:$B$930,MATCH(LARGE(IF(ISNUMBER(MATCH(Players!$U$2:$U$930,$N$2,0)),IF(Players!$P$2:$P$930&lt;&gt;0,IF(Players!$D$2:$D$930=V$2,Players!$P$2:$P$930))),$U4),Players!$P$2:$P$930,0)),"")</f>
        <v>Tom Brady</v>
      </c>
      <c r="W4" s="23" t="str">
        <f t="array" ref="W4">IFERROR(INDEX(Players!$B$2:$B$930,MATCH(LARGE(IF(ISNUMBER(MATCH(Players!$U$2:$U$930,$N$2,0)),IF(Players!$P$2:$P$930&lt;&gt;0,IF(Players!$D$2:$D$930=W$2,Players!$P$2:$P$930))),$U4),Players!$P$2:$P$930,0)),"")</f>
        <v>LeVeon Bell</v>
      </c>
      <c r="X4" s="23" t="str">
        <f t="array" ref="X4">IFERROR(INDEX(Players!$B$2:$B$930,MATCH(LARGE(IF(ISNUMBER(MATCH(Players!$U$2:$U$930,$N$2,0)),IF(Players!$P$2:$P$930&lt;&gt;0,IF(Players!$D$2:$D$930=X$2,Players!$P$2:$P$930))),$U4),Players!$P$2:$P$930,0)),"")</f>
        <v>Julio Jones</v>
      </c>
      <c r="Y4" s="23" t="str">
        <f t="array" ref="Y4">IFERROR(INDEX(Players!$B$2:$B$930,MATCH(LARGE(IF(ISNUMBER(MATCH(Players!$U$2:$U$930,$N$2,0)),IF(Players!$P$2:$P$930&lt;&gt;0,IF(Players!$D$2:$D$930=Y$2,Players!$P$2:$P$930))),$U4),Players!$P$2:$P$930,0)),"")</f>
        <v>Rob Gronkowski</v>
      </c>
      <c r="Z4" s="23" t="str">
        <f t="array" ref="Z4">IFERROR(INDEX(Players!$B$2:$B$930,MATCH(LARGE(IF(ISNUMBER(MATCH(Players!$U$2:$U$930,$N$2,0)),IF(Players!$P$2:$P$930&lt;&gt;0,IF(Players!$D$2:$D$930=Z$2,Players!$P$2:$P$930))),$U4),Players!$P$2:$P$930,0)),"")</f>
        <v>Matt Bryant</v>
      </c>
      <c r="AA4" s="28" t="str">
        <f t="array" ref="AA4">IFERROR(INDEX(Players!$B$2:$B$930,MATCH(LARGE(IF(ISNUMBER(MATCH(Players!$U$2:$U$930,$N$2,0)),IF(Players!$P$2:$P$930&lt;&gt;0,IF(Players!$D$2:$D$930=AA$2,Players!$P$2:$P$930))),$U4),Players!$P$2:$P$930,0)),"")</f>
        <v>49ers</v>
      </c>
      <c r="AC4" s="39">
        <v>3</v>
      </c>
      <c r="AD4" s="27" t="str">
        <f>IFERROR(VLOOKUP(AD$1&amp;AC4,Input!$AB:$AC,2,0),"")</f>
        <v/>
      </c>
      <c r="AE4" s="281" t="str">
        <f>IFERROR(VLOOKUP(AD4,Input!$AC:$AH,6,0),"")</f>
        <v/>
      </c>
      <c r="AF4" s="281" t="e">
        <f>LARGE(AE2:AE17,AC4)</f>
        <v>#NUM!</v>
      </c>
      <c r="AG4" s="281" t="e">
        <f>VLOOKUP(AM4,Input!$AC:$AF,4,0)</f>
        <v>#NUM!</v>
      </c>
      <c r="AH4" s="281" t="e">
        <f>AG4&amp;COUNTIF(AG2:AG4,AG4)</f>
        <v>#NUM!</v>
      </c>
      <c r="AI4" s="281" t="e">
        <f t="shared" si="0"/>
        <v>#NUM!</v>
      </c>
      <c r="AJ4" s="281" t="e">
        <f>AI4&amp;COUNTIF(AI2:AI4,AI4)</f>
        <v>#NUM!</v>
      </c>
      <c r="AK4" s="281" t="str">
        <f>IFERROR(VLOOKUP(AM4,B12:B21,1,0),"B")</f>
        <v>B</v>
      </c>
      <c r="AL4" s="281" t="str">
        <f>AK4&amp;COUNTIF(AK2:AK4,AK4)</f>
        <v>B3</v>
      </c>
      <c r="AM4" s="281" t="e">
        <f t="array" ref="AM4">INDEX(AD$2:AD$17,SMALL(IF(AE$2:AE$17=AF4,ROW(AE$2:AE$17)-ROW(AF$2)+1),COUNTIF(AF$2:AF4,AF4)))</f>
        <v>#NUM!</v>
      </c>
      <c r="AN4" s="39" t="s">
        <v>593</v>
      </c>
      <c r="AO4" s="281" t="str">
        <f>IFERROR(VLOOKUP(B14,Input!$AC:$AH,6,0),"")</f>
        <v/>
      </c>
      <c r="AP4" s="281" t="str">
        <f>IFERROR(VLOOKUP(VLOOKUP(B14,Input!$AC:$AG,5,0),Schedule!$T$3:$U$34,2,0),"")</f>
        <v/>
      </c>
      <c r="AQ4"/>
    </row>
    <row r="5" spans="1:43" ht="15" customHeight="1" x14ac:dyDescent="0.25">
      <c r="A5" s="329" t="s">
        <v>2</v>
      </c>
      <c r="B5" s="327" t="s">
        <v>746</v>
      </c>
      <c r="C5" s="335"/>
      <c r="D5" s="336"/>
      <c r="E5" s="325"/>
      <c r="F5" s="333" t="str">
        <f>IFERROR(INDEX(Players!$BZ$2:$BZ$930,MATCH(B3,Players!$B$2:$B$930,0)),"")</f>
        <v/>
      </c>
      <c r="G5" s="292"/>
      <c r="H5" s="253"/>
      <c r="I5" s="292"/>
      <c r="J5" s="253"/>
      <c r="L5" s="253"/>
      <c r="N5" s="68"/>
      <c r="P5" s="228" t="str">
        <f t="array" ref="P5">IFERROR(INDEX(Players!$B$2:$B$930,MATCH(LARGE(IF(ISNUMBER(MATCH(Players!$U$2:$U$930,$N$2,0)),IF(Players!$P$2:$P$930&lt;&gt;0,IF(Players!$W$2:$W$930&gt;1.1,Players!$W$2:$W$930))),ROW()-2),Players!$W$2:$W$930,0)),"")</f>
        <v>Redskins</v>
      </c>
      <c r="Q5" s="34">
        <f>IFERROR(INDEX(Players!$W$2:$W$930,MATCH(P5,Players!$B$2:$B$930,0)),"")</f>
        <v>31.000250000000001</v>
      </c>
      <c r="R5" s="27" t="str">
        <f t="array" ref="R5">IFERROR(INDEX(Players!$B$2:$B$930,MATCH(SMALL(IF(ISNUMBER(MATCH(Players!$U$2:$U$930,$N$2,0)),IF(Players!$P$2:$P$930&lt;&gt;0,IF(Players!$W$2:$W$930&lt;0,Players!$W$2:$W$930))),ROW()-2),Players!$W$2:$W$930,0)),"")</f>
        <v>Dez Bryant</v>
      </c>
      <c r="S5" s="34">
        <f>IFERROR(INDEX(Players!$W$2:$W$930,MATCH(R5,Players!$B$2:$B$930,0)),"")</f>
        <v>-17.899629999999998</v>
      </c>
      <c r="U5" s="68">
        <v>3</v>
      </c>
      <c r="V5" s="228" t="str">
        <f t="array" ref="V5">IFERROR(INDEX(Players!$B$2:$B$930,MATCH(LARGE(IF(ISNUMBER(MATCH(Players!$U$2:$U$930,$N$2,0)),IF(Players!$P$2:$P$930&lt;&gt;0,IF(Players!$D$2:$D$930=V$2,Players!$P$2:$P$930))),$U5),Players!$P$2:$P$930,0)),"")</f>
        <v>Drew Brees</v>
      </c>
      <c r="W5" s="23" t="str">
        <f t="array" ref="W5">IFERROR(INDEX(Players!$B$2:$B$930,MATCH(LARGE(IF(ISNUMBER(MATCH(Players!$U$2:$U$930,$N$2,0)),IF(Players!$P$2:$P$930&lt;&gt;0,IF(Players!$D$2:$D$930=W$2,Players!$P$2:$P$930))),$U5),Players!$P$2:$P$930,0)),"")</f>
        <v>Ezekiel Elliott</v>
      </c>
      <c r="X5" s="23" t="str">
        <f t="array" ref="X5">IFERROR(INDEX(Players!$B$2:$B$930,MATCH(LARGE(IF(ISNUMBER(MATCH(Players!$U$2:$U$930,$N$2,0)),IF(Players!$P$2:$P$930&lt;&gt;0,IF(Players!$D$2:$D$930=X$2,Players!$P$2:$P$930))),$U5),Players!$P$2:$P$930,0)),"")</f>
        <v>Odell Beckham</v>
      </c>
      <c r="Y5" s="23" t="str">
        <f t="array" ref="Y5">IFERROR(INDEX(Players!$B$2:$B$930,MATCH(LARGE(IF(ISNUMBER(MATCH(Players!$U$2:$U$930,$N$2,0)),IF(Players!$P$2:$P$930&lt;&gt;0,IF(Players!$D$2:$D$930=Y$2,Players!$P$2:$P$930))),$U5),Players!$P$2:$P$930,0)),"")</f>
        <v>Jordan Reed</v>
      </c>
      <c r="Z5" s="23" t="str">
        <f t="array" ref="Z5">IFERROR(INDEX(Players!$B$2:$B$930,MATCH(LARGE(IF(ISNUMBER(MATCH(Players!$U$2:$U$930,$N$2,0)),IF(Players!$P$2:$P$930&lt;&gt;0,IF(Players!$D$2:$D$930=Z$2,Players!$P$2:$P$930))),$U5),Players!$P$2:$P$930,0)),"")</f>
        <v>Stephen Gostkowski</v>
      </c>
      <c r="AA5" s="28" t="str">
        <f t="array" ref="AA5">IFERROR(INDEX(Players!$B$2:$B$930,MATCH(LARGE(IF(ISNUMBER(MATCH(Players!$U$2:$U$930,$N$2,0)),IF(Players!$P$2:$P$930&lt;&gt;0,IF(Players!$D$2:$D$930=AA$2,Players!$P$2:$P$930))),$U5),Players!$P$2:$P$930,0)),"")</f>
        <v>Broncos</v>
      </c>
      <c r="AC5" s="39">
        <v>4</v>
      </c>
      <c r="AD5" s="27" t="str">
        <f>IFERROR(VLOOKUP(AD$1&amp;AC5,Input!$AB:$AC,2,0),"")</f>
        <v/>
      </c>
      <c r="AE5" s="281" t="str">
        <f>IFERROR(VLOOKUP(AD5,Input!$AC:$AH,6,0),"")</f>
        <v/>
      </c>
      <c r="AF5" s="281" t="e">
        <f>LARGE(AE2:AE17,AC5)</f>
        <v>#NUM!</v>
      </c>
      <c r="AG5" s="281" t="e">
        <f>VLOOKUP(AM5,Input!$AC:$AF,4,0)</f>
        <v>#NUM!</v>
      </c>
      <c r="AH5" s="281" t="e">
        <f>AG5&amp;COUNTIF(AG2:AG5,AG5)</f>
        <v>#NUM!</v>
      </c>
      <c r="AI5" s="281" t="e">
        <f t="shared" si="0"/>
        <v>#NUM!</v>
      </c>
      <c r="AJ5" s="281" t="e">
        <f>AI5&amp;COUNTIF(AI2:AI5,AI5)</f>
        <v>#NUM!</v>
      </c>
      <c r="AK5" s="281" t="str">
        <f>IFERROR(VLOOKUP(AM5,B12:B21,1,0),"B")</f>
        <v>B</v>
      </c>
      <c r="AL5" s="281" t="str">
        <f>AK5&amp;COUNTIF(AK2:AK5,AK5)</f>
        <v>B4</v>
      </c>
      <c r="AM5" s="281" t="e">
        <f t="array" ref="AM5">INDEX(AD$2:AD$17,SMALL(IF(AE$2:AE$17=AF5,ROW(AE$2:AE$17)-ROW(AF$2)+1),COUNTIF(AF$2:AF5,AF5)))</f>
        <v>#NUM!</v>
      </c>
      <c r="AN5" s="41" t="s">
        <v>594</v>
      </c>
      <c r="AO5" s="281" t="str">
        <f>IFERROR(VLOOKUP(B15,Input!$AC:$AH,6,0),"")</f>
        <v/>
      </c>
      <c r="AP5" s="281" t="str">
        <f>IFERROR(VLOOKUP(VLOOKUP(B15,Input!$AC:$AG,5,0),Schedule!$T$3:$U$34,2,0),"")</f>
        <v/>
      </c>
    </row>
    <row r="6" spans="1:43" s="68" customFormat="1" ht="15.75" customHeight="1" thickBot="1" x14ac:dyDescent="0.3">
      <c r="A6" s="330"/>
      <c r="B6" s="337"/>
      <c r="C6" s="338"/>
      <c r="D6" s="339"/>
      <c r="E6" s="325"/>
      <c r="F6" s="334"/>
      <c r="H6" s="253"/>
      <c r="J6" s="253"/>
      <c r="L6" s="253"/>
      <c r="P6" s="228" t="str">
        <f t="array" ref="P6">IFERROR(INDEX(Players!$B$2:$B$930,MATCH(LARGE(IF(ISNUMBER(MATCH(Players!$U$2:$U$930,$N$2,0)),IF(Players!$P$2:$P$930&lt;&gt;0,IF(Players!$W$2:$W$930&gt;1.1,Players!$W$2:$W$930))),ROW()-2),Players!$W$2:$W$930,0)),"")</f>
        <v>Travis Kelce</v>
      </c>
      <c r="Q6" s="34">
        <f>IFERROR(INDEX(Players!$W$2:$W$930,MATCH(P6,Players!$B$2:$B$930,0)),"")</f>
        <v>27.40016</v>
      </c>
      <c r="R6" s="27" t="str">
        <f t="array" ref="R6">IFERROR(INDEX(Players!$B$2:$B$930,MATCH(SMALL(IF(ISNUMBER(MATCH(Players!$U$2:$U$930,$N$2,0)),IF(Players!$P$2:$P$930&lt;&gt;0,IF(Players!$W$2:$W$930&lt;0,Players!$W$2:$W$930))),ROW()-2),Players!$W$2:$W$930,0)),"")</f>
        <v>Sammy Watkins</v>
      </c>
      <c r="S6" s="34">
        <f>IFERROR(INDEX(Players!$W$2:$W$930,MATCH(R6,Players!$B$2:$B$930,0)),"")</f>
        <v>-17.899229999999999</v>
      </c>
      <c r="U6" s="68">
        <v>4</v>
      </c>
      <c r="V6" s="228" t="str">
        <f t="array" ref="V6">IFERROR(INDEX(Players!$B$2:$B$930,MATCH(LARGE(IF(ISNUMBER(MATCH(Players!$U$2:$U$930,$N$2,0)),IF(Players!$P$2:$P$930&lt;&gt;0,IF(Players!$D$2:$D$930=V$2,Players!$P$2:$P$930))),$U6),Players!$P$2:$P$930,0)),"")</f>
        <v>Matt Ryan</v>
      </c>
      <c r="W6" s="23" t="str">
        <f t="array" ref="W6">IFERROR(INDEX(Players!$B$2:$B$930,MATCH(LARGE(IF(ISNUMBER(MATCH(Players!$U$2:$U$930,$N$2,0)),IF(Players!$P$2:$P$930&lt;&gt;0,IF(Players!$D$2:$D$930=W$2,Players!$P$2:$P$930))),$U6),Players!$P$2:$P$930,0)),"")</f>
        <v>Devonta Freeman</v>
      </c>
      <c r="X6" s="23" t="str">
        <f t="array" ref="X6">IFERROR(INDEX(Players!$B$2:$B$930,MATCH(LARGE(IF(ISNUMBER(MATCH(Players!$U$2:$U$930,$N$2,0)),IF(Players!$P$2:$P$930&lt;&gt;0,IF(Players!$D$2:$D$930=X$2,Players!$P$2:$P$930))),$U6),Players!$P$2:$P$930,0)),"")</f>
        <v>Mike Evans</v>
      </c>
      <c r="Y6" s="23" t="str">
        <f t="array" ref="Y6">IFERROR(INDEX(Players!$B$2:$B$930,MATCH(LARGE(IF(ISNUMBER(MATCH(Players!$U$2:$U$930,$N$2,0)),IF(Players!$P$2:$P$930&lt;&gt;0,IF(Players!$D$2:$D$930=Y$2,Players!$P$2:$P$930))),$U6),Players!$P$2:$P$930,0)),"")</f>
        <v>Greg Olsen</v>
      </c>
      <c r="Z6" s="23" t="str">
        <f t="array" ref="Z6">IFERROR(INDEX(Players!$B$2:$B$930,MATCH(LARGE(IF(ISNUMBER(MATCH(Players!$U$2:$U$930,$N$2,0)),IF(Players!$P$2:$P$930&lt;&gt;0,IF(Players!$D$2:$D$930=Z$2,Players!$P$2:$P$930))),$U6),Players!$P$2:$P$930,0)),"")</f>
        <v>Dan Bailey</v>
      </c>
      <c r="AA6" s="28" t="str">
        <f t="array" ref="AA6">IFERROR(INDEX(Players!$B$2:$B$930,MATCH(LARGE(IF(ISNUMBER(MATCH(Players!$U$2:$U$930,$N$2,0)),IF(Players!$P$2:$P$930&lt;&gt;0,IF(Players!$D$2:$D$930=AA$2,Players!$P$2:$P$930))),$U6),Players!$P$2:$P$930,0)),"")</f>
        <v>Patriots</v>
      </c>
      <c r="AC6" s="39">
        <v>5</v>
      </c>
      <c r="AD6" s="27" t="str">
        <f>IFERROR(VLOOKUP(AD$1&amp;AC6,Input!$AB:$AC,2,0),"")</f>
        <v/>
      </c>
      <c r="AE6" s="281" t="str">
        <f>IFERROR(VLOOKUP(AD6,Input!$AC:$AH,6,0),"")</f>
        <v/>
      </c>
      <c r="AF6" s="281" t="e">
        <f>LARGE(AE2:AE17,AC6)</f>
        <v>#NUM!</v>
      </c>
      <c r="AG6" s="281" t="e">
        <f>VLOOKUP(AM6,Input!$AC:$AF,4,0)</f>
        <v>#NUM!</v>
      </c>
      <c r="AH6" s="281" t="e">
        <f>AG6&amp;COUNTIF(AG2:AG6,AG6)</f>
        <v>#NUM!</v>
      </c>
      <c r="AI6" s="281" t="e">
        <f t="shared" si="0"/>
        <v>#NUM!</v>
      </c>
      <c r="AJ6" s="281" t="e">
        <f>AI6&amp;COUNTIF(AI2:AI6,AI6)</f>
        <v>#NUM!</v>
      </c>
      <c r="AK6" s="281" t="str">
        <f>IFERROR(VLOOKUP(AM6,B12:B21,1,0),"B")</f>
        <v>B</v>
      </c>
      <c r="AL6" s="281" t="str">
        <f>AK6&amp;COUNTIF(AK2:AK6,AK6)</f>
        <v>B5</v>
      </c>
      <c r="AM6" s="281" t="e">
        <f t="array" ref="AM6">INDEX(AD$2:AD$17,SMALL(IF(AE$2:AE$17=AF6,ROW(AE$2:AE$17)-ROW(AF$2)+1),COUNTIF(AF$2:AF6,AF6)))</f>
        <v>#NUM!</v>
      </c>
      <c r="AN6" s="41" t="s">
        <v>595</v>
      </c>
      <c r="AO6" s="281" t="str">
        <f>IFERROR(VLOOKUP(B16,Input!$AC:$AH,6,0),"")</f>
        <v/>
      </c>
      <c r="AP6" s="281" t="str">
        <f>IFERROR(VLOOKUP(VLOOKUP(B16,Input!$AC:$AG,5,0),Schedule!$T$3:$U$34,2,0),"")</f>
        <v/>
      </c>
    </row>
    <row r="7" spans="1:43" x14ac:dyDescent="0.25">
      <c r="A7" s="1" t="s">
        <v>743</v>
      </c>
      <c r="B7" s="101" t="str">
        <f>IFERROR(VLOOKUP($B$3,Players!$B:$R,17,0),"")</f>
        <v/>
      </c>
      <c r="C7" s="102" t="str">
        <f>IFERROR(VLOOKUP($B$3,Players!$B:$BI,49+COLUMN(),0),"")</f>
        <v/>
      </c>
      <c r="D7" s="102" t="str">
        <f>IFERROR(VLOOKUP($B$3,Players!$B:$BI,49+COLUMN(),0),"")</f>
        <v/>
      </c>
      <c r="E7" s="102" t="str">
        <f>IFERROR(VLOOKUP($B$3,Players!$B:$BI,49+COLUMN(),0),"")</f>
        <v/>
      </c>
      <c r="F7" s="102" t="str">
        <f>IFERROR(VLOOKUP($B$3,Players!$B:$BI,49+COLUMN(),0),"")</f>
        <v/>
      </c>
      <c r="G7" s="102" t="str">
        <f>IFERROR(VLOOKUP($B$3,Players!$B:$BI,49+COLUMN(),0),"")</f>
        <v/>
      </c>
      <c r="H7" s="102" t="str">
        <f>IFERROR(VLOOKUP($B$3,Players!$B:$BI,49+COLUMN(),0),"")</f>
        <v/>
      </c>
      <c r="I7" s="102" t="str">
        <f>IFERROR(VLOOKUP($B$3,Players!$B:$BI,49+COLUMN(),0),"")</f>
        <v/>
      </c>
      <c r="J7" s="102" t="str">
        <f>IFERROR(VLOOKUP($B$3,Players!$B:$BI,49+COLUMN(),0),"")</f>
        <v/>
      </c>
      <c r="K7" s="103" t="str">
        <f>IFERROR(VLOOKUP($B$3,Players!$B:$BI,49+COLUMN(),0),"")</f>
        <v/>
      </c>
      <c r="L7" s="128"/>
      <c r="P7" s="228" t="str">
        <f t="array" ref="P7">IFERROR(INDEX(Players!$B$2:$B$930,MATCH(LARGE(IF(ISNUMBER(MATCH(Players!$U$2:$U$930,$N$2,0)),IF(Players!$P$2:$P$930&lt;&gt;0,IF(Players!$W$2:$W$930&gt;1.1,Players!$W$2:$W$930))),ROW()-2),Players!$W$2:$W$930,0)),"")</f>
        <v>Greg Olsen</v>
      </c>
      <c r="Q7" s="34">
        <f>IFERROR(INDEX(Players!$W$2:$W$930,MATCH(P7,Players!$B$2:$B$930,0)),"")</f>
        <v>25.200189999999999</v>
      </c>
      <c r="R7" s="27" t="str">
        <f t="array" ref="R7">IFERROR(INDEX(Players!$B$2:$B$930,MATCH(SMALL(IF(ISNUMBER(MATCH(Players!$U$2:$U$930,$N$2,0)),IF(Players!$P$2:$P$930&lt;&gt;0,IF(Players!$W$2:$W$930&lt;0,Players!$W$2:$W$930))),ROW()-2),Players!$W$2:$W$930,0)),"")</f>
        <v>DeAndre Hopkins</v>
      </c>
      <c r="S7" s="34">
        <f>IFERROR(INDEX(Players!$W$2:$W$930,MATCH(R7,Players!$B$2:$B$930,0)),"")</f>
        <v>-16.399519999999999</v>
      </c>
      <c r="U7" s="68">
        <v>5</v>
      </c>
      <c r="V7" s="228" t="str">
        <f t="array" ref="V7">IFERROR(INDEX(Players!$B$2:$B$930,MATCH(LARGE(IF(ISNUMBER(MATCH(Players!$U$2:$U$930,$N$2,0)),IF(Players!$P$2:$P$930&lt;&gt;0,IF(Players!$D$2:$D$930=V$2,Players!$P$2:$P$930))),$U7),Players!$P$2:$P$930,0)),"")</f>
        <v>Russell Wilson</v>
      </c>
      <c r="W7" s="23" t="str">
        <f t="array" ref="W7">IFERROR(INDEX(Players!$B$2:$B$930,MATCH(LARGE(IF(ISNUMBER(MATCH(Players!$U$2:$U$930,$N$2,0)),IF(Players!$P$2:$P$930&lt;&gt;0,IF(Players!$D$2:$D$930=W$2,Players!$P$2:$P$930))),$U7),Players!$P$2:$P$930,0)),"")</f>
        <v>LeSean McCoy</v>
      </c>
      <c r="X7" s="23" t="str">
        <f t="array" ref="X7">IFERROR(INDEX(Players!$B$2:$B$930,MATCH(LARGE(IF(ISNUMBER(MATCH(Players!$U$2:$U$930,$N$2,0)),IF(Players!$P$2:$P$930&lt;&gt;0,IF(Players!$D$2:$D$930=X$2,Players!$P$2:$P$930))),$U7),Players!$P$2:$P$930,0)),"")</f>
        <v>Jordy Nelson</v>
      </c>
      <c r="Y7" s="23" t="str">
        <f t="array" ref="Y7">IFERROR(INDEX(Players!$B$2:$B$930,MATCH(LARGE(IF(ISNUMBER(MATCH(Players!$U$2:$U$930,$N$2,0)),IF(Players!$P$2:$P$930&lt;&gt;0,IF(Players!$D$2:$D$930=Y$2,Players!$P$2:$P$930))),$U7),Players!$P$2:$P$930,0)),"")</f>
        <v>Kyle Rudolph</v>
      </c>
      <c r="Z7" s="23" t="str">
        <f t="array" ref="Z7">IFERROR(INDEX(Players!$B$2:$B$930,MATCH(LARGE(IF(ISNUMBER(MATCH(Players!$U$2:$U$930,$N$2,0)),IF(Players!$P$2:$P$930&lt;&gt;0,IF(Players!$D$2:$D$930=Z$2,Players!$P$2:$P$930))),$U7),Players!$P$2:$P$930,0)),"")</f>
        <v>Adam Vinatieri</v>
      </c>
      <c r="AA7" s="28" t="str">
        <f t="array" ref="AA7">IFERROR(INDEX(Players!$B$2:$B$930,MATCH(LARGE(IF(ISNUMBER(MATCH(Players!$U$2:$U$930,$N$2,0)),IF(Players!$P$2:$P$930&lt;&gt;0,IF(Players!$D$2:$D$930=AA$2,Players!$P$2:$P$930))),$U7),Players!$P$2:$P$930,0)),"")</f>
        <v>Chiefs</v>
      </c>
      <c r="AC7" s="39">
        <v>6</v>
      </c>
      <c r="AD7" s="27" t="str">
        <f>IFERROR(VLOOKUP(AD$1&amp;AC7,Input!$AB:$AC,2,0),"")</f>
        <v/>
      </c>
      <c r="AE7" s="281" t="str">
        <f>IFERROR(VLOOKUP(AD7,Input!$AC:$AH,6,0),"")</f>
        <v/>
      </c>
      <c r="AF7" s="281" t="e">
        <f>LARGE(AE2:AE17,AC7)</f>
        <v>#NUM!</v>
      </c>
      <c r="AG7" s="281" t="e">
        <f>VLOOKUP(AM7,Input!$AC:$AF,4,0)</f>
        <v>#NUM!</v>
      </c>
      <c r="AH7" s="281" t="e">
        <f>AG7&amp;COUNTIF(AG2:AG7,AG7)</f>
        <v>#NUM!</v>
      </c>
      <c r="AI7" s="281" t="e">
        <f t="shared" si="0"/>
        <v>#NUM!</v>
      </c>
      <c r="AJ7" s="281" t="e">
        <f>AI7&amp;COUNTIF(AI2:AI7,AI7)</f>
        <v>#NUM!</v>
      </c>
      <c r="AK7" s="281" t="str">
        <f>IFERROR(VLOOKUP(AM7,B12:B21,1,0),"B")</f>
        <v>B</v>
      </c>
      <c r="AL7" s="281" t="str">
        <f>AK7&amp;COUNTIF(AK2:AK7,AK7)</f>
        <v>B6</v>
      </c>
      <c r="AM7" s="281" t="e">
        <f t="array" ref="AM7">INDEX(AD$2:AD$17,SMALL(IF(AE$2:AE$17=AF7,ROW(AE$2:AE$17)-ROW(AF$2)+1),COUNTIF(AF$2:AF7,AF7)))</f>
        <v>#NUM!</v>
      </c>
      <c r="AN7" s="41" t="s">
        <v>596</v>
      </c>
      <c r="AO7" s="281" t="str">
        <f>IFERROR(VLOOKUP(B17,Input!$AC:$AH,6,0),"")</f>
        <v/>
      </c>
      <c r="AP7" s="281" t="str">
        <f>IFERROR(VLOOKUP(VLOOKUP(B17,Input!$AC:$AG,5,0),Schedule!$T$3:$U$34,2,0),"")</f>
        <v/>
      </c>
    </row>
    <row r="8" spans="1:43" ht="15.75" thickBot="1" x14ac:dyDescent="0.3">
      <c r="A8" s="1" t="s">
        <v>736</v>
      </c>
      <c r="B8" s="234" t="str">
        <f>IFERROR(VLOOKUP($B$3,Players!$B:$T,19,0),"")</f>
        <v/>
      </c>
      <c r="C8" s="233" t="str">
        <f>IFERROR(VLOOKUP($B$3,Players!$B:$BV,73,0),"")</f>
        <v/>
      </c>
      <c r="D8" s="233" t="str">
        <f>IFERROR(VLOOKUP($B$3,Players!$B:$BV,73,0),"")</f>
        <v/>
      </c>
      <c r="E8" s="233" t="str">
        <f>IFERROR(VLOOKUP($B$3,Players!$B:$BV,73,0),"")</f>
        <v/>
      </c>
      <c r="F8" s="233" t="str">
        <f>IFERROR(VLOOKUP($B$3,Players!$B:$BV,73,0),"")</f>
        <v/>
      </c>
      <c r="G8" s="233" t="str">
        <f>IFERROR(VLOOKUP($B$3,Players!$B:$BV,73,0),"")</f>
        <v/>
      </c>
      <c r="H8" s="233" t="str">
        <f>IFERROR(VLOOKUP($B$3,Players!$B:$BV,73,0),"")</f>
        <v/>
      </c>
      <c r="I8" s="233" t="str">
        <f>IFERROR(VLOOKUP($B$3,Players!$B:$BV,73,0),"")</f>
        <v/>
      </c>
      <c r="J8" s="233" t="str">
        <f>IFERROR(VLOOKUP($B$3,Players!$B:$BV,73,0),"")</f>
        <v/>
      </c>
      <c r="K8" s="235" t="str">
        <f>IFERROR(VLOOKUP($B$3,Players!$B:$BV,73,0),"")</f>
        <v/>
      </c>
      <c r="L8" s="129"/>
      <c r="P8" s="228" t="str">
        <f t="array" ref="P8">IFERROR(INDEX(Players!$B$2:$B$930,MATCH(LARGE(IF(ISNUMBER(MATCH(Players!$U$2:$U$930,$N$2,0)),IF(Players!$P$2:$P$930&lt;&gt;0,IF(Players!$W$2:$W$930&gt;1.1,Players!$W$2:$W$930))),ROW()-2),Players!$W$2:$W$930,0)),"")</f>
        <v>Devonta Freeman</v>
      </c>
      <c r="Q8" s="34">
        <f>IFERROR(INDEX(Players!$W$2:$W$930,MATCH(P8,Players!$B$2:$B$930,0)),"")</f>
        <v>22.600060000000003</v>
      </c>
      <c r="R8" s="27" t="str">
        <f t="array" ref="R8">IFERROR(INDEX(Players!$B$2:$B$930,MATCH(SMALL(IF(ISNUMBER(MATCH(Players!$U$2:$U$930,$N$2,0)),IF(Players!$P$2:$P$930&lt;&gt;0,IF(Players!$W$2:$W$930&lt;0,Players!$W$2:$W$930))),ROW()-2),Players!$W$2:$W$930,0)),"")</f>
        <v>Amari Cooper</v>
      </c>
      <c r="S8" s="34">
        <f>IFERROR(INDEX(Players!$W$2:$W$930,MATCH(R8,Players!$B$2:$B$930,0)),"")</f>
        <v>-15.99962</v>
      </c>
      <c r="U8" s="68">
        <v>6</v>
      </c>
      <c r="V8" s="228" t="str">
        <f t="array" ref="V8">IFERROR(INDEX(Players!$B$2:$B$930,MATCH(LARGE(IF(ISNUMBER(MATCH(Players!$U$2:$U$930,$N$2,0)),IF(Players!$P$2:$P$930&lt;&gt;0,IF(Players!$D$2:$D$930=V$2,Players!$P$2:$P$930))),$U8),Players!$P$2:$P$930,0)),"")</f>
        <v>Andrew Luck</v>
      </c>
      <c r="W8" s="23" t="str">
        <f t="array" ref="W8">IFERROR(INDEX(Players!$B$2:$B$930,MATCH(LARGE(IF(ISNUMBER(MATCH(Players!$U$2:$U$930,$N$2,0)),IF(Players!$P$2:$P$930&lt;&gt;0,IF(Players!$D$2:$D$930=W$2,Players!$P$2:$P$930))),$U8),Players!$P$2:$P$930,0)),"")</f>
        <v>Jordan Howard</v>
      </c>
      <c r="X8" s="23" t="str">
        <f t="array" ref="X8">IFERROR(INDEX(Players!$B$2:$B$930,MATCH(LARGE(IF(ISNUMBER(MATCH(Players!$U$2:$U$930,$N$2,0)),IF(Players!$P$2:$P$930&lt;&gt;0,IF(Players!$D$2:$D$930=X$2,Players!$P$2:$P$930))),$U8),Players!$P$2:$P$930,0)),"")</f>
        <v>A.J. Green</v>
      </c>
      <c r="Y8" s="23" t="str">
        <f t="array" ref="Y8">IFERROR(INDEX(Players!$B$2:$B$930,MATCH(LARGE(IF(ISNUMBER(MATCH(Players!$U$2:$U$930,$N$2,0)),IF(Players!$P$2:$P$930&lt;&gt;0,IF(Players!$D$2:$D$930=Y$2,Players!$P$2:$P$930))),$U8),Players!$P$2:$P$930,0)),"")</f>
        <v>Jimmy Graham</v>
      </c>
      <c r="Z8" s="23" t="str">
        <f t="array" ref="Z8">IFERROR(INDEX(Players!$B$2:$B$930,MATCH(LARGE(IF(ISNUMBER(MATCH(Players!$U$2:$U$930,$N$2,0)),IF(Players!$P$2:$P$930&lt;&gt;0,IF(Players!$D$2:$D$930=Z$2,Players!$P$2:$P$930))),$U8),Players!$P$2:$P$930,0)),"")</f>
        <v>Matt Prater</v>
      </c>
      <c r="AA8" s="28" t="str">
        <f t="array" ref="AA8">IFERROR(INDEX(Players!$B$2:$B$930,MATCH(LARGE(IF(ISNUMBER(MATCH(Players!$U$2:$U$930,$N$2,0)),IF(Players!$P$2:$P$930&lt;&gt;0,IF(Players!$D$2:$D$930=AA$2,Players!$P$2:$P$930))),$U8),Players!$P$2:$P$930,0)),"")</f>
        <v>Cardinals</v>
      </c>
      <c r="AC8" s="39">
        <v>7</v>
      </c>
      <c r="AD8" s="27" t="str">
        <f>IFERROR(VLOOKUP(AD$1&amp;AC8,Input!$AB:$AC,2,0),"")</f>
        <v/>
      </c>
      <c r="AE8" s="281" t="str">
        <f>IFERROR(VLOOKUP(AD8,Input!$AC:$AH,6,0),"")</f>
        <v/>
      </c>
      <c r="AF8" s="281" t="e">
        <f>LARGE(AE2:AE17,AC8)</f>
        <v>#NUM!</v>
      </c>
      <c r="AG8" s="281" t="e">
        <f>VLOOKUP(AM8,Input!$AC:$AF,4,0)</f>
        <v>#NUM!</v>
      </c>
      <c r="AH8" s="281" t="e">
        <f>AG8&amp;COUNTIF(AG2:AG8,AG8)</f>
        <v>#NUM!</v>
      </c>
      <c r="AI8" s="281" t="e">
        <f t="shared" si="0"/>
        <v>#NUM!</v>
      </c>
      <c r="AJ8" s="281" t="e">
        <f>AI8&amp;COUNTIF(AI2:AI8,AI8)</f>
        <v>#NUM!</v>
      </c>
      <c r="AK8" s="281" t="str">
        <f>IFERROR(VLOOKUP(AM8,B12:B21,1,0),"B")</f>
        <v>B</v>
      </c>
      <c r="AL8" s="281" t="str">
        <f>AK8&amp;COUNTIF(AK2:AK8,AK8)</f>
        <v>B7</v>
      </c>
      <c r="AM8" s="281" t="e">
        <f t="array" ref="AM8">INDEX(AD$2:AD$17,SMALL(IF(AE$2:AE$17=AF8,ROW(AE$2:AE$17)-ROW(AF$2)+1),COUNTIF(AF$2:AF8,AF8)))</f>
        <v>#NUM!</v>
      </c>
      <c r="AN8" s="41" t="s">
        <v>597</v>
      </c>
      <c r="AO8" s="281" t="str">
        <f>IFERROR(VLOOKUP(B18,Input!$AC:$AH,6,0),"")</f>
        <v/>
      </c>
      <c r="AP8" s="281" t="str">
        <f>IFERROR(VLOOKUP(VLOOKUP(B18,Input!$AC:$AG,5,0),Schedule!$T$3:$U$34,2,0),"")</f>
        <v/>
      </c>
    </row>
    <row r="9" spans="1:43" s="68" customFormat="1" ht="15.75" thickBot="1" x14ac:dyDescent="0.3">
      <c r="A9" s="356" t="s">
        <v>1216</v>
      </c>
      <c r="B9" s="236" t="str">
        <f>IFERROR(INDEX(Players!$BY$2:$BY$930,MATCH(B3,Players!$B$2:$B$930,0)),"")</f>
        <v/>
      </c>
      <c r="C9" s="237"/>
      <c r="D9" s="237"/>
      <c r="E9" s="237"/>
      <c r="F9" s="237"/>
      <c r="G9" s="237"/>
      <c r="H9" s="237"/>
      <c r="I9" s="237"/>
      <c r="J9" s="237"/>
      <c r="K9" s="238"/>
      <c r="L9" s="239"/>
      <c r="P9" s="228" t="str">
        <f t="array" ref="P9">IFERROR(INDEX(Players!$B$2:$B$930,MATCH(LARGE(IF(ISNUMBER(MATCH(Players!$U$2:$U$930,$N$2,0)),IF(Players!$P$2:$P$930&lt;&gt;0,IF(Players!$W$2:$W$930&gt;1.1,Players!$W$2:$W$930))),ROW()-2),Players!$W$2:$W$930,0)),"")</f>
        <v>Aaron Rodgers</v>
      </c>
      <c r="Q9" s="34">
        <f>IFERROR(INDEX(Players!$W$2:$W$930,MATCH(P9,Players!$B$2:$B$930,0)),"")</f>
        <v>20.900129999999997</v>
      </c>
      <c r="R9" s="27" t="str">
        <f t="array" ref="R9">IFERROR(INDEX(Players!$B$2:$B$930,MATCH(SMALL(IF(ISNUMBER(MATCH(Players!$U$2:$U$930,$N$2,0)),IF(Players!$P$2:$P$930&lt;&gt;0,IF(Players!$W$2:$W$930&lt;0,Players!$W$2:$W$930))),ROW()-2),Players!$W$2:$W$930,0)),"")</f>
        <v>T.Y. Hilton</v>
      </c>
      <c r="S9" s="34">
        <f>IFERROR(INDEX(Players!$W$2:$W$930,MATCH(R9,Players!$B$2:$B$930,0)),"")</f>
        <v>-15.399729999999998</v>
      </c>
      <c r="U9" s="68">
        <v>7</v>
      </c>
      <c r="V9" s="228" t="str">
        <f t="array" ref="V9">IFERROR(INDEX(Players!$B$2:$B$930,MATCH(LARGE(IF(ISNUMBER(MATCH(Players!$U$2:$U$930,$N$2,0)),IF(Players!$P$2:$P$930&lt;&gt;0,IF(Players!$D$2:$D$930=V$2,Players!$P$2:$P$930))),$U9),Players!$P$2:$P$930,0)),"")</f>
        <v>Cam Newton</v>
      </c>
      <c r="W9" s="23" t="str">
        <f t="array" ref="W9">IFERROR(INDEX(Players!$B$2:$B$930,MATCH(LARGE(IF(ISNUMBER(MATCH(Players!$U$2:$U$930,$N$2,0)),IF(Players!$P$2:$P$930&lt;&gt;0,IF(Players!$D$2:$D$930=W$2,Players!$P$2:$P$930))),$U9),Players!$P$2:$P$930,0)),"")</f>
        <v>Melvin Gordon</v>
      </c>
      <c r="X9" s="23" t="str">
        <f t="array" ref="X9">IFERROR(INDEX(Players!$B$2:$B$930,MATCH(LARGE(IF(ISNUMBER(MATCH(Players!$U$2:$U$930,$N$2,0)),IF(Players!$P$2:$P$930&lt;&gt;0,IF(Players!$D$2:$D$930=X$2,Players!$P$2:$P$930))),$U9),Players!$P$2:$P$930,0)),"")</f>
        <v>Michael Thomas</v>
      </c>
      <c r="Y9" s="23" t="str">
        <f t="array" ref="Y9">IFERROR(INDEX(Players!$B$2:$B$930,MATCH(LARGE(IF(ISNUMBER(MATCH(Players!$U$2:$U$930,$N$2,0)),IF(Players!$P$2:$P$930&lt;&gt;0,IF(Players!$D$2:$D$930=Y$2,Players!$P$2:$P$930))),$U9),Players!$P$2:$P$930,0)),"")</f>
        <v>Zach Ertz</v>
      </c>
      <c r="Z9" s="23" t="str">
        <f t="array" ref="Z9">IFERROR(INDEX(Players!$B$2:$B$930,MATCH(LARGE(IF(ISNUMBER(MATCH(Players!$U$2:$U$930,$N$2,0)),IF(Players!$P$2:$P$930&lt;&gt;0,IF(Players!$D$2:$D$930=Z$2,Players!$P$2:$P$930))),$U9),Players!$P$2:$P$930,0)),"")</f>
        <v>Mason Crosby</v>
      </c>
      <c r="AA9" s="28" t="str">
        <f t="array" ref="AA9">IFERROR(INDEX(Players!$B$2:$B$930,MATCH(LARGE(IF(ISNUMBER(MATCH(Players!$U$2:$U$930,$N$2,0)),IF(Players!$P$2:$P$930&lt;&gt;0,IF(Players!$D$2:$D$930=AA$2,Players!$P$2:$P$930))),$U9),Players!$P$2:$P$930,0)),"")</f>
        <v>Rams</v>
      </c>
      <c r="AC9" s="39">
        <v>8</v>
      </c>
      <c r="AD9" s="27" t="str">
        <f>IFERROR(VLOOKUP(AD$1&amp;AC9,Input!$AB:$AC,2,0),"")</f>
        <v/>
      </c>
      <c r="AE9" s="281" t="str">
        <f>IFERROR(VLOOKUP(AD9,Input!$AC:$AH,6,0),"")</f>
        <v/>
      </c>
      <c r="AF9" s="281" t="e">
        <f>LARGE(AE2:AE17,AC9)</f>
        <v>#NUM!</v>
      </c>
      <c r="AG9" s="281" t="e">
        <f>VLOOKUP(AM9,Input!$AC:$AF,4,0)</f>
        <v>#NUM!</v>
      </c>
      <c r="AH9" s="281" t="e">
        <f>AG9&amp;COUNTIF(AG2:AG9,AG9)</f>
        <v>#NUM!</v>
      </c>
      <c r="AI9" s="281" t="e">
        <f t="shared" si="0"/>
        <v>#NUM!</v>
      </c>
      <c r="AJ9" s="281" t="e">
        <f>AI9&amp;COUNTIF(AI2:AI9,AI9)</f>
        <v>#NUM!</v>
      </c>
      <c r="AK9" s="281" t="str">
        <f>IFERROR(VLOOKUP(AM9,B12:B21,1,0),"B")</f>
        <v>B</v>
      </c>
      <c r="AL9" s="281" t="str">
        <f>AK9&amp;COUNTIF(AK2:AK9,AK9)</f>
        <v>B8</v>
      </c>
      <c r="AM9" s="281" t="e">
        <f t="array" ref="AM9">INDEX(AD$2:AD$17,SMALL(IF(AE$2:AE$17=AF9,ROW(AE$2:AE$17)-ROW(AF$2)+1),COUNTIF(AF$2:AF9,AF9)))</f>
        <v>#NUM!</v>
      </c>
      <c r="AN9" s="41" t="s">
        <v>598</v>
      </c>
      <c r="AO9" s="281" t="str">
        <f>IFERROR(VLOOKUP(B19,Input!$AC:$AH,6,0),"")</f>
        <v/>
      </c>
      <c r="AP9" s="281" t="str">
        <f>IFERROR(VLOOKUP(VLOOKUP(B19,Input!$AC:$AG,5,0),Schedule!$T$3:$U$34,2,0),"")</f>
        <v/>
      </c>
    </row>
    <row r="10" spans="1:43" ht="15.75" thickBot="1" x14ac:dyDescent="0.3">
      <c r="A10" s="114"/>
      <c r="B10" s="230" t="s">
        <v>739</v>
      </c>
      <c r="C10" s="231"/>
      <c r="D10" s="231"/>
      <c r="E10" s="231"/>
      <c r="F10" s="231"/>
      <c r="G10" s="231"/>
      <c r="H10" s="231"/>
      <c r="I10" s="231"/>
      <c r="J10" s="231"/>
      <c r="K10" s="232"/>
      <c r="L10" s="127"/>
      <c r="P10" s="228" t="str">
        <f t="array" ref="P10">IFERROR(INDEX(Players!$B$2:$B$930,MATCH(LARGE(IF(ISNUMBER(MATCH(Players!$U$2:$U$930,$N$2,0)),IF(Players!$P$2:$P$930&lt;&gt;0,IF(Players!$W$2:$W$930&gt;1.1,Players!$W$2:$W$930))),ROW()-2),Players!$W$2:$W$930,0)),"")</f>
        <v>Kyle Rudolph</v>
      </c>
      <c r="Q10" s="34">
        <f>IFERROR(INDEX(Players!$W$2:$W$930,MATCH(P10,Players!$B$2:$B$930,0)),"")</f>
        <v>20.200299999999999</v>
      </c>
      <c r="R10" s="27" t="str">
        <f t="array" ref="R10">IFERROR(INDEX(Players!$B$2:$B$930,MATCH(SMALL(IF(ISNUMBER(MATCH(Players!$U$2:$U$930,$N$2,0)),IF(Players!$P$2:$P$930&lt;&gt;0,IF(Players!$W$2:$W$930&lt;0,Players!$W$2:$W$930))),ROW()-2),Players!$W$2:$W$930,0)),"")</f>
        <v>Emmanuel Sanders</v>
      </c>
      <c r="S10" s="34">
        <f>IFERROR(INDEX(Players!$W$2:$W$930,MATCH(R10,Players!$B$2:$B$930,0)),"")</f>
        <v>-14.29912</v>
      </c>
      <c r="U10" s="68">
        <v>8</v>
      </c>
      <c r="V10" s="228" t="str">
        <f t="array" ref="V10">IFERROR(INDEX(Players!$B$2:$B$930,MATCH(LARGE(IF(ISNUMBER(MATCH(Players!$U$2:$U$930,$N$2,0)),IF(Players!$P$2:$P$930&lt;&gt;0,IF(Players!$D$2:$D$930=V$2,Players!$P$2:$P$930))),$U10),Players!$P$2:$P$930,0)),"")</f>
        <v>Jameis Winston</v>
      </c>
      <c r="W10" s="23" t="str">
        <f t="array" ref="W10">IFERROR(INDEX(Players!$B$2:$B$930,MATCH(LARGE(IF(ISNUMBER(MATCH(Players!$U$2:$U$930,$N$2,0)),IF(Players!$P$2:$P$930&lt;&gt;0,IF(Players!$D$2:$D$930=W$2,Players!$P$2:$P$930))),$U10),Players!$P$2:$P$930,0)),"")</f>
        <v>DeMarco Murray</v>
      </c>
      <c r="X10" s="23" t="str">
        <f t="array" ref="X10">IFERROR(INDEX(Players!$B$2:$B$930,MATCH(LARGE(IF(ISNUMBER(MATCH(Players!$U$2:$U$930,$N$2,0)),IF(Players!$P$2:$P$930&lt;&gt;0,IF(Players!$D$2:$D$930=X$2,Players!$P$2:$P$930))),$U10),Players!$P$2:$P$930,0)),"")</f>
        <v>T.Y. Hilton</v>
      </c>
      <c r="Y10" s="23" t="str">
        <f t="array" ref="Y10">IFERROR(INDEX(Players!$B$2:$B$930,MATCH(LARGE(IF(ISNUMBER(MATCH(Players!$U$2:$U$930,$N$2,0)),IF(Players!$P$2:$P$930&lt;&gt;0,IF(Players!$D$2:$D$930=Y$2,Players!$P$2:$P$930))),$U10),Players!$P$2:$P$930,0)),"")</f>
        <v>Delanie Walker</v>
      </c>
      <c r="Z10" s="23" t="str">
        <f t="array" ref="Z10">IFERROR(INDEX(Players!$B$2:$B$930,MATCH(LARGE(IF(ISNUMBER(MATCH(Players!$U$2:$U$930,$N$2,0)),IF(Players!$P$2:$P$930&lt;&gt;0,IF(Players!$D$2:$D$930=Z$2,Players!$P$2:$P$930))),$U10),Players!$P$2:$P$930,0)),"")</f>
        <v>Wil Lutz</v>
      </c>
      <c r="AA10" s="28" t="str">
        <f t="array" ref="AA10">IFERROR(INDEX(Players!$B$2:$B$930,MATCH(LARGE(IF(ISNUMBER(MATCH(Players!$U$2:$U$930,$N$2,0)),IF(Players!$P$2:$P$930&lt;&gt;0,IF(Players!$D$2:$D$930=AA$2,Players!$P$2:$P$930))),$U10),Players!$P$2:$P$930,0)),"")</f>
        <v>Seahawks</v>
      </c>
      <c r="AC10" s="39">
        <v>9</v>
      </c>
      <c r="AD10" s="27" t="str">
        <f>IFERROR(VLOOKUP(AD$1&amp;AC10,Input!$AB:$AC,2,0),"")</f>
        <v/>
      </c>
      <c r="AE10" s="281" t="str">
        <f>IFERROR(VLOOKUP(AD10,Input!$AC:$AH,6,0),"")</f>
        <v/>
      </c>
      <c r="AF10" s="281" t="e">
        <f>LARGE(AE2:AE17,AC10)</f>
        <v>#NUM!</v>
      </c>
      <c r="AG10" s="281" t="e">
        <f>VLOOKUP(AM10,Input!$AC:$AF,4,0)</f>
        <v>#NUM!</v>
      </c>
      <c r="AH10" s="281" t="e">
        <f>AG10&amp;COUNTIF(AG2:AG10,AG10)</f>
        <v>#NUM!</v>
      </c>
      <c r="AI10" s="281" t="e">
        <f t="shared" si="0"/>
        <v>#NUM!</v>
      </c>
      <c r="AJ10" s="281" t="e">
        <f>AI10&amp;COUNTIF(AI2:AI10,AI10)</f>
        <v>#NUM!</v>
      </c>
      <c r="AK10" s="281" t="str">
        <f>IFERROR(VLOOKUP(AM10,B12:B21,1,0),"B")</f>
        <v>B</v>
      </c>
      <c r="AL10" s="281" t="str">
        <f>AK10&amp;COUNTIF(AK2:AK10,AK10)</f>
        <v>B9</v>
      </c>
      <c r="AM10" s="281" t="e">
        <f t="array" ref="AM10">INDEX(AD$2:AD$17,SMALL(IF(AE$2:AE$17=AF10,ROW(AE$2:AE$17)-ROW(AF$2)+1),COUNTIF(AF$2:AF10,AF10)))</f>
        <v>#NUM!</v>
      </c>
      <c r="AN10" s="41" t="s">
        <v>599</v>
      </c>
      <c r="AO10" s="281" t="str">
        <f>IFERROR(VLOOKUP(B20,Input!$AC:$AH,6,0),"")</f>
        <v/>
      </c>
      <c r="AP10" s="281" t="str">
        <f>IFERROR(VLOOKUP(VLOOKUP(B20,Input!$AC:$AG,5,0),Schedule!$T$3:$U$34,2,0),"")</f>
        <v/>
      </c>
    </row>
    <row r="11" spans="1:43" ht="15.75" thickBot="1" x14ac:dyDescent="0.3">
      <c r="B11" s="111" t="str">
        <f>Input!AZ1</f>
        <v>Crouch</v>
      </c>
      <c r="C11" s="112" t="str">
        <f>Input!BA1</f>
        <v>Team 5</v>
      </c>
      <c r="D11" s="112" t="str">
        <f>Input!BB1</f>
        <v>Team 9</v>
      </c>
      <c r="E11" s="112" t="str">
        <f>Input!BC1</f>
        <v>Team 3</v>
      </c>
      <c r="F11" s="112" t="str">
        <f>Input!BD1</f>
        <v>Team 6</v>
      </c>
      <c r="G11" s="112" t="str">
        <f>Input!BE1</f>
        <v>Team 7</v>
      </c>
      <c r="H11" s="112" t="str">
        <f>Input!BF1</f>
        <v>Team 8</v>
      </c>
      <c r="I11" s="112" t="str">
        <f>Input!BG1</f>
        <v>Team Se</v>
      </c>
      <c r="J11" s="112" t="str">
        <f>Input!BH1</f>
        <v>Team 10</v>
      </c>
      <c r="K11" s="113" t="str">
        <f>Input!BI1</f>
        <v>Team 4</v>
      </c>
      <c r="L11" s="67" t="s">
        <v>752</v>
      </c>
      <c r="M11" s="67" t="s">
        <v>728</v>
      </c>
      <c r="N11" s="67" t="s">
        <v>10</v>
      </c>
      <c r="P11" s="228" t="str">
        <f t="array" ref="P11">IFERROR(INDEX(Players!$B$2:$B$930,MATCH(LARGE(IF(ISNUMBER(MATCH(Players!$U$2:$U$930,$N$2,0)),IF(Players!$P$2:$P$930&lt;&gt;0,IF(Players!$W$2:$W$930&gt;1.1,Players!$W$2:$W$930))),ROW()-2),Players!$W$2:$W$930,0)),"")</f>
        <v>Ezekiel Elliott</v>
      </c>
      <c r="Q11" s="34">
        <f>IFERROR(INDEX(Players!$W$2:$W$930,MATCH(P11,Players!$B$2:$B$930,0)),"")</f>
        <v>18.400039999999997</v>
      </c>
      <c r="R11" s="27" t="str">
        <f t="array" ref="R11">IFERROR(INDEX(Players!$B$2:$B$930,MATCH(SMALL(IF(ISNUMBER(MATCH(Players!$U$2:$U$930,$N$2,0)),IF(Players!$P$2:$P$930&lt;&gt;0,IF(Players!$W$2:$W$930&lt;0,Players!$W$2:$W$930))),ROW()-2),Players!$W$2:$W$930,0)),"")</f>
        <v>Demaryius Thomas</v>
      </c>
      <c r="S11" s="34">
        <f>IFERROR(INDEX(Players!$W$2:$W$930,MATCH(R11,Players!$B$2:$B$930,0)),"")</f>
        <v>-14.199539999999999</v>
      </c>
      <c r="U11" s="68">
        <v>9</v>
      </c>
      <c r="V11" s="228" t="str">
        <f t="array" ref="V11">IFERROR(INDEX(Players!$B$2:$B$930,MATCH(LARGE(IF(ISNUMBER(MATCH(Players!$U$2:$U$930,$N$2,0)),IF(Players!$P$2:$P$930&lt;&gt;0,IF(Players!$D$2:$D$930=V$2,Players!$P$2:$P$930))),$U11),Players!$P$2:$P$930,0)),"")</f>
        <v>Kirk Cousins</v>
      </c>
      <c r="W11" s="23" t="str">
        <f t="array" ref="W11">IFERROR(INDEX(Players!$B$2:$B$930,MATCH(LARGE(IF(ISNUMBER(MATCH(Players!$U$2:$U$930,$N$2,0)),IF(Players!$P$2:$P$930&lt;&gt;0,IF(Players!$D$2:$D$930=W$2,Players!$P$2:$P$930))),$U11),Players!$P$2:$P$930,0)),"")</f>
        <v>Jay Ajayi</v>
      </c>
      <c r="X11" s="23" t="str">
        <f t="array" ref="X11">IFERROR(INDEX(Players!$B$2:$B$930,MATCH(LARGE(IF(ISNUMBER(MATCH(Players!$U$2:$U$930,$N$2,0)),IF(Players!$P$2:$P$930&lt;&gt;0,IF(Players!$D$2:$D$930=X$2,Players!$P$2:$P$930))),$U11),Players!$P$2:$P$930,0)),"")</f>
        <v>Doug Baldwin</v>
      </c>
      <c r="Y11" s="23" t="str">
        <f t="array" ref="Y11">IFERROR(INDEX(Players!$B$2:$B$930,MATCH(LARGE(IF(ISNUMBER(MATCH(Players!$U$2:$U$930,$N$2,0)),IF(Players!$P$2:$P$930&lt;&gt;0,IF(Players!$D$2:$D$930=Y$2,Players!$P$2:$P$930))),$U11),Players!$P$2:$P$930,0)),"")</f>
        <v>Martellus Bennett</v>
      </c>
      <c r="Z11" s="23" t="str">
        <f t="array" ref="Z11">IFERROR(INDEX(Players!$B$2:$B$930,MATCH(LARGE(IF(ISNUMBER(MATCH(Players!$U$2:$U$930,$N$2,0)),IF(Players!$P$2:$P$930&lt;&gt;0,IF(Players!$D$2:$D$930=Z$2,Players!$P$2:$P$930))),$U11),Players!$P$2:$P$930,0)),"")</f>
        <v>Blair Walsh</v>
      </c>
      <c r="AA11" s="28" t="str">
        <f t="array" ref="AA11">IFERROR(INDEX(Players!$B$2:$B$930,MATCH(LARGE(IF(ISNUMBER(MATCH(Players!$U$2:$U$930,$N$2,0)),IF(Players!$P$2:$P$930&lt;&gt;0,IF(Players!$D$2:$D$930=AA$2,Players!$P$2:$P$930))),$U11),Players!$P$2:$P$930,0)),"")</f>
        <v>Bengals</v>
      </c>
      <c r="AC11" s="39">
        <v>10</v>
      </c>
      <c r="AD11" s="27" t="str">
        <f>IFERROR(VLOOKUP(AD$1&amp;AC11,Input!$AB:$AC,2,0),"")</f>
        <v/>
      </c>
      <c r="AE11" s="281" t="str">
        <f>IFERROR(VLOOKUP(AD11,Input!$AC:$AH,6,0),"")</f>
        <v/>
      </c>
      <c r="AF11" s="281" t="e">
        <f>LARGE(AE2:AE17,AC11)</f>
        <v>#NUM!</v>
      </c>
      <c r="AG11" s="281" t="e">
        <f>VLOOKUP(AM11,Input!$AC:$AF,4,0)</f>
        <v>#NUM!</v>
      </c>
      <c r="AH11" s="281" t="e">
        <f>AG11&amp;COUNTIF(AG2:AG11,AG11)</f>
        <v>#NUM!</v>
      </c>
      <c r="AI11" s="281" t="e">
        <f t="shared" si="0"/>
        <v>#NUM!</v>
      </c>
      <c r="AJ11" s="281" t="e">
        <f>AI11&amp;COUNTIF(AI2:AI11,AI11)</f>
        <v>#NUM!</v>
      </c>
      <c r="AK11" s="281" t="str">
        <f>IFERROR(VLOOKUP(AM11,B12:B21,1,0),"B")</f>
        <v>B</v>
      </c>
      <c r="AL11" s="281" t="str">
        <f>AK11&amp;COUNTIF(AK2:AK11,AK11)</f>
        <v>B10</v>
      </c>
      <c r="AM11" s="281" t="e">
        <f t="array" ref="AM11">INDEX(AD$2:AD$17,SMALL(IF(AE$2:AE$17=AF11,ROW(AE$2:AE$17)-ROW(AF$2)+1),COUNTIF(AF$2:AF11,AF11)))</f>
        <v>#NUM!</v>
      </c>
      <c r="AN11" s="41" t="s">
        <v>600</v>
      </c>
      <c r="AO11" s="281" t="str">
        <f>IFERROR(VLOOKUP(B21,Input!$AC:$AH,6,0),"")</f>
        <v/>
      </c>
      <c r="AP11" s="281" t="str">
        <f>IFERROR(VLOOKUP(VLOOKUP(B21,Input!$AC:$AG,5,0),Schedule!$T$3:$U$34,2,0),"")</f>
        <v/>
      </c>
    </row>
    <row r="12" spans="1:43" x14ac:dyDescent="0.25">
      <c r="A12" s="38" t="s">
        <v>591</v>
      </c>
      <c r="B12" s="95" t="str">
        <f>IFERROR(VLOOKUP(AN2,AH2:AM17,6,0),"")</f>
        <v/>
      </c>
      <c r="C12" s="95" t="str">
        <f>IFERROR(VLOOKUP(AN19,AH19:AM34,6,0),"")</f>
        <v/>
      </c>
      <c r="D12" s="95" t="str">
        <f>IFERROR(VLOOKUP(AN36,AH36:AM51,6,0),"")</f>
        <v/>
      </c>
      <c r="E12" s="95" t="str">
        <f>IFERROR(VLOOKUP(AN53,AH53:AM68,6,0),"")</f>
        <v/>
      </c>
      <c r="F12" s="95" t="str">
        <f>IFERROR(VLOOKUP(AN70,AH70:AM85,6,0),"")</f>
        <v/>
      </c>
      <c r="G12" s="95" t="str">
        <f>IFERROR(VLOOKUP(AN87,AH87:AM102,6,0),"")</f>
        <v/>
      </c>
      <c r="H12" s="95" t="str">
        <f>IFERROR(VLOOKUP(AN104,AH104:AM119,6,0),"")</f>
        <v/>
      </c>
      <c r="I12" s="95" t="str">
        <f>IFERROR(VLOOKUP(AN121,AH121:AM136,6,0),"")</f>
        <v/>
      </c>
      <c r="J12" s="95" t="str">
        <f>IFERROR(VLOOKUP(AN138,AH138:AM153,6,0),"")</f>
        <v/>
      </c>
      <c r="K12" s="95" t="str">
        <f>IFERROR(VLOOKUP(AN155,AH155:AM170,6,0),"")</f>
        <v/>
      </c>
      <c r="L12" s="19" t="str">
        <f>IFERROR(IF('Draft Center'!$B$12="",VLOOKUP(1,Players!$AB:$AI,8,0),'Draft Center'!$B$12),"")</f>
        <v>Andrew Luck</v>
      </c>
      <c r="M12" s="26">
        <f>IFERROR(VLOOKUP(L12,Players!$B:$R,COLUMN(Players!K:K)-1,0),"")</f>
        <v>11</v>
      </c>
      <c r="N12" s="270">
        <f>IF(B67&gt;1,B67,INDEX(Players!$R$2:$R$930,MATCH(L12,Players!$B$2:$B$930,0)))</f>
        <v>11</v>
      </c>
      <c r="P12" s="228" t="str">
        <f t="array" ref="P12">IFERROR(INDEX(Players!$B$2:$B$930,MATCH(LARGE(IF(ISNUMBER(MATCH(Players!$U$2:$U$930,$N$2,0)),IF(Players!$P$2:$P$930&lt;&gt;0,IF(Players!$W$2:$W$930&gt;1.1,Players!$W$2:$W$930))),ROW()-2),Players!$W$2:$W$930,0)),"")</f>
        <v>49ers</v>
      </c>
      <c r="Q12" s="34">
        <f>IFERROR(INDEX(Players!$W$2:$W$930,MATCH(P12,Players!$B$2:$B$930,0)),"")</f>
        <v>18.000389999999999</v>
      </c>
      <c r="R12" s="27" t="str">
        <f t="array" ref="R12">IFERROR(INDEX(Players!$B$2:$B$930,MATCH(SMALL(IF(ISNUMBER(MATCH(Players!$U$2:$U$930,$N$2,0)),IF(Players!$P$2:$P$930&lt;&gt;0,IF(Players!$W$2:$W$930&lt;0,Players!$W$2:$W$930))),ROW()-2),Players!$W$2:$W$930,0)),"")</f>
        <v>Brandin Cooks</v>
      </c>
      <c r="S12" s="34">
        <f>IFERROR(INDEX(Players!$W$2:$W$930,MATCH(R12,Players!$B$2:$B$930,0)),"")</f>
        <v>-13.599480000000002</v>
      </c>
      <c r="U12" s="68">
        <v>10</v>
      </c>
      <c r="V12" s="228" t="str">
        <f t="array" ref="V12">IFERROR(INDEX(Players!$B$2:$B$930,MATCH(LARGE(IF(ISNUMBER(MATCH(Players!$U$2:$U$930,$N$2,0)),IF(Players!$P$2:$P$930&lt;&gt;0,IF(Players!$D$2:$D$930=V$2,Players!$P$2:$P$930))),$U12),Players!$P$2:$P$930,0)),"")</f>
        <v>Dak Prescott</v>
      </c>
      <c r="W12" s="23" t="str">
        <f t="array" ref="W12">IFERROR(INDEX(Players!$B$2:$B$930,MATCH(LARGE(IF(ISNUMBER(MATCH(Players!$U$2:$U$930,$N$2,0)),IF(Players!$P$2:$P$930&lt;&gt;0,IF(Players!$D$2:$D$930=W$2,Players!$P$2:$P$930))),$U12),Players!$P$2:$P$930,0)),"")</f>
        <v>Todd Gurley</v>
      </c>
      <c r="X12" s="23" t="str">
        <f t="array" ref="X12">IFERROR(INDEX(Players!$B$2:$B$930,MATCH(LARGE(IF(ISNUMBER(MATCH(Players!$U$2:$U$930,$N$2,0)),IF(Players!$P$2:$P$930&lt;&gt;0,IF(Players!$D$2:$D$930=X$2,Players!$P$2:$P$930))),$U12),Players!$P$2:$P$930,0)),"")</f>
        <v>Dez Bryant</v>
      </c>
      <c r="Y12" s="23" t="str">
        <f t="array" ref="Y12">IFERROR(INDEX(Players!$B$2:$B$930,MATCH(LARGE(IF(ISNUMBER(MATCH(Players!$U$2:$U$930,$N$2,0)),IF(Players!$P$2:$P$930&lt;&gt;0,IF(Players!$D$2:$D$930=Y$2,Players!$P$2:$P$930))),$U12),Players!$P$2:$P$930,0)),"")</f>
        <v>Tyler Eifert</v>
      </c>
      <c r="Z12" s="23" t="str">
        <f t="array" ref="Z12">IFERROR(INDEX(Players!$B$2:$B$930,MATCH(LARGE(IF(ISNUMBER(MATCH(Players!$U$2:$U$930,$N$2,0)),IF(Players!$P$2:$P$930&lt;&gt;0,IF(Players!$D$2:$D$930=Z$2,Players!$P$2:$P$930))),$U12),Players!$P$2:$P$930,0)),"")</f>
        <v>Caleb Sturgis</v>
      </c>
      <c r="AA12" s="28" t="str">
        <f t="array" ref="AA12">IFERROR(INDEX(Players!$B$2:$B$930,MATCH(LARGE(IF(ISNUMBER(MATCH(Players!$U$2:$U$930,$N$2,0)),IF(Players!$P$2:$P$930&lt;&gt;0,IF(Players!$D$2:$D$930=AA$2,Players!$P$2:$P$930))),$U12),Players!$P$2:$P$930,0)),"")</f>
        <v>Panthers</v>
      </c>
      <c r="AC12" s="39">
        <v>11</v>
      </c>
      <c r="AD12" s="27" t="str">
        <f>IFERROR(VLOOKUP(AD$1&amp;AC12,Input!$AB:$AC,2,0),"")</f>
        <v/>
      </c>
      <c r="AE12" s="281" t="str">
        <f>IFERROR(VLOOKUP(AD12,Input!$AC:$AH,6,0),"")</f>
        <v/>
      </c>
      <c r="AF12" s="281" t="e">
        <f>LARGE(AE2:AE17,AC12)</f>
        <v>#NUM!</v>
      </c>
      <c r="AG12" s="281" t="e">
        <f>VLOOKUP(AM12,Input!$AC:$AF,4,0)</f>
        <v>#NUM!</v>
      </c>
      <c r="AH12" s="281" t="e">
        <f>AG12&amp;COUNTIF(AG2:AG12,AG12)</f>
        <v>#NUM!</v>
      </c>
      <c r="AI12" s="281" t="e">
        <f t="shared" si="0"/>
        <v>#NUM!</v>
      </c>
      <c r="AJ12" s="281" t="e">
        <f>AI12&amp;COUNTIF(AI2:AI12,AI12)</f>
        <v>#NUM!</v>
      </c>
      <c r="AK12" s="281" t="str">
        <f>IFERROR(VLOOKUP(AM12,B12:B21,1,0),"B")</f>
        <v>B</v>
      </c>
      <c r="AL12" s="281" t="str">
        <f>AK12&amp;COUNTIF(AK2:AK12,AK12)</f>
        <v>B11</v>
      </c>
      <c r="AM12" s="281" t="e">
        <f t="array" ref="AM12">INDEX(AD$2:AD$17,SMALL(IF(AE$2:AE$17=AF12,ROW(AE$2:AE$17)-ROW(AF$2)+1),COUNTIF(AF$2:AF12,AF12)))</f>
        <v>#NUM!</v>
      </c>
      <c r="AN12" s="41" t="s">
        <v>601</v>
      </c>
      <c r="AO12" s="17" t="str">
        <f>IFERROR(VLOOKUP(B22,Input!$AC:$AH,6,0),"")</f>
        <v/>
      </c>
      <c r="AP12" s="281" t="str">
        <f>IFERROR(VLOOKUP(VLOOKUP(B22,Input!$AC:$AG,5,0),Schedule!$T$3:$U$34,2,0),"")</f>
        <v/>
      </c>
    </row>
    <row r="13" spans="1:43" x14ac:dyDescent="0.25">
      <c r="A13" s="39" t="s">
        <v>592</v>
      </c>
      <c r="B13" s="97" t="str">
        <f>IFERROR(VLOOKUP(AN3,AH2:AM17,6,0),"")</f>
        <v/>
      </c>
      <c r="C13" s="97" t="str">
        <f>IFERROR(VLOOKUP(AN20,AH19:AM34,6,0),"")</f>
        <v/>
      </c>
      <c r="D13" s="97" t="str">
        <f>IFERROR(VLOOKUP(AN37,AH36:AM51,6,0),"")</f>
        <v/>
      </c>
      <c r="E13" s="97" t="str">
        <f>IFERROR(VLOOKUP(AN54,AH53:AM68,6,0),"")</f>
        <v/>
      </c>
      <c r="F13" s="97" t="str">
        <f>IFERROR(VLOOKUP(AN71,AH70:AM85,6,0),"")</f>
        <v/>
      </c>
      <c r="G13" s="97" t="str">
        <f>IFERROR(VLOOKUP(AN88,AH87:AM102,6,0),"")</f>
        <v/>
      </c>
      <c r="H13" s="97" t="str">
        <f>IFERROR(VLOOKUP(AN105,AH104:AM119,6,0),"")</f>
        <v/>
      </c>
      <c r="I13" s="97" t="str">
        <f>IFERROR(VLOOKUP(AN122,AH121:AM136,6,0),"")</f>
        <v/>
      </c>
      <c r="J13" s="97" t="str">
        <f>IFERROR(VLOOKUP(AN139,AH138:AM153,6,0),"")</f>
        <v/>
      </c>
      <c r="K13" s="97" t="str">
        <f>IFERROR(VLOOKUP(AN156,AH155:AM170,6,0),"")</f>
        <v/>
      </c>
      <c r="L13" s="19" t="str">
        <f t="array" ref="L13">IFERROR(IF('Draft Center'!$B$13="",IF(Players!Y5=1,VLOOKUP(1,Players!$AB:$AI,8,0),INDEX(Players!$AI$2:$AI$930,SMALL(IF(1=Players!$AB$2:$AB$930,ROW(Players!$AB$2:$AB$930)-ROW(Players!$AB$2)+1),2))),'Draft Center'!$B$13),"")</f>
        <v>Andrew Luck</v>
      </c>
      <c r="M13" s="28">
        <f>IFERROR(VLOOKUP(L13,Players!$B:$R,COLUMN(Players!K:K)-1,0),"")</f>
        <v>11</v>
      </c>
      <c r="N13" s="34">
        <f>IF(B68&gt;1,B68,INDEX(Players!$R$2:$R$930,MATCH(L13,Players!$B$2:$B$930,0)))</f>
        <v>11</v>
      </c>
      <c r="P13" s="228" t="str">
        <f t="array" ref="P13">IFERROR(INDEX(Players!$B$2:$B$930,MATCH(LARGE(IF(ISNUMBER(MATCH(Players!$U$2:$U$930,$N$2,0)),IF(Players!$P$2:$P$930&lt;&gt;0,IF(Players!$W$2:$W$930&gt;1.1,Players!$W$2:$W$930))),ROW()-2),Players!$W$2:$W$930,0)),"")</f>
        <v>Antonio Brown</v>
      </c>
      <c r="Q13" s="34">
        <f>IFERROR(INDEX(Players!$W$2:$W$930,MATCH(P13,Players!$B$2:$B$930,0)),"")</f>
        <v>16.300049999999999</v>
      </c>
      <c r="R13" s="27" t="str">
        <f t="array" ref="R13">IFERROR(INDEX(Players!$B$2:$B$930,MATCH(SMALL(IF(ISNUMBER(MATCH(Players!$U$2:$U$930,$N$2,0)),IF(Players!$P$2:$P$930&lt;&gt;0,IF(Players!$W$2:$W$930&lt;0,Players!$W$2:$W$930))),ROW()-2),Players!$W$2:$W$930,0)),"")</f>
        <v>Carlos Hyde</v>
      </c>
      <c r="S13" s="34">
        <f>IFERROR(INDEX(Players!$W$2:$W$930,MATCH(R13,Players!$B$2:$B$930,0)),"")</f>
        <v>-12.399279999999999</v>
      </c>
      <c r="U13" s="68">
        <v>11</v>
      </c>
      <c r="V13" s="228" t="str">
        <f t="array" ref="V13">IFERROR(INDEX(Players!$B$2:$B$930,MATCH(LARGE(IF(ISNUMBER(MATCH(Players!$U$2:$U$930,$N$2,0)),IF(Players!$P$2:$P$930&lt;&gt;0,IF(Players!$D$2:$D$930=V$2,Players!$P$2:$P$930))),$U13),Players!$P$2:$P$930,0)),"")</f>
        <v>Tyrod Taylor</v>
      </c>
      <c r="W13" s="23" t="str">
        <f t="array" ref="W13">IFERROR(INDEX(Players!$B$2:$B$930,MATCH(LARGE(IF(ISNUMBER(MATCH(Players!$U$2:$U$930,$N$2,0)),IF(Players!$P$2:$P$930&lt;&gt;0,IF(Players!$D$2:$D$930=W$2,Players!$P$2:$P$930))),$U13),Players!$P$2:$P$930,0)),"")</f>
        <v>Lamar Miller</v>
      </c>
      <c r="X13" s="23" t="str">
        <f t="array" ref="X13">IFERROR(INDEX(Players!$B$2:$B$930,MATCH(LARGE(IF(ISNUMBER(MATCH(Players!$U$2:$U$930,$N$2,0)),IF(Players!$P$2:$P$930&lt;&gt;0,IF(Players!$D$2:$D$930=X$2,Players!$P$2:$P$930))),$U13),Players!$P$2:$P$930,0)),"")</f>
        <v>Amari Cooper</v>
      </c>
      <c r="Y13" s="23" t="str">
        <f t="array" ref="Y13">IFERROR(INDEX(Players!$B$2:$B$930,MATCH(LARGE(IF(ISNUMBER(MATCH(Players!$U$2:$U$930,$N$2,0)),IF(Players!$P$2:$P$930&lt;&gt;0,IF(Players!$D$2:$D$930=Y$2,Players!$P$2:$P$930))),$U13),Players!$P$2:$P$930,0)),"")</f>
        <v>Eric Ebron</v>
      </c>
      <c r="Z13" s="23" t="str">
        <f t="array" ref="Z13">IFERROR(INDEX(Players!$B$2:$B$930,MATCH(LARGE(IF(ISNUMBER(MATCH(Players!$U$2:$U$930,$N$2,0)),IF(Players!$P$2:$P$930&lt;&gt;0,IF(Players!$D$2:$D$930=Z$2,Players!$P$2:$P$930))),$U13),Players!$P$2:$P$930,0)),"")</f>
        <v>Sebastian Janikowski</v>
      </c>
      <c r="AA13" s="28" t="str">
        <f t="array" ref="AA13">IFERROR(INDEX(Players!$B$2:$B$930,MATCH(LARGE(IF(ISNUMBER(MATCH(Players!$U$2:$U$930,$N$2,0)),IF(Players!$P$2:$P$930&lt;&gt;0,IF(Players!$D$2:$D$930=AA$2,Players!$P$2:$P$930))),$U13),Players!$P$2:$P$930,0)),"")</f>
        <v>Vikings</v>
      </c>
      <c r="AC13" s="39">
        <v>12</v>
      </c>
      <c r="AD13" s="27" t="str">
        <f>IFERROR(VLOOKUP(AD$1&amp;AC13,Input!$AB:$AC,2,0),"")</f>
        <v/>
      </c>
      <c r="AE13" s="281" t="str">
        <f>IFERROR(VLOOKUP(AD13,Input!$AC:$AH,6,0),"")</f>
        <v/>
      </c>
      <c r="AF13" s="281" t="e">
        <f>LARGE(AE2:AE17,AC13)</f>
        <v>#NUM!</v>
      </c>
      <c r="AG13" s="281" t="e">
        <f>VLOOKUP(AM13,Input!$AC:$AF,4,0)</f>
        <v>#NUM!</v>
      </c>
      <c r="AH13" s="281" t="e">
        <f>AG13&amp;COUNTIF(AG2:AG13,AG13)</f>
        <v>#NUM!</v>
      </c>
      <c r="AI13" s="281" t="e">
        <f t="shared" si="0"/>
        <v>#NUM!</v>
      </c>
      <c r="AJ13" s="281" t="e">
        <f>AI13&amp;COUNTIF(AI2:AI13,AI13)</f>
        <v>#NUM!</v>
      </c>
      <c r="AK13" s="281" t="str">
        <f>IFERROR(VLOOKUP(AM13,B12:B21,1,0),"B")</f>
        <v>B</v>
      </c>
      <c r="AL13" s="281" t="str">
        <f>AK13&amp;COUNTIF(AK2:AK13,AK13)</f>
        <v>B12</v>
      </c>
      <c r="AM13" s="281" t="e">
        <f t="array" ref="AM13">INDEX(AD$2:AD$17,SMALL(IF(AE$2:AE$17=AF13,ROW(AE$2:AE$17)-ROW(AF$2)+1),COUNTIF(AF$2:AF13,AF13)))</f>
        <v>#NUM!</v>
      </c>
      <c r="AN13" s="41" t="s">
        <v>602</v>
      </c>
      <c r="AO13" s="17"/>
      <c r="AP13" s="281" t="str">
        <f>IFERROR(VLOOKUP(VLOOKUP(B23,Input!$AC:$AG,5,0),Schedule!$T$3:$U$34,2,0),"")</f>
        <v/>
      </c>
      <c r="AQ13" s="68"/>
    </row>
    <row r="14" spans="1:43" x14ac:dyDescent="0.25">
      <c r="A14" s="39" t="s">
        <v>593</v>
      </c>
      <c r="B14" s="97" t="str">
        <f>IFERROR(VLOOKUP(AN4,AH2:AM17,6,0),"")</f>
        <v/>
      </c>
      <c r="C14" s="97" t="str">
        <f>IFERROR(VLOOKUP(AN21,AH19:AM34,6,0),"")</f>
        <v/>
      </c>
      <c r="D14" s="97" t="str">
        <f>IFERROR(VLOOKUP(AN38,AH36:AM51,6,0),"")</f>
        <v/>
      </c>
      <c r="E14" s="97" t="str">
        <f>IFERROR(VLOOKUP(AN55,AH53:AM68,6,0),"")</f>
        <v/>
      </c>
      <c r="F14" s="97" t="str">
        <f>IFERROR(VLOOKUP(AN72,AH70:AM85,6,0),"")</f>
        <v/>
      </c>
      <c r="G14" s="97" t="str">
        <f>IFERROR(VLOOKUP(AN89,AH87:AM102,6,0),"")</f>
        <v/>
      </c>
      <c r="H14" s="97" t="str">
        <f>IFERROR(VLOOKUP(AN106,AH104:AM119,6,0),"")</f>
        <v/>
      </c>
      <c r="I14" s="97" t="str">
        <f>IFERROR(VLOOKUP(AN123,AH121:AM136,6,0),"")</f>
        <v/>
      </c>
      <c r="J14" s="97" t="str">
        <f>IFERROR(VLOOKUP(AN140,AH138:AM153,6,0),"")</f>
        <v/>
      </c>
      <c r="K14" s="97" t="str">
        <f>IFERROR(VLOOKUP(AN157,AH155:AM170,6,0),"")</f>
        <v/>
      </c>
      <c r="L14" s="19" t="str">
        <f>IFERROR(IF('Draft Center'!$B$14="",VLOOKUP(1,Players!$AC:$AI,7,0),'Draft Center'!$B$14),"")</f>
        <v>Devonta Freeman</v>
      </c>
      <c r="M14" s="28">
        <f>IFERROR(VLOOKUP(L14,Players!$B:$R,COLUMN(Players!K:K)-1,0),"")</f>
        <v>5</v>
      </c>
      <c r="N14" s="34">
        <f>IF(B69&gt;1,B69,INDEX(Players!$R$2:$R$930,MATCH(L14,Players!$B$2:$B$930,0)))</f>
        <v>67</v>
      </c>
      <c r="P14" s="228" t="str">
        <f t="array" ref="P14">IFERROR(INDEX(Players!$B$2:$B$930,MATCH(LARGE(IF(ISNUMBER(MATCH(Players!$U$2:$U$930,$N$2,0)),IF(Players!$P$2:$P$930&lt;&gt;0,IF(Players!$W$2:$W$930&gt;1.1,Players!$W$2:$W$930))),ROW()-2),Players!$W$2:$W$930,0)),"")</f>
        <v>Zach Ertz</v>
      </c>
      <c r="Q14" s="34">
        <f>IFERROR(INDEX(Players!$W$2:$W$930,MATCH(P14,Players!$B$2:$B$930,0)),"")</f>
        <v>14.40042</v>
      </c>
      <c r="R14" s="27" t="str">
        <f t="array" ref="R14">IFERROR(INDEX(Players!$B$2:$B$930,MATCH(SMALL(IF(ISNUMBER(MATCH(Players!$U$2:$U$930,$N$2,0)),IF(Players!$P$2:$P$930&lt;&gt;0,IF(Players!$W$2:$W$930&lt;0,Players!$W$2:$W$930))),ROW()-2),Players!$W$2:$W$930,0)),"")</f>
        <v>Terrelle Pryor</v>
      </c>
      <c r="S14" s="34">
        <f>IFERROR(INDEX(Players!$W$2:$W$930,MATCH(R14,Players!$B$2:$B$930,0)),"")</f>
        <v>-11.9992</v>
      </c>
      <c r="U14" s="68">
        <v>12</v>
      </c>
      <c r="V14" s="228" t="str">
        <f t="array" ref="V14">IFERROR(INDEX(Players!$B$2:$B$930,MATCH(LARGE(IF(ISNUMBER(MATCH(Players!$U$2:$U$930,$N$2,0)),IF(Players!$P$2:$P$930&lt;&gt;0,IF(Players!$D$2:$D$930=V$2,Players!$P$2:$P$930))),$U14),Players!$P$2:$P$930,0)),"")</f>
        <v>Marcus Mariota</v>
      </c>
      <c r="W14" s="23" t="str">
        <f t="array" ref="W14">IFERROR(INDEX(Players!$B$2:$B$930,MATCH(LARGE(IF(ISNUMBER(MATCH(Players!$U$2:$U$930,$N$2,0)),IF(Players!$P$2:$P$930&lt;&gt;0,IF(Players!$D$2:$D$930=W$2,Players!$P$2:$P$930))),$U14),Players!$P$2:$P$930,0)),"")</f>
        <v>Leonard Fournette</v>
      </c>
      <c r="X14" s="23" t="str">
        <f t="array" ref="X14">IFERROR(INDEX(Players!$B$2:$B$930,MATCH(LARGE(IF(ISNUMBER(MATCH(Players!$U$2:$U$930,$N$2,0)),IF(Players!$P$2:$P$930&lt;&gt;0,IF(Players!$D$2:$D$930=X$2,Players!$P$2:$P$930))),$U14),Players!$P$2:$P$930,0)),"")</f>
        <v>Jarvis Landry</v>
      </c>
      <c r="Y14" s="23" t="str">
        <f t="array" ref="Y14">IFERROR(INDEX(Players!$B$2:$B$930,MATCH(LARGE(IF(ISNUMBER(MATCH(Players!$U$2:$U$930,$N$2,0)),IF(Players!$P$2:$P$930&lt;&gt;0,IF(Players!$D$2:$D$930=Y$2,Players!$P$2:$P$930))),$U14),Players!$P$2:$P$930,0)),"")</f>
        <v>Jason Witten</v>
      </c>
      <c r="Z14" s="23" t="str">
        <f t="array" ref="Z14">IFERROR(INDEX(Players!$B$2:$B$930,MATCH(LARGE(IF(ISNUMBER(MATCH(Players!$U$2:$U$930,$N$2,0)),IF(Players!$P$2:$P$930&lt;&gt;0,IF(Players!$D$2:$D$930=Z$2,Players!$P$2:$P$930))),$U14),Players!$P$2:$P$930,0)),"")</f>
        <v>Graham Gano</v>
      </c>
      <c r="AA14" s="28" t="str">
        <f t="array" ref="AA14">IFERROR(INDEX(Players!$B$2:$B$930,MATCH(LARGE(IF(ISNUMBER(MATCH(Players!$U$2:$U$930,$N$2,0)),IF(Players!$P$2:$P$930&lt;&gt;0,IF(Players!$D$2:$D$930=AA$2,Players!$P$2:$P$930))),$U14),Players!$P$2:$P$930,0)),"")</f>
        <v>Texans</v>
      </c>
      <c r="AC14" s="39">
        <v>13</v>
      </c>
      <c r="AD14" s="27" t="str">
        <f>IFERROR(VLOOKUP(AD$1&amp;AC14,Input!$AB:$AC,2,0),"")</f>
        <v/>
      </c>
      <c r="AE14" s="281" t="str">
        <f>IFERROR(VLOOKUP(AD14,Input!$AC:$AH,6,0),"")</f>
        <v/>
      </c>
      <c r="AF14" s="281" t="e">
        <f>LARGE(AE2:AE17,AC14)</f>
        <v>#NUM!</v>
      </c>
      <c r="AG14" s="281" t="e">
        <f>VLOOKUP(AM14,Input!$AC:$AF,4,0)</f>
        <v>#NUM!</v>
      </c>
      <c r="AH14" s="281" t="e">
        <f>AG14&amp;COUNTIF(AG2:AG14,AG14)</f>
        <v>#NUM!</v>
      </c>
      <c r="AI14" s="281" t="e">
        <f t="shared" si="0"/>
        <v>#NUM!</v>
      </c>
      <c r="AJ14" s="281" t="e">
        <f>AI14&amp;COUNTIF(AI2:AI14,AI14)</f>
        <v>#NUM!</v>
      </c>
      <c r="AK14" s="281" t="str">
        <f>IFERROR(VLOOKUP(AM14,B12:B21,1,0),"B")</f>
        <v>B</v>
      </c>
      <c r="AL14" s="281" t="str">
        <f>AK14&amp;COUNTIF(AK2:AK14,AK14)</f>
        <v>B13</v>
      </c>
      <c r="AM14" s="281" t="e">
        <f t="array" ref="AM14">INDEX(AD$2:AD$17,SMALL(IF(AE$2:AE$17=AF14,ROW(AE$2:AE$17)-ROW(AF$2)+1),COUNTIF(AF$2:AF14,AF14)))</f>
        <v>#NUM!</v>
      </c>
      <c r="AN14" s="41" t="s">
        <v>603</v>
      </c>
      <c r="AO14" s="17"/>
      <c r="AP14" s="281" t="str">
        <f>IFERROR(VLOOKUP(VLOOKUP(B24,Input!$AC:$AG,5,0),Schedule!$T$3:$U$34,2,0),"")</f>
        <v/>
      </c>
    </row>
    <row r="15" spans="1:43" x14ac:dyDescent="0.25">
      <c r="A15" s="41" t="s">
        <v>594</v>
      </c>
      <c r="B15" s="97" t="str">
        <f>IFERROR(VLOOKUP(AN5,AH2:AM17,6,0),"")</f>
        <v/>
      </c>
      <c r="C15" s="97" t="str">
        <f>IFERROR(VLOOKUP(AN22,AH19:AM34,6,0),"")</f>
        <v/>
      </c>
      <c r="D15" s="97" t="str">
        <f>IFERROR(VLOOKUP(AN39,AH36:AM51,6,0),"")</f>
        <v/>
      </c>
      <c r="E15" s="97" t="str">
        <f>IFERROR(VLOOKUP(AN56,AH53:AM68,6,0),"")</f>
        <v/>
      </c>
      <c r="F15" s="97" t="str">
        <f>IFERROR(VLOOKUP(AN73,AH70:AM85,6,0),"")</f>
        <v/>
      </c>
      <c r="G15" s="97" t="str">
        <f>IFERROR(VLOOKUP(AN90,AH87:AM102,6,0),"")</f>
        <v/>
      </c>
      <c r="H15" s="97" t="str">
        <f>IFERROR(VLOOKUP(AN107,AH104:AM119,6,0),"")</f>
        <v/>
      </c>
      <c r="I15" s="97" t="str">
        <f>IFERROR(VLOOKUP(AN124,AH121:AM136,6,0),"")</f>
        <v/>
      </c>
      <c r="J15" s="97" t="str">
        <f>IFERROR(VLOOKUP(AN141,AH138:AM153,6,0),"")</f>
        <v/>
      </c>
      <c r="K15" s="97" t="str">
        <f>IFERROR(VLOOKUP(AN158,AH155:AM170,6,0),"")</f>
        <v/>
      </c>
      <c r="L15" s="19" t="str">
        <f t="array" ref="L15">IFERROR(IF('Draft Center'!$B$15="",IF(Players!Y6=1,VLOOKUP(1,Players!$AC:$AI,7,0),INDEX(Players!$AI$2:$AI$930,SMALL(IF(1=Players!$AC$2:$AC$930,ROW(Players!$AC$2:$AC$930)-ROW(Players!$AC$2)+1),2))),'Draft Center'!$B$15),"")</f>
        <v>LeSean McCoy</v>
      </c>
      <c r="M15" s="28">
        <f>IFERROR(VLOOKUP(L15,Players!$B:$R,COLUMN(Players!K:K)-1,0),"")</f>
        <v>6</v>
      </c>
      <c r="N15" s="34">
        <f>IF(B70&gt;1,B70,INDEX(Players!$R$2:$R$930,MATCH(L15,Players!$B$2:$B$930,0)))</f>
        <v>62</v>
      </c>
      <c r="P15" s="228" t="str">
        <f t="array" ref="P15">IFERROR(INDEX(Players!$B$2:$B$930,MATCH(LARGE(IF(ISNUMBER(MATCH(Players!$U$2:$U$930,$N$2,0)),IF(Players!$P$2:$P$930&lt;&gt;0,IF(Players!$W$2:$W$930&gt;1.1,Players!$W$2:$W$930))),ROW()-2),Players!$W$2:$W$930,0)),"")</f>
        <v>Jordan Reed</v>
      </c>
      <c r="Q15" s="34">
        <f>IFERROR(INDEX(Players!$W$2:$W$930,MATCH(P15,Players!$B$2:$B$930,0)),"")</f>
        <v>14.100180000000002</v>
      </c>
      <c r="R15" s="27" t="str">
        <f t="array" ref="R15">IFERROR(INDEX(Players!$B$2:$B$930,MATCH(SMALL(IF(ISNUMBER(MATCH(Players!$U$2:$U$930,$N$2,0)),IF(Players!$P$2:$P$930&lt;&gt;0,IF(Players!$W$2:$W$930&lt;0,Players!$W$2:$W$930))),ROW()-2),Players!$W$2:$W$930,0)),"")</f>
        <v>Julian Edelman</v>
      </c>
      <c r="S15" s="34">
        <f>IFERROR(INDEX(Players!$W$2:$W$930,MATCH(R15,Players!$B$2:$B$930,0)),"")</f>
        <v>-11.799380000000001</v>
      </c>
      <c r="U15" s="68">
        <v>13</v>
      </c>
      <c r="V15" s="228" t="str">
        <f t="array" ref="V15">IFERROR(INDEX(Players!$B$2:$B$930,MATCH(LARGE(IF(ISNUMBER(MATCH(Players!$U$2:$U$930,$N$2,0)),IF(Players!$P$2:$P$930&lt;&gt;0,IF(Players!$D$2:$D$930=V$2,Players!$P$2:$P$930))),$U15),Players!$P$2:$P$930,0)),"")</f>
        <v>Matthew Stafford</v>
      </c>
      <c r="W15" s="23" t="str">
        <f t="array" ref="W15">IFERROR(INDEX(Players!$B$2:$B$930,MATCH(LARGE(IF(ISNUMBER(MATCH(Players!$U$2:$U$930,$N$2,0)),IF(Players!$P$2:$P$930&lt;&gt;0,IF(Players!$D$2:$D$930=W$2,Players!$P$2:$P$930))),$U15),Players!$P$2:$P$930,0)),"")</f>
        <v>Ty Montgomery</v>
      </c>
      <c r="X15" s="23" t="str">
        <f t="array" ref="X15">IFERROR(INDEX(Players!$B$2:$B$930,MATCH(LARGE(IF(ISNUMBER(MATCH(Players!$U$2:$U$930,$N$2,0)),IF(Players!$P$2:$P$930&lt;&gt;0,IF(Players!$D$2:$D$930=X$2,Players!$P$2:$P$930))),$U15),Players!$P$2:$P$930,0)),"")</f>
        <v>Demaryius Thomas</v>
      </c>
      <c r="Y15" s="23" t="str">
        <f t="array" ref="Y15">IFERROR(INDEX(Players!$B$2:$B$930,MATCH(LARGE(IF(ISNUMBER(MATCH(Players!$U$2:$U$930,$N$2,0)),IF(Players!$P$2:$P$930&lt;&gt;0,IF(Players!$D$2:$D$930=Y$2,Players!$P$2:$P$930))),$U15),Players!$P$2:$P$930,0)),"")</f>
        <v>Jack Doyle</v>
      </c>
      <c r="Z15" s="23" t="str">
        <f t="array" ref="Z15">IFERROR(INDEX(Players!$B$2:$B$930,MATCH(LARGE(IF(ISNUMBER(MATCH(Players!$U$2:$U$930,$N$2,0)),IF(Players!$P$2:$P$930&lt;&gt;0,IF(Players!$D$2:$D$930=Z$2,Players!$P$2:$P$930))),$U15),Players!$P$2:$P$930,0)),"")</f>
        <v>Cairo Santos</v>
      </c>
      <c r="AA15" s="28" t="str">
        <f t="array" ref="AA15">IFERROR(INDEX(Players!$B$2:$B$930,MATCH(LARGE(IF(ISNUMBER(MATCH(Players!$U$2:$U$930,$N$2,0)),IF(Players!$P$2:$P$930&lt;&gt;0,IF(Players!$D$2:$D$930=AA$2,Players!$P$2:$P$930))),$U15),Players!$P$2:$P$930,0)),"")</f>
        <v>Eagles</v>
      </c>
      <c r="AC15" s="39">
        <v>14</v>
      </c>
      <c r="AD15" s="27" t="str">
        <f>IFERROR(VLOOKUP(AD$1&amp;AC15,Input!$AB:$AC,2,0),"")</f>
        <v/>
      </c>
      <c r="AE15" s="281" t="str">
        <f>IFERROR(VLOOKUP(AD15,Input!$AC:$AH,6,0),"")</f>
        <v/>
      </c>
      <c r="AF15" s="281" t="e">
        <f>LARGE(AE2:AE17,AC15)</f>
        <v>#NUM!</v>
      </c>
      <c r="AG15" s="281" t="e">
        <f>VLOOKUP(AM15,Input!$AC:$AF,4,0)</f>
        <v>#NUM!</v>
      </c>
      <c r="AH15" s="281" t="e">
        <f>AG15&amp;COUNTIF(AG2:AG15,AG15)</f>
        <v>#NUM!</v>
      </c>
      <c r="AI15" s="281" t="e">
        <f t="shared" si="0"/>
        <v>#NUM!</v>
      </c>
      <c r="AJ15" s="281" t="e">
        <f>AI15&amp;COUNTIF(AI2:AI15,AI15)</f>
        <v>#NUM!</v>
      </c>
      <c r="AK15" s="281" t="str">
        <f>IFERROR(VLOOKUP(AM15,B12:B21,1,0),"B")</f>
        <v>B</v>
      </c>
      <c r="AL15" s="281" t="str">
        <f>AK15&amp;COUNTIF(AK2:AK15,AK15)</f>
        <v>B14</v>
      </c>
      <c r="AM15" s="281" t="e">
        <f t="array" ref="AM15">INDEX(AD$2:AD$17,SMALL(IF(AE$2:AE$17=AF15,ROW(AE$2:AE$17)-ROW(AF$2)+1),COUNTIF(AF$2:AF15,AF15)))</f>
        <v>#NUM!</v>
      </c>
      <c r="AN15" s="41" t="s">
        <v>604</v>
      </c>
      <c r="AO15" s="17"/>
      <c r="AP15" s="281" t="str">
        <f>IFERROR(VLOOKUP(VLOOKUP(B25,Input!$AC:$AG,5,0),Schedule!$T$3:$U$34,2,0),"")</f>
        <v/>
      </c>
    </row>
    <row r="16" spans="1:43" x14ac:dyDescent="0.25">
      <c r="A16" s="41" t="s">
        <v>595</v>
      </c>
      <c r="B16" s="97" t="str">
        <f>IFERROR(VLOOKUP(AN6,AH2:AM17,6,0),"")</f>
        <v/>
      </c>
      <c r="C16" s="97" t="str">
        <f>IFERROR(VLOOKUP(AN23,AH19:AM34,6,0),"")</f>
        <v/>
      </c>
      <c r="D16" s="97" t="str">
        <f>IFERROR(VLOOKUP(AN40,AH36:AM51,6,0),"")</f>
        <v/>
      </c>
      <c r="E16" s="97" t="str">
        <f>IFERROR(VLOOKUP(AN57,AH53:AM68,6,0),"")</f>
        <v/>
      </c>
      <c r="F16" s="97" t="str">
        <f>IFERROR(VLOOKUP(AN74,AH70:AM85,6,0),"")</f>
        <v/>
      </c>
      <c r="G16" s="97" t="str">
        <f>IFERROR(VLOOKUP(AN91,AH87:AM102,6,0),"")</f>
        <v/>
      </c>
      <c r="H16" s="97" t="str">
        <f>IFERROR(VLOOKUP(AN108,AH104:AM119,6,0),"")</f>
        <v/>
      </c>
      <c r="I16" s="97" t="str">
        <f>IFERROR(VLOOKUP(AN125,AH121:AM136,6,0),"")</f>
        <v/>
      </c>
      <c r="J16" s="97" t="str">
        <f>IFERROR(VLOOKUP(AN142,AH138:AM153,6,0),"")</f>
        <v/>
      </c>
      <c r="K16" s="97" t="str">
        <f>IFERROR(VLOOKUP(AN159,AH155:AM170,6,0),"")</f>
        <v/>
      </c>
      <c r="L16" s="19" t="str">
        <f>IFERROR(IF('Draft Center'!$B$16="",VLOOKUP(1,Players!$AD:$AI,6,0),'Draft Center'!$B$16),"")</f>
        <v>Michael Crabtree</v>
      </c>
      <c r="M16" s="28">
        <f>IFERROR(VLOOKUP(L16,Players!$B:$R,COLUMN(Players!K:K)-1,0),"")</f>
        <v>10</v>
      </c>
      <c r="N16" s="34">
        <f>IF(B71&gt;1,B71,INDEX(Players!$R$2:$R$930,MATCH(L16,Players!$B$2:$B$930,0)))</f>
        <v>10</v>
      </c>
      <c r="P16" s="228" t="str">
        <f t="array" ref="P16">IFERROR(INDEX(Players!$B$2:$B$930,MATCH(LARGE(IF(ISNUMBER(MATCH(Players!$U$2:$U$930,$N$2,0)),IF(Players!$P$2:$P$930&lt;&gt;0,IF(Players!$W$2:$W$930&gt;1.1,Players!$W$2:$W$930))),ROW()-2),Players!$W$2:$W$930,0)),"")</f>
        <v>LeSean McCoy</v>
      </c>
      <c r="Q16" s="34">
        <f>IFERROR(INDEX(Players!$W$2:$W$930,MATCH(P16,Players!$B$2:$B$930,0)),"")</f>
        <v>13.600070000000001</v>
      </c>
      <c r="R16" s="27" t="str">
        <f t="array" ref="R16">IFERROR(INDEX(Players!$B$2:$B$930,MATCH(SMALL(IF(ISNUMBER(MATCH(Players!$U$2:$U$930,$N$2,0)),IF(Players!$P$2:$P$930&lt;&gt;0,IF(Players!$W$2:$W$930&lt;0,Players!$W$2:$W$930))),ROW()-2),Players!$W$2:$W$930,0)),"")</f>
        <v>Davante Adams</v>
      </c>
      <c r="S16" s="34">
        <f>IFERROR(INDEX(Players!$W$2:$W$930,MATCH(R16,Players!$B$2:$B$930,0)),"")</f>
        <v>-11.799000000000001</v>
      </c>
      <c r="U16" s="68">
        <v>14</v>
      </c>
      <c r="V16" s="228" t="str">
        <f t="array" ref="V16">IFERROR(INDEX(Players!$B$2:$B$930,MATCH(LARGE(IF(ISNUMBER(MATCH(Players!$U$2:$U$930,$N$2,0)),IF(Players!$P$2:$P$930&lt;&gt;0,IF(Players!$D$2:$D$930=V$2,Players!$P$2:$P$930))),$U16),Players!$P$2:$P$930,0)),"")</f>
        <v>Derek Carr</v>
      </c>
      <c r="W16" s="23" t="str">
        <f t="array" ref="W16">IFERROR(INDEX(Players!$B$2:$B$930,MATCH(LARGE(IF(ISNUMBER(MATCH(Players!$U$2:$U$930,$N$2,0)),IF(Players!$P$2:$P$930&lt;&gt;0,IF(Players!$D$2:$D$930=W$2,Players!$P$2:$P$930))),$U16),Players!$P$2:$P$930,0)),"")</f>
        <v>Mark Ingram</v>
      </c>
      <c r="X16" s="23" t="str">
        <f t="array" ref="X16">IFERROR(INDEX(Players!$B$2:$B$930,MATCH(LARGE(IF(ISNUMBER(MATCH(Players!$U$2:$U$930,$N$2,0)),IF(Players!$P$2:$P$930&lt;&gt;0,IF(Players!$D$2:$D$930=X$2,Players!$P$2:$P$930))),$U16),Players!$P$2:$P$930,0)),"")</f>
        <v>DeAndre Hopkins</v>
      </c>
      <c r="Y16" s="23" t="str">
        <f t="array" ref="Y16">IFERROR(INDEX(Players!$B$2:$B$930,MATCH(LARGE(IF(ISNUMBER(MATCH(Players!$U$2:$U$930,$N$2,0)),IF(Players!$P$2:$P$930&lt;&gt;0,IF(Players!$D$2:$D$930=Y$2,Players!$P$2:$P$930))),$U16),Players!$P$2:$P$930,0)),"")</f>
        <v>Hunter Henry</v>
      </c>
      <c r="Z16" s="23" t="str">
        <f t="array" ref="Z16">IFERROR(INDEX(Players!$B$2:$B$930,MATCH(LARGE(IF(ISNUMBER(MATCH(Players!$U$2:$U$930,$N$2,0)),IF(Players!$P$2:$P$930&lt;&gt;0,IF(Players!$D$2:$D$930=Z$2,Players!$P$2:$P$930))),$U16),Players!$P$2:$P$930,0)),"")</f>
        <v>Chris Boswell</v>
      </c>
      <c r="AA16" s="28" t="str">
        <f t="array" ref="AA16">IFERROR(INDEX(Players!$B$2:$B$930,MATCH(LARGE(IF(ISNUMBER(MATCH(Players!$U$2:$U$930,$N$2,0)),IF(Players!$P$2:$P$930&lt;&gt;0,IF(Players!$D$2:$D$930=AA$2,Players!$P$2:$P$930))),$U16),Players!$P$2:$P$930,0)),"")</f>
        <v>Giants</v>
      </c>
      <c r="AC16" s="39">
        <v>15</v>
      </c>
      <c r="AD16" s="27" t="str">
        <f>IFERROR(VLOOKUP(AD$1&amp;AC16,Input!$AB:$AC,2,0),"")</f>
        <v/>
      </c>
      <c r="AE16" s="281" t="str">
        <f>IFERROR(VLOOKUP(AD16,Input!$AC:$AH,6,0),"")</f>
        <v/>
      </c>
      <c r="AF16" s="281" t="e">
        <f>LARGE(AE2:AE17,AC16)</f>
        <v>#NUM!</v>
      </c>
      <c r="AG16" s="281" t="e">
        <f>VLOOKUP(AM16,Input!$AC:$AF,4,0)</f>
        <v>#NUM!</v>
      </c>
      <c r="AH16" s="281" t="e">
        <f>AG16&amp;COUNTIF(AG2:AG16,AG16)</f>
        <v>#NUM!</v>
      </c>
      <c r="AI16" s="281" t="e">
        <f t="shared" si="0"/>
        <v>#NUM!</v>
      </c>
      <c r="AJ16" s="281" t="e">
        <f>AI16&amp;COUNTIF(AI2:AI16,AI16)</f>
        <v>#NUM!</v>
      </c>
      <c r="AK16" s="281" t="str">
        <f>IFERROR(VLOOKUP(AM16,B12:B21,1,0),"B")</f>
        <v>B</v>
      </c>
      <c r="AL16" s="281" t="str">
        <f>AK16&amp;COUNTIF(AK2:AK16,AK16)</f>
        <v>B15</v>
      </c>
      <c r="AM16" s="281" t="e">
        <f t="array" ref="AM16">INDEX(AD$2:AD$17,SMALL(IF(AE$2:AE$17=AF16,ROW(AE$2:AE$17)-ROW(AF$2)+1),COUNTIF(AF$2:AF16,AF16)))</f>
        <v>#NUM!</v>
      </c>
      <c r="AN16" s="41" t="s">
        <v>605</v>
      </c>
      <c r="AO16" s="17"/>
      <c r="AP16" s="281" t="str">
        <f>IFERROR(VLOOKUP(VLOOKUP(B26,Input!$AC:$AG,5,0),Schedule!$T$3:$U$34,2,0),"")</f>
        <v/>
      </c>
    </row>
    <row r="17" spans="1:42" ht="15.75" thickBot="1" x14ac:dyDescent="0.3">
      <c r="A17" s="41" t="s">
        <v>596</v>
      </c>
      <c r="B17" s="97" t="str">
        <f>IFERROR(VLOOKUP(AN7,AH2:AM17,6,0),"")</f>
        <v/>
      </c>
      <c r="C17" s="97" t="str">
        <f>IFERROR(VLOOKUP(AN24,AH19:AM34,6,0),"")</f>
        <v/>
      </c>
      <c r="D17" s="97" t="str">
        <f>IFERROR(VLOOKUP(AN41,AH36:AM51,6,0),"")</f>
        <v/>
      </c>
      <c r="E17" s="97" t="str">
        <f>IFERROR(VLOOKUP(AN58,AH53:AM68,6,0),"")</f>
        <v/>
      </c>
      <c r="F17" s="97" t="str">
        <f>IFERROR(VLOOKUP(AN75,AH70:AM85,6,0),"")</f>
        <v/>
      </c>
      <c r="G17" s="97" t="str">
        <f>IFERROR(VLOOKUP(AN92,AH87:AM102,6,0),"")</f>
        <v/>
      </c>
      <c r="H17" s="97" t="str">
        <f>IFERROR(VLOOKUP(AN109,AH104:AM119,6,0),"")</f>
        <v/>
      </c>
      <c r="I17" s="97" t="str">
        <f>IFERROR(VLOOKUP(AN126,AH121:AM136,6,0),"")</f>
        <v/>
      </c>
      <c r="J17" s="97" t="str">
        <f>IFERROR(VLOOKUP(AN143,AH138:AM153,6,0),"")</f>
        <v/>
      </c>
      <c r="K17" s="97" t="str">
        <f>IFERROR(VLOOKUP(AN160,AH155:AM170,6,0),"")</f>
        <v/>
      </c>
      <c r="L17" s="19" t="str">
        <f t="array" ref="L17">IFERROR(IF('Draft Center'!$B$17="",IF(Players!Y7=1,VLOOKUP(1,Players!$AD:$AI,6,0),INDEX(Players!$AI$2:$AI$930,SMALL(IF(1=Players!$AD$2:$AD$930,ROW(Players!$AD$2:$AD$930)-ROW(Players!$AD$2)+1),2))),'Draft Center'!$B$17),"")</f>
        <v>Tyreek Hill</v>
      </c>
      <c r="M17" s="28">
        <f>IFERROR(VLOOKUP(L17,Players!$B:$R,COLUMN(Players!K:K)-1,0),"")</f>
        <v>10</v>
      </c>
      <c r="N17" s="34">
        <f>IF(B72&gt;1,B72,INDEX(Players!$R$2:$R$930,MATCH(L17,Players!$B$2:$B$930,0)))</f>
        <v>4</v>
      </c>
      <c r="P17" s="228" t="str">
        <f t="array" ref="P17">IFERROR(INDEX(Players!$B$2:$B$930,MATCH(LARGE(IF(ISNUMBER(MATCH(Players!$U$2:$U$930,$N$2,0)),IF(Players!$P$2:$P$930&lt;&gt;0,IF(Players!$W$2:$W$930&gt;1.1,Players!$W$2:$W$930))),ROW()-2),Players!$W$2:$W$930,0)),"")</f>
        <v>Jimmy Graham</v>
      </c>
      <c r="Q17" s="34">
        <f>IFERROR(INDEX(Players!$W$2:$W$930,MATCH(P17,Players!$B$2:$B$930,0)),"")</f>
        <v>13.2004</v>
      </c>
      <c r="R17" s="27" t="str">
        <f t="array" ref="R17">IFERROR(INDEX(Players!$B$2:$B$930,MATCH(SMALL(IF(ISNUMBER(MATCH(Players!$U$2:$U$930,$N$2,0)),IF(Players!$P$2:$P$930&lt;&gt;0,IF(Players!$W$2:$W$930&lt;0,Players!$W$2:$W$930))),ROW()-2),Players!$W$2:$W$930,0)),"")</f>
        <v>Christian McCaffrey</v>
      </c>
      <c r="S17" s="34">
        <f>IFERROR(INDEX(Players!$W$2:$W$930,MATCH(R17,Players!$B$2:$B$930,0)),"")</f>
        <v>-11.29945</v>
      </c>
      <c r="U17" s="68">
        <v>15</v>
      </c>
      <c r="V17" s="228" t="str">
        <f t="array" ref="V17">IFERROR(INDEX(Players!$B$2:$B$930,MATCH(LARGE(IF(ISNUMBER(MATCH(Players!$U$2:$U$930,$N$2,0)),IF(Players!$P$2:$P$930&lt;&gt;0,IF(Players!$D$2:$D$930=V$2,Players!$P$2:$P$930))),$U17),Players!$P$2:$P$930,0)),"")</f>
        <v>Andy Dalton</v>
      </c>
      <c r="W17" s="23" t="str">
        <f t="array" ref="W17">IFERROR(INDEX(Players!$B$2:$B$930,MATCH(LARGE(IF(ISNUMBER(MATCH(Players!$U$2:$U$930,$N$2,0)),IF(Players!$P$2:$P$930&lt;&gt;0,IF(Players!$D$2:$D$930=W$2,Players!$P$2:$P$930))),$U17),Players!$P$2:$P$930,0)),"")</f>
        <v>Isaiah Crowell</v>
      </c>
      <c r="X17" s="23" t="str">
        <f t="array" ref="X17">IFERROR(INDEX(Players!$B$2:$B$930,MATCH(LARGE(IF(ISNUMBER(MATCH(Players!$U$2:$U$930,$N$2,0)),IF(Players!$P$2:$P$930&lt;&gt;0,IF(Players!$D$2:$D$930=X$2,Players!$P$2:$P$930))),$U17),Players!$P$2:$P$930,0)),"")</f>
        <v>Brandin Cooks</v>
      </c>
      <c r="Y17" s="23" t="str">
        <f t="array" ref="Y17">IFERROR(INDEX(Players!$B$2:$B$930,MATCH(LARGE(IF(ISNUMBER(MATCH(Players!$U$2:$U$930,$N$2,0)),IF(Players!$P$2:$P$930&lt;&gt;0,IF(Players!$D$2:$D$930=Y$2,Players!$P$2:$P$930))),$U17),Players!$P$2:$P$930,0)),"")</f>
        <v>Cameron Brate</v>
      </c>
      <c r="Z17" s="23" t="str">
        <f t="array" ref="Z17">IFERROR(INDEX(Players!$B$2:$B$930,MATCH(LARGE(IF(ISNUMBER(MATCH(Players!$U$2:$U$930,$N$2,0)),IF(Players!$P$2:$P$930&lt;&gt;0,IF(Players!$D$2:$D$930=Z$2,Players!$P$2:$P$930))),$U17),Players!$P$2:$P$930,0)),"")</f>
        <v>Dustin Hopkins</v>
      </c>
      <c r="AA17" s="28" t="str">
        <f t="array" ref="AA17">IFERROR(INDEX(Players!$B$2:$B$930,MATCH(LARGE(IF(ISNUMBER(MATCH(Players!$U$2:$U$930,$N$2,0)),IF(Players!$P$2:$P$930&lt;&gt;0,IF(Players!$D$2:$D$930=AA$2,Players!$P$2:$P$930))),$U17),Players!$P$2:$P$930,0)),"")</f>
        <v>Falcons</v>
      </c>
      <c r="AC17" s="40">
        <v>16</v>
      </c>
      <c r="AD17" s="29" t="str">
        <f>IFERROR(VLOOKUP(AD$1&amp;AC17,Input!$AB:$AC,2,0),"")</f>
        <v/>
      </c>
      <c r="AE17" s="282" t="str">
        <f>IFERROR(VLOOKUP(AD17,Input!$AC:$AH,6,0),"")</f>
        <v/>
      </c>
      <c r="AF17" s="281" t="e">
        <f>LARGE(AE2:AE17,AC17)</f>
        <v>#NUM!</v>
      </c>
      <c r="AG17" s="282" t="e">
        <f>VLOOKUP(AM17,Input!$AC:$AF,4,0)</f>
        <v>#NUM!</v>
      </c>
      <c r="AH17" s="282" t="e">
        <f>AG17&amp;COUNTIF(AG2:AG17,AG17)</f>
        <v>#NUM!</v>
      </c>
      <c r="AI17" s="282" t="e">
        <f t="shared" si="0"/>
        <v>#NUM!</v>
      </c>
      <c r="AJ17" s="282" t="e">
        <f>AI17&amp;COUNTIF(AI2:AI17,AI17)</f>
        <v>#NUM!</v>
      </c>
      <c r="AK17" s="282" t="str">
        <f>IFERROR(VLOOKUP(AM17,B12:B21,1,0),"B")</f>
        <v>B</v>
      </c>
      <c r="AL17" s="282" t="str">
        <f>AK17&amp;COUNTIF(AK2:AK17,AK17)</f>
        <v>B16</v>
      </c>
      <c r="AM17" s="282" t="e">
        <f t="array" ref="AM17">INDEX(AD$2:AD$17,SMALL(IF(AE$2:AE$17=AF17,ROW(AE$2:AE$17)-ROW(AF$2)+1),COUNTIF(AF$2:AF17,AF17)))</f>
        <v>#NUM!</v>
      </c>
      <c r="AN17" s="42" t="s">
        <v>606</v>
      </c>
      <c r="AO17" s="283"/>
      <c r="AP17" s="282" t="str">
        <f>IFERROR(VLOOKUP(VLOOKUP(B27,Input!$AC:$AG,5,0),Schedule!$T$3:$U$34,2,0),"")</f>
        <v/>
      </c>
    </row>
    <row r="18" spans="1:42" ht="15.75" thickBot="1" x14ac:dyDescent="0.3">
      <c r="A18" s="41" t="s">
        <v>597</v>
      </c>
      <c r="B18" s="97" t="str">
        <f>IFERROR(VLOOKUP(AN8,AH2:AM17,6,0),"")</f>
        <v/>
      </c>
      <c r="C18" s="97" t="str">
        <f>IFERROR(VLOOKUP(AN25,AH19:AM34,6,0),"")</f>
        <v/>
      </c>
      <c r="D18" s="97" t="str">
        <f>IFERROR(VLOOKUP(AN42,AH36:AM51,6,0),"")</f>
        <v/>
      </c>
      <c r="E18" s="97" t="str">
        <f>IFERROR(VLOOKUP(AN59,AH53:AM68,6,0),"")</f>
        <v/>
      </c>
      <c r="F18" s="97" t="str">
        <f>IFERROR(VLOOKUP(AN76,AH70:AM85,6,0),"")</f>
        <v/>
      </c>
      <c r="G18" s="97" t="str">
        <f>IFERROR(VLOOKUP(AN93,AH87:AM102,6,0),"")</f>
        <v/>
      </c>
      <c r="H18" s="97" t="str">
        <f>IFERROR(VLOOKUP(AN110,AH104:AM119,6,0),"")</f>
        <v/>
      </c>
      <c r="I18" s="97" t="str">
        <f>IFERROR(VLOOKUP(AN127,AH121:AM136,6,0),"")</f>
        <v/>
      </c>
      <c r="J18" s="97" t="str">
        <f>IFERROR(VLOOKUP(AN144,AH138:AM153,6,0),"")</f>
        <v/>
      </c>
      <c r="K18" s="97" t="str">
        <f>IFERROR(VLOOKUP(AN161,AH155:AM170,6,0),"")</f>
        <v/>
      </c>
      <c r="L18" s="19" t="str">
        <f>IFERROR(IF('Draft Center'!$B$18="",VLOOKUP(1,Players!$AE:$AI,5,0),'Draft Center'!$B$18),"")</f>
        <v>Delanie Walker</v>
      </c>
      <c r="M18" s="28">
        <f>IFERROR(VLOOKUP(L18,Players!$B:$R,COLUMN(Players!K:K)-1,0),"")</f>
        <v>8</v>
      </c>
      <c r="N18" s="34">
        <f>IF(B73&gt;1,B73,INDEX(Players!$R$2:$R$930,MATCH(L18,Players!$B$2:$B$930,0)))</f>
        <v>13</v>
      </c>
      <c r="P18" s="228" t="str">
        <f t="array" ref="P18">IFERROR(INDEX(Players!$B$2:$B$930,MATCH(LARGE(IF(ISNUMBER(MATCH(Players!$U$2:$U$930,$N$2,0)),IF(Players!$P$2:$P$930&lt;&gt;0,IF(Players!$W$2:$W$930&gt;1.1,Players!$W$2:$W$930))),ROW()-2),Players!$W$2:$W$930,0)),"")</f>
        <v>Justin Tucker</v>
      </c>
      <c r="Q18" s="34">
        <f>IFERROR(INDEX(Players!$W$2:$W$930,MATCH(P18,Players!$B$2:$B$930,0)),"")</f>
        <v>12.50043</v>
      </c>
      <c r="R18" s="27" t="str">
        <f t="array" ref="R18">IFERROR(INDEX(Players!$B$2:$B$930,MATCH(SMALL(IF(ISNUMBER(MATCH(Players!$U$2:$U$930,$N$2,0)),IF(Players!$P$2:$P$930&lt;&gt;0,IF(Players!$W$2:$W$930&lt;0,Players!$W$2:$W$930))),ROW()-2),Players!$W$2:$W$930,0)),"")</f>
        <v>Joe Mixon</v>
      </c>
      <c r="S18" s="34">
        <f>IFERROR(INDEX(Players!$W$2:$W$930,MATCH(R18,Players!$B$2:$B$930,0)),"")</f>
        <v>-10.39898</v>
      </c>
      <c r="U18" s="68">
        <v>16</v>
      </c>
      <c r="V18" s="228" t="str">
        <f t="array" ref="V18">IFERROR(INDEX(Players!$B$2:$B$930,MATCH(LARGE(IF(ISNUMBER(MATCH(Players!$U$2:$U$930,$N$2,0)),IF(Players!$P$2:$P$930&lt;&gt;0,IF(Players!$D$2:$D$930=V$2,Players!$P$2:$P$930))),$U18),Players!$P$2:$P$930,0)),"")</f>
        <v>Philip Rivers</v>
      </c>
      <c r="W18" s="23" t="str">
        <f t="array" ref="W18">IFERROR(INDEX(Players!$B$2:$B$930,MATCH(LARGE(IF(ISNUMBER(MATCH(Players!$U$2:$U$930,$N$2,0)),IF(Players!$P$2:$P$930&lt;&gt;0,IF(Players!$D$2:$D$930=W$2,Players!$P$2:$P$930))),$U18),Players!$P$2:$P$930,0)),"")</f>
        <v>Bilal Powell</v>
      </c>
      <c r="X18" s="23" t="str">
        <f t="array" ref="X18">IFERROR(INDEX(Players!$B$2:$B$930,MATCH(LARGE(IF(ISNUMBER(MATCH(Players!$U$2:$U$930,$N$2,0)),IF(Players!$P$2:$P$930&lt;&gt;0,IF(Players!$D$2:$D$930=X$2,Players!$P$2:$P$930))),$U18),Players!$P$2:$P$930,0)),"")</f>
        <v>Michael Crabtree</v>
      </c>
      <c r="Y18" s="23" t="str">
        <f t="array" ref="Y18">IFERROR(INDEX(Players!$B$2:$B$930,MATCH(LARGE(IF(ISNUMBER(MATCH(Players!$U$2:$U$930,$N$2,0)),IF(Players!$P$2:$P$930&lt;&gt;0,IF(Players!$D$2:$D$930=Y$2,Players!$P$2:$P$930))),$U18),Players!$P$2:$P$930,0)),"")</f>
        <v>Coby Fleener</v>
      </c>
      <c r="Z18" s="23" t="str">
        <f t="array" ref="Z18">IFERROR(INDEX(Players!$B$2:$B$930,MATCH(LARGE(IF(ISNUMBER(MATCH(Players!$U$2:$U$930,$N$2,0)),IF(Players!$P$2:$P$930&lt;&gt;0,IF(Players!$D$2:$D$930=Z$2,Players!$P$2:$P$930))),$U18),Players!$P$2:$P$930,0)),"")</f>
        <v>Brandon McManus</v>
      </c>
      <c r="AA18" s="28" t="str">
        <f t="array" ref="AA18">IFERROR(INDEX(Players!$B$2:$B$930,MATCH(LARGE(IF(ISNUMBER(MATCH(Players!$U$2:$U$930,$N$2,0)),IF(Players!$P$2:$P$930&lt;&gt;0,IF(Players!$D$2:$D$930=AA$2,Players!$P$2:$P$930))),$U18),Players!$P$2:$P$930,0)),"")</f>
        <v>Steelers</v>
      </c>
      <c r="AC18" s="284"/>
      <c r="AD18" s="285" t="str">
        <f>Input!BA1</f>
        <v>Team 5</v>
      </c>
      <c r="AE18" s="286" t="s">
        <v>5</v>
      </c>
      <c r="AF18" s="286" t="s">
        <v>905</v>
      </c>
      <c r="AG18" s="286" t="s">
        <v>904</v>
      </c>
      <c r="AH18" s="286" t="s">
        <v>906</v>
      </c>
      <c r="AI18" s="286" t="s">
        <v>907</v>
      </c>
      <c r="AJ18" s="286" t="s">
        <v>908</v>
      </c>
      <c r="AK18" s="286" t="s">
        <v>658</v>
      </c>
      <c r="AL18" s="286" t="s">
        <v>909</v>
      </c>
      <c r="AM18" s="286" t="s">
        <v>910</v>
      </c>
      <c r="AN18" s="287" t="s">
        <v>904</v>
      </c>
      <c r="AO18" s="287" t="s">
        <v>5</v>
      </c>
      <c r="AP18" s="287" t="s">
        <v>728</v>
      </c>
    </row>
    <row r="19" spans="1:42" x14ac:dyDescent="0.25">
      <c r="A19" s="41" t="s">
        <v>598</v>
      </c>
      <c r="B19" s="97" t="str">
        <f>IFERROR(VLOOKUP(AN9,AJ2:AM17,4,0),"")</f>
        <v/>
      </c>
      <c r="C19" s="97" t="str">
        <f>IFERROR(VLOOKUP(AN26,AJ19:AM34,4,0),"")</f>
        <v/>
      </c>
      <c r="D19" s="97" t="str">
        <f>IFERROR(VLOOKUP(AN43,AJ36:AM51,4,0),"")</f>
        <v/>
      </c>
      <c r="E19" s="97" t="str">
        <f>IFERROR(VLOOKUP(AN60,AJ53:AM68,4,0),"")</f>
        <v/>
      </c>
      <c r="F19" s="97" t="str">
        <f>IFERROR(VLOOKUP(AN77,AJ70:AM85,4,0),"")</f>
        <v/>
      </c>
      <c r="G19" s="97" t="str">
        <f>IFERROR(VLOOKUP(AN94,AJ87:AM102,4,0),"")</f>
        <v/>
      </c>
      <c r="H19" s="97" t="str">
        <f>IFERROR(VLOOKUP(AN111,AJ104:AM119,4,0),"")</f>
        <v/>
      </c>
      <c r="I19" s="97" t="str">
        <f>IFERROR(VLOOKUP(AN128,AJ121:AM136,4,0),"")</f>
        <v/>
      </c>
      <c r="J19" s="97" t="str">
        <f>IFERROR(VLOOKUP(AN145,AJ138:AM153,4,0),"")</f>
        <v/>
      </c>
      <c r="K19" s="97" t="str">
        <f>IFERROR(VLOOKUP(AN162,AJ155:AM170,4,0),"")</f>
        <v/>
      </c>
      <c r="L19" s="19" t="str">
        <f>IF(B19="",IFERROR(IF(IF(LOOKUP(2,1/(Players!$AC$2:$AC$930=1),Players!$AI$2:$AI$930)=L15,LOOKUP(2,1/(Players!$AD$2:$AD$930=1),Players!$AI$2:$AI$930),LOOKUP(2,1/(Players!$AC$2:$AC$930=1),Players!$AI$2:$AI$930))=L17,IF(LOOKUP(2,1/(Players!$AD$2:$AD$930=1),Players!$AI$2:$AI$930)=L17,LOOKUP(2,1/(Players!$AE$2:$AE$930=1),Players!$AI$2:$AI$930),LOOKUP(2,1/(Players!$AC$2:$AC$930=1),Players!$AI$2:$AI$930)),IF(LOOKUP(2,1/(Players!$AC$2:$AC$930=1),Players!$AI$2:$AI$930)=L15,LOOKUP(2,1/(Players!$AD$2:$AD$930=1),Players!$AI$2:$AI$930),LOOKUP(2,1/(Players!$AC$2:$AC$930=1),Players!$AI$2:$AI$930))),LOOKUP(2,1/(Players!$AD$2:$AD$930=1),Players!$AI$2:$AI$930)),B19)</f>
        <v>Terrelle Pryor</v>
      </c>
      <c r="M19" s="28">
        <f>IFERROR(VLOOKUP(L19,Players!$B:$R,COLUMN(Players!K:K)-1,0),"")</f>
        <v>5</v>
      </c>
      <c r="N19" s="34">
        <f>IF(B74&gt;1,B74,INDEX(Players!$R$2:$R$930,MATCH(L19,Players!$B$2:$B$930,0)))</f>
        <v>2</v>
      </c>
      <c r="P19" s="228" t="str">
        <f t="array" ref="P19">IFERROR(INDEX(Players!$B$2:$B$930,MATCH(LARGE(IF(ISNUMBER(MATCH(Players!$U$2:$U$930,$N$2,0)),IF(Players!$P$2:$P$930&lt;&gt;0,IF(Players!$W$2:$W$930&gt;1.1,Players!$W$2:$W$930))),ROW()-2),Players!$W$2:$W$930,0)),"")</f>
        <v>Russell Wilson</v>
      </c>
      <c r="Q19" s="34">
        <f>IFERROR(INDEX(Players!$W$2:$W$930,MATCH(P19,Players!$B$2:$B$930,0)),"")</f>
        <v>10.700439999999999</v>
      </c>
      <c r="R19" s="27" t="str">
        <f t="array" ref="R19">IFERROR(INDEX(Players!$B$2:$B$930,MATCH(SMALL(IF(ISNUMBER(MATCH(Players!$U$2:$U$930,$N$2,0)),IF(Players!$P$2:$P$930&lt;&gt;0,IF(Players!$W$2:$W$930&lt;0,Players!$W$2:$W$930))),ROW()-2),Players!$W$2:$W$930,0)),"")</f>
        <v>Golden Tate</v>
      </c>
      <c r="S19" s="34">
        <f>IFERROR(INDEX(Players!$W$2:$W$930,MATCH(R19,Players!$B$2:$B$930,0)),"")</f>
        <v>-10.099430000000002</v>
      </c>
      <c r="U19" s="68">
        <v>17</v>
      </c>
      <c r="V19" s="228" t="str">
        <f t="array" ref="V19">IFERROR(INDEX(Players!$B$2:$B$930,MATCH(LARGE(IF(ISNUMBER(MATCH(Players!$U$2:$U$930,$N$2,0)),IF(Players!$P$2:$P$930&lt;&gt;0,IF(Players!$D$2:$D$930=V$2,Players!$P$2:$P$930))),$U19),Players!$P$2:$P$930,0)),"")</f>
        <v>Ben Roethlisberger</v>
      </c>
      <c r="W19" s="23" t="str">
        <f t="array" ref="W19">IFERROR(INDEX(Players!$B$2:$B$930,MATCH(LARGE(IF(ISNUMBER(MATCH(Players!$U$2:$U$930,$N$2,0)),IF(Players!$P$2:$P$930&lt;&gt;0,IF(Players!$D$2:$D$930=W$2,Players!$P$2:$P$930))),$U19),Players!$P$2:$P$930,0)),"")</f>
        <v>Marshawn Lynch</v>
      </c>
      <c r="X19" s="23" t="str">
        <f t="array" ref="X19">IFERROR(INDEX(Players!$B$2:$B$930,MATCH(LARGE(IF(ISNUMBER(MATCH(Players!$U$2:$U$930,$N$2,0)),IF(Players!$P$2:$P$930&lt;&gt;0,IF(Players!$D$2:$D$930=X$2,Players!$P$2:$P$930))),$U19),Players!$P$2:$P$930,0)),"")</f>
        <v>Golden Tate</v>
      </c>
      <c r="Y19" s="23" t="str">
        <f t="array" ref="Y19">IFERROR(INDEX(Players!$B$2:$B$930,MATCH(LARGE(IF(ISNUMBER(MATCH(Players!$U$2:$U$930,$N$2,0)),IF(Players!$P$2:$P$930&lt;&gt;0,IF(Players!$D$2:$D$930=Y$2,Players!$P$2:$P$930))),$U19),Players!$P$2:$P$930,0)),"")</f>
        <v>Charles Clay</v>
      </c>
      <c r="Z19" s="23" t="str">
        <f t="array" ref="Z19">IFERROR(INDEX(Players!$B$2:$B$930,MATCH(LARGE(IF(ISNUMBER(MATCH(Players!$U$2:$U$930,$N$2,0)),IF(Players!$P$2:$P$930&lt;&gt;0,IF(Players!$D$2:$D$930=Z$2,Players!$P$2:$P$930))),$U19),Players!$P$2:$P$930,0)),"")</f>
        <v>Nick Novak</v>
      </c>
      <c r="AA19" s="28" t="str">
        <f t="array" ref="AA19">IFERROR(INDEX(Players!$B$2:$B$930,MATCH(LARGE(IF(ISNUMBER(MATCH(Players!$U$2:$U$930,$N$2,0)),IF(Players!$P$2:$P$930&lt;&gt;0,IF(Players!$D$2:$D$930=AA$2,Players!$P$2:$P$930))),$U19),Players!$P$2:$P$930,0)),"")</f>
        <v>Buccaneers</v>
      </c>
      <c r="AC19" s="39">
        <v>1</v>
      </c>
      <c r="AD19" s="27" t="str">
        <f>IFERROR(VLOOKUP(AD$18&amp;AC19,Input!$AB:$AC,2,0),"")</f>
        <v/>
      </c>
      <c r="AE19" s="281" t="str">
        <f>IFERROR(VLOOKUP(AD19,Input!$AC:$AH,6,0),"")</f>
        <v/>
      </c>
      <c r="AF19" s="281" t="e">
        <f>LARGE(AE19:AE34,AC19)</f>
        <v>#NUM!</v>
      </c>
      <c r="AG19" s="281" t="e">
        <f>VLOOKUP(AM19,Input!$AC:$AF,4,0)</f>
        <v>#NUM!</v>
      </c>
      <c r="AH19" s="281" t="e">
        <f>AG19&amp;COUNTIF(AG19:AG19,AG19)</f>
        <v>#NUM!</v>
      </c>
      <c r="AI19" s="281" t="e">
        <f t="shared" ref="AI19:AI34" si="1">IF(AH19="RB3","F",IF(AH19="WR3","F",IF(AH19="TE2","F",0)))</f>
        <v>#NUM!</v>
      </c>
      <c r="AJ19" s="281" t="e">
        <f>AI19&amp;COUNTIF(AI19:AI19,AI19)</f>
        <v>#NUM!</v>
      </c>
      <c r="AK19" s="281" t="str">
        <f>IFERROR(VLOOKUP(AM19,C12:C21,1,0),"B")</f>
        <v>B</v>
      </c>
      <c r="AL19" s="281" t="str">
        <f>AK19&amp;COUNTIF(AK19:AK19,AK19)</f>
        <v>B1</v>
      </c>
      <c r="AM19" s="281" t="e">
        <f t="array" ref="AM19">INDEX(AD$19:AD$34,SMALL(IF(AE$19:AE$34=AF19,ROW(AE$19:AE$34)-ROW(AF$19)+1),COUNTIF(AF$19:AF19,AF19)))</f>
        <v>#NUM!</v>
      </c>
      <c r="AN19" s="39" t="s">
        <v>591</v>
      </c>
      <c r="AO19" s="281" t="str">
        <f>IFERROR(VLOOKUP(C12,Input!$AC:$AH,6,0),"")</f>
        <v/>
      </c>
      <c r="AP19" s="281" t="str">
        <f>IFERROR(VLOOKUP(VLOOKUP(C12,Input!$AC:$AG,5,0),Schedule!$T$3:$U$34,2,0),"")</f>
        <v/>
      </c>
    </row>
    <row r="20" spans="1:42" x14ac:dyDescent="0.25">
      <c r="A20" s="41" t="s">
        <v>599</v>
      </c>
      <c r="B20" s="97" t="str">
        <f>IFERROR(VLOOKUP(AN10,AH2:AM17,6,0),"")</f>
        <v/>
      </c>
      <c r="C20" s="97" t="str">
        <f>IFERROR(VLOOKUP(AN27,AH19:AM34,6,0),"")</f>
        <v/>
      </c>
      <c r="D20" s="97" t="str">
        <f>IFERROR(VLOOKUP(AN44,AH36:AM51,6,0),"")</f>
        <v/>
      </c>
      <c r="E20" s="97" t="str">
        <f>IFERROR(VLOOKUP(AN61,AH53:AM68,6,0),"")</f>
        <v/>
      </c>
      <c r="F20" s="97" t="str">
        <f>IFERROR(VLOOKUP(AN78,AH70:AM85,6,0),"")</f>
        <v/>
      </c>
      <c r="G20" s="97" t="str">
        <f>IFERROR(VLOOKUP(AN95,AH87:AM102,6,0),"")</f>
        <v/>
      </c>
      <c r="H20" s="97" t="str">
        <f>IFERROR(VLOOKUP(AN112,AH104:AM119,6,0),"")</f>
        <v/>
      </c>
      <c r="I20" s="97" t="str">
        <f>IFERROR(VLOOKUP(AN129,AH121:AM136,6,0),"")</f>
        <v/>
      </c>
      <c r="J20" s="97" t="str">
        <f>IFERROR(VLOOKUP(AN146,AH138:AM153,6,0),"")</f>
        <v/>
      </c>
      <c r="K20" s="97" t="str">
        <f>IFERROR(VLOOKUP(AN163,AH155:AM170,6,0),"")</f>
        <v/>
      </c>
      <c r="L20" s="19" t="str">
        <f>IFERROR(IF('Draft Center'!$B$20="",VLOOKUP(1,Players!$AF:$AI,4,0),'Draft Center'!$B$20),"")</f>
        <v>Patriots</v>
      </c>
      <c r="M20" s="28">
        <f>IFERROR(VLOOKUP(L20,Players!$B:$R,COLUMN(Players!K:K)-1,0),"")</f>
        <v>9</v>
      </c>
      <c r="N20" s="34">
        <f>IF(B75&gt;1,B75,INDEX(Players!$R$2:$R$930,MATCH(L20,Players!$B$2:$B$930,0)))</f>
        <v>11</v>
      </c>
      <c r="P20" s="228" t="str">
        <f t="array" ref="P20">IFERROR(INDEX(Players!$B$2:$B$930,MATCH(LARGE(IF(ISNUMBER(MATCH(Players!$U$2:$U$930,$N$2,0)),IF(Players!$P$2:$P$930&lt;&gt;0,IF(Players!$W$2:$W$930&gt;1.1,Players!$W$2:$W$930))),ROW()-2),Players!$W$2:$W$930,0)),"")</f>
        <v>Matt Bryant</v>
      </c>
      <c r="Q20" s="34">
        <f>IFERROR(INDEX(Players!$W$2:$W$930,MATCH(P20,Players!$B$2:$B$930,0)),"")</f>
        <v>10.60047</v>
      </c>
      <c r="R20" s="27" t="str">
        <f t="array" ref="R20">IFERROR(INDEX(Players!$B$2:$B$930,MATCH(SMALL(IF(ISNUMBER(MATCH(Players!$U$2:$U$930,$N$2,0)),IF(Players!$P$2:$P$930&lt;&gt;0,IF(Players!$W$2:$W$930&lt;0,Players!$W$2:$W$930))),ROW()-2),Players!$W$2:$W$930,0)),"")</f>
        <v>Dalvin Cook</v>
      </c>
      <c r="S20" s="34">
        <f>IFERROR(INDEX(Players!$W$2:$W$930,MATCH(R20,Players!$B$2:$B$930,0)),"")</f>
        <v>-9.5988799999999994</v>
      </c>
      <c r="U20" s="68">
        <v>18</v>
      </c>
      <c r="V20" s="228" t="str">
        <f t="array" ref="V20">IFERROR(INDEX(Players!$B$2:$B$930,MATCH(LARGE(IF(ISNUMBER(MATCH(Players!$U$2:$U$930,$N$2,0)),IF(Players!$P$2:$P$930&lt;&gt;0,IF(Players!$D$2:$D$930=V$2,Players!$P$2:$P$930))),$U20),Players!$P$2:$P$930,0)),"")</f>
        <v>Blake Bortles</v>
      </c>
      <c r="W20" s="23" t="str">
        <f t="array" ref="W20">IFERROR(INDEX(Players!$B$2:$B$930,MATCH(LARGE(IF(ISNUMBER(MATCH(Players!$U$2:$U$930,$N$2,0)),IF(Players!$P$2:$P$930&lt;&gt;0,IF(Players!$D$2:$D$930=W$2,Players!$P$2:$P$930))),$U20),Players!$P$2:$P$930,0)),"")</f>
        <v>Christian McCaffrey</v>
      </c>
      <c r="X20" s="23" t="str">
        <f t="array" ref="X20">IFERROR(INDEX(Players!$B$2:$B$930,MATCH(LARGE(IF(ISNUMBER(MATCH(Players!$U$2:$U$930,$N$2,0)),IF(Players!$P$2:$P$930&lt;&gt;0,IF(Players!$D$2:$D$930=X$2,Players!$P$2:$P$930))),$U20),Players!$P$2:$P$930,0)),"")</f>
        <v>Allen Robinson</v>
      </c>
      <c r="Y20" s="23" t="str">
        <f t="array" ref="Y20">IFERROR(INDEX(Players!$B$2:$B$930,MATCH(LARGE(IF(ISNUMBER(MATCH(Players!$U$2:$U$930,$N$2,0)),IF(Players!$P$2:$P$930&lt;&gt;0,IF(Players!$D$2:$D$930=Y$2,Players!$P$2:$P$930))),$U20),Players!$P$2:$P$930,0)),"")</f>
        <v>C.J. Fiedorowicz</v>
      </c>
      <c r="Z20" s="23" t="str">
        <f t="array" ref="Z20">IFERROR(INDEX(Players!$B$2:$B$930,MATCH(LARGE(IF(ISNUMBER(MATCH(Players!$U$2:$U$930,$N$2,0)),IF(Players!$P$2:$P$930&lt;&gt;0,IF(Players!$D$2:$D$930=Z$2,Players!$P$2:$P$930))),$U20),Players!$P$2:$P$930,0)),"")</f>
        <v>Kai Forbath</v>
      </c>
      <c r="AA20" s="28" t="str">
        <f t="array" ref="AA20">IFERROR(INDEX(Players!$B$2:$B$930,MATCH(LARGE(IF(ISNUMBER(MATCH(Players!$U$2:$U$930,$N$2,0)),IF(Players!$P$2:$P$930&lt;&gt;0,IF(Players!$D$2:$D$930=AA$2,Players!$P$2:$P$930))),$U20),Players!$P$2:$P$930,0)),"")</f>
        <v>Titans</v>
      </c>
      <c r="AC20" s="39">
        <v>2</v>
      </c>
      <c r="AD20" s="27" t="str">
        <f>IFERROR(VLOOKUP(AD$18&amp;AC20,Input!$AB:$AC,2,0),"")</f>
        <v/>
      </c>
      <c r="AE20" s="281" t="str">
        <f>IFERROR(VLOOKUP(AD20,Input!$AC:$AH,6,0),"")</f>
        <v/>
      </c>
      <c r="AF20" s="281" t="e">
        <f>LARGE(AE19:AE34,AC20)</f>
        <v>#NUM!</v>
      </c>
      <c r="AG20" s="281" t="e">
        <f>VLOOKUP(AM20,Input!$AC:$AF,4,0)</f>
        <v>#NUM!</v>
      </c>
      <c r="AH20" s="281" t="e">
        <f>AG20&amp;COUNTIF(AG19:AG20,AG20)</f>
        <v>#NUM!</v>
      </c>
      <c r="AI20" s="281" t="e">
        <f t="shared" si="1"/>
        <v>#NUM!</v>
      </c>
      <c r="AJ20" s="281" t="e">
        <f>AI20&amp;COUNTIF(AI19:AI20,AI20)</f>
        <v>#NUM!</v>
      </c>
      <c r="AK20" s="281" t="str">
        <f>IFERROR(VLOOKUP(AM20,C12:C21,1,0),"B")</f>
        <v>B</v>
      </c>
      <c r="AL20" s="281" t="str">
        <f>AK20&amp;COUNTIF(AK19:AK20,AK20)</f>
        <v>B2</v>
      </c>
      <c r="AM20" s="281" t="e">
        <f t="array" ref="AM20">INDEX(AD$19:AD$34,SMALL(IF(AE$19:AE$34=AF20,ROW(AE$19:AE$34)-ROW(AF$19)+1),COUNTIF(AF$19:AF20,AF20)))</f>
        <v>#NUM!</v>
      </c>
      <c r="AN20" s="39" t="s">
        <v>592</v>
      </c>
      <c r="AO20" s="281" t="str">
        <f>IFERROR(VLOOKUP(C13,Input!$AC:$AH,6,0),"")</f>
        <v/>
      </c>
      <c r="AP20" s="281" t="str">
        <f>IFERROR(VLOOKUP(VLOOKUP(C13,Input!$AC:$AG,5,0),Schedule!$T$3:$U$34,2,0),"")</f>
        <v/>
      </c>
    </row>
    <row r="21" spans="1:42" ht="15.75" thickBot="1" x14ac:dyDescent="0.3">
      <c r="A21" s="41" t="s">
        <v>600</v>
      </c>
      <c r="B21" s="97" t="str">
        <f>IFERROR(VLOOKUP(AN11,AH2:AM17,6,0),"")</f>
        <v/>
      </c>
      <c r="C21" s="97" t="str">
        <f>IFERROR(VLOOKUP(AN28,AH19:AM34,6,0),"")</f>
        <v/>
      </c>
      <c r="D21" s="97" t="str">
        <f>IFERROR(VLOOKUP(AN45,AH36:AM51,6,0),"")</f>
        <v/>
      </c>
      <c r="E21" s="97" t="str">
        <f>IFERROR(VLOOKUP(AN62,AH53:AM68,6,0),"")</f>
        <v/>
      </c>
      <c r="F21" s="97" t="str">
        <f>IFERROR(VLOOKUP(AN79,AH70:AM85,6,0),"")</f>
        <v/>
      </c>
      <c r="G21" s="97" t="str">
        <f>IFERROR(VLOOKUP(AN96,AH87:AM102,6,0),"")</f>
        <v/>
      </c>
      <c r="H21" s="97" t="str">
        <f>IFERROR(VLOOKUP(AN113,AH104:AM119,6,0),"")</f>
        <v/>
      </c>
      <c r="I21" s="97" t="str">
        <f>IFERROR(VLOOKUP(AN130,AH121:AM136,6,0),"")</f>
        <v/>
      </c>
      <c r="J21" s="97" t="str">
        <f>IFERROR(VLOOKUP(AN147,AH138:AM153,6,0),"")</f>
        <v/>
      </c>
      <c r="K21" s="97" t="str">
        <f>IFERROR(VLOOKUP(AN164,AH155:AM170,6,0),"")</f>
        <v/>
      </c>
      <c r="L21" s="19" t="str">
        <f>IFERROR(IF('Draft Center'!$B$21="",VLOOKUP(1,Players!$AG:$AI,3,0),'Draft Center'!$B$21),"")</f>
        <v>Matt Bryant</v>
      </c>
      <c r="M21" s="28">
        <f>IFERROR(VLOOKUP(L21,Players!$B:$R,COLUMN(Players!K:K)-1,0),"")</f>
        <v>5</v>
      </c>
      <c r="N21" s="34">
        <f>IF(B76&gt;1,B76,INDEX(Players!$R$2:$R$930,MATCH(L21,Players!$B$2:$B$930,0)))</f>
        <v>13</v>
      </c>
      <c r="P21" s="228" t="str">
        <f t="array" ref="P21">IFERROR(INDEX(Players!$B$2:$B$930,MATCH(LARGE(IF(ISNUMBER(MATCH(Players!$U$2:$U$930,$N$2,0)),IF(Players!$P$2:$P$930&lt;&gt;0,IF(Players!$W$2:$W$930&gt;1.1,Players!$W$2:$W$930))),ROW()-2),Players!$W$2:$W$930,0)),"")</f>
        <v>Tom Brady</v>
      </c>
      <c r="Q21" s="34">
        <f>IFERROR(INDEX(Players!$W$2:$W$930,MATCH(P21,Players!$B$2:$B$930,0)),"")</f>
        <v>10.600240000000001</v>
      </c>
      <c r="R21" s="27" t="str">
        <f t="array" ref="R21">IFERROR(INDEX(Players!$B$2:$B$930,MATCH(SMALL(IF(ISNUMBER(MATCH(Players!$U$2:$U$930,$N$2,0)),IF(Players!$P$2:$P$930&lt;&gt;0,IF(Players!$W$2:$W$930&lt;0,Players!$W$2:$W$930))),ROW()-2),Players!$W$2:$W$930,0)),"")</f>
        <v>Allen Robinson</v>
      </c>
      <c r="S21" s="34">
        <f>IFERROR(INDEX(Players!$W$2:$W$930,MATCH(R21,Players!$B$2:$B$930,0)),"")</f>
        <v>-8.9994099999999992</v>
      </c>
      <c r="U21" s="68">
        <v>19</v>
      </c>
      <c r="V21" s="228" t="str">
        <f t="array" ref="V21">IFERROR(INDEX(Players!$B$2:$B$930,MATCH(LARGE(IF(ISNUMBER(MATCH(Players!$U$2:$U$930,$N$2,0)),IF(Players!$P$2:$P$930&lt;&gt;0,IF(Players!$D$2:$D$930=V$2,Players!$P$2:$P$930))),$U21),Players!$P$2:$P$930,0)),"")</f>
        <v>Carson Wentz</v>
      </c>
      <c r="W21" s="23" t="str">
        <f t="array" ref="W21">IFERROR(INDEX(Players!$B$2:$B$930,MATCH(LARGE(IF(ISNUMBER(MATCH(Players!$U$2:$U$930,$N$2,0)),IF(Players!$P$2:$P$930&lt;&gt;0,IF(Players!$D$2:$D$930=W$2,Players!$P$2:$P$930))),$U21),Players!$P$2:$P$930,0)),"")</f>
        <v>Paul Perkins</v>
      </c>
      <c r="X21" s="23" t="str">
        <f t="array" ref="X21">IFERROR(INDEX(Players!$B$2:$B$930,MATCH(LARGE(IF(ISNUMBER(MATCH(Players!$U$2:$U$930,$N$2,0)),IF(Players!$P$2:$P$930&lt;&gt;0,IF(Players!$D$2:$D$930=X$2,Players!$P$2:$P$930))),$U21),Players!$P$2:$P$930,0)),"")</f>
        <v>Larry Fitzgerald</v>
      </c>
      <c r="Y21" s="23" t="str">
        <f t="array" ref="Y21">IFERROR(INDEX(Players!$B$2:$B$930,MATCH(LARGE(IF(ISNUMBER(MATCH(Players!$U$2:$U$930,$N$2,0)),IF(Players!$P$2:$P$930&lt;&gt;0,IF(Players!$D$2:$D$930=Y$2,Players!$P$2:$P$930))),$U21),Players!$P$2:$P$930,0)),"")</f>
        <v>Jared Cook</v>
      </c>
      <c r="Z21" s="23" t="str">
        <f t="array" ref="Z21">IFERROR(INDEX(Players!$B$2:$B$930,MATCH(LARGE(IF(ISNUMBER(MATCH(Players!$U$2:$U$930,$N$2,0)),IF(Players!$P$2:$P$930&lt;&gt;0,IF(Players!$D$2:$D$930=Z$2,Players!$P$2:$P$930))),$U21),Players!$P$2:$P$930,0)),"")</f>
        <v>Jason Myers</v>
      </c>
      <c r="AA21" s="28" t="str">
        <f t="array" ref="AA21">IFERROR(INDEX(Players!$B$2:$B$930,MATCH(LARGE(IF(ISNUMBER(MATCH(Players!$U$2:$U$930,$N$2,0)),IF(Players!$P$2:$P$930&lt;&gt;0,IF(Players!$D$2:$D$930=AA$2,Players!$P$2:$P$930))),$U21),Players!$P$2:$P$930,0)),"")</f>
        <v>Ravens</v>
      </c>
      <c r="AC21" s="39">
        <v>3</v>
      </c>
      <c r="AD21" s="27" t="str">
        <f>IFERROR(VLOOKUP(AD$18&amp;AC21,Input!$AB:$AC,2,0),"")</f>
        <v/>
      </c>
      <c r="AE21" s="281" t="str">
        <f>IFERROR(VLOOKUP(AD21,Input!$AC:$AH,6,0),"")</f>
        <v/>
      </c>
      <c r="AF21" s="281" t="e">
        <f>LARGE(AE19:AE34,AC21)</f>
        <v>#NUM!</v>
      </c>
      <c r="AG21" s="281" t="e">
        <f>VLOOKUP(AM21,Input!$AC:$AF,4,0)</f>
        <v>#NUM!</v>
      </c>
      <c r="AH21" s="281" t="e">
        <f>AG21&amp;COUNTIF(AG19:AG21,AG21)</f>
        <v>#NUM!</v>
      </c>
      <c r="AI21" s="281" t="e">
        <f t="shared" si="1"/>
        <v>#NUM!</v>
      </c>
      <c r="AJ21" s="281" t="e">
        <f>AI21&amp;COUNTIF(AI19:AI21,AI21)</f>
        <v>#NUM!</v>
      </c>
      <c r="AK21" s="281" t="str">
        <f>IFERROR(VLOOKUP(AM21,C12:C21,1,0),"B")</f>
        <v>B</v>
      </c>
      <c r="AL21" s="281" t="str">
        <f>AK21&amp;COUNTIF(AK19:AK21,AK21)</f>
        <v>B3</v>
      </c>
      <c r="AM21" s="281" t="e">
        <f t="array" ref="AM21">INDEX(AD$19:AD$34,SMALL(IF(AE$19:AE$34=AF21,ROW(AE$19:AE$34)-ROW(AF$19)+1),COUNTIF(AF$19:AF21,AF21)))</f>
        <v>#NUM!</v>
      </c>
      <c r="AN21" s="39" t="s">
        <v>593</v>
      </c>
      <c r="AO21" s="281" t="str">
        <f>IFERROR(VLOOKUP(C14,Input!$AC:$AH,6,0),"")</f>
        <v/>
      </c>
      <c r="AP21" s="281" t="str">
        <f>IFERROR(VLOOKUP(VLOOKUP(C14,Input!$AC:$AG,5,0),Schedule!$T$3:$U$34,2,0),"")</f>
        <v/>
      </c>
    </row>
    <row r="22" spans="1:42" x14ac:dyDescent="0.25">
      <c r="A22" s="41" t="s">
        <v>601</v>
      </c>
      <c r="B22" s="153" t="str">
        <f>IFERROR(VLOOKUP(AN12,AL2:AM17,2,0),"")</f>
        <v/>
      </c>
      <c r="C22" s="153" t="str">
        <f>IFERROR(VLOOKUP(AN29,AL19:AM34,2,0),"")</f>
        <v/>
      </c>
      <c r="D22" s="153" t="str">
        <f>IFERROR(VLOOKUP(AN46,AL36:AM51,2,0),"")</f>
        <v/>
      </c>
      <c r="E22" s="153" t="str">
        <f>IFERROR(VLOOKUP(AN63,AL53:AM68,2,0),"")</f>
        <v/>
      </c>
      <c r="F22" s="153" t="str">
        <f>IFERROR(VLOOKUP(AN80,AL70:AM85,2,0),"")</f>
        <v/>
      </c>
      <c r="G22" s="153" t="str">
        <f>IFERROR(VLOOKUP(AN97,AL87:AM102,2,0),"")</f>
        <v/>
      </c>
      <c r="H22" s="153" t="str">
        <f>IFERROR(VLOOKUP(AN114,AL104:AM119,2,0),"")</f>
        <v/>
      </c>
      <c r="I22" s="153" t="str">
        <f>IFERROR(VLOOKUP(AN131,AL121:AM136,2,0),"")</f>
        <v/>
      </c>
      <c r="J22" s="153" t="str">
        <f>IFERROR(VLOOKUP(AN148,AL138:AM153,2,0),"")</f>
        <v/>
      </c>
      <c r="K22" s="153" t="str">
        <f>IFERROR(VLOOKUP(AN165,AL155:AM170,2,0),"")</f>
        <v/>
      </c>
      <c r="L22" s="271" t="str">
        <f t="array" ref="L22">IF(L12:L21="","",IF('Draft Center'!$B$22="",INDEX(Players!$B$1:$B$885,MATCH(LARGE(IF(Players!$AH$1:$AH$885&lt;&gt;1,IF(Players!$D$1:$D$885="QB",IF(Players!$K$1:$K$885&lt;&gt;M12,IF(Players!$K$1:$K$885&lt;&gt;M13,Players!$O$1:$O$885)))),1),Players!$O$1:$O$885,0)),'Draft Center'!$B$22))</f>
        <v>Aaron Rodgers</v>
      </c>
      <c r="M22" s="28">
        <f>IFERROR(VLOOKUP(L22,Players!$B:$R,COLUMN(Players!K:K)-1,0),"")</f>
        <v>8</v>
      </c>
      <c r="N22" s="34">
        <f>IF(B77&gt;1,B77,INDEX(Players!$R$2:$R$930,MATCH(L22,Players!$B$2:$B$930,0)))</f>
        <v>47</v>
      </c>
      <c r="P22" s="228" t="str">
        <f t="array" ref="P22">IFERROR(INDEX(Players!$B$2:$B$930,MATCH(LARGE(IF(ISNUMBER(MATCH(Players!$U$2:$U$930,$N$2,0)),IF(Players!$P$2:$P$930&lt;&gt;0,IF(Players!$W$2:$W$930&gt;1.1,Players!$W$2:$W$930))),ROW()-2),Players!$W$2:$W$930,0)),"")</f>
        <v>Jordan Howard</v>
      </c>
      <c r="Q22" s="34">
        <f>IFERROR(INDEX(Players!$W$2:$W$930,MATCH(P22,Players!$B$2:$B$930,0)),"")</f>
        <v>10.600100000000001</v>
      </c>
      <c r="R22" s="27" t="str">
        <f t="array" ref="R22">IFERROR(INDEX(Players!$B$2:$B$930,MATCH(SMALL(IF(ISNUMBER(MATCH(Players!$U$2:$U$930,$N$2,0)),IF(Players!$P$2:$P$930&lt;&gt;0,IF(Players!$W$2:$W$930&lt;0,Players!$W$2:$W$930))),ROW()-2),Players!$W$2:$W$930,0)),"")</f>
        <v>A.J. Green</v>
      </c>
      <c r="S22" s="34">
        <f>IFERROR(INDEX(Players!$W$2:$W$930,MATCH(R22,Players!$B$2:$B$930,0)),"")</f>
        <v>-8.299789999999998</v>
      </c>
      <c r="U22" s="68">
        <v>20</v>
      </c>
      <c r="V22" s="228" t="str">
        <f t="array" ref="V22">IFERROR(INDEX(Players!$B$2:$B$930,MATCH(LARGE(IF(ISNUMBER(MATCH(Players!$U$2:$U$930,$N$2,0)),IF(Players!$P$2:$P$930&lt;&gt;0,IF(Players!$D$2:$D$930=V$2,Players!$P$2:$P$930))),$U22),Players!$P$2:$P$930,0)),"")</f>
        <v>Carson Palmer</v>
      </c>
      <c r="W22" s="23" t="str">
        <f t="array" ref="W22">IFERROR(INDEX(Players!$B$2:$B$930,MATCH(LARGE(IF(ISNUMBER(MATCH(Players!$U$2:$U$930,$N$2,0)),IF(Players!$P$2:$P$930&lt;&gt;0,IF(Players!$D$2:$D$930=W$2,Players!$P$2:$P$930))),$U22),Players!$P$2:$P$930,0)),"")</f>
        <v>C.J. Anderson</v>
      </c>
      <c r="X22" s="23" t="str">
        <f t="array" ref="X22">IFERROR(INDEX(Players!$B$2:$B$930,MATCH(LARGE(IF(ISNUMBER(MATCH(Players!$U$2:$U$930,$N$2,0)),IF(Players!$P$2:$P$930&lt;&gt;0,IF(Players!$D$2:$D$930=X$2,Players!$P$2:$P$930))),$U22),Players!$P$2:$P$930,0)),"")</f>
        <v>Julian Edelman</v>
      </c>
      <c r="Y22" s="23" t="str">
        <f t="array" ref="Y22">IFERROR(INDEX(Players!$B$2:$B$930,MATCH(LARGE(IF(ISNUMBER(MATCH(Players!$U$2:$U$930,$N$2,0)),IF(Players!$P$2:$P$930&lt;&gt;0,IF(Players!$D$2:$D$930=Y$2,Players!$P$2:$P$930))),$U22),Players!$P$2:$P$930,0)),"")</f>
        <v>Julius Thomas</v>
      </c>
      <c r="Z22" s="23" t="str">
        <f t="array" ref="Z22">IFERROR(INDEX(Players!$B$2:$B$930,MATCH(LARGE(IF(ISNUMBER(MATCH(Players!$U$2:$U$930,$N$2,0)),IF(Players!$P$2:$P$930&lt;&gt;0,IF(Players!$D$2:$D$930=Z$2,Players!$P$2:$P$930))),$U22),Players!$P$2:$P$930,0)),"")</f>
        <v>Ryan Succop</v>
      </c>
      <c r="AA22" s="28" t="str">
        <f t="array" ref="AA22">IFERROR(INDEX(Players!$B$2:$B$930,MATCH(LARGE(IF(ISNUMBER(MATCH(Players!$U$2:$U$930,$N$2,0)),IF(Players!$P$2:$P$930&lt;&gt;0,IF(Players!$D$2:$D$930=AA$2,Players!$P$2:$P$930))),$U22),Players!$P$2:$P$930,0)),"")</f>
        <v>Dolphins</v>
      </c>
      <c r="AC22" s="39">
        <v>4</v>
      </c>
      <c r="AD22" s="27" t="str">
        <f>IFERROR(VLOOKUP(AD$18&amp;AC22,Input!$AB:$AC,2,0),"")</f>
        <v/>
      </c>
      <c r="AE22" s="281" t="str">
        <f>IFERROR(VLOOKUP(AD22,Input!$AC:$AH,6,0),"")</f>
        <v/>
      </c>
      <c r="AF22" s="281" t="e">
        <f>LARGE(AE19:AE34,AC22)</f>
        <v>#NUM!</v>
      </c>
      <c r="AG22" s="281" t="e">
        <f>VLOOKUP(AM22,Input!$AC:$AF,4,0)</f>
        <v>#NUM!</v>
      </c>
      <c r="AH22" s="281" t="e">
        <f>AG22&amp;COUNTIF(AG19:AG22,AG22)</f>
        <v>#NUM!</v>
      </c>
      <c r="AI22" s="281" t="e">
        <f t="shared" si="1"/>
        <v>#NUM!</v>
      </c>
      <c r="AJ22" s="281" t="e">
        <f>AI22&amp;COUNTIF(AI19:AI22,AI22)</f>
        <v>#NUM!</v>
      </c>
      <c r="AK22" s="281" t="str">
        <f>IFERROR(VLOOKUP(AM22,C12:C21,1,0),"B")</f>
        <v>B</v>
      </c>
      <c r="AL22" s="281" t="str">
        <f>AK22&amp;COUNTIF(AK19:AK22,AK22)</f>
        <v>B4</v>
      </c>
      <c r="AM22" s="281" t="e">
        <f t="array" ref="AM22">INDEX(AD$19:AD$34,SMALL(IF(AE$19:AE$34=AF22,ROW(AE$19:AE$34)-ROW(AF$19)+1),COUNTIF(AF$19:AF22,AF22)))</f>
        <v>#NUM!</v>
      </c>
      <c r="AN22" s="41" t="s">
        <v>594</v>
      </c>
      <c r="AO22" s="281" t="str">
        <f>IFERROR(VLOOKUP(C15,Input!$AC:$AH,6,0),"")</f>
        <v/>
      </c>
      <c r="AP22" s="281" t="str">
        <f>IFERROR(VLOOKUP(VLOOKUP(C15,Input!$AC:$AG,5,0),Schedule!$T$3:$U$34,2,0),"")</f>
        <v/>
      </c>
    </row>
    <row r="23" spans="1:42" x14ac:dyDescent="0.25">
      <c r="A23" s="41" t="s">
        <v>602</v>
      </c>
      <c r="B23" s="152" t="str">
        <f>IFERROR(VLOOKUP(AN13,AL2:AM17,2,0),"")</f>
        <v/>
      </c>
      <c r="C23" s="152" t="str">
        <f>IFERROR(VLOOKUP(AN30,AL19:AM34,2,0),"")</f>
        <v/>
      </c>
      <c r="D23" s="152" t="str">
        <f>IFERROR(VLOOKUP(AN47,AL36:AM51,2,0),"")</f>
        <v/>
      </c>
      <c r="E23" s="152" t="str">
        <f>IFERROR(VLOOKUP(AN64,AL53:AM68,2,0),"")</f>
        <v/>
      </c>
      <c r="F23" s="152" t="str">
        <f>IFERROR(VLOOKUP(AN81,AL70:AM85,2,0),"")</f>
        <v/>
      </c>
      <c r="G23" s="152" t="str">
        <f>IFERROR(VLOOKUP(AN98,AL87:AM102,2,0),"")</f>
        <v/>
      </c>
      <c r="H23" s="152" t="str">
        <f>IFERROR(VLOOKUP(AN115,AL104:AM119,2,0),"")</f>
        <v/>
      </c>
      <c r="I23" s="152" t="str">
        <f>IFERROR(VLOOKUP(AN132,AL121:AM136,2,0),"")</f>
        <v/>
      </c>
      <c r="J23" s="152" t="str">
        <f>IFERROR(VLOOKUP(AN149,AL138:AM153,2,0),"")</f>
        <v/>
      </c>
      <c r="K23" s="152" t="str">
        <f>IFERROR(VLOOKUP(AN166,AL155:AM170,2,0),"")</f>
        <v/>
      </c>
      <c r="L23" s="151" t="str">
        <f t="array" ref="L23">IF(L12:L21="","",IF('Draft Center'!$B$23="",INDEX(Players!$B$1:$B$885,MATCH(LARGE(IF(Players!$AH$1:$AH$885&lt;&gt;1,IF(Players!$D$1:$D$885="RB",IF(Players!$K$1:$K$885&lt;&gt;M14,IF(Players!$K$1:$K$885&lt;&gt;M15,Players!$O$1:$O$885)))),1),Players!$O$1:$O$885,0)),'Draft Center'!$B$23))</f>
        <v>David Johnson</v>
      </c>
      <c r="M23" s="28">
        <f>IFERROR(VLOOKUP(L23,Players!$B:$R,COLUMN(Players!K:K)-1,0),"")</f>
        <v>8</v>
      </c>
      <c r="N23" s="34">
        <f>IF(B78&gt;1,B78,INDEX(Players!$R$2:$R$930,MATCH(L23,Players!$B$2:$B$930,0)))</f>
        <v>124</v>
      </c>
      <c r="P23" s="228" t="str">
        <f t="array" ref="P23">IFERROR(INDEX(Players!$B$2:$B$930,MATCH(LARGE(IF(ISNUMBER(MATCH(Players!$U$2:$U$930,$N$2,0)),IF(Players!$P$2:$P$930&lt;&gt;0,IF(Players!$W$2:$W$930&gt;1.1,Players!$W$2:$W$930))),ROW()-2),Players!$W$2:$W$930,0)),"")</f>
        <v>Patriots</v>
      </c>
      <c r="Q23" s="34">
        <f>IFERROR(INDEX(Players!$W$2:$W$930,MATCH(P23,Players!$B$2:$B$930,0)),"")</f>
        <v>9.7005400000000002</v>
      </c>
      <c r="R23" s="27" t="str">
        <f t="array" ref="R23">IFERROR(INDEX(Players!$B$2:$B$930,MATCH(SMALL(IF(ISNUMBER(MATCH(Players!$U$2:$U$930,$N$2,0)),IF(Players!$P$2:$P$930&lt;&gt;0,IF(Players!$W$2:$W$930&lt;0,Players!$W$2:$W$930))),ROW()-2),Players!$W$2:$W$930,0)),"")</f>
        <v>Jarvis Landry</v>
      </c>
      <c r="S23" s="34">
        <f>IFERROR(INDEX(Players!$W$2:$W$930,MATCH(R23,Players!$B$2:$B$930,0)),"")</f>
        <v>-8.0995500000000007</v>
      </c>
      <c r="U23" s="68">
        <v>21</v>
      </c>
      <c r="V23" s="228" t="str">
        <f t="array" ref="V23">IFERROR(INDEX(Players!$B$2:$B$930,MATCH(LARGE(IF(ISNUMBER(MATCH(Players!$U$2:$U$930,$N$2,0)),IF(Players!$P$2:$P$930&lt;&gt;0,IF(Players!$D$2:$D$930=V$2,Players!$P$2:$P$930))),$U23),Players!$P$2:$P$930,0)),"")</f>
        <v>Eli Manning</v>
      </c>
      <c r="W23" s="23" t="str">
        <f t="array" ref="W23">IFERROR(INDEX(Players!$B$2:$B$930,MATCH(LARGE(IF(ISNUMBER(MATCH(Players!$U$2:$U$930,$N$2,0)),IF(Players!$P$2:$P$930&lt;&gt;0,IF(Players!$D$2:$D$930=W$2,Players!$P$2:$P$930))),$U23),Players!$P$2:$P$930,0)),"")</f>
        <v>Danny Woodhead</v>
      </c>
      <c r="X23" s="23" t="str">
        <f t="array" ref="X23">IFERROR(INDEX(Players!$B$2:$B$930,MATCH(LARGE(IF(ISNUMBER(MATCH(Players!$U$2:$U$930,$N$2,0)),IF(Players!$P$2:$P$930&lt;&gt;0,IF(Players!$D$2:$D$930=X$2,Players!$P$2:$P$930))),$U23),Players!$P$2:$P$930,0)),"")</f>
        <v>Tyreek Hill</v>
      </c>
      <c r="Y23" s="23" t="str">
        <f t="array" ref="Y23">IFERROR(INDEX(Players!$B$2:$B$930,MATCH(LARGE(IF(ISNUMBER(MATCH(Players!$U$2:$U$930,$N$2,0)),IF(Players!$P$2:$P$930&lt;&gt;0,IF(Players!$D$2:$D$930=Y$2,Players!$P$2:$P$930))),$U23),Players!$P$2:$P$930,0)),"")</f>
        <v>Antonio Gates</v>
      </c>
      <c r="Z23" s="23" t="str">
        <f t="array" ref="Z23">IFERROR(INDEX(Players!$B$2:$B$930,MATCH(LARGE(IF(ISNUMBER(MATCH(Players!$U$2:$U$930,$N$2,0)),IF(Players!$P$2:$P$930&lt;&gt;0,IF(Players!$D$2:$D$930=Z$2,Players!$P$2:$P$930))),$U23),Players!$P$2:$P$930,0)),"")</f>
        <v>Josh Lambo</v>
      </c>
      <c r="AA23" s="28" t="str">
        <f t="array" ref="AA23">IFERROR(INDEX(Players!$B$2:$B$930,MATCH(LARGE(IF(ISNUMBER(MATCH(Players!$U$2:$U$930,$N$2,0)),IF(Players!$P$2:$P$930&lt;&gt;0,IF(Players!$D$2:$D$930=AA$2,Players!$P$2:$P$930))),$U23),Players!$P$2:$P$930,0)),"")</f>
        <v>Bills</v>
      </c>
      <c r="AC23" s="39">
        <v>5</v>
      </c>
      <c r="AD23" s="27" t="str">
        <f>IFERROR(VLOOKUP(AD$18&amp;AC23,Input!$AB:$AC,2,0),"")</f>
        <v/>
      </c>
      <c r="AE23" s="281" t="str">
        <f>IFERROR(VLOOKUP(AD23,Input!$AC:$AH,6,0),"")</f>
        <v/>
      </c>
      <c r="AF23" s="281" t="e">
        <f>LARGE(AE19:AE34,AC23)</f>
        <v>#NUM!</v>
      </c>
      <c r="AG23" s="281" t="e">
        <f>VLOOKUP(AM23,Input!$AC:$AF,4,0)</f>
        <v>#NUM!</v>
      </c>
      <c r="AH23" s="281" t="e">
        <f>AG23&amp;COUNTIF(AG19:AG23,AG23)</f>
        <v>#NUM!</v>
      </c>
      <c r="AI23" s="281" t="e">
        <f t="shared" si="1"/>
        <v>#NUM!</v>
      </c>
      <c r="AJ23" s="281" t="e">
        <f>AI23&amp;COUNTIF(AI19:AI23,AI23)</f>
        <v>#NUM!</v>
      </c>
      <c r="AK23" s="281" t="str">
        <f>IFERROR(VLOOKUP(AM23,C12:C21,1,0),"B")</f>
        <v>B</v>
      </c>
      <c r="AL23" s="281" t="str">
        <f>AK23&amp;COUNTIF(AK19:AK23,AK23)</f>
        <v>B5</v>
      </c>
      <c r="AM23" s="281" t="e">
        <f t="array" ref="AM23">INDEX(AD$19:AD$34,SMALL(IF(AE$19:AE$34=AF23,ROW(AE$19:AE$34)-ROW(AF$19)+1),COUNTIF(AF$19:AF23,AF23)))</f>
        <v>#NUM!</v>
      </c>
      <c r="AN23" s="41" t="s">
        <v>595</v>
      </c>
      <c r="AO23" s="281" t="str">
        <f>IFERROR(VLOOKUP(C16,Input!$AC:$AH,6,0),"")</f>
        <v/>
      </c>
      <c r="AP23" s="281" t="str">
        <f>IFERROR(VLOOKUP(VLOOKUP(C16,Input!$AC:$AG,5,0),Schedule!$T$3:$U$34,2,0),"")</f>
        <v/>
      </c>
    </row>
    <row r="24" spans="1:42" x14ac:dyDescent="0.25">
      <c r="A24" s="41" t="s">
        <v>603</v>
      </c>
      <c r="B24" s="152" t="str">
        <f>IFERROR(VLOOKUP(AN14,AL2:AM17,2,0),"")</f>
        <v/>
      </c>
      <c r="C24" s="152" t="str">
        <f>IFERROR(VLOOKUP(AN31,AL19:AM34,2,0),"")</f>
        <v/>
      </c>
      <c r="D24" s="152" t="str">
        <f>IFERROR(VLOOKUP(AN48,AL36:AM51,2,0),"")</f>
        <v/>
      </c>
      <c r="E24" s="152" t="str">
        <f>IFERROR(VLOOKUP(AN65,AL53:AM68,2,0),"")</f>
        <v/>
      </c>
      <c r="F24" s="152" t="str">
        <f>IFERROR(VLOOKUP(AN82,AL70:AM85,2,0),"")</f>
        <v/>
      </c>
      <c r="G24" s="152" t="str">
        <f>IFERROR(VLOOKUP(AN99,AL87:AM102,2,0),"")</f>
        <v/>
      </c>
      <c r="H24" s="152" t="str">
        <f>IFERROR(VLOOKUP(AN116,AL104:AM119,2,0),"")</f>
        <v/>
      </c>
      <c r="I24" s="152" t="str">
        <f>IFERROR(VLOOKUP(AN133,AL121:AM136,2,0),"")</f>
        <v/>
      </c>
      <c r="J24" s="152" t="str">
        <f>IFERROR(VLOOKUP(AN150,AL138:AM153,2,0),"")</f>
        <v/>
      </c>
      <c r="K24" s="152" t="str">
        <f>IFERROR(VLOOKUP(AN167,AL155:AM170,2,0),"")</f>
        <v/>
      </c>
      <c r="L24" s="151" t="str">
        <f t="array" ref="L24">IF(L12:L21="","",IF('Draft Center'!$B$24="",INDEX(Players!$B$1:$B$885,MATCH(LARGE(IF(Players!$AH$1:$AH$885&lt;&gt;1,IF(Players!$D$1:$D$885="WR",IF(Players!$K$1:$K$885&lt;&gt;M16,IF(Players!$K$1:$K$885&lt;&gt;M17,Players!$O$1:$O$885)))),1),Players!$O$1:$O$885,0)),'Draft Center'!$B$24))</f>
        <v>Antonio Brown</v>
      </c>
      <c r="M24" s="28">
        <f>IFERROR(VLOOKUP(L24,Players!$B:$R,COLUMN(Players!K:K)-1,0),"")</f>
        <v>9</v>
      </c>
      <c r="N24" s="34">
        <f>IF(B79&gt;1,B79,INDEX(Players!$R$2:$R$930,MATCH(L24,Players!$B$2:$B$930,0)))</f>
        <v>74</v>
      </c>
      <c r="P24" s="228" t="str">
        <f t="array" ref="P24">IFERROR(INDEX(Players!$B$2:$B$930,MATCH(LARGE(IF(ISNUMBER(MATCH(Players!$U$2:$U$930,$N$2,0)),IF(Players!$P$2:$P$930&lt;&gt;0,IF(Players!$W$2:$W$930&gt;1.1,Players!$W$2:$W$930))),ROW()-2),Players!$W$2:$W$930,0)),"")</f>
        <v>Stephen Gostkowski</v>
      </c>
      <c r="Q24" s="34">
        <f>IFERROR(INDEX(Players!$W$2:$W$930,MATCH(P24,Players!$B$2:$B$930,0)),"")</f>
        <v>9.6005000000000003</v>
      </c>
      <c r="R24" s="27" t="str">
        <f t="array" ref="R24">IFERROR(INDEX(Players!$B$2:$B$930,MATCH(SMALL(IF(ISNUMBER(MATCH(Players!$U$2:$U$930,$N$2,0)),IF(Players!$P$2:$P$930&lt;&gt;0,IF(Players!$W$2:$W$930&lt;0,Players!$W$2:$W$930))),ROW()-2),Players!$W$2:$W$930,0)),"")</f>
        <v>Marshawn Lynch</v>
      </c>
      <c r="S24" s="34">
        <f>IFERROR(INDEX(Players!$W$2:$W$930,MATCH(R24,Players!$B$2:$B$930,0)),"")</f>
        <v>-7.4996400000000003</v>
      </c>
      <c r="U24" s="68">
        <v>22</v>
      </c>
      <c r="V24" s="228" t="str">
        <f t="array" ref="V24">IFERROR(INDEX(Players!$B$2:$B$930,MATCH(LARGE(IF(ISNUMBER(MATCH(Players!$U$2:$U$930,$N$2,0)),IF(Players!$P$2:$P$930&lt;&gt;0,IF(Players!$D$2:$D$930=V$2,Players!$P$2:$P$930))),$U24),Players!$P$2:$P$930,0)),"")</f>
        <v>Ryan Tannehill</v>
      </c>
      <c r="W24" s="23" t="str">
        <f t="array" ref="W24">IFERROR(INDEX(Players!$B$2:$B$930,MATCH(LARGE(IF(ISNUMBER(MATCH(Players!$U$2:$U$930,$N$2,0)),IF(Players!$P$2:$P$930&lt;&gt;0,IF(Players!$D$2:$D$930=W$2,Players!$P$2:$P$930))),$U24),Players!$P$2:$P$930,0)),"")</f>
        <v>Carlos Hyde</v>
      </c>
      <c r="X24" s="23" t="str">
        <f t="array" ref="X24">IFERROR(INDEX(Players!$B$2:$B$930,MATCH(LARGE(IF(ISNUMBER(MATCH(Players!$U$2:$U$930,$N$2,0)),IF(Players!$P$2:$P$930&lt;&gt;0,IF(Players!$D$2:$D$930=X$2,Players!$P$2:$P$930))),$U24),Players!$P$2:$P$930,0)),"")</f>
        <v>Sammy Watkins</v>
      </c>
      <c r="Y24" s="23" t="str">
        <f t="array" ref="Y24">IFERROR(INDEX(Players!$B$2:$B$930,MATCH(LARGE(IF(ISNUMBER(MATCH(Players!$U$2:$U$930,$N$2,0)),IF(Players!$P$2:$P$930&lt;&gt;0,IF(Players!$D$2:$D$930=Y$2,Players!$P$2:$P$930))),$U24),Players!$P$2:$P$930,0)),"")</f>
        <v>Austin Hooper</v>
      </c>
      <c r="Z24" s="23" t="str">
        <f t="array" ref="Z24">IFERROR(INDEX(Players!$B$2:$B$930,MATCH(LARGE(IF(ISNUMBER(MATCH(Players!$U$2:$U$930,$N$2,0)),IF(Players!$P$2:$P$930&lt;&gt;0,IF(Players!$D$2:$D$930=Z$2,Players!$P$2:$P$930))),$U24),Players!$P$2:$P$930,0)),"")</f>
        <v>Phil Dawson</v>
      </c>
      <c r="AA24" s="28" t="str">
        <f t="array" ref="AA24">IFERROR(INDEX(Players!$B$2:$B$930,MATCH(LARGE(IF(ISNUMBER(MATCH(Players!$U$2:$U$930,$N$2,0)),IF(Players!$P$2:$P$930&lt;&gt;0,IF(Players!$D$2:$D$930=AA$2,Players!$P$2:$P$930))),$U24),Players!$P$2:$P$930,0)),"")</f>
        <v>Jaguars</v>
      </c>
      <c r="AC24" s="39">
        <v>6</v>
      </c>
      <c r="AD24" s="27" t="str">
        <f>IFERROR(VLOOKUP(AD$18&amp;AC24,Input!$AB:$AC,2,0),"")</f>
        <v/>
      </c>
      <c r="AE24" s="281" t="str">
        <f>IFERROR(VLOOKUP(AD24,Input!$AC:$AH,6,0),"")</f>
        <v/>
      </c>
      <c r="AF24" s="281" t="e">
        <f>LARGE(AE19:AE34,AC24)</f>
        <v>#NUM!</v>
      </c>
      <c r="AG24" s="281" t="e">
        <f>VLOOKUP(AM24,Input!$AC:$AF,4,0)</f>
        <v>#NUM!</v>
      </c>
      <c r="AH24" s="281" t="e">
        <f>AG24&amp;COUNTIF(AG19:AG24,AG24)</f>
        <v>#NUM!</v>
      </c>
      <c r="AI24" s="281" t="e">
        <f t="shared" si="1"/>
        <v>#NUM!</v>
      </c>
      <c r="AJ24" s="281" t="e">
        <f>AI24&amp;COUNTIF(AI19:AI24,AI24)</f>
        <v>#NUM!</v>
      </c>
      <c r="AK24" s="281" t="str">
        <f>IFERROR(VLOOKUP(AM24,C12:C21,1,0),"B")</f>
        <v>B</v>
      </c>
      <c r="AL24" s="281" t="str">
        <f>AK24&amp;COUNTIF(AK19:AK24,AK24)</f>
        <v>B6</v>
      </c>
      <c r="AM24" s="281" t="e">
        <f t="array" ref="AM24">INDEX(AD$19:AD$34,SMALL(IF(AE$19:AE$34=AF24,ROW(AE$19:AE$34)-ROW(AF$19)+1),COUNTIF(AF$19:AF24,AF24)))</f>
        <v>#NUM!</v>
      </c>
      <c r="AN24" s="41" t="s">
        <v>596</v>
      </c>
      <c r="AO24" s="281" t="str">
        <f>IFERROR(VLOOKUP(C17,Input!$AC:$AH,6,0),"")</f>
        <v/>
      </c>
      <c r="AP24" s="281" t="str">
        <f>IFERROR(VLOOKUP(VLOOKUP(C17,Input!$AC:$AG,5,0),Schedule!$T$3:$U$34,2,0),"")</f>
        <v/>
      </c>
    </row>
    <row r="25" spans="1:42" x14ac:dyDescent="0.25">
      <c r="A25" s="41" t="s">
        <v>604</v>
      </c>
      <c r="B25" s="152" t="str">
        <f>IFERROR(VLOOKUP(AN15,AL2:AM17,2,0),"")</f>
        <v/>
      </c>
      <c r="C25" s="152" t="str">
        <f>IFERROR(VLOOKUP(AN32,AL19:AM34,2,0),"")</f>
        <v/>
      </c>
      <c r="D25" s="152" t="str">
        <f>IFERROR(VLOOKUP(AN49,AL36:AM51,2,0),"")</f>
        <v/>
      </c>
      <c r="E25" s="152" t="str">
        <f>IFERROR(VLOOKUP(AN66,AL53:AM68,2,0),"")</f>
        <v/>
      </c>
      <c r="F25" s="152" t="str">
        <f>IFERROR(VLOOKUP(AN83,AL70:AM85,2,0),"")</f>
        <v/>
      </c>
      <c r="G25" s="152" t="str">
        <f>IFERROR(VLOOKUP(AN100,AL87:AM102,2,0),"")</f>
        <v/>
      </c>
      <c r="H25" s="152" t="str">
        <f>IFERROR(VLOOKUP(AN117,AL104:AM119,2,0),"")</f>
        <v/>
      </c>
      <c r="I25" s="152" t="str">
        <f>IFERROR(VLOOKUP(AN134,AL121:AM136,2,0),"")</f>
        <v/>
      </c>
      <c r="J25" s="152" t="str">
        <f>IFERROR(VLOOKUP(AN151,AL138:AM153,2,0),"")</f>
        <v/>
      </c>
      <c r="K25" s="152" t="str">
        <f>IFERROR(VLOOKUP(AN168,AL155:AM170,2,0),"")</f>
        <v/>
      </c>
      <c r="L25" s="151" t="str">
        <f t="array" ref="L25">IF(L12:L21="","",IF('Draft Center'!$B$25="",INDEX(Players!$B$1:$B$885,MATCH(LARGE(IF(Players!$AH$1:$AH$885&lt;&gt;1,IF(Players!$D$1:$D$885="TE",IF(Players!$K$1:$K$885&lt;&gt;M18,Players!$O$1:$O$885))),1),Players!$O$1:$O$885,0)),'Draft Center'!$B$25))</f>
        <v>Rob Gronkowski</v>
      </c>
      <c r="M25" s="28">
        <f>IFERROR(VLOOKUP(L25,Players!$B:$R,COLUMN(Players!K:K)-1,0),"")</f>
        <v>9</v>
      </c>
      <c r="N25" s="34">
        <f>IF(B80&gt;1,B80,INDEX(Players!$R$2:$R$930,MATCH(L25,Players!$B$2:$B$930,0)))</f>
        <v>42</v>
      </c>
      <c r="P25" s="228" t="str">
        <f t="array" ref="P25">IFERROR(INDEX(Players!$B$2:$B$930,MATCH(LARGE(IF(ISNUMBER(MATCH(Players!$U$2:$U$930,$N$2,0)),IF(Players!$P$2:$P$930&lt;&gt;0,IF(Players!$W$2:$W$930&gt;1.1,Players!$W$2:$W$930))),ROW()-2),Players!$W$2:$W$930,0)),"")</f>
        <v>Broncos</v>
      </c>
      <c r="Q25" s="34">
        <f>IFERROR(INDEX(Players!$W$2:$W$930,MATCH(P25,Players!$B$2:$B$930,0)),"")</f>
        <v>9.4005100000000006</v>
      </c>
      <c r="R25" s="27" t="str">
        <f t="array" ref="R25">IFERROR(INDEX(Players!$B$2:$B$930,MATCH(SMALL(IF(ISNUMBER(MATCH(Players!$U$2:$U$930,$N$2,0)),IF(Players!$P$2:$P$930&lt;&gt;0,IF(Players!$W$2:$W$930&lt;0,Players!$W$2:$W$930))),ROW()-2),Players!$W$2:$W$930,0)),"")</f>
        <v>Frank Gore</v>
      </c>
      <c r="S25" s="34">
        <f>IFERROR(INDEX(Players!$W$2:$W$930,MATCH(R25,Players!$B$2:$B$930,0)),"")</f>
        <v>-6.79908</v>
      </c>
      <c r="U25" s="68">
        <v>23</v>
      </c>
      <c r="V25" s="228" t="str">
        <f t="array" ref="V25">IFERROR(INDEX(Players!$B$2:$B$930,MATCH(LARGE(IF(ISNUMBER(MATCH(Players!$U$2:$U$930,$N$2,0)),IF(Players!$P$2:$P$930&lt;&gt;0,IF(Players!$D$2:$D$930=V$2,Players!$P$2:$P$930))),$U25),Players!$P$2:$P$930,0)),"")</f>
        <v>Alex Smith</v>
      </c>
      <c r="W25" s="23" t="str">
        <f t="array" ref="W25">IFERROR(INDEX(Players!$B$2:$B$930,MATCH(LARGE(IF(ISNUMBER(MATCH(Players!$U$2:$U$930,$N$2,0)),IF(Players!$P$2:$P$930&lt;&gt;0,IF(Players!$D$2:$D$930=W$2,Players!$P$2:$P$930))),$U25),Players!$P$2:$P$930,0)),"")</f>
        <v>Spencer Ware</v>
      </c>
      <c r="X25" s="23" t="str">
        <f t="array" ref="X25">IFERROR(INDEX(Players!$B$2:$B$930,MATCH(LARGE(IF(ISNUMBER(MATCH(Players!$U$2:$U$930,$N$2,0)),IF(Players!$P$2:$P$930&lt;&gt;0,IF(Players!$D$2:$D$930=X$2,Players!$P$2:$P$930))),$U25),Players!$P$2:$P$930,0)),"")</f>
        <v>Terrelle Pryor</v>
      </c>
      <c r="Y25" s="23" t="str">
        <f t="array" ref="Y25">IFERROR(INDEX(Players!$B$2:$B$930,MATCH(LARGE(IF(ISNUMBER(MATCH(Players!$U$2:$U$930,$N$2,0)),IF(Players!$P$2:$P$930&lt;&gt;0,IF(Players!$D$2:$D$930=Y$2,Players!$P$2:$P$930))),$U25),Players!$P$2:$P$930,0)),"")</f>
        <v>O.J. Howard</v>
      </c>
      <c r="Z25" s="23" t="str">
        <f t="array" ref="Z25">IFERROR(INDEX(Players!$B$2:$B$930,MATCH(LARGE(IF(ISNUMBER(MATCH(Players!$U$2:$U$930,$N$2,0)),IF(Players!$P$2:$P$930&lt;&gt;0,IF(Players!$D$2:$D$930=Z$2,Players!$P$2:$P$930))),$U25),Players!$P$2:$P$930,0)),"")</f>
        <v>Steven Hauschka</v>
      </c>
      <c r="AA25" s="28" t="str">
        <f t="array" ref="AA25">IFERROR(INDEX(Players!$B$2:$B$930,MATCH(LARGE(IF(ISNUMBER(MATCH(Players!$U$2:$U$930,$N$2,0)),IF(Players!$P$2:$P$930&lt;&gt;0,IF(Players!$D$2:$D$930=AA$2,Players!$P$2:$P$930))),$U25),Players!$P$2:$P$930,0)),"")</f>
        <v>Raiders</v>
      </c>
      <c r="AC25" s="39">
        <v>7</v>
      </c>
      <c r="AD25" s="27" t="str">
        <f>IFERROR(VLOOKUP(AD$18&amp;AC25,Input!$AB:$AC,2,0),"")</f>
        <v/>
      </c>
      <c r="AE25" s="281" t="str">
        <f>IFERROR(VLOOKUP(AD25,Input!$AC:$AH,6,0),"")</f>
        <v/>
      </c>
      <c r="AF25" s="281" t="e">
        <f>LARGE(AE19:AE34,AC25)</f>
        <v>#NUM!</v>
      </c>
      <c r="AG25" s="281" t="e">
        <f>VLOOKUP(AM25,Input!$AC:$AF,4,0)</f>
        <v>#NUM!</v>
      </c>
      <c r="AH25" s="281" t="e">
        <f>AG25&amp;COUNTIF(AG19:AG25,AG25)</f>
        <v>#NUM!</v>
      </c>
      <c r="AI25" s="281" t="e">
        <f t="shared" si="1"/>
        <v>#NUM!</v>
      </c>
      <c r="AJ25" s="281" t="e">
        <f>AI25&amp;COUNTIF(AI19:AI25,AI25)</f>
        <v>#NUM!</v>
      </c>
      <c r="AK25" s="281" t="str">
        <f>IFERROR(VLOOKUP(AM25,C12:C21,1,0),"B")</f>
        <v>B</v>
      </c>
      <c r="AL25" s="281" t="str">
        <f>AK25&amp;COUNTIF(AK19:AK25,AK25)</f>
        <v>B7</v>
      </c>
      <c r="AM25" s="281" t="e">
        <f t="array" ref="AM25">INDEX(AD$19:AD$34,SMALL(IF(AE$19:AE$34=AF25,ROW(AE$19:AE$34)-ROW(AF$19)+1),COUNTIF(AF$19:AF25,AF25)))</f>
        <v>#NUM!</v>
      </c>
      <c r="AN25" s="41" t="s">
        <v>597</v>
      </c>
      <c r="AO25" s="281" t="str">
        <f>IFERROR(VLOOKUP(C18,Input!$AC:$AH,6,0),"")</f>
        <v/>
      </c>
      <c r="AP25" s="281" t="str">
        <f>IFERROR(VLOOKUP(VLOOKUP(C18,Input!$AC:$AG,5,0),Schedule!$T$3:$U$34,2,0),"")</f>
        <v/>
      </c>
    </row>
    <row r="26" spans="1:42" x14ac:dyDescent="0.25">
      <c r="A26" s="41" t="s">
        <v>605</v>
      </c>
      <c r="B26" s="152" t="str">
        <f>IFERROR(VLOOKUP(AN16,AL2:AM17,2,0),"")</f>
        <v/>
      </c>
      <c r="C26" s="152" t="str">
        <f>IFERROR(VLOOKUP(AN33,AL19:AM34,2,0),"")</f>
        <v/>
      </c>
      <c r="D26" s="152" t="str">
        <f>IFERROR(VLOOKUP(AN50,AL36:AM51,2,0),"")</f>
        <v/>
      </c>
      <c r="E26" s="152" t="str">
        <f>IFERROR(VLOOKUP(AN67,AL53:AM68,2,0),"")</f>
        <v/>
      </c>
      <c r="F26" s="152" t="str">
        <f>IFERROR(VLOOKUP(AN84,AL70:AM85,2,0),"")</f>
        <v/>
      </c>
      <c r="G26" s="152" t="str">
        <f>IFERROR(VLOOKUP(AN101,AL87:AM102,2,0),"")</f>
        <v/>
      </c>
      <c r="H26" s="152" t="str">
        <f>IFERROR(VLOOKUP(AN118,AL104:AM119,2,0),"")</f>
        <v/>
      </c>
      <c r="I26" s="152" t="str">
        <f>IFERROR(VLOOKUP(AN135,AL121:AM136,2,0),"")</f>
        <v/>
      </c>
      <c r="J26" s="152" t="str">
        <f>IFERROR(VLOOKUP(AN152,AL138:AM153,2,0),"")</f>
        <v/>
      </c>
      <c r="K26" s="152" t="str">
        <f>IFERROR(VLOOKUP(AN169,AL155:AM170,2,0),"")</f>
        <v/>
      </c>
      <c r="L26" s="151" t="str">
        <f t="array" ref="L26">IF(L12:L21="","",IF('Draft Center'!$B$26="",INDEX(Players!$B$1:$B$885,MATCH(LARGE(IF(Players!$AH$1:$AH$885&lt;&gt;1,IF(Players!$D$1:$D$885="RB",IF(Players!$K$1:$K$885&lt;&gt;M14,IF(Players!$K$1:$K$885&lt;&gt;M15,Players!$O$1:$O$885)))),2),Players!$O$1:$O$885,0)),'Draft Center'!$B$26))</f>
        <v>LeVeon Bell</v>
      </c>
      <c r="M26" s="28">
        <f>IFERROR(VLOOKUP(L26,Players!$B:$R,COLUMN(Players!K:K)-1,0),"")</f>
        <v>9</v>
      </c>
      <c r="N26" s="34">
        <f>IF(B81&gt;1,B81,INDEX(Players!$R$2:$R$930,MATCH(L26,Players!$B$2:$B$930,0)))</f>
        <v>113</v>
      </c>
      <c r="P26" s="228" t="str">
        <f t="array" ref="P26">IFERROR(INDEX(Players!$B$2:$B$930,MATCH(LARGE(IF(ISNUMBER(MATCH(Players!$U$2:$U$930,$N$2,0)),IF(Players!$P$2:$P$930&lt;&gt;0,IF(Players!$W$2:$W$930&gt;1.1,Players!$W$2:$W$930))),ROW()-2),Players!$W$2:$W$930,0)),"")</f>
        <v>Bilal Powell</v>
      </c>
      <c r="Q26" s="34">
        <f>IFERROR(INDEX(Players!$W$2:$W$930,MATCH(P26,Players!$B$2:$B$930,0)),"")</f>
        <v>8.7003499999999985</v>
      </c>
      <c r="R26" s="27" t="str">
        <f t="array" ref="R26">IFERROR(INDEX(Players!$B$2:$B$930,MATCH(SMALL(IF(ISNUMBER(MATCH(Players!$U$2:$U$930,$N$2,0)),IF(Players!$P$2:$P$930&lt;&gt;0,IF(Players!$W$2:$W$930&lt;0,Players!$W$2:$W$930))),ROW()-2),Players!$W$2:$W$930,0)),"")</f>
        <v>Eddie Lacy</v>
      </c>
      <c r="S26" s="34">
        <f>IFERROR(INDEX(Players!$W$2:$W$930,MATCH(R26,Players!$B$2:$B$930,0)),"")</f>
        <v>-6.6986400000000001</v>
      </c>
      <c r="U26" s="68">
        <v>24</v>
      </c>
      <c r="V26" s="228" t="str">
        <f t="array" ref="V26">IFERROR(INDEX(Players!$B$2:$B$930,MATCH(LARGE(IF(ISNUMBER(MATCH(Players!$U$2:$U$930,$N$2,0)),IF(Players!$P$2:$P$930&lt;&gt;0,IF(Players!$D$2:$D$930=V$2,Players!$P$2:$P$930))),$U26),Players!$P$2:$P$930,0)),"")</f>
        <v>Joe Flacco</v>
      </c>
      <c r="W26" s="23" t="str">
        <f t="array" ref="W26">IFERROR(INDEX(Players!$B$2:$B$930,MATCH(LARGE(IF(ISNUMBER(MATCH(Players!$U$2:$U$930,$N$2,0)),IF(Players!$P$2:$P$930&lt;&gt;0,IF(Players!$D$2:$D$930=W$2,Players!$P$2:$P$930))),$U26),Players!$P$2:$P$930,0)),"")</f>
        <v>Tevin Coleman</v>
      </c>
      <c r="X26" s="23" t="str">
        <f t="array" ref="X26">IFERROR(INDEX(Players!$B$2:$B$930,MATCH(LARGE(IF(ISNUMBER(MATCH(Players!$U$2:$U$930,$N$2,0)),IF(Players!$P$2:$P$930&lt;&gt;0,IF(Players!$D$2:$D$930=X$2,Players!$P$2:$P$930))),$U26),Players!$P$2:$P$930,0)),"")</f>
        <v>Alshon Jeffery</v>
      </c>
      <c r="Y26" s="23" t="str">
        <f t="array" ref="Y26">IFERROR(INDEX(Players!$B$2:$B$930,MATCH(LARGE(IF(ISNUMBER(MATCH(Players!$U$2:$U$930,$N$2,0)),IF(Players!$P$2:$P$930&lt;&gt;0,IF(Players!$D$2:$D$930=Y$2,Players!$P$2:$P$930))),$U26),Players!$P$2:$P$930,0)),"")</f>
        <v>David Njoku</v>
      </c>
      <c r="Z26" s="23" t="str">
        <f t="array" ref="Z26">IFERROR(INDEX(Players!$B$2:$B$930,MATCH(LARGE(IF(ISNUMBER(MATCH(Players!$U$2:$U$930,$N$2,0)),IF(Players!$P$2:$P$930&lt;&gt;0,IF(Players!$D$2:$D$930=Z$2,Players!$P$2:$P$930))),$U26),Players!$P$2:$P$930,0)),"")</f>
        <v>Robbie Gould</v>
      </c>
      <c r="AA26" s="28" t="str">
        <f t="array" ref="AA26">IFERROR(INDEX(Players!$B$2:$B$930,MATCH(LARGE(IF(ISNUMBER(MATCH(Players!$U$2:$U$930,$N$2,0)),IF(Players!$P$2:$P$930&lt;&gt;0,IF(Players!$D$2:$D$930=AA$2,Players!$P$2:$P$930))),$U26),Players!$P$2:$P$930,0)),"")</f>
        <v>Chargers</v>
      </c>
      <c r="AC26" s="39">
        <v>8</v>
      </c>
      <c r="AD26" s="27" t="str">
        <f>IFERROR(VLOOKUP(AD$18&amp;AC26,Input!$AB:$AC,2,0),"")</f>
        <v/>
      </c>
      <c r="AE26" s="281" t="str">
        <f>IFERROR(VLOOKUP(AD26,Input!$AC:$AH,6,0),"")</f>
        <v/>
      </c>
      <c r="AF26" s="281" t="e">
        <f>LARGE(AE19:AE34,AC26)</f>
        <v>#NUM!</v>
      </c>
      <c r="AG26" s="281" t="e">
        <f>VLOOKUP(AM26,Input!$AC:$AF,4,0)</f>
        <v>#NUM!</v>
      </c>
      <c r="AH26" s="281" t="e">
        <f>AG26&amp;COUNTIF(AG19:AG26,AG26)</f>
        <v>#NUM!</v>
      </c>
      <c r="AI26" s="281" t="e">
        <f t="shared" si="1"/>
        <v>#NUM!</v>
      </c>
      <c r="AJ26" s="281" t="e">
        <f>AI26&amp;COUNTIF(AI19:AI26,AI26)</f>
        <v>#NUM!</v>
      </c>
      <c r="AK26" s="281" t="str">
        <f>IFERROR(VLOOKUP(AM26,C12:C21,1,0),"B")</f>
        <v>B</v>
      </c>
      <c r="AL26" s="281" t="str">
        <f>AK26&amp;COUNTIF(AK19:AK26,AK26)</f>
        <v>B8</v>
      </c>
      <c r="AM26" s="281" t="e">
        <f t="array" ref="AM26">INDEX(AD$19:AD$34,SMALL(IF(AE$19:AE$34=AF26,ROW(AE$19:AE$34)-ROW(AF$19)+1),COUNTIF(AF$19:AF26,AF26)))</f>
        <v>#NUM!</v>
      </c>
      <c r="AN26" s="41" t="s">
        <v>598</v>
      </c>
      <c r="AO26" s="281" t="str">
        <f>IFERROR(VLOOKUP(C19,Input!$AC:$AH,6,0),"")</f>
        <v/>
      </c>
      <c r="AP26" s="281" t="str">
        <f>IFERROR(VLOOKUP(VLOOKUP(C19,Input!$AC:$AG,5,0),Schedule!$T$3:$U$34,2,0),"")</f>
        <v/>
      </c>
    </row>
    <row r="27" spans="1:42" ht="15.75" thickBot="1" x14ac:dyDescent="0.3">
      <c r="A27" s="42" t="s">
        <v>606</v>
      </c>
      <c r="B27" s="155" t="str">
        <f>IFERROR(VLOOKUP(AN17,AL2:AM17,2,0),"")</f>
        <v/>
      </c>
      <c r="C27" s="155" t="str">
        <f>IFERROR(VLOOKUP(AN34,AL19:AM34,2,0),"")</f>
        <v/>
      </c>
      <c r="D27" s="155" t="str">
        <f>IFERROR(VLOOKUP(AN51,AL36:AM51,2,0),"")</f>
        <v/>
      </c>
      <c r="E27" s="155" t="str">
        <f>IFERROR(VLOOKUP(AN68,AL53:AM68,2,0),"")</f>
        <v/>
      </c>
      <c r="F27" s="155" t="str">
        <f>IFERROR(VLOOKUP(AN85,AL70:AM85,2,0),"")</f>
        <v/>
      </c>
      <c r="G27" s="155" t="str">
        <f>IFERROR(VLOOKUP(AN102,AL87:AM102,2,0),"")</f>
        <v/>
      </c>
      <c r="H27" s="155" t="str">
        <f>IFERROR(VLOOKUP(AN119,AL104:AM119,2,0),"")</f>
        <v/>
      </c>
      <c r="I27" s="155" t="str">
        <f>IFERROR(VLOOKUP(AN136,AL121:AM136,2,0),"")</f>
        <v/>
      </c>
      <c r="J27" s="155" t="str">
        <f>IFERROR(VLOOKUP(AN153,AL138:AM153,2,0),"")</f>
        <v/>
      </c>
      <c r="K27" s="155" t="str">
        <f>IFERROR(VLOOKUP(AN170,AL155:AM170,2,0),"")</f>
        <v/>
      </c>
      <c r="L27" s="156" t="str">
        <f t="array" ref="L27">IF(L12:L21="","",IF('Draft Center'!$B$27="",INDEX(Players!$B$1:$B$885,MATCH(LARGE(IF(Players!$AH$1:$AH$885&lt;&gt;1,IF(Players!$D$1:$D$885="WR",IF(Players!$K$1:$K$885&lt;&gt;M16,IF(Players!$K$1:$K$885&lt;&gt;M17,Players!$O$1:$O$885)))),2),Players!$O$1:$O$885,0)),'Draft Center'!$B$27))</f>
        <v>Julio Jones</v>
      </c>
      <c r="M27" s="31">
        <f>IFERROR(VLOOKUP(L27,Players!$B:$R,COLUMN(Players!K:K)-1,0),"")</f>
        <v>5</v>
      </c>
      <c r="N27" s="37">
        <f>IF(B82&gt;1,B82,INDEX(Players!$R$2:$R$930,MATCH(L27,Players!$B$2:$B$930,0)))</f>
        <v>57</v>
      </c>
      <c r="P27" s="228" t="str">
        <f t="array" ref="P27">IFERROR(INDEX(Players!$B$2:$B$930,MATCH(LARGE(IF(ISNUMBER(MATCH(Players!$U$2:$U$930,$N$2,0)),IF(Players!$P$2:$P$930&lt;&gt;0,IF(Players!$W$2:$W$930&gt;1.1,Players!$W$2:$W$930))),ROW()-2),Players!$W$2:$W$930,0)),"")</f>
        <v>Melvin Gordon</v>
      </c>
      <c r="Q27" s="34">
        <f>IFERROR(INDEX(Players!$W$2:$W$930,MATCH(P27,Players!$B$2:$B$930,0)),"")</f>
        <v>8.7001100000000022</v>
      </c>
      <c r="R27" s="27" t="str">
        <f t="array" ref="R27">IFERROR(INDEX(Players!$B$2:$B$930,MATCH(SMALL(IF(ISNUMBER(MATCH(Players!$U$2:$U$930,$N$2,0)),IF(Players!$P$2:$P$930&lt;&gt;0,IF(Players!$W$2:$W$930&lt;0,Players!$W$2:$W$930))),ROW()-2),Players!$W$2:$W$930,0)),"")</f>
        <v>Leonard Fournette</v>
      </c>
      <c r="S27" s="34">
        <f>IFERROR(INDEX(Players!$W$2:$W$930,MATCH(R27,Players!$B$2:$B$930,0)),"")</f>
        <v>-6.2997200000000007</v>
      </c>
      <c r="U27" s="68">
        <v>25</v>
      </c>
      <c r="V27" s="228" t="str">
        <f t="array" ref="V27">IFERROR(INDEX(Players!$B$2:$B$930,MATCH(LARGE(IF(ISNUMBER(MATCH(Players!$U$2:$U$930,$N$2,0)),IF(Players!$P$2:$P$930&lt;&gt;0,IF(Players!$D$2:$D$930=V$2,Players!$P$2:$P$930))),$U27),Players!$P$2:$P$930,0)),"")</f>
        <v>Sam Bradford</v>
      </c>
      <c r="W27" s="23" t="str">
        <f t="array" ref="W27">IFERROR(INDEX(Players!$B$2:$B$930,MATCH(LARGE(IF(ISNUMBER(MATCH(Players!$U$2:$U$930,$N$2,0)),IF(Players!$P$2:$P$930&lt;&gt;0,IF(Players!$D$2:$D$930=W$2,Players!$P$2:$P$930))),$U27),Players!$P$2:$P$930,0)),"")</f>
        <v>Frank Gore</v>
      </c>
      <c r="X27" s="23" t="str">
        <f t="array" ref="X27">IFERROR(INDEX(Players!$B$2:$B$930,MATCH(LARGE(IF(ISNUMBER(MATCH(Players!$U$2:$U$930,$N$2,0)),IF(Players!$P$2:$P$930&lt;&gt;0,IF(Players!$D$2:$D$930=X$2,Players!$P$2:$P$930))),$U27),Players!$P$2:$P$930,0)),"")</f>
        <v>Emmanuel Sanders</v>
      </c>
      <c r="Y27" s="23" t="str">
        <f t="array" ref="Y27">IFERROR(INDEX(Players!$B$2:$B$930,MATCH(LARGE(IF(ISNUMBER(MATCH(Players!$U$2:$U$930,$N$2,0)),IF(Players!$P$2:$P$930&lt;&gt;0,IF(Players!$D$2:$D$930=Y$2,Players!$P$2:$P$930))),$U27),Players!$P$2:$P$930,0)),"")</f>
        <v>Evan Engram</v>
      </c>
      <c r="Z27" s="23" t="str">
        <f t="array" ref="Z27">IFERROR(INDEX(Players!$B$2:$B$930,MATCH(LARGE(IF(ISNUMBER(MATCH(Players!$U$2:$U$930,$N$2,0)),IF(Players!$P$2:$P$930&lt;&gt;0,IF(Players!$D$2:$D$930=Z$2,Players!$P$2:$P$930))),$U27),Players!$P$2:$P$930,0)),"")</f>
        <v>Connor Barth</v>
      </c>
      <c r="AA27" s="28" t="str">
        <f t="array" ref="AA27">IFERROR(INDEX(Players!$B$2:$B$930,MATCH(LARGE(IF(ISNUMBER(MATCH(Players!$U$2:$U$930,$N$2,0)),IF(Players!$P$2:$P$930&lt;&gt;0,IF(Players!$D$2:$D$930=AA$2,Players!$P$2:$P$930))),$U27),Players!$P$2:$P$930,0)),"")</f>
        <v>Packers</v>
      </c>
      <c r="AC27" s="39">
        <v>9</v>
      </c>
      <c r="AD27" s="27" t="str">
        <f>IFERROR(VLOOKUP(AD$18&amp;AC27,Input!$AB:$AC,2,0),"")</f>
        <v/>
      </c>
      <c r="AE27" s="281" t="str">
        <f>IFERROR(VLOOKUP(AD27,Input!$AC:$AH,6,0),"")</f>
        <v/>
      </c>
      <c r="AF27" s="281" t="e">
        <f>LARGE(AE19:AE34,AC27)</f>
        <v>#NUM!</v>
      </c>
      <c r="AG27" s="281" t="e">
        <f>VLOOKUP(AM27,Input!$AC:$AF,4,0)</f>
        <v>#NUM!</v>
      </c>
      <c r="AH27" s="281" t="e">
        <f>AG27&amp;COUNTIF(AG19:AG27,AG27)</f>
        <v>#NUM!</v>
      </c>
      <c r="AI27" s="281" t="e">
        <f t="shared" si="1"/>
        <v>#NUM!</v>
      </c>
      <c r="AJ27" s="281" t="e">
        <f>AI27&amp;COUNTIF(AI19:AI27,AI27)</f>
        <v>#NUM!</v>
      </c>
      <c r="AK27" s="281" t="str">
        <f>IFERROR(VLOOKUP(AM27,C12:C21,1,0),"B")</f>
        <v>B</v>
      </c>
      <c r="AL27" s="281" t="str">
        <f>AK27&amp;COUNTIF(AK19:AK27,AK27)</f>
        <v>B9</v>
      </c>
      <c r="AM27" s="281" t="e">
        <f t="array" ref="AM27">INDEX(AD$19:AD$34,SMALL(IF(AE$19:AE$34=AF27,ROW(AE$19:AE$34)-ROW(AF$19)+1),COUNTIF(AF$19:AF27,AF27)))</f>
        <v>#NUM!</v>
      </c>
      <c r="AN27" s="41" t="s">
        <v>599</v>
      </c>
      <c r="AO27" s="281" t="str">
        <f>IFERROR(VLOOKUP(C20,Input!$AC:$AH,6,0),"")</f>
        <v/>
      </c>
      <c r="AP27" s="281" t="str">
        <f>IFERROR(VLOOKUP(VLOOKUP(C20,Input!$AC:$AG,5,0),Schedule!$T$3:$U$34,2,0),"")</f>
        <v/>
      </c>
    </row>
    <row r="28" spans="1:42" ht="15.75" thickBot="1" x14ac:dyDescent="0.3">
      <c r="A28" s="94" t="s">
        <v>740</v>
      </c>
      <c r="B28" s="35">
        <f>HLOOKUP(B11,Input!$AZ$1:$BI$161,161,0)</f>
        <v>200</v>
      </c>
      <c r="C28" s="36">
        <f>HLOOKUP(C11,Input!$AZ$1:$BI$161,161,0)</f>
        <v>200</v>
      </c>
      <c r="D28" s="36">
        <f>HLOOKUP(D11,Input!$AZ$1:$BI$161,161,0)</f>
        <v>200</v>
      </c>
      <c r="E28" s="36">
        <f>HLOOKUP(E11,Input!$AZ$1:$BI$161,161,0)</f>
        <v>200</v>
      </c>
      <c r="F28" s="36">
        <f>HLOOKUP(F11,Input!$AZ$1:$BI$161,161,0)</f>
        <v>200</v>
      </c>
      <c r="G28" s="36">
        <f>HLOOKUP(G11,Input!$AZ$1:$BI$161,161,0)</f>
        <v>200</v>
      </c>
      <c r="H28" s="36">
        <f>HLOOKUP(H11,Input!$AZ$1:$BI$161,161,0)</f>
        <v>200</v>
      </c>
      <c r="I28" s="36">
        <f>HLOOKUP(I11,Input!$AZ$1:$BI$161,161,0)</f>
        <v>200</v>
      </c>
      <c r="J28" s="36">
        <f>HLOOKUP(J11,Input!$AZ$1:$BI$161,161,0)</f>
        <v>200</v>
      </c>
      <c r="K28" s="37">
        <f>HLOOKUP(K11,Input!$AZ$1:$BI$161,161,0)</f>
        <v>200</v>
      </c>
      <c r="L28" s="130">
        <f>SUM(B28:K28)</f>
        <v>2000</v>
      </c>
      <c r="M28" s="212"/>
      <c r="N28" s="212"/>
      <c r="P28" s="228" t="str">
        <f t="array" ref="P28">IFERROR(INDEX(Players!$B$2:$B$930,MATCH(LARGE(IF(ISNUMBER(MATCH(Players!$U$2:$U$930,$N$2,0)),IF(Players!$P$2:$P$930&lt;&gt;0,IF(Players!$W$2:$W$930&gt;1.1,Players!$W$2:$W$930))),ROW()-2),Players!$W$2:$W$930,0)),"")</f>
        <v>Chiefs</v>
      </c>
      <c r="Q28" s="34">
        <f>IFERROR(INDEX(Players!$W$2:$W$930,MATCH(P28,Players!$B$2:$B$930,0)),"")</f>
        <v>7.9005800000000006</v>
      </c>
      <c r="R28" s="27" t="str">
        <f t="array" ref="R28">IFERROR(INDEX(Players!$B$2:$B$930,MATCH(SMALL(IF(ISNUMBER(MATCH(Players!$U$2:$U$930,$N$2,0)),IF(Players!$P$2:$P$930&lt;&gt;0,IF(Players!$W$2:$W$930&lt;0,Players!$W$2:$W$930))),ROW()-2),Players!$W$2:$W$930,0)),"")</f>
        <v>Stefon Diggs</v>
      </c>
      <c r="S28" s="34">
        <f>IFERROR(INDEX(Players!$W$2:$W$930,MATCH(R28,Players!$B$2:$B$930,0)),"")</f>
        <v>-6.2990699999999995</v>
      </c>
      <c r="U28" s="68">
        <v>26</v>
      </c>
      <c r="V28" s="228" t="str">
        <f t="array" ref="V28">IFERROR(INDEX(Players!$B$2:$B$930,MATCH(LARGE(IF(ISNUMBER(MATCH(Players!$U$2:$U$930,$N$2,0)),IF(Players!$P$2:$P$930&lt;&gt;0,IF(Players!$D$2:$D$930=V$2,Players!$P$2:$P$930))),$U28),Players!$P$2:$P$930,0)),"")</f>
        <v>Brian Hoyer</v>
      </c>
      <c r="W28" s="23" t="str">
        <f t="array" ref="W28">IFERROR(INDEX(Players!$B$2:$B$930,MATCH(LARGE(IF(ISNUMBER(MATCH(Players!$U$2:$U$930,$N$2,0)),IF(Players!$P$2:$P$930&lt;&gt;0,IF(Players!$D$2:$D$930=W$2,Players!$P$2:$P$930))),$U28),Players!$P$2:$P$930,0)),"")</f>
        <v>Theo Riddick</v>
      </c>
      <c r="X28" s="23" t="str">
        <f t="array" ref="X28">IFERROR(INDEX(Players!$B$2:$B$930,MATCH(LARGE(IF(ISNUMBER(MATCH(Players!$U$2:$U$930,$N$2,0)),IF(Players!$P$2:$P$930&lt;&gt;0,IF(Players!$D$2:$D$930=X$2,Players!$P$2:$P$930))),$U28),Players!$P$2:$P$930,0)),"")</f>
        <v>Keenan Allen</v>
      </c>
      <c r="Y28" s="23" t="str">
        <f t="array" ref="Y28">IFERROR(INDEX(Players!$B$2:$B$930,MATCH(LARGE(IF(ISNUMBER(MATCH(Players!$U$2:$U$930,$N$2,0)),IF(Players!$P$2:$P$930&lt;&gt;0,IF(Players!$D$2:$D$930=Y$2,Players!$P$2:$P$930))),$U28),Players!$P$2:$P$930,0)),"")</f>
        <v>Jesse James</v>
      </c>
      <c r="Z28" s="23" t="str">
        <f t="array" ref="Z28">IFERROR(INDEX(Players!$B$2:$B$930,MATCH(LARGE(IF(ISNUMBER(MATCH(Players!$U$2:$U$930,$N$2,0)),IF(Players!$P$2:$P$930&lt;&gt;0,IF(Players!$D$2:$D$930=Z$2,Players!$P$2:$P$930))),$U28),Players!$P$2:$P$930,0)),"")</f>
        <v>Chandler Catanzaro</v>
      </c>
      <c r="AA28" s="28" t="str">
        <f t="array" ref="AA28">IFERROR(INDEX(Players!$B$2:$B$930,MATCH(LARGE(IF(ISNUMBER(MATCH(Players!$U$2:$U$930,$N$2,0)),IF(Players!$P$2:$P$930&lt;&gt;0,IF(Players!$D$2:$D$930=AA$2,Players!$P$2:$P$930))),$U28),Players!$P$2:$P$930,0)),"")</f>
        <v>Cowboys</v>
      </c>
      <c r="AC28" s="39">
        <v>10</v>
      </c>
      <c r="AD28" s="27" t="str">
        <f>IFERROR(VLOOKUP(AD$18&amp;AC28,Input!$AB:$AC,2,0),"")</f>
        <v/>
      </c>
      <c r="AE28" s="281" t="str">
        <f>IFERROR(VLOOKUP(AD28,Input!$AC:$AH,6,0),"")</f>
        <v/>
      </c>
      <c r="AF28" s="281" t="e">
        <f>LARGE(AE19:AE34,AC28)</f>
        <v>#NUM!</v>
      </c>
      <c r="AG28" s="281" t="e">
        <f>VLOOKUP(AM28,Input!$AC:$AF,4,0)</f>
        <v>#NUM!</v>
      </c>
      <c r="AH28" s="281" t="e">
        <f>AG28&amp;COUNTIF(AG19:AG28,AG28)</f>
        <v>#NUM!</v>
      </c>
      <c r="AI28" s="281" t="e">
        <f t="shared" si="1"/>
        <v>#NUM!</v>
      </c>
      <c r="AJ28" s="281" t="e">
        <f>AI28&amp;COUNTIF(AI19:AI28,AI28)</f>
        <v>#NUM!</v>
      </c>
      <c r="AK28" s="281" t="str">
        <f>IFERROR(VLOOKUP(AM28,C12:C21,1,0),"B")</f>
        <v>B</v>
      </c>
      <c r="AL28" s="281" t="str">
        <f>AK28&amp;COUNTIF(AK19:AK28,AK28)</f>
        <v>B10</v>
      </c>
      <c r="AM28" s="281" t="e">
        <f t="array" ref="AM28">INDEX(AD$19:AD$34,SMALL(IF(AE$19:AE$34=AF28,ROW(AE$19:AE$34)-ROW(AF$19)+1),COUNTIF(AF$19:AF28,AF28)))</f>
        <v>#NUM!</v>
      </c>
      <c r="AN28" s="41" t="s">
        <v>600</v>
      </c>
      <c r="AO28" s="281" t="str">
        <f>IFERROR(VLOOKUP(C21,Input!$AC:$AH,6,0),"")</f>
        <v/>
      </c>
      <c r="AP28" s="281" t="str">
        <f>IFERROR(VLOOKUP(VLOOKUP(C21,Input!$AC:$AG,5,0),Schedule!$T$3:$U$34,2,0),"")</f>
        <v/>
      </c>
    </row>
    <row r="29" spans="1:42" ht="15.75" thickBot="1" x14ac:dyDescent="0.3">
      <c r="A29" s="221" t="s">
        <v>872</v>
      </c>
      <c r="B29" s="218">
        <f>B28-COUNTIF(B12:B27,"")+1</f>
        <v>185</v>
      </c>
      <c r="C29" s="219">
        <f t="shared" ref="C29:K29" si="2">C28-COUNTIF(C12:C27,"")+1</f>
        <v>185</v>
      </c>
      <c r="D29" s="219">
        <f t="shared" si="2"/>
        <v>185</v>
      </c>
      <c r="E29" s="219">
        <f t="shared" si="2"/>
        <v>185</v>
      </c>
      <c r="F29" s="219">
        <f t="shared" si="2"/>
        <v>185</v>
      </c>
      <c r="G29" s="219">
        <f t="shared" si="2"/>
        <v>185</v>
      </c>
      <c r="H29" s="219">
        <f t="shared" si="2"/>
        <v>185</v>
      </c>
      <c r="I29" s="219">
        <f t="shared" si="2"/>
        <v>185</v>
      </c>
      <c r="J29" s="219">
        <f t="shared" si="2"/>
        <v>185</v>
      </c>
      <c r="K29" s="220">
        <f t="shared" si="2"/>
        <v>185</v>
      </c>
      <c r="L29" s="222" t="s">
        <v>873</v>
      </c>
      <c r="P29" s="228" t="str">
        <f t="array" ref="P29">IFERROR(INDEX(Players!$B$2:$B$930,MATCH(LARGE(IF(ISNUMBER(MATCH(Players!$U$2:$U$930,$N$2,0)),IF(Players!$P$2:$P$930&lt;&gt;0,IF(Players!$W$2:$W$930&gt;1.1,Players!$W$2:$W$930))),ROW()-2),Players!$W$2:$W$930,0)),"")</f>
        <v>Delanie Walker</v>
      </c>
      <c r="Q29" s="34">
        <f>IFERROR(INDEX(Players!$W$2:$W$930,MATCH(P29,Players!$B$2:$B$930,0)),"")</f>
        <v>7.3004899999999999</v>
      </c>
      <c r="R29" s="27" t="str">
        <f t="array" ref="R29">IFERROR(INDEX(Players!$B$2:$B$930,MATCH(SMALL(IF(ISNUMBER(MATCH(Players!$U$2:$U$930,$N$2,0)),IF(Players!$P$2:$P$930&lt;&gt;0,IF(Players!$W$2:$W$930&lt;0,Players!$W$2:$W$930))),ROW()-2),Players!$W$2:$W$930,0)),"")</f>
        <v>Adrian Peterson</v>
      </c>
      <c r="S29" s="34">
        <f>IFERROR(INDEX(Players!$W$2:$W$930,MATCH(R29,Players!$B$2:$B$930,0)),"")</f>
        <v>-6.2984900000000001</v>
      </c>
      <c r="U29" s="68">
        <v>27</v>
      </c>
      <c r="V29" s="228" t="str">
        <f t="array" ref="V29">IFERROR(INDEX(Players!$B$2:$B$930,MATCH(LARGE(IF(ISNUMBER(MATCH(Players!$U$2:$U$930,$N$2,0)),IF(Players!$P$2:$P$930&lt;&gt;0,IF(Players!$D$2:$D$930=V$2,Players!$P$2:$P$930))),$U29),Players!$P$2:$P$930,0)),"")</f>
        <v>Mike Glennon</v>
      </c>
      <c r="W29" s="23" t="str">
        <f t="array" ref="W29">IFERROR(INDEX(Players!$B$2:$B$930,MATCH(LARGE(IF(ISNUMBER(MATCH(Players!$U$2:$U$930,$N$2,0)),IF(Players!$P$2:$P$930&lt;&gt;0,IF(Players!$D$2:$D$930=W$2,Players!$P$2:$P$930))),$U29),Players!$P$2:$P$930,0)),"")</f>
        <v>Joe Mixon</v>
      </c>
      <c r="X29" s="23" t="str">
        <f t="array" ref="X29">IFERROR(INDEX(Players!$B$2:$B$930,MATCH(LARGE(IF(ISNUMBER(MATCH(Players!$U$2:$U$930,$N$2,0)),IF(Players!$P$2:$P$930&lt;&gt;0,IF(Players!$D$2:$D$930=X$2,Players!$P$2:$P$930))),$U29),Players!$P$2:$P$930,0)),"")</f>
        <v>Stefon Diggs</v>
      </c>
      <c r="Y29" s="23" t="str">
        <f t="array" ref="Y29">IFERROR(INDEX(Players!$B$2:$B$930,MATCH(LARGE(IF(ISNUMBER(MATCH(Players!$U$2:$U$930,$N$2,0)),IF(Players!$P$2:$P$930&lt;&gt;0,IF(Players!$D$2:$D$930=Y$2,Players!$P$2:$P$930))),$U29),Players!$P$2:$P$930,0)),"")</f>
        <v>Zach Miller</v>
      </c>
      <c r="Z29" s="23" t="str">
        <f t="array" ref="Z29">IFERROR(INDEX(Players!$B$2:$B$930,MATCH(LARGE(IF(ISNUMBER(MATCH(Players!$U$2:$U$930,$N$2,0)),IF(Players!$P$2:$P$930&lt;&gt;0,IF(Players!$D$2:$D$930=Z$2,Players!$P$2:$P$930))),$U29),Players!$P$2:$P$930,0)),"")</f>
        <v>Greg Zuerlein</v>
      </c>
      <c r="AA29" s="28" t="str">
        <f t="array" ref="AA29">IFERROR(INDEX(Players!$B$2:$B$930,MATCH(LARGE(IF(ISNUMBER(MATCH(Players!$U$2:$U$930,$N$2,0)),IF(Players!$P$2:$P$930&lt;&gt;0,IF(Players!$D$2:$D$930=AA$2,Players!$P$2:$P$930))),$U29),Players!$P$2:$P$930,0)),"")</f>
        <v>Colts</v>
      </c>
      <c r="AC29" s="39">
        <v>11</v>
      </c>
      <c r="AD29" s="27" t="str">
        <f>IFERROR(VLOOKUP(AD$18&amp;AC29,Input!$AB:$AC,2,0),"")</f>
        <v/>
      </c>
      <c r="AE29" s="281" t="str">
        <f>IFERROR(VLOOKUP(AD29,Input!$AC:$AH,6,0),"")</f>
        <v/>
      </c>
      <c r="AF29" s="281" t="e">
        <f>LARGE(AE19:AE34,AC29)</f>
        <v>#NUM!</v>
      </c>
      <c r="AG29" s="281" t="e">
        <f>VLOOKUP(AM29,Input!$AC:$AF,4,0)</f>
        <v>#NUM!</v>
      </c>
      <c r="AH29" s="281" t="e">
        <f>AG29&amp;COUNTIF(AG19:AG29,AG29)</f>
        <v>#NUM!</v>
      </c>
      <c r="AI29" s="281" t="e">
        <f t="shared" si="1"/>
        <v>#NUM!</v>
      </c>
      <c r="AJ29" s="281" t="e">
        <f>AI29&amp;COUNTIF(AI19:AI29,AI29)</f>
        <v>#NUM!</v>
      </c>
      <c r="AK29" s="281" t="str">
        <f>IFERROR(VLOOKUP(AM29,C12:C21,1,0),"B")</f>
        <v>B</v>
      </c>
      <c r="AL29" s="281" t="str">
        <f>AK29&amp;COUNTIF(AK19:AK29,AK29)</f>
        <v>B11</v>
      </c>
      <c r="AM29" s="281" t="e">
        <f t="array" ref="AM29">INDEX(AD$19:AD$34,SMALL(IF(AE$19:AE$34=AF29,ROW(AE$19:AE$34)-ROW(AF$19)+1),COUNTIF(AF$19:AF29,AF29)))</f>
        <v>#NUM!</v>
      </c>
      <c r="AN29" s="41" t="s">
        <v>601</v>
      </c>
      <c r="AO29" s="17" t="str">
        <f>IFERROR(VLOOKUP(C22,Input!$AC:$AH,6,0),"")</f>
        <v/>
      </c>
      <c r="AP29" s="281" t="str">
        <f>IFERROR(VLOOKUP(VLOOKUP(C22,Input!$AC:$AG,5,0),Schedule!$T$3:$U$34,2,0),"")</f>
        <v/>
      </c>
    </row>
    <row r="30" spans="1:42" ht="15.75" thickBot="1" x14ac:dyDescent="0.3">
      <c r="A30" s="94" t="s">
        <v>740</v>
      </c>
      <c r="B30" s="98">
        <f t="shared" ref="B30:K30" si="3">SUM(B31:B40)</f>
        <v>0</v>
      </c>
      <c r="C30" s="99">
        <f t="shared" si="3"/>
        <v>0</v>
      </c>
      <c r="D30" s="99">
        <f t="shared" si="3"/>
        <v>0</v>
      </c>
      <c r="E30" s="99">
        <f t="shared" si="3"/>
        <v>0</v>
      </c>
      <c r="F30" s="99">
        <f t="shared" si="3"/>
        <v>0</v>
      </c>
      <c r="G30" s="99">
        <f t="shared" si="3"/>
        <v>0</v>
      </c>
      <c r="H30" s="99">
        <f t="shared" si="3"/>
        <v>0</v>
      </c>
      <c r="I30" s="99">
        <f t="shared" si="3"/>
        <v>0</v>
      </c>
      <c r="J30" s="99">
        <f t="shared" si="3"/>
        <v>0</v>
      </c>
      <c r="K30" s="100">
        <f t="shared" si="3"/>
        <v>0</v>
      </c>
      <c r="L30" s="223" t="s">
        <v>876</v>
      </c>
      <c r="P30" s="228" t="str">
        <f t="array" ref="P30">IFERROR(INDEX(Players!$B$2:$B$930,MATCH(LARGE(IF(ISNUMBER(MATCH(Players!$U$2:$U$930,$N$2,0)),IF(Players!$P$2:$P$930&lt;&gt;0,IF(Players!$W$2:$W$930&gt;1.1,Players!$W$2:$W$930))),ROW()-2),Players!$W$2:$W$930,0)),"")</f>
        <v>Rams</v>
      </c>
      <c r="Q30" s="34">
        <f>IFERROR(INDEX(Players!$W$2:$W$930,MATCH(P30,Players!$B$2:$B$930,0)),"")</f>
        <v>7.0006599999999999</v>
      </c>
      <c r="R30" s="27" t="str">
        <f t="array" ref="R30">IFERROR(INDEX(Players!$B$2:$B$930,MATCH(SMALL(IF(ISNUMBER(MATCH(Players!$U$2:$U$930,$N$2,0)),IF(Players!$P$2:$P$930&lt;&gt;0,IF(Players!$W$2:$W$930&lt;0,Players!$W$2:$W$930))),ROW()-2),Players!$W$2:$W$930,0)),"")</f>
        <v>Pierre Garcon</v>
      </c>
      <c r="S30" s="34">
        <f>IFERROR(INDEX(Players!$W$2:$W$930,MATCH(R30,Players!$B$2:$B$930,0)),"")</f>
        <v>-6.0987499999999999</v>
      </c>
      <c r="U30" s="68">
        <v>28</v>
      </c>
      <c r="V30" s="228" t="str">
        <f t="array" ref="V30">IFERROR(INDEX(Players!$B$2:$B$930,MATCH(LARGE(IF(ISNUMBER(MATCH(Players!$U$2:$U$930,$N$2,0)),IF(Players!$P$2:$P$930&lt;&gt;0,IF(Players!$D$2:$D$930=V$2,Players!$P$2:$P$930))),$U30),Players!$P$2:$P$930,0)),"")</f>
        <v>Jared Goff</v>
      </c>
      <c r="W30" s="23" t="str">
        <f t="array" ref="W30">IFERROR(INDEX(Players!$B$2:$B$930,MATCH(LARGE(IF(ISNUMBER(MATCH(Players!$U$2:$U$930,$N$2,0)),IF(Players!$P$2:$P$930&lt;&gt;0,IF(Players!$D$2:$D$930=W$2,Players!$P$2:$P$930))),$U30),Players!$P$2:$P$930,0)),"")</f>
        <v>Duke Johnson</v>
      </c>
      <c r="X30" s="23" t="str">
        <f t="array" ref="X30">IFERROR(INDEX(Players!$B$2:$B$930,MATCH(LARGE(IF(ISNUMBER(MATCH(Players!$U$2:$U$930,$N$2,0)),IF(Players!$P$2:$P$930&lt;&gt;0,IF(Players!$D$2:$D$930=X$2,Players!$P$2:$P$930))),$U30),Players!$P$2:$P$930,0)),"")</f>
        <v>Davante Adams</v>
      </c>
      <c r="Y30" s="23" t="str">
        <f t="array" ref="Y30">IFERROR(INDEX(Players!$B$2:$B$930,MATCH(LARGE(IF(ISNUMBER(MATCH(Players!$U$2:$U$930,$N$2,0)),IF(Players!$P$2:$P$930&lt;&gt;0,IF(Players!$D$2:$D$930=Y$2,Players!$P$2:$P$930))),$U30),Players!$P$2:$P$930,0)),"")</f>
        <v>Jermaine Gresham</v>
      </c>
      <c r="Z30" s="23" t="str">
        <f t="array" ref="Z30">IFERROR(INDEX(Players!$B$2:$B$930,MATCH(LARGE(IF(ISNUMBER(MATCH(Players!$U$2:$U$930,$N$2,0)),IF(Players!$P$2:$P$930&lt;&gt;0,IF(Players!$D$2:$D$930=Z$2,Players!$P$2:$P$930))),$U30),Players!$P$2:$P$930,0)),"")</f>
        <v>Andrew Franks</v>
      </c>
      <c r="AA30" s="28" t="str">
        <f t="array" ref="AA30">IFERROR(INDEX(Players!$B$2:$B$930,MATCH(LARGE(IF(ISNUMBER(MATCH(Players!$U$2:$U$930,$N$2,0)),IF(Players!$P$2:$P$930&lt;&gt;0,IF(Players!$D$2:$D$930=AA$2,Players!$P$2:$P$930))),$U30),Players!$P$2:$P$930,0)),"")</f>
        <v>Saints</v>
      </c>
      <c r="AC30" s="39">
        <v>12</v>
      </c>
      <c r="AD30" s="27" t="str">
        <f>IFERROR(VLOOKUP(AD$18&amp;AC30,Input!$AB:$AC,2,0),"")</f>
        <v/>
      </c>
      <c r="AE30" s="281" t="str">
        <f>IFERROR(VLOOKUP(AD30,Input!$AC:$AH,6,0),"")</f>
        <v/>
      </c>
      <c r="AF30" s="281" t="e">
        <f>LARGE(AE19:AE34,AC30)</f>
        <v>#NUM!</v>
      </c>
      <c r="AG30" s="281" t="e">
        <f>VLOOKUP(AM30,Input!$AC:$AF,4,0)</f>
        <v>#NUM!</v>
      </c>
      <c r="AH30" s="281" t="e">
        <f>AG30&amp;COUNTIF(AG19:AG30,AG30)</f>
        <v>#NUM!</v>
      </c>
      <c r="AI30" s="281" t="e">
        <f t="shared" si="1"/>
        <v>#NUM!</v>
      </c>
      <c r="AJ30" s="281" t="e">
        <f>AI30&amp;COUNTIF(AI19:AI30,AI30)</f>
        <v>#NUM!</v>
      </c>
      <c r="AK30" s="281" t="str">
        <f>IFERROR(VLOOKUP(AM30,C12:C21,1,0),"B")</f>
        <v>B</v>
      </c>
      <c r="AL30" s="281" t="str">
        <f>AK30&amp;COUNTIF(AK19:AK30,AK30)</f>
        <v>B12</v>
      </c>
      <c r="AM30" s="281" t="e">
        <f t="array" ref="AM30">INDEX(AD$19:AD$34,SMALL(IF(AE$19:AE$34=AF30,ROW(AE$19:AE$34)-ROW(AF$19)+1),COUNTIF(AF$19:AF30,AF30)))</f>
        <v>#NUM!</v>
      </c>
      <c r="AN30" s="41" t="s">
        <v>602</v>
      </c>
      <c r="AO30" s="17"/>
      <c r="AP30" s="281" t="str">
        <f>IFERROR(VLOOKUP(VLOOKUP(C23,Input!$AC:$AG,5,0),Schedule!$T$3:$U$34,2,0),"")</f>
        <v/>
      </c>
    </row>
    <row r="31" spans="1:42" x14ac:dyDescent="0.25">
      <c r="A31" s="38" t="s">
        <v>591</v>
      </c>
      <c r="B31" s="168">
        <f t="shared" ref="B31:K31" si="4">B85-B67</f>
        <v>0</v>
      </c>
      <c r="C31" s="169">
        <f t="shared" si="4"/>
        <v>0</v>
      </c>
      <c r="D31" s="169">
        <f t="shared" si="4"/>
        <v>0</v>
      </c>
      <c r="E31" s="169">
        <f t="shared" si="4"/>
        <v>0</v>
      </c>
      <c r="F31" s="169">
        <f t="shared" si="4"/>
        <v>0</v>
      </c>
      <c r="G31" s="169">
        <f t="shared" si="4"/>
        <v>0</v>
      </c>
      <c r="H31" s="169">
        <f t="shared" si="4"/>
        <v>0</v>
      </c>
      <c r="I31" s="169">
        <f t="shared" si="4"/>
        <v>0</v>
      </c>
      <c r="J31" s="169">
        <f t="shared" si="4"/>
        <v>0</v>
      </c>
      <c r="K31" s="170">
        <f t="shared" si="4"/>
        <v>0</v>
      </c>
      <c r="L31" s="19"/>
      <c r="P31" s="228" t="str">
        <f t="array" ref="P31">IFERROR(INDEX(Players!$B$2:$B$930,MATCH(LARGE(IF(ISNUMBER(MATCH(Players!$U$2:$U$930,$N$2,0)),IF(Players!$P$2:$P$930&lt;&gt;0,IF(Players!$W$2:$W$930&gt;1.1,Players!$W$2:$W$930))),ROW()-2),Players!$W$2:$W$930,0)),"")</f>
        <v>Drew Brees</v>
      </c>
      <c r="Q31" s="34">
        <f>IFERROR(INDEX(Players!$W$2:$W$930,MATCH(P31,Players!$B$2:$B$930,0)),"")</f>
        <v>6.9003200000000007</v>
      </c>
      <c r="R31" s="27" t="str">
        <f t="array" ref="R31">IFERROR(INDEX(Players!$B$2:$B$930,MATCH(SMALL(IF(ISNUMBER(MATCH(Players!$U$2:$U$930,$N$2,0)),IF(Players!$P$2:$P$930&lt;&gt;0,IF(Players!$W$2:$W$930&lt;0,Players!$W$2:$W$930))),ROW()-2),Players!$W$2:$W$930,0)),"")</f>
        <v>Jamison Crowder</v>
      </c>
      <c r="S31" s="34">
        <f>IFERROR(INDEX(Players!$W$2:$W$930,MATCH(R31,Players!$B$2:$B$930,0)),"")</f>
        <v>-5.9987599999999999</v>
      </c>
      <c r="U31" s="68">
        <v>29</v>
      </c>
      <c r="V31" s="228" t="str">
        <f t="array" ref="V31">IFERROR(INDEX(Players!$B$2:$B$930,MATCH(LARGE(IF(ISNUMBER(MATCH(Players!$U$2:$U$930,$N$2,0)),IF(Players!$P$2:$P$930&lt;&gt;0,IF(Players!$D$2:$D$930=V$2,Players!$P$2:$P$930))),$U31),Players!$P$2:$P$930,0)),"")</f>
        <v>Deshaun Watson</v>
      </c>
      <c r="W31" s="23" t="str">
        <f t="array" ref="W31">IFERROR(INDEX(Players!$B$2:$B$930,MATCH(LARGE(IF(ISNUMBER(MATCH(Players!$U$2:$U$930,$N$2,0)),IF(Players!$P$2:$P$930&lt;&gt;0,IF(Players!$D$2:$D$930=W$2,Players!$P$2:$P$930))),$U31),Players!$P$2:$P$930,0)),"")</f>
        <v>Dalvin Cook</v>
      </c>
      <c r="X31" s="23" t="str">
        <f t="array" ref="X31">IFERROR(INDEX(Players!$B$2:$B$930,MATCH(LARGE(IF(ISNUMBER(MATCH(Players!$U$2:$U$930,$N$2,0)),IF(Players!$P$2:$P$930&lt;&gt;0,IF(Players!$D$2:$D$930=X$2,Players!$P$2:$P$930))),$U31),Players!$P$2:$P$930,0)),"")</f>
        <v>Kelvin Benjamin</v>
      </c>
      <c r="Y31" s="23" t="str">
        <f t="array" ref="Y31">IFERROR(INDEX(Players!$B$2:$B$930,MATCH(LARGE(IF(ISNUMBER(MATCH(Players!$U$2:$U$930,$N$2,0)),IF(Players!$P$2:$P$930&lt;&gt;0,IF(Players!$D$2:$D$930=Y$2,Players!$P$2:$P$930))),$U31),Players!$P$2:$P$930,0)),"")</f>
        <v>Dominique Jones</v>
      </c>
      <c r="Z31" s="23" t="str">
        <f t="array" ref="Z31">IFERROR(INDEX(Players!$B$2:$B$930,MATCH(LARGE(IF(ISNUMBER(MATCH(Players!$U$2:$U$930,$N$2,0)),IF(Players!$P$2:$P$930&lt;&gt;0,IF(Players!$D$2:$D$930=Z$2,Players!$P$2:$P$930))),$U31),Players!$P$2:$P$930,0)),"")</f>
        <v>Aldrick Rosas</v>
      </c>
      <c r="AA31" s="28" t="str">
        <f t="array" ref="AA31">IFERROR(INDEX(Players!$B$2:$B$930,MATCH(LARGE(IF(ISNUMBER(MATCH(Players!$U$2:$U$930,$N$2,0)),IF(Players!$P$2:$P$930&lt;&gt;0,IF(Players!$D$2:$D$930=AA$2,Players!$P$2:$P$930))),$U31),Players!$P$2:$P$930,0)),"")</f>
        <v>Bears</v>
      </c>
      <c r="AC31" s="39">
        <v>13</v>
      </c>
      <c r="AD31" s="27" t="str">
        <f>IFERROR(VLOOKUP(AD$18&amp;AC31,Input!$AB:$AC,2,0),"")</f>
        <v/>
      </c>
      <c r="AE31" s="281" t="str">
        <f>IFERROR(VLOOKUP(AD31,Input!$AC:$AH,6,0),"")</f>
        <v/>
      </c>
      <c r="AF31" s="281" t="e">
        <f>LARGE(AE19:AE34,AC31)</f>
        <v>#NUM!</v>
      </c>
      <c r="AG31" s="281" t="e">
        <f>VLOOKUP(AM31,Input!$AC:$AF,4,0)</f>
        <v>#NUM!</v>
      </c>
      <c r="AH31" s="281" t="e">
        <f>AG31&amp;COUNTIF(AG19:AG31,AG31)</f>
        <v>#NUM!</v>
      </c>
      <c r="AI31" s="281" t="e">
        <f t="shared" si="1"/>
        <v>#NUM!</v>
      </c>
      <c r="AJ31" s="281" t="e">
        <f>AI31&amp;COUNTIF(AI19:AI31,AI31)</f>
        <v>#NUM!</v>
      </c>
      <c r="AK31" s="281" t="str">
        <f>IFERROR(VLOOKUP(AM31,C12:C21,1,0),"B")</f>
        <v>B</v>
      </c>
      <c r="AL31" s="281" t="str">
        <f>AK31&amp;COUNTIF(AK19:AK31,AK31)</f>
        <v>B13</v>
      </c>
      <c r="AM31" s="281" t="e">
        <f t="array" ref="AM31">INDEX(AD$19:AD$34,SMALL(IF(AE$19:AE$34=AF31,ROW(AE$19:AE$34)-ROW(AF$19)+1),COUNTIF(AF$19:AF31,AF31)))</f>
        <v>#NUM!</v>
      </c>
      <c r="AN31" s="41" t="s">
        <v>603</v>
      </c>
      <c r="AO31" s="17"/>
      <c r="AP31" s="281" t="str">
        <f>IFERROR(VLOOKUP(VLOOKUP(C24,Input!$AC:$AG,5,0),Schedule!$T$3:$U$34,2,0),"")</f>
        <v/>
      </c>
    </row>
    <row r="32" spans="1:42" x14ac:dyDescent="0.25">
      <c r="A32" s="39" t="s">
        <v>592</v>
      </c>
      <c r="B32" s="171">
        <f t="shared" ref="B32:K32" si="5">B86-B68</f>
        <v>0</v>
      </c>
      <c r="C32" s="172">
        <f t="shared" si="5"/>
        <v>0</v>
      </c>
      <c r="D32" s="172">
        <f t="shared" si="5"/>
        <v>0</v>
      </c>
      <c r="E32" s="172">
        <f t="shared" si="5"/>
        <v>0</v>
      </c>
      <c r="F32" s="172">
        <f t="shared" si="5"/>
        <v>0</v>
      </c>
      <c r="G32" s="172">
        <f t="shared" si="5"/>
        <v>0</v>
      </c>
      <c r="H32" s="172">
        <f t="shared" si="5"/>
        <v>0</v>
      </c>
      <c r="I32" s="172">
        <f t="shared" si="5"/>
        <v>0</v>
      </c>
      <c r="J32" s="172">
        <f t="shared" si="5"/>
        <v>0</v>
      </c>
      <c r="K32" s="173">
        <f t="shared" si="5"/>
        <v>0</v>
      </c>
      <c r="L32" s="19"/>
      <c r="P32" s="228" t="str">
        <f t="array" ref="P32">IFERROR(INDEX(Players!$B$2:$B$930,MATCH(LARGE(IF(ISNUMBER(MATCH(Players!$U$2:$U$930,$N$2,0)),IF(Players!$P$2:$P$930&lt;&gt;0,IF(Players!$W$2:$W$930&gt;1.1,Players!$W$2:$W$930))),ROW()-2),Players!$W$2:$W$930,0)),"")</f>
        <v>Matt Ryan</v>
      </c>
      <c r="Q32" s="34">
        <f>IFERROR(INDEX(Players!$W$2:$W$930,MATCH(P32,Players!$B$2:$B$930,0)),"")</f>
        <v>5.8004100000000003</v>
      </c>
      <c r="R32" s="27" t="str">
        <f t="array" ref="R32">IFERROR(INDEX(Players!$B$2:$B$930,MATCH(SMALL(IF(ISNUMBER(MATCH(Players!$U$2:$U$930,$N$2,0)),IF(Players!$P$2:$P$930&lt;&gt;0,IF(Players!$W$2:$W$930&lt;0,Players!$W$2:$W$930))),ROW()-2),Players!$W$2:$W$930,0)),"")</f>
        <v>Tyreek Hill</v>
      </c>
      <c r="S32" s="34">
        <f>IFERROR(INDEX(Players!$W$2:$W$930,MATCH(R32,Players!$B$2:$B$930,0)),"")</f>
        <v>-5.8992900000000006</v>
      </c>
      <c r="U32" s="68">
        <v>30</v>
      </c>
      <c r="V32" s="228" t="str">
        <f t="array" ref="V32">IFERROR(INDEX(Players!$B$2:$B$930,MATCH(LARGE(IF(ISNUMBER(MATCH(Players!$U$2:$U$930,$N$2,0)),IF(Players!$P$2:$P$930&lt;&gt;0,IF(Players!$D$2:$D$930=V$2,Players!$P$2:$P$930))),$U32),Players!$P$2:$P$930,0)),"")</f>
        <v>Trevor Siemian</v>
      </c>
      <c r="W32" s="23" t="str">
        <f t="array" ref="W32">IFERROR(INDEX(Players!$B$2:$B$930,MATCH(LARGE(IF(ISNUMBER(MATCH(Players!$U$2:$U$930,$N$2,0)),IF(Players!$P$2:$P$930&lt;&gt;0,IF(Players!$D$2:$D$930=W$2,Players!$P$2:$P$930))),$U32),Players!$P$2:$P$930,0)),"")</f>
        <v>Matt Forte</v>
      </c>
      <c r="X32" s="23" t="str">
        <f t="array" ref="X32">IFERROR(INDEX(Players!$B$2:$B$930,MATCH(LARGE(IF(ISNUMBER(MATCH(Players!$U$2:$U$930,$N$2,0)),IF(Players!$P$2:$P$930&lt;&gt;0,IF(Players!$D$2:$D$930=X$2,Players!$P$2:$P$930))),$U32),Players!$P$2:$P$930,0)),"")</f>
        <v>Jamison Crowder</v>
      </c>
      <c r="Y32" s="23" t="str">
        <f t="array" ref="Y32">IFERROR(INDEX(Players!$B$2:$B$930,MATCH(LARGE(IF(ISNUMBER(MATCH(Players!$U$2:$U$930,$N$2,0)),IF(Players!$P$2:$P$930&lt;&gt;0,IF(Players!$D$2:$D$930=Y$2,Players!$P$2:$P$930))),$U32),Players!$P$2:$P$930,0)),"")</f>
        <v>Vance McDonald</v>
      </c>
      <c r="Z32" s="23" t="str">
        <f t="array" ref="Z32">IFERROR(INDEX(Players!$B$2:$B$930,MATCH(LARGE(IF(ISNUMBER(MATCH(Players!$U$2:$U$930,$N$2,0)),IF(Players!$P$2:$P$930&lt;&gt;0,IF(Players!$D$2:$D$930=Z$2,Players!$P$2:$P$930))),$U32),Players!$P$2:$P$930,0)),"")</f>
        <v>Randy Bullock</v>
      </c>
      <c r="AA32" s="28" t="str">
        <f t="array" ref="AA32">IFERROR(INDEX(Players!$B$2:$B$930,MATCH(LARGE(IF(ISNUMBER(MATCH(Players!$U$2:$U$930,$N$2,0)),IF(Players!$P$2:$P$930&lt;&gt;0,IF(Players!$D$2:$D$930=AA$2,Players!$P$2:$P$930))),$U32),Players!$P$2:$P$930,0)),"")</f>
        <v>Jets</v>
      </c>
      <c r="AC32" s="39">
        <v>14</v>
      </c>
      <c r="AD32" s="27" t="str">
        <f>IFERROR(VLOOKUP(AD$18&amp;AC32,Input!$AB:$AC,2,0),"")</f>
        <v/>
      </c>
      <c r="AE32" s="281" t="str">
        <f>IFERROR(VLOOKUP(AD32,Input!$AC:$AH,6,0),"")</f>
        <v/>
      </c>
      <c r="AF32" s="281" t="e">
        <f>LARGE(AE19:AE34,AC32)</f>
        <v>#NUM!</v>
      </c>
      <c r="AG32" s="281" t="e">
        <f>VLOOKUP(AM32,Input!$AC:$AF,4,0)</f>
        <v>#NUM!</v>
      </c>
      <c r="AH32" s="281" t="e">
        <f>AG32&amp;COUNTIF(AG19:AG32,AG32)</f>
        <v>#NUM!</v>
      </c>
      <c r="AI32" s="281" t="e">
        <f t="shared" si="1"/>
        <v>#NUM!</v>
      </c>
      <c r="AJ32" s="281" t="e">
        <f>AI32&amp;COUNTIF(AI19:AI32,AI32)</f>
        <v>#NUM!</v>
      </c>
      <c r="AK32" s="281" t="str">
        <f>IFERROR(VLOOKUP(AM32,C12:C21,1,0),"B")</f>
        <v>B</v>
      </c>
      <c r="AL32" s="281" t="str">
        <f>AK32&amp;COUNTIF(AK19:AK32,AK32)</f>
        <v>B14</v>
      </c>
      <c r="AM32" s="281" t="e">
        <f t="array" ref="AM32">INDEX(AD$19:AD$34,SMALL(IF(AE$19:AE$34=AF32,ROW(AE$19:AE$34)-ROW(AF$19)+1),COUNTIF(AF$19:AF32,AF32)))</f>
        <v>#NUM!</v>
      </c>
      <c r="AN32" s="41" t="s">
        <v>604</v>
      </c>
      <c r="AO32" s="17"/>
      <c r="AP32" s="281" t="str">
        <f>IFERROR(VLOOKUP(VLOOKUP(C25,Input!$AC:$AG,5,0),Schedule!$T$3:$U$34,2,0),"")</f>
        <v/>
      </c>
    </row>
    <row r="33" spans="1:42" x14ac:dyDescent="0.25">
      <c r="A33" s="39" t="s">
        <v>593</v>
      </c>
      <c r="B33" s="171">
        <f t="shared" ref="B33:K33" si="6">B87-B69</f>
        <v>0</v>
      </c>
      <c r="C33" s="172">
        <f t="shared" si="6"/>
        <v>0</v>
      </c>
      <c r="D33" s="172">
        <f t="shared" si="6"/>
        <v>0</v>
      </c>
      <c r="E33" s="172">
        <f t="shared" si="6"/>
        <v>0</v>
      </c>
      <c r="F33" s="172">
        <f t="shared" si="6"/>
        <v>0</v>
      </c>
      <c r="G33" s="172">
        <f t="shared" si="6"/>
        <v>0</v>
      </c>
      <c r="H33" s="172">
        <f t="shared" si="6"/>
        <v>0</v>
      </c>
      <c r="I33" s="172">
        <f t="shared" si="6"/>
        <v>0</v>
      </c>
      <c r="J33" s="172">
        <f t="shared" si="6"/>
        <v>0</v>
      </c>
      <c r="K33" s="173">
        <f t="shared" si="6"/>
        <v>0</v>
      </c>
      <c r="L33" s="19"/>
      <c r="P33" s="228" t="str">
        <f t="array" ref="P33">IFERROR(INDEX(Players!$B$2:$B$930,MATCH(LARGE(IF(ISNUMBER(MATCH(Players!$U$2:$U$930,$N$2,0)),IF(Players!$P$2:$P$930&lt;&gt;0,IF(Players!$W$2:$W$930&gt;1.1,Players!$W$2:$W$930))),ROW()-2),Players!$W$2:$W$930,0)),"")</f>
        <v>Mark Ingram</v>
      </c>
      <c r="Q33" s="34">
        <f>IFERROR(INDEX(Players!$W$2:$W$930,MATCH(P33,Players!$B$2:$B$930,0)),"")</f>
        <v>5.7003299999999992</v>
      </c>
      <c r="R33" s="27" t="str">
        <f t="array" ref="R33">IFERROR(INDEX(Players!$B$2:$B$930,MATCH(SMALL(IF(ISNUMBER(MATCH(Players!$U$2:$U$930,$N$2,0)),IF(Players!$P$2:$P$930&lt;&gt;0,IF(Players!$W$2:$W$930&lt;0,Players!$W$2:$W$930))),ROW()-2),Players!$W$2:$W$930,0)),"")</f>
        <v>Martavis Bryant</v>
      </c>
      <c r="S33" s="34">
        <f>IFERROR(INDEX(Players!$W$2:$W$930,MATCH(R33,Players!$B$2:$B$930,0)),"")</f>
        <v>-5.7983799999999999</v>
      </c>
      <c r="U33" s="68">
        <v>31</v>
      </c>
      <c r="V33" s="228" t="str">
        <f t="array" ref="V33">IFERROR(INDEX(Players!$B$2:$B$930,MATCH(LARGE(IF(ISNUMBER(MATCH(Players!$U$2:$U$930,$N$2,0)),IF(Players!$P$2:$P$930&lt;&gt;0,IF(Players!$D$2:$D$930=V$2,Players!$P$2:$P$930))),$U33),Players!$P$2:$P$930,0)),"")</f>
        <v>Cody Kessler</v>
      </c>
      <c r="W33" s="23" t="str">
        <f t="array" ref="W33">IFERROR(INDEX(Players!$B$2:$B$930,MATCH(LARGE(IF(ISNUMBER(MATCH(Players!$U$2:$U$930,$N$2,0)),IF(Players!$P$2:$P$930&lt;&gt;0,IF(Players!$D$2:$D$930=W$2,Players!$P$2:$P$930))),$U33),Players!$P$2:$P$930,0)),"")</f>
        <v>Ameer Abdullah</v>
      </c>
      <c r="X33" s="23" t="str">
        <f t="array" ref="X33">IFERROR(INDEX(Players!$B$2:$B$930,MATCH(LARGE(IF(ISNUMBER(MATCH(Players!$U$2:$U$930,$N$2,0)),IF(Players!$P$2:$P$930&lt;&gt;0,IF(Players!$D$2:$D$930=X$2,Players!$P$2:$P$930))),$U33),Players!$P$2:$P$930,0)),"")</f>
        <v>Pierre Garcon</v>
      </c>
      <c r="Y33" s="23" t="str">
        <f t="array" ref="Y33">IFERROR(INDEX(Players!$B$2:$B$930,MATCH(LARGE(IF(ISNUMBER(MATCH(Players!$U$2:$U$930,$N$2,0)),IF(Players!$P$2:$P$930&lt;&gt;0,IF(Players!$D$2:$D$930=Y$2,Players!$P$2:$P$930))),$U33),Players!$P$2:$P$930,0)),"")</f>
        <v>Benjamin Watson</v>
      </c>
      <c r="Z33" s="23" t="str">
        <f t="array" ref="Z33">IFERROR(INDEX(Players!$B$2:$B$930,MATCH(LARGE(IF(ISNUMBER(MATCH(Players!$U$2:$U$930,$N$2,0)),IF(Players!$P$2:$P$930&lt;&gt;0,IF(Players!$D$2:$D$930=Z$2,Players!$P$2:$P$930))),$U33),Players!$P$2:$P$930,0)),"")</f>
        <v>Jake Elliott</v>
      </c>
      <c r="AA33" s="28" t="str">
        <f t="array" ref="AA33">IFERROR(INDEX(Players!$B$2:$B$930,MATCH(LARGE(IF(ISNUMBER(MATCH(Players!$U$2:$U$930,$N$2,0)),IF(Players!$P$2:$P$930&lt;&gt;0,IF(Players!$D$2:$D$930=AA$2,Players!$P$2:$P$930))),$U33),Players!$P$2:$P$930,0)),"")</f>
        <v>Lions</v>
      </c>
      <c r="AC33" s="39">
        <v>15</v>
      </c>
      <c r="AD33" s="27" t="str">
        <f>IFERROR(VLOOKUP(AD$18&amp;AC33,Input!$AB:$AC,2,0),"")</f>
        <v/>
      </c>
      <c r="AE33" s="281" t="str">
        <f>IFERROR(VLOOKUP(AD33,Input!$AC:$AH,6,0),"")</f>
        <v/>
      </c>
      <c r="AF33" s="281" t="e">
        <f>LARGE(AE19:AE34,AC33)</f>
        <v>#NUM!</v>
      </c>
      <c r="AG33" s="281" t="e">
        <f>VLOOKUP(AM33,Input!$AC:$AF,4,0)</f>
        <v>#NUM!</v>
      </c>
      <c r="AH33" s="281" t="e">
        <f>AG33&amp;COUNTIF(AG19:AG33,AG33)</f>
        <v>#NUM!</v>
      </c>
      <c r="AI33" s="281" t="e">
        <f t="shared" si="1"/>
        <v>#NUM!</v>
      </c>
      <c r="AJ33" s="281" t="e">
        <f>AI33&amp;COUNTIF(AI19:AI33,AI33)</f>
        <v>#NUM!</v>
      </c>
      <c r="AK33" s="281" t="str">
        <f>IFERROR(VLOOKUP(AM33,C12:C21,1,0),"B")</f>
        <v>B</v>
      </c>
      <c r="AL33" s="281" t="str">
        <f>AK33&amp;COUNTIF(AK19:AK33,AK33)</f>
        <v>B15</v>
      </c>
      <c r="AM33" s="281" t="e">
        <f t="array" ref="AM33">INDEX(AD$19:AD$34,SMALL(IF(AE$19:AE$34=AF33,ROW(AE$19:AE$34)-ROW(AF$19)+1),COUNTIF(AF$19:AF33,AF33)))</f>
        <v>#NUM!</v>
      </c>
      <c r="AN33" s="41" t="s">
        <v>605</v>
      </c>
      <c r="AO33" s="17"/>
      <c r="AP33" s="281" t="str">
        <f>IFERROR(VLOOKUP(VLOOKUP(C26,Input!$AC:$AG,5,0),Schedule!$T$3:$U$34,2,0),"")</f>
        <v/>
      </c>
    </row>
    <row r="34" spans="1:42" ht="15.75" thickBot="1" x14ac:dyDescent="0.3">
      <c r="A34" s="41" t="s">
        <v>594</v>
      </c>
      <c r="B34" s="171">
        <f t="shared" ref="B34:K34" si="7">B88-B70</f>
        <v>0</v>
      </c>
      <c r="C34" s="172">
        <f t="shared" si="7"/>
        <v>0</v>
      </c>
      <c r="D34" s="172">
        <f t="shared" si="7"/>
        <v>0</v>
      </c>
      <c r="E34" s="172">
        <f t="shared" si="7"/>
        <v>0</v>
      </c>
      <c r="F34" s="172">
        <f t="shared" si="7"/>
        <v>0</v>
      </c>
      <c r="G34" s="172">
        <f t="shared" si="7"/>
        <v>0</v>
      </c>
      <c r="H34" s="172">
        <f t="shared" si="7"/>
        <v>0</v>
      </c>
      <c r="I34" s="172">
        <f t="shared" si="7"/>
        <v>0</v>
      </c>
      <c r="J34" s="172">
        <f t="shared" si="7"/>
        <v>0</v>
      </c>
      <c r="K34" s="173">
        <f t="shared" si="7"/>
        <v>0</v>
      </c>
      <c r="L34" s="19"/>
      <c r="P34" s="228" t="str">
        <f t="array" ref="P34">IFERROR(INDEX(Players!$B$2:$B$930,MATCH(LARGE(IF(ISNUMBER(MATCH(Players!$U$2:$U$930,$N$2,0)),IF(Players!$P$2:$P$930&lt;&gt;0,IF(Players!$W$2:$W$930&gt;1.1,Players!$W$2:$W$930))),ROW()-2),Players!$W$2:$W$930,0)),"")</f>
        <v>Isaiah Crowell</v>
      </c>
      <c r="Q34" s="34">
        <f>IFERROR(INDEX(Players!$W$2:$W$930,MATCH(P34,Players!$B$2:$B$930,0)),"")</f>
        <v>5.6003399999999992</v>
      </c>
      <c r="R34" s="27" t="str">
        <f t="array" ref="R34">IFERROR(INDEX(Players!$B$2:$B$930,MATCH(SMALL(IF(ISNUMBER(MATCH(Players!$U$2:$U$930,$N$2,0)),IF(Players!$P$2:$P$930&lt;&gt;0,IF(Players!$W$2:$W$930&lt;0,Players!$W$2:$W$930))),ROW()-2),Players!$W$2:$W$930,0)),"")</f>
        <v>Michael Crabtree</v>
      </c>
      <c r="S34" s="34">
        <f>IFERROR(INDEX(Players!$W$2:$W$930,MATCH(R34,Players!$B$2:$B$930,0)),"")</f>
        <v>-5.6994399999999992</v>
      </c>
      <c r="U34" s="68">
        <v>32</v>
      </c>
      <c r="V34" s="229" t="str">
        <f t="array" ref="V34">IFERROR(INDEX(Players!$B$2:$B$930,MATCH(LARGE(IF(ISNUMBER(MATCH(Players!$U$2:$U$930,$N$2,0)),IF(Players!$P$2:$P$930&lt;&gt;0,IF(Players!$D$2:$D$930=V$2,Players!$P$2:$P$930))),$U34),Players!$P$2:$P$930,0)),"")</f>
        <v>Josh McCown</v>
      </c>
      <c r="W34" s="30" t="str">
        <f t="array" ref="W34">IFERROR(INDEX(Players!$B$2:$B$930,MATCH(LARGE(IF(ISNUMBER(MATCH(Players!$U$2:$U$930,$N$2,0)),IF(Players!$P$2:$P$930&lt;&gt;0,IF(Players!$D$2:$D$930=W$2,Players!$P$2:$P$930))),$U34),Players!$P$2:$P$930,0)),"")</f>
        <v>Terrance West</v>
      </c>
      <c r="X34" s="30" t="str">
        <f t="array" ref="X34">IFERROR(INDEX(Players!$B$2:$B$930,MATCH(LARGE(IF(ISNUMBER(MATCH(Players!$U$2:$U$930,$N$2,0)),IF(Players!$P$2:$P$930&lt;&gt;0,IF(Players!$D$2:$D$930=X$2,Players!$P$2:$P$930))),$U34),Players!$P$2:$P$930,0)),"")</f>
        <v>Randall Cobb</v>
      </c>
      <c r="Y34" s="30" t="str">
        <f t="array" ref="Y34">IFERROR(INDEX(Players!$B$2:$B$930,MATCH(LARGE(IF(ISNUMBER(MATCH(Players!$U$2:$U$930,$N$2,0)),IF(Players!$P$2:$P$930&lt;&gt;0,IF(Players!$D$2:$D$930=Y$2,Players!$P$2:$P$930))),$U34),Players!$P$2:$P$930,0)),"")</f>
        <v>Vernon Davis</v>
      </c>
      <c r="Z34" s="30" t="str">
        <f t="array" ref="Z34">IFERROR(INDEX(Players!$B$2:$B$930,MATCH(LARGE(IF(ISNUMBER(MATCH(Players!$U$2:$U$930,$N$2,0)),IF(Players!$P$2:$P$930&lt;&gt;0,IF(Players!$D$2:$D$930=Z$2,Players!$P$2:$P$930))),$U34),Players!$P$2:$P$930,0)),"")</f>
        <v>Roberto Aguayo</v>
      </c>
      <c r="AA34" s="31" t="str">
        <f t="array" ref="AA34">IFERROR(INDEX(Players!$B$2:$B$930,MATCH(LARGE(IF(ISNUMBER(MATCH(Players!$U$2:$U$930,$N$2,0)),IF(Players!$P$2:$P$930&lt;&gt;0,IF(Players!$D$2:$D$930=AA$2,Players!$P$2:$P$930))),$U34),Players!$P$2:$P$930,0)),"")</f>
        <v>Browns</v>
      </c>
      <c r="AC34" s="40">
        <v>16</v>
      </c>
      <c r="AD34" s="27" t="str">
        <f>IFERROR(VLOOKUP(AD$18&amp;AC34,Input!$AB:$AC,2,0),"")</f>
        <v/>
      </c>
      <c r="AE34" s="282" t="str">
        <f>IFERROR(VLOOKUP(AD34,Input!$AC:$AH,6,0),"")</f>
        <v/>
      </c>
      <c r="AF34" s="281" t="e">
        <f>LARGE(AE19:AE34,AC34)</f>
        <v>#NUM!</v>
      </c>
      <c r="AG34" s="282" t="e">
        <f>VLOOKUP(AM34,Input!$AC:$AF,4,0)</f>
        <v>#NUM!</v>
      </c>
      <c r="AH34" s="282" t="e">
        <f>AG34&amp;COUNTIF(AG19:AG34,AG34)</f>
        <v>#NUM!</v>
      </c>
      <c r="AI34" s="282" t="e">
        <f t="shared" si="1"/>
        <v>#NUM!</v>
      </c>
      <c r="AJ34" s="282" t="e">
        <f>AI34&amp;COUNTIF(AI19:AI34,AI34)</f>
        <v>#NUM!</v>
      </c>
      <c r="AK34" s="282" t="str">
        <f>IFERROR(VLOOKUP(AM34,C12:C21,1,0),"B")</f>
        <v>B</v>
      </c>
      <c r="AL34" s="282" t="str">
        <f>AK34&amp;COUNTIF(AK19:AK34,AK34)</f>
        <v>B16</v>
      </c>
      <c r="AM34" s="282" t="e">
        <f t="array" ref="AM34">INDEX(AD$19:AD$34,SMALL(IF(AE$19:AE$34=AF34,ROW(AE$19:AE$34)-ROW(AF$19)+1),COUNTIF(AF$19:AF34,AF34)))</f>
        <v>#NUM!</v>
      </c>
      <c r="AN34" s="42" t="s">
        <v>606</v>
      </c>
      <c r="AO34" s="283"/>
      <c r="AP34" s="282" t="str">
        <f>IFERROR(VLOOKUP(VLOOKUP(C27,Input!$AC:$AG,5,0),Schedule!$T$3:$U$34,2,0),"")</f>
        <v/>
      </c>
    </row>
    <row r="35" spans="1:42" ht="15.75" thickBot="1" x14ac:dyDescent="0.3">
      <c r="A35" s="41" t="s">
        <v>595</v>
      </c>
      <c r="B35" s="171">
        <f t="shared" ref="B35:K35" si="8">B89-B71</f>
        <v>0</v>
      </c>
      <c r="C35" s="172">
        <f t="shared" si="8"/>
        <v>0</v>
      </c>
      <c r="D35" s="172">
        <f t="shared" si="8"/>
        <v>0</v>
      </c>
      <c r="E35" s="172">
        <f t="shared" si="8"/>
        <v>0</v>
      </c>
      <c r="F35" s="172">
        <f t="shared" si="8"/>
        <v>0</v>
      </c>
      <c r="G35" s="172">
        <f t="shared" si="8"/>
        <v>0</v>
      </c>
      <c r="H35" s="172">
        <f t="shared" si="8"/>
        <v>0</v>
      </c>
      <c r="I35" s="172">
        <f t="shared" si="8"/>
        <v>0</v>
      </c>
      <c r="J35" s="172">
        <f t="shared" si="8"/>
        <v>0</v>
      </c>
      <c r="K35" s="173">
        <f t="shared" si="8"/>
        <v>0</v>
      </c>
      <c r="L35" s="19"/>
      <c r="P35" s="228" t="str">
        <f t="array" ref="P35">IFERROR(INDEX(Players!$B$2:$B$930,MATCH(LARGE(IF(ISNUMBER(MATCH(Players!$U$2:$U$930,$N$2,0)),IF(Players!$P$2:$P$930&lt;&gt;0,IF(Players!$W$2:$W$930&gt;1.1,Players!$W$2:$W$930))),ROW()-2),Players!$W$2:$W$930,0)),"")</f>
        <v>Cardinals</v>
      </c>
      <c r="Q35" s="34">
        <f>IFERROR(INDEX(Players!$W$2:$W$930,MATCH(P35,Players!$B$2:$B$930,0)),"")</f>
        <v>5.4006300000000005</v>
      </c>
      <c r="R35" s="27" t="str">
        <f t="array" ref="R35">IFERROR(INDEX(Players!$B$2:$B$930,MATCH(SMALL(IF(ISNUMBER(MATCH(Players!$U$2:$U$930,$N$2,0)),IF(Players!$P$2:$P$930&lt;&gt;0,IF(Players!$W$2:$W$930&lt;0,Players!$W$2:$W$930))),ROW()-2),Players!$W$2:$W$930,0)),"")</f>
        <v>Spencer Ware</v>
      </c>
      <c r="S35" s="34">
        <f>IFERROR(INDEX(Players!$W$2:$W$930,MATCH(R35,Players!$B$2:$B$930,0)),"")</f>
        <v>-5.2992500000000007</v>
      </c>
      <c r="V35" s="346" t="s">
        <v>6</v>
      </c>
      <c r="W35" s="347"/>
      <c r="X35" s="347"/>
      <c r="Y35" s="347"/>
      <c r="Z35" s="347"/>
      <c r="AA35" s="348"/>
      <c r="AC35" s="284"/>
      <c r="AD35" s="285" t="str">
        <f>Input!BB1</f>
        <v>Team 9</v>
      </c>
      <c r="AE35" s="286" t="s">
        <v>5</v>
      </c>
      <c r="AF35" s="286" t="s">
        <v>905</v>
      </c>
      <c r="AG35" s="286" t="s">
        <v>904</v>
      </c>
      <c r="AH35" s="286" t="s">
        <v>906</v>
      </c>
      <c r="AI35" s="286" t="s">
        <v>907</v>
      </c>
      <c r="AJ35" s="286" t="s">
        <v>908</v>
      </c>
      <c r="AK35" s="286" t="s">
        <v>658</v>
      </c>
      <c r="AL35" s="286" t="s">
        <v>909</v>
      </c>
      <c r="AM35" s="286" t="s">
        <v>910</v>
      </c>
      <c r="AN35" s="287" t="s">
        <v>904</v>
      </c>
      <c r="AO35" s="287" t="s">
        <v>5</v>
      </c>
      <c r="AP35" s="288" t="s">
        <v>728</v>
      </c>
    </row>
    <row r="36" spans="1:42" ht="15.75" thickBot="1" x14ac:dyDescent="0.3">
      <c r="A36" s="41" t="s">
        <v>596</v>
      </c>
      <c r="B36" s="171">
        <f t="shared" ref="B36:K36" si="9">B90-B72</f>
        <v>0</v>
      </c>
      <c r="C36" s="172">
        <f t="shared" si="9"/>
        <v>0</v>
      </c>
      <c r="D36" s="172">
        <f t="shared" si="9"/>
        <v>0</v>
      </c>
      <c r="E36" s="172">
        <f t="shared" si="9"/>
        <v>0</v>
      </c>
      <c r="F36" s="172">
        <f t="shared" si="9"/>
        <v>0</v>
      </c>
      <c r="G36" s="172">
        <f t="shared" si="9"/>
        <v>0</v>
      </c>
      <c r="H36" s="172">
        <f t="shared" si="9"/>
        <v>0</v>
      </c>
      <c r="I36" s="172">
        <f t="shared" si="9"/>
        <v>0</v>
      </c>
      <c r="J36" s="172">
        <f t="shared" si="9"/>
        <v>0</v>
      </c>
      <c r="K36" s="173">
        <f t="shared" si="9"/>
        <v>0</v>
      </c>
      <c r="L36" s="19"/>
      <c r="P36" s="228" t="str">
        <f t="array" ref="P36">IFERROR(INDEX(Players!$B$2:$B$930,MATCH(LARGE(IF(ISNUMBER(MATCH(Players!$U$2:$U$930,$N$2,0)),IF(Players!$P$2:$P$930&lt;&gt;0,IF(Players!$W$2:$W$930&gt;1.1,Players!$W$2:$W$930))),ROW()-2),Players!$W$2:$W$930,0)),"")</f>
        <v>Rob Gronkowski</v>
      </c>
      <c r="Q36" s="34">
        <f>IFERROR(INDEX(Players!$W$2:$W$930,MATCH(P36,Players!$B$2:$B$930,0)),"")</f>
        <v>5.2001700000000026</v>
      </c>
      <c r="R36" s="27" t="str">
        <f t="array" ref="R36">IFERROR(INDEX(Players!$B$2:$B$930,MATCH(SMALL(IF(ISNUMBER(MATCH(Players!$U$2:$U$930,$N$2,0)),IF(Players!$P$2:$P$930&lt;&gt;0,IF(Players!$W$2:$W$930&lt;0,Players!$W$2:$W$930))),ROW()-2),Players!$W$2:$W$930,0)),"")</f>
        <v>Kelvin Benjamin</v>
      </c>
      <c r="S36" s="34">
        <f>IFERROR(INDEX(Players!$W$2:$W$930,MATCH(R36,Players!$B$2:$B$930,0)),"")</f>
        <v>-5.2988900000000001</v>
      </c>
      <c r="V36" s="193" t="s">
        <v>53</v>
      </c>
      <c r="W36" s="194" t="s">
        <v>19</v>
      </c>
      <c r="X36" s="243" t="s">
        <v>17</v>
      </c>
      <c r="Y36" s="243" t="s">
        <v>43</v>
      </c>
      <c r="Z36" s="243" t="s">
        <v>147</v>
      </c>
      <c r="AA36" s="244" t="s">
        <v>135</v>
      </c>
      <c r="AC36" s="39">
        <v>1</v>
      </c>
      <c r="AD36" s="27" t="str">
        <f>IFERROR(VLOOKUP(AD$35&amp;AC36,Input!$AB:$AC,2,0),"")</f>
        <v/>
      </c>
      <c r="AE36" s="281" t="str">
        <f>IFERROR(VLOOKUP(AD36,Input!$AC:$AH,6,0),"")</f>
        <v/>
      </c>
      <c r="AF36" s="281" t="e">
        <f>LARGE(AE36:AE51,AC36)</f>
        <v>#NUM!</v>
      </c>
      <c r="AG36" s="281" t="e">
        <f>VLOOKUP(AM36,Input!$AC:$AF,4,0)</f>
        <v>#NUM!</v>
      </c>
      <c r="AH36" s="281" t="e">
        <f>AG36&amp;COUNTIF(AG36:AG36,AG36)</f>
        <v>#NUM!</v>
      </c>
      <c r="AI36" s="281" t="e">
        <f t="shared" ref="AI36:AI51" si="10">IF(AH36="RB3","F",IF(AH36="WR3","F",IF(AH36="TE2","F",0)))</f>
        <v>#NUM!</v>
      </c>
      <c r="AJ36" s="281" t="e">
        <f>AI36&amp;COUNTIF(AI36:AI36,AI36)</f>
        <v>#NUM!</v>
      </c>
      <c r="AK36" s="281" t="str">
        <f>IFERROR(VLOOKUP(AM36,D12:D21,1,0),"B")</f>
        <v>B</v>
      </c>
      <c r="AL36" s="281" t="str">
        <f>AK36&amp;COUNTIF(AK36:AK36,AK36)</f>
        <v>B1</v>
      </c>
      <c r="AM36" s="281" t="e">
        <f t="array" ref="AM36">INDEX(AD$36:AD$51,SMALL(IF(AE$36:AE$51=AF36,ROW(AE$36:AE$51)-ROW(AF$36)+1),COUNTIF(AF$36:AF36,AF36)))</f>
        <v>#NUM!</v>
      </c>
      <c r="AN36" s="39" t="s">
        <v>591</v>
      </c>
      <c r="AO36" s="281" t="str">
        <f>IFERROR(VLOOKUP(D12,Input!$AC:$AH,6,0),"")</f>
        <v/>
      </c>
      <c r="AP36" s="289" t="str">
        <f>IFERROR(VLOOKUP(VLOOKUP(D12,Input!$AC:$AG,5,0),Schedule!$T$3:$U$34,2,0),"")</f>
        <v/>
      </c>
    </row>
    <row r="37" spans="1:42" x14ac:dyDescent="0.25">
      <c r="A37" s="41" t="s">
        <v>597</v>
      </c>
      <c r="B37" s="171">
        <f t="shared" ref="B37:K37" si="11">B91-B73</f>
        <v>0</v>
      </c>
      <c r="C37" s="172">
        <f t="shared" si="11"/>
        <v>0</v>
      </c>
      <c r="D37" s="172">
        <f t="shared" si="11"/>
        <v>0</v>
      </c>
      <c r="E37" s="172">
        <f t="shared" si="11"/>
        <v>0</v>
      </c>
      <c r="F37" s="172">
        <f t="shared" si="11"/>
        <v>0</v>
      </c>
      <c r="G37" s="172">
        <f t="shared" si="11"/>
        <v>0</v>
      </c>
      <c r="H37" s="172">
        <f t="shared" si="11"/>
        <v>0</v>
      </c>
      <c r="I37" s="172">
        <f t="shared" si="11"/>
        <v>0</v>
      </c>
      <c r="J37" s="172">
        <f t="shared" si="11"/>
        <v>0</v>
      </c>
      <c r="K37" s="173">
        <f t="shared" si="11"/>
        <v>0</v>
      </c>
      <c r="L37" s="19"/>
      <c r="P37" s="228" t="str">
        <f t="array" ref="P37">IFERROR(INDEX(Players!$B$2:$B$930,MATCH(LARGE(IF(ISNUMBER(MATCH(Players!$U$2:$U$930,$N$2,0)),IF(Players!$P$2:$P$930&lt;&gt;0,IF(Players!$W$2:$W$930&gt;1.1,Players!$W$2:$W$930))),ROW()-2),Players!$W$2:$W$930,0)),"")</f>
        <v>DeMarco Murray</v>
      </c>
      <c r="Q37" s="34">
        <f>IFERROR(INDEX(Players!$W$2:$W$930,MATCH(P37,Players!$B$2:$B$930,0)),"")</f>
        <v>4.0001499999999997</v>
      </c>
      <c r="R37" s="27" t="str">
        <f t="array" ref="R37">IFERROR(INDEX(Players!$B$2:$B$930,MATCH(SMALL(IF(ISNUMBER(MATCH(Players!$U$2:$U$930,$N$2,0)),IF(Players!$P$2:$P$930&lt;&gt;0,IF(Players!$W$2:$W$930&lt;0,Players!$W$2:$W$930))),ROW()-2),Players!$W$2:$W$930,0)),"")</f>
        <v>Brandon Marshall</v>
      </c>
      <c r="S37" s="34">
        <f>IFERROR(INDEX(Players!$W$2:$W$930,MATCH(R37,Players!$B$2:$B$930,0)),"")</f>
        <v>-5.2983899999999995</v>
      </c>
      <c r="U37" s="68">
        <v>1</v>
      </c>
      <c r="V37" s="245" t="str">
        <f t="array" ref="V37">IFERROR(INDEX(Players!$B$2:$B$930,MATCH(LARGE(IF(ISNUMBER(MATCH(Players!$U$2:$U$930,$N$2,0)),IF(Players!$P$2:$P$930&lt;&gt;0,IF(Players!$D$2:$D$930=V$2,Players!$G$2:$G$930))),$U37),Players!$G$2:$G$930,0)),"")</f>
        <v>Aaron Rodgers</v>
      </c>
      <c r="W37" s="25" t="str">
        <f t="array" ref="W37">IFERROR(INDEX(Players!$B$2:$B$930,MATCH(LARGE(IF(ISNUMBER(MATCH(Players!$U$2:$U$930,$N$2,0)),IF(Players!$P$2:$P$930&lt;&gt;0,IF(Players!$D$2:$D$930=W$2,Players!$G$2:$G$930))),$U37),Players!$G$2:$G$930,0)),"")</f>
        <v>David Johnson</v>
      </c>
      <c r="X37" s="25" t="str">
        <f t="array" ref="X37">IFERROR(INDEX(Players!$B$2:$B$930,MATCH(LARGE(IF(ISNUMBER(MATCH(Players!$U$2:$U$930,$N$2,0)),IF(Players!$P$2:$P$930&lt;&gt;0,IF(Players!$D$2:$D$930=X$2,Players!$G$2:$G$930))),$U37),Players!$G$2:$G$930,0)),"")</f>
        <v>Antonio Brown</v>
      </c>
      <c r="Y37" s="25" t="str">
        <f t="array" ref="Y37">IFERROR(INDEX(Players!$B$2:$B$930,MATCH(LARGE(IF(ISNUMBER(MATCH(Players!$U$2:$U$930,$N$2,0)),IF(Players!$P$2:$P$930&lt;&gt;0,IF(Players!$D$2:$D$930=Y$2,Players!$G$2:$G$930))),$U37),Players!$G$2:$G$930,0)),"")</f>
        <v>Rob Gronkowski</v>
      </c>
      <c r="Z37" s="25" t="str">
        <f t="array" ref="Z37">IFERROR(INDEX(Players!$B$2:$B$930,MATCH(LARGE(IF(ISNUMBER(MATCH(Players!$U$2:$U$930,$N$2,0)),IF(Players!$P$2:$P$930&lt;&gt;0,IF(Players!$D$2:$D$930=Z$2,Players!$G$2:$G$930))),$U37),Players!$G$2:$G$930,0)),"")</f>
        <v>Stephen Gostkowski</v>
      </c>
      <c r="AA37" s="26" t="str">
        <f t="array" ref="AA37">IFERROR(INDEX(Players!$B$2:$B$930,MATCH(LARGE(IF(ISNUMBER(MATCH(Players!$U$2:$U$930,$N$2,0)),IF(Players!$P$2:$P$930&lt;&gt;0,IF(Players!$D$2:$D$930=AA$2,Players!$G$2:$G$930))),$U37),Players!$G$2:$G$930,0)),"")</f>
        <v>Redskins</v>
      </c>
      <c r="AC37" s="39">
        <v>2</v>
      </c>
      <c r="AD37" s="27" t="str">
        <f>IFERROR(VLOOKUP(AD$35&amp;AC37,Input!$AB:$AC,2,0),"")</f>
        <v/>
      </c>
      <c r="AE37" s="281" t="str">
        <f>IFERROR(VLOOKUP(AD37,Input!$AC:$AH,6,0),"")</f>
        <v/>
      </c>
      <c r="AF37" s="281" t="e">
        <f>LARGE(AE36:AE51,AC37)</f>
        <v>#NUM!</v>
      </c>
      <c r="AG37" s="281" t="e">
        <f>VLOOKUP(AM37,Input!$AC:$AF,4,0)</f>
        <v>#NUM!</v>
      </c>
      <c r="AH37" s="281" t="e">
        <f>AG37&amp;COUNTIF(AG36:AG37,AG37)</f>
        <v>#NUM!</v>
      </c>
      <c r="AI37" s="281" t="e">
        <f t="shared" si="10"/>
        <v>#NUM!</v>
      </c>
      <c r="AJ37" s="281" t="e">
        <f>AI37&amp;COUNTIF(AI36:AI37,AI37)</f>
        <v>#NUM!</v>
      </c>
      <c r="AK37" s="281" t="str">
        <f>IFERROR(VLOOKUP(AM37,D12:D21,1,0),"B")</f>
        <v>B</v>
      </c>
      <c r="AL37" s="281" t="str">
        <f>AK37&amp;COUNTIF(AK36:AK37,AK37)</f>
        <v>B2</v>
      </c>
      <c r="AM37" s="281" t="e">
        <f t="array" ref="AM37">INDEX(AD$36:AD$51,SMALL(IF(AE$36:AE$51=AF37,ROW(AE$36:AE$51)-ROW(AF$36)+1),COUNTIF(AF$36:AF37,AF37)))</f>
        <v>#NUM!</v>
      </c>
      <c r="AN37" s="39" t="s">
        <v>592</v>
      </c>
      <c r="AO37" s="281" t="str">
        <f>IFERROR(VLOOKUP(D13,Input!$AC:$AH,6,0),"")</f>
        <v/>
      </c>
      <c r="AP37" s="289" t="str">
        <f>IFERROR(VLOOKUP(VLOOKUP(D13,Input!$AC:$AG,5,0),Schedule!$T$3:$U$34,2,0),"")</f>
        <v/>
      </c>
    </row>
    <row r="38" spans="1:42" x14ac:dyDescent="0.25">
      <c r="A38" s="41" t="s">
        <v>598</v>
      </c>
      <c r="B38" s="171">
        <f t="shared" ref="B38:K38" si="12">B92-B74</f>
        <v>0</v>
      </c>
      <c r="C38" s="172">
        <f t="shared" si="12"/>
        <v>0</v>
      </c>
      <c r="D38" s="172">
        <f t="shared" si="12"/>
        <v>0</v>
      </c>
      <c r="E38" s="172">
        <f t="shared" si="12"/>
        <v>0</v>
      </c>
      <c r="F38" s="172">
        <f t="shared" si="12"/>
        <v>0</v>
      </c>
      <c r="G38" s="172">
        <f t="shared" si="12"/>
        <v>0</v>
      </c>
      <c r="H38" s="172">
        <f t="shared" si="12"/>
        <v>0</v>
      </c>
      <c r="I38" s="172">
        <f t="shared" si="12"/>
        <v>0</v>
      </c>
      <c r="J38" s="172">
        <f t="shared" si="12"/>
        <v>0</v>
      </c>
      <c r="K38" s="173">
        <f t="shared" si="12"/>
        <v>0</v>
      </c>
      <c r="L38" s="19"/>
      <c r="P38" s="228" t="str">
        <f t="array" ref="P38">IFERROR(INDEX(Players!$B$2:$B$930,MATCH(LARGE(IF(ISNUMBER(MATCH(Players!$U$2:$U$930,$N$2,0)),IF(Players!$P$2:$P$930&lt;&gt;0,IF(Players!$W$2:$W$930&gt;1.1,Players!$W$2:$W$930))),ROW()-2),Players!$W$2:$W$930,0)),"")</f>
        <v>Adam Vinatieri</v>
      </c>
      <c r="Q38" s="34">
        <f>IFERROR(INDEX(Players!$W$2:$W$930,MATCH(P38,Players!$B$2:$B$930,0)),"")</f>
        <v>3.6007000000000002</v>
      </c>
      <c r="R38" s="27" t="str">
        <f t="array" ref="R38">IFERROR(INDEX(Players!$B$2:$B$930,MATCH(SMALL(IF(ISNUMBER(MATCH(Players!$U$2:$U$930,$N$2,0)),IF(Players!$P$2:$P$930&lt;&gt;0,IF(Players!$W$2:$W$930&lt;0,Players!$W$2:$W$930))),ROW()-2),Players!$W$2:$W$930,0)),"")</f>
        <v>Larry Fitzgerald</v>
      </c>
      <c r="S38" s="34">
        <f>IFERROR(INDEX(Players!$W$2:$W$930,MATCH(R38,Players!$B$2:$B$930,0)),"")</f>
        <v>-5.0993999999999993</v>
      </c>
      <c r="U38" s="68">
        <v>2</v>
      </c>
      <c r="V38" s="228" t="str">
        <f t="array" ref="V38">IFERROR(INDEX(Players!$B$2:$B$930,MATCH(LARGE(IF(ISNUMBER(MATCH(Players!$U$2:$U$930,$N$2,0)),IF(Players!$P$2:$P$930&lt;&gt;0,IF(Players!$D$2:$D$930=V$2,Players!$G$2:$G$930))),$U38),Players!$G$2:$G$930,0)),"")</f>
        <v>Tom Brady</v>
      </c>
      <c r="W38" s="23" t="str">
        <f t="array" ref="W38">IFERROR(INDEX(Players!$B$2:$B$930,MATCH(LARGE(IF(ISNUMBER(MATCH(Players!$U$2:$U$930,$N$2,0)),IF(Players!$P$2:$P$930&lt;&gt;0,IF(Players!$D$2:$D$930=W$2,Players!$G$2:$G$930))),$U38),Players!$G$2:$G$930,0)),"")</f>
        <v>LeVeon Bell</v>
      </c>
      <c r="X38" s="23" t="str">
        <f t="array" ref="X38">IFERROR(INDEX(Players!$B$2:$B$930,MATCH(LARGE(IF(ISNUMBER(MATCH(Players!$U$2:$U$930,$N$2,0)),IF(Players!$P$2:$P$930&lt;&gt;0,IF(Players!$D$2:$D$930=X$2,Players!$G$2:$G$930))),$U38),Players!$G$2:$G$930,0)),"")</f>
        <v>Julio Jones</v>
      </c>
      <c r="Y38" s="23" t="str">
        <f t="array" ref="Y38">IFERROR(INDEX(Players!$B$2:$B$930,MATCH(LARGE(IF(ISNUMBER(MATCH(Players!$U$2:$U$930,$N$2,0)),IF(Players!$P$2:$P$930&lt;&gt;0,IF(Players!$D$2:$D$930=Y$2,Players!$G$2:$G$930))),$U38),Players!$G$2:$G$930,0)),"")</f>
        <v>Jordan Reed</v>
      </c>
      <c r="Z38" s="23" t="str">
        <f t="array" ref="Z38">IFERROR(INDEX(Players!$B$2:$B$930,MATCH(LARGE(IF(ISNUMBER(MATCH(Players!$U$2:$U$930,$N$2,0)),IF(Players!$P$2:$P$930&lt;&gt;0,IF(Players!$D$2:$D$930=Z$2,Players!$G$2:$G$930))),$U38),Players!$G$2:$G$930,0)),"")</f>
        <v>Matt Bryant</v>
      </c>
      <c r="AA38" s="28" t="str">
        <f t="array" ref="AA38">IFERROR(INDEX(Players!$B$2:$B$930,MATCH(LARGE(IF(ISNUMBER(MATCH(Players!$U$2:$U$930,$N$2,0)),IF(Players!$P$2:$P$930&lt;&gt;0,IF(Players!$D$2:$D$930=AA$2,Players!$G$2:$G$930))),$U38),Players!$G$2:$G$930,0)),"")</f>
        <v>49ers</v>
      </c>
      <c r="AC38" s="39">
        <v>3</v>
      </c>
      <c r="AD38" s="27" t="str">
        <f>IFERROR(VLOOKUP(AD$35&amp;AC38,Input!$AB:$AC,2,0),"")</f>
        <v/>
      </c>
      <c r="AE38" s="281" t="str">
        <f>IFERROR(VLOOKUP(AD38,Input!$AC:$AH,6,0),"")</f>
        <v/>
      </c>
      <c r="AF38" s="281" t="e">
        <f>LARGE(AE36:AE51,AC38)</f>
        <v>#NUM!</v>
      </c>
      <c r="AG38" s="281" t="e">
        <f>VLOOKUP(AM38,Input!$AC:$AF,4,0)</f>
        <v>#NUM!</v>
      </c>
      <c r="AH38" s="281" t="e">
        <f>AG38&amp;COUNTIF(AG36:AG38,AG38)</f>
        <v>#NUM!</v>
      </c>
      <c r="AI38" s="281" t="e">
        <f t="shared" si="10"/>
        <v>#NUM!</v>
      </c>
      <c r="AJ38" s="281" t="e">
        <f>AI38&amp;COUNTIF(AI36:AI38,AI38)</f>
        <v>#NUM!</v>
      </c>
      <c r="AK38" s="281" t="str">
        <f>IFERROR(VLOOKUP(AM38,D12:D21,1,0),"B")</f>
        <v>B</v>
      </c>
      <c r="AL38" s="281" t="str">
        <f>AK38&amp;COUNTIF(AK36:AK38,AK38)</f>
        <v>B3</v>
      </c>
      <c r="AM38" s="281" t="e">
        <f t="array" ref="AM38">INDEX(AD$36:AD$51,SMALL(IF(AE$36:AE$51=AF38,ROW(AE$36:AE$51)-ROW(AF$36)+1),COUNTIF(AF$36:AF38,AF38)))</f>
        <v>#NUM!</v>
      </c>
      <c r="AN38" s="39" t="s">
        <v>593</v>
      </c>
      <c r="AO38" s="281" t="str">
        <f>IFERROR(VLOOKUP(D14,Input!$AC:$AH,6,0),"")</f>
        <v/>
      </c>
      <c r="AP38" s="289" t="str">
        <f>IFERROR(VLOOKUP(VLOOKUP(D14,Input!$AC:$AG,5,0),Schedule!$T$3:$U$34,2,0),"")</f>
        <v/>
      </c>
    </row>
    <row r="39" spans="1:42" x14ac:dyDescent="0.25">
      <c r="A39" s="41" t="s">
        <v>599</v>
      </c>
      <c r="B39" s="171">
        <f t="shared" ref="B39:K39" si="13">B93-B75</f>
        <v>0</v>
      </c>
      <c r="C39" s="172">
        <f t="shared" si="13"/>
        <v>0</v>
      </c>
      <c r="D39" s="172">
        <f t="shared" si="13"/>
        <v>0</v>
      </c>
      <c r="E39" s="172">
        <f t="shared" si="13"/>
        <v>0</v>
      </c>
      <c r="F39" s="172">
        <f t="shared" si="13"/>
        <v>0</v>
      </c>
      <c r="G39" s="172">
        <f t="shared" si="13"/>
        <v>0</v>
      </c>
      <c r="H39" s="172">
        <f t="shared" si="13"/>
        <v>0</v>
      </c>
      <c r="I39" s="172">
        <f t="shared" si="13"/>
        <v>0</v>
      </c>
      <c r="J39" s="172">
        <f t="shared" si="13"/>
        <v>0</v>
      </c>
      <c r="K39" s="173">
        <f t="shared" si="13"/>
        <v>0</v>
      </c>
      <c r="L39" s="19"/>
      <c r="P39" s="228" t="str">
        <f t="array" ref="P39">IFERROR(INDEX(Players!$B$2:$B$930,MATCH(LARGE(IF(ISNUMBER(MATCH(Players!$U$2:$U$930,$N$2,0)),IF(Players!$P$2:$P$930&lt;&gt;0,IF(Players!$W$2:$W$930&gt;1.1,Players!$W$2:$W$930))),ROW()-2),Players!$W$2:$W$930,0)),"")</f>
        <v>Todd Gurley</v>
      </c>
      <c r="Q39" s="34">
        <f>IFERROR(INDEX(Players!$W$2:$W$930,MATCH(P39,Players!$B$2:$B$930,0)),"")</f>
        <v>3.6002300000000016</v>
      </c>
      <c r="R39" s="27" t="str">
        <f t="array" ref="R39">IFERROR(INDEX(Players!$B$2:$B$930,MATCH(SMALL(IF(ISNUMBER(MATCH(Players!$U$2:$U$930,$N$2,0)),IF(Players!$P$2:$P$930&lt;&gt;0,IF(Players!$W$2:$W$930&lt;0,Players!$W$2:$W$930))),ROW()-2),Players!$W$2:$W$930,0)),"")</f>
        <v>Mike Gillislee</v>
      </c>
      <c r="S39" s="34">
        <f>IFERROR(INDEX(Players!$W$2:$W$930,MATCH(R39,Players!$B$2:$B$930,0)),"")</f>
        <v>-5.0985399999999998</v>
      </c>
      <c r="U39" s="68">
        <v>3</v>
      </c>
      <c r="V39" s="228" t="str">
        <f t="array" ref="V39">IFERROR(INDEX(Players!$B$2:$B$930,MATCH(LARGE(IF(ISNUMBER(MATCH(Players!$U$2:$U$930,$N$2,0)),IF(Players!$P$2:$P$930&lt;&gt;0,IF(Players!$D$2:$D$930=V$2,Players!$G$2:$G$930))),$U39),Players!$G$2:$G$930,0)),"")</f>
        <v>Matt Ryan</v>
      </c>
      <c r="W39" s="23" t="str">
        <f t="array" ref="W39">IFERROR(INDEX(Players!$B$2:$B$930,MATCH(LARGE(IF(ISNUMBER(MATCH(Players!$U$2:$U$930,$N$2,0)),IF(Players!$P$2:$P$930&lt;&gt;0,IF(Players!$D$2:$D$930=W$2,Players!$G$2:$G$930))),$U39),Players!$G$2:$G$930,0)),"")</f>
        <v>Ezekiel Elliott</v>
      </c>
      <c r="X39" s="23" t="str">
        <f t="array" ref="X39">IFERROR(INDEX(Players!$B$2:$B$930,MATCH(LARGE(IF(ISNUMBER(MATCH(Players!$U$2:$U$930,$N$2,0)),IF(Players!$P$2:$P$930&lt;&gt;0,IF(Players!$D$2:$D$930=X$2,Players!$G$2:$G$930))),$U39),Players!$G$2:$G$930,0)),"")</f>
        <v>Mike Evans</v>
      </c>
      <c r="Y39" s="23" t="str">
        <f t="array" ref="Y39">IFERROR(INDEX(Players!$B$2:$B$930,MATCH(LARGE(IF(ISNUMBER(MATCH(Players!$U$2:$U$930,$N$2,0)),IF(Players!$P$2:$P$930&lt;&gt;0,IF(Players!$D$2:$D$930=Y$2,Players!$G$2:$G$930))),$U39),Players!$G$2:$G$930,0)),"")</f>
        <v>Greg Olsen</v>
      </c>
      <c r="Z39" s="23" t="str">
        <f t="array" ref="Z39">IFERROR(INDEX(Players!$B$2:$B$930,MATCH(LARGE(IF(ISNUMBER(MATCH(Players!$U$2:$U$930,$N$2,0)),IF(Players!$P$2:$P$930&lt;&gt;0,IF(Players!$D$2:$D$930=Z$2,Players!$G$2:$G$930))),$U39),Players!$G$2:$G$930,0)),"")</f>
        <v>Justin Tucker</v>
      </c>
      <c r="AA39" s="28" t="str">
        <f t="array" ref="AA39">IFERROR(INDEX(Players!$B$2:$B$930,MATCH(LARGE(IF(ISNUMBER(MATCH(Players!$U$2:$U$930,$N$2,0)),IF(Players!$P$2:$P$930&lt;&gt;0,IF(Players!$D$2:$D$930=AA$2,Players!$G$2:$G$930))),$U39),Players!$G$2:$G$930,0)),"")</f>
        <v>Chargers</v>
      </c>
      <c r="AC39" s="39">
        <v>4</v>
      </c>
      <c r="AD39" s="27" t="str">
        <f>IFERROR(VLOOKUP(AD$35&amp;AC39,Input!$AB:$AC,2,0),"")</f>
        <v/>
      </c>
      <c r="AE39" s="281" t="str">
        <f>IFERROR(VLOOKUP(AD39,Input!$AC:$AH,6,0),"")</f>
        <v/>
      </c>
      <c r="AF39" s="281" t="e">
        <f>LARGE(AE36:AE51,AC39)</f>
        <v>#NUM!</v>
      </c>
      <c r="AG39" s="281" t="e">
        <f>VLOOKUP(AM39,Input!$AC:$AF,4,0)</f>
        <v>#NUM!</v>
      </c>
      <c r="AH39" s="281" t="e">
        <f>AG39&amp;COUNTIF(AG36:AG39,AG39)</f>
        <v>#NUM!</v>
      </c>
      <c r="AI39" s="281" t="e">
        <f t="shared" si="10"/>
        <v>#NUM!</v>
      </c>
      <c r="AJ39" s="281" t="e">
        <f>AI39&amp;COUNTIF(AI36:AI39,AI39)</f>
        <v>#NUM!</v>
      </c>
      <c r="AK39" s="281" t="str">
        <f>IFERROR(VLOOKUP(AM39,D12:D21,1,0),"B")</f>
        <v>B</v>
      </c>
      <c r="AL39" s="281" t="str">
        <f>AK39&amp;COUNTIF(AK36:AK39,AK39)</f>
        <v>B4</v>
      </c>
      <c r="AM39" s="281" t="e">
        <f t="array" ref="AM39">INDEX(AD$36:AD$51,SMALL(IF(AE$36:AE$51=AF39,ROW(AE$36:AE$51)-ROW(AF$36)+1),COUNTIF(AF$36:AF39,AF39)))</f>
        <v>#NUM!</v>
      </c>
      <c r="AN39" s="41" t="s">
        <v>594</v>
      </c>
      <c r="AO39" s="281" t="str">
        <f>IFERROR(VLOOKUP(D15,Input!$AC:$AH,6,0),"")</f>
        <v/>
      </c>
      <c r="AP39" s="289" t="str">
        <f>IFERROR(VLOOKUP(VLOOKUP(D15,Input!$AC:$AG,5,0),Schedule!$T$3:$U$34,2,0),"")</f>
        <v/>
      </c>
    </row>
    <row r="40" spans="1:42" ht="15.75" thickBot="1" x14ac:dyDescent="0.3">
      <c r="A40" s="41" t="s">
        <v>600</v>
      </c>
      <c r="B40" s="171">
        <f t="shared" ref="B40:K40" si="14">B94-B76</f>
        <v>0</v>
      </c>
      <c r="C40" s="172">
        <f t="shared" si="14"/>
        <v>0</v>
      </c>
      <c r="D40" s="172">
        <f t="shared" si="14"/>
        <v>0</v>
      </c>
      <c r="E40" s="172">
        <f t="shared" si="14"/>
        <v>0</v>
      </c>
      <c r="F40" s="172">
        <f t="shared" si="14"/>
        <v>0</v>
      </c>
      <c r="G40" s="172">
        <f t="shared" si="14"/>
        <v>0</v>
      </c>
      <c r="H40" s="172">
        <f t="shared" si="14"/>
        <v>0</v>
      </c>
      <c r="I40" s="172">
        <f t="shared" si="14"/>
        <v>0</v>
      </c>
      <c r="J40" s="172">
        <f t="shared" si="14"/>
        <v>0</v>
      </c>
      <c r="K40" s="173">
        <f t="shared" si="14"/>
        <v>0</v>
      </c>
      <c r="L40" s="19"/>
      <c r="P40" s="228" t="str">
        <f t="array" ref="P40">IFERROR(INDEX(Players!$B$2:$B$930,MATCH(LARGE(IF(ISNUMBER(MATCH(Players!$U$2:$U$930,$N$2,0)),IF(Players!$P$2:$P$930&lt;&gt;0,IF(Players!$W$2:$W$930&gt;1.1,Players!$W$2:$W$930))),ROW()-2),Players!$W$2:$W$930,0)),"")</f>
        <v>Dan Bailey</v>
      </c>
      <c r="Q40" s="34">
        <f>IFERROR(INDEX(Players!$W$2:$W$930,MATCH(P40,Players!$B$2:$B$930,0)),"")</f>
        <v>3.4006799999999999</v>
      </c>
      <c r="R40" s="27" t="str">
        <f t="array" ref="R40">IFERROR(INDEX(Players!$B$2:$B$930,MATCH(SMALL(IF(ISNUMBER(MATCH(Players!$U$2:$U$930,$N$2,0)),IF(Players!$P$2:$P$930&lt;&gt;0,IF(Players!$W$2:$W$930&lt;0,Players!$W$2:$W$930))),ROW()-2),Players!$W$2:$W$930,0)),"")</f>
        <v>Ty Montgomery</v>
      </c>
      <c r="S40" s="34">
        <f>IFERROR(INDEX(Players!$W$2:$W$930,MATCH(R40,Players!$B$2:$B$930,0)),"")</f>
        <v>-4.6496899999999988</v>
      </c>
      <c r="U40" s="68">
        <v>4</v>
      </c>
      <c r="V40" s="228" t="str">
        <f t="array" ref="V40">IFERROR(INDEX(Players!$B$2:$B$930,MATCH(LARGE(IF(ISNUMBER(MATCH(Players!$U$2:$U$930,$N$2,0)),IF(Players!$P$2:$P$930&lt;&gt;0,IF(Players!$D$2:$D$930=V$2,Players!$G$2:$G$930))),$U40),Players!$G$2:$G$930,0)),"")</f>
        <v>Drew Brees</v>
      </c>
      <c r="W40" s="23" t="str">
        <f t="array" ref="W40">IFERROR(INDEX(Players!$B$2:$B$930,MATCH(LARGE(IF(ISNUMBER(MATCH(Players!$U$2:$U$930,$N$2,0)),IF(Players!$P$2:$P$930&lt;&gt;0,IF(Players!$D$2:$D$930=W$2,Players!$G$2:$G$930))),$U40),Players!$G$2:$G$930,0)),"")</f>
        <v>Devonta Freeman</v>
      </c>
      <c r="X40" s="23" t="str">
        <f t="array" ref="X40">IFERROR(INDEX(Players!$B$2:$B$930,MATCH(LARGE(IF(ISNUMBER(MATCH(Players!$U$2:$U$930,$N$2,0)),IF(Players!$P$2:$P$930&lt;&gt;0,IF(Players!$D$2:$D$930=X$2,Players!$G$2:$G$930))),$U40),Players!$G$2:$G$930,0)),"")</f>
        <v>Odell Beckham</v>
      </c>
      <c r="Y40" s="23" t="str">
        <f t="array" ref="Y40">IFERROR(INDEX(Players!$B$2:$B$930,MATCH(LARGE(IF(ISNUMBER(MATCH(Players!$U$2:$U$930,$N$2,0)),IF(Players!$P$2:$P$930&lt;&gt;0,IF(Players!$D$2:$D$930=Y$2,Players!$G$2:$G$930))),$U40),Players!$G$2:$G$930,0)),"")</f>
        <v>Travis Kelce</v>
      </c>
      <c r="Z40" s="23" t="str">
        <f t="array" ref="Z40">IFERROR(INDEX(Players!$B$2:$B$930,MATCH(LARGE(IF(ISNUMBER(MATCH(Players!$U$2:$U$930,$N$2,0)),IF(Players!$P$2:$P$930&lt;&gt;0,IF(Players!$D$2:$D$930=Z$2,Players!$G$2:$G$930))),$U40),Players!$G$2:$G$930,0)),"")</f>
        <v>Mason Crosby</v>
      </c>
      <c r="AA40" s="28" t="str">
        <f t="array" ref="AA40">IFERROR(INDEX(Players!$B$2:$B$930,MATCH(LARGE(IF(ISNUMBER(MATCH(Players!$U$2:$U$930,$N$2,0)),IF(Players!$P$2:$P$930&lt;&gt;0,IF(Players!$D$2:$D$930=AA$2,Players!$G$2:$G$930))),$U40),Players!$G$2:$G$930,0)),"")</f>
        <v>Cardinals</v>
      </c>
      <c r="AC40" s="39">
        <v>5</v>
      </c>
      <c r="AD40" s="27" t="str">
        <f>IFERROR(VLOOKUP(AD$35&amp;AC40,Input!$AB:$AC,2,0),"")</f>
        <v/>
      </c>
      <c r="AE40" s="281" t="str">
        <f>IFERROR(VLOOKUP(AD40,Input!$AC:$AH,6,0),"")</f>
        <v/>
      </c>
      <c r="AF40" s="281" t="e">
        <f>LARGE(AE36:AE51,AC40)</f>
        <v>#NUM!</v>
      </c>
      <c r="AG40" s="281" t="e">
        <f>VLOOKUP(AM40,Input!$AC:$AF,4,0)</f>
        <v>#NUM!</v>
      </c>
      <c r="AH40" s="281" t="e">
        <f>AG40&amp;COUNTIF(AG36:AG40,AG40)</f>
        <v>#NUM!</v>
      </c>
      <c r="AI40" s="281" t="e">
        <f t="shared" si="10"/>
        <v>#NUM!</v>
      </c>
      <c r="AJ40" s="281" t="e">
        <f>AI40&amp;COUNTIF(AI36:AI40,AI40)</f>
        <v>#NUM!</v>
      </c>
      <c r="AK40" s="281" t="str">
        <f>IFERROR(VLOOKUP(AM40,D12:D21,1,0),"B")</f>
        <v>B</v>
      </c>
      <c r="AL40" s="281" t="str">
        <f>AK40&amp;COUNTIF(AK36:AK40,AK40)</f>
        <v>B5</v>
      </c>
      <c r="AM40" s="281" t="e">
        <f t="array" ref="AM40">INDEX(AD$36:AD$51,SMALL(IF(AE$36:AE$51=AF40,ROW(AE$36:AE$51)-ROW(AF$36)+1),COUNTIF(AF$36:AF40,AF40)))</f>
        <v>#NUM!</v>
      </c>
      <c r="AN40" s="41" t="s">
        <v>595</v>
      </c>
      <c r="AO40" s="281" t="str">
        <f>IFERROR(VLOOKUP(D16,Input!$AC:$AH,6,0),"")</f>
        <v/>
      </c>
      <c r="AP40" s="289" t="str">
        <f>IFERROR(VLOOKUP(VLOOKUP(D16,Input!$AC:$AG,5,0),Schedule!$T$3:$U$34,2,0),"")</f>
        <v/>
      </c>
    </row>
    <row r="41" spans="1:42" x14ac:dyDescent="0.25">
      <c r="A41" s="41" t="s">
        <v>601</v>
      </c>
      <c r="B41" s="158">
        <f t="shared" ref="B41:K41" si="15">B95-B77</f>
        <v>0</v>
      </c>
      <c r="C41" s="159">
        <f t="shared" si="15"/>
        <v>0</v>
      </c>
      <c r="D41" s="159">
        <f t="shared" si="15"/>
        <v>0</v>
      </c>
      <c r="E41" s="159">
        <f t="shared" si="15"/>
        <v>0</v>
      </c>
      <c r="F41" s="159">
        <f t="shared" si="15"/>
        <v>0</v>
      </c>
      <c r="G41" s="159">
        <f t="shared" si="15"/>
        <v>0</v>
      </c>
      <c r="H41" s="159">
        <f t="shared" si="15"/>
        <v>0</v>
      </c>
      <c r="I41" s="159">
        <f t="shared" si="15"/>
        <v>0</v>
      </c>
      <c r="J41" s="159">
        <f t="shared" si="15"/>
        <v>0</v>
      </c>
      <c r="K41" s="160">
        <f t="shared" si="15"/>
        <v>0</v>
      </c>
      <c r="L41" s="167"/>
      <c r="P41" s="228" t="str">
        <f t="array" ref="P41">IFERROR(INDEX(Players!$B$2:$B$930,MATCH(LARGE(IF(ISNUMBER(MATCH(Players!$U$2:$U$930,$N$2,0)),IF(Players!$P$2:$P$930&lt;&gt;0,IF(Players!$W$2:$W$930&gt;1.1,Players!$W$2:$W$930))),ROW()-2),Players!$W$2:$W$930,0)),"")</f>
        <v>Andrew Luck</v>
      </c>
      <c r="Q41" s="34">
        <f>IFERROR(INDEX(Players!$W$2:$W$930,MATCH(P41,Players!$B$2:$B$930,0)),"")</f>
        <v>3.2005300000000001</v>
      </c>
      <c r="R41" s="27" t="str">
        <f t="array" ref="R41">IFERROR(INDEX(Players!$B$2:$B$930,MATCH(SMALL(IF(ISNUMBER(MATCH(Players!$U$2:$U$930,$N$2,0)),IF(Players!$P$2:$P$930&lt;&gt;0,IF(Players!$W$2:$W$930&lt;0,Players!$W$2:$W$930))),ROW()-2),Players!$W$2:$W$930,0)),"")</f>
        <v>Tevin Coleman</v>
      </c>
      <c r="S41" s="34">
        <f>IFERROR(INDEX(Players!$W$2:$W$930,MATCH(R41,Players!$B$2:$B$930,0)),"")</f>
        <v>-4.5991</v>
      </c>
      <c r="U41" s="68">
        <v>5</v>
      </c>
      <c r="V41" s="228" t="str">
        <f t="array" ref="V41">IFERROR(INDEX(Players!$B$2:$B$930,MATCH(LARGE(IF(ISNUMBER(MATCH(Players!$U$2:$U$930,$N$2,0)),IF(Players!$P$2:$P$930&lt;&gt;0,IF(Players!$D$2:$D$930=V$2,Players!$G$2:$G$930))),$U41),Players!$G$2:$G$930,0)),"")</f>
        <v>Russell Wilson</v>
      </c>
      <c r="W41" s="23" t="str">
        <f t="array" ref="W41">IFERROR(INDEX(Players!$B$2:$B$930,MATCH(LARGE(IF(ISNUMBER(MATCH(Players!$U$2:$U$930,$N$2,0)),IF(Players!$P$2:$P$930&lt;&gt;0,IF(Players!$D$2:$D$930=W$2,Players!$G$2:$G$930))),$U41),Players!$G$2:$G$930,0)),"")</f>
        <v>LeSean McCoy</v>
      </c>
      <c r="X41" s="23" t="str">
        <f t="array" ref="X41">IFERROR(INDEX(Players!$B$2:$B$930,MATCH(LARGE(IF(ISNUMBER(MATCH(Players!$U$2:$U$930,$N$2,0)),IF(Players!$P$2:$P$930&lt;&gt;0,IF(Players!$D$2:$D$930=X$2,Players!$G$2:$G$930))),$U41),Players!$G$2:$G$930,0)),"")</f>
        <v>A.J. Green</v>
      </c>
      <c r="Y41" s="23" t="str">
        <f t="array" ref="Y41">IFERROR(INDEX(Players!$B$2:$B$930,MATCH(LARGE(IF(ISNUMBER(MATCH(Players!$U$2:$U$930,$N$2,0)),IF(Players!$P$2:$P$930&lt;&gt;0,IF(Players!$D$2:$D$930=Y$2,Players!$G$2:$G$930))),$U41),Players!$G$2:$G$930,0)),"")</f>
        <v>Jimmy Graham</v>
      </c>
      <c r="Z41" s="23" t="str">
        <f t="array" ref="Z41">IFERROR(INDEX(Players!$B$2:$B$930,MATCH(LARGE(IF(ISNUMBER(MATCH(Players!$U$2:$U$930,$N$2,0)),IF(Players!$P$2:$P$930&lt;&gt;0,IF(Players!$D$2:$D$930=Z$2,Players!$G$2:$G$930))),$U41),Players!$G$2:$G$930,0)),"")</f>
        <v>Adam Vinatieri</v>
      </c>
      <c r="AA41" s="28" t="str">
        <f t="array" ref="AA41">IFERROR(INDEX(Players!$B$2:$B$930,MATCH(LARGE(IF(ISNUMBER(MATCH(Players!$U$2:$U$930,$N$2,0)),IF(Players!$P$2:$P$930&lt;&gt;0,IF(Players!$D$2:$D$930=AA$2,Players!$G$2:$G$930))),$U41),Players!$G$2:$G$930,0)),"")</f>
        <v>Broncos</v>
      </c>
      <c r="AC41" s="39">
        <v>6</v>
      </c>
      <c r="AD41" s="27" t="str">
        <f>IFERROR(VLOOKUP(AD$35&amp;AC41,Input!$AB:$AC,2,0),"")</f>
        <v/>
      </c>
      <c r="AE41" s="281" t="str">
        <f>IFERROR(VLOOKUP(AD41,Input!$AC:$AH,6,0),"")</f>
        <v/>
      </c>
      <c r="AF41" s="281" t="e">
        <f>LARGE(AE36:AE51,AC41)</f>
        <v>#NUM!</v>
      </c>
      <c r="AG41" s="281" t="e">
        <f>VLOOKUP(AM41,Input!$AC:$AF,4,0)</f>
        <v>#NUM!</v>
      </c>
      <c r="AH41" s="281" t="e">
        <f>AG41&amp;COUNTIF(AG36:AG41,AG41)</f>
        <v>#NUM!</v>
      </c>
      <c r="AI41" s="281" t="e">
        <f t="shared" si="10"/>
        <v>#NUM!</v>
      </c>
      <c r="AJ41" s="281" t="e">
        <f>AI41&amp;COUNTIF(AI36:AI41,AI41)</f>
        <v>#NUM!</v>
      </c>
      <c r="AK41" s="281" t="str">
        <f>IFERROR(VLOOKUP(AM41,D12:D21,1,0),"B")</f>
        <v>B</v>
      </c>
      <c r="AL41" s="281" t="str">
        <f>AK41&amp;COUNTIF(AK36:AK41,AK41)</f>
        <v>B6</v>
      </c>
      <c r="AM41" s="281" t="e">
        <f t="array" ref="AM41">INDEX(AD$36:AD$51,SMALL(IF(AE$36:AE$51=AF41,ROW(AE$36:AE$51)-ROW(AF$36)+1),COUNTIF(AF$36:AF41,AF41)))</f>
        <v>#NUM!</v>
      </c>
      <c r="AN41" s="41" t="s">
        <v>596</v>
      </c>
      <c r="AO41" s="281" t="str">
        <f>IFERROR(VLOOKUP(D17,Input!$AC:$AH,6,0),"")</f>
        <v/>
      </c>
      <c r="AP41" s="289" t="str">
        <f>IFERROR(VLOOKUP(VLOOKUP(D17,Input!$AC:$AG,5,0),Schedule!$T$3:$U$34,2,0),"")</f>
        <v/>
      </c>
    </row>
    <row r="42" spans="1:42" x14ac:dyDescent="0.25">
      <c r="A42" s="41" t="s">
        <v>602</v>
      </c>
      <c r="B42" s="161">
        <f t="shared" ref="B42:K42" si="16">B96-B78</f>
        <v>0</v>
      </c>
      <c r="C42" s="162">
        <f t="shared" si="16"/>
        <v>0</v>
      </c>
      <c r="D42" s="162">
        <f t="shared" si="16"/>
        <v>0</v>
      </c>
      <c r="E42" s="162">
        <f t="shared" si="16"/>
        <v>0</v>
      </c>
      <c r="F42" s="162">
        <f t="shared" si="16"/>
        <v>0</v>
      </c>
      <c r="G42" s="162">
        <f t="shared" si="16"/>
        <v>0</v>
      </c>
      <c r="H42" s="162">
        <f t="shared" si="16"/>
        <v>0</v>
      </c>
      <c r="I42" s="162">
        <f t="shared" si="16"/>
        <v>0</v>
      </c>
      <c r="J42" s="162">
        <f t="shared" si="16"/>
        <v>0</v>
      </c>
      <c r="K42" s="163">
        <f t="shared" si="16"/>
        <v>0</v>
      </c>
      <c r="L42" s="151"/>
      <c r="P42" s="228" t="str">
        <f t="array" ref="P42">IFERROR(INDEX(Players!$B$2:$B$930,MATCH(LARGE(IF(ISNUMBER(MATCH(Players!$U$2:$U$930,$N$2,0)),IF(Players!$P$2:$P$930&lt;&gt;0,IF(Players!$W$2:$W$930&gt;1.1,Players!$W$2:$W$930))),ROW()-2),Players!$W$2:$W$930,0)),"")</f>
        <v>Seahawks</v>
      </c>
      <c r="Q42" s="34">
        <f>IFERROR(INDEX(Players!$W$2:$W$930,MATCH(P42,Players!$B$2:$B$930,0)),"")</f>
        <v>2.8006899999999999</v>
      </c>
      <c r="R42" s="27" t="str">
        <f t="array" ref="R42">IFERROR(INDEX(Players!$B$2:$B$930,MATCH(SMALL(IF(ISNUMBER(MATCH(Players!$U$2:$U$930,$N$2,0)),IF(Players!$P$2:$P$930&lt;&gt;0,IF(Players!$W$2:$W$930&lt;0,Players!$W$2:$W$930))),ROW()-2),Players!$W$2:$W$930,0)),"")</f>
        <v>LeGarrette Blount</v>
      </c>
      <c r="S42" s="34">
        <f>IFERROR(INDEX(Players!$W$2:$W$930,MATCH(R42,Players!$B$2:$B$930,0)),"")</f>
        <v>-4.4982300000000004</v>
      </c>
      <c r="U42" s="68">
        <v>6</v>
      </c>
      <c r="V42" s="228" t="str">
        <f t="array" ref="V42">IFERROR(INDEX(Players!$B$2:$B$930,MATCH(LARGE(IF(ISNUMBER(MATCH(Players!$U$2:$U$930,$N$2,0)),IF(Players!$P$2:$P$930&lt;&gt;0,IF(Players!$D$2:$D$930=V$2,Players!$G$2:$G$930))),$U42),Players!$G$2:$G$930,0)),"")</f>
        <v>Andrew Luck</v>
      </c>
      <c r="W42" s="23" t="str">
        <f t="array" ref="W42">IFERROR(INDEX(Players!$B$2:$B$930,MATCH(LARGE(IF(ISNUMBER(MATCH(Players!$U$2:$U$930,$N$2,0)),IF(Players!$P$2:$P$930&lt;&gt;0,IF(Players!$D$2:$D$930=W$2,Players!$G$2:$G$930))),$U42),Players!$G$2:$G$930,0)),"")</f>
        <v>Jordan Howard</v>
      </c>
      <c r="X42" s="23" t="str">
        <f t="array" ref="X42">IFERROR(INDEX(Players!$B$2:$B$930,MATCH(LARGE(IF(ISNUMBER(MATCH(Players!$U$2:$U$930,$N$2,0)),IF(Players!$P$2:$P$930&lt;&gt;0,IF(Players!$D$2:$D$930=X$2,Players!$G$2:$G$930))),$U42),Players!$G$2:$G$930,0)),"")</f>
        <v>Jordy Nelson</v>
      </c>
      <c r="Y42" s="23" t="str">
        <f t="array" ref="Y42">IFERROR(INDEX(Players!$B$2:$B$930,MATCH(LARGE(IF(ISNUMBER(MATCH(Players!$U$2:$U$930,$N$2,0)),IF(Players!$P$2:$P$930&lt;&gt;0,IF(Players!$D$2:$D$930=Y$2,Players!$G$2:$G$930))),$U42),Players!$G$2:$G$930,0)),"")</f>
        <v>Kyle Rudolph</v>
      </c>
      <c r="Z42" s="23" t="str">
        <f t="array" ref="Z42">IFERROR(INDEX(Players!$B$2:$B$930,MATCH(LARGE(IF(ISNUMBER(MATCH(Players!$U$2:$U$930,$N$2,0)),IF(Players!$P$2:$P$930&lt;&gt;0,IF(Players!$D$2:$D$930=Z$2,Players!$G$2:$G$930))),$U42),Players!$G$2:$G$930,0)),"")</f>
        <v>Dan Bailey</v>
      </c>
      <c r="AA42" s="28" t="str">
        <f t="array" ref="AA42">IFERROR(INDEX(Players!$B$2:$B$930,MATCH(LARGE(IF(ISNUMBER(MATCH(Players!$U$2:$U$930,$N$2,0)),IF(Players!$P$2:$P$930&lt;&gt;0,IF(Players!$D$2:$D$930=AA$2,Players!$G$2:$G$930))),$U42),Players!$G$2:$G$930,0)),"")</f>
        <v>Panthers</v>
      </c>
      <c r="AC42" s="39">
        <v>7</v>
      </c>
      <c r="AD42" s="27" t="str">
        <f>IFERROR(VLOOKUP(AD$35&amp;AC42,Input!$AB:$AC,2,0),"")</f>
        <v/>
      </c>
      <c r="AE42" s="281" t="str">
        <f>IFERROR(VLOOKUP(AD42,Input!$AC:$AH,6,0),"")</f>
        <v/>
      </c>
      <c r="AF42" s="281" t="e">
        <f>LARGE(AE36:AE51,AC42)</f>
        <v>#NUM!</v>
      </c>
      <c r="AG42" s="281" t="e">
        <f>VLOOKUP(AM42,Input!$AC:$AF,4,0)</f>
        <v>#NUM!</v>
      </c>
      <c r="AH42" s="281" t="e">
        <f>AG42&amp;COUNTIF(AG36:AG42,AG42)</f>
        <v>#NUM!</v>
      </c>
      <c r="AI42" s="281" t="e">
        <f t="shared" si="10"/>
        <v>#NUM!</v>
      </c>
      <c r="AJ42" s="281" t="e">
        <f>AI42&amp;COUNTIF(AI36:AI42,AI42)</f>
        <v>#NUM!</v>
      </c>
      <c r="AK42" s="281" t="str">
        <f>IFERROR(VLOOKUP(AM42,D12:D21,1,0),"B")</f>
        <v>B</v>
      </c>
      <c r="AL42" s="281" t="str">
        <f>AK42&amp;COUNTIF(AK36:AK42,AK42)</f>
        <v>B7</v>
      </c>
      <c r="AM42" s="281" t="e">
        <f t="array" ref="AM42">INDEX(AD$36:AD$51,SMALL(IF(AE$36:AE$51=AF42,ROW(AE$36:AE$51)-ROW(AF$36)+1),COUNTIF(AF$36:AF42,AF42)))</f>
        <v>#NUM!</v>
      </c>
      <c r="AN42" s="41" t="s">
        <v>597</v>
      </c>
      <c r="AO42" s="281" t="str">
        <f>IFERROR(VLOOKUP(D18,Input!$AC:$AH,6,0),"")</f>
        <v/>
      </c>
      <c r="AP42" s="289" t="str">
        <f>IFERROR(VLOOKUP(VLOOKUP(D18,Input!$AC:$AG,5,0),Schedule!$T$3:$U$34,2,0),"")</f>
        <v/>
      </c>
    </row>
    <row r="43" spans="1:42" x14ac:dyDescent="0.25">
      <c r="A43" s="41" t="s">
        <v>603</v>
      </c>
      <c r="B43" s="161">
        <f t="shared" ref="B43:K43" si="17">B97-B79</f>
        <v>0</v>
      </c>
      <c r="C43" s="162">
        <f t="shared" si="17"/>
        <v>0</v>
      </c>
      <c r="D43" s="162">
        <f t="shared" si="17"/>
        <v>0</v>
      </c>
      <c r="E43" s="162">
        <f t="shared" si="17"/>
        <v>0</v>
      </c>
      <c r="F43" s="162">
        <f t="shared" si="17"/>
        <v>0</v>
      </c>
      <c r="G43" s="162">
        <f t="shared" si="17"/>
        <v>0</v>
      </c>
      <c r="H43" s="162">
        <f t="shared" si="17"/>
        <v>0</v>
      </c>
      <c r="I43" s="162">
        <f t="shared" si="17"/>
        <v>0</v>
      </c>
      <c r="J43" s="162">
        <f t="shared" si="17"/>
        <v>0</v>
      </c>
      <c r="K43" s="163">
        <f t="shared" si="17"/>
        <v>0</v>
      </c>
      <c r="L43" s="151"/>
      <c r="P43" s="228" t="str">
        <f t="array" ref="P43">IFERROR(INDEX(Players!$B$2:$B$930,MATCH(LARGE(IF(ISNUMBER(MATCH(Players!$U$2:$U$930,$N$2,0)),IF(Players!$P$2:$P$930&lt;&gt;0,IF(Players!$W$2:$W$930&gt;1.1,Players!$W$2:$W$930))),ROW()-2),Players!$W$2:$W$930,0)),"")</f>
        <v>Odell Beckham</v>
      </c>
      <c r="Q43" s="34">
        <f>IFERROR(INDEX(Players!$W$2:$W$930,MATCH(P43,Players!$B$2:$B$930,0)),"")</f>
        <v>2.4000899999999987</v>
      </c>
      <c r="R43" s="27" t="str">
        <f t="array" ref="R43">IFERROR(INDEX(Players!$B$2:$B$930,MATCH(SMALL(IF(ISNUMBER(MATCH(Players!$U$2:$U$930,$N$2,0)),IF(Players!$P$2:$P$930&lt;&gt;0,IF(Players!$W$2:$W$930&lt;0,Players!$W$2:$W$930))),ROW()-2),Players!$W$2:$W$930,0)),"")</f>
        <v>Michael Thomas</v>
      </c>
      <c r="S43" s="34">
        <f>IFERROR(INDEX(Players!$W$2:$W$930,MATCH(R43,Players!$B$2:$B$930,0)),"")</f>
        <v>-3.8997799999999985</v>
      </c>
      <c r="U43" s="68">
        <v>7</v>
      </c>
      <c r="V43" s="228" t="str">
        <f t="array" ref="V43">IFERROR(INDEX(Players!$B$2:$B$930,MATCH(LARGE(IF(ISNUMBER(MATCH(Players!$U$2:$U$930,$N$2,0)),IF(Players!$P$2:$P$930&lt;&gt;0,IF(Players!$D$2:$D$930=V$2,Players!$G$2:$G$930))),$U43),Players!$G$2:$G$930,0)),"")</f>
        <v>Cam Newton</v>
      </c>
      <c r="W43" s="23" t="str">
        <f t="array" ref="W43">IFERROR(INDEX(Players!$B$2:$B$930,MATCH(LARGE(IF(ISNUMBER(MATCH(Players!$U$2:$U$930,$N$2,0)),IF(Players!$P$2:$P$930&lt;&gt;0,IF(Players!$D$2:$D$930=W$2,Players!$G$2:$G$930))),$U43),Players!$G$2:$G$930,0)),"")</f>
        <v>Melvin Gordon</v>
      </c>
      <c r="X43" s="23" t="str">
        <f t="array" ref="X43">IFERROR(INDEX(Players!$B$2:$B$930,MATCH(LARGE(IF(ISNUMBER(MATCH(Players!$U$2:$U$930,$N$2,0)),IF(Players!$P$2:$P$930&lt;&gt;0,IF(Players!$D$2:$D$930=X$2,Players!$G$2:$G$930))),$U43),Players!$G$2:$G$930,0)),"")</f>
        <v>Dez Bryant</v>
      </c>
      <c r="Y43" s="23" t="str">
        <f t="array" ref="Y43">IFERROR(INDEX(Players!$B$2:$B$930,MATCH(LARGE(IF(ISNUMBER(MATCH(Players!$U$2:$U$930,$N$2,0)),IF(Players!$P$2:$P$930&lt;&gt;0,IF(Players!$D$2:$D$930=Y$2,Players!$G$2:$G$930))),$U43),Players!$G$2:$G$930,0)),"")</f>
        <v>Zach Ertz</v>
      </c>
      <c r="Z43" s="23" t="str">
        <f t="array" ref="Z43">IFERROR(INDEX(Players!$B$2:$B$930,MATCH(LARGE(IF(ISNUMBER(MATCH(Players!$U$2:$U$930,$N$2,0)),IF(Players!$P$2:$P$930&lt;&gt;0,IF(Players!$D$2:$D$930=Z$2,Players!$G$2:$G$930))),$U43),Players!$G$2:$G$930,0)),"")</f>
        <v>Chris Boswell</v>
      </c>
      <c r="AA43" s="28" t="str">
        <f t="array" ref="AA43">IFERROR(INDEX(Players!$B$2:$B$930,MATCH(LARGE(IF(ISNUMBER(MATCH(Players!$U$2:$U$930,$N$2,0)),IF(Players!$P$2:$P$930&lt;&gt;0,IF(Players!$D$2:$D$930=AA$2,Players!$G$2:$G$930))),$U43),Players!$G$2:$G$930,0)),"")</f>
        <v>Vikings</v>
      </c>
      <c r="AC43" s="39">
        <v>8</v>
      </c>
      <c r="AD43" s="27" t="str">
        <f>IFERROR(VLOOKUP(AD$35&amp;AC43,Input!$AB:$AC,2,0),"")</f>
        <v/>
      </c>
      <c r="AE43" s="281" t="str">
        <f>IFERROR(VLOOKUP(AD43,Input!$AC:$AH,6,0),"")</f>
        <v/>
      </c>
      <c r="AF43" s="281" t="e">
        <f>LARGE(AE36:AE51,AC43)</f>
        <v>#NUM!</v>
      </c>
      <c r="AG43" s="281" t="e">
        <f>VLOOKUP(AM43,Input!$AC:$AF,4,0)</f>
        <v>#NUM!</v>
      </c>
      <c r="AH43" s="281" t="e">
        <f>AG43&amp;COUNTIF(AG36:AG43,AG43)</f>
        <v>#NUM!</v>
      </c>
      <c r="AI43" s="281" t="e">
        <f t="shared" si="10"/>
        <v>#NUM!</v>
      </c>
      <c r="AJ43" s="281" t="e">
        <f>AI43&amp;COUNTIF(AI36:AI43,AI43)</f>
        <v>#NUM!</v>
      </c>
      <c r="AK43" s="281" t="str">
        <f>IFERROR(VLOOKUP(AM43,D12:D21,1,0),"B")</f>
        <v>B</v>
      </c>
      <c r="AL43" s="281" t="str">
        <f>AK43&amp;COUNTIF(AK36:AK43,AK43)</f>
        <v>B8</v>
      </c>
      <c r="AM43" s="281" t="e">
        <f t="array" ref="AM43">INDEX(AD$36:AD$51,SMALL(IF(AE$36:AE$51=AF43,ROW(AE$36:AE$51)-ROW(AF$36)+1),COUNTIF(AF$36:AF43,AF43)))</f>
        <v>#NUM!</v>
      </c>
      <c r="AN43" s="41" t="s">
        <v>598</v>
      </c>
      <c r="AO43" s="281" t="str">
        <f>IFERROR(VLOOKUP(D19,Input!$AC:$AH,6,0),"")</f>
        <v/>
      </c>
      <c r="AP43" s="289" t="str">
        <f>IFERROR(VLOOKUP(VLOOKUP(D19,Input!$AC:$AG,5,0),Schedule!$T$3:$U$34,2,0),"")</f>
        <v/>
      </c>
    </row>
    <row r="44" spans="1:42" x14ac:dyDescent="0.25">
      <c r="A44" s="41" t="s">
        <v>604</v>
      </c>
      <c r="B44" s="161">
        <f t="shared" ref="B44:K44" si="18">B98-B80</f>
        <v>0</v>
      </c>
      <c r="C44" s="162">
        <f t="shared" si="18"/>
        <v>0</v>
      </c>
      <c r="D44" s="162">
        <f t="shared" si="18"/>
        <v>0</v>
      </c>
      <c r="E44" s="162">
        <f t="shared" si="18"/>
        <v>0</v>
      </c>
      <c r="F44" s="162">
        <f t="shared" si="18"/>
        <v>0</v>
      </c>
      <c r="G44" s="162">
        <f t="shared" si="18"/>
        <v>0</v>
      </c>
      <c r="H44" s="162">
        <f t="shared" si="18"/>
        <v>0</v>
      </c>
      <c r="I44" s="162">
        <f t="shared" si="18"/>
        <v>0</v>
      </c>
      <c r="J44" s="162">
        <f t="shared" si="18"/>
        <v>0</v>
      </c>
      <c r="K44" s="163">
        <f t="shared" si="18"/>
        <v>0</v>
      </c>
      <c r="L44" s="151"/>
      <c r="P44" s="228" t="str">
        <f t="array" ref="P44">IFERROR(INDEX(Players!$B$2:$B$930,MATCH(LARGE(IF(ISNUMBER(MATCH(Players!$U$2:$U$930,$N$2,0)),IF(Players!$P$2:$P$930&lt;&gt;0,IF(Players!$W$2:$W$930&gt;1.1,Players!$W$2:$W$930))),ROW()-2),Players!$W$2:$W$930,0)),"")</f>
        <v>Julio Jones</v>
      </c>
      <c r="Q44" s="34">
        <f>IFERROR(INDEX(Players!$W$2:$W$930,MATCH(P44,Players!$B$2:$B$930,0)),"")</f>
        <v>2.4000799999999987</v>
      </c>
      <c r="R44" s="27" t="str">
        <f t="array" ref="R44">IFERROR(INDEX(Players!$B$2:$B$930,MATCH(SMALL(IF(ISNUMBER(MATCH(Players!$U$2:$U$930,$N$2,0)),IF(Players!$P$2:$P$930&lt;&gt;0,IF(Players!$W$2:$W$930&lt;0,Players!$W$2:$W$930))),ROW()-2),Players!$W$2:$W$930,0)),"")</f>
        <v>Theo Riddick</v>
      </c>
      <c r="S44" s="34">
        <f>IFERROR(INDEX(Players!$W$2:$W$930,MATCH(R44,Players!$B$2:$B$930,0)),"")</f>
        <v>-3.8990100000000005</v>
      </c>
      <c r="U44" s="68">
        <v>8</v>
      </c>
      <c r="V44" s="228" t="str">
        <f t="array" ref="V44">IFERROR(INDEX(Players!$B$2:$B$930,MATCH(LARGE(IF(ISNUMBER(MATCH(Players!$U$2:$U$930,$N$2,0)),IF(Players!$P$2:$P$930&lt;&gt;0,IF(Players!$D$2:$D$930=V$2,Players!$G$2:$G$930))),$U44),Players!$G$2:$G$930,0)),"")</f>
        <v>Kirk Cousins</v>
      </c>
      <c r="W44" s="23" t="str">
        <f t="array" ref="W44">IFERROR(INDEX(Players!$B$2:$B$930,MATCH(LARGE(IF(ISNUMBER(MATCH(Players!$U$2:$U$930,$N$2,0)),IF(Players!$P$2:$P$930&lt;&gt;0,IF(Players!$D$2:$D$930=W$2,Players!$G$2:$G$930))),$U44),Players!$G$2:$G$930,0)),"")</f>
        <v>DeMarco Murray</v>
      </c>
      <c r="X44" s="23" t="str">
        <f t="array" ref="X44">IFERROR(INDEX(Players!$B$2:$B$930,MATCH(LARGE(IF(ISNUMBER(MATCH(Players!$U$2:$U$930,$N$2,0)),IF(Players!$P$2:$P$930&lt;&gt;0,IF(Players!$D$2:$D$930=X$2,Players!$G$2:$G$930))),$U44),Players!$G$2:$G$930,0)),"")</f>
        <v>Michael Thomas</v>
      </c>
      <c r="Y44" s="23" t="str">
        <f t="array" ref="Y44">IFERROR(INDEX(Players!$B$2:$B$930,MATCH(LARGE(IF(ISNUMBER(MATCH(Players!$U$2:$U$930,$N$2,0)),IF(Players!$P$2:$P$930&lt;&gt;0,IF(Players!$D$2:$D$930=Y$2,Players!$G$2:$G$930))),$U44),Players!$G$2:$G$930,0)),"")</f>
        <v>Delanie Walker</v>
      </c>
      <c r="Z44" s="23" t="str">
        <f t="array" ref="Z44">IFERROR(INDEX(Players!$B$2:$B$930,MATCH(LARGE(IF(ISNUMBER(MATCH(Players!$U$2:$U$930,$N$2,0)),IF(Players!$P$2:$P$930&lt;&gt;0,IF(Players!$D$2:$D$930=Z$2,Players!$G$2:$G$930))),$U44),Players!$G$2:$G$930,0)),"")</f>
        <v>Matt Prater</v>
      </c>
      <c r="AA44" s="28" t="str">
        <f t="array" ref="AA44">IFERROR(INDEX(Players!$B$2:$B$930,MATCH(LARGE(IF(ISNUMBER(MATCH(Players!$U$2:$U$930,$N$2,0)),IF(Players!$P$2:$P$930&lt;&gt;0,IF(Players!$D$2:$D$930=AA$2,Players!$G$2:$G$930))),$U44),Players!$G$2:$G$930,0)),"")</f>
        <v>Giants</v>
      </c>
      <c r="AC44" s="39">
        <v>9</v>
      </c>
      <c r="AD44" s="27" t="str">
        <f>IFERROR(VLOOKUP(AD$35&amp;AC44,Input!$AB:$AC,2,0),"")</f>
        <v/>
      </c>
      <c r="AE44" s="281" t="str">
        <f>IFERROR(VLOOKUP(AD44,Input!$AC:$AH,6,0),"")</f>
        <v/>
      </c>
      <c r="AF44" s="281" t="e">
        <f>LARGE(AE36:AE51,AC44)</f>
        <v>#NUM!</v>
      </c>
      <c r="AG44" s="281" t="e">
        <f>VLOOKUP(AM44,Input!$AC:$AF,4,0)</f>
        <v>#NUM!</v>
      </c>
      <c r="AH44" s="281" t="e">
        <f>AG44&amp;COUNTIF(AG36:AG44,AG44)</f>
        <v>#NUM!</v>
      </c>
      <c r="AI44" s="281" t="e">
        <f t="shared" si="10"/>
        <v>#NUM!</v>
      </c>
      <c r="AJ44" s="281" t="e">
        <f>AI44&amp;COUNTIF(AI36:AI44,AI44)</f>
        <v>#NUM!</v>
      </c>
      <c r="AK44" s="281" t="str">
        <f>IFERROR(VLOOKUP(AM44,D12:D21,1,0),"B")</f>
        <v>B</v>
      </c>
      <c r="AL44" s="281" t="str">
        <f>AK44&amp;COUNTIF(AK36:AK44,AK44)</f>
        <v>B9</v>
      </c>
      <c r="AM44" s="281" t="e">
        <f t="array" ref="AM44">INDEX(AD$36:AD$51,SMALL(IF(AE$36:AE$51=AF44,ROW(AE$36:AE$51)-ROW(AF$36)+1),COUNTIF(AF$36:AF44,AF44)))</f>
        <v>#NUM!</v>
      </c>
      <c r="AN44" s="41" t="s">
        <v>599</v>
      </c>
      <c r="AO44" s="281" t="str">
        <f>IFERROR(VLOOKUP(D20,Input!$AC:$AH,6,0),"")</f>
        <v/>
      </c>
      <c r="AP44" s="289" t="str">
        <f>IFERROR(VLOOKUP(VLOOKUP(D20,Input!$AC:$AG,5,0),Schedule!$T$3:$U$34,2,0),"")</f>
        <v/>
      </c>
    </row>
    <row r="45" spans="1:42" x14ac:dyDescent="0.25">
      <c r="A45" s="41" t="s">
        <v>605</v>
      </c>
      <c r="B45" s="161">
        <f t="shared" ref="B45:K45" si="19">B99-B81</f>
        <v>0</v>
      </c>
      <c r="C45" s="162">
        <f t="shared" si="19"/>
        <v>0</v>
      </c>
      <c r="D45" s="162">
        <f t="shared" si="19"/>
        <v>0</v>
      </c>
      <c r="E45" s="162">
        <f t="shared" si="19"/>
        <v>0</v>
      </c>
      <c r="F45" s="162">
        <f t="shared" si="19"/>
        <v>0</v>
      </c>
      <c r="G45" s="162">
        <f t="shared" si="19"/>
        <v>0</v>
      </c>
      <c r="H45" s="162">
        <f t="shared" si="19"/>
        <v>0</v>
      </c>
      <c r="I45" s="162">
        <f t="shared" si="19"/>
        <v>0</v>
      </c>
      <c r="J45" s="162">
        <f t="shared" si="19"/>
        <v>0</v>
      </c>
      <c r="K45" s="163">
        <f t="shared" si="19"/>
        <v>0</v>
      </c>
      <c r="L45" s="151"/>
      <c r="P45" s="228" t="str">
        <f t="array" ref="P45">IFERROR(INDEX(Players!$B$2:$B$930,MATCH(LARGE(IF(ISNUMBER(MATCH(Players!$U$2:$U$930,$N$2,0)),IF(Players!$P$2:$P$930&lt;&gt;0,IF(Players!$W$2:$W$930&gt;1.1,Players!$W$2:$W$930))),ROW()-2),Players!$W$2:$W$930,0)),"")</f>
        <v>Cam Newton</v>
      </c>
      <c r="Q45" s="34">
        <f>IFERROR(INDEX(Players!$W$2:$W$930,MATCH(P45,Players!$B$2:$B$930,0)),"")</f>
        <v>2.2006100000000002</v>
      </c>
      <c r="R45" s="27" t="str">
        <f t="array" ref="R45">IFERROR(INDEX(Players!$B$2:$B$930,MATCH(SMALL(IF(ISNUMBER(MATCH(Players!$U$2:$U$930,$N$2,0)),IF(Players!$P$2:$P$930&lt;&gt;0,IF(Players!$W$2:$W$930&lt;0,Players!$W$2:$W$930))),ROW()-2),Players!$W$2:$W$930,0)),"")</f>
        <v>Donte Moncrief</v>
      </c>
      <c r="S45" s="34">
        <f>IFERROR(INDEX(Players!$W$2:$W$930,MATCH(R45,Players!$B$2:$B$930,0)),"")</f>
        <v>-3.8984000000000005</v>
      </c>
      <c r="U45" s="68">
        <v>9</v>
      </c>
      <c r="V45" s="228" t="str">
        <f t="array" ref="V45">IFERROR(INDEX(Players!$B$2:$B$930,MATCH(LARGE(IF(ISNUMBER(MATCH(Players!$U$2:$U$930,$N$2,0)),IF(Players!$P$2:$P$930&lt;&gt;0,IF(Players!$D$2:$D$930=V$2,Players!$G$2:$G$930))),$U45),Players!$G$2:$G$930,0)),"")</f>
        <v>Dak Prescott</v>
      </c>
      <c r="W45" s="23" t="str">
        <f t="array" ref="W45">IFERROR(INDEX(Players!$B$2:$B$930,MATCH(LARGE(IF(ISNUMBER(MATCH(Players!$U$2:$U$930,$N$2,0)),IF(Players!$P$2:$P$930&lt;&gt;0,IF(Players!$D$2:$D$930=W$2,Players!$G$2:$G$930))),$U45),Players!$G$2:$G$930,0)),"")</f>
        <v>Jay Ajayi</v>
      </c>
      <c r="X45" s="23" t="str">
        <f t="array" ref="X45">IFERROR(INDEX(Players!$B$2:$B$930,MATCH(LARGE(IF(ISNUMBER(MATCH(Players!$U$2:$U$930,$N$2,0)),IF(Players!$P$2:$P$930&lt;&gt;0,IF(Players!$D$2:$D$930=X$2,Players!$G$2:$G$930))),$U45),Players!$G$2:$G$930,0)),"")</f>
        <v>Doug Baldwin</v>
      </c>
      <c r="Y45" s="23" t="str">
        <f t="array" ref="Y45">IFERROR(INDEX(Players!$B$2:$B$930,MATCH(LARGE(IF(ISNUMBER(MATCH(Players!$U$2:$U$930,$N$2,0)),IF(Players!$P$2:$P$930&lt;&gt;0,IF(Players!$D$2:$D$930=Y$2,Players!$G$2:$G$930))),$U45),Players!$G$2:$G$930,0)),"")</f>
        <v>Martellus Bennett</v>
      </c>
      <c r="Z45" s="23" t="str">
        <f t="array" ref="Z45">IFERROR(INDEX(Players!$B$2:$B$930,MATCH(LARGE(IF(ISNUMBER(MATCH(Players!$U$2:$U$930,$N$2,0)),IF(Players!$P$2:$P$930&lt;&gt;0,IF(Players!$D$2:$D$930=Z$2,Players!$G$2:$G$930))),$U45),Players!$G$2:$G$930,0)),"")</f>
        <v>Graham Gano</v>
      </c>
      <c r="AA45" s="28" t="str">
        <f t="array" ref="AA45">IFERROR(INDEX(Players!$B$2:$B$930,MATCH(LARGE(IF(ISNUMBER(MATCH(Players!$U$2:$U$930,$N$2,0)),IF(Players!$P$2:$P$930&lt;&gt;0,IF(Players!$D$2:$D$930=AA$2,Players!$G$2:$G$930))),$U45),Players!$G$2:$G$930,0)),"")</f>
        <v>Chiefs</v>
      </c>
      <c r="AC45" s="39">
        <v>10</v>
      </c>
      <c r="AD45" s="27" t="str">
        <f>IFERROR(VLOOKUP(AD$35&amp;AC45,Input!$AB:$AC,2,0),"")</f>
        <v/>
      </c>
      <c r="AE45" s="281" t="str">
        <f>IFERROR(VLOOKUP(AD45,Input!$AC:$AH,6,0),"")</f>
        <v/>
      </c>
      <c r="AF45" s="281" t="e">
        <f>LARGE(AE36:AE51,AC45)</f>
        <v>#NUM!</v>
      </c>
      <c r="AG45" s="281" t="e">
        <f>VLOOKUP(AM45,Input!$AC:$AF,4,0)</f>
        <v>#NUM!</v>
      </c>
      <c r="AH45" s="281" t="e">
        <f>AG45&amp;COUNTIF(AG36:AG45,AG45)</f>
        <v>#NUM!</v>
      </c>
      <c r="AI45" s="281" t="e">
        <f t="shared" si="10"/>
        <v>#NUM!</v>
      </c>
      <c r="AJ45" s="281" t="e">
        <f>AI45&amp;COUNTIF(AI36:AI45,AI45)</f>
        <v>#NUM!</v>
      </c>
      <c r="AK45" s="281" t="str">
        <f>IFERROR(VLOOKUP(AM45,D12:D21,1,0),"B")</f>
        <v>B</v>
      </c>
      <c r="AL45" s="281" t="str">
        <f>AK45&amp;COUNTIF(AK36:AK45,AK45)</f>
        <v>B10</v>
      </c>
      <c r="AM45" s="281" t="e">
        <f t="array" ref="AM45">INDEX(AD$36:AD$51,SMALL(IF(AE$36:AE$51=AF45,ROW(AE$36:AE$51)-ROW(AF$36)+1),COUNTIF(AF$36:AF45,AF45)))</f>
        <v>#NUM!</v>
      </c>
      <c r="AN45" s="41" t="s">
        <v>600</v>
      </c>
      <c r="AO45" s="281" t="str">
        <f>IFERROR(VLOOKUP(D21,Input!$AC:$AH,6,0),"")</f>
        <v/>
      </c>
      <c r="AP45" s="289" t="str">
        <f>IFERROR(VLOOKUP(VLOOKUP(D21,Input!$AC:$AG,5,0),Schedule!$T$3:$U$34,2,0),"")</f>
        <v/>
      </c>
    </row>
    <row r="46" spans="1:42" ht="15.75" thickBot="1" x14ac:dyDescent="0.3">
      <c r="A46" s="42" t="s">
        <v>606</v>
      </c>
      <c r="B46" s="164">
        <f t="shared" ref="B46:K46" si="20">B100-B82</f>
        <v>0</v>
      </c>
      <c r="C46" s="165">
        <f t="shared" si="20"/>
        <v>0</v>
      </c>
      <c r="D46" s="165">
        <f t="shared" si="20"/>
        <v>0</v>
      </c>
      <c r="E46" s="165">
        <f t="shared" si="20"/>
        <v>0</v>
      </c>
      <c r="F46" s="165">
        <f t="shared" si="20"/>
        <v>0</v>
      </c>
      <c r="G46" s="165">
        <f t="shared" si="20"/>
        <v>0</v>
      </c>
      <c r="H46" s="165">
        <f t="shared" si="20"/>
        <v>0</v>
      </c>
      <c r="I46" s="165">
        <f t="shared" si="20"/>
        <v>0</v>
      </c>
      <c r="J46" s="165">
        <f t="shared" si="20"/>
        <v>0</v>
      </c>
      <c r="K46" s="166">
        <f t="shared" si="20"/>
        <v>0</v>
      </c>
      <c r="L46" s="156"/>
      <c r="P46" s="229" t="str">
        <f t="array" ref="P46">IFERROR(INDEX(Players!$B$2:$B$930,MATCH(LARGE(IF(ISNUMBER(MATCH(Players!$U$2:$U$930,$N$2,0)),IF(Players!$P$2:$P$930&lt;&gt;0,IF(Players!$W$2:$W$930&gt;1.1,Players!$W$2:$W$930))),ROW()-2),Players!$W$2:$W$930,0)),"")</f>
        <v>Paul Perkins</v>
      </c>
      <c r="Q46" s="37">
        <f>IFERROR(INDEX(Players!$W$2:$W$930,MATCH(P46,Players!$B$2:$B$930,0)),"")</f>
        <v>2.0006400000000002</v>
      </c>
      <c r="R46" s="29" t="str">
        <f t="array" ref="R46">IFERROR(INDEX(Players!$B$2:$B$930,MATCH(SMALL(IF(ISNUMBER(MATCH(Players!$U$2:$U$930,$N$2,0)),IF(Players!$P$2:$P$930&lt;&gt;0,IF(Players!$W$2:$W$930&lt;0,Players!$W$2:$W$930))),ROW()-2),Players!$W$2:$W$930,0)),"")</f>
        <v>Dak Prescott</v>
      </c>
      <c r="S46" s="37">
        <f>IFERROR(INDEX(Players!$W$2:$W$930,MATCH(R46,Players!$B$2:$B$930,0)),"")</f>
        <v>-3.4991400000000001</v>
      </c>
      <c r="U46" s="68">
        <v>10</v>
      </c>
      <c r="V46" s="229" t="str">
        <f t="array" ref="V46">IFERROR(INDEX(Players!$B$2:$B$930,MATCH(LARGE(IF(ISNUMBER(MATCH(Players!$U$2:$U$930,$N$2,0)),IF(Players!$P$2:$P$930&lt;&gt;0,IF(Players!$D$2:$D$930=V$2,Players!$G$2:$G$930))),$U46),Players!$G$2:$G$930,0)),"")</f>
        <v>Jameis Winston</v>
      </c>
      <c r="W46" s="30" t="str">
        <f t="array" ref="W46">IFERROR(INDEX(Players!$B$2:$B$930,MATCH(LARGE(IF(ISNUMBER(MATCH(Players!$U$2:$U$930,$N$2,0)),IF(Players!$P$2:$P$930&lt;&gt;0,IF(Players!$D$2:$D$930=W$2,Players!$G$2:$G$930))),$U46),Players!$G$2:$G$930,0)),"")</f>
        <v>Todd Gurley</v>
      </c>
      <c r="X46" s="30" t="str">
        <f t="array" ref="X46">IFERROR(INDEX(Players!$B$2:$B$930,MATCH(LARGE(IF(ISNUMBER(MATCH(Players!$U$2:$U$930,$N$2,0)),IF(Players!$P$2:$P$930&lt;&gt;0,IF(Players!$D$2:$D$930=X$2,Players!$G$2:$G$930))),$U46),Players!$G$2:$G$930,0)),"")</f>
        <v>T.Y. Hilton</v>
      </c>
      <c r="Y46" s="30" t="str">
        <f t="array" ref="Y46">IFERROR(INDEX(Players!$B$2:$B$930,MATCH(LARGE(IF(ISNUMBER(MATCH(Players!$U$2:$U$930,$N$2,0)),IF(Players!$P$2:$P$930&lt;&gt;0,IF(Players!$D$2:$D$930=Y$2,Players!$G$2:$G$930))),$U46),Players!$G$2:$G$930,0)),"")</f>
        <v>Tyler Eifert</v>
      </c>
      <c r="Z46" s="30" t="str">
        <f t="array" ref="Z46">IFERROR(INDEX(Players!$B$2:$B$930,MATCH(LARGE(IF(ISNUMBER(MATCH(Players!$U$2:$U$930,$N$2,0)),IF(Players!$P$2:$P$930&lt;&gt;0,IF(Players!$D$2:$D$930=Z$2,Players!$G$2:$G$930))),$U46),Players!$G$2:$G$930,0)),"")</f>
        <v>Wil Lutz</v>
      </c>
      <c r="AA46" s="31" t="str">
        <f t="array" ref="AA46">IFERROR(INDEX(Players!$B$2:$B$930,MATCH(LARGE(IF(ISNUMBER(MATCH(Players!$U$2:$U$930,$N$2,0)),IF(Players!$P$2:$P$930&lt;&gt;0,IF(Players!$D$2:$D$930=AA$2,Players!$G$2:$G$930))),$U46),Players!$G$2:$G$930,0)),"")</f>
        <v>Buccaneers</v>
      </c>
      <c r="AC46" s="39">
        <v>11</v>
      </c>
      <c r="AD46" s="27" t="str">
        <f>IFERROR(VLOOKUP(AD$35&amp;AC46,Input!$AB:$AC,2,0),"")</f>
        <v/>
      </c>
      <c r="AE46" s="281" t="str">
        <f>IFERROR(VLOOKUP(AD46,Input!$AC:$AH,6,0),"")</f>
        <v/>
      </c>
      <c r="AF46" s="281" t="e">
        <f>LARGE(AE36:AE51,AC46)</f>
        <v>#NUM!</v>
      </c>
      <c r="AG46" s="281" t="e">
        <f>VLOOKUP(AM46,Input!$AC:$AF,4,0)</f>
        <v>#NUM!</v>
      </c>
      <c r="AH46" s="281" t="e">
        <f>AG46&amp;COUNTIF(AG36:AG46,AG46)</f>
        <v>#NUM!</v>
      </c>
      <c r="AI46" s="281" t="e">
        <f t="shared" si="10"/>
        <v>#NUM!</v>
      </c>
      <c r="AJ46" s="281" t="e">
        <f>AI46&amp;COUNTIF(AI36:AI46,AI46)</f>
        <v>#NUM!</v>
      </c>
      <c r="AK46" s="281" t="str">
        <f>IFERROR(VLOOKUP(AM46,D12:D21,1,0),"B")</f>
        <v>B</v>
      </c>
      <c r="AL46" s="281" t="str">
        <f>AK46&amp;COUNTIF(AK36:AK46,AK46)</f>
        <v>B11</v>
      </c>
      <c r="AM46" s="281" t="e">
        <f t="array" ref="AM46">INDEX(AD$36:AD$51,SMALL(IF(AE$36:AE$51=AF46,ROW(AE$36:AE$51)-ROW(AF$36)+1),COUNTIF(AF$36:AF46,AF46)))</f>
        <v>#NUM!</v>
      </c>
      <c r="AN46" s="41" t="s">
        <v>601</v>
      </c>
      <c r="AO46" s="17" t="str">
        <f>IFERROR(VLOOKUP(D22,Input!$AC:$AH,6,0),"")</f>
        <v/>
      </c>
      <c r="AP46" s="289" t="str">
        <f>IFERROR(VLOOKUP(VLOOKUP(D22,Input!$AC:$AG,5,0),Schedule!$T$3:$U$34,2,0),"")</f>
        <v/>
      </c>
    </row>
    <row r="47" spans="1:42" ht="15.75" thickBot="1" x14ac:dyDescent="0.3">
      <c r="A47" s="114"/>
      <c r="B47" s="115" t="s">
        <v>739</v>
      </c>
      <c r="C47" s="116"/>
      <c r="D47" s="116"/>
      <c r="E47" s="116"/>
      <c r="F47" s="116"/>
      <c r="G47" s="116"/>
      <c r="H47" s="116"/>
      <c r="I47" s="116"/>
      <c r="J47" s="116"/>
      <c r="K47" s="117"/>
      <c r="L47" s="127"/>
      <c r="V47" s="346" t="s">
        <v>901</v>
      </c>
      <c r="W47" s="347"/>
      <c r="X47" s="347"/>
      <c r="Y47" s="347"/>
      <c r="Z47" s="347"/>
      <c r="AA47" s="348"/>
      <c r="AC47" s="39">
        <v>12</v>
      </c>
      <c r="AD47" s="27" t="str">
        <f>IFERROR(VLOOKUP(AD$35&amp;AC47,Input!$AB:$AC,2,0),"")</f>
        <v/>
      </c>
      <c r="AE47" s="281" t="str">
        <f>IFERROR(VLOOKUP(AD47,Input!$AC:$AH,6,0),"")</f>
        <v/>
      </c>
      <c r="AF47" s="281" t="e">
        <f>LARGE(AE36:AE51,AC47)</f>
        <v>#NUM!</v>
      </c>
      <c r="AG47" s="281" t="e">
        <f>VLOOKUP(AM47,Input!$AC:$AF,4,0)</f>
        <v>#NUM!</v>
      </c>
      <c r="AH47" s="281" t="e">
        <f>AG47&amp;COUNTIF(AG36:AG47,AG47)</f>
        <v>#NUM!</v>
      </c>
      <c r="AI47" s="281" t="e">
        <f t="shared" si="10"/>
        <v>#NUM!</v>
      </c>
      <c r="AJ47" s="281" t="e">
        <f>AI47&amp;COUNTIF(AI36:AI47,AI47)</f>
        <v>#NUM!</v>
      </c>
      <c r="AK47" s="281" t="str">
        <f>IFERROR(VLOOKUP(AM47,D12:D21,1,0),"B")</f>
        <v>B</v>
      </c>
      <c r="AL47" s="281" t="str">
        <f>AK47&amp;COUNTIF(AK36:AK47,AK47)</f>
        <v>B12</v>
      </c>
      <c r="AM47" s="281" t="e">
        <f t="array" ref="AM47">INDEX(AD$36:AD$51,SMALL(IF(AE$36:AE$51=AF47,ROW(AE$36:AE$51)-ROW(AF$36)+1),COUNTIF(AF$36:AF47,AF47)))</f>
        <v>#NUM!</v>
      </c>
      <c r="AN47" s="41" t="s">
        <v>602</v>
      </c>
      <c r="AO47" s="17"/>
      <c r="AP47" s="289" t="str">
        <f>IFERROR(VLOOKUP(VLOOKUP(D23,Input!$AC:$AG,5,0),Schedule!$T$3:$U$34,2,0),"")</f>
        <v/>
      </c>
    </row>
    <row r="48" spans="1:42" ht="15.75" thickBot="1" x14ac:dyDescent="0.3">
      <c r="A48" s="94" t="s">
        <v>878</v>
      </c>
      <c r="B48" s="176">
        <f t="shared" ref="B48:K48" si="21">IFERROR((B84-B66)/B66,0)</f>
        <v>0</v>
      </c>
      <c r="C48" s="177">
        <f t="shared" si="21"/>
        <v>0</v>
      </c>
      <c r="D48" s="177">
        <f t="shared" si="21"/>
        <v>0</v>
      </c>
      <c r="E48" s="177">
        <f t="shared" si="21"/>
        <v>0</v>
      </c>
      <c r="F48" s="177">
        <f t="shared" si="21"/>
        <v>0</v>
      </c>
      <c r="G48" s="177">
        <f t="shared" si="21"/>
        <v>0</v>
      </c>
      <c r="H48" s="177">
        <f t="shared" si="21"/>
        <v>0</v>
      </c>
      <c r="I48" s="177">
        <f t="shared" si="21"/>
        <v>0</v>
      </c>
      <c r="J48" s="177">
        <f t="shared" si="21"/>
        <v>0</v>
      </c>
      <c r="K48" s="178">
        <f t="shared" si="21"/>
        <v>0</v>
      </c>
      <c r="L48" s="223" t="s">
        <v>877</v>
      </c>
      <c r="P48" s="291" t="s">
        <v>684</v>
      </c>
      <c r="Q48" s="291" t="s">
        <v>0</v>
      </c>
      <c r="R48" s="291" t="s">
        <v>903</v>
      </c>
      <c r="S48" s="291" t="s">
        <v>0</v>
      </c>
      <c r="V48" s="193" t="s">
        <v>53</v>
      </c>
      <c r="W48" s="194" t="s">
        <v>19</v>
      </c>
      <c r="X48" s="243" t="s">
        <v>17</v>
      </c>
      <c r="Y48" s="243" t="s">
        <v>43</v>
      </c>
      <c r="Z48" s="243" t="s">
        <v>147</v>
      </c>
      <c r="AA48" s="244" t="s">
        <v>135</v>
      </c>
      <c r="AC48" s="39">
        <v>13</v>
      </c>
      <c r="AD48" s="27" t="str">
        <f>IFERROR(VLOOKUP(AD$35&amp;AC48,Input!$AB:$AC,2,0),"")</f>
        <v/>
      </c>
      <c r="AE48" s="281" t="str">
        <f>IFERROR(VLOOKUP(AD48,Input!$AC:$AH,6,0),"")</f>
        <v/>
      </c>
      <c r="AF48" s="281" t="e">
        <f>LARGE(AE36:AE51,AC48)</f>
        <v>#NUM!</v>
      </c>
      <c r="AG48" s="281" t="e">
        <f>VLOOKUP(AM48,Input!$AC:$AF,4,0)</f>
        <v>#NUM!</v>
      </c>
      <c r="AH48" s="281" t="e">
        <f>AG48&amp;COUNTIF(AG36:AG48,AG48)</f>
        <v>#NUM!</v>
      </c>
      <c r="AI48" s="281" t="e">
        <f t="shared" si="10"/>
        <v>#NUM!</v>
      </c>
      <c r="AJ48" s="281" t="e">
        <f>AI48&amp;COUNTIF(AI36:AI48,AI48)</f>
        <v>#NUM!</v>
      </c>
      <c r="AK48" s="281" t="str">
        <f>IFERROR(VLOOKUP(AM48,D12:D21,1,0),"B")</f>
        <v>B</v>
      </c>
      <c r="AL48" s="281" t="str">
        <f>AK48&amp;COUNTIF(AK36:AK48,AK48)</f>
        <v>B13</v>
      </c>
      <c r="AM48" s="281" t="e">
        <f t="array" ref="AM48">INDEX(AD$36:AD$51,SMALL(IF(AE$36:AE$51=AF48,ROW(AE$36:AE$51)-ROW(AF$36)+1),COUNTIF(AF$36:AF48,AF48)))</f>
        <v>#NUM!</v>
      </c>
      <c r="AN48" s="41" t="s">
        <v>603</v>
      </c>
      <c r="AO48" s="17"/>
      <c r="AP48" s="289" t="str">
        <f>IFERROR(VLOOKUP(VLOOKUP(D24,Input!$AC:$AG,5,0),Schedule!$T$3:$U$34,2,0),"")</f>
        <v/>
      </c>
    </row>
    <row r="49" spans="1:42" x14ac:dyDescent="0.25">
      <c r="A49" s="38" t="s">
        <v>591</v>
      </c>
      <c r="B49" s="175">
        <f t="shared" ref="B49:K49" si="22">IFERROR((B85-B67)/B67,0)</f>
        <v>0</v>
      </c>
      <c r="C49" s="179">
        <f t="shared" si="22"/>
        <v>0</v>
      </c>
      <c r="D49" s="179">
        <f t="shared" si="22"/>
        <v>0</v>
      </c>
      <c r="E49" s="179">
        <f t="shared" si="22"/>
        <v>0</v>
      </c>
      <c r="F49" s="179">
        <f t="shared" si="22"/>
        <v>0</v>
      </c>
      <c r="G49" s="179">
        <f t="shared" si="22"/>
        <v>0</v>
      </c>
      <c r="H49" s="179">
        <f t="shared" si="22"/>
        <v>0</v>
      </c>
      <c r="I49" s="179">
        <f t="shared" si="22"/>
        <v>0</v>
      </c>
      <c r="J49" s="179">
        <f t="shared" si="22"/>
        <v>0</v>
      </c>
      <c r="K49" s="180">
        <f t="shared" si="22"/>
        <v>0</v>
      </c>
      <c r="L49" s="19"/>
      <c r="P49" s="225">
        <f>IFERROR(SUM(AO2:AO11),0)</f>
        <v>0</v>
      </c>
      <c r="Q49" s="23">
        <f t="shared" ref="Q49:Q58" si="23">IFERROR(RANK(P49,$P$49:$P$170),0)</f>
        <v>1</v>
      </c>
      <c r="R49" s="58">
        <f>IFERROR(SUM($AO2:$AO11)/SUM(B$67:B$76),0)</f>
        <v>0</v>
      </c>
      <c r="S49" s="28">
        <f t="shared" ref="S49:S58" si="24">IFERROR(RANK(R49,$R$49:$R$170),0)</f>
        <v>1</v>
      </c>
      <c r="U49" s="68">
        <v>1</v>
      </c>
      <c r="V49" s="245" t="str">
        <f t="array" ref="V49">IFERROR(INDEX(Players!$B$2:$B$930,MATCH(LARGE(IF(ISNUMBER(MATCH(Players!$U$2:$U$930,$N$2,0)),IF(Players!$P$2:$P$930&lt;&gt;0,IF(Players!$W$2:$W$930&gt;1.1,IF(Players!$D$2:$D$930=V$2,Players!$W$2:$W$930)))),$U49),Players!$W$2:$W$930,0)),"")</f>
        <v>Aaron Rodgers</v>
      </c>
      <c r="W49" s="25" t="str">
        <f t="array" ref="W49">IFERROR(INDEX(Players!$B$2:$B$930,MATCH(LARGE(IF(ISNUMBER(MATCH(Players!$U$2:$U$930,$N$2,0)),IF(Players!$P$2:$P$930&lt;&gt;0,IF(Players!$W$2:$W$930&gt;1.1,IF(Players!$D$2:$D$930=W$2,Players!$W$2:$W$930)))),$U49),Players!$W$2:$W$930,0)),"")</f>
        <v>David Johnson</v>
      </c>
      <c r="X49" s="25" t="str">
        <f t="array" ref="X49">IFERROR(INDEX(Players!$B$2:$B$930,MATCH(LARGE(IF(ISNUMBER(MATCH(Players!$U$2:$U$930,$N$2,0)),IF(Players!$P$2:$P$930&lt;&gt;0,IF(Players!$W$2:$W$930&gt;1.1,IF(Players!$D$2:$D$930=X$2,Players!$W$2:$W$930)))),$U49),Players!$W$2:$W$930,0)),"")</f>
        <v>Antonio Brown</v>
      </c>
      <c r="Y49" s="25" t="str">
        <f t="array" ref="Y49">IFERROR(INDEX(Players!$B$2:$B$930,MATCH(LARGE(IF(ISNUMBER(MATCH(Players!$U$2:$U$930,$N$2,0)),IF(Players!$P$2:$P$930&lt;&gt;0,IF(Players!$W$2:$W$930&gt;1.1,IF(Players!$D$2:$D$930=Y$2,Players!$W$2:$W$930)))),$U49),Players!$W$2:$W$930,0)),"")</f>
        <v>Travis Kelce</v>
      </c>
      <c r="Z49" s="25" t="str">
        <f t="array" ref="Z49">IFERROR(INDEX(Players!$B$2:$B$930,MATCH(LARGE(IF(ISNUMBER(MATCH(Players!$U$2:$U$930,$N$2,0)),IF(Players!$P$2:$P$930&lt;&gt;0,IF(Players!$W$2:$W$930&gt;1.1,IF(Players!$D$2:$D$930=Z$2,Players!$W$2:$W$930)))),$U49),Players!$W$2:$W$930,0)),"")</f>
        <v>Justin Tucker</v>
      </c>
      <c r="AA49" s="26" t="str">
        <f t="array" ref="AA49">IFERROR(INDEX(Players!$B$2:$B$930,MATCH(LARGE(IF(ISNUMBER(MATCH(Players!$U$2:$U$930,$N$2,0)),IF(Players!$P$2:$P$930&lt;&gt;0,IF(Players!$W$2:$W$930&gt;1.1,IF(Players!$D$2:$D$930=AA$2,Players!$W$2:$W$930)))),$U49),Players!$W$2:$W$930,0)),"")</f>
        <v>Redskins</v>
      </c>
      <c r="AC49" s="39">
        <v>14</v>
      </c>
      <c r="AD49" s="27" t="str">
        <f>IFERROR(VLOOKUP(AD$35&amp;AC49,Input!$AB:$AC,2,0),"")</f>
        <v/>
      </c>
      <c r="AE49" s="281" t="str">
        <f>IFERROR(VLOOKUP(AD49,Input!$AC:$AH,6,0),"")</f>
        <v/>
      </c>
      <c r="AF49" s="281" t="e">
        <f>LARGE(AE36:AE51,AC49)</f>
        <v>#NUM!</v>
      </c>
      <c r="AG49" s="281" t="e">
        <f>VLOOKUP(AM49,Input!$AC:$AF,4,0)</f>
        <v>#NUM!</v>
      </c>
      <c r="AH49" s="281" t="e">
        <f>AG49&amp;COUNTIF(AG36:AG49,AG49)</f>
        <v>#NUM!</v>
      </c>
      <c r="AI49" s="281" t="e">
        <f t="shared" si="10"/>
        <v>#NUM!</v>
      </c>
      <c r="AJ49" s="281" t="e">
        <f>AI49&amp;COUNTIF(AI36:AI49,AI49)</f>
        <v>#NUM!</v>
      </c>
      <c r="AK49" s="281" t="str">
        <f>IFERROR(VLOOKUP(AM49,D12:D21,1,0),"B")</f>
        <v>B</v>
      </c>
      <c r="AL49" s="281" t="str">
        <f>AK49&amp;COUNTIF(AK36:AK49,AK49)</f>
        <v>B14</v>
      </c>
      <c r="AM49" s="281" t="e">
        <f t="array" ref="AM49">INDEX(AD$36:AD$51,SMALL(IF(AE$36:AE$51=AF49,ROW(AE$36:AE$51)-ROW(AF$36)+1),COUNTIF(AF$36:AF49,AF49)))</f>
        <v>#NUM!</v>
      </c>
      <c r="AN49" s="41" t="s">
        <v>604</v>
      </c>
      <c r="AO49" s="17"/>
      <c r="AP49" s="289" t="str">
        <f>IFERROR(VLOOKUP(VLOOKUP(D25,Input!$AC:$AG,5,0),Schedule!$T$3:$U$34,2,0),"")</f>
        <v/>
      </c>
    </row>
    <row r="50" spans="1:42" x14ac:dyDescent="0.25">
      <c r="A50" s="39" t="s">
        <v>592</v>
      </c>
      <c r="B50" s="181">
        <f t="shared" ref="B50:K50" si="25">IFERROR((B86-B68)/B68,0)</f>
        <v>0</v>
      </c>
      <c r="C50" s="182">
        <f t="shared" si="25"/>
        <v>0</v>
      </c>
      <c r="D50" s="182">
        <f t="shared" si="25"/>
        <v>0</v>
      </c>
      <c r="E50" s="182">
        <f t="shared" si="25"/>
        <v>0</v>
      </c>
      <c r="F50" s="182">
        <f t="shared" si="25"/>
        <v>0</v>
      </c>
      <c r="G50" s="182">
        <f t="shared" si="25"/>
        <v>0</v>
      </c>
      <c r="H50" s="182">
        <f t="shared" si="25"/>
        <v>0</v>
      </c>
      <c r="I50" s="182">
        <f t="shared" si="25"/>
        <v>0</v>
      </c>
      <c r="J50" s="182">
        <f t="shared" si="25"/>
        <v>0</v>
      </c>
      <c r="K50" s="183">
        <f t="shared" si="25"/>
        <v>0</v>
      </c>
      <c r="L50" s="19"/>
      <c r="P50" s="225">
        <f>IFERROR(SUM(AO19:AO28),0)</f>
        <v>0</v>
      </c>
      <c r="Q50" s="23">
        <f t="shared" si="23"/>
        <v>1</v>
      </c>
      <c r="R50" s="58">
        <f>IFERROR(SUM(AO19:AO28)/SUM(C$67:C$76),0)</f>
        <v>0</v>
      </c>
      <c r="S50" s="28">
        <f t="shared" si="24"/>
        <v>1</v>
      </c>
      <c r="U50" s="68">
        <v>2</v>
      </c>
      <c r="V50" s="228" t="str">
        <f t="array" ref="V50">IFERROR(INDEX(Players!$B$2:$B$930,MATCH(LARGE(IF(ISNUMBER(MATCH(Players!$U$2:$U$930,$N$2,0)),IF(Players!$P$2:$P$930&lt;&gt;0,IF(Players!$W$2:$W$930&gt;1.1,IF(Players!$D$2:$D$930=V$2,Players!$W$2:$W$930)))),$U50),Players!$W$2:$W$930,0)),"")</f>
        <v>Russell Wilson</v>
      </c>
      <c r="W50" s="23" t="str">
        <f t="array" ref="W50">IFERROR(INDEX(Players!$B$2:$B$930,MATCH(LARGE(IF(ISNUMBER(MATCH(Players!$U$2:$U$930,$N$2,0)),IF(Players!$P$2:$P$930&lt;&gt;0,IF(Players!$W$2:$W$930&gt;1.1,IF(Players!$D$2:$D$930=W$2,Players!$W$2:$W$930)))),$U50),Players!$W$2:$W$930,0)),"")</f>
        <v>LeVeon Bell</v>
      </c>
      <c r="X50" s="23" t="str">
        <f t="array" ref="X50">IFERROR(INDEX(Players!$B$2:$B$930,MATCH(LARGE(IF(ISNUMBER(MATCH(Players!$U$2:$U$930,$N$2,0)),IF(Players!$P$2:$P$930&lt;&gt;0,IF(Players!$W$2:$W$930&gt;1.1,IF(Players!$D$2:$D$930=X$2,Players!$W$2:$W$930)))),$U50),Players!$W$2:$W$930,0)),"")</f>
        <v>Odell Beckham</v>
      </c>
      <c r="Y50" s="23" t="str">
        <f t="array" ref="Y50">IFERROR(INDEX(Players!$B$2:$B$930,MATCH(LARGE(IF(ISNUMBER(MATCH(Players!$U$2:$U$930,$N$2,0)),IF(Players!$P$2:$P$930&lt;&gt;0,IF(Players!$W$2:$W$930&gt;1.1,IF(Players!$D$2:$D$930=Y$2,Players!$W$2:$W$930)))),$U50),Players!$W$2:$W$930,0)),"")</f>
        <v>Greg Olsen</v>
      </c>
      <c r="Z50" s="23" t="str">
        <f t="array" ref="Z50">IFERROR(INDEX(Players!$B$2:$B$930,MATCH(LARGE(IF(ISNUMBER(MATCH(Players!$U$2:$U$930,$N$2,0)),IF(Players!$P$2:$P$930&lt;&gt;0,IF(Players!$W$2:$W$930&gt;1.1,IF(Players!$D$2:$D$930=Z$2,Players!$W$2:$W$930)))),$U50),Players!$W$2:$W$930,0)),"")</f>
        <v>Matt Bryant</v>
      </c>
      <c r="AA50" s="28" t="str">
        <f t="array" ref="AA50">IFERROR(INDEX(Players!$B$2:$B$930,MATCH(LARGE(IF(ISNUMBER(MATCH(Players!$U$2:$U$930,$N$2,0)),IF(Players!$P$2:$P$930&lt;&gt;0,IF(Players!$W$2:$W$930&gt;1.1,IF(Players!$D$2:$D$930=AA$2,Players!$W$2:$W$930)))),$U50),Players!$W$2:$W$930,0)),"")</f>
        <v>49ers</v>
      </c>
      <c r="AC50" s="39">
        <v>15</v>
      </c>
      <c r="AD50" s="27" t="str">
        <f>IFERROR(VLOOKUP(AD$35&amp;AC50,Input!$AB:$AC,2,0),"")</f>
        <v/>
      </c>
      <c r="AE50" s="281" t="str">
        <f>IFERROR(VLOOKUP(AD50,Input!$AC:$AH,6,0),"")</f>
        <v/>
      </c>
      <c r="AF50" s="281" t="e">
        <f>LARGE(AE36:AE51,AC50)</f>
        <v>#NUM!</v>
      </c>
      <c r="AG50" s="281" t="e">
        <f>VLOOKUP(AM50,Input!$AC:$AF,4,0)</f>
        <v>#NUM!</v>
      </c>
      <c r="AH50" s="281" t="e">
        <f>AG50&amp;COUNTIF(AG36:AG50,AG50)</f>
        <v>#NUM!</v>
      </c>
      <c r="AI50" s="281" t="e">
        <f t="shared" si="10"/>
        <v>#NUM!</v>
      </c>
      <c r="AJ50" s="281" t="e">
        <f>AI50&amp;COUNTIF(AI36:AI50,AI50)</f>
        <v>#NUM!</v>
      </c>
      <c r="AK50" s="281" t="str">
        <f>IFERROR(VLOOKUP(AM50,D12:D21,1,0),"B")</f>
        <v>B</v>
      </c>
      <c r="AL50" s="281" t="str">
        <f>AK50&amp;COUNTIF(AK36:AK50,AK50)</f>
        <v>B15</v>
      </c>
      <c r="AM50" s="281" t="e">
        <f t="array" ref="AM50">INDEX(AD$36:AD$51,SMALL(IF(AE$36:AE$51=AF50,ROW(AE$36:AE$51)-ROW(AF$36)+1),COUNTIF(AF$36:AF50,AF50)))</f>
        <v>#NUM!</v>
      </c>
      <c r="AN50" s="41" t="s">
        <v>605</v>
      </c>
      <c r="AO50" s="17"/>
      <c r="AP50" s="289" t="str">
        <f>IFERROR(VLOOKUP(VLOOKUP(D26,Input!$AC:$AG,5,0),Schedule!$T$3:$U$34,2,0),"")</f>
        <v/>
      </c>
    </row>
    <row r="51" spans="1:42" ht="15.75" thickBot="1" x14ac:dyDescent="0.3">
      <c r="A51" s="39" t="s">
        <v>593</v>
      </c>
      <c r="B51" s="181">
        <f t="shared" ref="B51:K51" si="26">IFERROR((B87-B69)/B69,0)</f>
        <v>0</v>
      </c>
      <c r="C51" s="182">
        <f t="shared" si="26"/>
        <v>0</v>
      </c>
      <c r="D51" s="182">
        <f t="shared" si="26"/>
        <v>0</v>
      </c>
      <c r="E51" s="182">
        <f t="shared" si="26"/>
        <v>0</v>
      </c>
      <c r="F51" s="182">
        <f t="shared" si="26"/>
        <v>0</v>
      </c>
      <c r="G51" s="182">
        <f t="shared" si="26"/>
        <v>0</v>
      </c>
      <c r="H51" s="182">
        <f t="shared" si="26"/>
        <v>0</v>
      </c>
      <c r="I51" s="182">
        <f t="shared" si="26"/>
        <v>0</v>
      </c>
      <c r="J51" s="182">
        <f t="shared" si="26"/>
        <v>0</v>
      </c>
      <c r="K51" s="183">
        <f t="shared" si="26"/>
        <v>0</v>
      </c>
      <c r="L51" s="19"/>
      <c r="P51" s="225">
        <f>IFERROR(SUM(AO36:AO45),0)</f>
        <v>0</v>
      </c>
      <c r="Q51" s="23">
        <f t="shared" si="23"/>
        <v>1</v>
      </c>
      <c r="R51" s="58">
        <f>IFERROR(SUM(AO36:AO45)/SUM(D$67:D$76),0)</f>
        <v>0</v>
      </c>
      <c r="S51" s="28">
        <f t="shared" si="24"/>
        <v>1</v>
      </c>
      <c r="U51" s="68">
        <v>3</v>
      </c>
      <c r="V51" s="228" t="str">
        <f t="array" ref="V51">IFERROR(INDEX(Players!$B$2:$B$930,MATCH(LARGE(IF(ISNUMBER(MATCH(Players!$U$2:$U$930,$N$2,0)),IF(Players!$P$2:$P$930&lt;&gt;0,IF(Players!$W$2:$W$930&gt;1.1,IF(Players!$D$2:$D$930=V$2,Players!$W$2:$W$930)))),$U51),Players!$W$2:$W$930,0)),"")</f>
        <v>Tom Brady</v>
      </c>
      <c r="W51" s="23" t="str">
        <f t="array" ref="W51">IFERROR(INDEX(Players!$B$2:$B$930,MATCH(LARGE(IF(ISNUMBER(MATCH(Players!$U$2:$U$930,$N$2,0)),IF(Players!$P$2:$P$930&lt;&gt;0,IF(Players!$W$2:$W$930&gt;1.1,IF(Players!$D$2:$D$930=W$2,Players!$W$2:$W$930)))),$U51),Players!$W$2:$W$930,0)),"")</f>
        <v>Devonta Freeman</v>
      </c>
      <c r="X51" s="23" t="str">
        <f t="array" ref="X51">IFERROR(INDEX(Players!$B$2:$B$930,MATCH(LARGE(IF(ISNUMBER(MATCH(Players!$U$2:$U$930,$N$2,0)),IF(Players!$P$2:$P$930&lt;&gt;0,IF(Players!$W$2:$W$930&gt;1.1,IF(Players!$D$2:$D$930=X$2,Players!$W$2:$W$930)))),$U51),Players!$W$2:$W$930,0)),"")</f>
        <v>Julio Jones</v>
      </c>
      <c r="Y51" s="23" t="str">
        <f t="array" ref="Y51">IFERROR(INDEX(Players!$B$2:$B$930,MATCH(LARGE(IF(ISNUMBER(MATCH(Players!$U$2:$U$930,$N$2,0)),IF(Players!$P$2:$P$930&lt;&gt;0,IF(Players!$W$2:$W$930&gt;1.1,IF(Players!$D$2:$D$930=Y$2,Players!$W$2:$W$930)))),$U51),Players!$W$2:$W$930,0)),"")</f>
        <v>Kyle Rudolph</v>
      </c>
      <c r="Z51" s="23" t="str">
        <f t="array" ref="Z51">IFERROR(INDEX(Players!$B$2:$B$930,MATCH(LARGE(IF(ISNUMBER(MATCH(Players!$U$2:$U$930,$N$2,0)),IF(Players!$P$2:$P$930&lt;&gt;0,IF(Players!$W$2:$W$930&gt;1.1,IF(Players!$D$2:$D$930=Z$2,Players!$W$2:$W$930)))),$U51),Players!$W$2:$W$930,0)),"")</f>
        <v>Stephen Gostkowski</v>
      </c>
      <c r="AA51" s="28" t="str">
        <f t="array" ref="AA51">IFERROR(INDEX(Players!$B$2:$B$930,MATCH(LARGE(IF(ISNUMBER(MATCH(Players!$U$2:$U$930,$N$2,0)),IF(Players!$P$2:$P$930&lt;&gt;0,IF(Players!$W$2:$W$930&gt;1.1,IF(Players!$D$2:$D$930=AA$2,Players!$W$2:$W$930)))),$U51),Players!$W$2:$W$930,0)),"")</f>
        <v>Patriots</v>
      </c>
      <c r="AC51" s="40">
        <v>16</v>
      </c>
      <c r="AD51" s="29" t="str">
        <f>IFERROR(VLOOKUP(AD$35&amp;AC51,Input!$AB:$AC,2,0),"")</f>
        <v/>
      </c>
      <c r="AE51" s="282" t="str">
        <f>IFERROR(VLOOKUP(AD51,Input!$AC:$AH,6,0),"")</f>
        <v/>
      </c>
      <c r="AF51" s="281" t="e">
        <f>LARGE(AE36:AE51,AC51)</f>
        <v>#NUM!</v>
      </c>
      <c r="AG51" s="282" t="e">
        <f>VLOOKUP(AM51,Input!$AC:$AF,4,0)</f>
        <v>#NUM!</v>
      </c>
      <c r="AH51" s="282" t="e">
        <f>AG51&amp;COUNTIF(AG36:AG51,AG51)</f>
        <v>#NUM!</v>
      </c>
      <c r="AI51" s="282" t="e">
        <f t="shared" si="10"/>
        <v>#NUM!</v>
      </c>
      <c r="AJ51" s="282" t="e">
        <f>AI51&amp;COUNTIF(AI36:AI51,AI51)</f>
        <v>#NUM!</v>
      </c>
      <c r="AK51" s="282" t="str">
        <f>IFERROR(VLOOKUP(AM51,D12:D21,1,0),"B")</f>
        <v>B</v>
      </c>
      <c r="AL51" s="282" t="str">
        <f>AK51&amp;COUNTIF(AK36:AK51,AK51)</f>
        <v>B16</v>
      </c>
      <c r="AM51" s="282" t="e">
        <f t="array" ref="AM51">INDEX(AD$36:AD$51,SMALL(IF(AE$36:AE$51=AF51,ROW(AE$36:AE$51)-ROW(AF$36)+1),COUNTIF(AF$36:AF51,AF51)))</f>
        <v>#NUM!</v>
      </c>
      <c r="AN51" s="42" t="s">
        <v>606</v>
      </c>
      <c r="AO51" s="283"/>
      <c r="AP51" s="290" t="str">
        <f>IFERROR(VLOOKUP(VLOOKUP(D27,Input!$AC:$AG,5,0),Schedule!$T$3:$U$34,2,0),"")</f>
        <v/>
      </c>
    </row>
    <row r="52" spans="1:42" ht="15.75" thickBot="1" x14ac:dyDescent="0.3">
      <c r="A52" s="41" t="s">
        <v>594</v>
      </c>
      <c r="B52" s="181">
        <f t="shared" ref="B52:K52" si="27">IFERROR((B88-B70)/B70,0)</f>
        <v>0</v>
      </c>
      <c r="C52" s="182">
        <f t="shared" si="27"/>
        <v>0</v>
      </c>
      <c r="D52" s="182">
        <f t="shared" si="27"/>
        <v>0</v>
      </c>
      <c r="E52" s="182">
        <f t="shared" si="27"/>
        <v>0</v>
      </c>
      <c r="F52" s="182">
        <f t="shared" si="27"/>
        <v>0</v>
      </c>
      <c r="G52" s="182">
        <f t="shared" si="27"/>
        <v>0</v>
      </c>
      <c r="H52" s="182">
        <f t="shared" si="27"/>
        <v>0</v>
      </c>
      <c r="I52" s="182">
        <f t="shared" si="27"/>
        <v>0</v>
      </c>
      <c r="J52" s="182">
        <f t="shared" si="27"/>
        <v>0</v>
      </c>
      <c r="K52" s="183">
        <f t="shared" si="27"/>
        <v>0</v>
      </c>
      <c r="L52" s="19"/>
      <c r="P52" s="225">
        <f>IFERROR(SUM(AO53:AO62),0)</f>
        <v>0</v>
      </c>
      <c r="Q52" s="23">
        <f t="shared" si="23"/>
        <v>1</v>
      </c>
      <c r="R52" s="58">
        <f>IFERROR(SUM(AO53:AO62)/SUM(E$67:E$76),0)</f>
        <v>0</v>
      </c>
      <c r="S52" s="28">
        <f t="shared" si="24"/>
        <v>1</v>
      </c>
      <c r="U52" s="68">
        <v>4</v>
      </c>
      <c r="V52" s="228" t="str">
        <f t="array" ref="V52">IFERROR(INDEX(Players!$B$2:$B$930,MATCH(LARGE(IF(ISNUMBER(MATCH(Players!$U$2:$U$930,$N$2,0)),IF(Players!$P$2:$P$930&lt;&gt;0,IF(Players!$W$2:$W$930&gt;1.1,IF(Players!$D$2:$D$930=V$2,Players!$W$2:$W$930)))),$U52),Players!$W$2:$W$930,0)),"")</f>
        <v>Drew Brees</v>
      </c>
      <c r="W52" s="23" t="str">
        <f t="array" ref="W52">IFERROR(INDEX(Players!$B$2:$B$930,MATCH(LARGE(IF(ISNUMBER(MATCH(Players!$U$2:$U$930,$N$2,0)),IF(Players!$P$2:$P$930&lt;&gt;0,IF(Players!$W$2:$W$930&gt;1.1,IF(Players!$D$2:$D$930=W$2,Players!$W$2:$W$930)))),$U52),Players!$W$2:$W$930,0)),"")</f>
        <v>Ezekiel Elliott</v>
      </c>
      <c r="X52" s="23" t="str">
        <f t="array" ref="X52">IFERROR(INDEX(Players!$B$2:$B$930,MATCH(LARGE(IF(ISNUMBER(MATCH(Players!$U$2:$U$930,$N$2,0)),IF(Players!$P$2:$P$930&lt;&gt;0,IF(Players!$W$2:$W$930&gt;1.1,IF(Players!$D$2:$D$930=X$2,Players!$W$2:$W$930)))),$U52),Players!$W$2:$W$930,0)),"")</f>
        <v/>
      </c>
      <c r="Y52" s="23" t="str">
        <f t="array" ref="Y52">IFERROR(INDEX(Players!$B$2:$B$930,MATCH(LARGE(IF(ISNUMBER(MATCH(Players!$U$2:$U$930,$N$2,0)),IF(Players!$P$2:$P$930&lt;&gt;0,IF(Players!$W$2:$W$930&gt;1.1,IF(Players!$D$2:$D$930=Y$2,Players!$W$2:$W$930)))),$U52),Players!$W$2:$W$930,0)),"")</f>
        <v>Zach Ertz</v>
      </c>
      <c r="Z52" s="23" t="str">
        <f t="array" ref="Z52">IFERROR(INDEX(Players!$B$2:$B$930,MATCH(LARGE(IF(ISNUMBER(MATCH(Players!$U$2:$U$930,$N$2,0)),IF(Players!$P$2:$P$930&lt;&gt;0,IF(Players!$W$2:$W$930&gt;1.1,IF(Players!$D$2:$D$930=Z$2,Players!$W$2:$W$930)))),$U52),Players!$W$2:$W$930,0)),"")</f>
        <v>Adam Vinatieri</v>
      </c>
      <c r="AA52" s="28" t="str">
        <f t="array" ref="AA52">IFERROR(INDEX(Players!$B$2:$B$930,MATCH(LARGE(IF(ISNUMBER(MATCH(Players!$U$2:$U$930,$N$2,0)),IF(Players!$P$2:$P$930&lt;&gt;0,IF(Players!$W$2:$W$930&gt;1.1,IF(Players!$D$2:$D$930=AA$2,Players!$W$2:$W$930)))),$U52),Players!$W$2:$W$930,0)),"")</f>
        <v>Broncos</v>
      </c>
      <c r="AC52" s="284"/>
      <c r="AD52" s="285" t="str">
        <f>Input!BC1</f>
        <v>Team 3</v>
      </c>
      <c r="AE52" s="286" t="s">
        <v>5</v>
      </c>
      <c r="AF52" s="286" t="s">
        <v>905</v>
      </c>
      <c r="AG52" s="286" t="s">
        <v>904</v>
      </c>
      <c r="AH52" s="286" t="s">
        <v>906</v>
      </c>
      <c r="AI52" s="286" t="s">
        <v>907</v>
      </c>
      <c r="AJ52" s="286" t="s">
        <v>908</v>
      </c>
      <c r="AK52" s="286" t="s">
        <v>658</v>
      </c>
      <c r="AL52" s="286" t="s">
        <v>909</v>
      </c>
      <c r="AM52" s="286" t="s">
        <v>910</v>
      </c>
      <c r="AN52" s="287" t="s">
        <v>904</v>
      </c>
      <c r="AO52" s="287" t="s">
        <v>5</v>
      </c>
      <c r="AP52" s="288" t="s">
        <v>728</v>
      </c>
    </row>
    <row r="53" spans="1:42" x14ac:dyDescent="0.25">
      <c r="A53" s="41" t="s">
        <v>595</v>
      </c>
      <c r="B53" s="181">
        <f t="shared" ref="B53:K53" si="28">IFERROR((B89-B71)/B71,0)</f>
        <v>0</v>
      </c>
      <c r="C53" s="182">
        <f t="shared" si="28"/>
        <v>0</v>
      </c>
      <c r="D53" s="182">
        <f t="shared" si="28"/>
        <v>0</v>
      </c>
      <c r="E53" s="182">
        <f t="shared" si="28"/>
        <v>0</v>
      </c>
      <c r="F53" s="182">
        <f t="shared" si="28"/>
        <v>0</v>
      </c>
      <c r="G53" s="182">
        <f t="shared" si="28"/>
        <v>0</v>
      </c>
      <c r="H53" s="182">
        <f t="shared" si="28"/>
        <v>0</v>
      </c>
      <c r="I53" s="182">
        <f t="shared" si="28"/>
        <v>0</v>
      </c>
      <c r="J53" s="182">
        <f t="shared" si="28"/>
        <v>0</v>
      </c>
      <c r="K53" s="183">
        <f t="shared" si="28"/>
        <v>0</v>
      </c>
      <c r="L53" s="19"/>
      <c r="P53" s="225">
        <f>IFERROR(SUM(AO70:AO79),0)</f>
        <v>0</v>
      </c>
      <c r="Q53" s="23">
        <f t="shared" si="23"/>
        <v>1</v>
      </c>
      <c r="R53" s="58">
        <f>IFERROR(SUM(AO70:AO79)/SUM(F$67:F$76),0)</f>
        <v>0</v>
      </c>
      <c r="S53" s="28">
        <f t="shared" si="24"/>
        <v>1</v>
      </c>
      <c r="U53" s="68">
        <v>5</v>
      </c>
      <c r="V53" s="228" t="str">
        <f t="array" ref="V53">IFERROR(INDEX(Players!$B$2:$B$930,MATCH(LARGE(IF(ISNUMBER(MATCH(Players!$U$2:$U$930,$N$2,0)),IF(Players!$P$2:$P$930&lt;&gt;0,IF(Players!$W$2:$W$930&gt;1.1,IF(Players!$D$2:$D$930=V$2,Players!$W$2:$W$930)))),$U53),Players!$W$2:$W$930,0)),"")</f>
        <v>Matt Ryan</v>
      </c>
      <c r="W53" s="23" t="str">
        <f t="array" ref="W53">IFERROR(INDEX(Players!$B$2:$B$930,MATCH(LARGE(IF(ISNUMBER(MATCH(Players!$U$2:$U$930,$N$2,0)),IF(Players!$P$2:$P$930&lt;&gt;0,IF(Players!$W$2:$W$930&gt;1.1,IF(Players!$D$2:$D$930=W$2,Players!$W$2:$W$930)))),$U53),Players!$W$2:$W$930,0)),"")</f>
        <v>LeSean McCoy</v>
      </c>
      <c r="X53" s="23" t="str">
        <f t="array" ref="X53">IFERROR(INDEX(Players!$B$2:$B$930,MATCH(LARGE(IF(ISNUMBER(MATCH(Players!$U$2:$U$930,$N$2,0)),IF(Players!$P$2:$P$930&lt;&gt;0,IF(Players!$W$2:$W$930&gt;1.1,IF(Players!$D$2:$D$930=X$2,Players!$W$2:$W$930)))),$U53),Players!$W$2:$W$930,0)),"")</f>
        <v/>
      </c>
      <c r="Y53" s="23" t="str">
        <f t="array" ref="Y53">IFERROR(INDEX(Players!$B$2:$B$930,MATCH(LARGE(IF(ISNUMBER(MATCH(Players!$U$2:$U$930,$N$2,0)),IF(Players!$P$2:$P$930&lt;&gt;0,IF(Players!$W$2:$W$930&gt;1.1,IF(Players!$D$2:$D$930=Y$2,Players!$W$2:$W$930)))),$U53),Players!$W$2:$W$930,0)),"")</f>
        <v>Jordan Reed</v>
      </c>
      <c r="Z53" s="23" t="str">
        <f t="array" ref="Z53">IFERROR(INDEX(Players!$B$2:$B$930,MATCH(LARGE(IF(ISNUMBER(MATCH(Players!$U$2:$U$930,$N$2,0)),IF(Players!$P$2:$P$930&lt;&gt;0,IF(Players!$W$2:$W$930&gt;1.1,IF(Players!$D$2:$D$930=Z$2,Players!$W$2:$W$930)))),$U53),Players!$W$2:$W$930,0)),"")</f>
        <v>Dan Bailey</v>
      </c>
      <c r="AA53" s="28" t="str">
        <f t="array" ref="AA53">IFERROR(INDEX(Players!$B$2:$B$930,MATCH(LARGE(IF(ISNUMBER(MATCH(Players!$U$2:$U$930,$N$2,0)),IF(Players!$P$2:$P$930&lt;&gt;0,IF(Players!$W$2:$W$930&gt;1.1,IF(Players!$D$2:$D$930=AA$2,Players!$W$2:$W$930)))),$U53),Players!$W$2:$W$930,0)),"")</f>
        <v>Chiefs</v>
      </c>
      <c r="AC53" s="39">
        <v>1</v>
      </c>
      <c r="AD53" s="27" t="str">
        <f>IFERROR(VLOOKUP(AD$52&amp;AC53,Input!$AB:$AC,2,0),"")</f>
        <v/>
      </c>
      <c r="AE53" s="281" t="str">
        <f>IFERROR(VLOOKUP(AD53,Input!$AC:$AH,6,0),"")</f>
        <v/>
      </c>
      <c r="AF53" s="281" t="e">
        <f>LARGE(AE53:AE68,AC53)</f>
        <v>#NUM!</v>
      </c>
      <c r="AG53" s="281" t="e">
        <f>VLOOKUP(AM53,Input!$AC:$AF,4,0)</f>
        <v>#NUM!</v>
      </c>
      <c r="AH53" s="281" t="e">
        <f>AG53&amp;COUNTIF(AG53:AG53,AG53)</f>
        <v>#NUM!</v>
      </c>
      <c r="AI53" s="281" t="e">
        <f t="shared" ref="AI53:AI68" si="29">IF(AH53="RB3","F",IF(AH53="WR3","F",IF(AH53="TE2","F",0)))</f>
        <v>#NUM!</v>
      </c>
      <c r="AJ53" s="281" t="e">
        <f>AI53&amp;COUNTIF(AI53:AI53,AI53)</f>
        <v>#NUM!</v>
      </c>
      <c r="AK53" s="281" t="str">
        <f>IFERROR(VLOOKUP(AM53,E12:E21,1,0),"B")</f>
        <v>B</v>
      </c>
      <c r="AL53" s="281" t="str">
        <f>AK53&amp;COUNTIF(AK53:AK53,AK53)</f>
        <v>B1</v>
      </c>
      <c r="AM53" s="281" t="e">
        <f t="array" ref="AM53">INDEX(AD$53:AD$68,SMALL(IF(AE$53:AE$68=AF53,ROW(AE$53:AE$68)-ROW(AF$53)+1),COUNTIF(AF$53:AF53,AF53)))</f>
        <v>#NUM!</v>
      </c>
      <c r="AN53" s="39" t="s">
        <v>591</v>
      </c>
      <c r="AO53" s="281" t="str">
        <f>IFERROR(VLOOKUP(E12,Input!$AC:$AH,6,0),"")</f>
        <v/>
      </c>
      <c r="AP53" s="289" t="str">
        <f>IFERROR(VLOOKUP(VLOOKUP(E12,Input!$AC:$AG,5,0),Schedule!$T$3:$U$34,2,0),"")</f>
        <v/>
      </c>
    </row>
    <row r="54" spans="1:42" x14ac:dyDescent="0.25">
      <c r="A54" s="41" t="s">
        <v>596</v>
      </c>
      <c r="B54" s="181">
        <f t="shared" ref="B54:K54" si="30">IFERROR((B90-B72)/B72,0)</f>
        <v>0</v>
      </c>
      <c r="C54" s="182">
        <f t="shared" si="30"/>
        <v>0</v>
      </c>
      <c r="D54" s="182">
        <f t="shared" si="30"/>
        <v>0</v>
      </c>
      <c r="E54" s="182">
        <f t="shared" si="30"/>
        <v>0</v>
      </c>
      <c r="F54" s="182">
        <f t="shared" si="30"/>
        <v>0</v>
      </c>
      <c r="G54" s="182">
        <f t="shared" si="30"/>
        <v>0</v>
      </c>
      <c r="H54" s="182">
        <f t="shared" si="30"/>
        <v>0</v>
      </c>
      <c r="I54" s="182">
        <f t="shared" si="30"/>
        <v>0</v>
      </c>
      <c r="J54" s="182">
        <f t="shared" si="30"/>
        <v>0</v>
      </c>
      <c r="K54" s="183">
        <f t="shared" si="30"/>
        <v>0</v>
      </c>
      <c r="L54" s="19"/>
      <c r="P54" s="225">
        <f>IFERROR(SUM(AO87:AO96),0)</f>
        <v>0</v>
      </c>
      <c r="Q54" s="23">
        <f t="shared" si="23"/>
        <v>1</v>
      </c>
      <c r="R54" s="58">
        <f>IFERROR(SUM(AO87:AO96)/SUM(G$67:G$76),0)</f>
        <v>0</v>
      </c>
      <c r="S54" s="28">
        <f t="shared" si="24"/>
        <v>1</v>
      </c>
      <c r="U54" s="68">
        <v>6</v>
      </c>
      <c r="V54" s="228" t="str">
        <f t="array" ref="V54">IFERROR(INDEX(Players!$B$2:$B$930,MATCH(LARGE(IF(ISNUMBER(MATCH(Players!$U$2:$U$930,$N$2,0)),IF(Players!$P$2:$P$930&lt;&gt;0,IF(Players!$W$2:$W$930&gt;1.1,IF(Players!$D$2:$D$930=V$2,Players!$W$2:$W$930)))),$U54),Players!$W$2:$W$930,0)),"")</f>
        <v>Andrew Luck</v>
      </c>
      <c r="W54" s="23" t="str">
        <f t="array" ref="W54">IFERROR(INDEX(Players!$B$2:$B$930,MATCH(LARGE(IF(ISNUMBER(MATCH(Players!$U$2:$U$930,$N$2,0)),IF(Players!$P$2:$P$930&lt;&gt;0,IF(Players!$W$2:$W$930&gt;1.1,IF(Players!$D$2:$D$930=W$2,Players!$W$2:$W$930)))),$U54),Players!$W$2:$W$930,0)),"")</f>
        <v>Jordan Howard</v>
      </c>
      <c r="X54" s="23" t="str">
        <f t="array" ref="X54">IFERROR(INDEX(Players!$B$2:$B$930,MATCH(LARGE(IF(ISNUMBER(MATCH(Players!$U$2:$U$930,$N$2,0)),IF(Players!$P$2:$P$930&lt;&gt;0,IF(Players!$W$2:$W$930&gt;1.1,IF(Players!$D$2:$D$930=X$2,Players!$W$2:$W$930)))),$U54),Players!$W$2:$W$930,0)),"")</f>
        <v/>
      </c>
      <c r="Y54" s="23" t="str">
        <f t="array" ref="Y54">IFERROR(INDEX(Players!$B$2:$B$930,MATCH(LARGE(IF(ISNUMBER(MATCH(Players!$U$2:$U$930,$N$2,0)),IF(Players!$P$2:$P$930&lt;&gt;0,IF(Players!$W$2:$W$930&gt;1.1,IF(Players!$D$2:$D$930=Y$2,Players!$W$2:$W$930)))),$U54),Players!$W$2:$W$930,0)),"")</f>
        <v>Jimmy Graham</v>
      </c>
      <c r="Z54" s="23" t="str">
        <f t="array" ref="Z54">IFERROR(INDEX(Players!$B$2:$B$930,MATCH(LARGE(IF(ISNUMBER(MATCH(Players!$U$2:$U$930,$N$2,0)),IF(Players!$P$2:$P$930&lt;&gt;0,IF(Players!$W$2:$W$930&gt;1.1,IF(Players!$D$2:$D$930=Z$2,Players!$W$2:$W$930)))),$U54),Players!$W$2:$W$930,0)),"")</f>
        <v>Matt Prater</v>
      </c>
      <c r="AA54" s="28" t="str">
        <f t="array" ref="AA54">IFERROR(INDEX(Players!$B$2:$B$930,MATCH(LARGE(IF(ISNUMBER(MATCH(Players!$U$2:$U$930,$N$2,0)),IF(Players!$P$2:$P$930&lt;&gt;0,IF(Players!$W$2:$W$930&gt;1.1,IF(Players!$D$2:$D$930=AA$2,Players!$W$2:$W$930)))),$U54),Players!$W$2:$W$930,0)),"")</f>
        <v>Rams</v>
      </c>
      <c r="AC54" s="39">
        <v>2</v>
      </c>
      <c r="AD54" s="27" t="str">
        <f>IFERROR(VLOOKUP(AD$52&amp;AC54,Input!$AB:$AC,2,0),"")</f>
        <v/>
      </c>
      <c r="AE54" s="281" t="str">
        <f>IFERROR(VLOOKUP(AD54,Input!$AC:$AH,6,0),"")</f>
        <v/>
      </c>
      <c r="AF54" s="281" t="e">
        <f>LARGE(AE53:AE68,AC54)</f>
        <v>#NUM!</v>
      </c>
      <c r="AG54" s="281" t="e">
        <f>VLOOKUP(AM54,Input!$AC:$AF,4,0)</f>
        <v>#NUM!</v>
      </c>
      <c r="AH54" s="281" t="e">
        <f>AG54&amp;COUNTIF(AG53:AG54,AG54)</f>
        <v>#NUM!</v>
      </c>
      <c r="AI54" s="281" t="e">
        <f t="shared" si="29"/>
        <v>#NUM!</v>
      </c>
      <c r="AJ54" s="281" t="e">
        <f>AI54&amp;COUNTIF(AI53:AI54,AI54)</f>
        <v>#NUM!</v>
      </c>
      <c r="AK54" s="281" t="str">
        <f>IFERROR(VLOOKUP(AM54,E12:E21,1,0),"B")</f>
        <v>B</v>
      </c>
      <c r="AL54" s="281" t="str">
        <f>AK54&amp;COUNTIF(AK53:AK54,AK54)</f>
        <v>B2</v>
      </c>
      <c r="AM54" s="281" t="e">
        <f t="array" ref="AM54">INDEX(AD$53:AD$68,SMALL(IF(AE$53:AE$68=AF54,ROW(AE$53:AE$68)-ROW(AF$53)+1),COUNTIF(AF$53:AF54,AF54)))</f>
        <v>#NUM!</v>
      </c>
      <c r="AN54" s="39" t="s">
        <v>592</v>
      </c>
      <c r="AO54" s="281" t="str">
        <f>IFERROR(VLOOKUP(E13,Input!$AC:$AH,6,0),"")</f>
        <v/>
      </c>
      <c r="AP54" s="289" t="str">
        <f>IFERROR(VLOOKUP(VLOOKUP(E13,Input!$AC:$AG,5,0),Schedule!$T$3:$U$34,2,0),"")</f>
        <v/>
      </c>
    </row>
    <row r="55" spans="1:42" x14ac:dyDescent="0.25">
      <c r="A55" s="41" t="s">
        <v>597</v>
      </c>
      <c r="B55" s="181">
        <f t="shared" ref="B55:K55" si="31">IFERROR((B91-B73)/B73,0)</f>
        <v>0</v>
      </c>
      <c r="C55" s="182">
        <f t="shared" si="31"/>
        <v>0</v>
      </c>
      <c r="D55" s="182">
        <f t="shared" si="31"/>
        <v>0</v>
      </c>
      <c r="E55" s="182">
        <f t="shared" si="31"/>
        <v>0</v>
      </c>
      <c r="F55" s="182">
        <f t="shared" si="31"/>
        <v>0</v>
      </c>
      <c r="G55" s="182">
        <f t="shared" si="31"/>
        <v>0</v>
      </c>
      <c r="H55" s="182">
        <f t="shared" si="31"/>
        <v>0</v>
      </c>
      <c r="I55" s="182">
        <f t="shared" si="31"/>
        <v>0</v>
      </c>
      <c r="J55" s="182">
        <f t="shared" si="31"/>
        <v>0</v>
      </c>
      <c r="K55" s="183">
        <f t="shared" si="31"/>
        <v>0</v>
      </c>
      <c r="L55" s="19"/>
      <c r="P55" s="225">
        <f>IFERROR(SUM(AO104:AO113),0)</f>
        <v>0</v>
      </c>
      <c r="Q55" s="23">
        <f t="shared" si="23"/>
        <v>1</v>
      </c>
      <c r="R55" s="58">
        <f>IFERROR(SUM(AO104:AO113)/SUM(H$67:H$76),0)</f>
        <v>0</v>
      </c>
      <c r="S55" s="28">
        <f t="shared" si="24"/>
        <v>1</v>
      </c>
      <c r="U55" s="68">
        <v>7</v>
      </c>
      <c r="V55" s="228" t="str">
        <f t="array" ref="V55">IFERROR(INDEX(Players!$B$2:$B$930,MATCH(LARGE(IF(ISNUMBER(MATCH(Players!$U$2:$U$930,$N$2,0)),IF(Players!$P$2:$P$930&lt;&gt;0,IF(Players!$W$2:$W$930&gt;1.1,IF(Players!$D$2:$D$930=V$2,Players!$W$2:$W$930)))),$U55),Players!$W$2:$W$930,0)),"")</f>
        <v>Cam Newton</v>
      </c>
      <c r="W55" s="23" t="str">
        <f t="array" ref="W55">IFERROR(INDEX(Players!$B$2:$B$930,MATCH(LARGE(IF(ISNUMBER(MATCH(Players!$U$2:$U$930,$N$2,0)),IF(Players!$P$2:$P$930&lt;&gt;0,IF(Players!$W$2:$W$930&gt;1.1,IF(Players!$D$2:$D$930=W$2,Players!$W$2:$W$930)))),$U55),Players!$W$2:$W$930,0)),"")</f>
        <v>Bilal Powell</v>
      </c>
      <c r="X55" s="23" t="str">
        <f t="array" ref="X55">IFERROR(INDEX(Players!$B$2:$B$930,MATCH(LARGE(IF(ISNUMBER(MATCH(Players!$U$2:$U$930,$N$2,0)),IF(Players!$P$2:$P$930&lt;&gt;0,IF(Players!$W$2:$W$930&gt;1.1,IF(Players!$D$2:$D$930=X$2,Players!$W$2:$W$930)))),$U55),Players!$W$2:$W$930,0)),"")</f>
        <v/>
      </c>
      <c r="Y55" s="23" t="str">
        <f t="array" ref="Y55">IFERROR(INDEX(Players!$B$2:$B$930,MATCH(LARGE(IF(ISNUMBER(MATCH(Players!$U$2:$U$930,$N$2,0)),IF(Players!$P$2:$P$930&lt;&gt;0,IF(Players!$W$2:$W$930&gt;1.1,IF(Players!$D$2:$D$930=Y$2,Players!$W$2:$W$930)))),$U55),Players!$W$2:$W$930,0)),"")</f>
        <v>Delanie Walker</v>
      </c>
      <c r="Z55" s="23" t="str">
        <f t="array" ref="Z55">IFERROR(INDEX(Players!$B$2:$B$930,MATCH(LARGE(IF(ISNUMBER(MATCH(Players!$U$2:$U$930,$N$2,0)),IF(Players!$P$2:$P$930&lt;&gt;0,IF(Players!$W$2:$W$930&gt;1.1,IF(Players!$D$2:$D$930=Z$2,Players!$W$2:$W$930)))),$U55),Players!$W$2:$W$930,0)),"")</f>
        <v>Mason Crosby</v>
      </c>
      <c r="AA55" s="28" t="str">
        <f t="array" ref="AA55">IFERROR(INDEX(Players!$B$2:$B$930,MATCH(LARGE(IF(ISNUMBER(MATCH(Players!$U$2:$U$930,$N$2,0)),IF(Players!$P$2:$P$930&lt;&gt;0,IF(Players!$W$2:$W$930&gt;1.1,IF(Players!$D$2:$D$930=AA$2,Players!$W$2:$W$930)))),$U55),Players!$W$2:$W$930,0)),"")</f>
        <v>Cardinals</v>
      </c>
      <c r="AC55" s="39">
        <v>3</v>
      </c>
      <c r="AD55" s="27" t="str">
        <f>IFERROR(VLOOKUP(AD$52&amp;AC55,Input!$AB:$AC,2,0),"")</f>
        <v/>
      </c>
      <c r="AE55" s="281" t="str">
        <f>IFERROR(VLOOKUP(AD55,Input!$AC:$AH,6,0),"")</f>
        <v/>
      </c>
      <c r="AF55" s="281" t="e">
        <f>LARGE(AE53:AE68,AC55)</f>
        <v>#NUM!</v>
      </c>
      <c r="AG55" s="281" t="e">
        <f>VLOOKUP(AM55,Input!$AC:$AF,4,0)</f>
        <v>#NUM!</v>
      </c>
      <c r="AH55" s="281" t="e">
        <f>AG55&amp;COUNTIF(AG53:AG55,AG55)</f>
        <v>#NUM!</v>
      </c>
      <c r="AI55" s="281" t="e">
        <f t="shared" si="29"/>
        <v>#NUM!</v>
      </c>
      <c r="AJ55" s="281" t="e">
        <f>AI55&amp;COUNTIF(AI53:AI55,AI55)</f>
        <v>#NUM!</v>
      </c>
      <c r="AK55" s="281" t="str">
        <f>IFERROR(VLOOKUP(AM55,E12:E21,1,0),"B")</f>
        <v>B</v>
      </c>
      <c r="AL55" s="281" t="str">
        <f>AK55&amp;COUNTIF(AK53:AK55,AK55)</f>
        <v>B3</v>
      </c>
      <c r="AM55" s="281" t="e">
        <f t="array" ref="AM55">INDEX(AD$53:AD$68,SMALL(IF(AE$53:AE$68=AF55,ROW(AE$53:AE$68)-ROW(AF$53)+1),COUNTIF(AF$53:AF55,AF55)))</f>
        <v>#NUM!</v>
      </c>
      <c r="AN55" s="39" t="s">
        <v>593</v>
      </c>
      <c r="AO55" s="281" t="str">
        <f>IFERROR(VLOOKUP(E14,Input!$AC:$AH,6,0),"")</f>
        <v/>
      </c>
      <c r="AP55" s="289" t="str">
        <f>IFERROR(VLOOKUP(VLOOKUP(E14,Input!$AC:$AG,5,0),Schedule!$T$3:$U$34,2,0),"")</f>
        <v/>
      </c>
    </row>
    <row r="56" spans="1:42" x14ac:dyDescent="0.25">
      <c r="A56" s="41" t="s">
        <v>598</v>
      </c>
      <c r="B56" s="181">
        <f t="shared" ref="B56:K56" si="32">IFERROR((B92-B74)/B74,0)</f>
        <v>0</v>
      </c>
      <c r="C56" s="182">
        <f t="shared" si="32"/>
        <v>0</v>
      </c>
      <c r="D56" s="182">
        <f t="shared" si="32"/>
        <v>0</v>
      </c>
      <c r="E56" s="182">
        <f t="shared" si="32"/>
        <v>0</v>
      </c>
      <c r="F56" s="182">
        <f t="shared" si="32"/>
        <v>0</v>
      </c>
      <c r="G56" s="182">
        <f t="shared" si="32"/>
        <v>0</v>
      </c>
      <c r="H56" s="182">
        <f t="shared" si="32"/>
        <v>0</v>
      </c>
      <c r="I56" s="182">
        <f t="shared" si="32"/>
        <v>0</v>
      </c>
      <c r="J56" s="182">
        <f t="shared" si="32"/>
        <v>0</v>
      </c>
      <c r="K56" s="183">
        <f t="shared" si="32"/>
        <v>0</v>
      </c>
      <c r="L56" s="19"/>
      <c r="P56" s="225">
        <f>IFERROR(SUM(AO121:AO130),0)</f>
        <v>0</v>
      </c>
      <c r="Q56" s="23">
        <f t="shared" si="23"/>
        <v>1</v>
      </c>
      <c r="R56" s="58">
        <f>IFERROR(SUM(AO121:AO130)/SUM(I$67:I$76),0)</f>
        <v>0</v>
      </c>
      <c r="S56" s="28">
        <f t="shared" si="24"/>
        <v>1</v>
      </c>
      <c r="U56" s="68">
        <v>8</v>
      </c>
      <c r="V56" s="228" t="str">
        <f t="array" ref="V56">IFERROR(INDEX(Players!$B$2:$B$930,MATCH(LARGE(IF(ISNUMBER(MATCH(Players!$U$2:$U$930,$N$2,0)),IF(Players!$P$2:$P$930&lt;&gt;0,IF(Players!$W$2:$W$930&gt;1.1,IF(Players!$D$2:$D$930=V$2,Players!$W$2:$W$930)))),$U56),Players!$W$2:$W$930,0)),"")</f>
        <v/>
      </c>
      <c r="W56" s="23" t="str">
        <f t="array" ref="W56">IFERROR(INDEX(Players!$B$2:$B$930,MATCH(LARGE(IF(ISNUMBER(MATCH(Players!$U$2:$U$930,$N$2,0)),IF(Players!$P$2:$P$930&lt;&gt;0,IF(Players!$W$2:$W$930&gt;1.1,IF(Players!$D$2:$D$930=W$2,Players!$W$2:$W$930)))),$U56),Players!$W$2:$W$930,0)),"")</f>
        <v>Melvin Gordon</v>
      </c>
      <c r="X56" s="23" t="str">
        <f t="array" ref="X56">IFERROR(INDEX(Players!$B$2:$B$930,MATCH(LARGE(IF(ISNUMBER(MATCH(Players!$U$2:$U$930,$N$2,0)),IF(Players!$P$2:$P$930&lt;&gt;0,IF(Players!$W$2:$W$930&gt;1.1,IF(Players!$D$2:$D$930=X$2,Players!$W$2:$W$930)))),$U56),Players!$W$2:$W$930,0)),"")</f>
        <v/>
      </c>
      <c r="Y56" s="23" t="str">
        <f t="array" ref="Y56">IFERROR(INDEX(Players!$B$2:$B$930,MATCH(LARGE(IF(ISNUMBER(MATCH(Players!$U$2:$U$930,$N$2,0)),IF(Players!$P$2:$P$930&lt;&gt;0,IF(Players!$W$2:$W$930&gt;1.1,IF(Players!$D$2:$D$930=Y$2,Players!$W$2:$W$930)))),$U56),Players!$W$2:$W$930,0)),"")</f>
        <v>Rob Gronkowski</v>
      </c>
      <c r="Z56" s="23" t="str">
        <f t="array" ref="Z56">IFERROR(INDEX(Players!$B$2:$B$930,MATCH(LARGE(IF(ISNUMBER(MATCH(Players!$U$2:$U$930,$N$2,0)),IF(Players!$P$2:$P$930&lt;&gt;0,IF(Players!$W$2:$W$930&gt;1.1,IF(Players!$D$2:$D$930=Z$2,Players!$W$2:$W$930)))),$U56),Players!$W$2:$W$930,0)),"")</f>
        <v/>
      </c>
      <c r="AA56" s="28" t="str">
        <f t="array" ref="AA56">IFERROR(INDEX(Players!$B$2:$B$930,MATCH(LARGE(IF(ISNUMBER(MATCH(Players!$U$2:$U$930,$N$2,0)),IF(Players!$P$2:$P$930&lt;&gt;0,IF(Players!$W$2:$W$930&gt;1.1,IF(Players!$D$2:$D$930=AA$2,Players!$W$2:$W$930)))),$U56),Players!$W$2:$W$930,0)),"")</f>
        <v>Seahawks</v>
      </c>
      <c r="AC56" s="39">
        <v>4</v>
      </c>
      <c r="AD56" s="27" t="str">
        <f>IFERROR(VLOOKUP(AD$52&amp;AC56,Input!$AB:$AC,2,0),"")</f>
        <v/>
      </c>
      <c r="AE56" s="281" t="str">
        <f>IFERROR(VLOOKUP(AD56,Input!$AC:$AH,6,0),"")</f>
        <v/>
      </c>
      <c r="AF56" s="281" t="e">
        <f>LARGE(AE53:AE68,AC56)</f>
        <v>#NUM!</v>
      </c>
      <c r="AG56" s="281" t="e">
        <f>VLOOKUP(AM56,Input!$AC:$AF,4,0)</f>
        <v>#NUM!</v>
      </c>
      <c r="AH56" s="281" t="e">
        <f>AG56&amp;COUNTIF(AG53:AG56,AG56)</f>
        <v>#NUM!</v>
      </c>
      <c r="AI56" s="281" t="e">
        <f t="shared" si="29"/>
        <v>#NUM!</v>
      </c>
      <c r="AJ56" s="281" t="e">
        <f>AI56&amp;COUNTIF(AI53:AI56,AI56)</f>
        <v>#NUM!</v>
      </c>
      <c r="AK56" s="281" t="str">
        <f>IFERROR(VLOOKUP(AM56,E12:E21,1,0),"B")</f>
        <v>B</v>
      </c>
      <c r="AL56" s="281" t="str">
        <f>AK56&amp;COUNTIF(AK53:AK56,AK56)</f>
        <v>B4</v>
      </c>
      <c r="AM56" s="281" t="e">
        <f t="array" ref="AM56">INDEX(AD$53:AD$68,SMALL(IF(AE$53:AE$68=AF56,ROW(AE$53:AE$68)-ROW(AF$53)+1),COUNTIF(AF$53:AF56,AF56)))</f>
        <v>#NUM!</v>
      </c>
      <c r="AN56" s="41" t="s">
        <v>594</v>
      </c>
      <c r="AO56" s="281" t="str">
        <f>IFERROR(VLOOKUP(E15,Input!$AC:$AH,6,0),"")</f>
        <v/>
      </c>
      <c r="AP56" s="289" t="str">
        <f>IFERROR(VLOOKUP(VLOOKUP(E15,Input!$AC:$AG,5,0),Schedule!$T$3:$U$34,2,0),"")</f>
        <v/>
      </c>
    </row>
    <row r="57" spans="1:42" x14ac:dyDescent="0.25">
      <c r="A57" s="41" t="s">
        <v>599</v>
      </c>
      <c r="B57" s="181">
        <f t="shared" ref="B57:K57" si="33">IFERROR((B93-B75)/B75,0)</f>
        <v>0</v>
      </c>
      <c r="C57" s="182">
        <f t="shared" si="33"/>
        <v>0</v>
      </c>
      <c r="D57" s="182">
        <f t="shared" si="33"/>
        <v>0</v>
      </c>
      <c r="E57" s="182">
        <f t="shared" si="33"/>
        <v>0</v>
      </c>
      <c r="F57" s="182">
        <f t="shared" si="33"/>
        <v>0</v>
      </c>
      <c r="G57" s="182">
        <f t="shared" si="33"/>
        <v>0</v>
      </c>
      <c r="H57" s="182">
        <f t="shared" si="33"/>
        <v>0</v>
      </c>
      <c r="I57" s="182">
        <f t="shared" si="33"/>
        <v>0</v>
      </c>
      <c r="J57" s="182">
        <f t="shared" si="33"/>
        <v>0</v>
      </c>
      <c r="K57" s="183">
        <f t="shared" si="33"/>
        <v>0</v>
      </c>
      <c r="L57" s="19"/>
      <c r="P57" s="225">
        <f>IFERROR(SUM(AO138:AO147),0)</f>
        <v>0</v>
      </c>
      <c r="Q57" s="23">
        <f t="shared" si="23"/>
        <v>1</v>
      </c>
      <c r="R57" s="58">
        <f>IFERROR(SUM(AO138:AO147)/SUM(J$67:J$76),0)</f>
        <v>0</v>
      </c>
      <c r="S57" s="28">
        <f t="shared" si="24"/>
        <v>1</v>
      </c>
      <c r="U57" s="68">
        <v>9</v>
      </c>
      <c r="V57" s="228" t="str">
        <f t="array" ref="V57">IFERROR(INDEX(Players!$B$2:$B$930,MATCH(LARGE(IF(ISNUMBER(MATCH(Players!$U$2:$U$930,$N$2,0)),IF(Players!$P$2:$P$930&lt;&gt;0,IF(Players!$W$2:$W$930&gt;1.1,IF(Players!$D$2:$D$930=V$2,Players!$W$2:$W$930)))),$U57),Players!$W$2:$W$930,0)),"")</f>
        <v/>
      </c>
      <c r="W57" s="23" t="str">
        <f t="array" ref="W57">IFERROR(INDEX(Players!$B$2:$B$930,MATCH(LARGE(IF(ISNUMBER(MATCH(Players!$U$2:$U$930,$N$2,0)),IF(Players!$P$2:$P$930&lt;&gt;0,IF(Players!$W$2:$W$930&gt;1.1,IF(Players!$D$2:$D$930=W$2,Players!$W$2:$W$930)))),$U57),Players!$W$2:$W$930,0)),"")</f>
        <v>Mark Ingram</v>
      </c>
      <c r="X57" s="23" t="str">
        <f t="array" ref="X57">IFERROR(INDEX(Players!$B$2:$B$930,MATCH(LARGE(IF(ISNUMBER(MATCH(Players!$U$2:$U$930,$N$2,0)),IF(Players!$P$2:$P$930&lt;&gt;0,IF(Players!$W$2:$W$930&gt;1.1,IF(Players!$D$2:$D$930=X$2,Players!$W$2:$W$930)))),$U57),Players!$W$2:$W$930,0)),"")</f>
        <v/>
      </c>
      <c r="Y57" s="23" t="str">
        <f t="array" ref="Y57">IFERROR(INDEX(Players!$B$2:$B$930,MATCH(LARGE(IF(ISNUMBER(MATCH(Players!$U$2:$U$930,$N$2,0)),IF(Players!$P$2:$P$930&lt;&gt;0,IF(Players!$W$2:$W$930&gt;1.1,IF(Players!$D$2:$D$930=Y$2,Players!$W$2:$W$930)))),$U57),Players!$W$2:$W$930,0)),"")</f>
        <v/>
      </c>
      <c r="Z57" s="23" t="str">
        <f t="array" ref="Z57">IFERROR(INDEX(Players!$B$2:$B$930,MATCH(LARGE(IF(ISNUMBER(MATCH(Players!$U$2:$U$930,$N$2,0)),IF(Players!$P$2:$P$930&lt;&gt;0,IF(Players!$W$2:$W$930&gt;1.1,IF(Players!$D$2:$D$930=Z$2,Players!$W$2:$W$930)))),$U57),Players!$W$2:$W$930,0)),"")</f>
        <v/>
      </c>
      <c r="AA57" s="28" t="str">
        <f t="array" ref="AA57">IFERROR(INDEX(Players!$B$2:$B$930,MATCH(LARGE(IF(ISNUMBER(MATCH(Players!$U$2:$U$930,$N$2,0)),IF(Players!$P$2:$P$930&lt;&gt;0,IF(Players!$W$2:$W$930&gt;1.1,IF(Players!$D$2:$D$930=AA$2,Players!$W$2:$W$930)))),$U57),Players!$W$2:$W$930,0)),"")</f>
        <v>Panthers</v>
      </c>
      <c r="AC57" s="39">
        <v>5</v>
      </c>
      <c r="AD57" s="27" t="str">
        <f>IFERROR(VLOOKUP(AD$52&amp;AC57,Input!$AB:$AC,2,0),"")</f>
        <v/>
      </c>
      <c r="AE57" s="281" t="str">
        <f>IFERROR(VLOOKUP(AD57,Input!$AC:$AH,6,0),"")</f>
        <v/>
      </c>
      <c r="AF57" s="281" t="e">
        <f>LARGE(AE53:AE68,AC57)</f>
        <v>#NUM!</v>
      </c>
      <c r="AG57" s="281" t="e">
        <f>VLOOKUP(AM57,Input!$AC:$AF,4,0)</f>
        <v>#NUM!</v>
      </c>
      <c r="AH57" s="281" t="e">
        <f>AG57&amp;COUNTIF(AG53:AG57,AG57)</f>
        <v>#NUM!</v>
      </c>
      <c r="AI57" s="281" t="e">
        <f t="shared" si="29"/>
        <v>#NUM!</v>
      </c>
      <c r="AJ57" s="281" t="e">
        <f>AI57&amp;COUNTIF(AI53:AI57,AI57)</f>
        <v>#NUM!</v>
      </c>
      <c r="AK57" s="281" t="str">
        <f>IFERROR(VLOOKUP(AM57,E12:E21,1,0),"B")</f>
        <v>B</v>
      </c>
      <c r="AL57" s="281" t="str">
        <f>AK57&amp;COUNTIF(AK53:AK57,AK57)</f>
        <v>B5</v>
      </c>
      <c r="AM57" s="281" t="e">
        <f t="array" ref="AM57">INDEX(AD$53:AD$68,SMALL(IF(AE$53:AE$68=AF57,ROW(AE$53:AE$68)-ROW(AF$53)+1),COUNTIF(AF$53:AF57,AF57)))</f>
        <v>#NUM!</v>
      </c>
      <c r="AN57" s="41" t="s">
        <v>595</v>
      </c>
      <c r="AO57" s="281" t="str">
        <f>IFERROR(VLOOKUP(E16,Input!$AC:$AH,6,0),"")</f>
        <v/>
      </c>
      <c r="AP57" s="289" t="str">
        <f>IFERROR(VLOOKUP(VLOOKUP(E16,Input!$AC:$AG,5,0),Schedule!$T$3:$U$34,2,0),"")</f>
        <v/>
      </c>
    </row>
    <row r="58" spans="1:42" ht="15.75" thickBot="1" x14ac:dyDescent="0.3">
      <c r="A58" s="41" t="s">
        <v>600</v>
      </c>
      <c r="B58" s="181">
        <f t="shared" ref="B58:K58" si="34">IFERROR((B94-B76)/B76,0)</f>
        <v>0</v>
      </c>
      <c r="C58" s="182">
        <f t="shared" si="34"/>
        <v>0</v>
      </c>
      <c r="D58" s="182">
        <f t="shared" si="34"/>
        <v>0</v>
      </c>
      <c r="E58" s="182">
        <f t="shared" si="34"/>
        <v>0</v>
      </c>
      <c r="F58" s="182">
        <f t="shared" si="34"/>
        <v>0</v>
      </c>
      <c r="G58" s="182">
        <f t="shared" si="34"/>
        <v>0</v>
      </c>
      <c r="H58" s="182">
        <f t="shared" si="34"/>
        <v>0</v>
      </c>
      <c r="I58" s="182">
        <f t="shared" si="34"/>
        <v>0</v>
      </c>
      <c r="J58" s="182">
        <f t="shared" si="34"/>
        <v>0</v>
      </c>
      <c r="K58" s="183">
        <f t="shared" si="34"/>
        <v>0</v>
      </c>
      <c r="L58" s="19"/>
      <c r="P58" s="226">
        <f>IFERROR(SUM(AO155:AO164),0)</f>
        <v>0</v>
      </c>
      <c r="Q58" s="30">
        <f t="shared" si="23"/>
        <v>1</v>
      </c>
      <c r="R58" s="59">
        <f>IFERROR(SUM(AO155:AO164)/SUM(K$67:K$76),0)</f>
        <v>0</v>
      </c>
      <c r="S58" s="31">
        <f t="shared" si="24"/>
        <v>1</v>
      </c>
      <c r="U58" s="68">
        <v>10</v>
      </c>
      <c r="V58" s="229" t="str">
        <f t="array" ref="V58">IFERROR(INDEX(Players!$B$2:$B$930,MATCH(LARGE(IF(ISNUMBER(MATCH(Players!$U$2:$U$930,$N$2,0)),IF(Players!$P$2:$P$930&lt;&gt;0,IF(Players!$W$2:$W$930&gt;1.1,IF(Players!$D$2:$D$930=V$2,Players!$W$2:$W$930)))),$U58),Players!$W$2:$W$930,0)),"")</f>
        <v/>
      </c>
      <c r="W58" s="30" t="str">
        <f t="array" ref="W58">IFERROR(INDEX(Players!$B$2:$B$930,MATCH(LARGE(IF(ISNUMBER(MATCH(Players!$U$2:$U$930,$N$2,0)),IF(Players!$P$2:$P$930&lt;&gt;0,IF(Players!$W$2:$W$930&gt;1.1,IF(Players!$D$2:$D$930=W$2,Players!$W$2:$W$930)))),$U58),Players!$W$2:$W$930,0)),"")</f>
        <v>Isaiah Crowell</v>
      </c>
      <c r="X58" s="30" t="str">
        <f t="array" ref="X58">IFERROR(INDEX(Players!$B$2:$B$930,MATCH(LARGE(IF(ISNUMBER(MATCH(Players!$U$2:$U$930,$N$2,0)),IF(Players!$P$2:$P$930&lt;&gt;0,IF(Players!$W$2:$W$930&gt;1.1,IF(Players!$D$2:$D$930=X$2,Players!$W$2:$W$930)))),$U58),Players!$W$2:$W$930,0)),"")</f>
        <v/>
      </c>
      <c r="Y58" s="30" t="str">
        <f t="array" ref="Y58">IFERROR(INDEX(Players!$B$2:$B$930,MATCH(LARGE(IF(ISNUMBER(MATCH(Players!$U$2:$U$930,$N$2,0)),IF(Players!$P$2:$P$930&lt;&gt;0,IF(Players!$W$2:$W$930&gt;1.1,IF(Players!$D$2:$D$930=Y$2,Players!$W$2:$W$930)))),$U58),Players!$W$2:$W$930,0)),"")</f>
        <v/>
      </c>
      <c r="Z58" s="30" t="str">
        <f t="array" ref="Z58">IFERROR(INDEX(Players!$B$2:$B$930,MATCH(LARGE(IF(ISNUMBER(MATCH(Players!$U$2:$U$930,$N$2,0)),IF(Players!$P$2:$P$930&lt;&gt;0,IF(Players!$W$2:$W$930&gt;1.1,IF(Players!$D$2:$D$930=Z$2,Players!$W$2:$W$930)))),$U58),Players!$W$2:$W$930,0)),"")</f>
        <v/>
      </c>
      <c r="AA58" s="31" t="str">
        <f t="array" ref="AA58">IFERROR(INDEX(Players!$B$2:$B$930,MATCH(LARGE(IF(ISNUMBER(MATCH(Players!$U$2:$U$930,$N$2,0)),IF(Players!$P$2:$P$930&lt;&gt;0,IF(Players!$W$2:$W$930&gt;1.1,IF(Players!$D$2:$D$930=AA$2,Players!$W$2:$W$930)))),$U58),Players!$W$2:$W$930,0)),"")</f>
        <v>Bengals</v>
      </c>
      <c r="AC58" s="39">
        <v>6</v>
      </c>
      <c r="AD58" s="27" t="str">
        <f>IFERROR(VLOOKUP(AD$52&amp;AC58,Input!$AB:$AC,2,0),"")</f>
        <v/>
      </c>
      <c r="AE58" s="281" t="str">
        <f>IFERROR(VLOOKUP(AD58,Input!$AC:$AH,6,0),"")</f>
        <v/>
      </c>
      <c r="AF58" s="281" t="e">
        <f>LARGE(AE53:AE68,AC58)</f>
        <v>#NUM!</v>
      </c>
      <c r="AG58" s="281" t="e">
        <f>VLOOKUP(AM58,Input!$AC:$AF,4,0)</f>
        <v>#NUM!</v>
      </c>
      <c r="AH58" s="281" t="e">
        <f>AG58&amp;COUNTIF(AG53:AG58,AG58)</f>
        <v>#NUM!</v>
      </c>
      <c r="AI58" s="281" t="e">
        <f t="shared" si="29"/>
        <v>#NUM!</v>
      </c>
      <c r="AJ58" s="281" t="e">
        <f>AI58&amp;COUNTIF(AI53:AI58,AI58)</f>
        <v>#NUM!</v>
      </c>
      <c r="AK58" s="281" t="str">
        <f>IFERROR(VLOOKUP(AM58,E12:E21,1,0),"B")</f>
        <v>B</v>
      </c>
      <c r="AL58" s="281" t="str">
        <f>AK58&amp;COUNTIF(AK53:AK58,AK58)</f>
        <v>B6</v>
      </c>
      <c r="AM58" s="281" t="e">
        <f t="array" ref="AM58">INDEX(AD$53:AD$68,SMALL(IF(AE$53:AE$68=AF58,ROW(AE$53:AE$68)-ROW(AF$53)+1),COUNTIF(AF$53:AF58,AF58)))</f>
        <v>#NUM!</v>
      </c>
      <c r="AN58" s="41" t="s">
        <v>596</v>
      </c>
      <c r="AO58" s="281" t="str">
        <f>IFERROR(VLOOKUP(E17,Input!$AC:$AH,6,0),"")</f>
        <v/>
      </c>
      <c r="AP58" s="289" t="str">
        <f>IFERROR(VLOOKUP(VLOOKUP(E17,Input!$AC:$AG,5,0),Schedule!$T$3:$U$34,2,0),"")</f>
        <v/>
      </c>
    </row>
    <row r="59" spans="1:42" ht="15.75" thickBot="1" x14ac:dyDescent="0.3">
      <c r="A59" s="41" t="s">
        <v>601</v>
      </c>
      <c r="B59" s="184">
        <f t="shared" ref="B59:K59" si="35">IFERROR((B95-B77)/B77,0)</f>
        <v>0</v>
      </c>
      <c r="C59" s="185">
        <f t="shared" si="35"/>
        <v>0</v>
      </c>
      <c r="D59" s="185">
        <f t="shared" si="35"/>
        <v>0</v>
      </c>
      <c r="E59" s="185">
        <f t="shared" si="35"/>
        <v>0</v>
      </c>
      <c r="F59" s="185">
        <f t="shared" si="35"/>
        <v>0</v>
      </c>
      <c r="G59" s="185">
        <f t="shared" si="35"/>
        <v>0</v>
      </c>
      <c r="H59" s="185">
        <f t="shared" si="35"/>
        <v>0</v>
      </c>
      <c r="I59" s="185">
        <f t="shared" si="35"/>
        <v>0</v>
      </c>
      <c r="J59" s="185">
        <f t="shared" si="35"/>
        <v>0</v>
      </c>
      <c r="K59" s="186">
        <f t="shared" si="35"/>
        <v>0</v>
      </c>
      <c r="L59" s="167"/>
      <c r="V59" s="346" t="s">
        <v>900</v>
      </c>
      <c r="W59" s="347"/>
      <c r="X59" s="347"/>
      <c r="Y59" s="347"/>
      <c r="Z59" s="347"/>
      <c r="AA59" s="348"/>
      <c r="AC59" s="39">
        <v>7</v>
      </c>
      <c r="AD59" s="27" t="str">
        <f>IFERROR(VLOOKUP(AD$52&amp;AC59,Input!$AB:$AC,2,0),"")</f>
        <v/>
      </c>
      <c r="AE59" s="281" t="str">
        <f>IFERROR(VLOOKUP(AD59,Input!$AC:$AH,6,0),"")</f>
        <v/>
      </c>
      <c r="AF59" s="281" t="e">
        <f>LARGE(AE53:AE68,AC59)</f>
        <v>#NUM!</v>
      </c>
      <c r="AG59" s="281" t="e">
        <f>VLOOKUP(AM59,Input!$AC:$AF,4,0)</f>
        <v>#NUM!</v>
      </c>
      <c r="AH59" s="281" t="e">
        <f>AG59&amp;COUNTIF(AG53:AG59,AG59)</f>
        <v>#NUM!</v>
      </c>
      <c r="AI59" s="281" t="e">
        <f t="shared" si="29"/>
        <v>#NUM!</v>
      </c>
      <c r="AJ59" s="281" t="e">
        <f>AI59&amp;COUNTIF(AI53:AI59,AI59)</f>
        <v>#NUM!</v>
      </c>
      <c r="AK59" s="281" t="str">
        <f>IFERROR(VLOOKUP(AM59,E12:E21,1,0),"B")</f>
        <v>B</v>
      </c>
      <c r="AL59" s="281" t="str">
        <f>AK59&amp;COUNTIF(AK53:AK59,AK59)</f>
        <v>B7</v>
      </c>
      <c r="AM59" s="281" t="e">
        <f t="array" ref="AM59">INDEX(AD$53:AD$68,SMALL(IF(AE$53:AE$68=AF59,ROW(AE$53:AE$68)-ROW(AF$53)+1),COUNTIF(AF$53:AF59,AF59)))</f>
        <v>#NUM!</v>
      </c>
      <c r="AN59" s="41" t="s">
        <v>597</v>
      </c>
      <c r="AO59" s="281" t="str">
        <f>IFERROR(VLOOKUP(E18,Input!$AC:$AH,6,0),"")</f>
        <v/>
      </c>
      <c r="AP59" s="289" t="str">
        <f>IFERROR(VLOOKUP(VLOOKUP(E18,Input!$AC:$AG,5,0),Schedule!$T$3:$U$34,2,0),"")</f>
        <v/>
      </c>
    </row>
    <row r="60" spans="1:42" ht="15.75" thickBot="1" x14ac:dyDescent="0.3">
      <c r="A60" s="41" t="s">
        <v>602</v>
      </c>
      <c r="B60" s="187">
        <f t="shared" ref="B60:K60" si="36">IFERROR((B96-B78)/B78,0)</f>
        <v>0</v>
      </c>
      <c r="C60" s="188">
        <f t="shared" si="36"/>
        <v>0</v>
      </c>
      <c r="D60" s="188">
        <f t="shared" si="36"/>
        <v>0</v>
      </c>
      <c r="E60" s="188">
        <f t="shared" si="36"/>
        <v>0</v>
      </c>
      <c r="F60" s="188">
        <f t="shared" si="36"/>
        <v>0</v>
      </c>
      <c r="G60" s="188">
        <f t="shared" si="36"/>
        <v>0</v>
      </c>
      <c r="H60" s="188">
        <f t="shared" si="36"/>
        <v>0</v>
      </c>
      <c r="I60" s="188">
        <f t="shared" si="36"/>
        <v>0</v>
      </c>
      <c r="J60" s="188">
        <f t="shared" si="36"/>
        <v>0</v>
      </c>
      <c r="K60" s="189">
        <f t="shared" si="36"/>
        <v>0</v>
      </c>
      <c r="L60" s="151"/>
      <c r="V60" s="193" t="s">
        <v>53</v>
      </c>
      <c r="W60" s="194" t="s">
        <v>19</v>
      </c>
      <c r="X60" s="243" t="s">
        <v>17</v>
      </c>
      <c r="Y60" s="243" t="s">
        <v>43</v>
      </c>
      <c r="Z60" s="243" t="s">
        <v>147</v>
      </c>
      <c r="AA60" s="244" t="s">
        <v>135</v>
      </c>
      <c r="AC60" s="39">
        <v>8</v>
      </c>
      <c r="AD60" s="27" t="str">
        <f>IFERROR(VLOOKUP(AD$52&amp;AC60,Input!$AB:$AC,2,0),"")</f>
        <v/>
      </c>
      <c r="AE60" s="281" t="str">
        <f>IFERROR(VLOOKUP(AD60,Input!$AC:$AH,6,0),"")</f>
        <v/>
      </c>
      <c r="AF60" s="281" t="e">
        <f>LARGE(AE53:AE68,AC60)</f>
        <v>#NUM!</v>
      </c>
      <c r="AG60" s="281" t="e">
        <f>VLOOKUP(AM60,Input!$AC:$AF,4,0)</f>
        <v>#NUM!</v>
      </c>
      <c r="AH60" s="281" t="e">
        <f>AG60&amp;COUNTIF(AG53:AG60,AG60)</f>
        <v>#NUM!</v>
      </c>
      <c r="AI60" s="281" t="e">
        <f t="shared" si="29"/>
        <v>#NUM!</v>
      </c>
      <c r="AJ60" s="281" t="e">
        <f>AI60&amp;COUNTIF(AI53:AI60,AI60)</f>
        <v>#NUM!</v>
      </c>
      <c r="AK60" s="281" t="str">
        <f>IFERROR(VLOOKUP(AM60,E12:E21,1,0),"B")</f>
        <v>B</v>
      </c>
      <c r="AL60" s="281" t="str">
        <f>AK60&amp;COUNTIF(AK53:AK60,AK60)</f>
        <v>B8</v>
      </c>
      <c r="AM60" s="281" t="e">
        <f t="array" ref="AM60">INDEX(AD$53:AD$68,SMALL(IF(AE$53:AE$68=AF60,ROW(AE$53:AE$68)-ROW(AF$53)+1),COUNTIF(AF$53:AF60,AF60)))</f>
        <v>#NUM!</v>
      </c>
      <c r="AN60" s="41" t="s">
        <v>598</v>
      </c>
      <c r="AO60" s="281" t="str">
        <f>IFERROR(VLOOKUP(E19,Input!$AC:$AH,6,0),"")</f>
        <v/>
      </c>
      <c r="AP60" s="289" t="str">
        <f>IFERROR(VLOOKUP(VLOOKUP(E19,Input!$AC:$AG,5,0),Schedule!$T$3:$U$34,2,0),"")</f>
        <v/>
      </c>
    </row>
    <row r="61" spans="1:42" x14ac:dyDescent="0.25">
      <c r="A61" s="41" t="s">
        <v>603</v>
      </c>
      <c r="B61" s="187">
        <f t="shared" ref="B61:K61" si="37">IFERROR((B97-B79)/B79,0)</f>
        <v>0</v>
      </c>
      <c r="C61" s="188">
        <f t="shared" si="37"/>
        <v>0</v>
      </c>
      <c r="D61" s="188">
        <f t="shared" si="37"/>
        <v>0</v>
      </c>
      <c r="E61" s="188">
        <f t="shared" si="37"/>
        <v>0</v>
      </c>
      <c r="F61" s="188">
        <f t="shared" si="37"/>
        <v>0</v>
      </c>
      <c r="G61" s="188">
        <f t="shared" si="37"/>
        <v>0</v>
      </c>
      <c r="H61" s="188">
        <f t="shared" si="37"/>
        <v>0</v>
      </c>
      <c r="I61" s="188">
        <f t="shared" si="37"/>
        <v>0</v>
      </c>
      <c r="J61" s="188">
        <f t="shared" si="37"/>
        <v>0</v>
      </c>
      <c r="K61" s="189">
        <f t="shared" si="37"/>
        <v>0</v>
      </c>
      <c r="L61" s="151"/>
      <c r="U61" s="68">
        <v>1</v>
      </c>
      <c r="V61" s="245" t="str">
        <f t="array" ref="V61">IFERROR(INDEX(Players!$B$2:$B$930,MATCH(SMALL(IF(ISNUMBER(MATCH(Players!$U$2:$U$930,$N$2,0)),IF(Players!$P$2:$P$930&lt;&gt;0,IF(Players!$W$2:$W$930&lt;0,IF(Players!$D$2:$D$930=V$2,Players!$W$2:$W$930)))),$U61),Players!$W$2:$W$930,0)),"")</f>
        <v>Dak Prescott</v>
      </c>
      <c r="W61" s="25" t="str">
        <f t="array" ref="W61">IFERROR(INDEX(Players!$B$2:$B$930,MATCH(SMALL(IF(ISNUMBER(MATCH(Players!$U$2:$U$930,$N$2,0)),IF(Players!$P$2:$P$930&lt;&gt;0,IF(Players!$W$2:$W$930&lt;0,IF(Players!$D$2:$D$930=W$2,Players!$W$2:$W$930)))),$U61),Players!$W$2:$W$930,0)),"")</f>
        <v>Carlos Hyde</v>
      </c>
      <c r="X61" s="25" t="str">
        <f t="array" ref="X61">IFERROR(INDEX(Players!$B$2:$B$930,MATCH(SMALL(IF(ISNUMBER(MATCH(Players!$U$2:$U$930,$N$2,0)),IF(Players!$P$2:$P$930&lt;&gt;0,IF(Players!$W$2:$W$930&lt;0,IF(Players!$D$2:$D$930=X$2,Players!$W$2:$W$930)))),$U61),Players!$W$2:$W$930,0)),"")</f>
        <v>Alshon Jeffery</v>
      </c>
      <c r="Y61" s="25" t="str">
        <f t="array" ref="Y61">IFERROR(INDEX(Players!$B$2:$B$930,MATCH(SMALL(IF(ISNUMBER(MATCH(Players!$U$2:$U$930,$N$2,0)),IF(Players!$P$2:$P$930&lt;&gt;0,IF(Players!$W$2:$W$930&lt;0,IF(Players!$D$2:$D$930=Y$2,Players!$W$2:$W$930)))),$U61),Players!$W$2:$W$930,0)),"")</f>
        <v>O.J. Howard</v>
      </c>
      <c r="Z61" s="25" t="str">
        <f t="array" ref="Z61">IFERROR(INDEX(Players!$B$2:$B$930,MATCH(SMALL(IF(ISNUMBER(MATCH(Players!$U$2:$U$930,$N$2,0)),IF(Players!$P$2:$P$930&lt;&gt;0,IF(Players!$W$2:$W$930&lt;0,IF(Players!$D$2:$D$930=Z$2,Players!$W$2:$W$930)))),$U61),Players!$W$2:$W$930,0)),"")</f>
        <v>Sebastian Janikowski</v>
      </c>
      <c r="AA61" s="26" t="str">
        <f t="array" ref="AA61">IFERROR(INDEX(Players!$B$2:$B$930,MATCH(SMALL(IF(ISNUMBER(MATCH(Players!$U$2:$U$930,$N$2,0)),IF(Players!$P$2:$P$930&lt;&gt;0,IF(Players!$W$2:$W$930&lt;0,IF(Players!$D$2:$D$930=AA$2,Players!$W$2:$W$930)))),$U61),Players!$W$2:$W$930,0)),"")</f>
        <v>Texans</v>
      </c>
      <c r="AC61" s="39">
        <v>9</v>
      </c>
      <c r="AD61" s="27" t="str">
        <f>IFERROR(VLOOKUP(AD$52&amp;AC61,Input!$AB:$AC,2,0),"")</f>
        <v/>
      </c>
      <c r="AE61" s="281" t="str">
        <f>IFERROR(VLOOKUP(AD61,Input!$AC:$AH,6,0),"")</f>
        <v/>
      </c>
      <c r="AF61" s="281" t="e">
        <f>LARGE(AE53:AE68,AC61)</f>
        <v>#NUM!</v>
      </c>
      <c r="AG61" s="281" t="e">
        <f>VLOOKUP(AM61,Input!$AC:$AF,4,0)</f>
        <v>#NUM!</v>
      </c>
      <c r="AH61" s="281" t="e">
        <f>AG61&amp;COUNTIF(AG53:AG61,AG61)</f>
        <v>#NUM!</v>
      </c>
      <c r="AI61" s="281" t="e">
        <f t="shared" si="29"/>
        <v>#NUM!</v>
      </c>
      <c r="AJ61" s="281" t="e">
        <f>AI61&amp;COUNTIF(AI53:AI61,AI61)</f>
        <v>#NUM!</v>
      </c>
      <c r="AK61" s="281" t="str">
        <f>IFERROR(VLOOKUP(AM61,E12:E21,1,0),"B")</f>
        <v>B</v>
      </c>
      <c r="AL61" s="281" t="str">
        <f>AK61&amp;COUNTIF(AK53:AK61,AK61)</f>
        <v>B9</v>
      </c>
      <c r="AM61" s="281" t="e">
        <f t="array" ref="AM61">INDEX(AD$53:AD$68,SMALL(IF(AE$53:AE$68=AF61,ROW(AE$53:AE$68)-ROW(AF$53)+1),COUNTIF(AF$53:AF61,AF61)))</f>
        <v>#NUM!</v>
      </c>
      <c r="AN61" s="41" t="s">
        <v>599</v>
      </c>
      <c r="AO61" s="281" t="str">
        <f>IFERROR(VLOOKUP(E20,Input!$AC:$AH,6,0),"")</f>
        <v/>
      </c>
      <c r="AP61" s="289" t="str">
        <f>IFERROR(VLOOKUP(VLOOKUP(E20,Input!$AC:$AG,5,0),Schedule!$T$3:$U$34,2,0),"")</f>
        <v/>
      </c>
    </row>
    <row r="62" spans="1:42" x14ac:dyDescent="0.25">
      <c r="A62" s="41" t="s">
        <v>604</v>
      </c>
      <c r="B62" s="187">
        <f t="shared" ref="B62:K62" si="38">IFERROR((B98-B80)/B80,0)</f>
        <v>0</v>
      </c>
      <c r="C62" s="188">
        <f t="shared" si="38"/>
        <v>0</v>
      </c>
      <c r="D62" s="188">
        <f t="shared" si="38"/>
        <v>0</v>
      </c>
      <c r="E62" s="188">
        <f t="shared" si="38"/>
        <v>0</v>
      </c>
      <c r="F62" s="188">
        <f t="shared" si="38"/>
        <v>0</v>
      </c>
      <c r="G62" s="188">
        <f t="shared" si="38"/>
        <v>0</v>
      </c>
      <c r="H62" s="188">
        <f t="shared" si="38"/>
        <v>0</v>
      </c>
      <c r="I62" s="188">
        <f t="shared" si="38"/>
        <v>0</v>
      </c>
      <c r="J62" s="188">
        <f t="shared" si="38"/>
        <v>0</v>
      </c>
      <c r="K62" s="189">
        <f t="shared" si="38"/>
        <v>0</v>
      </c>
      <c r="L62" s="151"/>
      <c r="U62" s="68">
        <v>2</v>
      </c>
      <c r="V62" s="228" t="str">
        <f t="array" ref="V62">IFERROR(INDEX(Players!$B$2:$B$930,MATCH(SMALL(IF(ISNUMBER(MATCH(Players!$U$2:$U$930,$N$2,0)),IF(Players!$P$2:$P$930&lt;&gt;0,IF(Players!$W$2:$W$930&lt;0,IF(Players!$D$2:$D$930=V$2,Players!$W$2:$W$930)))),$U62),Players!$W$2:$W$930,0)),"")</f>
        <v>Derek Carr</v>
      </c>
      <c r="W62" s="23" t="str">
        <f t="array" ref="W62">IFERROR(INDEX(Players!$B$2:$B$930,MATCH(SMALL(IF(ISNUMBER(MATCH(Players!$U$2:$U$930,$N$2,0)),IF(Players!$P$2:$P$930&lt;&gt;0,IF(Players!$W$2:$W$930&lt;0,IF(Players!$D$2:$D$930=W$2,Players!$W$2:$W$930)))),$U62),Players!$W$2:$W$930,0)),"")</f>
        <v>Christian McCaffrey</v>
      </c>
      <c r="X62" s="23" t="str">
        <f t="array" ref="X62">IFERROR(INDEX(Players!$B$2:$B$930,MATCH(SMALL(IF(ISNUMBER(MATCH(Players!$U$2:$U$930,$N$2,0)),IF(Players!$P$2:$P$930&lt;&gt;0,IF(Players!$W$2:$W$930&lt;0,IF(Players!$D$2:$D$930=X$2,Players!$W$2:$W$930)))),$U62),Players!$W$2:$W$930,0)),"")</f>
        <v>Keenan Allen</v>
      </c>
      <c r="Y62" s="23" t="str">
        <f t="array" ref="Y62">IFERROR(INDEX(Players!$B$2:$B$930,MATCH(SMALL(IF(ISNUMBER(MATCH(Players!$U$2:$U$930,$N$2,0)),IF(Players!$P$2:$P$930&lt;&gt;0,IF(Players!$W$2:$W$930&lt;0,IF(Players!$D$2:$D$930=Y$2,Players!$W$2:$W$930)))),$U62),Players!$W$2:$W$930,0)),"")</f>
        <v>Jason Witten</v>
      </c>
      <c r="Z62" s="23" t="str">
        <f t="array" ref="Z62">IFERROR(INDEX(Players!$B$2:$B$930,MATCH(SMALL(IF(ISNUMBER(MATCH(Players!$U$2:$U$930,$N$2,0)),IF(Players!$P$2:$P$930&lt;&gt;0,IF(Players!$W$2:$W$930&lt;0,IF(Players!$D$2:$D$930=Z$2,Players!$W$2:$W$930)))),$U62),Players!$W$2:$W$930,0)),"")</f>
        <v>Wil Lutz</v>
      </c>
      <c r="AA62" s="28" t="str">
        <f t="array" ref="AA62">IFERROR(INDEX(Players!$B$2:$B$930,MATCH(SMALL(IF(ISNUMBER(MATCH(Players!$U$2:$U$930,$N$2,0)),IF(Players!$P$2:$P$930&lt;&gt;0,IF(Players!$W$2:$W$930&lt;0,IF(Players!$D$2:$D$930=AA$2,Players!$W$2:$W$930)))),$U62),Players!$W$2:$W$930,0)),"")</f>
        <v>Vikings</v>
      </c>
      <c r="AC62" s="39">
        <v>10</v>
      </c>
      <c r="AD62" s="27" t="str">
        <f>IFERROR(VLOOKUP(AD$52&amp;AC62,Input!$AB:$AC,2,0),"")</f>
        <v/>
      </c>
      <c r="AE62" s="281" t="str">
        <f>IFERROR(VLOOKUP(AD62,Input!$AC:$AH,6,0),"")</f>
        <v/>
      </c>
      <c r="AF62" s="281" t="e">
        <f>LARGE(AE53:AE68,AC62)</f>
        <v>#NUM!</v>
      </c>
      <c r="AG62" s="281" t="e">
        <f>VLOOKUP(AM62,Input!$AC:$AF,4,0)</f>
        <v>#NUM!</v>
      </c>
      <c r="AH62" s="281" t="e">
        <f>AG62&amp;COUNTIF(AG53:AG62,AG62)</f>
        <v>#NUM!</v>
      </c>
      <c r="AI62" s="281" t="e">
        <f t="shared" si="29"/>
        <v>#NUM!</v>
      </c>
      <c r="AJ62" s="281" t="e">
        <f>AI62&amp;COUNTIF(AI53:AI62,AI62)</f>
        <v>#NUM!</v>
      </c>
      <c r="AK62" s="281" t="str">
        <f>IFERROR(VLOOKUP(AM62,E12:E21,1,0),"B")</f>
        <v>B</v>
      </c>
      <c r="AL62" s="281" t="str">
        <f>AK62&amp;COUNTIF(AK53:AK62,AK62)</f>
        <v>B10</v>
      </c>
      <c r="AM62" s="281" t="e">
        <f t="array" ref="AM62">INDEX(AD$53:AD$68,SMALL(IF(AE$53:AE$68=AF62,ROW(AE$53:AE$68)-ROW(AF$53)+1),COUNTIF(AF$53:AF62,AF62)))</f>
        <v>#NUM!</v>
      </c>
      <c r="AN62" s="41" t="s">
        <v>600</v>
      </c>
      <c r="AO62" s="281" t="str">
        <f>IFERROR(VLOOKUP(E21,Input!$AC:$AH,6,0),"")</f>
        <v/>
      </c>
      <c r="AP62" s="289" t="str">
        <f>IFERROR(VLOOKUP(VLOOKUP(E21,Input!$AC:$AG,5,0),Schedule!$T$3:$U$34,2,0),"")</f>
        <v/>
      </c>
    </row>
    <row r="63" spans="1:42" x14ac:dyDescent="0.25">
      <c r="A63" s="41" t="s">
        <v>605</v>
      </c>
      <c r="B63" s="187">
        <f t="shared" ref="B63:K63" si="39">IFERROR((B99-B81)/B81,0)</f>
        <v>0</v>
      </c>
      <c r="C63" s="188">
        <f t="shared" si="39"/>
        <v>0</v>
      </c>
      <c r="D63" s="188">
        <f t="shared" si="39"/>
        <v>0</v>
      </c>
      <c r="E63" s="188">
        <f t="shared" si="39"/>
        <v>0</v>
      </c>
      <c r="F63" s="188">
        <f t="shared" si="39"/>
        <v>0</v>
      </c>
      <c r="G63" s="188">
        <f t="shared" si="39"/>
        <v>0</v>
      </c>
      <c r="H63" s="188">
        <f t="shared" si="39"/>
        <v>0</v>
      </c>
      <c r="I63" s="188">
        <f t="shared" si="39"/>
        <v>0</v>
      </c>
      <c r="J63" s="188">
        <f t="shared" si="39"/>
        <v>0</v>
      </c>
      <c r="K63" s="189">
        <f t="shared" si="39"/>
        <v>0</v>
      </c>
      <c r="L63" s="151"/>
      <c r="U63" s="68">
        <v>3</v>
      </c>
      <c r="V63" s="228" t="str">
        <f t="array" ref="V63">IFERROR(INDEX(Players!$B$2:$B$930,MATCH(SMALL(IF(ISNUMBER(MATCH(Players!$U$2:$U$930,$N$2,0)),IF(Players!$P$2:$P$930&lt;&gt;0,IF(Players!$W$2:$W$930&lt;0,IF(Players!$D$2:$D$930=V$2,Players!$W$2:$W$930)))),$U63),Players!$W$2:$W$930,0)),"")</f>
        <v>Kirk Cousins</v>
      </c>
      <c r="W63" s="23" t="str">
        <f t="array" ref="W63">IFERROR(INDEX(Players!$B$2:$B$930,MATCH(SMALL(IF(ISNUMBER(MATCH(Players!$U$2:$U$930,$N$2,0)),IF(Players!$P$2:$P$930&lt;&gt;0,IF(Players!$W$2:$W$930&lt;0,IF(Players!$D$2:$D$930=W$2,Players!$W$2:$W$930)))),$U63),Players!$W$2:$W$930,0)),"")</f>
        <v>Joe Mixon</v>
      </c>
      <c r="X63" s="23" t="str">
        <f t="array" ref="X63">IFERROR(INDEX(Players!$B$2:$B$930,MATCH(SMALL(IF(ISNUMBER(MATCH(Players!$U$2:$U$930,$N$2,0)),IF(Players!$P$2:$P$930&lt;&gt;0,IF(Players!$W$2:$W$930&lt;0,IF(Players!$D$2:$D$930=X$2,Players!$W$2:$W$930)))),$U63),Players!$W$2:$W$930,0)),"")</f>
        <v>Dez Bryant</v>
      </c>
      <c r="Y63" s="23" t="str">
        <f t="array" ref="Y63">IFERROR(INDEX(Players!$B$2:$B$930,MATCH(SMALL(IF(ISNUMBER(MATCH(Players!$U$2:$U$930,$N$2,0)),IF(Players!$P$2:$P$930&lt;&gt;0,IF(Players!$W$2:$W$930&lt;0,IF(Players!$D$2:$D$930=Y$2,Players!$W$2:$W$930)))),$U63),Players!$W$2:$W$930,0)),"")</f>
        <v>Jack Doyle</v>
      </c>
      <c r="Z63" s="23" t="str">
        <f t="array" ref="Z63">IFERROR(INDEX(Players!$B$2:$B$930,MATCH(SMALL(IF(ISNUMBER(MATCH(Players!$U$2:$U$930,$N$2,0)),IF(Players!$P$2:$P$930&lt;&gt;0,IF(Players!$W$2:$W$930&lt;0,IF(Players!$D$2:$D$930=Z$2,Players!$W$2:$W$930)))),$U63),Players!$W$2:$W$930,0)),"")</f>
        <v>Cairo Santos</v>
      </c>
      <c r="AA63" s="28" t="str">
        <f t="array" ref="AA63">IFERROR(INDEX(Players!$B$2:$B$930,MATCH(SMALL(IF(ISNUMBER(MATCH(Players!$U$2:$U$930,$N$2,0)),IF(Players!$P$2:$P$930&lt;&gt;0,IF(Players!$W$2:$W$930&lt;0,IF(Players!$D$2:$D$930=AA$2,Players!$W$2:$W$930)))),$U63),Players!$W$2:$W$930,0)),"")</f>
        <v>Steelers</v>
      </c>
      <c r="AC63" s="39">
        <v>11</v>
      </c>
      <c r="AD63" s="27" t="str">
        <f>IFERROR(VLOOKUP(AD$52&amp;AC63,Input!$AB:$AC,2,0),"")</f>
        <v/>
      </c>
      <c r="AE63" s="281" t="str">
        <f>IFERROR(VLOOKUP(AD63,Input!$AC:$AH,6,0),"")</f>
        <v/>
      </c>
      <c r="AF63" s="281" t="e">
        <f>LARGE(AE53:AE68,AC63)</f>
        <v>#NUM!</v>
      </c>
      <c r="AG63" s="281" t="e">
        <f>VLOOKUP(AM63,Input!$AC:$AF,4,0)</f>
        <v>#NUM!</v>
      </c>
      <c r="AH63" s="281" t="e">
        <f>AG63&amp;COUNTIF(AG53:AG63,AG63)</f>
        <v>#NUM!</v>
      </c>
      <c r="AI63" s="281" t="e">
        <f t="shared" si="29"/>
        <v>#NUM!</v>
      </c>
      <c r="AJ63" s="281" t="e">
        <f>AI63&amp;COUNTIF(AI53:AI63,AI63)</f>
        <v>#NUM!</v>
      </c>
      <c r="AK63" s="281" t="str">
        <f>IFERROR(VLOOKUP(AM63,E12:E21,1,0),"B")</f>
        <v>B</v>
      </c>
      <c r="AL63" s="281" t="str">
        <f>AK63&amp;COUNTIF(AK53:AK63,AK63)</f>
        <v>B11</v>
      </c>
      <c r="AM63" s="281" t="e">
        <f t="array" ref="AM63">INDEX(AD$53:AD$68,SMALL(IF(AE$53:AE$68=AF63,ROW(AE$53:AE$68)-ROW(AF$53)+1),COUNTIF(AF$53:AF63,AF63)))</f>
        <v>#NUM!</v>
      </c>
      <c r="AN63" s="41" t="s">
        <v>601</v>
      </c>
      <c r="AO63" s="17" t="str">
        <f>IFERROR(VLOOKUP(E22,Input!$AC:$AH,6,0),"")</f>
        <v/>
      </c>
      <c r="AP63" s="289" t="str">
        <f>IFERROR(VLOOKUP(VLOOKUP(E22,Input!$AC:$AG,5,0),Schedule!$T$3:$U$34,2,0),"")</f>
        <v/>
      </c>
    </row>
    <row r="64" spans="1:42" ht="15.75" thickBot="1" x14ac:dyDescent="0.3">
      <c r="A64" s="42" t="s">
        <v>606</v>
      </c>
      <c r="B64" s="190">
        <f t="shared" ref="B64:K64" si="40">IFERROR((B100-B82)/B82,0)</f>
        <v>0</v>
      </c>
      <c r="C64" s="191">
        <f t="shared" si="40"/>
        <v>0</v>
      </c>
      <c r="D64" s="191">
        <f t="shared" si="40"/>
        <v>0</v>
      </c>
      <c r="E64" s="191">
        <f t="shared" si="40"/>
        <v>0</v>
      </c>
      <c r="F64" s="191">
        <f t="shared" si="40"/>
        <v>0</v>
      </c>
      <c r="G64" s="191">
        <f t="shared" si="40"/>
        <v>0</v>
      </c>
      <c r="H64" s="191">
        <f t="shared" si="40"/>
        <v>0</v>
      </c>
      <c r="I64" s="191">
        <f t="shared" si="40"/>
        <v>0</v>
      </c>
      <c r="J64" s="191">
        <f t="shared" si="40"/>
        <v>0</v>
      </c>
      <c r="K64" s="192">
        <f t="shared" si="40"/>
        <v>0</v>
      </c>
      <c r="L64" s="156"/>
      <c r="U64" s="68">
        <v>4</v>
      </c>
      <c r="V64" s="228" t="str">
        <f t="array" ref="V64">IFERROR(INDEX(Players!$B$2:$B$930,MATCH(SMALL(IF(ISNUMBER(MATCH(Players!$U$2:$U$930,$N$2,0)),IF(Players!$P$2:$P$930&lt;&gt;0,IF(Players!$W$2:$W$930&lt;0,IF(Players!$D$2:$D$930=V$2,Players!$W$2:$W$930)))),$U64),Players!$W$2:$W$930,0)),"")</f>
        <v>Ben Roethlisberger</v>
      </c>
      <c r="W64" s="23" t="str">
        <f t="array" ref="W64">IFERROR(INDEX(Players!$B$2:$B$930,MATCH(SMALL(IF(ISNUMBER(MATCH(Players!$U$2:$U$930,$N$2,0)),IF(Players!$P$2:$P$930&lt;&gt;0,IF(Players!$W$2:$W$930&lt;0,IF(Players!$D$2:$D$930=W$2,Players!$W$2:$W$930)))),$U64),Players!$W$2:$W$930,0)),"")</f>
        <v>Dalvin Cook</v>
      </c>
      <c r="X64" s="23" t="str">
        <f t="array" ref="X64">IFERROR(INDEX(Players!$B$2:$B$930,MATCH(SMALL(IF(ISNUMBER(MATCH(Players!$U$2:$U$930,$N$2,0)),IF(Players!$P$2:$P$930&lt;&gt;0,IF(Players!$W$2:$W$930&lt;0,IF(Players!$D$2:$D$930=X$2,Players!$W$2:$W$930)))),$U64),Players!$W$2:$W$930,0)),"")</f>
        <v>Sammy Watkins</v>
      </c>
      <c r="Y64" s="23" t="str">
        <f t="array" ref="Y64">IFERROR(INDEX(Players!$B$2:$B$930,MATCH(SMALL(IF(ISNUMBER(MATCH(Players!$U$2:$U$930,$N$2,0)),IF(Players!$P$2:$P$930&lt;&gt;0,IF(Players!$W$2:$W$930&lt;0,IF(Players!$D$2:$D$930=Y$2,Players!$W$2:$W$930)))),$U64),Players!$W$2:$W$930,0)),"")</f>
        <v>Hunter Henry</v>
      </c>
      <c r="Z64" s="23" t="str">
        <f t="array" ref="Z64">IFERROR(INDEX(Players!$B$2:$B$930,MATCH(SMALL(IF(ISNUMBER(MATCH(Players!$U$2:$U$930,$N$2,0)),IF(Players!$P$2:$P$930&lt;&gt;0,IF(Players!$W$2:$W$930&lt;0,IF(Players!$D$2:$D$930=Z$2,Players!$W$2:$W$930)))),$U64),Players!$W$2:$W$930,0)),"")</f>
        <v>Chris Boswell</v>
      </c>
      <c r="AA64" s="28" t="str">
        <f t="array" ref="AA64">IFERROR(INDEX(Players!$B$2:$B$930,MATCH(SMALL(IF(ISNUMBER(MATCH(Players!$U$2:$U$930,$N$2,0)),IF(Players!$P$2:$P$930&lt;&gt;0,IF(Players!$W$2:$W$930&lt;0,IF(Players!$D$2:$D$930=AA$2,Players!$W$2:$W$930)))),$U64),Players!$W$2:$W$930,0)),"")</f>
        <v>Jaguars</v>
      </c>
      <c r="AC64" s="39">
        <v>12</v>
      </c>
      <c r="AD64" s="27" t="str">
        <f>IFERROR(VLOOKUP(AD$52&amp;AC64,Input!$AB:$AC,2,0),"")</f>
        <v/>
      </c>
      <c r="AE64" s="281" t="str">
        <f>IFERROR(VLOOKUP(AD64,Input!$AC:$AH,6,0),"")</f>
        <v/>
      </c>
      <c r="AF64" s="281" t="e">
        <f>LARGE(AE53:AE68,AC64)</f>
        <v>#NUM!</v>
      </c>
      <c r="AG64" s="281" t="e">
        <f>VLOOKUP(AM64,Input!$AC:$AF,4,0)</f>
        <v>#NUM!</v>
      </c>
      <c r="AH64" s="281" t="e">
        <f>AG64&amp;COUNTIF(AG53:AG64,AG64)</f>
        <v>#NUM!</v>
      </c>
      <c r="AI64" s="281" t="e">
        <f t="shared" si="29"/>
        <v>#NUM!</v>
      </c>
      <c r="AJ64" s="281" t="e">
        <f>AI64&amp;COUNTIF(AI53:AI64,AI64)</f>
        <v>#NUM!</v>
      </c>
      <c r="AK64" s="281" t="str">
        <f>IFERROR(VLOOKUP(AM64,E12:E21,1,0),"B")</f>
        <v>B</v>
      </c>
      <c r="AL64" s="281" t="str">
        <f>AK64&amp;COUNTIF(AK53:AK64,AK64)</f>
        <v>B12</v>
      </c>
      <c r="AM64" s="281" t="e">
        <f t="array" ref="AM64">INDEX(AD$53:AD$68,SMALL(IF(AE$53:AE$68=AF64,ROW(AE$53:AE$68)-ROW(AF$53)+1),COUNTIF(AF$53:AF64,AF64)))</f>
        <v>#NUM!</v>
      </c>
      <c r="AN64" s="41" t="s">
        <v>602</v>
      </c>
      <c r="AO64" s="17"/>
      <c r="AP64" s="289" t="str">
        <f>IFERROR(VLOOKUP(VLOOKUP(E23,Input!$AC:$AG,5,0),Schedule!$T$3:$U$34,2,0),"")</f>
        <v/>
      </c>
    </row>
    <row r="65" spans="1:42" ht="15.75" thickBot="1" x14ac:dyDescent="0.3">
      <c r="A65" s="114"/>
      <c r="B65" s="115" t="s">
        <v>739</v>
      </c>
      <c r="C65" s="116"/>
      <c r="D65" s="116"/>
      <c r="E65" s="116"/>
      <c r="F65" s="116"/>
      <c r="G65" s="116"/>
      <c r="H65" s="116"/>
      <c r="I65" s="116"/>
      <c r="J65" s="116"/>
      <c r="K65" s="117"/>
      <c r="L65" s="127"/>
      <c r="U65" s="68">
        <v>5</v>
      </c>
      <c r="V65" s="228" t="str">
        <f t="array" ref="V65">IFERROR(INDEX(Players!$B$2:$B$930,MATCH(SMALL(IF(ISNUMBER(MATCH(Players!$U$2:$U$930,$N$2,0)),IF(Players!$P$2:$P$930&lt;&gt;0,IF(Players!$W$2:$W$930&lt;0,IF(Players!$D$2:$D$930=V$2,Players!$W$2:$W$930)))),$U65),Players!$W$2:$W$930,0)),"")</f>
        <v>Matthew Stafford</v>
      </c>
      <c r="W65" s="23" t="str">
        <f t="array" ref="W65">IFERROR(INDEX(Players!$B$2:$B$930,MATCH(SMALL(IF(ISNUMBER(MATCH(Players!$U$2:$U$930,$N$2,0)),IF(Players!$P$2:$P$930&lt;&gt;0,IF(Players!$W$2:$W$930&lt;0,IF(Players!$D$2:$D$930=W$2,Players!$W$2:$W$930)))),$U65),Players!$W$2:$W$930,0)),"")</f>
        <v>Marshawn Lynch</v>
      </c>
      <c r="X65" s="23" t="str">
        <f t="array" ref="X65">IFERROR(INDEX(Players!$B$2:$B$930,MATCH(SMALL(IF(ISNUMBER(MATCH(Players!$U$2:$U$930,$N$2,0)),IF(Players!$P$2:$P$930&lt;&gt;0,IF(Players!$W$2:$W$930&lt;0,IF(Players!$D$2:$D$930=X$2,Players!$W$2:$W$930)))),$U65),Players!$W$2:$W$930,0)),"")</f>
        <v>DeAndre Hopkins</v>
      </c>
      <c r="Y65" s="23" t="str">
        <f t="array" ref="Y65">IFERROR(INDEX(Players!$B$2:$B$930,MATCH(SMALL(IF(ISNUMBER(MATCH(Players!$U$2:$U$930,$N$2,0)),IF(Players!$P$2:$P$930&lt;&gt;0,IF(Players!$W$2:$W$930&lt;0,IF(Players!$D$2:$D$930=Y$2,Players!$W$2:$W$930)))),$U65),Players!$W$2:$W$930,0)),"")</f>
        <v>Eric Ebron</v>
      </c>
      <c r="Z65" s="23" t="str">
        <f t="array" ref="Z65">IFERROR(INDEX(Players!$B$2:$B$930,MATCH(SMALL(IF(ISNUMBER(MATCH(Players!$U$2:$U$930,$N$2,0)),IF(Players!$P$2:$P$930&lt;&gt;0,IF(Players!$W$2:$W$930&lt;0,IF(Players!$D$2:$D$930=Z$2,Players!$W$2:$W$930)))),$U65),Players!$W$2:$W$930,0)),"")</f>
        <v/>
      </c>
      <c r="AA65" s="28" t="str">
        <f t="array" ref="AA65">IFERROR(INDEX(Players!$B$2:$B$930,MATCH(SMALL(IF(ISNUMBER(MATCH(Players!$U$2:$U$930,$N$2,0)),IF(Players!$P$2:$P$930&lt;&gt;0,IF(Players!$W$2:$W$930&lt;0,IF(Players!$D$2:$D$930=AA$2,Players!$W$2:$W$930)))),$U65),Players!$W$2:$W$930,0)),"")</f>
        <v>Giants</v>
      </c>
      <c r="AC65" s="39">
        <v>13</v>
      </c>
      <c r="AD65" s="27" t="str">
        <f>IFERROR(VLOOKUP(AD$52&amp;AC65,Input!$AB:$AC,2,0),"")</f>
        <v/>
      </c>
      <c r="AE65" s="281" t="str">
        <f>IFERROR(VLOOKUP(AD65,Input!$AC:$AH,6,0),"")</f>
        <v/>
      </c>
      <c r="AF65" s="281" t="e">
        <f>LARGE(AE53:AE68,AC65)</f>
        <v>#NUM!</v>
      </c>
      <c r="AG65" s="281" t="e">
        <f>VLOOKUP(AM65,Input!$AC:$AF,4,0)</f>
        <v>#NUM!</v>
      </c>
      <c r="AH65" s="281" t="e">
        <f>AG65&amp;COUNTIF(AG53:AG65,AG65)</f>
        <v>#NUM!</v>
      </c>
      <c r="AI65" s="281" t="e">
        <f t="shared" si="29"/>
        <v>#NUM!</v>
      </c>
      <c r="AJ65" s="281" t="e">
        <f>AI65&amp;COUNTIF(AI53:AI65,AI65)</f>
        <v>#NUM!</v>
      </c>
      <c r="AK65" s="281" t="str">
        <f>IFERROR(VLOOKUP(AM65,E12:E21,1,0),"B")</f>
        <v>B</v>
      </c>
      <c r="AL65" s="281" t="str">
        <f>AK65&amp;COUNTIF(AK53:AK65,AK65)</f>
        <v>B13</v>
      </c>
      <c r="AM65" s="281" t="e">
        <f t="array" ref="AM65">INDEX(AD$53:AD$68,SMALL(IF(AE$53:AE$68=AF65,ROW(AE$53:AE$68)-ROW(AF$53)+1),COUNTIF(AF$53:AF65,AF65)))</f>
        <v>#NUM!</v>
      </c>
      <c r="AN65" s="41" t="s">
        <v>603</v>
      </c>
      <c r="AO65" s="17"/>
      <c r="AP65" s="289" t="str">
        <f>IFERROR(VLOOKUP(VLOOKUP(E24,Input!$AC:$AG,5,0),Schedule!$T$3:$U$34,2,0),"")</f>
        <v/>
      </c>
    </row>
    <row r="66" spans="1:42" ht="15.75" thickBot="1" x14ac:dyDescent="0.3">
      <c r="A66" s="94" t="s">
        <v>740</v>
      </c>
      <c r="B66" s="98">
        <f>SUM(B67:B76)</f>
        <v>0</v>
      </c>
      <c r="C66" s="99">
        <f t="shared" ref="C66:K66" si="41">SUM(C67:C76)</f>
        <v>0</v>
      </c>
      <c r="D66" s="99">
        <f t="shared" si="41"/>
        <v>0</v>
      </c>
      <c r="E66" s="99">
        <f t="shared" si="41"/>
        <v>0</v>
      </c>
      <c r="F66" s="99">
        <f t="shared" si="41"/>
        <v>0</v>
      </c>
      <c r="G66" s="99">
        <f t="shared" si="41"/>
        <v>0</v>
      </c>
      <c r="H66" s="99">
        <f t="shared" si="41"/>
        <v>0</v>
      </c>
      <c r="I66" s="99">
        <f t="shared" si="41"/>
        <v>0</v>
      </c>
      <c r="J66" s="99">
        <f t="shared" si="41"/>
        <v>0</v>
      </c>
      <c r="K66" s="100">
        <f t="shared" si="41"/>
        <v>0</v>
      </c>
      <c r="L66" s="223" t="s">
        <v>874</v>
      </c>
      <c r="U66" s="68">
        <v>6</v>
      </c>
      <c r="V66" s="228" t="str">
        <f t="array" ref="V66">IFERROR(INDEX(Players!$B$2:$B$930,MATCH(SMALL(IF(ISNUMBER(MATCH(Players!$U$2:$U$930,$N$2,0)),IF(Players!$P$2:$P$930&lt;&gt;0,IF(Players!$W$2:$W$930&lt;0,IF(Players!$D$2:$D$930=V$2,Players!$W$2:$W$930)))),$U66),Players!$W$2:$W$930,0)),"")</f>
        <v>Eli Manning</v>
      </c>
      <c r="W66" s="23" t="str">
        <f t="array" ref="W66">IFERROR(INDEX(Players!$B$2:$B$930,MATCH(SMALL(IF(ISNUMBER(MATCH(Players!$U$2:$U$930,$N$2,0)),IF(Players!$P$2:$P$930&lt;&gt;0,IF(Players!$W$2:$W$930&lt;0,IF(Players!$D$2:$D$930=W$2,Players!$W$2:$W$930)))),$U66),Players!$W$2:$W$930,0)),"")</f>
        <v>Frank Gore</v>
      </c>
      <c r="X66" s="23" t="str">
        <f t="array" ref="X66">IFERROR(INDEX(Players!$B$2:$B$930,MATCH(SMALL(IF(ISNUMBER(MATCH(Players!$U$2:$U$930,$N$2,0)),IF(Players!$P$2:$P$930&lt;&gt;0,IF(Players!$W$2:$W$930&lt;0,IF(Players!$D$2:$D$930=X$2,Players!$W$2:$W$930)))),$U66),Players!$W$2:$W$930,0)),"")</f>
        <v>Amari Cooper</v>
      </c>
      <c r="Y66" s="23" t="str">
        <f t="array" ref="Y66">IFERROR(INDEX(Players!$B$2:$B$930,MATCH(SMALL(IF(ISNUMBER(MATCH(Players!$U$2:$U$930,$N$2,0)),IF(Players!$P$2:$P$930&lt;&gt;0,IF(Players!$W$2:$W$930&lt;0,IF(Players!$D$2:$D$930=Y$2,Players!$W$2:$W$930)))),$U66),Players!$W$2:$W$930,0)),"")</f>
        <v/>
      </c>
      <c r="Z66" s="23" t="str">
        <f t="array" ref="Z66">IFERROR(INDEX(Players!$B$2:$B$930,MATCH(SMALL(IF(ISNUMBER(MATCH(Players!$U$2:$U$930,$N$2,0)),IF(Players!$P$2:$P$930&lt;&gt;0,IF(Players!$W$2:$W$930&lt;0,IF(Players!$D$2:$D$930=Z$2,Players!$W$2:$W$930)))),$U66),Players!$W$2:$W$930,0)),"")</f>
        <v/>
      </c>
      <c r="AA66" s="28" t="str">
        <f t="array" ref="AA66">IFERROR(INDEX(Players!$B$2:$B$930,MATCH(SMALL(IF(ISNUMBER(MATCH(Players!$U$2:$U$930,$N$2,0)),IF(Players!$P$2:$P$930&lt;&gt;0,IF(Players!$W$2:$W$930&lt;0,IF(Players!$D$2:$D$930=AA$2,Players!$W$2:$W$930)))),$U66),Players!$W$2:$W$930,0)),"")</f>
        <v>Chargers</v>
      </c>
      <c r="AC66" s="39">
        <v>14</v>
      </c>
      <c r="AD66" s="27" t="str">
        <f>IFERROR(VLOOKUP(AD$52&amp;AC66,Input!$AB:$AC,2,0),"")</f>
        <v/>
      </c>
      <c r="AE66" s="281" t="str">
        <f>IFERROR(VLOOKUP(AD66,Input!$AC:$AH,6,0),"")</f>
        <v/>
      </c>
      <c r="AF66" s="281" t="e">
        <f>LARGE(AE53:AE68,AC66)</f>
        <v>#NUM!</v>
      </c>
      <c r="AG66" s="281" t="e">
        <f>VLOOKUP(AM66,Input!$AC:$AF,4,0)</f>
        <v>#NUM!</v>
      </c>
      <c r="AH66" s="281" t="e">
        <f>AG66&amp;COUNTIF(AG53:AG66,AG66)</f>
        <v>#NUM!</v>
      </c>
      <c r="AI66" s="281" t="e">
        <f t="shared" si="29"/>
        <v>#NUM!</v>
      </c>
      <c r="AJ66" s="281" t="e">
        <f>AI66&amp;COUNTIF(AI53:AI66,AI66)</f>
        <v>#NUM!</v>
      </c>
      <c r="AK66" s="281" t="str">
        <f>IFERROR(VLOOKUP(AM66,E12:E21,1,0),"B")</f>
        <v>B</v>
      </c>
      <c r="AL66" s="281" t="str">
        <f>AK66&amp;COUNTIF(AK53:AK66,AK66)</f>
        <v>B14</v>
      </c>
      <c r="AM66" s="281" t="e">
        <f t="array" ref="AM66">INDEX(AD$53:AD$68,SMALL(IF(AE$53:AE$68=AF66,ROW(AE$53:AE$68)-ROW(AF$53)+1),COUNTIF(AF$53:AF66,AF66)))</f>
        <v>#NUM!</v>
      </c>
      <c r="AN66" s="41" t="s">
        <v>604</v>
      </c>
      <c r="AO66" s="17"/>
      <c r="AP66" s="289" t="str">
        <f>IFERROR(VLOOKUP(VLOOKUP(E25,Input!$AC:$AG,5,0),Schedule!$T$3:$U$34,2,0),"")</f>
        <v/>
      </c>
    </row>
    <row r="67" spans="1:42" x14ac:dyDescent="0.25">
      <c r="A67" s="38" t="s">
        <v>591</v>
      </c>
      <c r="B67" s="168">
        <f>IFERROR(INDEX(Input!$AE$2:$AE$161,MATCH(B12,Input!$AC$2:$AC$161,0)),0)</f>
        <v>0</v>
      </c>
      <c r="C67" s="169">
        <f>IFERROR(INDEX(Input!$AE$2:$AE$161,MATCH(C12,Input!$AC$2:$AC$161,0)),0)</f>
        <v>0</v>
      </c>
      <c r="D67" s="169">
        <f>IFERROR(INDEX(Input!$AE$2:$AE$161,MATCH(D12,Input!$AC$2:$AC$161,0)),0)</f>
        <v>0</v>
      </c>
      <c r="E67" s="169">
        <f>IFERROR(INDEX(Input!$AE$2:$AE$161,MATCH(E12,Input!$AC$2:$AC$161,0)),0)</f>
        <v>0</v>
      </c>
      <c r="F67" s="169">
        <f>IFERROR(INDEX(Input!$AE$2:$AE$161,MATCH(F12,Input!$AC$2:$AC$161,0)),0)</f>
        <v>0</v>
      </c>
      <c r="G67" s="169">
        <f>IFERROR(INDEX(Input!$AE$2:$AE$161,MATCH(G12,Input!$AC$2:$AC$161,0)),0)</f>
        <v>0</v>
      </c>
      <c r="H67" s="169">
        <f>IFERROR(INDEX(Input!$AE$2:$AE$161,MATCH(H12,Input!$AC$2:$AC$161,0)),0)</f>
        <v>0</v>
      </c>
      <c r="I67" s="169">
        <f>IFERROR(INDEX(Input!$AE$2:$AE$161,MATCH(I12,Input!$AC$2:$AC$161,0)),0)</f>
        <v>0</v>
      </c>
      <c r="J67" s="169">
        <f>IFERROR(INDEX(Input!$AE$2:$AE$161,MATCH(J12,Input!$AC$2:$AC$161,0)),0)</f>
        <v>0</v>
      </c>
      <c r="K67" s="170">
        <f>IFERROR(INDEX(Input!$AE$2:$AE$161,MATCH(K12,Input!$AC$2:$AC$161,0)),0)</f>
        <v>0</v>
      </c>
      <c r="L67" s="19"/>
      <c r="U67" s="68">
        <v>7</v>
      </c>
      <c r="V67" s="228" t="str">
        <f t="array" ref="V67">IFERROR(INDEX(Players!$B$2:$B$930,MATCH(SMALL(IF(ISNUMBER(MATCH(Players!$U$2:$U$930,$N$2,0)),IF(Players!$P$2:$P$930&lt;&gt;0,IF(Players!$W$2:$W$930&lt;0,IF(Players!$D$2:$D$930=V$2,Players!$W$2:$W$930)))),$U67),Players!$W$2:$W$930,0)),"")</f>
        <v>Jameis Winston</v>
      </c>
      <c r="W67" s="23" t="str">
        <f t="array" ref="W67">IFERROR(INDEX(Players!$B$2:$B$930,MATCH(SMALL(IF(ISNUMBER(MATCH(Players!$U$2:$U$930,$N$2,0)),IF(Players!$P$2:$P$930&lt;&gt;0,IF(Players!$W$2:$W$930&lt;0,IF(Players!$D$2:$D$930=W$2,Players!$W$2:$W$930)))),$U67),Players!$W$2:$W$930,0)),"")</f>
        <v>Eddie Lacy</v>
      </c>
      <c r="X67" s="23" t="str">
        <f t="array" ref="X67">IFERROR(INDEX(Players!$B$2:$B$930,MATCH(SMALL(IF(ISNUMBER(MATCH(Players!$U$2:$U$930,$N$2,0)),IF(Players!$P$2:$P$930&lt;&gt;0,IF(Players!$W$2:$W$930&lt;0,IF(Players!$D$2:$D$930=X$2,Players!$W$2:$W$930)))),$U67),Players!$W$2:$W$930,0)),"")</f>
        <v>T.Y. Hilton</v>
      </c>
      <c r="Y67" s="23" t="str">
        <f t="array" ref="Y67">IFERROR(INDEX(Players!$B$2:$B$930,MATCH(SMALL(IF(ISNUMBER(MATCH(Players!$U$2:$U$930,$N$2,0)),IF(Players!$P$2:$P$930&lt;&gt;0,IF(Players!$W$2:$W$930&lt;0,IF(Players!$D$2:$D$930=Y$2,Players!$W$2:$W$930)))),$U67),Players!$W$2:$W$930,0)),"")</f>
        <v/>
      </c>
      <c r="Z67" s="23" t="str">
        <f t="array" ref="Z67">IFERROR(INDEX(Players!$B$2:$B$930,MATCH(SMALL(IF(ISNUMBER(MATCH(Players!$U$2:$U$930,$N$2,0)),IF(Players!$P$2:$P$930&lt;&gt;0,IF(Players!$W$2:$W$930&lt;0,IF(Players!$D$2:$D$930=Z$2,Players!$W$2:$W$930)))),$U67),Players!$W$2:$W$930,0)),"")</f>
        <v/>
      </c>
      <c r="AA67" s="28" t="str">
        <f t="array" ref="AA67">IFERROR(INDEX(Players!$B$2:$B$930,MATCH(SMALL(IF(ISNUMBER(MATCH(Players!$U$2:$U$930,$N$2,0)),IF(Players!$P$2:$P$930&lt;&gt;0,IF(Players!$W$2:$W$930&lt;0,IF(Players!$D$2:$D$930=AA$2,Players!$W$2:$W$930)))),$U67),Players!$W$2:$W$930,0)),"")</f>
        <v/>
      </c>
      <c r="AC67" s="39">
        <v>15</v>
      </c>
      <c r="AD67" s="27" t="str">
        <f>IFERROR(VLOOKUP(AD$52&amp;AC67,Input!$AB:$AC,2,0),"")</f>
        <v/>
      </c>
      <c r="AE67" s="281" t="str">
        <f>IFERROR(VLOOKUP(AD67,Input!$AC:$AH,6,0),"")</f>
        <v/>
      </c>
      <c r="AF67" s="281" t="e">
        <f>LARGE(AE53:AE68,AC67)</f>
        <v>#NUM!</v>
      </c>
      <c r="AG67" s="281" t="e">
        <f>VLOOKUP(AM67,Input!$AC:$AF,4,0)</f>
        <v>#NUM!</v>
      </c>
      <c r="AH67" s="281" t="e">
        <f>AG67&amp;COUNTIF(AG53:AG67,AG67)</f>
        <v>#NUM!</v>
      </c>
      <c r="AI67" s="281" t="e">
        <f t="shared" si="29"/>
        <v>#NUM!</v>
      </c>
      <c r="AJ67" s="281" t="e">
        <f>AI67&amp;COUNTIF(AI53:AI67,AI67)</f>
        <v>#NUM!</v>
      </c>
      <c r="AK67" s="281" t="str">
        <f>IFERROR(VLOOKUP(AM67,E12:E21,1,0),"B")</f>
        <v>B</v>
      </c>
      <c r="AL67" s="281" t="str">
        <f>AK67&amp;COUNTIF(AK53:AK67,AK67)</f>
        <v>B15</v>
      </c>
      <c r="AM67" s="281" t="e">
        <f t="array" ref="AM67">INDEX(AD$53:AD$68,SMALL(IF(AE$53:AE$68=AF67,ROW(AE$53:AE$68)-ROW(AF$53)+1),COUNTIF(AF$53:AF67,AF67)))</f>
        <v>#NUM!</v>
      </c>
      <c r="AN67" s="41" t="s">
        <v>605</v>
      </c>
      <c r="AO67" s="17"/>
      <c r="AP67" s="289" t="str">
        <f>IFERROR(VLOOKUP(VLOOKUP(E26,Input!$AC:$AG,5,0),Schedule!$T$3:$U$34,2,0),"")</f>
        <v/>
      </c>
    </row>
    <row r="68" spans="1:42" ht="15.75" thickBot="1" x14ac:dyDescent="0.3">
      <c r="A68" s="39" t="s">
        <v>592</v>
      </c>
      <c r="B68" s="171">
        <f>IFERROR(INDEX(Input!$AE$2:$AE$161,MATCH(B13,Input!$AC$2:$AC$161,0)),0)</f>
        <v>0</v>
      </c>
      <c r="C68" s="172">
        <f>IFERROR(INDEX(Input!$AE$2:$AE$161,MATCH(C13,Input!$AC$2:$AC$161,0)),0)</f>
        <v>0</v>
      </c>
      <c r="D68" s="172">
        <f>IFERROR(INDEX(Input!$AE$2:$AE$161,MATCH(D13,Input!$AC$2:$AC$161,0)),0)</f>
        <v>0</v>
      </c>
      <c r="E68" s="172">
        <f>IFERROR(INDEX(Input!$AE$2:$AE$161,MATCH(E13,Input!$AC$2:$AC$161,0)),0)</f>
        <v>0</v>
      </c>
      <c r="F68" s="172">
        <f>IFERROR(INDEX(Input!$AE$2:$AE$161,MATCH(F13,Input!$AC$2:$AC$161,0)),0)</f>
        <v>0</v>
      </c>
      <c r="G68" s="172">
        <f>IFERROR(INDEX(Input!$AE$2:$AE$161,MATCH(G13,Input!$AC$2:$AC$161,0)),0)</f>
        <v>0</v>
      </c>
      <c r="H68" s="172">
        <f>IFERROR(INDEX(Input!$AE$2:$AE$161,MATCH(H13,Input!$AC$2:$AC$161,0)),0)</f>
        <v>0</v>
      </c>
      <c r="I68" s="172">
        <f>IFERROR(INDEX(Input!$AE$2:$AE$161,MATCH(I13,Input!$AC$2:$AC$161,0)),0)</f>
        <v>0</v>
      </c>
      <c r="J68" s="172">
        <f>IFERROR(INDEX(Input!$AE$2:$AE$161,MATCH(J13,Input!$AC$2:$AC$161,0)),0)</f>
        <v>0</v>
      </c>
      <c r="K68" s="173">
        <f>IFERROR(INDEX(Input!$AE$2:$AE$161,MATCH(K13,Input!$AC$2:$AC$161,0)),0)</f>
        <v>0</v>
      </c>
      <c r="L68" s="19"/>
      <c r="U68" s="68">
        <v>8</v>
      </c>
      <c r="V68" s="228" t="str">
        <f t="array" ref="V68">IFERROR(INDEX(Players!$B$2:$B$930,MATCH(SMALL(IF(ISNUMBER(MATCH(Players!$U$2:$U$930,$N$2,0)),IF(Players!$P$2:$P$930&lt;&gt;0,IF(Players!$W$2:$W$930&lt;0,IF(Players!$D$2:$D$930=V$2,Players!$W$2:$W$930)))),$U68),Players!$W$2:$W$930,0)),"")</f>
        <v>Marcus Mariota</v>
      </c>
      <c r="W68" s="23" t="str">
        <f t="array" ref="W68">IFERROR(INDEX(Players!$B$2:$B$930,MATCH(SMALL(IF(ISNUMBER(MATCH(Players!$U$2:$U$930,$N$2,0)),IF(Players!$P$2:$P$930&lt;&gt;0,IF(Players!$W$2:$W$930&lt;0,IF(Players!$D$2:$D$930=W$2,Players!$W$2:$W$930)))),$U68),Players!$W$2:$W$930,0)),"")</f>
        <v>Leonard Fournette</v>
      </c>
      <c r="X68" s="23" t="str">
        <f t="array" ref="X68">IFERROR(INDEX(Players!$B$2:$B$930,MATCH(SMALL(IF(ISNUMBER(MATCH(Players!$U$2:$U$930,$N$2,0)),IF(Players!$P$2:$P$930&lt;&gt;0,IF(Players!$W$2:$W$930&lt;0,IF(Players!$D$2:$D$930=X$2,Players!$W$2:$W$930)))),$U68),Players!$W$2:$W$930,0)),"")</f>
        <v>Emmanuel Sanders</v>
      </c>
      <c r="Y68" s="23" t="str">
        <f t="array" ref="Y68">IFERROR(INDEX(Players!$B$2:$B$930,MATCH(SMALL(IF(ISNUMBER(MATCH(Players!$U$2:$U$930,$N$2,0)),IF(Players!$P$2:$P$930&lt;&gt;0,IF(Players!$W$2:$W$930&lt;0,IF(Players!$D$2:$D$930=Y$2,Players!$W$2:$W$930)))),$U68),Players!$W$2:$W$930,0)),"")</f>
        <v/>
      </c>
      <c r="Z68" s="23" t="str">
        <f t="array" ref="Z68">IFERROR(INDEX(Players!$B$2:$B$930,MATCH(SMALL(IF(ISNUMBER(MATCH(Players!$U$2:$U$930,$N$2,0)),IF(Players!$P$2:$P$930&lt;&gt;0,IF(Players!$W$2:$W$930&lt;0,IF(Players!$D$2:$D$930=Z$2,Players!$W$2:$W$930)))),$U68),Players!$W$2:$W$930,0)),"")</f>
        <v/>
      </c>
      <c r="AA68" s="28" t="str">
        <f t="array" ref="AA68">IFERROR(INDEX(Players!$B$2:$B$930,MATCH(SMALL(IF(ISNUMBER(MATCH(Players!$U$2:$U$930,$N$2,0)),IF(Players!$P$2:$P$930&lt;&gt;0,IF(Players!$W$2:$W$930&lt;0,IF(Players!$D$2:$D$930=AA$2,Players!$W$2:$W$930)))),$U68),Players!$W$2:$W$930,0)),"")</f>
        <v/>
      </c>
      <c r="AC68" s="40">
        <v>16</v>
      </c>
      <c r="AD68" s="29" t="str">
        <f>IFERROR(VLOOKUP(AD$52&amp;AC68,Input!$AB:$AC,2,0),"")</f>
        <v/>
      </c>
      <c r="AE68" s="282" t="str">
        <f>IFERROR(VLOOKUP(AD68,Input!$AC:$AH,6,0),"")</f>
        <v/>
      </c>
      <c r="AF68" s="281" t="e">
        <f>LARGE(AE53:AE68,AC68)</f>
        <v>#NUM!</v>
      </c>
      <c r="AG68" s="282" t="e">
        <f>VLOOKUP(AM68,Input!$AC:$AF,4,0)</f>
        <v>#NUM!</v>
      </c>
      <c r="AH68" s="282" t="e">
        <f>AG68&amp;COUNTIF(AG53:AG68,AG68)</f>
        <v>#NUM!</v>
      </c>
      <c r="AI68" s="282" t="e">
        <f t="shared" si="29"/>
        <v>#NUM!</v>
      </c>
      <c r="AJ68" s="282" t="e">
        <f>AI68&amp;COUNTIF(AI53:AI68,AI68)</f>
        <v>#NUM!</v>
      </c>
      <c r="AK68" s="282" t="str">
        <f>IFERROR(VLOOKUP(AM68,E12:E21,1,0),"B")</f>
        <v>B</v>
      </c>
      <c r="AL68" s="282" t="str">
        <f>AK68&amp;COUNTIF(AK53:AK68,AK68)</f>
        <v>B16</v>
      </c>
      <c r="AM68" s="282" t="e">
        <f t="array" ref="AM68">INDEX(AD$53:AD$68,SMALL(IF(AE$53:AE$68=AF68,ROW(AE$53:AE$68)-ROW(AF$53)+1),COUNTIF(AF$53:AF68,AF68)))</f>
        <v>#NUM!</v>
      </c>
      <c r="AN68" s="42" t="s">
        <v>606</v>
      </c>
      <c r="AO68" s="283"/>
      <c r="AP68" s="290" t="str">
        <f>IFERROR(VLOOKUP(VLOOKUP(E27,Input!$AC:$AG,5,0),Schedule!$T$3:$U$34,2,0),"")</f>
        <v/>
      </c>
    </row>
    <row r="69" spans="1:42" ht="15.75" thickBot="1" x14ac:dyDescent="0.3">
      <c r="A69" s="39" t="s">
        <v>593</v>
      </c>
      <c r="B69" s="171">
        <f>IFERROR(INDEX(Input!$AE$2:$AE$161,MATCH(B14,Input!$AC$2:$AC$161,0)),0)</f>
        <v>0</v>
      </c>
      <c r="C69" s="172">
        <f>IFERROR(INDEX(Input!$AE$2:$AE$161,MATCH(C14,Input!$AC$2:$AC$161,0)),0)</f>
        <v>0</v>
      </c>
      <c r="D69" s="172">
        <f>IFERROR(INDEX(Input!$AE$2:$AE$161,MATCH(D14,Input!$AC$2:$AC$161,0)),0)</f>
        <v>0</v>
      </c>
      <c r="E69" s="172">
        <f>IFERROR(INDEX(Input!$AE$2:$AE$161,MATCH(E14,Input!$AC$2:$AC$161,0)),0)</f>
        <v>0</v>
      </c>
      <c r="F69" s="172">
        <f>IFERROR(INDEX(Input!$AE$2:$AE$161,MATCH(F14,Input!$AC$2:$AC$161,0)),0)</f>
        <v>0</v>
      </c>
      <c r="G69" s="172">
        <f>IFERROR(INDEX(Input!$AE$2:$AE$161,MATCH(G14,Input!$AC$2:$AC$161,0)),0)</f>
        <v>0</v>
      </c>
      <c r="H69" s="172">
        <f>IFERROR(INDEX(Input!$AE$2:$AE$161,MATCH(H14,Input!$AC$2:$AC$161,0)),0)</f>
        <v>0</v>
      </c>
      <c r="I69" s="172">
        <f>IFERROR(INDEX(Input!$AE$2:$AE$161,MATCH(I14,Input!$AC$2:$AC$161,0)),0)</f>
        <v>0</v>
      </c>
      <c r="J69" s="172">
        <f>IFERROR(INDEX(Input!$AE$2:$AE$161,MATCH(J14,Input!$AC$2:$AC$161,0)),0)</f>
        <v>0</v>
      </c>
      <c r="K69" s="173">
        <f>IFERROR(INDEX(Input!$AE$2:$AE$161,MATCH(K14,Input!$AC$2:$AC$161,0)),0)</f>
        <v>0</v>
      </c>
      <c r="L69" s="19"/>
      <c r="U69" s="68">
        <v>9</v>
      </c>
      <c r="V69" s="228" t="str">
        <f t="array" ref="V69">IFERROR(INDEX(Players!$B$2:$B$930,MATCH(SMALL(IF(ISNUMBER(MATCH(Players!$U$2:$U$930,$N$2,0)),IF(Players!$P$2:$P$930&lt;&gt;0,IF(Players!$W$2:$W$930&lt;0,IF(Players!$D$2:$D$930=V$2,Players!$W$2:$W$930)))),$U69),Players!$W$2:$W$930,0)),"")</f>
        <v>Philip Rivers</v>
      </c>
      <c r="W69" s="23" t="str">
        <f t="array" ref="W69">IFERROR(INDEX(Players!$B$2:$B$930,MATCH(SMALL(IF(ISNUMBER(MATCH(Players!$U$2:$U$930,$N$2,0)),IF(Players!$P$2:$P$930&lt;&gt;0,IF(Players!$W$2:$W$930&lt;0,IF(Players!$D$2:$D$930=W$2,Players!$W$2:$W$930)))),$U69),Players!$W$2:$W$930,0)),"")</f>
        <v>Adrian Peterson</v>
      </c>
      <c r="X69" s="23" t="str">
        <f t="array" ref="X69">IFERROR(INDEX(Players!$B$2:$B$930,MATCH(SMALL(IF(ISNUMBER(MATCH(Players!$U$2:$U$930,$N$2,0)),IF(Players!$P$2:$P$930&lt;&gt;0,IF(Players!$W$2:$W$930&lt;0,IF(Players!$D$2:$D$930=X$2,Players!$W$2:$W$930)))),$U69),Players!$W$2:$W$930,0)),"")</f>
        <v>Demaryius Thomas</v>
      </c>
      <c r="Y69" s="23" t="str">
        <f t="array" ref="Y69">IFERROR(INDEX(Players!$B$2:$B$930,MATCH(SMALL(IF(ISNUMBER(MATCH(Players!$U$2:$U$930,$N$2,0)),IF(Players!$P$2:$P$930&lt;&gt;0,IF(Players!$W$2:$W$930&lt;0,IF(Players!$D$2:$D$930=Y$2,Players!$W$2:$W$930)))),$U69),Players!$W$2:$W$930,0)),"")</f>
        <v/>
      </c>
      <c r="Z69" s="23" t="str">
        <f t="array" ref="Z69">IFERROR(INDEX(Players!$B$2:$B$930,MATCH(SMALL(IF(ISNUMBER(MATCH(Players!$U$2:$U$930,$N$2,0)),IF(Players!$P$2:$P$930&lt;&gt;0,IF(Players!$W$2:$W$930&lt;0,IF(Players!$D$2:$D$930=Z$2,Players!$W$2:$W$930)))),$U69),Players!$W$2:$W$930,0)),"")</f>
        <v/>
      </c>
      <c r="AA69" s="28" t="str">
        <f t="array" ref="AA69">IFERROR(INDEX(Players!$B$2:$B$930,MATCH(SMALL(IF(ISNUMBER(MATCH(Players!$U$2:$U$930,$N$2,0)),IF(Players!$P$2:$P$930&lt;&gt;0,IF(Players!$W$2:$W$930&lt;0,IF(Players!$D$2:$D$930=AA$2,Players!$W$2:$W$930)))),$U69),Players!$W$2:$W$930,0)),"")</f>
        <v/>
      </c>
      <c r="AC69" s="284"/>
      <c r="AD69" s="285" t="str">
        <f>Input!BD1</f>
        <v>Team 6</v>
      </c>
      <c r="AE69" s="286" t="s">
        <v>5</v>
      </c>
      <c r="AF69" s="286" t="s">
        <v>905</v>
      </c>
      <c r="AG69" s="286" t="s">
        <v>904</v>
      </c>
      <c r="AH69" s="286" t="s">
        <v>906</v>
      </c>
      <c r="AI69" s="286" t="s">
        <v>907</v>
      </c>
      <c r="AJ69" s="286" t="s">
        <v>908</v>
      </c>
      <c r="AK69" s="286" t="s">
        <v>658</v>
      </c>
      <c r="AL69" s="286" t="s">
        <v>909</v>
      </c>
      <c r="AM69" s="286" t="s">
        <v>910</v>
      </c>
      <c r="AN69" s="287" t="s">
        <v>904</v>
      </c>
      <c r="AO69" s="287" t="s">
        <v>5</v>
      </c>
      <c r="AP69" s="288" t="s">
        <v>728</v>
      </c>
    </row>
    <row r="70" spans="1:42" ht="15.75" thickBot="1" x14ac:dyDescent="0.3">
      <c r="A70" s="41" t="s">
        <v>594</v>
      </c>
      <c r="B70" s="171">
        <f>IFERROR(INDEX(Input!$AE$2:$AE$161,MATCH(B15,Input!$AC$2:$AC$161,0)),0)</f>
        <v>0</v>
      </c>
      <c r="C70" s="172">
        <f>IFERROR(INDEX(Input!$AE$2:$AE$161,MATCH(C15,Input!$AC$2:$AC$161,0)),0)</f>
        <v>0</v>
      </c>
      <c r="D70" s="172">
        <f>IFERROR(INDEX(Input!$AE$2:$AE$161,MATCH(D15,Input!$AC$2:$AC$161,0)),0)</f>
        <v>0</v>
      </c>
      <c r="E70" s="172">
        <f>IFERROR(INDEX(Input!$AE$2:$AE$161,MATCH(E15,Input!$AC$2:$AC$161,0)),0)</f>
        <v>0</v>
      </c>
      <c r="F70" s="172">
        <f>IFERROR(INDEX(Input!$AE$2:$AE$161,MATCH(F15,Input!$AC$2:$AC$161,0)),0)</f>
        <v>0</v>
      </c>
      <c r="G70" s="172">
        <f>IFERROR(INDEX(Input!$AE$2:$AE$161,MATCH(G15,Input!$AC$2:$AC$161,0)),0)</f>
        <v>0</v>
      </c>
      <c r="H70" s="172">
        <f>IFERROR(INDEX(Input!$AE$2:$AE$161,MATCH(H15,Input!$AC$2:$AC$161,0)),0)</f>
        <v>0</v>
      </c>
      <c r="I70" s="172">
        <f>IFERROR(INDEX(Input!$AE$2:$AE$161,MATCH(I15,Input!$AC$2:$AC$161,0)),0)</f>
        <v>0</v>
      </c>
      <c r="J70" s="172">
        <f>IFERROR(INDEX(Input!$AE$2:$AE$161,MATCH(J15,Input!$AC$2:$AC$161,0)),0)</f>
        <v>0</v>
      </c>
      <c r="K70" s="173">
        <f>IFERROR(INDEX(Input!$AE$2:$AE$161,MATCH(K15,Input!$AC$2:$AC$161,0)),0)</f>
        <v>0</v>
      </c>
      <c r="L70" s="19"/>
      <c r="U70" s="68">
        <v>10</v>
      </c>
      <c r="V70" s="229" t="str">
        <f t="array" ref="V70">IFERROR(INDEX(Players!$B$2:$B$930,MATCH(SMALL(IF(ISNUMBER(MATCH(Players!$U$2:$U$930,$N$2,0)),IF(Players!$P$2:$P$930&lt;&gt;0,IF(Players!$W$2:$W$930&lt;0,IF(Players!$D$2:$D$930=V$2,Players!$W$2:$W$930)))),$U70),Players!$W$2:$W$930,0)),"")</f>
        <v>Carson Wentz</v>
      </c>
      <c r="W70" s="30" t="str">
        <f t="array" ref="W70">IFERROR(INDEX(Players!$B$2:$B$930,MATCH(SMALL(IF(ISNUMBER(MATCH(Players!$U$2:$U$930,$N$2,0)),IF(Players!$P$2:$P$930&lt;&gt;0,IF(Players!$W$2:$W$930&lt;0,IF(Players!$D$2:$D$930=W$2,Players!$W$2:$W$930)))),$U70),Players!$W$2:$W$930,0)),"")</f>
        <v>Spencer Ware</v>
      </c>
      <c r="X70" s="30" t="str">
        <f t="array" ref="X70">IFERROR(INDEX(Players!$B$2:$B$930,MATCH(SMALL(IF(ISNUMBER(MATCH(Players!$U$2:$U$930,$N$2,0)),IF(Players!$P$2:$P$930&lt;&gt;0,IF(Players!$W$2:$W$930&lt;0,IF(Players!$D$2:$D$930=X$2,Players!$W$2:$W$930)))),$U70),Players!$W$2:$W$930,0)),"")</f>
        <v>Brandin Cooks</v>
      </c>
      <c r="Y70" s="30" t="str">
        <f t="array" ref="Y70">IFERROR(INDEX(Players!$B$2:$B$930,MATCH(SMALL(IF(ISNUMBER(MATCH(Players!$U$2:$U$930,$N$2,0)),IF(Players!$P$2:$P$930&lt;&gt;0,IF(Players!$W$2:$W$930&lt;0,IF(Players!$D$2:$D$930=Y$2,Players!$W$2:$W$930)))),$U70),Players!$W$2:$W$930,0)),"")</f>
        <v/>
      </c>
      <c r="Z70" s="30" t="str">
        <f t="array" ref="Z70">IFERROR(INDEX(Players!$B$2:$B$930,MATCH(SMALL(IF(ISNUMBER(MATCH(Players!$U$2:$U$930,$N$2,0)),IF(Players!$P$2:$P$930&lt;&gt;0,IF(Players!$W$2:$W$930&lt;0,IF(Players!$D$2:$D$930=Z$2,Players!$W$2:$W$930)))),$U70),Players!$W$2:$W$930,0)),"")</f>
        <v/>
      </c>
      <c r="AA70" s="31" t="str">
        <f t="array" ref="AA70">IFERROR(INDEX(Players!$B$2:$B$930,MATCH(SMALL(IF(ISNUMBER(MATCH(Players!$U$2:$U$930,$N$2,0)),IF(Players!$P$2:$P$930&lt;&gt;0,IF(Players!$W$2:$W$930&lt;0,IF(Players!$D$2:$D$930=AA$2,Players!$W$2:$W$930)))),$U70),Players!$W$2:$W$930,0)),"")</f>
        <v/>
      </c>
      <c r="AC70" s="39">
        <v>1</v>
      </c>
      <c r="AD70" s="27" t="str">
        <f>IFERROR(VLOOKUP(AD$69&amp;AC70,Input!$AB:$AC,2,0),"")</f>
        <v/>
      </c>
      <c r="AE70" s="281" t="str">
        <f>IFERROR(VLOOKUP(AD70,Input!$AC:$AH,6,0),"")</f>
        <v/>
      </c>
      <c r="AF70" s="281" t="e">
        <f>LARGE(AE70:AE85,AC70)</f>
        <v>#NUM!</v>
      </c>
      <c r="AG70" s="281" t="e">
        <f>VLOOKUP(AM70,Input!$AC:$AF,4,0)</f>
        <v>#NUM!</v>
      </c>
      <c r="AH70" s="281" t="e">
        <f>AG70&amp;COUNTIF(AG70:AG70,AG70)</f>
        <v>#NUM!</v>
      </c>
      <c r="AI70" s="281" t="e">
        <f t="shared" ref="AI70:AI85" si="42">IF(AH70="RB3","F",IF(AH70="WR3","F",IF(AH70="TE2","F",0)))</f>
        <v>#NUM!</v>
      </c>
      <c r="AJ70" s="281" t="e">
        <f>AI70&amp;COUNTIF(AI70:AI70,AI70)</f>
        <v>#NUM!</v>
      </c>
      <c r="AK70" s="281" t="str">
        <f>IFERROR(VLOOKUP(AM70,F12:F21,1,0),"B")</f>
        <v>B</v>
      </c>
      <c r="AL70" s="281" t="str">
        <f>AK70&amp;COUNTIF(AK70:AK70,AK70)</f>
        <v>B1</v>
      </c>
      <c r="AM70" s="281" t="e">
        <f t="array" ref="AM70">INDEX(AD$70:AD$85,SMALL(IF(AE$70:AE$85=AF70,ROW(AE$70:AE$85)-ROW(AF$70)+1),COUNTIF(AF$70:AF70,AF70)))</f>
        <v>#NUM!</v>
      </c>
      <c r="AN70" s="39" t="s">
        <v>591</v>
      </c>
      <c r="AO70" s="281" t="str">
        <f>IFERROR(VLOOKUP(F12,Input!$AC:$AH,6,0),"")</f>
        <v/>
      </c>
      <c r="AP70" s="289" t="str">
        <f>IFERROR(VLOOKUP(VLOOKUP(F12,Input!$AC:$AG,5,0),Schedule!$T$3:$U$34,2,0),"")</f>
        <v/>
      </c>
    </row>
    <row r="71" spans="1:42" x14ac:dyDescent="0.25">
      <c r="A71" s="41" t="s">
        <v>595</v>
      </c>
      <c r="B71" s="171">
        <f>IFERROR(INDEX(Input!$AE$2:$AE$161,MATCH(B16,Input!$AC$2:$AC$161,0)),0)</f>
        <v>0</v>
      </c>
      <c r="C71" s="172">
        <f>IFERROR(INDEX(Input!$AE$2:$AE$161,MATCH(C16,Input!$AC$2:$AC$161,0)),0)</f>
        <v>0</v>
      </c>
      <c r="D71" s="172">
        <f>IFERROR(INDEX(Input!$AE$2:$AE$161,MATCH(D16,Input!$AC$2:$AC$161,0)),0)</f>
        <v>0</v>
      </c>
      <c r="E71" s="172">
        <f>IFERROR(INDEX(Input!$AE$2:$AE$161,MATCH(E16,Input!$AC$2:$AC$161,0)),0)</f>
        <v>0</v>
      </c>
      <c r="F71" s="172">
        <f>IFERROR(INDEX(Input!$AE$2:$AE$161,MATCH(F16,Input!$AC$2:$AC$161,0)),0)</f>
        <v>0</v>
      </c>
      <c r="G71" s="172">
        <f>IFERROR(INDEX(Input!$AE$2:$AE$161,MATCH(G16,Input!$AC$2:$AC$161,0)),0)</f>
        <v>0</v>
      </c>
      <c r="H71" s="172">
        <f>IFERROR(INDEX(Input!$AE$2:$AE$161,MATCH(H16,Input!$AC$2:$AC$161,0)),0)</f>
        <v>0</v>
      </c>
      <c r="I71" s="172">
        <f>IFERROR(INDEX(Input!$AE$2:$AE$161,MATCH(I16,Input!$AC$2:$AC$161,0)),0)</f>
        <v>0</v>
      </c>
      <c r="J71" s="172">
        <f>IFERROR(INDEX(Input!$AE$2:$AE$161,MATCH(J16,Input!$AC$2:$AC$161,0)),0)</f>
        <v>0</v>
      </c>
      <c r="K71" s="173">
        <f>IFERROR(INDEX(Input!$AE$2:$AE$161,MATCH(K16,Input!$AC$2:$AC$161,0)),0)</f>
        <v>0</v>
      </c>
      <c r="L71" s="19"/>
      <c r="AC71" s="39">
        <v>2</v>
      </c>
      <c r="AD71" s="27" t="str">
        <f>IFERROR(VLOOKUP(AD$69&amp;AC71,Input!$AB:$AC,2,0),"")</f>
        <v/>
      </c>
      <c r="AE71" s="281" t="str">
        <f>IFERROR(VLOOKUP(AD71,Input!$AC:$AH,6,0),"")</f>
        <v/>
      </c>
      <c r="AF71" s="281" t="e">
        <f>LARGE(AE70:AE85,AC71)</f>
        <v>#NUM!</v>
      </c>
      <c r="AG71" s="281" t="e">
        <f>VLOOKUP(AM71,Input!$AC:$AF,4,0)</f>
        <v>#NUM!</v>
      </c>
      <c r="AH71" s="281" t="e">
        <f>AG71&amp;COUNTIF(AG70:AG71,AG71)</f>
        <v>#NUM!</v>
      </c>
      <c r="AI71" s="281" t="e">
        <f t="shared" si="42"/>
        <v>#NUM!</v>
      </c>
      <c r="AJ71" s="281" t="e">
        <f>AI71&amp;COUNTIF(AI70:AI71,AI71)</f>
        <v>#NUM!</v>
      </c>
      <c r="AK71" s="281" t="str">
        <f>IFERROR(VLOOKUP(AM71,F12:F21,1,0),"B")</f>
        <v>B</v>
      </c>
      <c r="AL71" s="281" t="str">
        <f>AK71&amp;COUNTIF(AK70:AK71,AK71)</f>
        <v>B2</v>
      </c>
      <c r="AM71" s="281" t="e">
        <f t="array" ref="AM71">INDEX(AD$70:AD$85,SMALL(IF(AE$70:AE$85=AF71,ROW(AE$70:AE$85)-ROW(AF$70)+1),COUNTIF(AF$70:AF71,AF71)))</f>
        <v>#NUM!</v>
      </c>
      <c r="AN71" s="39" t="s">
        <v>592</v>
      </c>
      <c r="AO71" s="281" t="str">
        <f>IFERROR(VLOOKUP(F13,Input!$AC:$AH,6,0),"")</f>
        <v/>
      </c>
      <c r="AP71" s="289" t="str">
        <f>IFERROR(VLOOKUP(VLOOKUP(F13,Input!$AC:$AG,5,0),Schedule!$T$3:$U$34,2,0),"")</f>
        <v/>
      </c>
    </row>
    <row r="72" spans="1:42" x14ac:dyDescent="0.25">
      <c r="A72" s="41" t="s">
        <v>596</v>
      </c>
      <c r="B72" s="171">
        <f>IFERROR(INDEX(Input!$AE$2:$AE$161,MATCH(B17,Input!$AC$2:$AC$161,0)),0)</f>
        <v>0</v>
      </c>
      <c r="C72" s="172">
        <f>IFERROR(INDEX(Input!$AE$2:$AE$161,MATCH(C17,Input!$AC$2:$AC$161,0)),0)</f>
        <v>0</v>
      </c>
      <c r="D72" s="172">
        <f>IFERROR(INDEX(Input!$AE$2:$AE$161,MATCH(D17,Input!$AC$2:$AC$161,0)),0)</f>
        <v>0</v>
      </c>
      <c r="E72" s="172">
        <f>IFERROR(INDEX(Input!$AE$2:$AE$161,MATCH(E17,Input!$AC$2:$AC$161,0)),0)</f>
        <v>0</v>
      </c>
      <c r="F72" s="172">
        <f>IFERROR(INDEX(Input!$AE$2:$AE$161,MATCH(F17,Input!$AC$2:$AC$161,0)),0)</f>
        <v>0</v>
      </c>
      <c r="G72" s="172">
        <f>IFERROR(INDEX(Input!$AE$2:$AE$161,MATCH(G17,Input!$AC$2:$AC$161,0)),0)</f>
        <v>0</v>
      </c>
      <c r="H72" s="172">
        <f>IFERROR(INDEX(Input!$AE$2:$AE$161,MATCH(H17,Input!$AC$2:$AC$161,0)),0)</f>
        <v>0</v>
      </c>
      <c r="I72" s="172">
        <f>IFERROR(INDEX(Input!$AE$2:$AE$161,MATCH(I17,Input!$AC$2:$AC$161,0)),0)</f>
        <v>0</v>
      </c>
      <c r="J72" s="172">
        <f>IFERROR(INDEX(Input!$AE$2:$AE$161,MATCH(J17,Input!$AC$2:$AC$161,0)),0)</f>
        <v>0</v>
      </c>
      <c r="K72" s="173">
        <f>IFERROR(INDEX(Input!$AE$2:$AE$161,MATCH(K17,Input!$AC$2:$AC$161,0)),0)</f>
        <v>0</v>
      </c>
      <c r="L72" s="19"/>
      <c r="AC72" s="39">
        <v>3</v>
      </c>
      <c r="AD72" s="27" t="str">
        <f>IFERROR(VLOOKUP(AD$69&amp;AC72,Input!$AB:$AC,2,0),"")</f>
        <v/>
      </c>
      <c r="AE72" s="281" t="str">
        <f>IFERROR(VLOOKUP(AD72,Input!$AC:$AH,6,0),"")</f>
        <v/>
      </c>
      <c r="AF72" s="281" t="e">
        <f>LARGE(AE70:AE85,AC72)</f>
        <v>#NUM!</v>
      </c>
      <c r="AG72" s="281" t="e">
        <f>VLOOKUP(AM72,Input!$AC:$AF,4,0)</f>
        <v>#NUM!</v>
      </c>
      <c r="AH72" s="281" t="e">
        <f>AG72&amp;COUNTIF(AG70:AG72,AG72)</f>
        <v>#NUM!</v>
      </c>
      <c r="AI72" s="281" t="e">
        <f t="shared" si="42"/>
        <v>#NUM!</v>
      </c>
      <c r="AJ72" s="281" t="e">
        <f>AI72&amp;COUNTIF(AI70:AI72,AI72)</f>
        <v>#NUM!</v>
      </c>
      <c r="AK72" s="281" t="str">
        <f>IFERROR(VLOOKUP(AM72,F12:F21,1,0),"B")</f>
        <v>B</v>
      </c>
      <c r="AL72" s="281" t="str">
        <f>AK72&amp;COUNTIF(AK70:AK72,AK72)</f>
        <v>B3</v>
      </c>
      <c r="AM72" s="281" t="e">
        <f t="array" ref="AM72">INDEX(AD$70:AD$85,SMALL(IF(AE$70:AE$85=AF72,ROW(AE$70:AE$85)-ROW(AF$70)+1),COUNTIF(AF$70:AF72,AF72)))</f>
        <v>#NUM!</v>
      </c>
      <c r="AN72" s="39" t="s">
        <v>593</v>
      </c>
      <c r="AO72" s="281" t="str">
        <f>IFERROR(VLOOKUP(F14,Input!$AC:$AH,6,0),"")</f>
        <v/>
      </c>
      <c r="AP72" s="289" t="str">
        <f>IFERROR(VLOOKUP(VLOOKUP(F14,Input!$AC:$AG,5,0),Schedule!$T$3:$U$34,2,0),"")</f>
        <v/>
      </c>
    </row>
    <row r="73" spans="1:42" x14ac:dyDescent="0.25">
      <c r="A73" s="41" t="s">
        <v>597</v>
      </c>
      <c r="B73" s="171">
        <f>IFERROR(INDEX(Input!$AE$2:$AE$161,MATCH(B18,Input!$AC$2:$AC$161,0)),0)</f>
        <v>0</v>
      </c>
      <c r="C73" s="172">
        <f>IFERROR(INDEX(Input!$AE$2:$AE$161,MATCH(C18,Input!$AC$2:$AC$161,0)),0)</f>
        <v>0</v>
      </c>
      <c r="D73" s="172">
        <f>IFERROR(INDEX(Input!$AE$2:$AE$161,MATCH(D18,Input!$AC$2:$AC$161,0)),0)</f>
        <v>0</v>
      </c>
      <c r="E73" s="172">
        <f>IFERROR(INDEX(Input!$AE$2:$AE$161,MATCH(E18,Input!$AC$2:$AC$161,0)),0)</f>
        <v>0</v>
      </c>
      <c r="F73" s="172">
        <f>IFERROR(INDEX(Input!$AE$2:$AE$161,MATCH(F18,Input!$AC$2:$AC$161,0)),0)</f>
        <v>0</v>
      </c>
      <c r="G73" s="172">
        <f>IFERROR(INDEX(Input!$AE$2:$AE$161,MATCH(G18,Input!$AC$2:$AC$161,0)),0)</f>
        <v>0</v>
      </c>
      <c r="H73" s="172">
        <f>IFERROR(INDEX(Input!$AE$2:$AE$161,MATCH(H18,Input!$AC$2:$AC$161,0)),0)</f>
        <v>0</v>
      </c>
      <c r="I73" s="172">
        <f>IFERROR(INDEX(Input!$AE$2:$AE$161,MATCH(I18,Input!$AC$2:$AC$161,0)),0)</f>
        <v>0</v>
      </c>
      <c r="J73" s="172">
        <f>IFERROR(INDEX(Input!$AE$2:$AE$161,MATCH(J18,Input!$AC$2:$AC$161,0)),0)</f>
        <v>0</v>
      </c>
      <c r="K73" s="173">
        <f>IFERROR(INDEX(Input!$AE$2:$AE$161,MATCH(K18,Input!$AC$2:$AC$161,0)),0)</f>
        <v>0</v>
      </c>
      <c r="L73" s="19"/>
      <c r="AC73" s="39">
        <v>4</v>
      </c>
      <c r="AD73" s="27" t="str">
        <f>IFERROR(VLOOKUP(AD$69&amp;AC73,Input!$AB:$AC,2,0),"")</f>
        <v/>
      </c>
      <c r="AE73" s="281" t="str">
        <f>IFERROR(VLOOKUP(AD73,Input!$AC:$AH,6,0),"")</f>
        <v/>
      </c>
      <c r="AF73" s="281" t="e">
        <f>LARGE(AE70:AE85,AC73)</f>
        <v>#NUM!</v>
      </c>
      <c r="AG73" s="281" t="e">
        <f>VLOOKUP(AM73,Input!$AC:$AF,4,0)</f>
        <v>#NUM!</v>
      </c>
      <c r="AH73" s="281" t="e">
        <f>AG73&amp;COUNTIF(AG70:AG73,AG73)</f>
        <v>#NUM!</v>
      </c>
      <c r="AI73" s="281" t="e">
        <f t="shared" si="42"/>
        <v>#NUM!</v>
      </c>
      <c r="AJ73" s="281" t="e">
        <f>AI73&amp;COUNTIF(AI70:AI73,AI73)</f>
        <v>#NUM!</v>
      </c>
      <c r="AK73" s="281" t="str">
        <f>IFERROR(VLOOKUP(AM73,F12:F21,1,0),"B")</f>
        <v>B</v>
      </c>
      <c r="AL73" s="281" t="str">
        <f>AK73&amp;COUNTIF(AK70:AK73,AK73)</f>
        <v>B4</v>
      </c>
      <c r="AM73" s="281" t="e">
        <f t="array" ref="AM73">INDEX(AD$70:AD$85,SMALL(IF(AE$70:AE$85=AF73,ROW(AE$70:AE$85)-ROW(AF$70)+1),COUNTIF(AF$70:AF73,AF73)))</f>
        <v>#NUM!</v>
      </c>
      <c r="AN73" s="41" t="s">
        <v>594</v>
      </c>
      <c r="AO73" s="281" t="str">
        <f>IFERROR(VLOOKUP(F15,Input!$AC:$AH,6,0),"")</f>
        <v/>
      </c>
      <c r="AP73" s="289" t="str">
        <f>IFERROR(VLOOKUP(VLOOKUP(F15,Input!$AC:$AG,5,0),Schedule!$T$3:$U$34,2,0),"")</f>
        <v/>
      </c>
    </row>
    <row r="74" spans="1:42" x14ac:dyDescent="0.25">
      <c r="A74" s="41" t="s">
        <v>598</v>
      </c>
      <c r="B74" s="171">
        <f>IFERROR(INDEX(Input!$AE$2:$AE$161,MATCH(B19,Input!$AC$2:$AC$161,0)),0)</f>
        <v>0</v>
      </c>
      <c r="C74" s="172">
        <f>IFERROR(INDEX(Input!$AE$2:$AE$161,MATCH(C19,Input!$AC$2:$AC$161,0)),0)</f>
        <v>0</v>
      </c>
      <c r="D74" s="172">
        <f>IFERROR(INDEX(Input!$AE$2:$AE$161,MATCH(D19,Input!$AC$2:$AC$161,0)),0)</f>
        <v>0</v>
      </c>
      <c r="E74" s="172">
        <f>IFERROR(INDEX(Input!$AE$2:$AE$161,MATCH(E19,Input!$AC$2:$AC$161,0)),0)</f>
        <v>0</v>
      </c>
      <c r="F74" s="172">
        <f>IFERROR(INDEX(Input!$AE$2:$AE$161,MATCH(F19,Input!$AC$2:$AC$161,0)),0)</f>
        <v>0</v>
      </c>
      <c r="G74" s="172">
        <f>IFERROR(INDEX(Input!$AE$2:$AE$161,MATCH(G19,Input!$AC$2:$AC$161,0)),0)</f>
        <v>0</v>
      </c>
      <c r="H74" s="172">
        <f>IFERROR(INDEX(Input!$AE$2:$AE$161,MATCH(H19,Input!$AC$2:$AC$161,0)),0)</f>
        <v>0</v>
      </c>
      <c r="I74" s="172">
        <f>IFERROR(INDEX(Input!$AE$2:$AE$161,MATCH(I19,Input!$AC$2:$AC$161,0)),0)</f>
        <v>0</v>
      </c>
      <c r="J74" s="172">
        <f>IFERROR(INDEX(Input!$AE$2:$AE$161,MATCH(J19,Input!$AC$2:$AC$161,0)),0)</f>
        <v>0</v>
      </c>
      <c r="K74" s="173">
        <f>IFERROR(INDEX(Input!$AE$2:$AE$161,MATCH(K19,Input!$AC$2:$AC$161,0)),0)</f>
        <v>0</v>
      </c>
      <c r="L74" s="19"/>
      <c r="AC74" s="39">
        <v>5</v>
      </c>
      <c r="AD74" s="27" t="str">
        <f>IFERROR(VLOOKUP(AD$69&amp;AC74,Input!$AB:$AC,2,0),"")</f>
        <v/>
      </c>
      <c r="AE74" s="281" t="str">
        <f>IFERROR(VLOOKUP(AD74,Input!$AC:$AH,6,0),"")</f>
        <v/>
      </c>
      <c r="AF74" s="281" t="e">
        <f>LARGE(AE70:AE85,AC74)</f>
        <v>#NUM!</v>
      </c>
      <c r="AG74" s="281" t="e">
        <f>VLOOKUP(AM74,Input!$AC:$AF,4,0)</f>
        <v>#NUM!</v>
      </c>
      <c r="AH74" s="281" t="e">
        <f>AG74&amp;COUNTIF(AG70:AG74,AG74)</f>
        <v>#NUM!</v>
      </c>
      <c r="AI74" s="281" t="e">
        <f t="shared" si="42"/>
        <v>#NUM!</v>
      </c>
      <c r="AJ74" s="281" t="e">
        <f>AI74&amp;COUNTIF(AI70:AI74,AI74)</f>
        <v>#NUM!</v>
      </c>
      <c r="AK74" s="281" t="str">
        <f>IFERROR(VLOOKUP(AM74,F12:F21,1,0),"B")</f>
        <v>B</v>
      </c>
      <c r="AL74" s="281" t="str">
        <f>AK74&amp;COUNTIF(AK70:AK74,AK74)</f>
        <v>B5</v>
      </c>
      <c r="AM74" s="281" t="e">
        <f t="array" ref="AM74">INDEX(AD$70:AD$85,SMALL(IF(AE$70:AE$85=AF74,ROW(AE$70:AE$85)-ROW(AF$70)+1),COUNTIF(AF$70:AF74,AF74)))</f>
        <v>#NUM!</v>
      </c>
      <c r="AN74" s="41" t="s">
        <v>595</v>
      </c>
      <c r="AO74" s="281" t="str">
        <f>IFERROR(VLOOKUP(F16,Input!$AC:$AH,6,0),"")</f>
        <v/>
      </c>
      <c r="AP74" s="289" t="str">
        <f>IFERROR(VLOOKUP(VLOOKUP(F16,Input!$AC:$AG,5,0),Schedule!$T$3:$U$34,2,0),"")</f>
        <v/>
      </c>
    </row>
    <row r="75" spans="1:42" x14ac:dyDescent="0.25">
      <c r="A75" s="41" t="s">
        <v>599</v>
      </c>
      <c r="B75" s="171">
        <f>IFERROR(INDEX(Input!$AE$2:$AE$161,MATCH(B20,Input!$AC$2:$AC$161,0)),0)</f>
        <v>0</v>
      </c>
      <c r="C75" s="172">
        <f>IFERROR(INDEX(Input!$AE$2:$AE$161,MATCH(C20,Input!$AC$2:$AC$161,0)),0)</f>
        <v>0</v>
      </c>
      <c r="D75" s="172">
        <f>IFERROR(INDEX(Input!$AE$2:$AE$161,MATCH(D20,Input!$AC$2:$AC$161,0)),0)</f>
        <v>0</v>
      </c>
      <c r="E75" s="172">
        <f>IFERROR(INDEX(Input!$AE$2:$AE$161,MATCH(E20,Input!$AC$2:$AC$161,0)),0)</f>
        <v>0</v>
      </c>
      <c r="F75" s="172">
        <f>IFERROR(INDEX(Input!$AE$2:$AE$161,MATCH(F20,Input!$AC$2:$AC$161,0)),0)</f>
        <v>0</v>
      </c>
      <c r="G75" s="172">
        <f>IFERROR(INDEX(Input!$AE$2:$AE$161,MATCH(G20,Input!$AC$2:$AC$161,0)),0)</f>
        <v>0</v>
      </c>
      <c r="H75" s="172">
        <f>IFERROR(INDEX(Input!$AE$2:$AE$161,MATCH(H20,Input!$AC$2:$AC$161,0)),0)</f>
        <v>0</v>
      </c>
      <c r="I75" s="172">
        <f>IFERROR(INDEX(Input!$AE$2:$AE$161,MATCH(I20,Input!$AC$2:$AC$161,0)),0)</f>
        <v>0</v>
      </c>
      <c r="J75" s="172">
        <f>IFERROR(INDEX(Input!$AE$2:$AE$161,MATCH(J20,Input!$AC$2:$AC$161,0)),0)</f>
        <v>0</v>
      </c>
      <c r="K75" s="173">
        <f>IFERROR(INDEX(Input!$AE$2:$AE$161,MATCH(K20,Input!$AC$2:$AC$161,0)),0)</f>
        <v>0</v>
      </c>
      <c r="L75" s="19"/>
      <c r="AC75" s="39">
        <v>6</v>
      </c>
      <c r="AD75" s="27" t="str">
        <f>IFERROR(VLOOKUP(AD$69&amp;AC75,Input!$AB:$AC,2,0),"")</f>
        <v/>
      </c>
      <c r="AE75" s="281" t="str">
        <f>IFERROR(VLOOKUP(AD75,Input!$AC:$AH,6,0),"")</f>
        <v/>
      </c>
      <c r="AF75" s="281" t="e">
        <f>LARGE(AE70:AE85,AC75)</f>
        <v>#NUM!</v>
      </c>
      <c r="AG75" s="281" t="e">
        <f>VLOOKUP(AM75,Input!$AC:$AF,4,0)</f>
        <v>#NUM!</v>
      </c>
      <c r="AH75" s="281" t="e">
        <f>AG75&amp;COUNTIF(AG70:AG75,AG75)</f>
        <v>#NUM!</v>
      </c>
      <c r="AI75" s="281" t="e">
        <f t="shared" si="42"/>
        <v>#NUM!</v>
      </c>
      <c r="AJ75" s="281" t="e">
        <f>AI75&amp;COUNTIF(AI70:AI75,AI75)</f>
        <v>#NUM!</v>
      </c>
      <c r="AK75" s="281" t="str">
        <f>IFERROR(VLOOKUP(AM75,F12:F21,1,0),"B")</f>
        <v>B</v>
      </c>
      <c r="AL75" s="281" t="str">
        <f>AK75&amp;COUNTIF(AK70:AK75,AK75)</f>
        <v>B6</v>
      </c>
      <c r="AM75" s="281" t="e">
        <f t="array" ref="AM75">INDEX(AD$70:AD$85,SMALL(IF(AE$70:AE$85=AF75,ROW(AE$70:AE$85)-ROW(AF$70)+1),COUNTIF(AF$70:AF75,AF75)))</f>
        <v>#NUM!</v>
      </c>
      <c r="AN75" s="41" t="s">
        <v>596</v>
      </c>
      <c r="AO75" s="281" t="str">
        <f>IFERROR(VLOOKUP(F17,Input!$AC:$AH,6,0),"")</f>
        <v/>
      </c>
      <c r="AP75" s="289" t="str">
        <f>IFERROR(VLOOKUP(VLOOKUP(F17,Input!$AC:$AG,5,0),Schedule!$T$3:$U$34,2,0),"")</f>
        <v/>
      </c>
    </row>
    <row r="76" spans="1:42" ht="15.75" thickBot="1" x14ac:dyDescent="0.3">
      <c r="A76" s="41" t="s">
        <v>600</v>
      </c>
      <c r="B76" s="171">
        <f>IFERROR(INDEX(Input!$AE$2:$AE$161,MATCH(B21,Input!$AC$2:$AC$161,0)),0)</f>
        <v>0</v>
      </c>
      <c r="C76" s="172">
        <f>IFERROR(INDEX(Input!$AE$2:$AE$161,MATCH(C21,Input!$AC$2:$AC$161,0)),0)</f>
        <v>0</v>
      </c>
      <c r="D76" s="172">
        <f>IFERROR(INDEX(Input!$AE$2:$AE$161,MATCH(D21,Input!$AC$2:$AC$161,0)),0)</f>
        <v>0</v>
      </c>
      <c r="E76" s="172">
        <f>IFERROR(INDEX(Input!$AE$2:$AE$161,MATCH(E21,Input!$AC$2:$AC$161,0)),0)</f>
        <v>0</v>
      </c>
      <c r="F76" s="172">
        <f>IFERROR(INDEX(Input!$AE$2:$AE$161,MATCH(F21,Input!$AC$2:$AC$161,0)),0)</f>
        <v>0</v>
      </c>
      <c r="G76" s="172">
        <f>IFERROR(INDEX(Input!$AE$2:$AE$161,MATCH(G21,Input!$AC$2:$AC$161,0)),0)</f>
        <v>0</v>
      </c>
      <c r="H76" s="172">
        <f>IFERROR(INDEX(Input!$AE$2:$AE$161,MATCH(H21,Input!$AC$2:$AC$161,0)),0)</f>
        <v>0</v>
      </c>
      <c r="I76" s="172">
        <f>IFERROR(INDEX(Input!$AE$2:$AE$161,MATCH(I21,Input!$AC$2:$AC$161,0)),0)</f>
        <v>0</v>
      </c>
      <c r="J76" s="172">
        <f>IFERROR(INDEX(Input!$AE$2:$AE$161,MATCH(J21,Input!$AC$2:$AC$161,0)),0)</f>
        <v>0</v>
      </c>
      <c r="K76" s="173">
        <f>IFERROR(INDEX(Input!$AE$2:$AE$161,MATCH(K21,Input!$AC$2:$AC$161,0)),0)</f>
        <v>0</v>
      </c>
      <c r="L76" s="19"/>
      <c r="AC76" s="39">
        <v>7</v>
      </c>
      <c r="AD76" s="27" t="str">
        <f>IFERROR(VLOOKUP(AD$69&amp;AC76,Input!$AB:$AC,2,0),"")</f>
        <v/>
      </c>
      <c r="AE76" s="281" t="str">
        <f>IFERROR(VLOOKUP(AD76,Input!$AC:$AH,6,0),"")</f>
        <v/>
      </c>
      <c r="AF76" s="281" t="e">
        <f>LARGE(AE70:AE85,AC76)</f>
        <v>#NUM!</v>
      </c>
      <c r="AG76" s="281" t="e">
        <f>VLOOKUP(AM76,Input!$AC:$AF,4,0)</f>
        <v>#NUM!</v>
      </c>
      <c r="AH76" s="281" t="e">
        <f>AG76&amp;COUNTIF(AG70:AG76,AG76)</f>
        <v>#NUM!</v>
      </c>
      <c r="AI76" s="281" t="e">
        <f t="shared" si="42"/>
        <v>#NUM!</v>
      </c>
      <c r="AJ76" s="281" t="e">
        <f>AI76&amp;COUNTIF(AI70:AI76,AI76)</f>
        <v>#NUM!</v>
      </c>
      <c r="AK76" s="281" t="str">
        <f>IFERROR(VLOOKUP(AM76,F12:F21,1,0),"B")</f>
        <v>B</v>
      </c>
      <c r="AL76" s="281" t="str">
        <f>AK76&amp;COUNTIF(AK70:AK76,AK76)</f>
        <v>B7</v>
      </c>
      <c r="AM76" s="281" t="e">
        <f t="array" ref="AM76">INDEX(AD$70:AD$85,SMALL(IF(AE$70:AE$85=AF76,ROW(AE$70:AE$85)-ROW(AF$70)+1),COUNTIF(AF$70:AF76,AF76)))</f>
        <v>#NUM!</v>
      </c>
      <c r="AN76" s="41" t="s">
        <v>597</v>
      </c>
      <c r="AO76" s="281" t="str">
        <f>IFERROR(VLOOKUP(F18,Input!$AC:$AH,6,0),"")</f>
        <v/>
      </c>
      <c r="AP76" s="289" t="str">
        <f>IFERROR(VLOOKUP(VLOOKUP(F18,Input!$AC:$AG,5,0),Schedule!$T$3:$U$34,2,0),"")</f>
        <v/>
      </c>
    </row>
    <row r="77" spans="1:42" x14ac:dyDescent="0.25">
      <c r="A77" s="41" t="s">
        <v>601</v>
      </c>
      <c r="B77" s="158">
        <f>IFERROR(INDEX(Input!$AE$2:$AE$161,MATCH(B22,Input!$AC$2:$AC$161,0)),0)</f>
        <v>0</v>
      </c>
      <c r="C77" s="159">
        <f>IFERROR(INDEX(Input!$AE$2:$AE$161,MATCH(C22,Input!$AC$2:$AC$161,0)),0)</f>
        <v>0</v>
      </c>
      <c r="D77" s="159">
        <f>IFERROR(INDEX(Input!$AE$2:$AE$161,MATCH(D22,Input!$AC$2:$AC$161,0)),0)</f>
        <v>0</v>
      </c>
      <c r="E77" s="159">
        <f>IFERROR(INDEX(Input!$AE$2:$AE$161,MATCH(E22,Input!$AC$2:$AC$161,0)),0)</f>
        <v>0</v>
      </c>
      <c r="F77" s="159">
        <f>IFERROR(INDEX(Input!$AE$2:$AE$161,MATCH(F22,Input!$AC$2:$AC$161,0)),0)</f>
        <v>0</v>
      </c>
      <c r="G77" s="159">
        <f>IFERROR(INDEX(Input!$AE$2:$AE$161,MATCH(G22,Input!$AC$2:$AC$161,0)),0)</f>
        <v>0</v>
      </c>
      <c r="H77" s="159">
        <f>IFERROR(INDEX(Input!$AE$2:$AE$161,MATCH(H22,Input!$AC$2:$AC$161,0)),0)</f>
        <v>0</v>
      </c>
      <c r="I77" s="159">
        <f>IFERROR(INDEX(Input!$AE$2:$AE$161,MATCH(I22,Input!$AC$2:$AC$161,0)),0)</f>
        <v>0</v>
      </c>
      <c r="J77" s="159">
        <f>IFERROR(INDEX(Input!$AE$2:$AE$161,MATCH(J22,Input!$AC$2:$AC$161,0)),0)</f>
        <v>0</v>
      </c>
      <c r="K77" s="160">
        <f>IFERROR(INDEX(Input!$AE$2:$AE$161,MATCH(K22,Input!$AC$2:$AC$161,0)),0)</f>
        <v>0</v>
      </c>
      <c r="L77" s="154" t="s">
        <v>658</v>
      </c>
      <c r="AC77" s="39">
        <v>8</v>
      </c>
      <c r="AD77" s="27" t="str">
        <f>IFERROR(VLOOKUP(AD$69&amp;AC77,Input!$AB:$AC,2,0),"")</f>
        <v/>
      </c>
      <c r="AE77" s="281" t="str">
        <f>IFERROR(VLOOKUP(AD77,Input!$AC:$AH,6,0),"")</f>
        <v/>
      </c>
      <c r="AF77" s="281" t="e">
        <f>LARGE(AE70:AE85,AC77)</f>
        <v>#NUM!</v>
      </c>
      <c r="AG77" s="281" t="e">
        <f>VLOOKUP(AM77,Input!$AC:$AF,4,0)</f>
        <v>#NUM!</v>
      </c>
      <c r="AH77" s="281" t="e">
        <f>AG77&amp;COUNTIF(AG70:AG77,AG77)</f>
        <v>#NUM!</v>
      </c>
      <c r="AI77" s="281" t="e">
        <f t="shared" si="42"/>
        <v>#NUM!</v>
      </c>
      <c r="AJ77" s="281" t="e">
        <f>AI77&amp;COUNTIF(AI70:AI77,AI77)</f>
        <v>#NUM!</v>
      </c>
      <c r="AK77" s="281" t="str">
        <f>IFERROR(VLOOKUP(AM77,F12:F21,1,0),"B")</f>
        <v>B</v>
      </c>
      <c r="AL77" s="281" t="str">
        <f>AK77&amp;COUNTIF(AK70:AK77,AK77)</f>
        <v>B8</v>
      </c>
      <c r="AM77" s="281" t="e">
        <f t="array" ref="AM77">INDEX(AD$70:AD$85,SMALL(IF(AE$70:AE$85=AF77,ROW(AE$70:AE$85)-ROW(AF$70)+1),COUNTIF(AF$70:AF77,AF77)))</f>
        <v>#NUM!</v>
      </c>
      <c r="AN77" s="41" t="s">
        <v>598</v>
      </c>
      <c r="AO77" s="281" t="str">
        <f>IFERROR(VLOOKUP(F19,Input!$AC:$AH,6,0),"")</f>
        <v/>
      </c>
      <c r="AP77" s="289" t="str">
        <f>IFERROR(VLOOKUP(VLOOKUP(F19,Input!$AC:$AG,5,0),Schedule!$T$3:$U$34,2,0),"")</f>
        <v/>
      </c>
    </row>
    <row r="78" spans="1:42" x14ac:dyDescent="0.25">
      <c r="A78" s="41" t="s">
        <v>602</v>
      </c>
      <c r="B78" s="161">
        <f>IFERROR(INDEX(Input!$AE$2:$AE$161,MATCH(B23,Input!$AC$2:$AC$161,0)),0)</f>
        <v>0</v>
      </c>
      <c r="C78" s="162">
        <f>IFERROR(INDEX(Input!$AE$2:$AE$161,MATCH(C23,Input!$AC$2:$AC$161,0)),0)</f>
        <v>0</v>
      </c>
      <c r="D78" s="162">
        <f>IFERROR(INDEX(Input!$AE$2:$AE$161,MATCH(D23,Input!$AC$2:$AC$161,0)),0)</f>
        <v>0</v>
      </c>
      <c r="E78" s="162">
        <f>IFERROR(INDEX(Input!$AE$2:$AE$161,MATCH(E23,Input!$AC$2:$AC$161,0)),0)</f>
        <v>0</v>
      </c>
      <c r="F78" s="162">
        <f>IFERROR(INDEX(Input!$AE$2:$AE$161,MATCH(F23,Input!$AC$2:$AC$161,0)),0)</f>
        <v>0</v>
      </c>
      <c r="G78" s="162">
        <f>IFERROR(INDEX(Input!$AE$2:$AE$161,MATCH(G23,Input!$AC$2:$AC$161,0)),0)</f>
        <v>0</v>
      </c>
      <c r="H78" s="162">
        <f>IFERROR(INDEX(Input!$AE$2:$AE$161,MATCH(H23,Input!$AC$2:$AC$161,0)),0)</f>
        <v>0</v>
      </c>
      <c r="I78" s="162">
        <f>IFERROR(INDEX(Input!$AE$2:$AE$161,MATCH(I23,Input!$AC$2:$AC$161,0)),0)</f>
        <v>0</v>
      </c>
      <c r="J78" s="162">
        <f>IFERROR(INDEX(Input!$AE$2:$AE$161,MATCH(J23,Input!$AC$2:$AC$161,0)),0)</f>
        <v>0</v>
      </c>
      <c r="K78" s="163">
        <f>IFERROR(INDEX(Input!$AE$2:$AE$161,MATCH(K23,Input!$AC$2:$AC$161,0)),0)</f>
        <v>0</v>
      </c>
      <c r="L78" s="217">
        <f>-(COUNT($B$77:$K$82)-COUNTIF($B$77:$K$82,"&gt;1"))</f>
        <v>-60</v>
      </c>
      <c r="AC78" s="39">
        <v>9</v>
      </c>
      <c r="AD78" s="27" t="str">
        <f>IFERROR(VLOOKUP(AD$69&amp;AC78,Input!$AB:$AC,2,0),"")</f>
        <v/>
      </c>
      <c r="AE78" s="281" t="str">
        <f>IFERROR(VLOOKUP(AD78,Input!$AC:$AH,6,0),"")</f>
        <v/>
      </c>
      <c r="AF78" s="281" t="e">
        <f>LARGE(AE70:AE85,AC78)</f>
        <v>#NUM!</v>
      </c>
      <c r="AG78" s="281" t="e">
        <f>VLOOKUP(AM78,Input!$AC:$AF,4,0)</f>
        <v>#NUM!</v>
      </c>
      <c r="AH78" s="281" t="e">
        <f>AG78&amp;COUNTIF(AG70:AG78,AG78)</f>
        <v>#NUM!</v>
      </c>
      <c r="AI78" s="281" t="e">
        <f t="shared" si="42"/>
        <v>#NUM!</v>
      </c>
      <c r="AJ78" s="281" t="e">
        <f>AI78&amp;COUNTIF(AI70:AI78,AI78)</f>
        <v>#NUM!</v>
      </c>
      <c r="AK78" s="281" t="str">
        <f>IFERROR(VLOOKUP(AM78,F12:F21,1,0),"B")</f>
        <v>B</v>
      </c>
      <c r="AL78" s="281" t="str">
        <f>AK78&amp;COUNTIF(AK70:AK78,AK78)</f>
        <v>B9</v>
      </c>
      <c r="AM78" s="281" t="e">
        <f t="array" ref="AM78">INDEX(AD$70:AD$85,SMALL(IF(AE$70:AE$85=AF78,ROW(AE$70:AE$85)-ROW(AF$70)+1),COUNTIF(AF$70:AF78,AF78)))</f>
        <v>#NUM!</v>
      </c>
      <c r="AN78" s="41" t="s">
        <v>599</v>
      </c>
      <c r="AO78" s="281" t="str">
        <f>IFERROR(VLOOKUP(F20,Input!$AC:$AH,6,0),"")</f>
        <v/>
      </c>
      <c r="AP78" s="289" t="str">
        <f>IFERROR(VLOOKUP(VLOOKUP(F20,Input!$AC:$AG,5,0),Schedule!$T$3:$U$34,2,0),"")</f>
        <v/>
      </c>
    </row>
    <row r="79" spans="1:42" x14ac:dyDescent="0.25">
      <c r="A79" s="41" t="s">
        <v>603</v>
      </c>
      <c r="B79" s="161">
        <f>IFERROR(INDEX(Input!$AE$2:$AE$161,MATCH(B24,Input!$AC$2:$AC$161,0)),0)</f>
        <v>0</v>
      </c>
      <c r="C79" s="162">
        <f>IFERROR(INDEX(Input!$AE$2:$AE$161,MATCH(C24,Input!$AC$2:$AC$161,0)),0)</f>
        <v>0</v>
      </c>
      <c r="D79" s="162">
        <f>IFERROR(INDEX(Input!$AE$2:$AE$161,MATCH(D24,Input!$AC$2:$AC$161,0)),0)</f>
        <v>0</v>
      </c>
      <c r="E79" s="162">
        <f>IFERROR(INDEX(Input!$AE$2:$AE$161,MATCH(E24,Input!$AC$2:$AC$161,0)),0)</f>
        <v>0</v>
      </c>
      <c r="F79" s="162">
        <f>IFERROR(INDEX(Input!$AE$2:$AE$161,MATCH(F24,Input!$AC$2:$AC$161,0)),0)</f>
        <v>0</v>
      </c>
      <c r="G79" s="162">
        <f>IFERROR(INDEX(Input!$AE$2:$AE$161,MATCH(G24,Input!$AC$2:$AC$161,0)),0)</f>
        <v>0</v>
      </c>
      <c r="H79" s="162">
        <f>IFERROR(INDEX(Input!$AE$2:$AE$161,MATCH(H24,Input!$AC$2:$AC$161,0)),0)</f>
        <v>0</v>
      </c>
      <c r="I79" s="162">
        <f>IFERROR(INDEX(Input!$AE$2:$AE$161,MATCH(I24,Input!$AC$2:$AC$161,0)),0)</f>
        <v>0</v>
      </c>
      <c r="J79" s="162">
        <f>IFERROR(INDEX(Input!$AE$2:$AE$161,MATCH(J24,Input!$AC$2:$AC$161,0)),0)</f>
        <v>0</v>
      </c>
      <c r="K79" s="163">
        <f>IFERROR(INDEX(Input!$AE$2:$AE$161,MATCH(K24,Input!$AC$2:$AC$161,0)),0)</f>
        <v>0</v>
      </c>
      <c r="L79" s="215" t="s">
        <v>870</v>
      </c>
      <c r="AC79" s="39">
        <v>10</v>
      </c>
      <c r="AD79" s="27" t="str">
        <f>IFERROR(VLOOKUP(AD$69&amp;AC79,Input!$AB:$AC,2,0),"")</f>
        <v/>
      </c>
      <c r="AE79" s="281" t="str">
        <f>IFERROR(VLOOKUP(AD79,Input!$AC:$AH,6,0),"")</f>
        <v/>
      </c>
      <c r="AF79" s="281" t="e">
        <f>LARGE(AE70:AE85,AC79)</f>
        <v>#NUM!</v>
      </c>
      <c r="AG79" s="281" t="e">
        <f>VLOOKUP(AM79,Input!$AC:$AF,4,0)</f>
        <v>#NUM!</v>
      </c>
      <c r="AH79" s="281" t="e">
        <f>AG79&amp;COUNTIF(AG70:AG79,AG79)</f>
        <v>#NUM!</v>
      </c>
      <c r="AI79" s="281" t="e">
        <f t="shared" si="42"/>
        <v>#NUM!</v>
      </c>
      <c r="AJ79" s="281" t="e">
        <f>AI79&amp;COUNTIF(AI70:AI79,AI79)</f>
        <v>#NUM!</v>
      </c>
      <c r="AK79" s="281" t="str">
        <f>IFERROR(VLOOKUP(AM79,F12:F21,1,0),"B")</f>
        <v>B</v>
      </c>
      <c r="AL79" s="281" t="str">
        <f>AK79&amp;COUNTIF(AK70:AK79,AK79)</f>
        <v>B10</v>
      </c>
      <c r="AM79" s="281" t="e">
        <f t="array" ref="AM79">INDEX(AD$70:AD$85,SMALL(IF(AE$70:AE$85=AF79,ROW(AE$70:AE$85)-ROW(AF$70)+1),COUNTIF(AF$70:AF79,AF79)))</f>
        <v>#NUM!</v>
      </c>
      <c r="AN79" s="41" t="s">
        <v>600</v>
      </c>
      <c r="AO79" s="281" t="str">
        <f>IFERROR(VLOOKUP(F21,Input!$AC:$AH,6,0),"")</f>
        <v/>
      </c>
      <c r="AP79" s="289" t="str">
        <f>IFERROR(VLOOKUP(VLOOKUP(F21,Input!$AC:$AG,5,0),Schedule!$T$3:$U$34,2,0),"")</f>
        <v/>
      </c>
    </row>
    <row r="80" spans="1:42" x14ac:dyDescent="0.25">
      <c r="A80" s="41" t="s">
        <v>604</v>
      </c>
      <c r="B80" s="161">
        <f>IFERROR(INDEX(Input!$AE$2:$AE$161,MATCH(B25,Input!$AC$2:$AC$161,0)),0)</f>
        <v>0</v>
      </c>
      <c r="C80" s="162">
        <f>IFERROR(INDEX(Input!$AE$2:$AE$161,MATCH(C25,Input!$AC$2:$AC$161,0)),0)</f>
        <v>0</v>
      </c>
      <c r="D80" s="162">
        <f>IFERROR(INDEX(Input!$AE$2:$AE$161,MATCH(D25,Input!$AC$2:$AC$161,0)),0)</f>
        <v>0</v>
      </c>
      <c r="E80" s="162">
        <f>IFERROR(INDEX(Input!$AE$2:$AE$161,MATCH(E25,Input!$AC$2:$AC$161,0)),0)</f>
        <v>0</v>
      </c>
      <c r="F80" s="162">
        <f>IFERROR(INDEX(Input!$AE$2:$AE$161,MATCH(F25,Input!$AC$2:$AC$161,0)),0)</f>
        <v>0</v>
      </c>
      <c r="G80" s="162">
        <f>IFERROR(INDEX(Input!$AE$2:$AE$161,MATCH(G25,Input!$AC$2:$AC$161,0)),0)</f>
        <v>0</v>
      </c>
      <c r="H80" s="162">
        <f>IFERROR(INDEX(Input!$AE$2:$AE$161,MATCH(H25,Input!$AC$2:$AC$161,0)),0)</f>
        <v>0</v>
      </c>
      <c r="I80" s="162">
        <f>IFERROR(INDEX(Input!$AE$2:$AE$161,MATCH(I25,Input!$AC$2:$AC$161,0)),0)</f>
        <v>0</v>
      </c>
      <c r="J80" s="162">
        <f>IFERROR(INDEX(Input!$AE$2:$AE$161,MATCH(J25,Input!$AC$2:$AC$161,0)),0)</f>
        <v>0</v>
      </c>
      <c r="K80" s="163">
        <f>IFERROR(INDEX(Input!$AE$2:$AE$161,MATCH(K25,Input!$AC$2:$AC$161,0)),0)</f>
        <v>0</v>
      </c>
      <c r="L80" s="217">
        <f>-SUM($B$77:$K$82)+COUNTIF($B$77:$K$82,"&gt;1")</f>
        <v>0</v>
      </c>
      <c r="AC80" s="39">
        <v>11</v>
      </c>
      <c r="AD80" s="27" t="str">
        <f>IFERROR(VLOOKUP(AD$69&amp;AC80,Input!$AB:$AC,2,0),"")</f>
        <v/>
      </c>
      <c r="AE80" s="281" t="str">
        <f>IFERROR(VLOOKUP(AD80,Input!$AC:$AH,6,0),"")</f>
        <v/>
      </c>
      <c r="AF80" s="281" t="e">
        <f>LARGE(AE70:AE85,AC80)</f>
        <v>#NUM!</v>
      </c>
      <c r="AG80" s="281" t="e">
        <f>VLOOKUP(AM80,Input!$AC:$AF,4,0)</f>
        <v>#NUM!</v>
      </c>
      <c r="AH80" s="281" t="e">
        <f>AG80&amp;COUNTIF(AG70:AG80,AG80)</f>
        <v>#NUM!</v>
      </c>
      <c r="AI80" s="281" t="e">
        <f t="shared" si="42"/>
        <v>#NUM!</v>
      </c>
      <c r="AJ80" s="281" t="e">
        <f>AI80&amp;COUNTIF(AI70:AI80,AI80)</f>
        <v>#NUM!</v>
      </c>
      <c r="AK80" s="281" t="str">
        <f>IFERROR(VLOOKUP(AM80,F12:F21,1,0),"B")</f>
        <v>B</v>
      </c>
      <c r="AL80" s="281" t="str">
        <f>AK80&amp;COUNTIF(AK70:AK80,AK80)</f>
        <v>B11</v>
      </c>
      <c r="AM80" s="281" t="e">
        <f t="array" ref="AM80">INDEX(AD$70:AD$85,SMALL(IF(AE$70:AE$85=AF80,ROW(AE$70:AE$85)-ROW(AF$70)+1),COUNTIF(AF$70:AF80,AF80)))</f>
        <v>#NUM!</v>
      </c>
      <c r="AN80" s="41" t="s">
        <v>601</v>
      </c>
      <c r="AO80" s="17" t="str">
        <f>IFERROR(VLOOKUP(F22,Input!$AC:$AH,6,0),"")</f>
        <v/>
      </c>
      <c r="AP80" s="289" t="str">
        <f>IFERROR(VLOOKUP(VLOOKUP(F22,Input!$AC:$AG,5,0),Schedule!$T$3:$U$34,2,0),"")</f>
        <v/>
      </c>
    </row>
    <row r="81" spans="1:42" x14ac:dyDescent="0.25">
      <c r="A81" s="41" t="s">
        <v>605</v>
      </c>
      <c r="B81" s="161">
        <f>IFERROR(INDEX(Input!$AE$2:$AE$161,MATCH(B26,Input!$AC$2:$AC$161,0)),0)</f>
        <v>0</v>
      </c>
      <c r="C81" s="162">
        <f>IFERROR(INDEX(Input!$AE$2:$AE$161,MATCH(C26,Input!$AC$2:$AC$161,0)),0)</f>
        <v>0</v>
      </c>
      <c r="D81" s="162">
        <f>IFERROR(INDEX(Input!$AE$2:$AE$161,MATCH(D26,Input!$AC$2:$AC$161,0)),0)</f>
        <v>0</v>
      </c>
      <c r="E81" s="162">
        <f>IFERROR(INDEX(Input!$AE$2:$AE$161,MATCH(E26,Input!$AC$2:$AC$161,0)),0)</f>
        <v>0</v>
      </c>
      <c r="F81" s="162">
        <f>IFERROR(INDEX(Input!$AE$2:$AE$161,MATCH(F26,Input!$AC$2:$AC$161,0)),0)</f>
        <v>0</v>
      </c>
      <c r="G81" s="162">
        <f>IFERROR(INDEX(Input!$AE$2:$AE$161,MATCH(G26,Input!$AC$2:$AC$161,0)),0)</f>
        <v>0</v>
      </c>
      <c r="H81" s="162">
        <f>IFERROR(INDEX(Input!$AE$2:$AE$161,MATCH(H26,Input!$AC$2:$AC$161,0)),0)</f>
        <v>0</v>
      </c>
      <c r="I81" s="162">
        <f>IFERROR(INDEX(Input!$AE$2:$AE$161,MATCH(I26,Input!$AC$2:$AC$161,0)),0)</f>
        <v>0</v>
      </c>
      <c r="J81" s="162">
        <f>IFERROR(INDEX(Input!$AE$2:$AE$161,MATCH(J26,Input!$AC$2:$AC$161,0)),0)</f>
        <v>0</v>
      </c>
      <c r="K81" s="163">
        <f>IFERROR(INDEX(Input!$AE$2:$AE$161,MATCH(K26,Input!$AC$2:$AC$161,0)),0)</f>
        <v>0</v>
      </c>
      <c r="L81" s="151" t="s">
        <v>871</v>
      </c>
      <c r="AC81" s="39">
        <v>12</v>
      </c>
      <c r="AD81" s="27" t="str">
        <f>IFERROR(VLOOKUP(AD$69&amp;AC81,Input!$AB:$AC,2,0),"")</f>
        <v/>
      </c>
      <c r="AE81" s="281" t="str">
        <f>IFERROR(VLOOKUP(AD81,Input!$AC:$AH,6,0),"")</f>
        <v/>
      </c>
      <c r="AF81" s="281" t="e">
        <f>LARGE(AE70:AE85,AC81)</f>
        <v>#NUM!</v>
      </c>
      <c r="AG81" s="281" t="e">
        <f>VLOOKUP(AM81,Input!$AC:$AF,4,0)</f>
        <v>#NUM!</v>
      </c>
      <c r="AH81" s="281" t="e">
        <f>AG81&amp;COUNTIF(AG70:AG81,AG81)</f>
        <v>#NUM!</v>
      </c>
      <c r="AI81" s="281" t="e">
        <f t="shared" si="42"/>
        <v>#NUM!</v>
      </c>
      <c r="AJ81" s="281" t="e">
        <f>AI81&amp;COUNTIF(AI70:AI81,AI81)</f>
        <v>#NUM!</v>
      </c>
      <c r="AK81" s="281" t="str">
        <f>IFERROR(VLOOKUP(AM81,F12:F21,1,0),"B")</f>
        <v>B</v>
      </c>
      <c r="AL81" s="281" t="str">
        <f>AK81&amp;COUNTIF(AK70:AK81,AK81)</f>
        <v>B12</v>
      </c>
      <c r="AM81" s="281" t="e">
        <f t="array" ref="AM81">INDEX(AD$70:AD$85,SMALL(IF(AE$70:AE$85=AF81,ROW(AE$70:AE$85)-ROW(AF$70)+1),COUNTIF(AF$70:AF81,AF81)))</f>
        <v>#NUM!</v>
      </c>
      <c r="AN81" s="41" t="s">
        <v>602</v>
      </c>
      <c r="AO81" s="17"/>
      <c r="AP81" s="289" t="str">
        <f>IFERROR(VLOOKUP(VLOOKUP(F23,Input!$AC:$AG,5,0),Schedule!$T$3:$U$34,2,0),"")</f>
        <v/>
      </c>
    </row>
    <row r="82" spans="1:42" ht="15.75" thickBot="1" x14ac:dyDescent="0.3">
      <c r="A82" s="42" t="s">
        <v>606</v>
      </c>
      <c r="B82" s="164">
        <f>IFERROR(INDEX(Input!$AE$2:$AE$161,MATCH(B27,Input!$AC$2:$AC$161,0)),0)</f>
        <v>0</v>
      </c>
      <c r="C82" s="165">
        <f>IFERROR(INDEX(Input!$AE$2:$AE$161,MATCH(C27,Input!$AC$2:$AC$161,0)),0)</f>
        <v>0</v>
      </c>
      <c r="D82" s="165">
        <f>IFERROR(INDEX(Input!$AE$2:$AE$161,MATCH(D27,Input!$AC$2:$AC$161,0)),0)</f>
        <v>0</v>
      </c>
      <c r="E82" s="165">
        <f>IFERROR(INDEX(Input!$AE$2:$AE$161,MATCH(E27,Input!$AC$2:$AC$161,0)),0)</f>
        <v>0</v>
      </c>
      <c r="F82" s="165">
        <f>IFERROR(INDEX(Input!$AE$2:$AE$161,MATCH(F27,Input!$AC$2:$AC$161,0)),0)</f>
        <v>0</v>
      </c>
      <c r="G82" s="165">
        <f>IFERROR(INDEX(Input!$AE$2:$AE$161,MATCH(G27,Input!$AC$2:$AC$161,0)),0)</f>
        <v>0</v>
      </c>
      <c r="H82" s="165">
        <f>IFERROR(INDEX(Input!$AE$2:$AE$161,MATCH(H27,Input!$AC$2:$AC$161,0)),0)</f>
        <v>0</v>
      </c>
      <c r="I82" s="165">
        <f>IFERROR(INDEX(Input!$AE$2:$AE$161,MATCH(I27,Input!$AC$2:$AC$161,0)),0)</f>
        <v>0</v>
      </c>
      <c r="J82" s="165">
        <f>IFERROR(INDEX(Input!$AE$2:$AE$161,MATCH(J27,Input!$AC$2:$AC$161,0)),0)</f>
        <v>0</v>
      </c>
      <c r="K82" s="166">
        <f>IFERROR(INDEX(Input!$AE$2:$AE$161,MATCH(K27,Input!$AC$2:$AC$161,0)),0)</f>
        <v>0</v>
      </c>
      <c r="L82" s="216">
        <f>SUM(B83:K83)</f>
        <v>0</v>
      </c>
      <c r="AC82" s="39">
        <v>13</v>
      </c>
      <c r="AD82" s="27" t="str">
        <f>IFERROR(VLOOKUP(AD$69&amp;AC82,Input!$AB:$AC,2,0),"")</f>
        <v/>
      </c>
      <c r="AE82" s="281" t="str">
        <f>IFERROR(VLOOKUP(AD82,Input!$AC:$AH,6,0),"")</f>
        <v/>
      </c>
      <c r="AF82" s="281" t="e">
        <f>LARGE(AE70:AE85,AC82)</f>
        <v>#NUM!</v>
      </c>
      <c r="AG82" s="281" t="e">
        <f>VLOOKUP(AM82,Input!$AC:$AF,4,0)</f>
        <v>#NUM!</v>
      </c>
      <c r="AH82" s="281" t="e">
        <f>AG82&amp;COUNTIF(AG70:AG82,AG82)</f>
        <v>#NUM!</v>
      </c>
      <c r="AI82" s="281" t="e">
        <f t="shared" si="42"/>
        <v>#NUM!</v>
      </c>
      <c r="AJ82" s="281" t="e">
        <f>AI82&amp;COUNTIF(AI70:AI82,AI82)</f>
        <v>#NUM!</v>
      </c>
      <c r="AK82" s="281" t="str">
        <f>IFERROR(VLOOKUP(AM82,F12:F21,1,0),"B")</f>
        <v>B</v>
      </c>
      <c r="AL82" s="281" t="str">
        <f>AK82&amp;COUNTIF(AK70:AK82,AK82)</f>
        <v>B13</v>
      </c>
      <c r="AM82" s="281" t="e">
        <f t="array" ref="AM82">INDEX(AD$70:AD$85,SMALL(IF(AE$70:AE$85=AF82,ROW(AE$70:AE$85)-ROW(AF$70)+1),COUNTIF(AF$70:AF82,AF82)))</f>
        <v>#NUM!</v>
      </c>
      <c r="AN82" s="41" t="s">
        <v>603</v>
      </c>
      <c r="AO82" s="17"/>
      <c r="AP82" s="289" t="str">
        <f>IFERROR(VLOOKUP(VLOOKUP(F24,Input!$AC:$AG,5,0),Schedule!$T$3:$U$34,2,0),"")</f>
        <v/>
      </c>
    </row>
    <row r="83" spans="1:42" ht="15.75" thickBot="1" x14ac:dyDescent="0.3">
      <c r="A83" s="114"/>
      <c r="B83" s="213">
        <f t="shared" ref="B83:K83" si="43">IF(COUNTIF(B12:B27,$L$83)&gt;0,0,B28)</f>
        <v>0</v>
      </c>
      <c r="C83" s="213">
        <f t="shared" si="43"/>
        <v>0</v>
      </c>
      <c r="D83" s="213">
        <f t="shared" si="43"/>
        <v>0</v>
      </c>
      <c r="E83" s="213">
        <f t="shared" si="43"/>
        <v>0</v>
      </c>
      <c r="F83" s="213">
        <f t="shared" si="43"/>
        <v>0</v>
      </c>
      <c r="G83" s="213">
        <f t="shared" si="43"/>
        <v>0</v>
      </c>
      <c r="H83" s="213">
        <f t="shared" si="43"/>
        <v>0</v>
      </c>
      <c r="I83" s="213">
        <f t="shared" si="43"/>
        <v>0</v>
      </c>
      <c r="J83" s="213">
        <f t="shared" si="43"/>
        <v>0</v>
      </c>
      <c r="K83" s="214">
        <f t="shared" si="43"/>
        <v>0</v>
      </c>
      <c r="L83" s="127" t="str">
        <f>""</f>
        <v/>
      </c>
      <c r="AC83" s="39">
        <v>14</v>
      </c>
      <c r="AD83" s="27" t="str">
        <f>IFERROR(VLOOKUP(AD$69&amp;AC83,Input!$AB:$AC,2,0),"")</f>
        <v/>
      </c>
      <c r="AE83" s="281" t="str">
        <f>IFERROR(VLOOKUP(AD83,Input!$AC:$AH,6,0),"")</f>
        <v/>
      </c>
      <c r="AF83" s="281" t="e">
        <f>LARGE(AE70:AE85,AC83)</f>
        <v>#NUM!</v>
      </c>
      <c r="AG83" s="281" t="e">
        <f>VLOOKUP(AM83,Input!$AC:$AF,4,0)</f>
        <v>#NUM!</v>
      </c>
      <c r="AH83" s="281" t="e">
        <f>AG83&amp;COUNTIF(AG70:AG83,AG83)</f>
        <v>#NUM!</v>
      </c>
      <c r="AI83" s="281" t="e">
        <f t="shared" si="42"/>
        <v>#NUM!</v>
      </c>
      <c r="AJ83" s="281" t="e">
        <f>AI83&amp;COUNTIF(AI70:AI83,AI83)</f>
        <v>#NUM!</v>
      </c>
      <c r="AK83" s="281" t="str">
        <f>IFERROR(VLOOKUP(AM83,F12:F21,1,0),"B")</f>
        <v>B</v>
      </c>
      <c r="AL83" s="281" t="str">
        <f>AK83&amp;COUNTIF(AK70:AK83,AK83)</f>
        <v>B14</v>
      </c>
      <c r="AM83" s="281" t="e">
        <f t="array" ref="AM83">INDEX(AD$70:AD$85,SMALL(IF(AE$70:AE$85=AF83,ROW(AE$70:AE$85)-ROW(AF$70)+1),COUNTIF(AF$70:AF83,AF83)))</f>
        <v>#NUM!</v>
      </c>
      <c r="AN83" s="41" t="s">
        <v>604</v>
      </c>
      <c r="AO83" s="17"/>
      <c r="AP83" s="289" t="str">
        <f>IFERROR(VLOOKUP(VLOOKUP(F25,Input!$AC:$AG,5,0),Schedule!$T$3:$U$34,2,0),"")</f>
        <v/>
      </c>
    </row>
    <row r="84" spans="1:42" ht="15.75" thickBot="1" x14ac:dyDescent="0.3">
      <c r="A84" s="94" t="s">
        <v>740</v>
      </c>
      <c r="B84" s="98">
        <f t="shared" ref="B84:K84" si="44">SUM(B85:B94)</f>
        <v>0</v>
      </c>
      <c r="C84" s="99">
        <f t="shared" si="44"/>
        <v>0</v>
      </c>
      <c r="D84" s="99">
        <f t="shared" si="44"/>
        <v>0</v>
      </c>
      <c r="E84" s="99">
        <f t="shared" si="44"/>
        <v>0</v>
      </c>
      <c r="F84" s="99">
        <f t="shared" si="44"/>
        <v>0</v>
      </c>
      <c r="G84" s="99">
        <f t="shared" si="44"/>
        <v>0</v>
      </c>
      <c r="H84" s="99">
        <f t="shared" si="44"/>
        <v>0</v>
      </c>
      <c r="I84" s="99">
        <f t="shared" si="44"/>
        <v>0</v>
      </c>
      <c r="J84" s="99">
        <f t="shared" si="44"/>
        <v>0</v>
      </c>
      <c r="K84" s="100">
        <f t="shared" si="44"/>
        <v>0</v>
      </c>
      <c r="L84" s="223" t="s">
        <v>875</v>
      </c>
      <c r="AC84" s="39">
        <v>15</v>
      </c>
      <c r="AD84" s="27" t="str">
        <f>IFERROR(VLOOKUP(AD$69&amp;AC84,Input!$AB:$AC,2,0),"")</f>
        <v/>
      </c>
      <c r="AE84" s="281" t="str">
        <f>IFERROR(VLOOKUP(AD84,Input!$AC:$AH,6,0),"")</f>
        <v/>
      </c>
      <c r="AF84" s="281" t="e">
        <f>LARGE(AE70:AE85,AC84)</f>
        <v>#NUM!</v>
      </c>
      <c r="AG84" s="281" t="e">
        <f>VLOOKUP(AM84,Input!$AC:$AF,4,0)</f>
        <v>#NUM!</v>
      </c>
      <c r="AH84" s="281" t="e">
        <f>AG84&amp;COUNTIF(AG70:AG84,AG84)</f>
        <v>#NUM!</v>
      </c>
      <c r="AI84" s="281" t="e">
        <f t="shared" si="42"/>
        <v>#NUM!</v>
      </c>
      <c r="AJ84" s="281" t="e">
        <f>AI84&amp;COUNTIF(AI70:AI84,AI84)</f>
        <v>#NUM!</v>
      </c>
      <c r="AK84" s="281" t="str">
        <f>IFERROR(VLOOKUP(AM84,F12:F21,1,0),"B")</f>
        <v>B</v>
      </c>
      <c r="AL84" s="281" t="str">
        <f>AK84&amp;COUNTIF(AK70:AK84,AK84)</f>
        <v>B15</v>
      </c>
      <c r="AM84" s="281" t="e">
        <f t="array" ref="AM84">INDEX(AD$70:AD$85,SMALL(IF(AE$70:AE$85=AF84,ROW(AE$70:AE$85)-ROW(AF$70)+1),COUNTIF(AF$70:AF84,AF84)))</f>
        <v>#NUM!</v>
      </c>
      <c r="AN84" s="41" t="s">
        <v>605</v>
      </c>
      <c r="AO84" s="17"/>
      <c r="AP84" s="289" t="str">
        <f>IFERROR(VLOOKUP(VLOOKUP(F26,Input!$AC:$AG,5,0),Schedule!$T$3:$U$34,2,0),"")</f>
        <v/>
      </c>
    </row>
    <row r="85" spans="1:42" ht="15.75" thickBot="1" x14ac:dyDescent="0.3">
      <c r="A85" s="38" t="s">
        <v>591</v>
      </c>
      <c r="B85" s="168">
        <f>IFERROR(INDEX(Players!$BY:$BY,MATCH(B12,Players!$B:$B,0)),0)</f>
        <v>0</v>
      </c>
      <c r="C85" s="169">
        <f>IFERROR(INDEX(Players!$BY:$BY,MATCH(C12,Players!$B:$B,0)),0)</f>
        <v>0</v>
      </c>
      <c r="D85" s="169">
        <f>IFERROR(INDEX(Players!$BY:$BY,MATCH(D12,Players!$B:$B,0)),0)</f>
        <v>0</v>
      </c>
      <c r="E85" s="169">
        <f>IFERROR(INDEX(Players!$BY:$BY,MATCH(E12,Players!$B:$B,0)),0)</f>
        <v>0</v>
      </c>
      <c r="F85" s="169">
        <f>IFERROR(INDEX(Players!$BY:$BY,MATCH(F12,Players!$B:$B,0)),0)</f>
        <v>0</v>
      </c>
      <c r="G85" s="169">
        <f>IFERROR(INDEX(Players!$BY:$BY,MATCH(G12,Players!$B:$B,0)),0)</f>
        <v>0</v>
      </c>
      <c r="H85" s="169">
        <f>IFERROR(INDEX(Players!$BY:$BY,MATCH(H12,Players!$B:$B,0)),0)</f>
        <v>0</v>
      </c>
      <c r="I85" s="169">
        <f>IFERROR(INDEX(Players!$BY:$BY,MATCH(I12,Players!$B:$B,0)),0)</f>
        <v>0</v>
      </c>
      <c r="J85" s="169">
        <f>IFERROR(INDEX(Players!$BY:$BY,MATCH(J12,Players!$B:$B,0)),0)</f>
        <v>0</v>
      </c>
      <c r="K85" s="170">
        <f>IFERROR(INDEX(Players!$BY:$BY,MATCH(K12,Players!$B:$B,0)),0)</f>
        <v>0</v>
      </c>
      <c r="L85" s="19"/>
      <c r="AC85" s="40">
        <v>16</v>
      </c>
      <c r="AD85" s="29" t="str">
        <f>IFERROR(VLOOKUP(AD$69&amp;AC85,Input!$AB:$AC,2,0),"")</f>
        <v/>
      </c>
      <c r="AE85" s="282" t="str">
        <f>IFERROR(VLOOKUP(AD85,Input!$AC:$AH,6,0),"")</f>
        <v/>
      </c>
      <c r="AF85" s="281" t="e">
        <f>LARGE(AE70:AE85,AC85)</f>
        <v>#NUM!</v>
      </c>
      <c r="AG85" s="282" t="e">
        <f>VLOOKUP(AM85,Input!$AC:$AF,4,0)</f>
        <v>#NUM!</v>
      </c>
      <c r="AH85" s="282" t="e">
        <f>AG85&amp;COUNTIF(AG70:AG85,AG85)</f>
        <v>#NUM!</v>
      </c>
      <c r="AI85" s="282" t="e">
        <f t="shared" si="42"/>
        <v>#NUM!</v>
      </c>
      <c r="AJ85" s="282" t="e">
        <f>AI85&amp;COUNTIF(AI70:AI85,AI85)</f>
        <v>#NUM!</v>
      </c>
      <c r="AK85" s="282" t="str">
        <f>IFERROR(VLOOKUP(AM85,F12:F21,1,0),"B")</f>
        <v>B</v>
      </c>
      <c r="AL85" s="282" t="str">
        <f>AK85&amp;COUNTIF(AK70:AK85,AK85)</f>
        <v>B16</v>
      </c>
      <c r="AM85" s="282" t="e">
        <f t="array" ref="AM85">INDEX(AD$70:AD$85,SMALL(IF(AE$70:AE$85=AF85,ROW(AE$70:AE$85)-ROW(AF$70)+1),COUNTIF(AF$70:AF85,AF85)))</f>
        <v>#NUM!</v>
      </c>
      <c r="AN85" s="42" t="s">
        <v>606</v>
      </c>
      <c r="AO85" s="283"/>
      <c r="AP85" s="290" t="str">
        <f>IFERROR(VLOOKUP(VLOOKUP(F27,Input!$AC:$AG,5,0),Schedule!$T$3:$U$34,2,0),"")</f>
        <v/>
      </c>
    </row>
    <row r="86" spans="1:42" ht="15.75" thickBot="1" x14ac:dyDescent="0.3">
      <c r="A86" s="39" t="s">
        <v>592</v>
      </c>
      <c r="B86" s="171">
        <f>IFERROR(INDEX(Players!$BY:$BY,MATCH(B13,Players!$B:$B,0)),0)</f>
        <v>0</v>
      </c>
      <c r="C86" s="172">
        <f>IFERROR(INDEX(Players!$BY:$BY,MATCH(C13,Players!$B:$B,0)),0)</f>
        <v>0</v>
      </c>
      <c r="D86" s="172">
        <f>IFERROR(INDEX(Players!$BY:$BY,MATCH(D13,Players!$B:$B,0)),0)</f>
        <v>0</v>
      </c>
      <c r="E86" s="172">
        <f>IFERROR(INDEX(Players!$BY:$BY,MATCH(E13,Players!$B:$B,0)),0)</f>
        <v>0</v>
      </c>
      <c r="F86" s="172">
        <f>IFERROR(INDEX(Players!$BY:$BY,MATCH(F13,Players!$B:$B,0)),0)</f>
        <v>0</v>
      </c>
      <c r="G86" s="172">
        <f>IFERROR(INDEX(Players!$BY:$BY,MATCH(G13,Players!$B:$B,0)),0)</f>
        <v>0</v>
      </c>
      <c r="H86" s="172">
        <f>IFERROR(INDEX(Players!$BY:$BY,MATCH(H13,Players!$B:$B,0)),0)</f>
        <v>0</v>
      </c>
      <c r="I86" s="172">
        <f>IFERROR(INDEX(Players!$BY:$BY,MATCH(I13,Players!$B:$B,0)),0)</f>
        <v>0</v>
      </c>
      <c r="J86" s="172">
        <f>IFERROR(INDEX(Players!$BY:$BY,MATCH(J13,Players!$B:$B,0)),0)</f>
        <v>0</v>
      </c>
      <c r="K86" s="173">
        <f>IFERROR(INDEX(Players!$BY:$BY,MATCH(K13,Players!$B:$B,0)),0)</f>
        <v>0</v>
      </c>
      <c r="L86" s="19"/>
      <c r="AC86" s="284"/>
      <c r="AD86" s="285" t="str">
        <f>Input!BE1</f>
        <v>Team 7</v>
      </c>
      <c r="AE86" s="286" t="s">
        <v>5</v>
      </c>
      <c r="AF86" s="286" t="s">
        <v>905</v>
      </c>
      <c r="AG86" s="286" t="s">
        <v>904</v>
      </c>
      <c r="AH86" s="286" t="s">
        <v>906</v>
      </c>
      <c r="AI86" s="286" t="s">
        <v>907</v>
      </c>
      <c r="AJ86" s="286" t="s">
        <v>908</v>
      </c>
      <c r="AK86" s="286" t="s">
        <v>658</v>
      </c>
      <c r="AL86" s="286" t="s">
        <v>909</v>
      </c>
      <c r="AM86" s="286" t="s">
        <v>910</v>
      </c>
      <c r="AN86" s="287" t="s">
        <v>904</v>
      </c>
      <c r="AO86" s="287" t="s">
        <v>5</v>
      </c>
      <c r="AP86" s="288" t="s">
        <v>728</v>
      </c>
    </row>
    <row r="87" spans="1:42" x14ac:dyDescent="0.25">
      <c r="A87" s="39" t="s">
        <v>593</v>
      </c>
      <c r="B87" s="171">
        <f>IFERROR(INDEX(Players!$BY:$BY,MATCH(B14,Players!$B:$B,0)),0)</f>
        <v>0</v>
      </c>
      <c r="C87" s="172">
        <f>IFERROR(INDEX(Players!$BY:$BY,MATCH(C14,Players!$B:$B,0)),0)</f>
        <v>0</v>
      </c>
      <c r="D87" s="172">
        <f>IFERROR(INDEX(Players!$BY:$BY,MATCH(D14,Players!$B:$B,0)),0)</f>
        <v>0</v>
      </c>
      <c r="E87" s="172">
        <f>IFERROR(INDEX(Players!$BY:$BY,MATCH(E14,Players!$B:$B,0)),0)</f>
        <v>0</v>
      </c>
      <c r="F87" s="172">
        <f>IFERROR(INDEX(Players!$BY:$BY,MATCH(F14,Players!$B:$B,0)),0)</f>
        <v>0</v>
      </c>
      <c r="G87" s="172">
        <f>IFERROR(INDEX(Players!$BY:$BY,MATCH(G14,Players!$B:$B,0)),0)</f>
        <v>0</v>
      </c>
      <c r="H87" s="172">
        <f>IFERROR(INDEX(Players!$BY:$BY,MATCH(H14,Players!$B:$B,0)),0)</f>
        <v>0</v>
      </c>
      <c r="I87" s="172">
        <f>IFERROR(INDEX(Players!$BY:$BY,MATCH(I14,Players!$B:$B,0)),0)</f>
        <v>0</v>
      </c>
      <c r="J87" s="172">
        <f>IFERROR(INDEX(Players!$BY:$BY,MATCH(J14,Players!$B:$B,0)),0)</f>
        <v>0</v>
      </c>
      <c r="K87" s="173">
        <f>IFERROR(INDEX(Players!$BY:$BY,MATCH(K14,Players!$B:$B,0)),0)</f>
        <v>0</v>
      </c>
      <c r="L87" s="19"/>
      <c r="AC87" s="39">
        <v>1</v>
      </c>
      <c r="AD87" s="27" t="str">
        <f>IFERROR(VLOOKUP(AD$86&amp;AC87,Input!$AB:$AC,2,0),"")</f>
        <v/>
      </c>
      <c r="AE87" s="281" t="str">
        <f>IFERROR(VLOOKUP(AD87,Input!$AC:$AH,6,0),"")</f>
        <v/>
      </c>
      <c r="AF87" s="281" t="e">
        <f>LARGE(AE87:AE102,AC87)</f>
        <v>#NUM!</v>
      </c>
      <c r="AG87" s="281" t="e">
        <f>VLOOKUP(AM87,Input!$AC:$AF,4,0)</f>
        <v>#NUM!</v>
      </c>
      <c r="AH87" s="281" t="e">
        <f>AG87&amp;COUNTIF(AG87:AG87,AG87)</f>
        <v>#NUM!</v>
      </c>
      <c r="AI87" s="281" t="e">
        <f t="shared" ref="AI87:AI102" si="45">IF(AH87="RB3","F",IF(AH87="WR3","F",IF(AH87="TE2","F",0)))</f>
        <v>#NUM!</v>
      </c>
      <c r="AJ87" s="281" t="e">
        <f>AI87&amp;COUNTIF(AI87:AI87,AI87)</f>
        <v>#NUM!</v>
      </c>
      <c r="AK87" s="281" t="str">
        <f>IFERROR(VLOOKUP(AM87,G12:G21,1,0),"B")</f>
        <v>B</v>
      </c>
      <c r="AL87" s="281" t="str">
        <f>AK87&amp;COUNTIF(AK87:AK87,AK87)</f>
        <v>B1</v>
      </c>
      <c r="AM87" s="281" t="e">
        <f t="array" ref="AM87">INDEX(AD$87:AD$102,SMALL(IF(AE$87:AE$102=AF87,ROW(AE$87:AE$102)-ROW(AF$87)+1),COUNTIF(AF$87:AF87,AF87)))</f>
        <v>#NUM!</v>
      </c>
      <c r="AN87" s="39" t="s">
        <v>591</v>
      </c>
      <c r="AO87" s="281" t="str">
        <f>IFERROR(VLOOKUP(G12,Input!$AC:$AH,6,0),"")</f>
        <v/>
      </c>
      <c r="AP87" s="289" t="str">
        <f>IFERROR(VLOOKUP(VLOOKUP(G12,Input!$AC:$AG,5,0),Schedule!$T$3:$U$34,2,0),"")</f>
        <v/>
      </c>
    </row>
    <row r="88" spans="1:42" x14ac:dyDescent="0.25">
      <c r="A88" s="41" t="s">
        <v>594</v>
      </c>
      <c r="B88" s="171">
        <f>IFERROR(INDEX(Players!$BY:$BY,MATCH(B15,Players!$B:$B,0)),0)</f>
        <v>0</v>
      </c>
      <c r="C88" s="172">
        <f>IFERROR(INDEX(Players!$BY:$BY,MATCH(C15,Players!$B:$B,0)),0)</f>
        <v>0</v>
      </c>
      <c r="D88" s="172">
        <f>IFERROR(INDEX(Players!$BY:$BY,MATCH(D15,Players!$B:$B,0)),0)</f>
        <v>0</v>
      </c>
      <c r="E88" s="172">
        <f>IFERROR(INDEX(Players!$BY:$BY,MATCH(E15,Players!$B:$B,0)),0)</f>
        <v>0</v>
      </c>
      <c r="F88" s="172">
        <f>IFERROR(INDEX(Players!$BY:$BY,MATCH(F15,Players!$B:$B,0)),0)</f>
        <v>0</v>
      </c>
      <c r="G88" s="172">
        <f>IFERROR(INDEX(Players!$BY:$BY,MATCH(G15,Players!$B:$B,0)),0)</f>
        <v>0</v>
      </c>
      <c r="H88" s="172">
        <f>IFERROR(INDEX(Players!$BY:$BY,MATCH(H15,Players!$B:$B,0)),0)</f>
        <v>0</v>
      </c>
      <c r="I88" s="172">
        <f>IFERROR(INDEX(Players!$BY:$BY,MATCH(I15,Players!$B:$B,0)),0)</f>
        <v>0</v>
      </c>
      <c r="J88" s="172">
        <f>IFERROR(INDEX(Players!$BY:$BY,MATCH(J15,Players!$B:$B,0)),0)</f>
        <v>0</v>
      </c>
      <c r="K88" s="173">
        <f>IFERROR(INDEX(Players!$BY:$BY,MATCH(K15,Players!$B:$B,0)),0)</f>
        <v>0</v>
      </c>
      <c r="L88" s="19"/>
      <c r="AC88" s="39">
        <v>2</v>
      </c>
      <c r="AD88" s="27" t="str">
        <f>IFERROR(VLOOKUP(AD$86&amp;AC88,Input!$AB:$AC,2,0),"")</f>
        <v/>
      </c>
      <c r="AE88" s="281" t="str">
        <f>IFERROR(VLOOKUP(AD88,Input!$AC:$AH,6,0),"")</f>
        <v/>
      </c>
      <c r="AF88" s="281" t="e">
        <f>LARGE(AE87:AE102,AC88)</f>
        <v>#NUM!</v>
      </c>
      <c r="AG88" s="281" t="e">
        <f>VLOOKUP(AM88,Input!$AC:$AF,4,0)</f>
        <v>#NUM!</v>
      </c>
      <c r="AH88" s="281" t="e">
        <f>AG88&amp;COUNTIF(AG87:AG88,AG88)</f>
        <v>#NUM!</v>
      </c>
      <c r="AI88" s="281" t="e">
        <f t="shared" si="45"/>
        <v>#NUM!</v>
      </c>
      <c r="AJ88" s="281" t="e">
        <f>AI88&amp;COUNTIF(AI87:AI88,AI88)</f>
        <v>#NUM!</v>
      </c>
      <c r="AK88" s="281" t="str">
        <f>IFERROR(VLOOKUP(AM88,G12:G21,1,0),"B")</f>
        <v>B</v>
      </c>
      <c r="AL88" s="281" t="str">
        <f>AK88&amp;COUNTIF(AK87:AK88,AK88)</f>
        <v>B2</v>
      </c>
      <c r="AM88" s="281" t="e">
        <f t="array" ref="AM88">INDEX(AD$87:AD$102,SMALL(IF(AE$87:AE$102=AF88,ROW(AE$87:AE$102)-ROW(AF$87)+1),COUNTIF(AF$87:AF88,AF88)))</f>
        <v>#NUM!</v>
      </c>
      <c r="AN88" s="39" t="s">
        <v>592</v>
      </c>
      <c r="AO88" s="281" t="str">
        <f>IFERROR(VLOOKUP(G13,Input!$AC:$AH,6,0),"")</f>
        <v/>
      </c>
      <c r="AP88" s="289" t="str">
        <f>IFERROR(VLOOKUP(VLOOKUP(G13,Input!$AC:$AG,5,0),Schedule!$T$3:$U$34,2,0),"")</f>
        <v/>
      </c>
    </row>
    <row r="89" spans="1:42" x14ac:dyDescent="0.25">
      <c r="A89" s="41" t="s">
        <v>595</v>
      </c>
      <c r="B89" s="171">
        <f>IFERROR(INDEX(Players!$BY:$BY,MATCH(B16,Players!$B:$B,0)),0)</f>
        <v>0</v>
      </c>
      <c r="C89" s="172">
        <f>IFERROR(INDEX(Players!$BY:$BY,MATCH(C16,Players!$B:$B,0)),0)</f>
        <v>0</v>
      </c>
      <c r="D89" s="172">
        <f>IFERROR(INDEX(Players!$BY:$BY,MATCH(D16,Players!$B:$B,0)),0)</f>
        <v>0</v>
      </c>
      <c r="E89" s="172">
        <f>IFERROR(INDEX(Players!$BY:$BY,MATCH(E16,Players!$B:$B,0)),0)</f>
        <v>0</v>
      </c>
      <c r="F89" s="172">
        <f>IFERROR(INDEX(Players!$BY:$BY,MATCH(F16,Players!$B:$B,0)),0)</f>
        <v>0</v>
      </c>
      <c r="G89" s="172">
        <f>IFERROR(INDEX(Players!$BY:$BY,MATCH(G16,Players!$B:$B,0)),0)</f>
        <v>0</v>
      </c>
      <c r="H89" s="172">
        <f>IFERROR(INDEX(Players!$BY:$BY,MATCH(H16,Players!$B:$B,0)),0)</f>
        <v>0</v>
      </c>
      <c r="I89" s="172">
        <f>IFERROR(INDEX(Players!$BY:$BY,MATCH(I16,Players!$B:$B,0)),0)</f>
        <v>0</v>
      </c>
      <c r="J89" s="172">
        <f>IFERROR(INDEX(Players!$BY:$BY,MATCH(J16,Players!$B:$B,0)),0)</f>
        <v>0</v>
      </c>
      <c r="K89" s="173">
        <f>IFERROR(INDEX(Players!$BY:$BY,MATCH(K16,Players!$B:$B,0)),0)</f>
        <v>0</v>
      </c>
      <c r="L89" s="19"/>
      <c r="AC89" s="39">
        <v>3</v>
      </c>
      <c r="AD89" s="27" t="str">
        <f>IFERROR(VLOOKUP(AD$86&amp;AC89,Input!$AB:$AC,2,0),"")</f>
        <v/>
      </c>
      <c r="AE89" s="281" t="str">
        <f>IFERROR(VLOOKUP(AD89,Input!$AC:$AH,6,0),"")</f>
        <v/>
      </c>
      <c r="AF89" s="281" t="e">
        <f>LARGE(AE87:AE102,AC89)</f>
        <v>#NUM!</v>
      </c>
      <c r="AG89" s="281" t="e">
        <f>VLOOKUP(AM89,Input!$AC:$AF,4,0)</f>
        <v>#NUM!</v>
      </c>
      <c r="AH89" s="281" t="e">
        <f>AG89&amp;COUNTIF(AG87:AG89,AG89)</f>
        <v>#NUM!</v>
      </c>
      <c r="AI89" s="281" t="e">
        <f t="shared" si="45"/>
        <v>#NUM!</v>
      </c>
      <c r="AJ89" s="281" t="e">
        <f>AI89&amp;COUNTIF(AI87:AI89,AI89)</f>
        <v>#NUM!</v>
      </c>
      <c r="AK89" s="281" t="str">
        <f>IFERROR(VLOOKUP(AM89,G12:G21,1,0),"B")</f>
        <v>B</v>
      </c>
      <c r="AL89" s="281" t="str">
        <f>AK89&amp;COUNTIF(AK87:AK89,AK89)</f>
        <v>B3</v>
      </c>
      <c r="AM89" s="281" t="e">
        <f t="array" ref="AM89">INDEX(AD$87:AD$102,SMALL(IF(AE$87:AE$102=AF89,ROW(AE$87:AE$102)-ROW(AF$87)+1),COUNTIF(AF$87:AF89,AF89)))</f>
        <v>#NUM!</v>
      </c>
      <c r="AN89" s="39" t="s">
        <v>593</v>
      </c>
      <c r="AO89" s="281" t="str">
        <f>IFERROR(VLOOKUP(G14,Input!$AC:$AH,6,0),"")</f>
        <v/>
      </c>
      <c r="AP89" s="289" t="str">
        <f>IFERROR(VLOOKUP(VLOOKUP(G14,Input!$AC:$AG,5,0),Schedule!$T$3:$U$34,2,0),"")</f>
        <v/>
      </c>
    </row>
    <row r="90" spans="1:42" x14ac:dyDescent="0.25">
      <c r="A90" s="41" t="s">
        <v>596</v>
      </c>
      <c r="B90" s="171">
        <f>IFERROR(INDEX(Players!$BY:$BY,MATCH(B17,Players!$B:$B,0)),0)</f>
        <v>0</v>
      </c>
      <c r="C90" s="172">
        <f>IFERROR(INDEX(Players!$BY:$BY,MATCH(C17,Players!$B:$B,0)),0)</f>
        <v>0</v>
      </c>
      <c r="D90" s="172">
        <f>IFERROR(INDEX(Players!$BY:$BY,MATCH(D17,Players!$B:$B,0)),0)</f>
        <v>0</v>
      </c>
      <c r="E90" s="172">
        <f>IFERROR(INDEX(Players!$BY:$BY,MATCH(E17,Players!$B:$B,0)),0)</f>
        <v>0</v>
      </c>
      <c r="F90" s="172">
        <f>IFERROR(INDEX(Players!$BY:$BY,MATCH(F17,Players!$B:$B,0)),0)</f>
        <v>0</v>
      </c>
      <c r="G90" s="172">
        <f>IFERROR(INDEX(Players!$BY:$BY,MATCH(G17,Players!$B:$B,0)),0)</f>
        <v>0</v>
      </c>
      <c r="H90" s="172">
        <f>IFERROR(INDEX(Players!$BY:$BY,MATCH(H17,Players!$B:$B,0)),0)</f>
        <v>0</v>
      </c>
      <c r="I90" s="172">
        <f>IFERROR(INDEX(Players!$BY:$BY,MATCH(I17,Players!$B:$B,0)),0)</f>
        <v>0</v>
      </c>
      <c r="J90" s="172">
        <f>IFERROR(INDEX(Players!$BY:$BY,MATCH(J17,Players!$B:$B,0)),0)</f>
        <v>0</v>
      </c>
      <c r="K90" s="173">
        <f>IFERROR(INDEX(Players!$BY:$BY,MATCH(K17,Players!$B:$B,0)),0)</f>
        <v>0</v>
      </c>
      <c r="L90" s="19"/>
      <c r="AC90" s="39">
        <v>4</v>
      </c>
      <c r="AD90" s="27" t="str">
        <f>IFERROR(VLOOKUP(AD$86&amp;AC90,Input!$AB:$AC,2,0),"")</f>
        <v/>
      </c>
      <c r="AE90" s="281" t="str">
        <f>IFERROR(VLOOKUP(AD90,Input!$AC:$AH,6,0),"")</f>
        <v/>
      </c>
      <c r="AF90" s="281" t="e">
        <f>LARGE(AE87:AE102,AC90)</f>
        <v>#NUM!</v>
      </c>
      <c r="AG90" s="281" t="e">
        <f>VLOOKUP(AM90,Input!$AC:$AF,4,0)</f>
        <v>#NUM!</v>
      </c>
      <c r="AH90" s="281" t="e">
        <f>AG90&amp;COUNTIF(AG87:AG90,AG90)</f>
        <v>#NUM!</v>
      </c>
      <c r="AI90" s="281" t="e">
        <f t="shared" si="45"/>
        <v>#NUM!</v>
      </c>
      <c r="AJ90" s="281" t="e">
        <f>AI90&amp;COUNTIF(AI87:AI90,AI90)</f>
        <v>#NUM!</v>
      </c>
      <c r="AK90" s="281" t="str">
        <f>IFERROR(VLOOKUP(AM90,G12:G21,1,0),"B")</f>
        <v>B</v>
      </c>
      <c r="AL90" s="281" t="str">
        <f>AK90&amp;COUNTIF(AK87:AK90,AK90)</f>
        <v>B4</v>
      </c>
      <c r="AM90" s="281" t="e">
        <f t="array" ref="AM90">INDEX(AD$87:AD$102,SMALL(IF(AE$87:AE$102=AF90,ROW(AE$87:AE$102)-ROW(AF$87)+1),COUNTIF(AF$87:AF90,AF90)))</f>
        <v>#NUM!</v>
      </c>
      <c r="AN90" s="41" t="s">
        <v>594</v>
      </c>
      <c r="AO90" s="281" t="str">
        <f>IFERROR(VLOOKUP(G15,Input!$AC:$AH,6,0),"")</f>
        <v/>
      </c>
      <c r="AP90" s="289" t="str">
        <f>IFERROR(VLOOKUP(VLOOKUP(G15,Input!$AC:$AG,5,0),Schedule!$T$3:$U$34,2,0),"")</f>
        <v/>
      </c>
    </row>
    <row r="91" spans="1:42" x14ac:dyDescent="0.25">
      <c r="A91" s="41" t="s">
        <v>597</v>
      </c>
      <c r="B91" s="171">
        <f>IFERROR(INDEX(Players!$BY:$BY,MATCH(B18,Players!$B:$B,0)),0)</f>
        <v>0</v>
      </c>
      <c r="C91" s="172">
        <f>IFERROR(INDEX(Players!$BY:$BY,MATCH(C18,Players!$B:$B,0)),0)</f>
        <v>0</v>
      </c>
      <c r="D91" s="172">
        <f>IFERROR(INDEX(Players!$BY:$BY,MATCH(D18,Players!$B:$B,0)),0)</f>
        <v>0</v>
      </c>
      <c r="E91" s="172">
        <f>IFERROR(INDEX(Players!$BY:$BY,MATCH(E18,Players!$B:$B,0)),0)</f>
        <v>0</v>
      </c>
      <c r="F91" s="172">
        <f>IFERROR(INDEX(Players!$BY:$BY,MATCH(F18,Players!$B:$B,0)),0)</f>
        <v>0</v>
      </c>
      <c r="G91" s="172">
        <f>IFERROR(INDEX(Players!$BY:$BY,MATCH(G18,Players!$B:$B,0)),0)</f>
        <v>0</v>
      </c>
      <c r="H91" s="172">
        <f>IFERROR(INDEX(Players!$BY:$BY,MATCH(H18,Players!$B:$B,0)),0)</f>
        <v>0</v>
      </c>
      <c r="I91" s="172">
        <f>IFERROR(INDEX(Players!$BY:$BY,MATCH(I18,Players!$B:$B,0)),0)</f>
        <v>0</v>
      </c>
      <c r="J91" s="172">
        <f>IFERROR(INDEX(Players!$BY:$BY,MATCH(J18,Players!$B:$B,0)),0)</f>
        <v>0</v>
      </c>
      <c r="K91" s="173">
        <f>IFERROR(INDEX(Players!$BY:$BY,MATCH(K18,Players!$B:$B,0)),0)</f>
        <v>0</v>
      </c>
      <c r="L91" s="19"/>
      <c r="AC91" s="39">
        <v>5</v>
      </c>
      <c r="AD91" s="27" t="str">
        <f>IFERROR(VLOOKUP(AD$86&amp;AC91,Input!$AB:$AC,2,0),"")</f>
        <v/>
      </c>
      <c r="AE91" s="281" t="str">
        <f>IFERROR(VLOOKUP(AD91,Input!$AC:$AH,6,0),"")</f>
        <v/>
      </c>
      <c r="AF91" s="281" t="e">
        <f>LARGE(AE87:AE102,AC91)</f>
        <v>#NUM!</v>
      </c>
      <c r="AG91" s="281" t="e">
        <f>VLOOKUP(AM91,Input!$AC:$AF,4,0)</f>
        <v>#NUM!</v>
      </c>
      <c r="AH91" s="281" t="e">
        <f>AG91&amp;COUNTIF(AG87:AG91,AG91)</f>
        <v>#NUM!</v>
      </c>
      <c r="AI91" s="281" t="e">
        <f t="shared" si="45"/>
        <v>#NUM!</v>
      </c>
      <c r="AJ91" s="281" t="e">
        <f>AI91&amp;COUNTIF(AI87:AI91,AI91)</f>
        <v>#NUM!</v>
      </c>
      <c r="AK91" s="281" t="str">
        <f>IFERROR(VLOOKUP(AM91,G12:G21,1,0),"B")</f>
        <v>B</v>
      </c>
      <c r="AL91" s="281" t="str">
        <f>AK91&amp;COUNTIF(AK87:AK91,AK91)</f>
        <v>B5</v>
      </c>
      <c r="AM91" s="281" t="e">
        <f t="array" ref="AM91">INDEX(AD$87:AD$102,SMALL(IF(AE$87:AE$102=AF91,ROW(AE$87:AE$102)-ROW(AF$87)+1),COUNTIF(AF$87:AF91,AF91)))</f>
        <v>#NUM!</v>
      </c>
      <c r="AN91" s="41" t="s">
        <v>595</v>
      </c>
      <c r="AO91" s="281" t="str">
        <f>IFERROR(VLOOKUP(G16,Input!$AC:$AH,6,0),"")</f>
        <v/>
      </c>
      <c r="AP91" s="289" t="str">
        <f>IFERROR(VLOOKUP(VLOOKUP(G16,Input!$AC:$AG,5,0),Schedule!$T$3:$U$34,2,0),"")</f>
        <v/>
      </c>
    </row>
    <row r="92" spans="1:42" x14ac:dyDescent="0.25">
      <c r="A92" s="41" t="s">
        <v>598</v>
      </c>
      <c r="B92" s="171">
        <f>IFERROR(INDEX(Players!$BY:$BY,MATCH(B19,Players!$B:$B,0)),0)</f>
        <v>0</v>
      </c>
      <c r="C92" s="172">
        <f>IFERROR(INDEX(Players!$BY:$BY,MATCH(C19,Players!$B:$B,0)),0)</f>
        <v>0</v>
      </c>
      <c r="D92" s="172">
        <f>IFERROR(INDEX(Players!$BY:$BY,MATCH(D19,Players!$B:$B,0)),0)</f>
        <v>0</v>
      </c>
      <c r="E92" s="172">
        <f>IFERROR(INDEX(Players!$BY:$BY,MATCH(E19,Players!$B:$B,0)),0)</f>
        <v>0</v>
      </c>
      <c r="F92" s="172">
        <f>IFERROR(INDEX(Players!$BY:$BY,MATCH(F19,Players!$B:$B,0)),0)</f>
        <v>0</v>
      </c>
      <c r="G92" s="172">
        <f>IFERROR(INDEX(Players!$BY:$BY,MATCH(G19,Players!$B:$B,0)),0)</f>
        <v>0</v>
      </c>
      <c r="H92" s="172">
        <f>IFERROR(INDEX(Players!$BY:$BY,MATCH(H19,Players!$B:$B,0)),0)</f>
        <v>0</v>
      </c>
      <c r="I92" s="172">
        <f>IFERROR(INDEX(Players!$BY:$BY,MATCH(I19,Players!$B:$B,0)),0)</f>
        <v>0</v>
      </c>
      <c r="J92" s="172">
        <f>IFERROR(INDEX(Players!$BY:$BY,MATCH(J19,Players!$B:$B,0)),0)</f>
        <v>0</v>
      </c>
      <c r="K92" s="173">
        <f>IFERROR(INDEX(Players!$BY:$BY,MATCH(K19,Players!$B:$B,0)),0)</f>
        <v>0</v>
      </c>
      <c r="L92" s="19"/>
      <c r="AC92" s="39">
        <v>6</v>
      </c>
      <c r="AD92" s="27" t="str">
        <f>IFERROR(VLOOKUP(AD$86&amp;AC92,Input!$AB:$AC,2,0),"")</f>
        <v/>
      </c>
      <c r="AE92" s="281" t="str">
        <f>IFERROR(VLOOKUP(AD92,Input!$AC:$AH,6,0),"")</f>
        <v/>
      </c>
      <c r="AF92" s="281" t="e">
        <f>LARGE(AE87:AE102,AC92)</f>
        <v>#NUM!</v>
      </c>
      <c r="AG92" s="281" t="e">
        <f>VLOOKUP(AM92,Input!$AC:$AF,4,0)</f>
        <v>#NUM!</v>
      </c>
      <c r="AH92" s="281" t="e">
        <f>AG92&amp;COUNTIF(AG87:AG92,AG92)</f>
        <v>#NUM!</v>
      </c>
      <c r="AI92" s="281" t="e">
        <f t="shared" si="45"/>
        <v>#NUM!</v>
      </c>
      <c r="AJ92" s="281" t="e">
        <f>AI92&amp;COUNTIF(AI87:AI92,AI92)</f>
        <v>#NUM!</v>
      </c>
      <c r="AK92" s="281" t="str">
        <f>IFERROR(VLOOKUP(AM92,G12:G21,1,0),"B")</f>
        <v>B</v>
      </c>
      <c r="AL92" s="281" t="str">
        <f>AK92&amp;COUNTIF(AK87:AK92,AK92)</f>
        <v>B6</v>
      </c>
      <c r="AM92" s="281" t="e">
        <f t="array" ref="AM92">INDEX(AD$87:AD$102,SMALL(IF(AE$87:AE$102=AF92,ROW(AE$87:AE$102)-ROW(AF$87)+1),COUNTIF(AF$87:AF92,AF92)))</f>
        <v>#NUM!</v>
      </c>
      <c r="AN92" s="41" t="s">
        <v>596</v>
      </c>
      <c r="AO92" s="281" t="str">
        <f>IFERROR(VLOOKUP(G17,Input!$AC:$AH,6,0),"")</f>
        <v/>
      </c>
      <c r="AP92" s="289" t="str">
        <f>IFERROR(VLOOKUP(VLOOKUP(G17,Input!$AC:$AG,5,0),Schedule!$T$3:$U$34,2,0),"")</f>
        <v/>
      </c>
    </row>
    <row r="93" spans="1:42" x14ac:dyDescent="0.25">
      <c r="A93" s="41" t="s">
        <v>599</v>
      </c>
      <c r="B93" s="171">
        <f>IFERROR(INDEX(Players!$BY:$BY,MATCH(B20,Players!$B:$B,0)),0)</f>
        <v>0</v>
      </c>
      <c r="C93" s="172">
        <f>IFERROR(INDEX(Players!$BY:$BY,MATCH(C20,Players!$B:$B,0)),0)</f>
        <v>0</v>
      </c>
      <c r="D93" s="172">
        <f>IFERROR(INDEX(Players!$BY:$BY,MATCH(D20,Players!$B:$B,0)),0)</f>
        <v>0</v>
      </c>
      <c r="E93" s="172">
        <f>IFERROR(INDEX(Players!$BY:$BY,MATCH(E20,Players!$B:$B,0)),0)</f>
        <v>0</v>
      </c>
      <c r="F93" s="172">
        <f>IFERROR(INDEX(Players!$BY:$BY,MATCH(F20,Players!$B:$B,0)),0)</f>
        <v>0</v>
      </c>
      <c r="G93" s="172">
        <f>IFERROR(INDEX(Players!$BY:$BY,MATCH(G20,Players!$B:$B,0)),0)</f>
        <v>0</v>
      </c>
      <c r="H93" s="172">
        <f>IFERROR(INDEX(Players!$BY:$BY,MATCH(H20,Players!$B:$B,0)),0)</f>
        <v>0</v>
      </c>
      <c r="I93" s="172">
        <f>IFERROR(INDEX(Players!$BY:$BY,MATCH(I20,Players!$B:$B,0)),0)</f>
        <v>0</v>
      </c>
      <c r="J93" s="172">
        <f>IFERROR(INDEX(Players!$BY:$BY,MATCH(J20,Players!$B:$B,0)),0)</f>
        <v>0</v>
      </c>
      <c r="K93" s="173">
        <f>IFERROR(INDEX(Players!$BY:$BY,MATCH(K20,Players!$B:$B,0)),0)</f>
        <v>0</v>
      </c>
      <c r="L93" s="19"/>
      <c r="AC93" s="39">
        <v>7</v>
      </c>
      <c r="AD93" s="27" t="str">
        <f>IFERROR(VLOOKUP(AD$86&amp;AC93,Input!$AB:$AC,2,0),"")</f>
        <v/>
      </c>
      <c r="AE93" s="281" t="str">
        <f>IFERROR(VLOOKUP(AD93,Input!$AC:$AH,6,0),"")</f>
        <v/>
      </c>
      <c r="AF93" s="281" t="e">
        <f>LARGE(AE87:AE102,AC93)</f>
        <v>#NUM!</v>
      </c>
      <c r="AG93" s="281" t="e">
        <f>VLOOKUP(AM93,Input!$AC:$AF,4,0)</f>
        <v>#NUM!</v>
      </c>
      <c r="AH93" s="281" t="e">
        <f>AG93&amp;COUNTIF(AG87:AG93,AG93)</f>
        <v>#NUM!</v>
      </c>
      <c r="AI93" s="281" t="e">
        <f t="shared" si="45"/>
        <v>#NUM!</v>
      </c>
      <c r="AJ93" s="281" t="e">
        <f>AI93&amp;COUNTIF(AI87:AI93,AI93)</f>
        <v>#NUM!</v>
      </c>
      <c r="AK93" s="281" t="str">
        <f>IFERROR(VLOOKUP(AM93,G12:G21,1,0),"B")</f>
        <v>B</v>
      </c>
      <c r="AL93" s="281" t="str">
        <f>AK93&amp;COUNTIF(AK87:AK93,AK93)</f>
        <v>B7</v>
      </c>
      <c r="AM93" s="281" t="e">
        <f t="array" ref="AM93">INDEX(AD$87:AD$102,SMALL(IF(AE$87:AE$102=AF93,ROW(AE$87:AE$102)-ROW(AF$87)+1),COUNTIF(AF$87:AF93,AF93)))</f>
        <v>#NUM!</v>
      </c>
      <c r="AN93" s="41" t="s">
        <v>597</v>
      </c>
      <c r="AO93" s="281" t="str">
        <f>IFERROR(VLOOKUP(G18,Input!$AC:$AH,6,0),"")</f>
        <v/>
      </c>
      <c r="AP93" s="289" t="str">
        <f>IFERROR(VLOOKUP(VLOOKUP(G18,Input!$AC:$AG,5,0),Schedule!$T$3:$U$34,2,0),"")</f>
        <v/>
      </c>
    </row>
    <row r="94" spans="1:42" ht="15.75" thickBot="1" x14ac:dyDescent="0.3">
      <c r="A94" s="41" t="s">
        <v>600</v>
      </c>
      <c r="B94" s="171">
        <f>IFERROR(INDEX(Players!$BY:$BY,MATCH(B21,Players!$B:$B,0)),0)</f>
        <v>0</v>
      </c>
      <c r="C94" s="172">
        <f>IFERROR(INDEX(Players!$BY:$BY,MATCH(C21,Players!$B:$B,0)),0)</f>
        <v>0</v>
      </c>
      <c r="D94" s="172">
        <f>IFERROR(INDEX(Players!$BY:$BY,MATCH(D21,Players!$B:$B,0)),0)</f>
        <v>0</v>
      </c>
      <c r="E94" s="172">
        <f>IFERROR(INDEX(Players!$BY:$BY,MATCH(E21,Players!$B:$B,0)),0)</f>
        <v>0</v>
      </c>
      <c r="F94" s="172">
        <f>IFERROR(INDEX(Players!$BY:$BY,MATCH(F21,Players!$B:$B,0)),0)</f>
        <v>0</v>
      </c>
      <c r="G94" s="172">
        <f>IFERROR(INDEX(Players!$BY:$BY,MATCH(G21,Players!$B:$B,0)),0)</f>
        <v>0</v>
      </c>
      <c r="H94" s="172">
        <f>IFERROR(INDEX(Players!$BY:$BY,MATCH(H21,Players!$B:$B,0)),0)</f>
        <v>0</v>
      </c>
      <c r="I94" s="172">
        <f>IFERROR(INDEX(Players!$BY:$BY,MATCH(I21,Players!$B:$B,0)),0)</f>
        <v>0</v>
      </c>
      <c r="J94" s="172">
        <f>IFERROR(INDEX(Players!$BY:$BY,MATCH(J21,Players!$B:$B,0)),0)</f>
        <v>0</v>
      </c>
      <c r="K94" s="173">
        <f>IFERROR(INDEX(Players!$BY:$BY,MATCH(K21,Players!$B:$B,0)),0)</f>
        <v>0</v>
      </c>
      <c r="L94" s="19"/>
      <c r="AC94" s="39">
        <v>8</v>
      </c>
      <c r="AD94" s="27" t="str">
        <f>IFERROR(VLOOKUP(AD$86&amp;AC94,Input!$AB:$AC,2,0),"")</f>
        <v/>
      </c>
      <c r="AE94" s="281" t="str">
        <f>IFERROR(VLOOKUP(AD94,Input!$AC:$AH,6,0),"")</f>
        <v/>
      </c>
      <c r="AF94" s="281" t="e">
        <f>LARGE(AE87:AE102,AC94)</f>
        <v>#NUM!</v>
      </c>
      <c r="AG94" s="281" t="e">
        <f>VLOOKUP(AM94,Input!$AC:$AF,4,0)</f>
        <v>#NUM!</v>
      </c>
      <c r="AH94" s="281" t="e">
        <f>AG94&amp;COUNTIF(AG87:AG94,AG94)</f>
        <v>#NUM!</v>
      </c>
      <c r="AI94" s="281" t="e">
        <f t="shared" si="45"/>
        <v>#NUM!</v>
      </c>
      <c r="AJ94" s="281" t="e">
        <f>AI94&amp;COUNTIF(AI87:AI94,AI94)</f>
        <v>#NUM!</v>
      </c>
      <c r="AK94" s="281" t="str">
        <f>IFERROR(VLOOKUP(AM94,G12:G21,1,0),"B")</f>
        <v>B</v>
      </c>
      <c r="AL94" s="281" t="str">
        <f>AK94&amp;COUNTIF(AK87:AK94,AK94)</f>
        <v>B8</v>
      </c>
      <c r="AM94" s="281" t="e">
        <f t="array" ref="AM94">INDEX(AD$87:AD$102,SMALL(IF(AE$87:AE$102=AF94,ROW(AE$87:AE$102)-ROW(AF$87)+1),COUNTIF(AF$87:AF94,AF94)))</f>
        <v>#NUM!</v>
      </c>
      <c r="AN94" s="41" t="s">
        <v>598</v>
      </c>
      <c r="AO94" s="281" t="str">
        <f>IFERROR(VLOOKUP(G19,Input!$AC:$AH,6,0),"")</f>
        <v/>
      </c>
      <c r="AP94" s="289" t="str">
        <f>IFERROR(VLOOKUP(VLOOKUP(G19,Input!$AC:$AG,5,0),Schedule!$T$3:$U$34,2,0),"")</f>
        <v/>
      </c>
    </row>
    <row r="95" spans="1:42" x14ac:dyDescent="0.25">
      <c r="A95" s="41" t="s">
        <v>601</v>
      </c>
      <c r="B95" s="158">
        <f>IFERROR(INDEX(Players!$BY:$BY,MATCH(B22,Players!$B:$B,0)),0)</f>
        <v>0</v>
      </c>
      <c r="C95" s="159">
        <f>IFERROR(INDEX(Players!$BY:$BY,MATCH(C22,Players!$B:$B,0)),0)</f>
        <v>0</v>
      </c>
      <c r="D95" s="159">
        <f>IFERROR(INDEX(Players!$BY:$BY,MATCH(D22,Players!$B:$B,0)),0)</f>
        <v>0</v>
      </c>
      <c r="E95" s="159">
        <f>IFERROR(INDEX(Players!$BY:$BY,MATCH(E22,Players!$B:$B,0)),0)</f>
        <v>0</v>
      </c>
      <c r="F95" s="159">
        <f>IFERROR(INDEX(Players!$BY:$BY,MATCH(F22,Players!$B:$B,0)),0)</f>
        <v>0</v>
      </c>
      <c r="G95" s="159">
        <f>IFERROR(INDEX(Players!$BY:$BY,MATCH(G22,Players!$B:$B,0)),0)</f>
        <v>0</v>
      </c>
      <c r="H95" s="159">
        <f>IFERROR(INDEX(Players!$BY:$BY,MATCH(H22,Players!$B:$B,0)),0)</f>
        <v>0</v>
      </c>
      <c r="I95" s="159">
        <f>IFERROR(INDEX(Players!$BY:$BY,MATCH(I22,Players!$B:$B,0)),0)</f>
        <v>0</v>
      </c>
      <c r="J95" s="159">
        <f>IFERROR(INDEX(Players!$BY:$BY,MATCH(J22,Players!$B:$B,0)),0)</f>
        <v>0</v>
      </c>
      <c r="K95" s="160">
        <f>IFERROR(INDEX(Players!$BY:$BY,MATCH(K22,Players!$B:$B,0)),0)</f>
        <v>0</v>
      </c>
      <c r="L95" s="167"/>
      <c r="AC95" s="39">
        <v>9</v>
      </c>
      <c r="AD95" s="27" t="str">
        <f>IFERROR(VLOOKUP(AD$86&amp;AC95,Input!$AB:$AC,2,0),"")</f>
        <v/>
      </c>
      <c r="AE95" s="281" t="str">
        <f>IFERROR(VLOOKUP(AD95,Input!$AC:$AH,6,0),"")</f>
        <v/>
      </c>
      <c r="AF95" s="281" t="e">
        <f>LARGE(AE87:AE102,AC95)</f>
        <v>#NUM!</v>
      </c>
      <c r="AG95" s="281" t="e">
        <f>VLOOKUP(AM95,Input!$AC:$AF,4,0)</f>
        <v>#NUM!</v>
      </c>
      <c r="AH95" s="281" t="e">
        <f>AG95&amp;COUNTIF(AG87:AG95,AG95)</f>
        <v>#NUM!</v>
      </c>
      <c r="AI95" s="281" t="e">
        <f t="shared" si="45"/>
        <v>#NUM!</v>
      </c>
      <c r="AJ95" s="281" t="e">
        <f>AI95&amp;COUNTIF(AI87:AI95,AI95)</f>
        <v>#NUM!</v>
      </c>
      <c r="AK95" s="281" t="str">
        <f>IFERROR(VLOOKUP(AM95,G12:G21,1,0),"B")</f>
        <v>B</v>
      </c>
      <c r="AL95" s="281" t="str">
        <f>AK95&amp;COUNTIF(AK87:AK95,AK95)</f>
        <v>B9</v>
      </c>
      <c r="AM95" s="281" t="e">
        <f t="array" ref="AM95">INDEX(AD$87:AD$102,SMALL(IF(AE$87:AE$102=AF95,ROW(AE$87:AE$102)-ROW(AF$87)+1),COUNTIF(AF$87:AF95,AF95)))</f>
        <v>#NUM!</v>
      </c>
      <c r="AN95" s="41" t="s">
        <v>599</v>
      </c>
      <c r="AO95" s="281" t="str">
        <f>IFERROR(VLOOKUP(G20,Input!$AC:$AH,6,0),"")</f>
        <v/>
      </c>
      <c r="AP95" s="289" t="str">
        <f>IFERROR(VLOOKUP(VLOOKUP(G20,Input!$AC:$AG,5,0),Schedule!$T$3:$U$34,2,0),"")</f>
        <v/>
      </c>
    </row>
    <row r="96" spans="1:42" x14ac:dyDescent="0.25">
      <c r="A96" s="41" t="s">
        <v>602</v>
      </c>
      <c r="B96" s="161">
        <f>IFERROR(INDEX(Players!$BY:$BY,MATCH(B23,Players!$B:$B,0)),0)</f>
        <v>0</v>
      </c>
      <c r="C96" s="162">
        <f>IFERROR(INDEX(Players!$BY:$BY,MATCH(C23,Players!$B:$B,0)),0)</f>
        <v>0</v>
      </c>
      <c r="D96" s="162">
        <f>IFERROR(INDEX(Players!$BY:$BY,MATCH(D23,Players!$B:$B,0)),0)</f>
        <v>0</v>
      </c>
      <c r="E96" s="162">
        <f>IFERROR(INDEX(Players!$BY:$BY,MATCH(E23,Players!$B:$B,0)),0)</f>
        <v>0</v>
      </c>
      <c r="F96" s="162">
        <f>IFERROR(INDEX(Players!$BY:$BY,MATCH(F23,Players!$B:$B,0)),0)</f>
        <v>0</v>
      </c>
      <c r="G96" s="162">
        <f>IFERROR(INDEX(Players!$BY:$BY,MATCH(G23,Players!$B:$B,0)),0)</f>
        <v>0</v>
      </c>
      <c r="H96" s="162">
        <f>IFERROR(INDEX(Players!$BY:$BY,MATCH(H23,Players!$B:$B,0)),0)</f>
        <v>0</v>
      </c>
      <c r="I96" s="162">
        <f>IFERROR(INDEX(Players!$BY:$BY,MATCH(I23,Players!$B:$B,0)),0)</f>
        <v>0</v>
      </c>
      <c r="J96" s="162">
        <f>IFERROR(INDEX(Players!$BY:$BY,MATCH(J23,Players!$B:$B,0)),0)</f>
        <v>0</v>
      </c>
      <c r="K96" s="163">
        <f>IFERROR(INDEX(Players!$BY:$BY,MATCH(K23,Players!$B:$B,0)),0)</f>
        <v>0</v>
      </c>
      <c r="L96" s="151"/>
      <c r="AC96" s="39">
        <v>10</v>
      </c>
      <c r="AD96" s="27" t="str">
        <f>IFERROR(VLOOKUP(AD$86&amp;AC96,Input!$AB:$AC,2,0),"")</f>
        <v/>
      </c>
      <c r="AE96" s="281" t="str">
        <f>IFERROR(VLOOKUP(AD96,Input!$AC:$AH,6,0),"")</f>
        <v/>
      </c>
      <c r="AF96" s="281" t="e">
        <f>LARGE(AE87:AE102,AC96)</f>
        <v>#NUM!</v>
      </c>
      <c r="AG96" s="281" t="e">
        <f>VLOOKUP(AM96,Input!$AC:$AF,4,0)</f>
        <v>#NUM!</v>
      </c>
      <c r="AH96" s="281" t="e">
        <f>AG96&amp;COUNTIF(AG87:AG96,AG96)</f>
        <v>#NUM!</v>
      </c>
      <c r="AI96" s="281" t="e">
        <f t="shared" si="45"/>
        <v>#NUM!</v>
      </c>
      <c r="AJ96" s="281" t="e">
        <f>AI96&amp;COUNTIF(AI87:AI96,AI96)</f>
        <v>#NUM!</v>
      </c>
      <c r="AK96" s="281" t="str">
        <f>IFERROR(VLOOKUP(AM96,G12:G21,1,0),"B")</f>
        <v>B</v>
      </c>
      <c r="AL96" s="281" t="str">
        <f>AK96&amp;COUNTIF(AK87:AK96,AK96)</f>
        <v>B10</v>
      </c>
      <c r="AM96" s="281" t="e">
        <f t="array" ref="AM96">INDEX(AD$87:AD$102,SMALL(IF(AE$87:AE$102=AF96,ROW(AE$87:AE$102)-ROW(AF$87)+1),COUNTIF(AF$87:AF96,AF96)))</f>
        <v>#NUM!</v>
      </c>
      <c r="AN96" s="41" t="s">
        <v>600</v>
      </c>
      <c r="AO96" s="281" t="str">
        <f>IFERROR(VLOOKUP(G21,Input!$AC:$AH,6,0),"")</f>
        <v/>
      </c>
      <c r="AP96" s="289" t="str">
        <f>IFERROR(VLOOKUP(VLOOKUP(G21,Input!$AC:$AG,5,0),Schedule!$T$3:$U$34,2,0),"")</f>
        <v/>
      </c>
    </row>
    <row r="97" spans="1:42" x14ac:dyDescent="0.25">
      <c r="A97" s="41" t="s">
        <v>603</v>
      </c>
      <c r="B97" s="161">
        <f>IFERROR(INDEX(Players!$BY:$BY,MATCH(B24,Players!$B:$B,0)),0)</f>
        <v>0</v>
      </c>
      <c r="C97" s="162">
        <f>IFERROR(INDEX(Players!$BY:$BY,MATCH(C24,Players!$B:$B,0)),0)</f>
        <v>0</v>
      </c>
      <c r="D97" s="162">
        <f>IFERROR(INDEX(Players!$BY:$BY,MATCH(D24,Players!$B:$B,0)),0)</f>
        <v>0</v>
      </c>
      <c r="E97" s="162">
        <f>IFERROR(INDEX(Players!$BY:$BY,MATCH(E24,Players!$B:$B,0)),0)</f>
        <v>0</v>
      </c>
      <c r="F97" s="162">
        <f>IFERROR(INDEX(Players!$BY:$BY,MATCH(F24,Players!$B:$B,0)),0)</f>
        <v>0</v>
      </c>
      <c r="G97" s="162">
        <f>IFERROR(INDEX(Players!$BY:$BY,MATCH(G24,Players!$B:$B,0)),0)</f>
        <v>0</v>
      </c>
      <c r="H97" s="162">
        <f>IFERROR(INDEX(Players!$BY:$BY,MATCH(H24,Players!$B:$B,0)),0)</f>
        <v>0</v>
      </c>
      <c r="I97" s="162">
        <f>IFERROR(INDEX(Players!$BY:$BY,MATCH(I24,Players!$B:$B,0)),0)</f>
        <v>0</v>
      </c>
      <c r="J97" s="162">
        <f>IFERROR(INDEX(Players!$BY:$BY,MATCH(J24,Players!$B:$B,0)),0)</f>
        <v>0</v>
      </c>
      <c r="K97" s="163">
        <f>IFERROR(INDEX(Players!$BY:$BY,MATCH(K24,Players!$B:$B,0)),0)</f>
        <v>0</v>
      </c>
      <c r="L97" s="151"/>
      <c r="AC97" s="39">
        <v>11</v>
      </c>
      <c r="AD97" s="27" t="str">
        <f>IFERROR(VLOOKUP(AD$86&amp;AC97,Input!$AB:$AC,2,0),"")</f>
        <v/>
      </c>
      <c r="AE97" s="281" t="str">
        <f>IFERROR(VLOOKUP(AD97,Input!$AC:$AH,6,0),"")</f>
        <v/>
      </c>
      <c r="AF97" s="281" t="e">
        <f>LARGE(AE87:AE102,AC97)</f>
        <v>#NUM!</v>
      </c>
      <c r="AG97" s="281" t="e">
        <f>VLOOKUP(AM97,Input!$AC:$AF,4,0)</f>
        <v>#NUM!</v>
      </c>
      <c r="AH97" s="281" t="e">
        <f>AG97&amp;COUNTIF(AG87:AG97,AG97)</f>
        <v>#NUM!</v>
      </c>
      <c r="AI97" s="281" t="e">
        <f t="shared" si="45"/>
        <v>#NUM!</v>
      </c>
      <c r="AJ97" s="281" t="e">
        <f>AI97&amp;COUNTIF(AI87:AI97,AI97)</f>
        <v>#NUM!</v>
      </c>
      <c r="AK97" s="281" t="str">
        <f>IFERROR(VLOOKUP(AM97,G12:G21,1,0),"B")</f>
        <v>B</v>
      </c>
      <c r="AL97" s="281" t="str">
        <f>AK97&amp;COUNTIF(AK87:AK97,AK97)</f>
        <v>B11</v>
      </c>
      <c r="AM97" s="281" t="e">
        <f t="array" ref="AM97">INDEX(AD$87:AD$102,SMALL(IF(AE$87:AE$102=AF97,ROW(AE$87:AE$102)-ROW(AF$87)+1),COUNTIF(AF$87:AF97,AF97)))</f>
        <v>#NUM!</v>
      </c>
      <c r="AN97" s="41" t="s">
        <v>601</v>
      </c>
      <c r="AO97" s="17" t="str">
        <f>IFERROR(VLOOKUP(G22,Input!$AC:$AH,6,0),"")</f>
        <v/>
      </c>
      <c r="AP97" s="289" t="str">
        <f>IFERROR(VLOOKUP(VLOOKUP(G22,Input!$AC:$AG,5,0),Schedule!$T$3:$U$34,2,0),"")</f>
        <v/>
      </c>
    </row>
    <row r="98" spans="1:42" x14ac:dyDescent="0.25">
      <c r="A98" s="41" t="s">
        <v>604</v>
      </c>
      <c r="B98" s="161">
        <f>IFERROR(INDEX(Players!$BY:$BY,MATCH(B25,Players!$B:$B,0)),0)</f>
        <v>0</v>
      </c>
      <c r="C98" s="162">
        <f>IFERROR(INDEX(Players!$BY:$BY,MATCH(C25,Players!$B:$B,0)),0)</f>
        <v>0</v>
      </c>
      <c r="D98" s="162">
        <f>IFERROR(INDEX(Players!$BY:$BY,MATCH(D25,Players!$B:$B,0)),0)</f>
        <v>0</v>
      </c>
      <c r="E98" s="162">
        <f>IFERROR(INDEX(Players!$BY:$BY,MATCH(E25,Players!$B:$B,0)),0)</f>
        <v>0</v>
      </c>
      <c r="F98" s="162">
        <f>IFERROR(INDEX(Players!$BY:$BY,MATCH(F25,Players!$B:$B,0)),0)</f>
        <v>0</v>
      </c>
      <c r="G98" s="162">
        <f>IFERROR(INDEX(Players!$BY:$BY,MATCH(G25,Players!$B:$B,0)),0)</f>
        <v>0</v>
      </c>
      <c r="H98" s="162">
        <f>IFERROR(INDEX(Players!$BY:$BY,MATCH(H25,Players!$B:$B,0)),0)</f>
        <v>0</v>
      </c>
      <c r="I98" s="162">
        <f>IFERROR(INDEX(Players!$BY:$BY,MATCH(I25,Players!$B:$B,0)),0)</f>
        <v>0</v>
      </c>
      <c r="J98" s="162">
        <f>IFERROR(INDEX(Players!$BY:$BY,MATCH(J25,Players!$B:$B,0)),0)</f>
        <v>0</v>
      </c>
      <c r="K98" s="163">
        <f>IFERROR(INDEX(Players!$BY:$BY,MATCH(K25,Players!$B:$B,0)),0)</f>
        <v>0</v>
      </c>
      <c r="L98" s="151"/>
      <c r="AC98" s="39">
        <v>12</v>
      </c>
      <c r="AD98" s="27" t="str">
        <f>IFERROR(VLOOKUP(AD$86&amp;AC98,Input!$AB:$AC,2,0),"")</f>
        <v/>
      </c>
      <c r="AE98" s="281" t="str">
        <f>IFERROR(VLOOKUP(AD98,Input!$AC:$AH,6,0),"")</f>
        <v/>
      </c>
      <c r="AF98" s="281" t="e">
        <f>LARGE(AE87:AE102,AC98)</f>
        <v>#NUM!</v>
      </c>
      <c r="AG98" s="281" t="e">
        <f>VLOOKUP(AM98,Input!$AC:$AF,4,0)</f>
        <v>#NUM!</v>
      </c>
      <c r="AH98" s="281" t="e">
        <f>AG98&amp;COUNTIF(AG87:AG98,AG98)</f>
        <v>#NUM!</v>
      </c>
      <c r="AI98" s="281" t="e">
        <f t="shared" si="45"/>
        <v>#NUM!</v>
      </c>
      <c r="AJ98" s="281" t="e">
        <f>AI98&amp;COUNTIF(AI87:AI98,AI98)</f>
        <v>#NUM!</v>
      </c>
      <c r="AK98" s="281" t="str">
        <f>IFERROR(VLOOKUP(AM98,G12:G21,1,0),"B")</f>
        <v>B</v>
      </c>
      <c r="AL98" s="281" t="str">
        <f>AK98&amp;COUNTIF(AK87:AK98,AK98)</f>
        <v>B12</v>
      </c>
      <c r="AM98" s="281" t="e">
        <f t="array" ref="AM98">INDEX(AD$87:AD$102,SMALL(IF(AE$87:AE$102=AF98,ROW(AE$87:AE$102)-ROW(AF$87)+1),COUNTIF(AF$87:AF98,AF98)))</f>
        <v>#NUM!</v>
      </c>
      <c r="AN98" s="41" t="s">
        <v>602</v>
      </c>
      <c r="AO98" s="17"/>
      <c r="AP98" s="289" t="str">
        <f>IFERROR(VLOOKUP(VLOOKUP(G23,Input!$AC:$AG,5,0),Schedule!$T$3:$U$34,2,0),"")</f>
        <v/>
      </c>
    </row>
    <row r="99" spans="1:42" x14ac:dyDescent="0.25">
      <c r="A99" s="41" t="s">
        <v>605</v>
      </c>
      <c r="B99" s="161">
        <f>IFERROR(INDEX(Players!$BY:$BY,MATCH(B26,Players!$B:$B,0)),0)</f>
        <v>0</v>
      </c>
      <c r="C99" s="162">
        <f>IFERROR(INDEX(Players!$BY:$BY,MATCH(C26,Players!$B:$B,0)),0)</f>
        <v>0</v>
      </c>
      <c r="D99" s="162">
        <f>IFERROR(INDEX(Players!$BY:$BY,MATCH(D26,Players!$B:$B,0)),0)</f>
        <v>0</v>
      </c>
      <c r="E99" s="162">
        <f>IFERROR(INDEX(Players!$BY:$BY,MATCH(E26,Players!$B:$B,0)),0)</f>
        <v>0</v>
      </c>
      <c r="F99" s="162">
        <f>IFERROR(INDEX(Players!$BY:$BY,MATCH(F26,Players!$B:$B,0)),0)</f>
        <v>0</v>
      </c>
      <c r="G99" s="162">
        <f>IFERROR(INDEX(Players!$BY:$BY,MATCH(G26,Players!$B:$B,0)),0)</f>
        <v>0</v>
      </c>
      <c r="H99" s="162">
        <f>IFERROR(INDEX(Players!$BY:$BY,MATCH(H26,Players!$B:$B,0)),0)</f>
        <v>0</v>
      </c>
      <c r="I99" s="162">
        <f>IFERROR(INDEX(Players!$BY:$BY,MATCH(I26,Players!$B:$B,0)),0)</f>
        <v>0</v>
      </c>
      <c r="J99" s="162">
        <f>IFERROR(INDEX(Players!$BY:$BY,MATCH(J26,Players!$B:$B,0)),0)</f>
        <v>0</v>
      </c>
      <c r="K99" s="163">
        <f>IFERROR(INDEX(Players!$BY:$BY,MATCH(K26,Players!$B:$B,0)),0)</f>
        <v>0</v>
      </c>
      <c r="L99" s="151"/>
      <c r="AC99" s="39">
        <v>13</v>
      </c>
      <c r="AD99" s="27" t="str">
        <f>IFERROR(VLOOKUP(AD$86&amp;AC99,Input!$AB:$AC,2,0),"")</f>
        <v/>
      </c>
      <c r="AE99" s="281" t="str">
        <f>IFERROR(VLOOKUP(AD99,Input!$AC:$AH,6,0),"")</f>
        <v/>
      </c>
      <c r="AF99" s="281" t="e">
        <f>LARGE(AE87:AE102,AC99)</f>
        <v>#NUM!</v>
      </c>
      <c r="AG99" s="281" t="e">
        <f>VLOOKUP(AM99,Input!$AC:$AF,4,0)</f>
        <v>#NUM!</v>
      </c>
      <c r="AH99" s="281" t="e">
        <f>AG99&amp;COUNTIF(AG87:AG99,AG99)</f>
        <v>#NUM!</v>
      </c>
      <c r="AI99" s="281" t="e">
        <f t="shared" si="45"/>
        <v>#NUM!</v>
      </c>
      <c r="AJ99" s="281" t="e">
        <f>AI99&amp;COUNTIF(AI87:AI99,AI99)</f>
        <v>#NUM!</v>
      </c>
      <c r="AK99" s="281" t="str">
        <f>IFERROR(VLOOKUP(AM99,G12:G21,1,0),"B")</f>
        <v>B</v>
      </c>
      <c r="AL99" s="281" t="str">
        <f>AK99&amp;COUNTIF(AK87:AK99,AK99)</f>
        <v>B13</v>
      </c>
      <c r="AM99" s="281" t="e">
        <f t="array" ref="AM99">INDEX(AD$87:AD$102,SMALL(IF(AE$87:AE$102=AF99,ROW(AE$87:AE$102)-ROW(AF$87)+1),COUNTIF(AF$87:AF99,AF99)))</f>
        <v>#NUM!</v>
      </c>
      <c r="AN99" s="41" t="s">
        <v>603</v>
      </c>
      <c r="AO99" s="17"/>
      <c r="AP99" s="289" t="str">
        <f>IFERROR(VLOOKUP(VLOOKUP(G24,Input!$AC:$AG,5,0),Schedule!$T$3:$U$34,2,0),"")</f>
        <v/>
      </c>
    </row>
    <row r="100" spans="1:42" ht="15.75" thickBot="1" x14ac:dyDescent="0.3">
      <c r="A100" s="42" t="s">
        <v>606</v>
      </c>
      <c r="B100" s="164">
        <f>IFERROR(INDEX(Players!$BY:$BY,MATCH(B27,Players!$B:$B,0)),0)</f>
        <v>0</v>
      </c>
      <c r="C100" s="165">
        <f>IFERROR(INDEX(Players!$BY:$BY,MATCH(C27,Players!$B:$B,0)),0)</f>
        <v>0</v>
      </c>
      <c r="D100" s="165">
        <f>IFERROR(INDEX(Players!$BY:$BY,MATCH(D27,Players!$B:$B,0)),0)</f>
        <v>0</v>
      </c>
      <c r="E100" s="165">
        <f>IFERROR(INDEX(Players!$BY:$BY,MATCH(E27,Players!$B:$B,0)),0)</f>
        <v>0</v>
      </c>
      <c r="F100" s="165">
        <f>IFERROR(INDEX(Players!$BY:$BY,MATCH(F27,Players!$B:$B,0)),0)</f>
        <v>0</v>
      </c>
      <c r="G100" s="165">
        <f>IFERROR(INDEX(Players!$BY:$BY,MATCH(G27,Players!$B:$B,0)),0)</f>
        <v>0</v>
      </c>
      <c r="H100" s="165">
        <f>IFERROR(INDEX(Players!$BY:$BY,MATCH(H27,Players!$B:$B,0)),0)</f>
        <v>0</v>
      </c>
      <c r="I100" s="165">
        <f>IFERROR(INDEX(Players!$BY:$BY,MATCH(I27,Players!$B:$B,0)),0)</f>
        <v>0</v>
      </c>
      <c r="J100" s="165">
        <f>IFERROR(INDEX(Players!$BY:$BY,MATCH(J27,Players!$B:$B,0)),0)</f>
        <v>0</v>
      </c>
      <c r="K100" s="166">
        <f>IFERROR(INDEX(Players!$BY:$BY,MATCH(K27,Players!$B:$B,0)),0)</f>
        <v>0</v>
      </c>
      <c r="L100" s="156"/>
      <c r="AC100" s="39">
        <v>14</v>
      </c>
      <c r="AD100" s="27" t="str">
        <f>IFERROR(VLOOKUP(AD$86&amp;AC100,Input!$AB:$AC,2,0),"")</f>
        <v/>
      </c>
      <c r="AE100" s="281" t="str">
        <f>IFERROR(VLOOKUP(AD100,Input!$AC:$AH,6,0),"")</f>
        <v/>
      </c>
      <c r="AF100" s="281" t="e">
        <f>LARGE(AE87:AE102,AC100)</f>
        <v>#NUM!</v>
      </c>
      <c r="AG100" s="281" t="e">
        <f>VLOOKUP(AM100,Input!$AC:$AF,4,0)</f>
        <v>#NUM!</v>
      </c>
      <c r="AH100" s="281" t="e">
        <f>AG100&amp;COUNTIF(AG87:AG100,AG100)</f>
        <v>#NUM!</v>
      </c>
      <c r="AI100" s="281" t="e">
        <f t="shared" si="45"/>
        <v>#NUM!</v>
      </c>
      <c r="AJ100" s="281" t="e">
        <f>AI100&amp;COUNTIF(AI87:AI100,AI100)</f>
        <v>#NUM!</v>
      </c>
      <c r="AK100" s="281" t="str">
        <f>IFERROR(VLOOKUP(AM100,G12:G21,1,0),"B")</f>
        <v>B</v>
      </c>
      <c r="AL100" s="281" t="str">
        <f>AK100&amp;COUNTIF(AK87:AK100,AK100)</f>
        <v>B14</v>
      </c>
      <c r="AM100" s="281" t="e">
        <f t="array" ref="AM100">INDEX(AD$87:AD$102,SMALL(IF(AE$87:AE$102=AF100,ROW(AE$87:AE$102)-ROW(AF$87)+1),COUNTIF(AF$87:AF100,AF100)))</f>
        <v>#NUM!</v>
      </c>
      <c r="AN100" s="41" t="s">
        <v>604</v>
      </c>
      <c r="AO100" s="17"/>
      <c r="AP100" s="289" t="str">
        <f>IFERROR(VLOOKUP(VLOOKUP(G25,Input!$AC:$AG,5,0),Schedule!$T$3:$U$34,2,0),"")</f>
        <v/>
      </c>
    </row>
    <row r="101" spans="1:42" ht="15.75" thickBot="1" x14ac:dyDescent="0.3">
      <c r="A101" s="114"/>
      <c r="B101" s="115" t="s">
        <v>739</v>
      </c>
      <c r="C101" s="116"/>
      <c r="D101" s="116"/>
      <c r="E101" s="116"/>
      <c r="F101" s="116"/>
      <c r="G101" s="116"/>
      <c r="H101" s="116"/>
      <c r="I101" s="116"/>
      <c r="J101" s="116"/>
      <c r="K101" s="117"/>
      <c r="L101" s="127"/>
      <c r="AC101" s="39">
        <v>15</v>
      </c>
      <c r="AD101" s="27" t="str">
        <f>IFERROR(VLOOKUP(AD$86&amp;AC101,Input!$AB:$AC,2,0),"")</f>
        <v/>
      </c>
      <c r="AE101" s="281" t="str">
        <f>IFERROR(VLOOKUP(AD101,Input!$AC:$AH,6,0),"")</f>
        <v/>
      </c>
      <c r="AF101" s="281" t="e">
        <f>LARGE(AE87:AE102,AC101)</f>
        <v>#NUM!</v>
      </c>
      <c r="AG101" s="281" t="e">
        <f>VLOOKUP(AM101,Input!$AC:$AF,4,0)</f>
        <v>#NUM!</v>
      </c>
      <c r="AH101" s="281" t="e">
        <f>AG101&amp;COUNTIF(AG87:AG101,AG101)</f>
        <v>#NUM!</v>
      </c>
      <c r="AI101" s="281" t="e">
        <f t="shared" si="45"/>
        <v>#NUM!</v>
      </c>
      <c r="AJ101" s="281" t="e">
        <f>AI101&amp;COUNTIF(AI87:AI101,AI101)</f>
        <v>#NUM!</v>
      </c>
      <c r="AK101" s="281" t="str">
        <f>IFERROR(VLOOKUP(AM101,G12:G21,1,0),"B")</f>
        <v>B</v>
      </c>
      <c r="AL101" s="281" t="str">
        <f>AK101&amp;COUNTIF(AK87:AK101,AK101)</f>
        <v>B15</v>
      </c>
      <c r="AM101" s="281" t="e">
        <f t="array" ref="AM101">INDEX(AD$87:AD$102,SMALL(IF(AE$87:AE$102=AF101,ROW(AE$87:AE$102)-ROW(AF$87)+1),COUNTIF(AF$87:AF101,AF101)))</f>
        <v>#NUM!</v>
      </c>
      <c r="AN101" s="41" t="s">
        <v>605</v>
      </c>
      <c r="AO101" s="17"/>
      <c r="AP101" s="289" t="str">
        <f>IFERROR(VLOOKUP(VLOOKUP(G26,Input!$AC:$AG,5,0),Schedule!$T$3:$U$34,2,0),"")</f>
        <v/>
      </c>
    </row>
    <row r="102" spans="1:42" ht="15.75" hidden="1" customHeight="1" thickBot="1" x14ac:dyDescent="0.3">
      <c r="B102" t="str">
        <f>Players!B2</f>
        <v>David Johnson</v>
      </c>
      <c r="AC102" s="40">
        <v>16</v>
      </c>
      <c r="AD102" s="29" t="str">
        <f>IFERROR(VLOOKUP(AD$86&amp;AC102,Input!$AB:$AC,2,0),"")</f>
        <v/>
      </c>
      <c r="AE102" s="282" t="str">
        <f>IFERROR(VLOOKUP(AD102,Input!$AC:$AH,6,0),"")</f>
        <v/>
      </c>
      <c r="AF102" s="281" t="e">
        <f>LARGE(AE87:AE102,AC102)</f>
        <v>#NUM!</v>
      </c>
      <c r="AG102" s="282" t="e">
        <f>VLOOKUP(AM102,Input!$AC:$AF,4,0)</f>
        <v>#NUM!</v>
      </c>
      <c r="AH102" s="282" t="e">
        <f>AG102&amp;COUNTIF(AG87:AG102,AG102)</f>
        <v>#NUM!</v>
      </c>
      <c r="AI102" s="282" t="e">
        <f t="shared" si="45"/>
        <v>#NUM!</v>
      </c>
      <c r="AJ102" s="282" t="e">
        <f>AI102&amp;COUNTIF(AI87:AI102,AI102)</f>
        <v>#NUM!</v>
      </c>
      <c r="AK102" s="282" t="str">
        <f>IFERROR(VLOOKUP(AM102,G12:G21,1,0),"B")</f>
        <v>B</v>
      </c>
      <c r="AL102" s="282" t="str">
        <f>AK102&amp;COUNTIF(AK87:AK102,AK102)</f>
        <v>B16</v>
      </c>
      <c r="AM102" s="282" t="e">
        <f t="array" ref="AM102">INDEX(AD$87:AD$102,SMALL(IF(AE$87:AE$102=AF102,ROW(AE$87:AE$102)-ROW(AF$87)+1),COUNTIF(AF$87:AF102,AF102)))</f>
        <v>#NUM!</v>
      </c>
      <c r="AN102" s="42" t="s">
        <v>606</v>
      </c>
      <c r="AO102" s="283"/>
      <c r="AP102" s="290" t="str">
        <f>IFERROR(VLOOKUP(VLOOKUP(G27,Input!$AC:$AG,5,0),Schedule!$T$3:$U$34,2,0),"")</f>
        <v/>
      </c>
    </row>
    <row r="103" spans="1:42" ht="15.75" hidden="1" customHeight="1" thickBot="1" x14ac:dyDescent="0.3">
      <c r="B103" s="68" t="str">
        <f>Players!B3</f>
        <v>LeVeon Bell</v>
      </c>
      <c r="AC103" s="284"/>
      <c r="AD103" s="285" t="str">
        <f>Input!BF1</f>
        <v>Team 8</v>
      </c>
      <c r="AE103" s="286" t="s">
        <v>5</v>
      </c>
      <c r="AF103" s="286" t="s">
        <v>905</v>
      </c>
      <c r="AG103" s="286" t="s">
        <v>904</v>
      </c>
      <c r="AH103" s="286" t="s">
        <v>906</v>
      </c>
      <c r="AI103" s="286" t="s">
        <v>907</v>
      </c>
      <c r="AJ103" s="286" t="s">
        <v>908</v>
      </c>
      <c r="AK103" s="286" t="s">
        <v>658</v>
      </c>
      <c r="AL103" s="286" t="s">
        <v>909</v>
      </c>
      <c r="AM103" s="286" t="s">
        <v>910</v>
      </c>
      <c r="AN103" s="287" t="s">
        <v>904</v>
      </c>
      <c r="AO103" s="287" t="s">
        <v>5</v>
      </c>
      <c r="AP103" s="288" t="s">
        <v>728</v>
      </c>
    </row>
    <row r="104" spans="1:42" ht="15" hidden="1" customHeight="1" x14ac:dyDescent="0.25">
      <c r="B104" s="68" t="str">
        <f>Players!B4</f>
        <v>Ezekiel Elliott</v>
      </c>
      <c r="AC104" s="39">
        <v>1</v>
      </c>
      <c r="AD104" s="27" t="str">
        <f>IFERROR(VLOOKUP(AD$103&amp;AC104,Input!$AB:$AC,2,0),"")</f>
        <v/>
      </c>
      <c r="AE104" s="281" t="str">
        <f>IFERROR(VLOOKUP(AD104,Input!$AC:$AH,6,0),"")</f>
        <v/>
      </c>
      <c r="AF104" s="281" t="e">
        <f>LARGE(AE104:AE119,AC104)</f>
        <v>#NUM!</v>
      </c>
      <c r="AG104" s="281" t="e">
        <f>VLOOKUP(AM104,Input!$AC:$AF,4,0)</f>
        <v>#NUM!</v>
      </c>
      <c r="AH104" s="281" t="e">
        <f>AG104&amp;COUNTIF(AG104:AG104,AG104)</f>
        <v>#NUM!</v>
      </c>
      <c r="AI104" s="281" t="e">
        <f t="shared" ref="AI104:AI119" si="46">IF(AH104="RB3","F",IF(AH104="WR3","F",IF(AH104="TE2","F",0)))</f>
        <v>#NUM!</v>
      </c>
      <c r="AJ104" s="281" t="e">
        <f>AI104&amp;COUNTIF(AI104:AI104,AI104)</f>
        <v>#NUM!</v>
      </c>
      <c r="AK104" s="281" t="str">
        <f>IFERROR(VLOOKUP(AM104,H12:H21,1,0),"B")</f>
        <v>B</v>
      </c>
      <c r="AL104" s="281" t="str">
        <f>AK104&amp;COUNTIF(AK104:AK104,AK104)</f>
        <v>B1</v>
      </c>
      <c r="AM104" s="281" t="e">
        <f t="array" ref="AM104">INDEX(AD$104:AD$119,SMALL(IF(AE$104:AE$119=AF104,ROW(AE$104:AE$119)-ROW(AF$104)+1),COUNTIF(AF$104:AF104,AF104)))</f>
        <v>#NUM!</v>
      </c>
      <c r="AN104" s="39" t="s">
        <v>591</v>
      </c>
      <c r="AO104" s="281" t="str">
        <f>IFERROR(VLOOKUP(H12,Input!$AC:$AH,6,0),"")</f>
        <v/>
      </c>
      <c r="AP104" s="289" t="str">
        <f>IFERROR(VLOOKUP(VLOOKUP(H12,Input!$AC:$AG,5,0),Schedule!$T$3:$U$34,2,0),"")</f>
        <v/>
      </c>
    </row>
    <row r="105" spans="1:42" ht="15" hidden="1" customHeight="1" x14ac:dyDescent="0.25">
      <c r="B105" s="68" t="str">
        <f>Players!B5</f>
        <v>Antonio Brown</v>
      </c>
      <c r="AC105" s="39">
        <v>2</v>
      </c>
      <c r="AD105" s="27" t="str">
        <f>IFERROR(VLOOKUP(AD$103&amp;AC105,Input!$AB:$AC,2,0),"")</f>
        <v/>
      </c>
      <c r="AE105" s="281" t="str">
        <f>IFERROR(VLOOKUP(AD105,Input!$AC:$AH,6,0),"")</f>
        <v/>
      </c>
      <c r="AF105" s="281" t="e">
        <f>LARGE(AE104:AE119,AC105)</f>
        <v>#NUM!</v>
      </c>
      <c r="AG105" s="281" t="e">
        <f>VLOOKUP(AM105,Input!$AC:$AF,4,0)</f>
        <v>#NUM!</v>
      </c>
      <c r="AH105" s="281" t="e">
        <f>AG105&amp;COUNTIF(AG104:AG105,AG105)</f>
        <v>#NUM!</v>
      </c>
      <c r="AI105" s="281" t="e">
        <f t="shared" si="46"/>
        <v>#NUM!</v>
      </c>
      <c r="AJ105" s="281" t="e">
        <f>AI105&amp;COUNTIF(AI104:AI105,AI105)</f>
        <v>#NUM!</v>
      </c>
      <c r="AK105" s="281" t="str">
        <f>IFERROR(VLOOKUP(AM105,H12:H21,1,0),"B")</f>
        <v>B</v>
      </c>
      <c r="AL105" s="281" t="str">
        <f>AK105&amp;COUNTIF(AK104:AK105,AK105)</f>
        <v>B2</v>
      </c>
      <c r="AM105" s="281" t="e">
        <f t="array" ref="AM105">INDEX(AD$104:AD$119,SMALL(IF(AE$104:AE$119=AF105,ROW(AE$104:AE$119)-ROW(AF$104)+1),COUNTIF(AF$104:AF105,AF105)))</f>
        <v>#NUM!</v>
      </c>
      <c r="AN105" s="39" t="s">
        <v>592</v>
      </c>
      <c r="AO105" s="281" t="str">
        <f>IFERROR(VLOOKUP(H13,Input!$AC:$AH,6,0),"")</f>
        <v/>
      </c>
      <c r="AP105" s="289" t="str">
        <f>IFERROR(VLOOKUP(VLOOKUP(H13,Input!$AC:$AG,5,0),Schedule!$T$3:$U$34,2,0),"")</f>
        <v/>
      </c>
    </row>
    <row r="106" spans="1:42" ht="15" hidden="1" customHeight="1" x14ac:dyDescent="0.25">
      <c r="B106" s="68" t="str">
        <f>Players!B6</f>
        <v>Devonta Freeman</v>
      </c>
      <c r="AC106" s="39">
        <v>3</v>
      </c>
      <c r="AD106" s="27" t="str">
        <f>IFERROR(VLOOKUP(AD$103&amp;AC106,Input!$AB:$AC,2,0),"")</f>
        <v/>
      </c>
      <c r="AE106" s="281" t="str">
        <f>IFERROR(VLOOKUP(AD106,Input!$AC:$AH,6,0),"")</f>
        <v/>
      </c>
      <c r="AF106" s="281" t="e">
        <f>LARGE(AE104:AE119,AC106)</f>
        <v>#NUM!</v>
      </c>
      <c r="AG106" s="281" t="e">
        <f>VLOOKUP(AM106,Input!$AC:$AF,4,0)</f>
        <v>#NUM!</v>
      </c>
      <c r="AH106" s="281" t="e">
        <f>AG106&amp;COUNTIF(AG104:AG106,AG106)</f>
        <v>#NUM!</v>
      </c>
      <c r="AI106" s="281" t="e">
        <f t="shared" si="46"/>
        <v>#NUM!</v>
      </c>
      <c r="AJ106" s="281" t="e">
        <f>AI106&amp;COUNTIF(AI104:AI106,AI106)</f>
        <v>#NUM!</v>
      </c>
      <c r="AK106" s="281" t="str">
        <f>IFERROR(VLOOKUP(AM106,H12:H21,1,0),"B")</f>
        <v>B</v>
      </c>
      <c r="AL106" s="281" t="str">
        <f>AK106&amp;COUNTIF(AK104:AK106,AK106)</f>
        <v>B3</v>
      </c>
      <c r="AM106" s="281" t="e">
        <f t="array" ref="AM106">INDEX(AD$104:AD$119,SMALL(IF(AE$104:AE$119=AF106,ROW(AE$104:AE$119)-ROW(AF$104)+1),COUNTIF(AF$104:AF106,AF106)))</f>
        <v>#NUM!</v>
      </c>
      <c r="AN106" s="39" t="s">
        <v>593</v>
      </c>
      <c r="AO106" s="281" t="str">
        <f>IFERROR(VLOOKUP(H14,Input!$AC:$AH,6,0),"")</f>
        <v/>
      </c>
      <c r="AP106" s="289" t="str">
        <f>IFERROR(VLOOKUP(VLOOKUP(H14,Input!$AC:$AG,5,0),Schedule!$T$3:$U$34,2,0),"")</f>
        <v/>
      </c>
    </row>
    <row r="107" spans="1:42" ht="15" hidden="1" customHeight="1" x14ac:dyDescent="0.25">
      <c r="B107" s="68" t="str">
        <f>Players!B7</f>
        <v>LeSean McCoy</v>
      </c>
      <c r="AC107" s="39">
        <v>4</v>
      </c>
      <c r="AD107" s="27" t="str">
        <f>IFERROR(VLOOKUP(AD$103&amp;AC107,Input!$AB:$AC,2,0),"")</f>
        <v/>
      </c>
      <c r="AE107" s="281" t="str">
        <f>IFERROR(VLOOKUP(AD107,Input!$AC:$AH,6,0),"")</f>
        <v/>
      </c>
      <c r="AF107" s="281" t="e">
        <f>LARGE(AE104:AE119,AC107)</f>
        <v>#NUM!</v>
      </c>
      <c r="AG107" s="281" t="e">
        <f>VLOOKUP(AM107,Input!$AC:$AF,4,0)</f>
        <v>#NUM!</v>
      </c>
      <c r="AH107" s="281" t="e">
        <f>AG107&amp;COUNTIF(AG104:AG107,AG107)</f>
        <v>#NUM!</v>
      </c>
      <c r="AI107" s="281" t="e">
        <f t="shared" si="46"/>
        <v>#NUM!</v>
      </c>
      <c r="AJ107" s="281" t="e">
        <f>AI107&amp;COUNTIF(AI104:AI107,AI107)</f>
        <v>#NUM!</v>
      </c>
      <c r="AK107" s="281" t="str">
        <f>IFERROR(VLOOKUP(AM107,H12:H21,1,0),"B")</f>
        <v>B</v>
      </c>
      <c r="AL107" s="281" t="str">
        <f>AK107&amp;COUNTIF(AK104:AK107,AK107)</f>
        <v>B4</v>
      </c>
      <c r="AM107" s="281" t="e">
        <f t="array" ref="AM107">INDEX(AD$104:AD$119,SMALL(IF(AE$104:AE$119=AF107,ROW(AE$104:AE$119)-ROW(AF$104)+1),COUNTIF(AF$104:AF107,AF107)))</f>
        <v>#NUM!</v>
      </c>
      <c r="AN107" s="41" t="s">
        <v>594</v>
      </c>
      <c r="AO107" s="281" t="str">
        <f>IFERROR(VLOOKUP(H15,Input!$AC:$AH,6,0),"")</f>
        <v/>
      </c>
      <c r="AP107" s="289" t="str">
        <f>IFERROR(VLOOKUP(VLOOKUP(H15,Input!$AC:$AG,5,0),Schedule!$T$3:$U$34,2,0),"")</f>
        <v/>
      </c>
    </row>
    <row r="108" spans="1:42" ht="15" hidden="1" customHeight="1" x14ac:dyDescent="0.25">
      <c r="B108" s="68" t="str">
        <f>Players!B8</f>
        <v>Julio Jones</v>
      </c>
      <c r="AC108" s="39">
        <v>5</v>
      </c>
      <c r="AD108" s="27" t="str">
        <f>IFERROR(VLOOKUP(AD$103&amp;AC108,Input!$AB:$AC,2,0),"")</f>
        <v/>
      </c>
      <c r="AE108" s="281" t="str">
        <f>IFERROR(VLOOKUP(AD108,Input!$AC:$AH,6,0),"")</f>
        <v/>
      </c>
      <c r="AF108" s="281" t="e">
        <f>LARGE(AE104:AE119,AC108)</f>
        <v>#NUM!</v>
      </c>
      <c r="AG108" s="281" t="e">
        <f>VLOOKUP(AM108,Input!$AC:$AF,4,0)</f>
        <v>#NUM!</v>
      </c>
      <c r="AH108" s="281" t="e">
        <f>AG108&amp;COUNTIF(AG104:AG108,AG108)</f>
        <v>#NUM!</v>
      </c>
      <c r="AI108" s="281" t="e">
        <f t="shared" si="46"/>
        <v>#NUM!</v>
      </c>
      <c r="AJ108" s="281" t="e">
        <f>AI108&amp;COUNTIF(AI104:AI108,AI108)</f>
        <v>#NUM!</v>
      </c>
      <c r="AK108" s="281" t="str">
        <f>IFERROR(VLOOKUP(AM108,H12:H21,1,0),"B")</f>
        <v>B</v>
      </c>
      <c r="AL108" s="281" t="str">
        <f>AK108&amp;COUNTIF(AK104:AK108,AK108)</f>
        <v>B5</v>
      </c>
      <c r="AM108" s="281" t="e">
        <f t="array" ref="AM108">INDEX(AD$104:AD$119,SMALL(IF(AE$104:AE$119=AF108,ROW(AE$104:AE$119)-ROW(AF$104)+1),COUNTIF(AF$104:AF108,AF108)))</f>
        <v>#NUM!</v>
      </c>
      <c r="AN108" s="41" t="s">
        <v>595</v>
      </c>
      <c r="AO108" s="281" t="str">
        <f>IFERROR(VLOOKUP(H16,Input!$AC:$AH,6,0),"")</f>
        <v/>
      </c>
      <c r="AP108" s="289" t="str">
        <f>IFERROR(VLOOKUP(VLOOKUP(H16,Input!$AC:$AG,5,0),Schedule!$T$3:$U$34,2,0),"")</f>
        <v/>
      </c>
    </row>
    <row r="109" spans="1:42" ht="15" hidden="1" customHeight="1" x14ac:dyDescent="0.25">
      <c r="B109" s="68" t="str">
        <f>Players!B9</f>
        <v>Odell Beckham</v>
      </c>
      <c r="AC109" s="39">
        <v>6</v>
      </c>
      <c r="AD109" s="27" t="str">
        <f>IFERROR(VLOOKUP(AD$103&amp;AC109,Input!$AB:$AC,2,0),"")</f>
        <v/>
      </c>
      <c r="AE109" s="281" t="str">
        <f>IFERROR(VLOOKUP(AD109,Input!$AC:$AH,6,0),"")</f>
        <v/>
      </c>
      <c r="AF109" s="281" t="e">
        <f>LARGE(AE104:AE119,AC109)</f>
        <v>#NUM!</v>
      </c>
      <c r="AG109" s="281" t="e">
        <f>VLOOKUP(AM109,Input!$AC:$AF,4,0)</f>
        <v>#NUM!</v>
      </c>
      <c r="AH109" s="281" t="e">
        <f>AG109&amp;COUNTIF(AG104:AG109,AG109)</f>
        <v>#NUM!</v>
      </c>
      <c r="AI109" s="281" t="e">
        <f t="shared" si="46"/>
        <v>#NUM!</v>
      </c>
      <c r="AJ109" s="281" t="e">
        <f>AI109&amp;COUNTIF(AI104:AI109,AI109)</f>
        <v>#NUM!</v>
      </c>
      <c r="AK109" s="281" t="str">
        <f>IFERROR(VLOOKUP(AM109,H12:H21,1,0),"B")</f>
        <v>B</v>
      </c>
      <c r="AL109" s="281" t="str">
        <f>AK109&amp;COUNTIF(AK104:AK109,AK109)</f>
        <v>B6</v>
      </c>
      <c r="AM109" s="281" t="e">
        <f t="array" ref="AM109">INDEX(AD$104:AD$119,SMALL(IF(AE$104:AE$119=AF109,ROW(AE$104:AE$119)-ROW(AF$104)+1),COUNTIF(AF$104:AF109,AF109)))</f>
        <v>#NUM!</v>
      </c>
      <c r="AN109" s="41" t="s">
        <v>596</v>
      </c>
      <c r="AO109" s="281" t="str">
        <f>IFERROR(VLOOKUP(H17,Input!$AC:$AH,6,0),"")</f>
        <v/>
      </c>
      <c r="AP109" s="289" t="str">
        <f>IFERROR(VLOOKUP(VLOOKUP(H17,Input!$AC:$AG,5,0),Schedule!$T$3:$U$34,2,0),"")</f>
        <v/>
      </c>
    </row>
    <row r="110" spans="1:42" ht="15" hidden="1" customHeight="1" x14ac:dyDescent="0.25">
      <c r="B110" s="68" t="str">
        <f>Players!B10</f>
        <v>Jordan Howard</v>
      </c>
      <c r="AC110" s="39">
        <v>7</v>
      </c>
      <c r="AD110" s="27" t="str">
        <f>IFERROR(VLOOKUP(AD$103&amp;AC110,Input!$AB:$AC,2,0),"")</f>
        <v/>
      </c>
      <c r="AE110" s="281" t="str">
        <f>IFERROR(VLOOKUP(AD110,Input!$AC:$AH,6,0),"")</f>
        <v/>
      </c>
      <c r="AF110" s="281" t="e">
        <f>LARGE(AE104:AE119,AC110)</f>
        <v>#NUM!</v>
      </c>
      <c r="AG110" s="281" t="e">
        <f>VLOOKUP(AM110,Input!$AC:$AF,4,0)</f>
        <v>#NUM!</v>
      </c>
      <c r="AH110" s="281" t="e">
        <f>AG110&amp;COUNTIF(AG104:AG110,AG110)</f>
        <v>#NUM!</v>
      </c>
      <c r="AI110" s="281" t="e">
        <f t="shared" si="46"/>
        <v>#NUM!</v>
      </c>
      <c r="AJ110" s="281" t="e">
        <f>AI110&amp;COUNTIF(AI104:AI110,AI110)</f>
        <v>#NUM!</v>
      </c>
      <c r="AK110" s="281" t="str">
        <f>IFERROR(VLOOKUP(AM110,H12:H21,1,0),"B")</f>
        <v>B</v>
      </c>
      <c r="AL110" s="281" t="str">
        <f>AK110&amp;COUNTIF(AK104:AK110,AK110)</f>
        <v>B7</v>
      </c>
      <c r="AM110" s="281" t="e">
        <f t="array" ref="AM110">INDEX(AD$104:AD$119,SMALL(IF(AE$104:AE$119=AF110,ROW(AE$104:AE$119)-ROW(AF$104)+1),COUNTIF(AF$104:AF110,AF110)))</f>
        <v>#NUM!</v>
      </c>
      <c r="AN110" s="41" t="s">
        <v>597</v>
      </c>
      <c r="AO110" s="281" t="str">
        <f>IFERROR(VLOOKUP(H18,Input!$AC:$AH,6,0),"")</f>
        <v/>
      </c>
      <c r="AP110" s="289" t="str">
        <f>IFERROR(VLOOKUP(VLOOKUP(H18,Input!$AC:$AG,5,0),Schedule!$T$3:$U$34,2,0),"")</f>
        <v/>
      </c>
    </row>
    <row r="111" spans="1:42" ht="15" hidden="1" customHeight="1" x14ac:dyDescent="0.25">
      <c r="B111" s="68" t="str">
        <f>Players!B11</f>
        <v>Melvin Gordon</v>
      </c>
      <c r="AC111" s="39">
        <v>8</v>
      </c>
      <c r="AD111" s="27" t="str">
        <f>IFERROR(VLOOKUP(AD$103&amp;AC111,Input!$AB:$AC,2,0),"")</f>
        <v/>
      </c>
      <c r="AE111" s="281" t="str">
        <f>IFERROR(VLOOKUP(AD111,Input!$AC:$AH,6,0),"")</f>
        <v/>
      </c>
      <c r="AF111" s="281" t="e">
        <f>LARGE(AE104:AE119,AC111)</f>
        <v>#NUM!</v>
      </c>
      <c r="AG111" s="281" t="e">
        <f>VLOOKUP(AM111,Input!$AC:$AF,4,0)</f>
        <v>#NUM!</v>
      </c>
      <c r="AH111" s="281" t="e">
        <f>AG111&amp;COUNTIF(AG104:AG111,AG111)</f>
        <v>#NUM!</v>
      </c>
      <c r="AI111" s="281" t="e">
        <f t="shared" si="46"/>
        <v>#NUM!</v>
      </c>
      <c r="AJ111" s="281" t="e">
        <f>AI111&amp;COUNTIF(AI104:AI111,AI111)</f>
        <v>#NUM!</v>
      </c>
      <c r="AK111" s="281" t="str">
        <f>IFERROR(VLOOKUP(AM111,H12:H21,1,0),"B")</f>
        <v>B</v>
      </c>
      <c r="AL111" s="281" t="str">
        <f>AK111&amp;COUNTIF(AK104:AK111,AK111)</f>
        <v>B8</v>
      </c>
      <c r="AM111" s="281" t="e">
        <f t="array" ref="AM111">INDEX(AD$104:AD$119,SMALL(IF(AE$104:AE$119=AF111,ROW(AE$104:AE$119)-ROW(AF$104)+1),COUNTIF(AF$104:AF111,AF111)))</f>
        <v>#NUM!</v>
      </c>
      <c r="AN111" s="41" t="s">
        <v>598</v>
      </c>
      <c r="AO111" s="281" t="str">
        <f>IFERROR(VLOOKUP(H19,Input!$AC:$AH,6,0),"")</f>
        <v/>
      </c>
      <c r="AP111" s="289" t="str">
        <f>IFERROR(VLOOKUP(VLOOKUP(H19,Input!$AC:$AG,5,0),Schedule!$T$3:$U$34,2,0),"")</f>
        <v/>
      </c>
    </row>
    <row r="112" spans="1:42" ht="15" hidden="1" customHeight="1" x14ac:dyDescent="0.25">
      <c r="B112" s="68" t="str">
        <f>Players!B12</f>
        <v>Mike Evans</v>
      </c>
      <c r="AC112" s="39">
        <v>9</v>
      </c>
      <c r="AD112" s="27" t="str">
        <f>IFERROR(VLOOKUP(AD$103&amp;AC112,Input!$AB:$AC,2,0),"")</f>
        <v/>
      </c>
      <c r="AE112" s="281" t="str">
        <f>IFERROR(VLOOKUP(AD112,Input!$AC:$AH,6,0),"")</f>
        <v/>
      </c>
      <c r="AF112" s="281" t="e">
        <f>LARGE(AE104:AE119,AC112)</f>
        <v>#NUM!</v>
      </c>
      <c r="AG112" s="281" t="e">
        <f>VLOOKUP(AM112,Input!$AC:$AF,4,0)</f>
        <v>#NUM!</v>
      </c>
      <c r="AH112" s="281" t="e">
        <f>AG112&amp;COUNTIF(AG104:AG112,AG112)</f>
        <v>#NUM!</v>
      </c>
      <c r="AI112" s="281" t="e">
        <f t="shared" si="46"/>
        <v>#NUM!</v>
      </c>
      <c r="AJ112" s="281" t="e">
        <f>AI112&amp;COUNTIF(AI104:AI112,AI112)</f>
        <v>#NUM!</v>
      </c>
      <c r="AK112" s="281" t="str">
        <f>IFERROR(VLOOKUP(AM112,H12:H21,1,0),"B")</f>
        <v>B</v>
      </c>
      <c r="AL112" s="281" t="str">
        <f>AK112&amp;COUNTIF(AK104:AK112,AK112)</f>
        <v>B9</v>
      </c>
      <c r="AM112" s="281" t="e">
        <f t="array" ref="AM112">INDEX(AD$104:AD$119,SMALL(IF(AE$104:AE$119=AF112,ROW(AE$104:AE$119)-ROW(AF$104)+1),COUNTIF(AF$104:AF112,AF112)))</f>
        <v>#NUM!</v>
      </c>
      <c r="AN112" s="41" t="s">
        <v>599</v>
      </c>
      <c r="AO112" s="281" t="str">
        <f>IFERROR(VLOOKUP(H20,Input!$AC:$AH,6,0),"")</f>
        <v/>
      </c>
      <c r="AP112" s="289" t="str">
        <f>IFERROR(VLOOKUP(VLOOKUP(H20,Input!$AC:$AG,5,0),Schedule!$T$3:$U$34,2,0),"")</f>
        <v/>
      </c>
    </row>
    <row r="113" spans="2:42" ht="15" hidden="1" customHeight="1" x14ac:dyDescent="0.25">
      <c r="B113" s="68" t="str">
        <f>Players!B13</f>
        <v>Aaron Rodgers</v>
      </c>
      <c r="AC113" s="39">
        <v>10</v>
      </c>
      <c r="AD113" s="27" t="str">
        <f>IFERROR(VLOOKUP(AD$103&amp;AC113,Input!$AB:$AC,2,0),"")</f>
        <v/>
      </c>
      <c r="AE113" s="281" t="str">
        <f>IFERROR(VLOOKUP(AD113,Input!$AC:$AH,6,0),"")</f>
        <v/>
      </c>
      <c r="AF113" s="281" t="e">
        <f>LARGE(AE104:AE119,AC113)</f>
        <v>#NUM!</v>
      </c>
      <c r="AG113" s="281" t="e">
        <f>VLOOKUP(AM113,Input!$AC:$AF,4,0)</f>
        <v>#NUM!</v>
      </c>
      <c r="AH113" s="281" t="e">
        <f>AG113&amp;COUNTIF(AG104:AG113,AG113)</f>
        <v>#NUM!</v>
      </c>
      <c r="AI113" s="281" t="e">
        <f t="shared" si="46"/>
        <v>#NUM!</v>
      </c>
      <c r="AJ113" s="281" t="e">
        <f>AI113&amp;COUNTIF(AI104:AI113,AI113)</f>
        <v>#NUM!</v>
      </c>
      <c r="AK113" s="281" t="str">
        <f>IFERROR(VLOOKUP(AM113,H12:H21,1,0),"B")</f>
        <v>B</v>
      </c>
      <c r="AL113" s="281" t="str">
        <f>AK113&amp;COUNTIF(AK104:AK113,AK113)</f>
        <v>B10</v>
      </c>
      <c r="AM113" s="281" t="e">
        <f t="array" ref="AM113">INDEX(AD$104:AD$119,SMALL(IF(AE$104:AE$119=AF113,ROW(AE$104:AE$119)-ROW(AF$104)+1),COUNTIF(AF$104:AF113,AF113)))</f>
        <v>#NUM!</v>
      </c>
      <c r="AN113" s="41" t="s">
        <v>600</v>
      </c>
      <c r="AO113" s="281" t="str">
        <f>IFERROR(VLOOKUP(H21,Input!$AC:$AH,6,0),"")</f>
        <v/>
      </c>
      <c r="AP113" s="289" t="str">
        <f>IFERROR(VLOOKUP(VLOOKUP(H21,Input!$AC:$AG,5,0),Schedule!$T$3:$U$34,2,0),"")</f>
        <v/>
      </c>
    </row>
    <row r="114" spans="2:42" ht="15" hidden="1" customHeight="1" x14ac:dyDescent="0.25">
      <c r="B114" s="68" t="str">
        <f>Players!B14</f>
        <v>Jordy Nelson</v>
      </c>
      <c r="AC114" s="39">
        <v>11</v>
      </c>
      <c r="AD114" s="27" t="str">
        <f>IFERROR(VLOOKUP(AD$103&amp;AC114,Input!$AB:$AC,2,0),"")</f>
        <v/>
      </c>
      <c r="AE114" s="281" t="str">
        <f>IFERROR(VLOOKUP(AD114,Input!$AC:$AH,6,0),"")</f>
        <v/>
      </c>
      <c r="AF114" s="281" t="e">
        <f>LARGE(AE104:AE119,AC114)</f>
        <v>#NUM!</v>
      </c>
      <c r="AG114" s="281" t="e">
        <f>VLOOKUP(AM114,Input!$AC:$AF,4,0)</f>
        <v>#NUM!</v>
      </c>
      <c r="AH114" s="281" t="e">
        <f>AG114&amp;COUNTIF(AG104:AG114,AG114)</f>
        <v>#NUM!</v>
      </c>
      <c r="AI114" s="281" t="e">
        <f t="shared" si="46"/>
        <v>#NUM!</v>
      </c>
      <c r="AJ114" s="281" t="e">
        <f>AI114&amp;COUNTIF(AI104:AI114,AI114)</f>
        <v>#NUM!</v>
      </c>
      <c r="AK114" s="281" t="str">
        <f>IFERROR(VLOOKUP(AM114,H12:H21,1,0),"B")</f>
        <v>B</v>
      </c>
      <c r="AL114" s="281" t="str">
        <f>AK114&amp;COUNTIF(AK104:AK114,AK114)</f>
        <v>B11</v>
      </c>
      <c r="AM114" s="281" t="e">
        <f t="array" ref="AM114">INDEX(AD$104:AD$119,SMALL(IF(AE$104:AE$119=AF114,ROW(AE$104:AE$119)-ROW(AF$104)+1),COUNTIF(AF$104:AF114,AF114)))</f>
        <v>#NUM!</v>
      </c>
      <c r="AN114" s="41" t="s">
        <v>601</v>
      </c>
      <c r="AO114" s="17" t="str">
        <f>IFERROR(VLOOKUP(H22,Input!$AC:$AH,6,0),"")</f>
        <v/>
      </c>
      <c r="AP114" s="289" t="str">
        <f>IFERROR(VLOOKUP(VLOOKUP(H22,Input!$AC:$AG,5,0),Schedule!$T$3:$U$34,2,0),"")</f>
        <v/>
      </c>
    </row>
    <row r="115" spans="2:42" ht="15" hidden="1" customHeight="1" x14ac:dyDescent="0.25">
      <c r="B115" s="68" t="str">
        <f>Players!B15</f>
        <v>DeMarco Murray</v>
      </c>
      <c r="AC115" s="39">
        <v>12</v>
      </c>
      <c r="AD115" s="27" t="str">
        <f>IFERROR(VLOOKUP(AD$103&amp;AC115,Input!$AB:$AC,2,0),"")</f>
        <v/>
      </c>
      <c r="AE115" s="281" t="str">
        <f>IFERROR(VLOOKUP(AD115,Input!$AC:$AH,6,0),"")</f>
        <v/>
      </c>
      <c r="AF115" s="281" t="e">
        <f>LARGE(AE104:AE119,AC115)</f>
        <v>#NUM!</v>
      </c>
      <c r="AG115" s="281" t="e">
        <f>VLOOKUP(AM115,Input!$AC:$AF,4,0)</f>
        <v>#NUM!</v>
      </c>
      <c r="AH115" s="281" t="e">
        <f>AG115&amp;COUNTIF(AG104:AG115,AG115)</f>
        <v>#NUM!</v>
      </c>
      <c r="AI115" s="281" t="e">
        <f t="shared" si="46"/>
        <v>#NUM!</v>
      </c>
      <c r="AJ115" s="281" t="e">
        <f>AI115&amp;COUNTIF(AI104:AI115,AI115)</f>
        <v>#NUM!</v>
      </c>
      <c r="AK115" s="281" t="str">
        <f>IFERROR(VLOOKUP(AM115,H12:H21,1,0),"B")</f>
        <v>B</v>
      </c>
      <c r="AL115" s="281" t="str">
        <f>AK115&amp;COUNTIF(AK104:AK115,AK115)</f>
        <v>B12</v>
      </c>
      <c r="AM115" s="281" t="e">
        <f t="array" ref="AM115">INDEX(AD$104:AD$119,SMALL(IF(AE$104:AE$119=AF115,ROW(AE$104:AE$119)-ROW(AF$104)+1),COUNTIF(AF$104:AF115,AF115)))</f>
        <v>#NUM!</v>
      </c>
      <c r="AN115" s="41" t="s">
        <v>602</v>
      </c>
      <c r="AO115" s="17"/>
      <c r="AP115" s="289" t="str">
        <f>IFERROR(VLOOKUP(VLOOKUP(H23,Input!$AC:$AG,5,0),Schedule!$T$3:$U$34,2,0),"")</f>
        <v/>
      </c>
    </row>
    <row r="116" spans="2:42" ht="15" hidden="1" customHeight="1" x14ac:dyDescent="0.25">
      <c r="B116" s="68" t="str">
        <f>Players!B16</f>
        <v>Travis Kelce</v>
      </c>
      <c r="AC116" s="39">
        <v>13</v>
      </c>
      <c r="AD116" s="27" t="str">
        <f>IFERROR(VLOOKUP(AD$103&amp;AC116,Input!$AB:$AC,2,0),"")</f>
        <v/>
      </c>
      <c r="AE116" s="281" t="str">
        <f>IFERROR(VLOOKUP(AD116,Input!$AC:$AH,6,0),"")</f>
        <v/>
      </c>
      <c r="AF116" s="281" t="e">
        <f>LARGE(AE104:AE119,AC116)</f>
        <v>#NUM!</v>
      </c>
      <c r="AG116" s="281" t="e">
        <f>VLOOKUP(AM116,Input!$AC:$AF,4,0)</f>
        <v>#NUM!</v>
      </c>
      <c r="AH116" s="281" t="e">
        <f>AG116&amp;COUNTIF(AG104:AG116,AG116)</f>
        <v>#NUM!</v>
      </c>
      <c r="AI116" s="281" t="e">
        <f t="shared" si="46"/>
        <v>#NUM!</v>
      </c>
      <c r="AJ116" s="281" t="e">
        <f>AI116&amp;COUNTIF(AI104:AI116,AI116)</f>
        <v>#NUM!</v>
      </c>
      <c r="AK116" s="281" t="str">
        <f>IFERROR(VLOOKUP(AM116,H12:H21,1,0),"B")</f>
        <v>B</v>
      </c>
      <c r="AL116" s="281" t="str">
        <f>AK116&amp;COUNTIF(AK104:AK116,AK116)</f>
        <v>B13</v>
      </c>
      <c r="AM116" s="281" t="e">
        <f t="array" ref="AM116">INDEX(AD$104:AD$119,SMALL(IF(AE$104:AE$119=AF116,ROW(AE$104:AE$119)-ROW(AF$104)+1),COUNTIF(AF$104:AF116,AF116)))</f>
        <v>#NUM!</v>
      </c>
      <c r="AN116" s="41" t="s">
        <v>603</v>
      </c>
      <c r="AO116" s="17"/>
      <c r="AP116" s="289" t="str">
        <f>IFERROR(VLOOKUP(VLOOKUP(H24,Input!$AC:$AG,5,0),Schedule!$T$3:$U$34,2,0),"")</f>
        <v/>
      </c>
    </row>
    <row r="117" spans="2:42" ht="15" hidden="1" customHeight="1" x14ac:dyDescent="0.25">
      <c r="B117" s="68" t="str">
        <f>Players!B17</f>
        <v>Rob Gronkowski</v>
      </c>
      <c r="AC117" s="39">
        <v>14</v>
      </c>
      <c r="AD117" s="27" t="str">
        <f>IFERROR(VLOOKUP(AD$103&amp;AC117,Input!$AB:$AC,2,0),"")</f>
        <v/>
      </c>
      <c r="AE117" s="281" t="str">
        <f>IFERROR(VLOOKUP(AD117,Input!$AC:$AH,6,0),"")</f>
        <v/>
      </c>
      <c r="AF117" s="281" t="e">
        <f>LARGE(AE104:AE119,AC117)</f>
        <v>#NUM!</v>
      </c>
      <c r="AG117" s="281" t="e">
        <f>VLOOKUP(AM117,Input!$AC:$AF,4,0)</f>
        <v>#NUM!</v>
      </c>
      <c r="AH117" s="281" t="e">
        <f>AG117&amp;COUNTIF(AG104:AG117,AG117)</f>
        <v>#NUM!</v>
      </c>
      <c r="AI117" s="281" t="e">
        <f t="shared" si="46"/>
        <v>#NUM!</v>
      </c>
      <c r="AJ117" s="281" t="e">
        <f>AI117&amp;COUNTIF(AI104:AI117,AI117)</f>
        <v>#NUM!</v>
      </c>
      <c r="AK117" s="281" t="str">
        <f>IFERROR(VLOOKUP(AM117,H12:H21,1,0),"B")</f>
        <v>B</v>
      </c>
      <c r="AL117" s="281" t="str">
        <f>AK117&amp;COUNTIF(AK104:AK117,AK117)</f>
        <v>B14</v>
      </c>
      <c r="AM117" s="281" t="e">
        <f t="array" ref="AM117">INDEX(AD$104:AD$119,SMALL(IF(AE$104:AE$119=AF117,ROW(AE$104:AE$119)-ROW(AF$104)+1),COUNTIF(AF$104:AF117,AF117)))</f>
        <v>#NUM!</v>
      </c>
      <c r="AN117" s="41" t="s">
        <v>604</v>
      </c>
      <c r="AO117" s="17"/>
      <c r="AP117" s="289" t="str">
        <f>IFERROR(VLOOKUP(VLOOKUP(H25,Input!$AC:$AG,5,0),Schedule!$T$3:$U$34,2,0),"")</f>
        <v/>
      </c>
    </row>
    <row r="118" spans="2:42" ht="15" hidden="1" customHeight="1" x14ac:dyDescent="0.25">
      <c r="B118" s="68" t="str">
        <f>Players!B18</f>
        <v>Jordan Reed</v>
      </c>
      <c r="AC118" s="39">
        <v>15</v>
      </c>
      <c r="AD118" s="27" t="str">
        <f>IFERROR(VLOOKUP(AD$103&amp;AC118,Input!$AB:$AC,2,0),"")</f>
        <v/>
      </c>
      <c r="AE118" s="281" t="str">
        <f>IFERROR(VLOOKUP(AD118,Input!$AC:$AH,6,0),"")</f>
        <v/>
      </c>
      <c r="AF118" s="281" t="e">
        <f>LARGE(AE104:AE119,AC118)</f>
        <v>#NUM!</v>
      </c>
      <c r="AG118" s="281" t="e">
        <f>VLOOKUP(AM118,Input!$AC:$AF,4,0)</f>
        <v>#NUM!</v>
      </c>
      <c r="AH118" s="281" t="e">
        <f>AG118&amp;COUNTIF(AG104:AG118,AG118)</f>
        <v>#NUM!</v>
      </c>
      <c r="AI118" s="281" t="e">
        <f t="shared" si="46"/>
        <v>#NUM!</v>
      </c>
      <c r="AJ118" s="281" t="e">
        <f>AI118&amp;COUNTIF(AI104:AI118,AI118)</f>
        <v>#NUM!</v>
      </c>
      <c r="AK118" s="281" t="str">
        <f>IFERROR(VLOOKUP(AM118,H12:H21,1,0),"B")</f>
        <v>B</v>
      </c>
      <c r="AL118" s="281" t="str">
        <f>AK118&amp;COUNTIF(AK104:AK118,AK118)</f>
        <v>B15</v>
      </c>
      <c r="AM118" s="281" t="e">
        <f t="array" ref="AM118">INDEX(AD$104:AD$119,SMALL(IF(AE$104:AE$119=AF118,ROW(AE$104:AE$119)-ROW(AF$104)+1),COUNTIF(AF$104:AF118,AF118)))</f>
        <v>#NUM!</v>
      </c>
      <c r="AN118" s="41" t="s">
        <v>605</v>
      </c>
      <c r="AO118" s="17"/>
      <c r="AP118" s="289" t="str">
        <f>IFERROR(VLOOKUP(VLOOKUP(H26,Input!$AC:$AG,5,0),Schedule!$T$3:$U$34,2,0),"")</f>
        <v/>
      </c>
    </row>
    <row r="119" spans="2:42" ht="15.75" hidden="1" customHeight="1" thickBot="1" x14ac:dyDescent="0.3">
      <c r="B119" s="68" t="str">
        <f>Players!B19</f>
        <v>Greg Olsen</v>
      </c>
      <c r="AC119" s="40">
        <v>16</v>
      </c>
      <c r="AD119" s="29" t="str">
        <f>IFERROR(VLOOKUP(AD$103&amp;AC119,Input!$AB:$AC,2,0),"")</f>
        <v/>
      </c>
      <c r="AE119" s="282" t="str">
        <f>IFERROR(VLOOKUP(AD119,Input!$AC:$AH,6,0),"")</f>
        <v/>
      </c>
      <c r="AF119" s="281" t="e">
        <f>LARGE(AE104:AE119,AC119)</f>
        <v>#NUM!</v>
      </c>
      <c r="AG119" s="282" t="e">
        <f>VLOOKUP(AM119,Input!$AC:$AF,4,0)</f>
        <v>#NUM!</v>
      </c>
      <c r="AH119" s="282" t="e">
        <f>AG119&amp;COUNTIF(AG104:AG119,AG119)</f>
        <v>#NUM!</v>
      </c>
      <c r="AI119" s="282" t="e">
        <f t="shared" si="46"/>
        <v>#NUM!</v>
      </c>
      <c r="AJ119" s="282" t="e">
        <f>AI119&amp;COUNTIF(AI104:AI119,AI119)</f>
        <v>#NUM!</v>
      </c>
      <c r="AK119" s="282" t="str">
        <f>IFERROR(VLOOKUP(AM119,H12:H21,1,0),"B")</f>
        <v>B</v>
      </c>
      <c r="AL119" s="282" t="str">
        <f>AK119&amp;COUNTIF(AK104:AK119,AK119)</f>
        <v>B16</v>
      </c>
      <c r="AM119" s="282" t="e">
        <f t="array" ref="AM119">INDEX(AD$104:AD$119,SMALL(IF(AE$104:AE$119=AF119,ROW(AE$104:AE$119)-ROW(AF$104)+1),COUNTIF(AF$104:AF119,AF119)))</f>
        <v>#NUM!</v>
      </c>
      <c r="AN119" s="42" t="s">
        <v>606</v>
      </c>
      <c r="AO119" s="283"/>
      <c r="AP119" s="290" t="str">
        <f>IFERROR(VLOOKUP(VLOOKUP(H27,Input!$AC:$AG,5,0),Schedule!$T$3:$U$34,2,0),"")</f>
        <v/>
      </c>
    </row>
    <row r="120" spans="2:42" ht="15.75" hidden="1" customHeight="1" thickBot="1" x14ac:dyDescent="0.3">
      <c r="B120" s="68" t="str">
        <f>Players!B20</f>
        <v>Jay Ajayi</v>
      </c>
      <c r="AC120" s="284"/>
      <c r="AD120" s="285" t="str">
        <f>Input!BG1</f>
        <v>Team Se</v>
      </c>
      <c r="AE120" s="286" t="s">
        <v>5</v>
      </c>
      <c r="AF120" s="286" t="s">
        <v>905</v>
      </c>
      <c r="AG120" s="286" t="s">
        <v>904</v>
      </c>
      <c r="AH120" s="286" t="s">
        <v>906</v>
      </c>
      <c r="AI120" s="286" t="s">
        <v>907</v>
      </c>
      <c r="AJ120" s="286" t="s">
        <v>908</v>
      </c>
      <c r="AK120" s="286" t="s">
        <v>658</v>
      </c>
      <c r="AL120" s="286" t="s">
        <v>909</v>
      </c>
      <c r="AM120" s="286" t="s">
        <v>910</v>
      </c>
      <c r="AN120" s="287" t="s">
        <v>904</v>
      </c>
      <c r="AO120" s="287" t="s">
        <v>5</v>
      </c>
      <c r="AP120" s="288" t="s">
        <v>728</v>
      </c>
    </row>
    <row r="121" spans="2:42" ht="15" hidden="1" customHeight="1" x14ac:dyDescent="0.25">
      <c r="B121" s="68" t="str">
        <f>Players!B21</f>
        <v>A.J. Green</v>
      </c>
      <c r="AC121" s="39">
        <v>1</v>
      </c>
      <c r="AD121" s="27" t="str">
        <f>IFERROR(VLOOKUP(AD$120&amp;AC121,Input!$AB:$AC,2,0),"")</f>
        <v/>
      </c>
      <c r="AE121" s="281" t="str">
        <f>IFERROR(VLOOKUP(AD121,Input!$AC:$AH,6,0),"")</f>
        <v/>
      </c>
      <c r="AF121" s="281" t="e">
        <f>LARGE(AE121:AE136,AC121)</f>
        <v>#NUM!</v>
      </c>
      <c r="AG121" s="281" t="e">
        <f>VLOOKUP(AM121,Input!$AC:$AF,4,0)</f>
        <v>#NUM!</v>
      </c>
      <c r="AH121" s="281" t="e">
        <f>AG121&amp;COUNTIF(AG121:AG121,AG121)</f>
        <v>#NUM!</v>
      </c>
      <c r="AI121" s="281" t="e">
        <f t="shared" ref="AI121:AI136" si="47">IF(AH121="RB3","F",IF(AH121="WR3","F",IF(AH121="TE2","F",0)))</f>
        <v>#NUM!</v>
      </c>
      <c r="AJ121" s="281" t="e">
        <f>AI121&amp;COUNTIF(AI121:AI121,AI121)</f>
        <v>#NUM!</v>
      </c>
      <c r="AK121" s="281" t="str">
        <f>IFERROR(VLOOKUP(AM121,I12:I21,1,0),"B")</f>
        <v>B</v>
      </c>
      <c r="AL121" s="281" t="str">
        <f>AK121&amp;COUNTIF(AK121:AK121,AK121)</f>
        <v>B1</v>
      </c>
      <c r="AM121" s="281" t="e">
        <f t="array" ref="AM121">INDEX(AD$121:AD$136,SMALL(IF(AE$121:AE$136=AF121,ROW(AE$121:AE$136)-ROW(AF$121)+1),COUNTIF(AF$121:AF121,AF121)))</f>
        <v>#NUM!</v>
      </c>
      <c r="AN121" s="39" t="s">
        <v>591</v>
      </c>
      <c r="AO121" s="281" t="str">
        <f>IFERROR(VLOOKUP(I12,Input!$AC:$AH,6,0),"")</f>
        <v/>
      </c>
      <c r="AP121" s="289" t="str">
        <f>IFERROR(VLOOKUP(VLOOKUP(I12,Input!$AC:$AG,5,0),Schedule!$T$3:$U$34,2,0),"")</f>
        <v/>
      </c>
    </row>
    <row r="122" spans="2:42" ht="15" hidden="1" customHeight="1" x14ac:dyDescent="0.25">
      <c r="B122" s="68" t="str">
        <f>Players!B22</f>
        <v>Michael Thomas</v>
      </c>
      <c r="AC122" s="39">
        <v>2</v>
      </c>
      <c r="AD122" s="27" t="str">
        <f>IFERROR(VLOOKUP(AD$120&amp;AC122,Input!$AB:$AC,2,0),"")</f>
        <v/>
      </c>
      <c r="AE122" s="281" t="str">
        <f>IFERROR(VLOOKUP(AD122,Input!$AC:$AH,6,0),"")</f>
        <v/>
      </c>
      <c r="AF122" s="281" t="e">
        <f>LARGE(AE121:AE136,AC122)</f>
        <v>#NUM!</v>
      </c>
      <c r="AG122" s="281" t="e">
        <f>VLOOKUP(AM122,Input!$AC:$AF,4,0)</f>
        <v>#NUM!</v>
      </c>
      <c r="AH122" s="281" t="e">
        <f>AG122&amp;COUNTIF(AG121:AG122,AG122)</f>
        <v>#NUM!</v>
      </c>
      <c r="AI122" s="281" t="e">
        <f t="shared" si="47"/>
        <v>#NUM!</v>
      </c>
      <c r="AJ122" s="281" t="e">
        <f>AI122&amp;COUNTIF(AI121:AI122,AI122)</f>
        <v>#NUM!</v>
      </c>
      <c r="AK122" s="281" t="str">
        <f>IFERROR(VLOOKUP(AM122,I12:I21,1,0),"B")</f>
        <v>B</v>
      </c>
      <c r="AL122" s="281" t="str">
        <f>AK122&amp;COUNTIF(AK121:AK122,AK122)</f>
        <v>B2</v>
      </c>
      <c r="AM122" s="281" t="e">
        <f t="array" ref="AM122">INDEX(AD$121:AD$136,SMALL(IF(AE$121:AE$136=AF122,ROW(AE$121:AE$136)-ROW(AF$121)+1),COUNTIF(AF$121:AF122,AF122)))</f>
        <v>#NUM!</v>
      </c>
      <c r="AN122" s="39" t="s">
        <v>592</v>
      </c>
      <c r="AO122" s="281" t="str">
        <f>IFERROR(VLOOKUP(I13,Input!$AC:$AH,6,0),"")</f>
        <v/>
      </c>
      <c r="AP122" s="289" t="str">
        <f>IFERROR(VLOOKUP(VLOOKUP(I13,Input!$AC:$AG,5,0),Schedule!$T$3:$U$34,2,0),"")</f>
        <v/>
      </c>
    </row>
    <row r="123" spans="2:42" ht="15" hidden="1" customHeight="1" x14ac:dyDescent="0.25">
      <c r="B123" s="68" t="str">
        <f>Players!B23</f>
        <v>Todd Gurley</v>
      </c>
      <c r="AC123" s="39">
        <v>3</v>
      </c>
      <c r="AD123" s="27" t="str">
        <f>IFERROR(VLOOKUP(AD$120&amp;AC123,Input!$AB:$AC,2,0),"")</f>
        <v/>
      </c>
      <c r="AE123" s="281" t="str">
        <f>IFERROR(VLOOKUP(AD123,Input!$AC:$AH,6,0),"")</f>
        <v/>
      </c>
      <c r="AF123" s="281" t="e">
        <f>LARGE(AE121:AE136,AC123)</f>
        <v>#NUM!</v>
      </c>
      <c r="AG123" s="281" t="e">
        <f>VLOOKUP(AM123,Input!$AC:$AF,4,0)</f>
        <v>#NUM!</v>
      </c>
      <c r="AH123" s="281" t="e">
        <f>AG123&amp;COUNTIF(AG121:AG123,AG123)</f>
        <v>#NUM!</v>
      </c>
      <c r="AI123" s="281" t="e">
        <f t="shared" si="47"/>
        <v>#NUM!</v>
      </c>
      <c r="AJ123" s="281" t="e">
        <f>AI123&amp;COUNTIF(AI121:AI123,AI123)</f>
        <v>#NUM!</v>
      </c>
      <c r="AK123" s="281" t="str">
        <f>IFERROR(VLOOKUP(AM123,I12:I21,1,0),"B")</f>
        <v>B</v>
      </c>
      <c r="AL123" s="281" t="str">
        <f>AK123&amp;COUNTIF(AK121:AK123,AK123)</f>
        <v>B3</v>
      </c>
      <c r="AM123" s="281" t="e">
        <f t="array" ref="AM123">INDEX(AD$121:AD$136,SMALL(IF(AE$121:AE$136=AF123,ROW(AE$121:AE$136)-ROW(AF$121)+1),COUNTIF(AF$121:AF123,AF123)))</f>
        <v>#NUM!</v>
      </c>
      <c r="AN123" s="39" t="s">
        <v>593</v>
      </c>
      <c r="AO123" s="281" t="str">
        <f>IFERROR(VLOOKUP(I14,Input!$AC:$AH,6,0),"")</f>
        <v/>
      </c>
      <c r="AP123" s="289" t="str">
        <f>IFERROR(VLOOKUP(VLOOKUP(I14,Input!$AC:$AG,5,0),Schedule!$T$3:$U$34,2,0),"")</f>
        <v/>
      </c>
    </row>
    <row r="124" spans="2:42" ht="15" hidden="1" customHeight="1" x14ac:dyDescent="0.25">
      <c r="B124" s="68" t="str">
        <f>Players!B24</f>
        <v>Tom Brady</v>
      </c>
      <c r="AC124" s="39">
        <v>4</v>
      </c>
      <c r="AD124" s="27" t="str">
        <f>IFERROR(VLOOKUP(AD$120&amp;AC124,Input!$AB:$AC,2,0),"")</f>
        <v/>
      </c>
      <c r="AE124" s="281" t="str">
        <f>IFERROR(VLOOKUP(AD124,Input!$AC:$AH,6,0),"")</f>
        <v/>
      </c>
      <c r="AF124" s="281" t="e">
        <f>LARGE(AE121:AE136,AC124)</f>
        <v>#NUM!</v>
      </c>
      <c r="AG124" s="281" t="e">
        <f>VLOOKUP(AM124,Input!$AC:$AF,4,0)</f>
        <v>#NUM!</v>
      </c>
      <c r="AH124" s="281" t="e">
        <f>AG124&amp;COUNTIF(AG121:AG124,AG124)</f>
        <v>#NUM!</v>
      </c>
      <c r="AI124" s="281" t="e">
        <f t="shared" si="47"/>
        <v>#NUM!</v>
      </c>
      <c r="AJ124" s="281" t="e">
        <f>AI124&amp;COUNTIF(AI121:AI124,AI124)</f>
        <v>#NUM!</v>
      </c>
      <c r="AK124" s="281" t="str">
        <f>IFERROR(VLOOKUP(AM124,I12:I21,1,0),"B")</f>
        <v>B</v>
      </c>
      <c r="AL124" s="281" t="str">
        <f>AK124&amp;COUNTIF(AK121:AK124,AK124)</f>
        <v>B4</v>
      </c>
      <c r="AM124" s="281" t="e">
        <f t="array" ref="AM124">INDEX(AD$121:AD$136,SMALL(IF(AE$121:AE$136=AF124,ROW(AE$121:AE$136)-ROW(AF$121)+1),COUNTIF(AF$121:AF124,AF124)))</f>
        <v>#NUM!</v>
      </c>
      <c r="AN124" s="41" t="s">
        <v>594</v>
      </c>
      <c r="AO124" s="281" t="str">
        <f>IFERROR(VLOOKUP(I15,Input!$AC:$AH,6,0),"")</f>
        <v/>
      </c>
      <c r="AP124" s="289" t="str">
        <f>IFERROR(VLOOKUP(VLOOKUP(I15,Input!$AC:$AG,5,0),Schedule!$T$3:$U$34,2,0),"")</f>
        <v/>
      </c>
    </row>
    <row r="125" spans="2:42" ht="15" hidden="1" customHeight="1" x14ac:dyDescent="0.25">
      <c r="B125" s="68" t="str">
        <f>Players!B25</f>
        <v>Redskins</v>
      </c>
      <c r="AC125" s="39">
        <v>5</v>
      </c>
      <c r="AD125" s="27" t="str">
        <f>IFERROR(VLOOKUP(AD$120&amp;AC125,Input!$AB:$AC,2,0),"")</f>
        <v/>
      </c>
      <c r="AE125" s="281" t="str">
        <f>IFERROR(VLOOKUP(AD125,Input!$AC:$AH,6,0),"")</f>
        <v/>
      </c>
      <c r="AF125" s="281" t="e">
        <f>LARGE(AE121:AE136,AC125)</f>
        <v>#NUM!</v>
      </c>
      <c r="AG125" s="281" t="e">
        <f>VLOOKUP(AM125,Input!$AC:$AF,4,0)</f>
        <v>#NUM!</v>
      </c>
      <c r="AH125" s="281" t="e">
        <f>AG125&amp;COUNTIF(AG121:AG125,AG125)</f>
        <v>#NUM!</v>
      </c>
      <c r="AI125" s="281" t="e">
        <f t="shared" si="47"/>
        <v>#NUM!</v>
      </c>
      <c r="AJ125" s="281" t="e">
        <f>AI125&amp;COUNTIF(AI121:AI125,AI125)</f>
        <v>#NUM!</v>
      </c>
      <c r="AK125" s="281" t="str">
        <f>IFERROR(VLOOKUP(AM125,I12:I21,1,0),"B")</f>
        <v>B</v>
      </c>
      <c r="AL125" s="281" t="str">
        <f>AK125&amp;COUNTIF(AK121:AK125,AK125)</f>
        <v>B5</v>
      </c>
      <c r="AM125" s="281" t="e">
        <f t="array" ref="AM125">INDEX(AD$121:AD$136,SMALL(IF(AE$121:AE$136=AF125,ROW(AE$121:AE$136)-ROW(AF$121)+1),COUNTIF(AF$121:AF125,AF125)))</f>
        <v>#NUM!</v>
      </c>
      <c r="AN125" s="41" t="s">
        <v>595</v>
      </c>
      <c r="AO125" s="281" t="str">
        <f>IFERROR(VLOOKUP(I16,Input!$AC:$AH,6,0),"")</f>
        <v/>
      </c>
      <c r="AP125" s="289" t="str">
        <f>IFERROR(VLOOKUP(VLOOKUP(I16,Input!$AC:$AG,5,0),Schedule!$T$3:$U$34,2,0),"")</f>
        <v/>
      </c>
    </row>
    <row r="126" spans="2:42" ht="15" hidden="1" customHeight="1" x14ac:dyDescent="0.25">
      <c r="B126" s="68" t="str">
        <f>Players!B26</f>
        <v>Lamar Miller</v>
      </c>
      <c r="AC126" s="39">
        <v>6</v>
      </c>
      <c r="AD126" s="27" t="str">
        <f>IFERROR(VLOOKUP(AD$120&amp;AC126,Input!$AB:$AC,2,0),"")</f>
        <v/>
      </c>
      <c r="AE126" s="281" t="str">
        <f>IFERROR(VLOOKUP(AD126,Input!$AC:$AH,6,0),"")</f>
        <v/>
      </c>
      <c r="AF126" s="281" t="e">
        <f>LARGE(AE121:AE136,AC126)</f>
        <v>#NUM!</v>
      </c>
      <c r="AG126" s="281" t="e">
        <f>VLOOKUP(AM126,Input!$AC:$AF,4,0)</f>
        <v>#NUM!</v>
      </c>
      <c r="AH126" s="281" t="e">
        <f>AG126&amp;COUNTIF(AG121:AG126,AG126)</f>
        <v>#NUM!</v>
      </c>
      <c r="AI126" s="281" t="e">
        <f t="shared" si="47"/>
        <v>#NUM!</v>
      </c>
      <c r="AJ126" s="281" t="e">
        <f>AI126&amp;COUNTIF(AI121:AI126,AI126)</f>
        <v>#NUM!</v>
      </c>
      <c r="AK126" s="281" t="str">
        <f>IFERROR(VLOOKUP(AM126,I12:I21,1,0),"B")</f>
        <v>B</v>
      </c>
      <c r="AL126" s="281" t="str">
        <f>AK126&amp;COUNTIF(AK121:AK126,AK126)</f>
        <v>B6</v>
      </c>
      <c r="AM126" s="281" t="e">
        <f t="array" ref="AM126">INDEX(AD$121:AD$136,SMALL(IF(AE$121:AE$136=AF126,ROW(AE$121:AE$136)-ROW(AF$121)+1),COUNTIF(AF$121:AF126,AF126)))</f>
        <v>#NUM!</v>
      </c>
      <c r="AN126" s="41" t="s">
        <v>596</v>
      </c>
      <c r="AO126" s="281" t="str">
        <f>IFERROR(VLOOKUP(I17,Input!$AC:$AH,6,0),"")</f>
        <v/>
      </c>
      <c r="AP126" s="289" t="str">
        <f>IFERROR(VLOOKUP(VLOOKUP(I17,Input!$AC:$AG,5,0),Schedule!$T$3:$U$34,2,0),"")</f>
        <v/>
      </c>
    </row>
    <row r="127" spans="2:42" ht="15" hidden="1" customHeight="1" x14ac:dyDescent="0.25">
      <c r="B127" s="68" t="str">
        <f>Players!B27</f>
        <v>T.Y. Hilton</v>
      </c>
      <c r="AC127" s="39">
        <v>7</v>
      </c>
      <c r="AD127" s="27" t="str">
        <f>IFERROR(VLOOKUP(AD$120&amp;AC127,Input!$AB:$AC,2,0),"")</f>
        <v/>
      </c>
      <c r="AE127" s="281" t="str">
        <f>IFERROR(VLOOKUP(AD127,Input!$AC:$AH,6,0),"")</f>
        <v/>
      </c>
      <c r="AF127" s="281" t="e">
        <f>LARGE(AE121:AE136,AC127)</f>
        <v>#NUM!</v>
      </c>
      <c r="AG127" s="281" t="e">
        <f>VLOOKUP(AM127,Input!$AC:$AF,4,0)</f>
        <v>#NUM!</v>
      </c>
      <c r="AH127" s="281" t="e">
        <f>AG127&amp;COUNTIF(AG121:AG127,AG127)</f>
        <v>#NUM!</v>
      </c>
      <c r="AI127" s="281" t="e">
        <f t="shared" si="47"/>
        <v>#NUM!</v>
      </c>
      <c r="AJ127" s="281" t="e">
        <f>AI127&amp;COUNTIF(AI121:AI127,AI127)</f>
        <v>#NUM!</v>
      </c>
      <c r="AK127" s="281" t="str">
        <f>IFERROR(VLOOKUP(AM127,I12:I21,1,0),"B")</f>
        <v>B</v>
      </c>
      <c r="AL127" s="281" t="str">
        <f>AK127&amp;COUNTIF(AK121:AK127,AK127)</f>
        <v>B7</v>
      </c>
      <c r="AM127" s="281" t="e">
        <f t="array" ref="AM127">INDEX(AD$121:AD$136,SMALL(IF(AE$121:AE$136=AF127,ROW(AE$121:AE$136)-ROW(AF$121)+1),COUNTIF(AF$121:AF127,AF127)))</f>
        <v>#NUM!</v>
      </c>
      <c r="AN127" s="41" t="s">
        <v>597</v>
      </c>
      <c r="AO127" s="281" t="str">
        <f>IFERROR(VLOOKUP(I18,Input!$AC:$AH,6,0),"")</f>
        <v/>
      </c>
      <c r="AP127" s="289" t="str">
        <f>IFERROR(VLOOKUP(VLOOKUP(I18,Input!$AC:$AG,5,0),Schedule!$T$3:$U$34,2,0),"")</f>
        <v/>
      </c>
    </row>
    <row r="128" spans="2:42" ht="15" hidden="1" customHeight="1" x14ac:dyDescent="0.25">
      <c r="B128" s="68" t="str">
        <f>Players!B28</f>
        <v>Leonard Fournette</v>
      </c>
      <c r="AC128" s="39">
        <v>8</v>
      </c>
      <c r="AD128" s="27" t="str">
        <f>IFERROR(VLOOKUP(AD$120&amp;AC128,Input!$AB:$AC,2,0),"")</f>
        <v/>
      </c>
      <c r="AE128" s="281" t="str">
        <f>IFERROR(VLOOKUP(AD128,Input!$AC:$AH,6,0),"")</f>
        <v/>
      </c>
      <c r="AF128" s="281" t="e">
        <f>LARGE(AE121:AE136,AC128)</f>
        <v>#NUM!</v>
      </c>
      <c r="AG128" s="281" t="e">
        <f>VLOOKUP(AM128,Input!$AC:$AF,4,0)</f>
        <v>#NUM!</v>
      </c>
      <c r="AH128" s="281" t="e">
        <f>AG128&amp;COUNTIF(AG121:AG128,AG128)</f>
        <v>#NUM!</v>
      </c>
      <c r="AI128" s="281" t="e">
        <f t="shared" si="47"/>
        <v>#NUM!</v>
      </c>
      <c r="AJ128" s="281" t="e">
        <f>AI128&amp;COUNTIF(AI121:AI128,AI128)</f>
        <v>#NUM!</v>
      </c>
      <c r="AK128" s="281" t="str">
        <f>IFERROR(VLOOKUP(AM128,I12:I21,1,0),"B")</f>
        <v>B</v>
      </c>
      <c r="AL128" s="281" t="str">
        <f>AK128&amp;COUNTIF(AK121:AK128,AK128)</f>
        <v>B8</v>
      </c>
      <c r="AM128" s="281" t="e">
        <f t="array" ref="AM128">INDEX(AD$121:AD$136,SMALL(IF(AE$121:AE$136=AF128,ROW(AE$121:AE$136)-ROW(AF$121)+1),COUNTIF(AF$121:AF128,AF128)))</f>
        <v>#NUM!</v>
      </c>
      <c r="AN128" s="41" t="s">
        <v>598</v>
      </c>
      <c r="AO128" s="281" t="str">
        <f>IFERROR(VLOOKUP(I19,Input!$AC:$AH,6,0),"")</f>
        <v/>
      </c>
      <c r="AP128" s="289" t="str">
        <f>IFERROR(VLOOKUP(VLOOKUP(I19,Input!$AC:$AG,5,0),Schedule!$T$3:$U$34,2,0),"")</f>
        <v/>
      </c>
    </row>
    <row r="129" spans="2:42" ht="15" hidden="1" customHeight="1" x14ac:dyDescent="0.25">
      <c r="B129" s="68" t="str">
        <f>Players!B29</f>
        <v>Doug Baldwin</v>
      </c>
      <c r="AC129" s="39">
        <v>9</v>
      </c>
      <c r="AD129" s="27" t="str">
        <f>IFERROR(VLOOKUP(AD$120&amp;AC129,Input!$AB:$AC,2,0),"")</f>
        <v/>
      </c>
      <c r="AE129" s="281" t="str">
        <f>IFERROR(VLOOKUP(AD129,Input!$AC:$AH,6,0),"")</f>
        <v/>
      </c>
      <c r="AF129" s="281" t="e">
        <f>LARGE(AE121:AE136,AC129)</f>
        <v>#NUM!</v>
      </c>
      <c r="AG129" s="281" t="e">
        <f>VLOOKUP(AM129,Input!$AC:$AF,4,0)</f>
        <v>#NUM!</v>
      </c>
      <c r="AH129" s="281" t="e">
        <f>AG129&amp;COUNTIF(AG121:AG129,AG129)</f>
        <v>#NUM!</v>
      </c>
      <c r="AI129" s="281" t="e">
        <f t="shared" si="47"/>
        <v>#NUM!</v>
      </c>
      <c r="AJ129" s="281" t="e">
        <f>AI129&amp;COUNTIF(AI121:AI129,AI129)</f>
        <v>#NUM!</v>
      </c>
      <c r="AK129" s="281" t="str">
        <f>IFERROR(VLOOKUP(AM129,I12:I21,1,0),"B")</f>
        <v>B</v>
      </c>
      <c r="AL129" s="281" t="str">
        <f>AK129&amp;COUNTIF(AK121:AK129,AK129)</f>
        <v>B9</v>
      </c>
      <c r="AM129" s="281" t="e">
        <f t="array" ref="AM129">INDEX(AD$121:AD$136,SMALL(IF(AE$121:AE$136=AF129,ROW(AE$121:AE$136)-ROW(AF$121)+1),COUNTIF(AF$121:AF129,AF129)))</f>
        <v>#NUM!</v>
      </c>
      <c r="AN129" s="41" t="s">
        <v>599</v>
      </c>
      <c r="AO129" s="281" t="str">
        <f>IFERROR(VLOOKUP(I20,Input!$AC:$AH,6,0),"")</f>
        <v/>
      </c>
      <c r="AP129" s="289" t="str">
        <f>IFERROR(VLOOKUP(VLOOKUP(I20,Input!$AC:$AG,5,0),Schedule!$T$3:$U$34,2,0),"")</f>
        <v/>
      </c>
    </row>
    <row r="130" spans="2:42" ht="15" hidden="1" customHeight="1" x14ac:dyDescent="0.25">
      <c r="B130" s="68" t="str">
        <f>Players!B30</f>
        <v>Kyle Rudolph</v>
      </c>
      <c r="AC130" s="39">
        <v>10</v>
      </c>
      <c r="AD130" s="27" t="str">
        <f>IFERROR(VLOOKUP(AD$120&amp;AC130,Input!$AB:$AC,2,0),"")</f>
        <v/>
      </c>
      <c r="AE130" s="281" t="str">
        <f>IFERROR(VLOOKUP(AD130,Input!$AC:$AH,6,0),"")</f>
        <v/>
      </c>
      <c r="AF130" s="281" t="e">
        <f>LARGE(AE121:AE136,AC130)</f>
        <v>#NUM!</v>
      </c>
      <c r="AG130" s="281" t="e">
        <f>VLOOKUP(AM130,Input!$AC:$AF,4,0)</f>
        <v>#NUM!</v>
      </c>
      <c r="AH130" s="281" t="e">
        <f>AG130&amp;COUNTIF(AG121:AG130,AG130)</f>
        <v>#NUM!</v>
      </c>
      <c r="AI130" s="281" t="e">
        <f t="shared" si="47"/>
        <v>#NUM!</v>
      </c>
      <c r="AJ130" s="281" t="e">
        <f>AI130&amp;COUNTIF(AI121:AI130,AI130)</f>
        <v>#NUM!</v>
      </c>
      <c r="AK130" s="281" t="str">
        <f>IFERROR(VLOOKUP(AM130,I12:I21,1,0),"B")</f>
        <v>B</v>
      </c>
      <c r="AL130" s="281" t="str">
        <f>AK130&amp;COUNTIF(AK121:AK130,AK130)</f>
        <v>B10</v>
      </c>
      <c r="AM130" s="281" t="e">
        <f t="array" ref="AM130">INDEX(AD$121:AD$136,SMALL(IF(AE$121:AE$136=AF130,ROW(AE$121:AE$136)-ROW(AF$121)+1),COUNTIF(AF$121:AF130,AF130)))</f>
        <v>#NUM!</v>
      </c>
      <c r="AN130" s="41" t="s">
        <v>600</v>
      </c>
      <c r="AO130" s="281" t="str">
        <f>IFERROR(VLOOKUP(I21,Input!$AC:$AH,6,0),"")</f>
        <v/>
      </c>
      <c r="AP130" s="289" t="str">
        <f>IFERROR(VLOOKUP(VLOOKUP(I21,Input!$AC:$AG,5,0),Schedule!$T$3:$U$34,2,0),"")</f>
        <v/>
      </c>
    </row>
    <row r="131" spans="2:42" ht="15" hidden="1" customHeight="1" x14ac:dyDescent="0.25">
      <c r="B131" s="68" t="str">
        <f>Players!B31</f>
        <v>Ty Montgomery</v>
      </c>
      <c r="AC131" s="39">
        <v>11</v>
      </c>
      <c r="AD131" s="27" t="str">
        <f>IFERROR(VLOOKUP(AD$120&amp;AC131,Input!$AB:$AC,2,0),"")</f>
        <v/>
      </c>
      <c r="AE131" s="281" t="str">
        <f>IFERROR(VLOOKUP(AD131,Input!$AC:$AH,6,0),"")</f>
        <v/>
      </c>
      <c r="AF131" s="281" t="e">
        <f>LARGE(AE121:AE136,AC131)</f>
        <v>#NUM!</v>
      </c>
      <c r="AG131" s="281" t="e">
        <f>VLOOKUP(AM131,Input!$AC:$AF,4,0)</f>
        <v>#NUM!</v>
      </c>
      <c r="AH131" s="281" t="e">
        <f>AG131&amp;COUNTIF(AG121:AG131,AG131)</f>
        <v>#NUM!</v>
      </c>
      <c r="AI131" s="281" t="e">
        <f t="shared" si="47"/>
        <v>#NUM!</v>
      </c>
      <c r="AJ131" s="281" t="e">
        <f>AI131&amp;COUNTIF(AI121:AI131,AI131)</f>
        <v>#NUM!</v>
      </c>
      <c r="AK131" s="281" t="str">
        <f>IFERROR(VLOOKUP(AM131,I12:I21,1,0),"B")</f>
        <v>B</v>
      </c>
      <c r="AL131" s="281" t="str">
        <f>AK131&amp;COUNTIF(AK121:AK131,AK131)</f>
        <v>B11</v>
      </c>
      <c r="AM131" s="281" t="e">
        <f t="array" ref="AM131">INDEX(AD$121:AD$136,SMALL(IF(AE$121:AE$136=AF131,ROW(AE$121:AE$136)-ROW(AF$121)+1),COUNTIF(AF$121:AF131,AF131)))</f>
        <v>#NUM!</v>
      </c>
      <c r="AN131" s="41" t="s">
        <v>601</v>
      </c>
      <c r="AO131" s="17" t="str">
        <f>IFERROR(VLOOKUP(I22,Input!$AC:$AH,6,0),"")</f>
        <v/>
      </c>
      <c r="AP131" s="289" t="str">
        <f>IFERROR(VLOOKUP(VLOOKUP(I22,Input!$AC:$AG,5,0),Schedule!$T$3:$U$34,2,0),"")</f>
        <v/>
      </c>
    </row>
    <row r="132" spans="2:42" ht="15" hidden="1" customHeight="1" x14ac:dyDescent="0.25">
      <c r="B132" s="68" t="str">
        <f>Players!B32</f>
        <v>Drew Brees</v>
      </c>
      <c r="AC132" s="39">
        <v>12</v>
      </c>
      <c r="AD132" s="27" t="str">
        <f>IFERROR(VLOOKUP(AD$120&amp;AC132,Input!$AB:$AC,2,0),"")</f>
        <v/>
      </c>
      <c r="AE132" s="281" t="str">
        <f>IFERROR(VLOOKUP(AD132,Input!$AC:$AH,6,0),"")</f>
        <v/>
      </c>
      <c r="AF132" s="281" t="e">
        <f>LARGE(AE121:AE136,AC132)</f>
        <v>#NUM!</v>
      </c>
      <c r="AG132" s="281" t="e">
        <f>VLOOKUP(AM132,Input!$AC:$AF,4,0)</f>
        <v>#NUM!</v>
      </c>
      <c r="AH132" s="281" t="e">
        <f>AG132&amp;COUNTIF(AG121:AG132,AG132)</f>
        <v>#NUM!</v>
      </c>
      <c r="AI132" s="281" t="e">
        <f t="shared" si="47"/>
        <v>#NUM!</v>
      </c>
      <c r="AJ132" s="281" t="e">
        <f>AI132&amp;COUNTIF(AI121:AI132,AI132)</f>
        <v>#NUM!</v>
      </c>
      <c r="AK132" s="281" t="str">
        <f>IFERROR(VLOOKUP(AM132,I12:I21,1,0),"B")</f>
        <v>B</v>
      </c>
      <c r="AL132" s="281" t="str">
        <f>AK132&amp;COUNTIF(AK121:AK132,AK132)</f>
        <v>B12</v>
      </c>
      <c r="AM132" s="281" t="e">
        <f t="array" ref="AM132">INDEX(AD$121:AD$136,SMALL(IF(AE$121:AE$136=AF132,ROW(AE$121:AE$136)-ROW(AF$121)+1),COUNTIF(AF$121:AF132,AF132)))</f>
        <v>#NUM!</v>
      </c>
      <c r="AN132" s="41" t="s">
        <v>602</v>
      </c>
      <c r="AO132" s="17"/>
      <c r="AP132" s="289" t="str">
        <f>IFERROR(VLOOKUP(VLOOKUP(I23,Input!$AC:$AG,5,0),Schedule!$T$3:$U$34,2,0),"")</f>
        <v/>
      </c>
    </row>
    <row r="133" spans="2:42" ht="15" hidden="1" customHeight="1" x14ac:dyDescent="0.25">
      <c r="B133" s="68" t="str">
        <f>Players!B33</f>
        <v>Mark Ingram</v>
      </c>
      <c r="AC133" s="39">
        <v>13</v>
      </c>
      <c r="AD133" s="27" t="str">
        <f>IFERROR(VLOOKUP(AD$120&amp;AC133,Input!$AB:$AC,2,0),"")</f>
        <v/>
      </c>
      <c r="AE133" s="281" t="str">
        <f>IFERROR(VLOOKUP(AD133,Input!$AC:$AH,6,0),"")</f>
        <v/>
      </c>
      <c r="AF133" s="281" t="e">
        <f>LARGE(AE121:AE136,AC133)</f>
        <v>#NUM!</v>
      </c>
      <c r="AG133" s="281" t="e">
        <f>VLOOKUP(AM133,Input!$AC:$AF,4,0)</f>
        <v>#NUM!</v>
      </c>
      <c r="AH133" s="281" t="e">
        <f>AG133&amp;COUNTIF(AG121:AG133,AG133)</f>
        <v>#NUM!</v>
      </c>
      <c r="AI133" s="281" t="e">
        <f t="shared" si="47"/>
        <v>#NUM!</v>
      </c>
      <c r="AJ133" s="281" t="e">
        <f>AI133&amp;COUNTIF(AI121:AI133,AI133)</f>
        <v>#NUM!</v>
      </c>
      <c r="AK133" s="281" t="str">
        <f>IFERROR(VLOOKUP(AM133,I12:I21,1,0),"B")</f>
        <v>B</v>
      </c>
      <c r="AL133" s="281" t="str">
        <f>AK133&amp;COUNTIF(AK121:AK133,AK133)</f>
        <v>B13</v>
      </c>
      <c r="AM133" s="281" t="e">
        <f t="array" ref="AM133">INDEX(AD$121:AD$136,SMALL(IF(AE$121:AE$136=AF133,ROW(AE$121:AE$136)-ROW(AF$121)+1),COUNTIF(AF$121:AF133,AF133)))</f>
        <v>#NUM!</v>
      </c>
      <c r="AN133" s="41" t="s">
        <v>603</v>
      </c>
      <c r="AO133" s="17"/>
      <c r="AP133" s="289" t="str">
        <f>IFERROR(VLOOKUP(VLOOKUP(I24,Input!$AC:$AG,5,0),Schedule!$T$3:$U$34,2,0),"")</f>
        <v/>
      </c>
    </row>
    <row r="134" spans="2:42" ht="15" hidden="1" customHeight="1" x14ac:dyDescent="0.25">
      <c r="B134" s="68" t="str">
        <f>Players!B34</f>
        <v>Isaiah Crowell</v>
      </c>
      <c r="AC134" s="39">
        <v>14</v>
      </c>
      <c r="AD134" s="27" t="str">
        <f>IFERROR(VLOOKUP(AD$120&amp;AC134,Input!$AB:$AC,2,0),"")</f>
        <v/>
      </c>
      <c r="AE134" s="281" t="str">
        <f>IFERROR(VLOOKUP(AD134,Input!$AC:$AH,6,0),"")</f>
        <v/>
      </c>
      <c r="AF134" s="281" t="e">
        <f>LARGE(AE121:AE136,AC134)</f>
        <v>#NUM!</v>
      </c>
      <c r="AG134" s="281" t="e">
        <f>VLOOKUP(AM134,Input!$AC:$AF,4,0)</f>
        <v>#NUM!</v>
      </c>
      <c r="AH134" s="281" t="e">
        <f>AG134&amp;COUNTIF(AG121:AG134,AG134)</f>
        <v>#NUM!</v>
      </c>
      <c r="AI134" s="281" t="e">
        <f t="shared" si="47"/>
        <v>#NUM!</v>
      </c>
      <c r="AJ134" s="281" t="e">
        <f>AI134&amp;COUNTIF(AI121:AI134,AI134)</f>
        <v>#NUM!</v>
      </c>
      <c r="AK134" s="281" t="str">
        <f>IFERROR(VLOOKUP(AM134,I12:I21,1,0),"B")</f>
        <v>B</v>
      </c>
      <c r="AL134" s="281" t="str">
        <f>AK134&amp;COUNTIF(AK121:AK134,AK134)</f>
        <v>B14</v>
      </c>
      <c r="AM134" s="281" t="e">
        <f t="array" ref="AM134">INDEX(AD$121:AD$136,SMALL(IF(AE$121:AE$136=AF134,ROW(AE$121:AE$136)-ROW(AF$121)+1),COUNTIF(AF$121:AF134,AF134)))</f>
        <v>#NUM!</v>
      </c>
      <c r="AN134" s="41" t="s">
        <v>604</v>
      </c>
      <c r="AO134" s="17"/>
      <c r="AP134" s="289" t="str">
        <f>IFERROR(VLOOKUP(VLOOKUP(I25,Input!$AC:$AG,5,0),Schedule!$T$3:$U$34,2,0),"")</f>
        <v/>
      </c>
    </row>
    <row r="135" spans="2:42" ht="15" hidden="1" customHeight="1" x14ac:dyDescent="0.25">
      <c r="B135" s="68" t="str">
        <f>Players!B35</f>
        <v>Bilal Powell</v>
      </c>
      <c r="AC135" s="39">
        <v>15</v>
      </c>
      <c r="AD135" s="27" t="str">
        <f>IFERROR(VLOOKUP(AD$120&amp;AC135,Input!$AB:$AC,2,0),"")</f>
        <v/>
      </c>
      <c r="AE135" s="281" t="str">
        <f>IFERROR(VLOOKUP(AD135,Input!$AC:$AH,6,0),"")</f>
        <v/>
      </c>
      <c r="AF135" s="281" t="e">
        <f>LARGE(AE121:AE136,AC135)</f>
        <v>#NUM!</v>
      </c>
      <c r="AG135" s="281" t="e">
        <f>VLOOKUP(AM135,Input!$AC:$AF,4,0)</f>
        <v>#NUM!</v>
      </c>
      <c r="AH135" s="281" t="e">
        <f>AG135&amp;COUNTIF(AG121:AG135,AG135)</f>
        <v>#NUM!</v>
      </c>
      <c r="AI135" s="281" t="e">
        <f t="shared" si="47"/>
        <v>#NUM!</v>
      </c>
      <c r="AJ135" s="281" t="e">
        <f>AI135&amp;COUNTIF(AI121:AI135,AI135)</f>
        <v>#NUM!</v>
      </c>
      <c r="AK135" s="281" t="str">
        <f>IFERROR(VLOOKUP(AM135,I12:I21,1,0),"B")</f>
        <v>B</v>
      </c>
      <c r="AL135" s="281" t="str">
        <f>AK135&amp;COUNTIF(AK121:AK135,AK135)</f>
        <v>B15</v>
      </c>
      <c r="AM135" s="281" t="e">
        <f t="array" ref="AM135">INDEX(AD$121:AD$136,SMALL(IF(AE$121:AE$136=AF135,ROW(AE$121:AE$136)-ROW(AF$121)+1),COUNTIF(AF$121:AF135,AF135)))</f>
        <v>#NUM!</v>
      </c>
      <c r="AN135" s="41" t="s">
        <v>605</v>
      </c>
      <c r="AO135" s="17"/>
      <c r="AP135" s="289" t="str">
        <f>IFERROR(VLOOKUP(VLOOKUP(I26,Input!$AC:$AG,5,0),Schedule!$T$3:$U$34,2,0),"")</f>
        <v/>
      </c>
    </row>
    <row r="136" spans="2:42" ht="15.75" hidden="1" customHeight="1" thickBot="1" x14ac:dyDescent="0.3">
      <c r="B136" s="68" t="str">
        <f>Players!B36</f>
        <v>Marshawn Lynch</v>
      </c>
      <c r="AC136" s="40">
        <v>16</v>
      </c>
      <c r="AD136" s="27" t="str">
        <f>IFERROR(VLOOKUP(AD$120&amp;AC136,Input!$AB:$AC,2,0),"")</f>
        <v/>
      </c>
      <c r="AE136" s="282" t="str">
        <f>IFERROR(VLOOKUP(AD136,Input!$AC:$AH,6,0),"")</f>
        <v/>
      </c>
      <c r="AF136" s="281" t="e">
        <f>LARGE(AE121:AE136,AC136)</f>
        <v>#NUM!</v>
      </c>
      <c r="AG136" s="282" t="e">
        <f>VLOOKUP(AM136,Input!$AC:$AF,4,0)</f>
        <v>#NUM!</v>
      </c>
      <c r="AH136" s="282" t="e">
        <f>AG136&amp;COUNTIF(AG121:AG136,AG136)</f>
        <v>#NUM!</v>
      </c>
      <c r="AI136" s="282" t="e">
        <f t="shared" si="47"/>
        <v>#NUM!</v>
      </c>
      <c r="AJ136" s="282" t="e">
        <f>AI136&amp;COUNTIF(AI121:AI136,AI136)</f>
        <v>#NUM!</v>
      </c>
      <c r="AK136" s="282" t="str">
        <f>IFERROR(VLOOKUP(AM136,I12:I21,1,0),"B")</f>
        <v>B</v>
      </c>
      <c r="AL136" s="282" t="str">
        <f>AK136&amp;COUNTIF(AK121:AK136,AK136)</f>
        <v>B16</v>
      </c>
      <c r="AM136" s="282" t="e">
        <f t="array" ref="AM136">INDEX(AD$121:AD$136,SMALL(IF(AE$121:AE$136=AF136,ROW(AE$121:AE$136)-ROW(AF$121)+1),COUNTIF(AF$121:AF136,AF136)))</f>
        <v>#NUM!</v>
      </c>
      <c r="AN136" s="42" t="s">
        <v>606</v>
      </c>
      <c r="AO136" s="283"/>
      <c r="AP136" s="290" t="str">
        <f>IFERROR(VLOOKUP(VLOOKUP(I27,Input!$AC:$AG,5,0),Schedule!$T$3:$U$34,2,0),"")</f>
        <v/>
      </c>
    </row>
    <row r="137" spans="2:42" ht="15.75" hidden="1" customHeight="1" thickBot="1" x14ac:dyDescent="0.3">
      <c r="B137" s="68" t="str">
        <f>Players!B37</f>
        <v>Dez Bryant</v>
      </c>
      <c r="AC137" s="284"/>
      <c r="AD137" s="285" t="str">
        <f>Input!BH1</f>
        <v>Team 10</v>
      </c>
      <c r="AE137" s="286" t="s">
        <v>5</v>
      </c>
      <c r="AF137" s="286" t="s">
        <v>905</v>
      </c>
      <c r="AG137" s="286" t="s">
        <v>904</v>
      </c>
      <c r="AH137" s="286" t="s">
        <v>906</v>
      </c>
      <c r="AI137" s="286" t="s">
        <v>907</v>
      </c>
      <c r="AJ137" s="286" t="s">
        <v>908</v>
      </c>
      <c r="AK137" s="286" t="s">
        <v>658</v>
      </c>
      <c r="AL137" s="286" t="s">
        <v>909</v>
      </c>
      <c r="AM137" s="286" t="s">
        <v>910</v>
      </c>
      <c r="AN137" s="287" t="s">
        <v>904</v>
      </c>
      <c r="AO137" s="287" t="s">
        <v>5</v>
      </c>
      <c r="AP137" s="288" t="s">
        <v>728</v>
      </c>
    </row>
    <row r="138" spans="2:42" ht="15" hidden="1" customHeight="1" x14ac:dyDescent="0.25">
      <c r="B138" s="68" t="str">
        <f>Players!B38</f>
        <v>Amari Cooper</v>
      </c>
      <c r="AC138" s="39">
        <v>1</v>
      </c>
      <c r="AD138" s="27" t="str">
        <f>IFERROR(VLOOKUP(AD$137&amp;AC138,Input!$AB:$AC,2,0),"")</f>
        <v/>
      </c>
      <c r="AE138" s="281" t="str">
        <f>IFERROR(VLOOKUP(AD138,Input!$AC:$AH,6,0),"")</f>
        <v/>
      </c>
      <c r="AF138" s="281" t="e">
        <f>LARGE(AE138:AE153,AC138)</f>
        <v>#NUM!</v>
      </c>
      <c r="AG138" s="281" t="e">
        <f>VLOOKUP(AM138,Input!$AC:$AF,4,0)</f>
        <v>#NUM!</v>
      </c>
      <c r="AH138" s="281" t="e">
        <f>AG138&amp;COUNTIF(AG138:AG138,AG138)</f>
        <v>#NUM!</v>
      </c>
      <c r="AI138" s="281" t="e">
        <f t="shared" ref="AI138:AI153" si="48">IF(AH138="RB3","F",IF(AH138="WR3","F",IF(AH138="TE2","F",0)))</f>
        <v>#NUM!</v>
      </c>
      <c r="AJ138" s="281" t="e">
        <f>AI138&amp;COUNTIF(AI138:AI138,AI138)</f>
        <v>#NUM!</v>
      </c>
      <c r="AK138" s="281" t="str">
        <f>IFERROR(VLOOKUP(AM138,J12:J21,1,0),"B")</f>
        <v>B</v>
      </c>
      <c r="AL138" s="281" t="str">
        <f>AK138&amp;COUNTIF(AK138:AK138,AK138)</f>
        <v>B1</v>
      </c>
      <c r="AM138" s="281" t="e">
        <f t="array" ref="AM138">INDEX(AD$138:AD$153,SMALL(IF(AE$138:AE$153=AF138,ROW(AE$138:AE$153)-ROW(AF$138)+1),COUNTIF(AF$138:AF138,AF138)))</f>
        <v>#NUM!</v>
      </c>
      <c r="AN138" s="39" t="s">
        <v>591</v>
      </c>
      <c r="AO138" s="281" t="str">
        <f>IFERROR(VLOOKUP(J12,Input!$AC:$AH,6,0),"")</f>
        <v/>
      </c>
      <c r="AP138" s="289" t="str">
        <f>IFERROR(VLOOKUP(VLOOKUP(J12,Input!$AC:$AG,5,0),Schedule!$T$3:$U$34,2,0),"")</f>
        <v/>
      </c>
    </row>
    <row r="139" spans="2:42" ht="15" hidden="1" customHeight="1" x14ac:dyDescent="0.25">
      <c r="B139" s="68" t="str">
        <f>Players!B39</f>
        <v>49ers</v>
      </c>
      <c r="AC139" s="39">
        <v>2</v>
      </c>
      <c r="AD139" s="27" t="str">
        <f>IFERROR(VLOOKUP(AD$137&amp;AC139,Input!$AB:$AC,2,0),"")</f>
        <v/>
      </c>
      <c r="AE139" s="281" t="str">
        <f>IFERROR(VLOOKUP(AD139,Input!$AC:$AH,6,0),"")</f>
        <v/>
      </c>
      <c r="AF139" s="281" t="e">
        <f>LARGE(AE138:AE153,AC139)</f>
        <v>#NUM!</v>
      </c>
      <c r="AG139" s="281" t="e">
        <f>VLOOKUP(AM139,Input!$AC:$AF,4,0)</f>
        <v>#NUM!</v>
      </c>
      <c r="AH139" s="281" t="e">
        <f>AG139&amp;COUNTIF(AG138:AG139,AG139)</f>
        <v>#NUM!</v>
      </c>
      <c r="AI139" s="281" t="e">
        <f t="shared" si="48"/>
        <v>#NUM!</v>
      </c>
      <c r="AJ139" s="281" t="e">
        <f>AI139&amp;COUNTIF(AI138:AI139,AI139)</f>
        <v>#NUM!</v>
      </c>
      <c r="AK139" s="281" t="str">
        <f>IFERROR(VLOOKUP(AM139,J12:J21,1,0),"B")</f>
        <v>B</v>
      </c>
      <c r="AL139" s="281" t="str">
        <f>AK139&amp;COUNTIF(AK138:AK139,AK139)</f>
        <v>B2</v>
      </c>
      <c r="AM139" s="281" t="e">
        <f t="array" ref="AM139">INDEX(AD$138:AD$153,SMALL(IF(AE$138:AE$153=AF139,ROW(AE$138:AE$153)-ROW(AF$138)+1),COUNTIF(AF$138:AF139,AF139)))</f>
        <v>#NUM!</v>
      </c>
      <c r="AN139" s="39" t="s">
        <v>592</v>
      </c>
      <c r="AO139" s="281" t="str">
        <f>IFERROR(VLOOKUP(J13,Input!$AC:$AH,6,0),"")</f>
        <v/>
      </c>
      <c r="AP139" s="289" t="str">
        <f>IFERROR(VLOOKUP(VLOOKUP(J13,Input!$AC:$AG,5,0),Schedule!$T$3:$U$34,2,0),"")</f>
        <v/>
      </c>
    </row>
    <row r="140" spans="2:42" ht="15" hidden="1" customHeight="1" x14ac:dyDescent="0.25">
      <c r="B140" s="68" t="str">
        <f>Players!B40</f>
        <v>Jimmy Graham</v>
      </c>
      <c r="AC140" s="39">
        <v>3</v>
      </c>
      <c r="AD140" s="27" t="str">
        <f>IFERROR(VLOOKUP(AD$137&amp;AC140,Input!$AB:$AC,2,0),"")</f>
        <v/>
      </c>
      <c r="AE140" s="281" t="str">
        <f>IFERROR(VLOOKUP(AD140,Input!$AC:$AH,6,0),"")</f>
        <v/>
      </c>
      <c r="AF140" s="281" t="e">
        <f>LARGE(AE138:AE153,AC140)</f>
        <v>#NUM!</v>
      </c>
      <c r="AG140" s="281" t="e">
        <f>VLOOKUP(AM140,Input!$AC:$AF,4,0)</f>
        <v>#NUM!</v>
      </c>
      <c r="AH140" s="281" t="e">
        <f>AG140&amp;COUNTIF(AG138:AG140,AG140)</f>
        <v>#NUM!</v>
      </c>
      <c r="AI140" s="281" t="e">
        <f t="shared" si="48"/>
        <v>#NUM!</v>
      </c>
      <c r="AJ140" s="281" t="e">
        <f>AI140&amp;COUNTIF(AI138:AI140,AI140)</f>
        <v>#NUM!</v>
      </c>
      <c r="AK140" s="281" t="str">
        <f>IFERROR(VLOOKUP(AM140,J12:J21,1,0),"B")</f>
        <v>B</v>
      </c>
      <c r="AL140" s="281" t="str">
        <f>AK140&amp;COUNTIF(AK138:AK140,AK140)</f>
        <v>B3</v>
      </c>
      <c r="AM140" s="281" t="e">
        <f t="array" ref="AM140">INDEX(AD$138:AD$153,SMALL(IF(AE$138:AE$153=AF140,ROW(AE$138:AE$153)-ROW(AF$138)+1),COUNTIF(AF$138:AF140,AF140)))</f>
        <v>#NUM!</v>
      </c>
      <c r="AN140" s="39" t="s">
        <v>593</v>
      </c>
      <c r="AO140" s="281" t="str">
        <f>IFERROR(VLOOKUP(J14,Input!$AC:$AH,6,0),"")</f>
        <v/>
      </c>
      <c r="AP140" s="289" t="str">
        <f>IFERROR(VLOOKUP(VLOOKUP(J14,Input!$AC:$AG,5,0),Schedule!$T$3:$U$34,2,0),"")</f>
        <v/>
      </c>
    </row>
    <row r="141" spans="2:42" ht="15" hidden="1" customHeight="1" x14ac:dyDescent="0.25">
      <c r="B141" s="68" t="str">
        <f>Players!B41</f>
        <v>Matt Ryan</v>
      </c>
      <c r="AC141" s="39">
        <v>4</v>
      </c>
      <c r="AD141" s="27" t="str">
        <f>IFERROR(VLOOKUP(AD$137&amp;AC141,Input!$AB:$AC,2,0),"")</f>
        <v/>
      </c>
      <c r="AE141" s="281" t="str">
        <f>IFERROR(VLOOKUP(AD141,Input!$AC:$AH,6,0),"")</f>
        <v/>
      </c>
      <c r="AF141" s="281" t="e">
        <f>LARGE(AE138:AE153,AC141)</f>
        <v>#NUM!</v>
      </c>
      <c r="AG141" s="281" t="e">
        <f>VLOOKUP(AM141,Input!$AC:$AF,4,0)</f>
        <v>#NUM!</v>
      </c>
      <c r="AH141" s="281" t="e">
        <f>AG141&amp;COUNTIF(AG138:AG141,AG141)</f>
        <v>#NUM!</v>
      </c>
      <c r="AI141" s="281" t="e">
        <f t="shared" si="48"/>
        <v>#NUM!</v>
      </c>
      <c r="AJ141" s="281" t="e">
        <f>AI141&amp;COUNTIF(AI138:AI141,AI141)</f>
        <v>#NUM!</v>
      </c>
      <c r="AK141" s="281" t="str">
        <f>IFERROR(VLOOKUP(AM141,J12:J21,1,0),"B")</f>
        <v>B</v>
      </c>
      <c r="AL141" s="281" t="str">
        <f>AK141&amp;COUNTIF(AK138:AK141,AK141)</f>
        <v>B4</v>
      </c>
      <c r="AM141" s="281" t="e">
        <f t="array" ref="AM141">INDEX(AD$138:AD$153,SMALL(IF(AE$138:AE$153=AF141,ROW(AE$138:AE$153)-ROW(AF$138)+1),COUNTIF(AF$138:AF141,AF141)))</f>
        <v>#NUM!</v>
      </c>
      <c r="AN141" s="41" t="s">
        <v>594</v>
      </c>
      <c r="AO141" s="281" t="str">
        <f>IFERROR(VLOOKUP(J15,Input!$AC:$AH,6,0),"")</f>
        <v/>
      </c>
      <c r="AP141" s="289" t="str">
        <f>IFERROR(VLOOKUP(VLOOKUP(J15,Input!$AC:$AG,5,0),Schedule!$T$3:$U$34,2,0),"")</f>
        <v/>
      </c>
    </row>
    <row r="142" spans="2:42" ht="15" hidden="1" customHeight="1" x14ac:dyDescent="0.25">
      <c r="B142" s="68" t="str">
        <f>Players!B42</f>
        <v>Zach Ertz</v>
      </c>
      <c r="AC142" s="39">
        <v>5</v>
      </c>
      <c r="AD142" s="27" t="str">
        <f>IFERROR(VLOOKUP(AD$137&amp;AC142,Input!$AB:$AC,2,0),"")</f>
        <v/>
      </c>
      <c r="AE142" s="281" t="str">
        <f>IFERROR(VLOOKUP(AD142,Input!$AC:$AH,6,0),"")</f>
        <v/>
      </c>
      <c r="AF142" s="281" t="e">
        <f>LARGE(AE138:AE153,AC142)</f>
        <v>#NUM!</v>
      </c>
      <c r="AG142" s="281" t="e">
        <f>VLOOKUP(AM142,Input!$AC:$AF,4,0)</f>
        <v>#NUM!</v>
      </c>
      <c r="AH142" s="281" t="e">
        <f>AG142&amp;COUNTIF(AG138:AG142,AG142)</f>
        <v>#NUM!</v>
      </c>
      <c r="AI142" s="281" t="e">
        <f t="shared" si="48"/>
        <v>#NUM!</v>
      </c>
      <c r="AJ142" s="281" t="e">
        <f>AI142&amp;COUNTIF(AI138:AI142,AI142)</f>
        <v>#NUM!</v>
      </c>
      <c r="AK142" s="281" t="str">
        <f>IFERROR(VLOOKUP(AM142,J12:J21,1,0),"B")</f>
        <v>B</v>
      </c>
      <c r="AL142" s="281" t="str">
        <f>AK142&amp;COUNTIF(AK138:AK142,AK142)</f>
        <v>B5</v>
      </c>
      <c r="AM142" s="281" t="e">
        <f t="array" ref="AM142">INDEX(AD$138:AD$153,SMALL(IF(AE$138:AE$153=AF142,ROW(AE$138:AE$153)-ROW(AF$138)+1),COUNTIF(AF$138:AF142,AF142)))</f>
        <v>#NUM!</v>
      </c>
      <c r="AN142" s="41" t="s">
        <v>595</v>
      </c>
      <c r="AO142" s="281" t="str">
        <f>IFERROR(VLOOKUP(J16,Input!$AC:$AH,6,0),"")</f>
        <v/>
      </c>
      <c r="AP142" s="289" t="str">
        <f>IFERROR(VLOOKUP(VLOOKUP(J16,Input!$AC:$AG,5,0),Schedule!$T$3:$U$34,2,0),"")</f>
        <v/>
      </c>
    </row>
    <row r="143" spans="2:42" ht="15" hidden="1" customHeight="1" x14ac:dyDescent="0.25">
      <c r="B143" s="68" t="str">
        <f>Players!B43</f>
        <v>Justin Tucker</v>
      </c>
      <c r="AC143" s="39">
        <v>6</v>
      </c>
      <c r="AD143" s="27" t="str">
        <f>IFERROR(VLOOKUP(AD$137&amp;AC143,Input!$AB:$AC,2,0),"")</f>
        <v/>
      </c>
      <c r="AE143" s="281" t="str">
        <f>IFERROR(VLOOKUP(AD143,Input!$AC:$AH,6,0),"")</f>
        <v/>
      </c>
      <c r="AF143" s="281" t="e">
        <f>LARGE(AE138:AE153,AC143)</f>
        <v>#NUM!</v>
      </c>
      <c r="AG143" s="281" t="e">
        <f>VLOOKUP(AM143,Input!$AC:$AF,4,0)</f>
        <v>#NUM!</v>
      </c>
      <c r="AH143" s="281" t="e">
        <f>AG143&amp;COUNTIF(AG138:AG143,AG143)</f>
        <v>#NUM!</v>
      </c>
      <c r="AI143" s="281" t="e">
        <f t="shared" si="48"/>
        <v>#NUM!</v>
      </c>
      <c r="AJ143" s="281" t="e">
        <f>AI143&amp;COUNTIF(AI138:AI143,AI143)</f>
        <v>#NUM!</v>
      </c>
      <c r="AK143" s="281" t="str">
        <f>IFERROR(VLOOKUP(AM143,J12:J21,1,0),"B")</f>
        <v>B</v>
      </c>
      <c r="AL143" s="281" t="str">
        <f>AK143&amp;COUNTIF(AK138:AK143,AK143)</f>
        <v>B6</v>
      </c>
      <c r="AM143" s="281" t="e">
        <f t="array" ref="AM143">INDEX(AD$138:AD$153,SMALL(IF(AE$138:AE$153=AF143,ROW(AE$138:AE$153)-ROW(AF$138)+1),COUNTIF(AF$138:AF143,AF143)))</f>
        <v>#NUM!</v>
      </c>
      <c r="AN143" s="41" t="s">
        <v>596</v>
      </c>
      <c r="AO143" s="281" t="str">
        <f>IFERROR(VLOOKUP(J17,Input!$AC:$AH,6,0),"")</f>
        <v/>
      </c>
      <c r="AP143" s="289" t="str">
        <f>IFERROR(VLOOKUP(VLOOKUP(J17,Input!$AC:$AG,5,0),Schedule!$T$3:$U$34,2,0),"")</f>
        <v/>
      </c>
    </row>
    <row r="144" spans="2:42" ht="15" hidden="1" customHeight="1" x14ac:dyDescent="0.25">
      <c r="B144" s="68" t="str">
        <f>Players!B44</f>
        <v>Russell Wilson</v>
      </c>
      <c r="AC144" s="39">
        <v>7</v>
      </c>
      <c r="AD144" s="27" t="str">
        <f>IFERROR(VLOOKUP(AD$137&amp;AC144,Input!$AB:$AC,2,0),"")</f>
        <v/>
      </c>
      <c r="AE144" s="281" t="str">
        <f>IFERROR(VLOOKUP(AD144,Input!$AC:$AH,6,0),"")</f>
        <v/>
      </c>
      <c r="AF144" s="281" t="e">
        <f>LARGE(AE138:AE153,AC144)</f>
        <v>#NUM!</v>
      </c>
      <c r="AG144" s="281" t="e">
        <f>VLOOKUP(AM144,Input!$AC:$AF,4,0)</f>
        <v>#NUM!</v>
      </c>
      <c r="AH144" s="281" t="e">
        <f>AG144&amp;COUNTIF(AG138:AG144,AG144)</f>
        <v>#NUM!</v>
      </c>
      <c r="AI144" s="281" t="e">
        <f t="shared" si="48"/>
        <v>#NUM!</v>
      </c>
      <c r="AJ144" s="281" t="e">
        <f>AI144&amp;COUNTIF(AI138:AI144,AI144)</f>
        <v>#NUM!</v>
      </c>
      <c r="AK144" s="281" t="str">
        <f>IFERROR(VLOOKUP(AM144,J12:J21,1,0),"B")</f>
        <v>B</v>
      </c>
      <c r="AL144" s="281" t="str">
        <f>AK144&amp;COUNTIF(AK138:AK144,AK144)</f>
        <v>B7</v>
      </c>
      <c r="AM144" s="281" t="e">
        <f t="array" ref="AM144">INDEX(AD$138:AD$153,SMALL(IF(AE$138:AE$153=AF144,ROW(AE$138:AE$153)-ROW(AF$138)+1),COUNTIF(AF$138:AF144,AF144)))</f>
        <v>#NUM!</v>
      </c>
      <c r="AN144" s="41" t="s">
        <v>597</v>
      </c>
      <c r="AO144" s="281" t="str">
        <f>IFERROR(VLOOKUP(J18,Input!$AC:$AH,6,0),"")</f>
        <v/>
      </c>
      <c r="AP144" s="289" t="str">
        <f>IFERROR(VLOOKUP(VLOOKUP(J18,Input!$AC:$AG,5,0),Schedule!$T$3:$U$34,2,0),"")</f>
        <v/>
      </c>
    </row>
    <row r="145" spans="2:42" ht="15" hidden="1" customHeight="1" x14ac:dyDescent="0.25">
      <c r="B145" s="68" t="str">
        <f>Players!B45</f>
        <v>Jarvis Landry</v>
      </c>
      <c r="AC145" s="39">
        <v>8</v>
      </c>
      <c r="AD145" s="27" t="str">
        <f>IFERROR(VLOOKUP(AD$137&amp;AC145,Input!$AB:$AC,2,0),"")</f>
        <v/>
      </c>
      <c r="AE145" s="281" t="str">
        <f>IFERROR(VLOOKUP(AD145,Input!$AC:$AH,6,0),"")</f>
        <v/>
      </c>
      <c r="AF145" s="281" t="e">
        <f>LARGE(AE138:AE153,AC145)</f>
        <v>#NUM!</v>
      </c>
      <c r="AG145" s="281" t="e">
        <f>VLOOKUP(AM145,Input!$AC:$AF,4,0)</f>
        <v>#NUM!</v>
      </c>
      <c r="AH145" s="281" t="e">
        <f>AG145&amp;COUNTIF(AG138:AG145,AG145)</f>
        <v>#NUM!</v>
      </c>
      <c r="AI145" s="281" t="e">
        <f t="shared" si="48"/>
        <v>#NUM!</v>
      </c>
      <c r="AJ145" s="281" t="e">
        <f>AI145&amp;COUNTIF(AI138:AI145,AI145)</f>
        <v>#NUM!</v>
      </c>
      <c r="AK145" s="281" t="str">
        <f>IFERROR(VLOOKUP(AM145,J12:J21,1,0),"B")</f>
        <v>B</v>
      </c>
      <c r="AL145" s="281" t="str">
        <f>AK145&amp;COUNTIF(AK138:AK145,AK145)</f>
        <v>B8</v>
      </c>
      <c r="AM145" s="281" t="e">
        <f t="array" ref="AM145">INDEX(AD$138:AD$153,SMALL(IF(AE$138:AE$153=AF145,ROW(AE$138:AE$153)-ROW(AF$138)+1),COUNTIF(AF$138:AF145,AF145)))</f>
        <v>#NUM!</v>
      </c>
      <c r="AN145" s="41" t="s">
        <v>598</v>
      </c>
      <c r="AO145" s="281" t="str">
        <f>IFERROR(VLOOKUP(J19,Input!$AC:$AH,6,0),"")</f>
        <v/>
      </c>
      <c r="AP145" s="289" t="str">
        <f>IFERROR(VLOOKUP(VLOOKUP(J19,Input!$AC:$AG,5,0),Schedule!$T$3:$U$34,2,0),"")</f>
        <v/>
      </c>
    </row>
    <row r="146" spans="2:42" ht="15" hidden="1" customHeight="1" x14ac:dyDescent="0.25">
      <c r="B146" s="68" t="str">
        <f>Players!B46</f>
        <v>Demaryius Thomas</v>
      </c>
      <c r="AC146" s="39">
        <v>9</v>
      </c>
      <c r="AD146" s="27" t="str">
        <f>IFERROR(VLOOKUP(AD$137&amp;AC146,Input!$AB:$AC,2,0),"")</f>
        <v/>
      </c>
      <c r="AE146" s="281" t="str">
        <f>IFERROR(VLOOKUP(AD146,Input!$AC:$AH,6,0),"")</f>
        <v/>
      </c>
      <c r="AF146" s="281" t="e">
        <f>LARGE(AE138:AE153,AC146)</f>
        <v>#NUM!</v>
      </c>
      <c r="AG146" s="281" t="e">
        <f>VLOOKUP(AM146,Input!$AC:$AF,4,0)</f>
        <v>#NUM!</v>
      </c>
      <c r="AH146" s="281" t="e">
        <f>AG146&amp;COUNTIF(AG138:AG146,AG146)</f>
        <v>#NUM!</v>
      </c>
      <c r="AI146" s="281" t="e">
        <f t="shared" si="48"/>
        <v>#NUM!</v>
      </c>
      <c r="AJ146" s="281" t="e">
        <f>AI146&amp;COUNTIF(AI138:AI146,AI146)</f>
        <v>#NUM!</v>
      </c>
      <c r="AK146" s="281" t="str">
        <f>IFERROR(VLOOKUP(AM146,J12:J21,1,0),"B")</f>
        <v>B</v>
      </c>
      <c r="AL146" s="281" t="str">
        <f>AK146&amp;COUNTIF(AK138:AK146,AK146)</f>
        <v>B9</v>
      </c>
      <c r="AM146" s="281" t="e">
        <f t="array" ref="AM146">INDEX(AD$138:AD$153,SMALL(IF(AE$138:AE$153=AF146,ROW(AE$138:AE$153)-ROW(AF$138)+1),COUNTIF(AF$138:AF146,AF146)))</f>
        <v>#NUM!</v>
      </c>
      <c r="AN146" s="41" t="s">
        <v>599</v>
      </c>
      <c r="AO146" s="281" t="str">
        <f>IFERROR(VLOOKUP(J20,Input!$AC:$AH,6,0),"")</f>
        <v/>
      </c>
      <c r="AP146" s="289" t="str">
        <f>IFERROR(VLOOKUP(VLOOKUP(J20,Input!$AC:$AG,5,0),Schedule!$T$3:$U$34,2,0),"")</f>
        <v/>
      </c>
    </row>
    <row r="147" spans="2:42" ht="15" hidden="1" customHeight="1" x14ac:dyDescent="0.25">
      <c r="B147" s="68" t="str">
        <f>Players!B47</f>
        <v>Matt Bryant</v>
      </c>
      <c r="AC147" s="39">
        <v>10</v>
      </c>
      <c r="AD147" s="27" t="str">
        <f>IFERROR(VLOOKUP(AD$137&amp;AC147,Input!$AB:$AC,2,0),"")</f>
        <v/>
      </c>
      <c r="AE147" s="281" t="str">
        <f>IFERROR(VLOOKUP(AD147,Input!$AC:$AH,6,0),"")</f>
        <v/>
      </c>
      <c r="AF147" s="281" t="e">
        <f>LARGE(AE138:AE153,AC147)</f>
        <v>#NUM!</v>
      </c>
      <c r="AG147" s="281" t="e">
        <f>VLOOKUP(AM147,Input!$AC:$AF,4,0)</f>
        <v>#NUM!</v>
      </c>
      <c r="AH147" s="281" t="e">
        <f>AG147&amp;COUNTIF(AG138:AG147,AG147)</f>
        <v>#NUM!</v>
      </c>
      <c r="AI147" s="281" t="e">
        <f t="shared" si="48"/>
        <v>#NUM!</v>
      </c>
      <c r="AJ147" s="281" t="e">
        <f>AI147&amp;COUNTIF(AI138:AI147,AI147)</f>
        <v>#NUM!</v>
      </c>
      <c r="AK147" s="281" t="str">
        <f>IFERROR(VLOOKUP(AM147,J12:J21,1,0),"B")</f>
        <v>B</v>
      </c>
      <c r="AL147" s="281" t="str">
        <f>AK147&amp;COUNTIF(AK138:AK147,AK147)</f>
        <v>B10</v>
      </c>
      <c r="AM147" s="281" t="e">
        <f t="array" ref="AM147">INDEX(AD$138:AD$153,SMALL(IF(AE$138:AE$153=AF147,ROW(AE$138:AE$153)-ROW(AF$138)+1),COUNTIF(AF$138:AF147,AF147)))</f>
        <v>#NUM!</v>
      </c>
      <c r="AN147" s="41" t="s">
        <v>600</v>
      </c>
      <c r="AO147" s="281" t="str">
        <f>IFERROR(VLOOKUP(J21,Input!$AC:$AH,6,0),"")</f>
        <v/>
      </c>
      <c r="AP147" s="289" t="str">
        <f>IFERROR(VLOOKUP(VLOOKUP(J21,Input!$AC:$AG,5,0),Schedule!$T$3:$U$34,2,0),"")</f>
        <v/>
      </c>
    </row>
    <row r="148" spans="2:42" ht="15" hidden="1" customHeight="1" x14ac:dyDescent="0.25">
      <c r="B148" s="68" t="str">
        <f>Players!B48</f>
        <v>DeAndre Hopkins</v>
      </c>
      <c r="AC148" s="39">
        <v>11</v>
      </c>
      <c r="AD148" s="27" t="str">
        <f>IFERROR(VLOOKUP(AD$137&amp;AC148,Input!$AB:$AC,2,0),"")</f>
        <v/>
      </c>
      <c r="AE148" s="281" t="str">
        <f>IFERROR(VLOOKUP(AD148,Input!$AC:$AH,6,0),"")</f>
        <v/>
      </c>
      <c r="AF148" s="281" t="e">
        <f>LARGE(AE138:AE153,AC148)</f>
        <v>#NUM!</v>
      </c>
      <c r="AG148" s="281" t="e">
        <f>VLOOKUP(AM148,Input!$AC:$AF,4,0)</f>
        <v>#NUM!</v>
      </c>
      <c r="AH148" s="281" t="e">
        <f>AG148&amp;COUNTIF(AG138:AG148,AG148)</f>
        <v>#NUM!</v>
      </c>
      <c r="AI148" s="281" t="e">
        <f t="shared" si="48"/>
        <v>#NUM!</v>
      </c>
      <c r="AJ148" s="281" t="e">
        <f>AI148&amp;COUNTIF(AI138:AI148,AI148)</f>
        <v>#NUM!</v>
      </c>
      <c r="AK148" s="281" t="str">
        <f>IFERROR(VLOOKUP(AM148,J12:J21,1,0),"B")</f>
        <v>B</v>
      </c>
      <c r="AL148" s="281" t="str">
        <f>AK148&amp;COUNTIF(AK138:AK148,AK148)</f>
        <v>B11</v>
      </c>
      <c r="AM148" s="281" t="e">
        <f t="array" ref="AM148">INDEX(AD$138:AD$153,SMALL(IF(AE$138:AE$153=AF148,ROW(AE$138:AE$153)-ROW(AF$138)+1),COUNTIF(AF$138:AF148,AF148)))</f>
        <v>#NUM!</v>
      </c>
      <c r="AN148" s="41" t="s">
        <v>601</v>
      </c>
      <c r="AO148" s="17" t="str">
        <f>IFERROR(VLOOKUP(J22,Input!$AC:$AH,6,0),"")</f>
        <v/>
      </c>
      <c r="AP148" s="289" t="str">
        <f>IFERROR(VLOOKUP(VLOOKUP(J22,Input!$AC:$AG,5,0),Schedule!$T$3:$U$34,2,0),"")</f>
        <v/>
      </c>
    </row>
    <row r="149" spans="2:42" ht="15" hidden="1" customHeight="1" x14ac:dyDescent="0.25">
      <c r="B149" s="68" t="str">
        <f>Players!B49</f>
        <v>Delanie Walker</v>
      </c>
      <c r="AC149" s="39">
        <v>12</v>
      </c>
      <c r="AD149" s="27" t="str">
        <f>IFERROR(VLOOKUP(AD$137&amp;AC149,Input!$AB:$AC,2,0),"")</f>
        <v/>
      </c>
      <c r="AE149" s="281" t="str">
        <f>IFERROR(VLOOKUP(AD149,Input!$AC:$AH,6,0),"")</f>
        <v/>
      </c>
      <c r="AF149" s="281" t="e">
        <f>LARGE(AE138:AE153,AC149)</f>
        <v>#NUM!</v>
      </c>
      <c r="AG149" s="281" t="e">
        <f>VLOOKUP(AM149,Input!$AC:$AF,4,0)</f>
        <v>#NUM!</v>
      </c>
      <c r="AH149" s="281" t="e">
        <f>AG149&amp;COUNTIF(AG138:AG149,AG149)</f>
        <v>#NUM!</v>
      </c>
      <c r="AI149" s="281" t="e">
        <f t="shared" si="48"/>
        <v>#NUM!</v>
      </c>
      <c r="AJ149" s="281" t="e">
        <f>AI149&amp;COUNTIF(AI138:AI149,AI149)</f>
        <v>#NUM!</v>
      </c>
      <c r="AK149" s="281" t="str">
        <f>IFERROR(VLOOKUP(AM149,J12:J21,1,0),"B")</f>
        <v>B</v>
      </c>
      <c r="AL149" s="281" t="str">
        <f>AK149&amp;COUNTIF(AK138:AK149,AK149)</f>
        <v>B12</v>
      </c>
      <c r="AM149" s="281" t="e">
        <f t="array" ref="AM149">INDEX(AD$138:AD$153,SMALL(IF(AE$138:AE$153=AF149,ROW(AE$138:AE$153)-ROW(AF$138)+1),COUNTIF(AF$138:AF149,AF149)))</f>
        <v>#NUM!</v>
      </c>
      <c r="AN149" s="41" t="s">
        <v>602</v>
      </c>
      <c r="AO149" s="17"/>
      <c r="AP149" s="289" t="str">
        <f>IFERROR(VLOOKUP(VLOOKUP(J23,Input!$AC:$AG,5,0),Schedule!$T$3:$U$34,2,0),"")</f>
        <v/>
      </c>
    </row>
    <row r="150" spans="2:42" ht="15" hidden="1" customHeight="1" x14ac:dyDescent="0.25">
      <c r="B150" s="68" t="str">
        <f>Players!B50</f>
        <v>Stephen Gostkowski</v>
      </c>
      <c r="AC150" s="39">
        <v>13</v>
      </c>
      <c r="AD150" s="27" t="str">
        <f>IFERROR(VLOOKUP(AD$137&amp;AC150,Input!$AB:$AC,2,0),"")</f>
        <v/>
      </c>
      <c r="AE150" s="281" t="str">
        <f>IFERROR(VLOOKUP(AD150,Input!$AC:$AH,6,0),"")</f>
        <v/>
      </c>
      <c r="AF150" s="281" t="e">
        <f>LARGE(AE138:AE153,AC150)</f>
        <v>#NUM!</v>
      </c>
      <c r="AG150" s="281" t="e">
        <f>VLOOKUP(AM150,Input!$AC:$AF,4,0)</f>
        <v>#NUM!</v>
      </c>
      <c r="AH150" s="281" t="e">
        <f>AG150&amp;COUNTIF(AG138:AG150,AG150)</f>
        <v>#NUM!</v>
      </c>
      <c r="AI150" s="281" t="e">
        <f t="shared" si="48"/>
        <v>#NUM!</v>
      </c>
      <c r="AJ150" s="281" t="e">
        <f>AI150&amp;COUNTIF(AI138:AI150,AI150)</f>
        <v>#NUM!</v>
      </c>
      <c r="AK150" s="281" t="str">
        <f>IFERROR(VLOOKUP(AM150,J12:J21,1,0),"B")</f>
        <v>B</v>
      </c>
      <c r="AL150" s="281" t="str">
        <f>AK150&amp;COUNTIF(AK138:AK150,AK150)</f>
        <v>B13</v>
      </c>
      <c r="AM150" s="281" t="e">
        <f t="array" ref="AM150">INDEX(AD$138:AD$153,SMALL(IF(AE$138:AE$153=AF150,ROW(AE$138:AE$153)-ROW(AF$138)+1),COUNTIF(AF$138:AF150,AF150)))</f>
        <v>#NUM!</v>
      </c>
      <c r="AN150" s="41" t="s">
        <v>603</v>
      </c>
      <c r="AO150" s="17"/>
      <c r="AP150" s="289" t="str">
        <f>IFERROR(VLOOKUP(VLOOKUP(J24,Input!$AC:$AG,5,0),Schedule!$T$3:$U$34,2,0),"")</f>
        <v/>
      </c>
    </row>
    <row r="151" spans="2:42" ht="15" hidden="1" customHeight="1" x14ac:dyDescent="0.25">
      <c r="B151" s="68" t="str">
        <f>Players!B51</f>
        <v>Broncos</v>
      </c>
      <c r="AC151" s="39">
        <v>14</v>
      </c>
      <c r="AD151" s="27" t="str">
        <f>IFERROR(VLOOKUP(AD$137&amp;AC151,Input!$AB:$AC,2,0),"")</f>
        <v/>
      </c>
      <c r="AE151" s="281" t="str">
        <f>IFERROR(VLOOKUP(AD151,Input!$AC:$AH,6,0),"")</f>
        <v/>
      </c>
      <c r="AF151" s="281" t="e">
        <f>LARGE(AE138:AE153,AC151)</f>
        <v>#NUM!</v>
      </c>
      <c r="AG151" s="281" t="e">
        <f>VLOOKUP(AM151,Input!$AC:$AF,4,0)</f>
        <v>#NUM!</v>
      </c>
      <c r="AH151" s="281" t="e">
        <f>AG151&amp;COUNTIF(AG138:AG151,AG151)</f>
        <v>#NUM!</v>
      </c>
      <c r="AI151" s="281" t="e">
        <f t="shared" si="48"/>
        <v>#NUM!</v>
      </c>
      <c r="AJ151" s="281" t="e">
        <f>AI151&amp;COUNTIF(AI138:AI151,AI151)</f>
        <v>#NUM!</v>
      </c>
      <c r="AK151" s="281" t="str">
        <f>IFERROR(VLOOKUP(AM151,J12:J21,1,0),"B")</f>
        <v>B</v>
      </c>
      <c r="AL151" s="281" t="str">
        <f>AK151&amp;COUNTIF(AK138:AK151,AK151)</f>
        <v>B14</v>
      </c>
      <c r="AM151" s="281" t="e">
        <f t="array" ref="AM151">INDEX(AD$138:AD$153,SMALL(IF(AE$138:AE$153=AF151,ROW(AE$138:AE$153)-ROW(AF$138)+1),COUNTIF(AF$138:AF151,AF151)))</f>
        <v>#NUM!</v>
      </c>
      <c r="AN151" s="41" t="s">
        <v>604</v>
      </c>
      <c r="AO151" s="17"/>
      <c r="AP151" s="289" t="str">
        <f>IFERROR(VLOOKUP(VLOOKUP(J25,Input!$AC:$AG,5,0),Schedule!$T$3:$U$34,2,0),"")</f>
        <v/>
      </c>
    </row>
    <row r="152" spans="2:42" ht="15" hidden="1" customHeight="1" x14ac:dyDescent="0.25">
      <c r="B152" s="68" t="str">
        <f>Players!B52</f>
        <v>Brandin Cooks</v>
      </c>
      <c r="AC152" s="39">
        <v>15</v>
      </c>
      <c r="AD152" s="27" t="str">
        <f>IFERROR(VLOOKUP(AD$137&amp;AC152,Input!$AB:$AC,2,0),"")</f>
        <v/>
      </c>
      <c r="AE152" s="281" t="str">
        <f>IFERROR(VLOOKUP(AD152,Input!$AC:$AH,6,0),"")</f>
        <v/>
      </c>
      <c r="AF152" s="281" t="e">
        <f>LARGE(AE138:AE153,AC152)</f>
        <v>#NUM!</v>
      </c>
      <c r="AG152" s="281" t="e">
        <f>VLOOKUP(AM152,Input!$AC:$AF,4,0)</f>
        <v>#NUM!</v>
      </c>
      <c r="AH152" s="281" t="e">
        <f>AG152&amp;COUNTIF(AG138:AG152,AG152)</f>
        <v>#NUM!</v>
      </c>
      <c r="AI152" s="281" t="e">
        <f t="shared" si="48"/>
        <v>#NUM!</v>
      </c>
      <c r="AJ152" s="281" t="e">
        <f>AI152&amp;COUNTIF(AI138:AI152,AI152)</f>
        <v>#NUM!</v>
      </c>
      <c r="AK152" s="281" t="str">
        <f>IFERROR(VLOOKUP(AM152,J12:J21,1,0),"B")</f>
        <v>B</v>
      </c>
      <c r="AL152" s="281" t="str">
        <f>AK152&amp;COUNTIF(AK138:AK152,AK152)</f>
        <v>B15</v>
      </c>
      <c r="AM152" s="281" t="e">
        <f t="array" ref="AM152">INDEX(AD$138:AD$153,SMALL(IF(AE$138:AE$153=AF152,ROW(AE$138:AE$153)-ROW(AF$138)+1),COUNTIF(AF$138:AF152,AF152)))</f>
        <v>#NUM!</v>
      </c>
      <c r="AN152" s="41" t="s">
        <v>605</v>
      </c>
      <c r="AO152" s="17"/>
      <c r="AP152" s="289" t="str">
        <f>IFERROR(VLOOKUP(VLOOKUP(J26,Input!$AC:$AG,5,0),Schedule!$T$3:$U$34,2,0),"")</f>
        <v/>
      </c>
    </row>
    <row r="153" spans="2:42" ht="15.75" hidden="1" customHeight="1" thickBot="1" x14ac:dyDescent="0.3">
      <c r="B153" s="68" t="str">
        <f>Players!B53</f>
        <v>Andrew Luck</v>
      </c>
      <c r="AC153" s="40">
        <v>16</v>
      </c>
      <c r="AD153" s="27" t="str">
        <f>IFERROR(VLOOKUP(AD$137&amp;AC153,Input!$AB:$AC,2,0),"")</f>
        <v/>
      </c>
      <c r="AE153" s="282" t="str">
        <f>IFERROR(VLOOKUP(AD153,Input!$AC:$AH,6,0),"")</f>
        <v/>
      </c>
      <c r="AF153" s="281" t="e">
        <f>LARGE(AE138:AE153,AC153)</f>
        <v>#NUM!</v>
      </c>
      <c r="AG153" s="282" t="e">
        <f>VLOOKUP(AM153,Input!$AC:$AF,4,0)</f>
        <v>#NUM!</v>
      </c>
      <c r="AH153" s="282" t="e">
        <f>AG153&amp;COUNTIF(AG138:AG153,AG153)</f>
        <v>#NUM!</v>
      </c>
      <c r="AI153" s="282" t="e">
        <f t="shared" si="48"/>
        <v>#NUM!</v>
      </c>
      <c r="AJ153" s="282" t="e">
        <f>AI153&amp;COUNTIF(AI138:AI153,AI153)</f>
        <v>#NUM!</v>
      </c>
      <c r="AK153" s="282" t="str">
        <f>IFERROR(VLOOKUP(AM153,J12:J21,1,0),"B")</f>
        <v>B</v>
      </c>
      <c r="AL153" s="282" t="str">
        <f>AK153&amp;COUNTIF(AK138:AK153,AK153)</f>
        <v>B16</v>
      </c>
      <c r="AM153" s="282" t="e">
        <f t="array" ref="AM153">INDEX(AD$138:AD$153,SMALL(IF(AE$138:AE$153=AF153,ROW(AE$138:AE$153)-ROW(AF$138)+1),COUNTIF(AF$138:AF153,AF153)))</f>
        <v>#NUM!</v>
      </c>
      <c r="AN153" s="42" t="s">
        <v>606</v>
      </c>
      <c r="AO153" s="283"/>
      <c r="AP153" s="290" t="str">
        <f>IFERROR(VLOOKUP(VLOOKUP(J27,Input!$AC:$AG,5,0),Schedule!$T$3:$U$34,2,0),"")</f>
        <v/>
      </c>
    </row>
    <row r="154" spans="2:42" ht="15.75" hidden="1" customHeight="1" thickBot="1" x14ac:dyDescent="0.3">
      <c r="B154" s="68" t="str">
        <f>Players!B54</f>
        <v>Patriots</v>
      </c>
      <c r="AC154" s="284"/>
      <c r="AD154" s="285" t="str">
        <f>Input!BI1</f>
        <v>Team 4</v>
      </c>
      <c r="AE154" s="286" t="s">
        <v>5</v>
      </c>
      <c r="AF154" s="286" t="s">
        <v>905</v>
      </c>
      <c r="AG154" s="286" t="s">
        <v>904</v>
      </c>
      <c r="AH154" s="286" t="s">
        <v>906</v>
      </c>
      <c r="AI154" s="286" t="s">
        <v>907</v>
      </c>
      <c r="AJ154" s="286" t="s">
        <v>908</v>
      </c>
      <c r="AK154" s="286" t="s">
        <v>658</v>
      </c>
      <c r="AL154" s="286" t="s">
        <v>909</v>
      </c>
      <c r="AM154" s="286" t="s">
        <v>910</v>
      </c>
      <c r="AN154" s="287" t="s">
        <v>904</v>
      </c>
      <c r="AO154" s="287" t="s">
        <v>5</v>
      </c>
      <c r="AP154" s="288" t="s">
        <v>728</v>
      </c>
    </row>
    <row r="155" spans="2:42" ht="15" hidden="1" customHeight="1" x14ac:dyDescent="0.25">
      <c r="B155" s="68" t="str">
        <f>Players!B55</f>
        <v>Christian McCaffrey</v>
      </c>
      <c r="AC155" s="39">
        <v>1</v>
      </c>
      <c r="AD155" s="27" t="str">
        <f>IFERROR(VLOOKUP(AD$154&amp;AC155,Input!$AB:$AC,2,0),"")</f>
        <v/>
      </c>
      <c r="AE155" s="281" t="str">
        <f>IFERROR(VLOOKUP(AD155,Input!$AC:$AH,6,0),"")</f>
        <v/>
      </c>
      <c r="AF155" s="281" t="e">
        <f>LARGE(AE155:AE170,AC155)</f>
        <v>#NUM!</v>
      </c>
      <c r="AG155" s="281" t="e">
        <f>VLOOKUP(AM155,Input!$AC:$AF,4,0)</f>
        <v>#NUM!</v>
      </c>
      <c r="AH155" s="281" t="e">
        <f>AG155&amp;COUNTIF(AG155:AG155,AG155)</f>
        <v>#NUM!</v>
      </c>
      <c r="AI155" s="281" t="e">
        <f t="shared" ref="AI155:AI170" si="49">IF(AH155="RB3","F",IF(AH155="WR3","F",IF(AH155="TE2","F",0)))</f>
        <v>#NUM!</v>
      </c>
      <c r="AJ155" s="281" t="e">
        <f>AI155&amp;COUNTIF(AI155:AI155,AI155)</f>
        <v>#NUM!</v>
      </c>
      <c r="AK155" s="281" t="str">
        <f>IFERROR(VLOOKUP(AM155,K12:K21,1,0),"B")</f>
        <v>B</v>
      </c>
      <c r="AL155" s="281" t="str">
        <f>AK155&amp;COUNTIF(AK155:AK155,AK155)</f>
        <v>B1</v>
      </c>
      <c r="AM155" s="281" t="e">
        <f t="array" ref="AM155">INDEX(AD$155:AD$170,SMALL(IF(AE$155:AE$170=AF155,ROW(AE$155:AE$170)-ROW(AF$155)+1),COUNTIF(AF$155:AF155,AF155)))</f>
        <v>#NUM!</v>
      </c>
      <c r="AN155" s="39" t="s">
        <v>591</v>
      </c>
      <c r="AO155" s="281" t="str">
        <f>IFERROR(VLOOKUP(K12,Input!$AC:$AH,6,0),"")</f>
        <v/>
      </c>
      <c r="AP155" s="289" t="str">
        <f>IFERROR(VLOOKUP(VLOOKUP(K12,Input!$AC:$AG,5,0),Schedule!$T$3:$U$34,2,0),"")</f>
        <v/>
      </c>
    </row>
    <row r="156" spans="2:42" ht="15" hidden="1" customHeight="1" x14ac:dyDescent="0.25">
      <c r="B156" s="68" t="str">
        <f>Players!B56</f>
        <v>Michael Crabtree</v>
      </c>
      <c r="AC156" s="39">
        <v>2</v>
      </c>
      <c r="AD156" s="27" t="str">
        <f>IFERROR(VLOOKUP(AD$154&amp;AC156,Input!$AB:$AC,2,0),"")</f>
        <v/>
      </c>
      <c r="AE156" s="281" t="str">
        <f>IFERROR(VLOOKUP(AD156,Input!$AC:$AH,6,0),"")</f>
        <v/>
      </c>
      <c r="AF156" s="281" t="e">
        <f>LARGE(AE155:AE170,AC156)</f>
        <v>#NUM!</v>
      </c>
      <c r="AG156" s="281" t="e">
        <f>VLOOKUP(AM156,Input!$AC:$AF,4,0)</f>
        <v>#NUM!</v>
      </c>
      <c r="AH156" s="281" t="e">
        <f>AG156&amp;COUNTIF(AG155:AG156,AG156)</f>
        <v>#NUM!</v>
      </c>
      <c r="AI156" s="281" t="e">
        <f t="shared" si="49"/>
        <v>#NUM!</v>
      </c>
      <c r="AJ156" s="281" t="e">
        <f>AI156&amp;COUNTIF(AI155:AI156,AI156)</f>
        <v>#NUM!</v>
      </c>
      <c r="AK156" s="281" t="str">
        <f>IFERROR(VLOOKUP(AM156,K12:K21,1,0),"B")</f>
        <v>B</v>
      </c>
      <c r="AL156" s="281" t="str">
        <f>AK156&amp;COUNTIF(AK155:AK156,AK156)</f>
        <v>B2</v>
      </c>
      <c r="AM156" s="281" t="e">
        <f t="array" ref="AM156">INDEX(AD$155:AD$170,SMALL(IF(AE$155:AE$170=AF156,ROW(AE$155:AE$170)-ROW(AF$155)+1),COUNTIF(AF$155:AF156,AF156)))</f>
        <v>#NUM!</v>
      </c>
      <c r="AN156" s="39" t="s">
        <v>592</v>
      </c>
      <c r="AO156" s="281" t="str">
        <f>IFERROR(VLOOKUP(K13,Input!$AC:$AH,6,0),"")</f>
        <v/>
      </c>
      <c r="AP156" s="289" t="str">
        <f>IFERROR(VLOOKUP(VLOOKUP(K13,Input!$AC:$AG,5,0),Schedule!$T$3:$U$34,2,0),"")</f>
        <v/>
      </c>
    </row>
    <row r="157" spans="2:42" ht="15" hidden="1" customHeight="1" x14ac:dyDescent="0.25">
      <c r="B157" s="68" t="str">
        <f>Players!B57</f>
        <v>Golden Tate</v>
      </c>
      <c r="AC157" s="39">
        <v>3</v>
      </c>
      <c r="AD157" s="27" t="str">
        <f>IFERROR(VLOOKUP(AD$154&amp;AC157,Input!$AB:$AC,2,0),"")</f>
        <v/>
      </c>
      <c r="AE157" s="281" t="str">
        <f>IFERROR(VLOOKUP(AD157,Input!$AC:$AH,6,0),"")</f>
        <v/>
      </c>
      <c r="AF157" s="281" t="e">
        <f>LARGE(AE155:AE170,AC157)</f>
        <v>#NUM!</v>
      </c>
      <c r="AG157" s="281" t="e">
        <f>VLOOKUP(AM157,Input!$AC:$AF,4,0)</f>
        <v>#NUM!</v>
      </c>
      <c r="AH157" s="281" t="e">
        <f>AG157&amp;COUNTIF(AG155:AG157,AG157)</f>
        <v>#NUM!</v>
      </c>
      <c r="AI157" s="281" t="e">
        <f t="shared" si="49"/>
        <v>#NUM!</v>
      </c>
      <c r="AJ157" s="281" t="e">
        <f>AI157&amp;COUNTIF(AI155:AI157,AI157)</f>
        <v>#NUM!</v>
      </c>
      <c r="AK157" s="281" t="str">
        <f>IFERROR(VLOOKUP(AM157,K12:K21,1,0),"B")</f>
        <v>B</v>
      </c>
      <c r="AL157" s="281" t="str">
        <f>AK157&amp;COUNTIF(AK155:AK157,AK157)</f>
        <v>B3</v>
      </c>
      <c r="AM157" s="281" t="e">
        <f t="array" ref="AM157">INDEX(AD$155:AD$170,SMALL(IF(AE$155:AE$170=AF157,ROW(AE$155:AE$170)-ROW(AF$155)+1),COUNTIF(AF$155:AF157,AF157)))</f>
        <v>#NUM!</v>
      </c>
      <c r="AN157" s="39" t="s">
        <v>593</v>
      </c>
      <c r="AO157" s="281" t="str">
        <f>IFERROR(VLOOKUP(K14,Input!$AC:$AH,6,0),"")</f>
        <v/>
      </c>
      <c r="AP157" s="289" t="str">
        <f>IFERROR(VLOOKUP(VLOOKUP(K14,Input!$AC:$AG,5,0),Schedule!$T$3:$U$34,2,0),"")</f>
        <v/>
      </c>
    </row>
    <row r="158" spans="2:42" ht="15" hidden="1" customHeight="1" x14ac:dyDescent="0.25">
      <c r="B158" s="68" t="str">
        <f>Players!B58</f>
        <v>Chiefs</v>
      </c>
      <c r="AC158" s="39">
        <v>4</v>
      </c>
      <c r="AD158" s="27" t="str">
        <f>IFERROR(VLOOKUP(AD$154&amp;AC158,Input!$AB:$AC,2,0),"")</f>
        <v/>
      </c>
      <c r="AE158" s="281" t="str">
        <f>IFERROR(VLOOKUP(AD158,Input!$AC:$AH,6,0),"")</f>
        <v/>
      </c>
      <c r="AF158" s="281" t="e">
        <f>LARGE(AE155:AE170,AC158)</f>
        <v>#NUM!</v>
      </c>
      <c r="AG158" s="281" t="e">
        <f>VLOOKUP(AM158,Input!$AC:$AF,4,0)</f>
        <v>#NUM!</v>
      </c>
      <c r="AH158" s="281" t="e">
        <f>AG158&amp;COUNTIF(AG155:AG158,AG158)</f>
        <v>#NUM!</v>
      </c>
      <c r="AI158" s="281" t="e">
        <f t="shared" si="49"/>
        <v>#NUM!</v>
      </c>
      <c r="AJ158" s="281" t="e">
        <f>AI158&amp;COUNTIF(AI155:AI158,AI158)</f>
        <v>#NUM!</v>
      </c>
      <c r="AK158" s="281" t="str">
        <f>IFERROR(VLOOKUP(AM158,K12:K21,1,0),"B")</f>
        <v>B</v>
      </c>
      <c r="AL158" s="281" t="str">
        <f>AK158&amp;COUNTIF(AK155:AK158,AK158)</f>
        <v>B4</v>
      </c>
      <c r="AM158" s="281" t="e">
        <f t="array" ref="AM158">INDEX(AD$155:AD$170,SMALL(IF(AE$155:AE$170=AF158,ROW(AE$155:AE$170)-ROW(AF$155)+1),COUNTIF(AF$155:AF158,AF158)))</f>
        <v>#NUM!</v>
      </c>
      <c r="AN158" s="41" t="s">
        <v>594</v>
      </c>
      <c r="AO158" s="281" t="str">
        <f>IFERROR(VLOOKUP(K15,Input!$AC:$AH,6,0),"")</f>
        <v/>
      </c>
      <c r="AP158" s="289" t="str">
        <f>IFERROR(VLOOKUP(VLOOKUP(K15,Input!$AC:$AG,5,0),Schedule!$T$3:$U$34,2,0),"")</f>
        <v/>
      </c>
    </row>
    <row r="159" spans="2:42" ht="15" hidden="1" customHeight="1" x14ac:dyDescent="0.25">
      <c r="B159" s="68" t="str">
        <f>Players!B59</f>
        <v>Allen Robinson</v>
      </c>
      <c r="AC159" s="39">
        <v>5</v>
      </c>
      <c r="AD159" s="27" t="str">
        <f>IFERROR(VLOOKUP(AD$154&amp;AC159,Input!$AB:$AC,2,0),"")</f>
        <v/>
      </c>
      <c r="AE159" s="281" t="str">
        <f>IFERROR(VLOOKUP(AD159,Input!$AC:$AH,6,0),"")</f>
        <v/>
      </c>
      <c r="AF159" s="281" t="e">
        <f>LARGE(AE155:AE170,AC159)</f>
        <v>#NUM!</v>
      </c>
      <c r="AG159" s="281" t="e">
        <f>VLOOKUP(AM159,Input!$AC:$AF,4,0)</f>
        <v>#NUM!</v>
      </c>
      <c r="AH159" s="281" t="e">
        <f>AG159&amp;COUNTIF(AG155:AG159,AG159)</f>
        <v>#NUM!</v>
      </c>
      <c r="AI159" s="281" t="e">
        <f t="shared" si="49"/>
        <v>#NUM!</v>
      </c>
      <c r="AJ159" s="281" t="e">
        <f>AI159&amp;COUNTIF(AI155:AI159,AI159)</f>
        <v>#NUM!</v>
      </c>
      <c r="AK159" s="281" t="str">
        <f>IFERROR(VLOOKUP(AM159,K12:K21,1,0),"B")</f>
        <v>B</v>
      </c>
      <c r="AL159" s="281" t="str">
        <f>AK159&amp;COUNTIF(AK155:AK159,AK159)</f>
        <v>B5</v>
      </c>
      <c r="AM159" s="281" t="e">
        <f t="array" ref="AM159">INDEX(AD$155:AD$170,SMALL(IF(AE$155:AE$170=AF159,ROW(AE$155:AE$170)-ROW(AF$155)+1),COUNTIF(AF$155:AF159,AF159)))</f>
        <v>#NUM!</v>
      </c>
      <c r="AN159" s="41" t="s">
        <v>595</v>
      </c>
      <c r="AO159" s="281" t="str">
        <f>IFERROR(VLOOKUP(K16,Input!$AC:$AH,6,0),"")</f>
        <v/>
      </c>
      <c r="AP159" s="289" t="str">
        <f>IFERROR(VLOOKUP(VLOOKUP(K16,Input!$AC:$AG,5,0),Schedule!$T$3:$U$34,2,0),"")</f>
        <v/>
      </c>
    </row>
    <row r="160" spans="2:42" ht="15" hidden="1" customHeight="1" x14ac:dyDescent="0.25">
      <c r="B160" s="68" t="str">
        <f>Players!B60</f>
        <v>Larry Fitzgerald</v>
      </c>
      <c r="AC160" s="39">
        <v>6</v>
      </c>
      <c r="AD160" s="27" t="str">
        <f>IFERROR(VLOOKUP(AD$154&amp;AC160,Input!$AB:$AC,2,0),"")</f>
        <v/>
      </c>
      <c r="AE160" s="281" t="str">
        <f>IFERROR(VLOOKUP(AD160,Input!$AC:$AH,6,0),"")</f>
        <v/>
      </c>
      <c r="AF160" s="281" t="e">
        <f>LARGE(AE155:AE170,AC160)</f>
        <v>#NUM!</v>
      </c>
      <c r="AG160" s="281" t="e">
        <f>VLOOKUP(AM160,Input!$AC:$AF,4,0)</f>
        <v>#NUM!</v>
      </c>
      <c r="AH160" s="281" t="e">
        <f>AG160&amp;COUNTIF(AG155:AG160,AG160)</f>
        <v>#NUM!</v>
      </c>
      <c r="AI160" s="281" t="e">
        <f t="shared" si="49"/>
        <v>#NUM!</v>
      </c>
      <c r="AJ160" s="281" t="e">
        <f>AI160&amp;COUNTIF(AI155:AI160,AI160)</f>
        <v>#NUM!</v>
      </c>
      <c r="AK160" s="281" t="str">
        <f>IFERROR(VLOOKUP(AM160,K12:K21,1,0),"B")</f>
        <v>B</v>
      </c>
      <c r="AL160" s="281" t="str">
        <f>AK160&amp;COUNTIF(AK155:AK160,AK160)</f>
        <v>B6</v>
      </c>
      <c r="AM160" s="281" t="e">
        <f t="array" ref="AM160">INDEX(AD$155:AD$170,SMALL(IF(AE$155:AE$170=AF160,ROW(AE$155:AE$170)-ROW(AF$155)+1),COUNTIF(AF$155:AF160,AF160)))</f>
        <v>#NUM!</v>
      </c>
      <c r="AN160" s="41" t="s">
        <v>596</v>
      </c>
      <c r="AO160" s="281" t="str">
        <f>IFERROR(VLOOKUP(K17,Input!$AC:$AH,6,0),"")</f>
        <v/>
      </c>
      <c r="AP160" s="289" t="str">
        <f>IFERROR(VLOOKUP(VLOOKUP(K17,Input!$AC:$AG,5,0),Schedule!$T$3:$U$34,2,0),"")</f>
        <v/>
      </c>
    </row>
    <row r="161" spans="2:42" ht="15" hidden="1" customHeight="1" x14ac:dyDescent="0.25">
      <c r="B161" s="68" t="str">
        <f>Players!B61</f>
        <v>Cam Newton</v>
      </c>
      <c r="AC161" s="39">
        <v>7</v>
      </c>
      <c r="AD161" s="27" t="str">
        <f>IFERROR(VLOOKUP(AD$154&amp;AC161,Input!$AB:$AC,2,0),"")</f>
        <v/>
      </c>
      <c r="AE161" s="281" t="str">
        <f>IFERROR(VLOOKUP(AD161,Input!$AC:$AH,6,0),"")</f>
        <v/>
      </c>
      <c r="AF161" s="281" t="e">
        <f>LARGE(AE155:AE170,AC161)</f>
        <v>#NUM!</v>
      </c>
      <c r="AG161" s="281" t="e">
        <f>VLOOKUP(AM161,Input!$AC:$AF,4,0)</f>
        <v>#NUM!</v>
      </c>
      <c r="AH161" s="281" t="e">
        <f>AG161&amp;COUNTIF(AG155:AG161,AG161)</f>
        <v>#NUM!</v>
      </c>
      <c r="AI161" s="281" t="e">
        <f t="shared" si="49"/>
        <v>#NUM!</v>
      </c>
      <c r="AJ161" s="281" t="e">
        <f>AI161&amp;COUNTIF(AI155:AI161,AI161)</f>
        <v>#NUM!</v>
      </c>
      <c r="AK161" s="281" t="str">
        <f>IFERROR(VLOOKUP(AM161,K12:K21,1,0),"B")</f>
        <v>B</v>
      </c>
      <c r="AL161" s="281" t="str">
        <f>AK161&amp;COUNTIF(AK155:AK161,AK161)</f>
        <v>B7</v>
      </c>
      <c r="AM161" s="281" t="e">
        <f t="array" ref="AM161">INDEX(AD$155:AD$170,SMALL(IF(AE$155:AE$170=AF161,ROW(AE$155:AE$170)-ROW(AF$155)+1),COUNTIF(AF$155:AF161,AF161)))</f>
        <v>#NUM!</v>
      </c>
      <c r="AN161" s="41" t="s">
        <v>597</v>
      </c>
      <c r="AO161" s="281" t="str">
        <f>IFERROR(VLOOKUP(K18,Input!$AC:$AH,6,0),"")</f>
        <v/>
      </c>
      <c r="AP161" s="289" t="str">
        <f>IFERROR(VLOOKUP(VLOOKUP(K18,Input!$AC:$AG,5,0),Schedule!$T$3:$U$34,2,0),"")</f>
        <v/>
      </c>
    </row>
    <row r="162" spans="2:42" ht="15" hidden="1" customHeight="1" x14ac:dyDescent="0.25">
      <c r="B162" s="68" t="str">
        <f>Players!B62</f>
        <v>Julian Edelman</v>
      </c>
      <c r="AC162" s="39">
        <v>8</v>
      </c>
      <c r="AD162" s="27" t="str">
        <f>IFERROR(VLOOKUP(AD$154&amp;AC162,Input!$AB:$AC,2,0),"")</f>
        <v/>
      </c>
      <c r="AE162" s="281" t="str">
        <f>IFERROR(VLOOKUP(AD162,Input!$AC:$AH,6,0),"")</f>
        <v/>
      </c>
      <c r="AF162" s="281" t="e">
        <f>LARGE(AE155:AE170,AC162)</f>
        <v>#NUM!</v>
      </c>
      <c r="AG162" s="281" t="e">
        <f>VLOOKUP(AM162,Input!$AC:$AF,4,0)</f>
        <v>#NUM!</v>
      </c>
      <c r="AH162" s="281" t="e">
        <f>AG162&amp;COUNTIF(AG155:AG162,AG162)</f>
        <v>#NUM!</v>
      </c>
      <c r="AI162" s="281" t="e">
        <f t="shared" si="49"/>
        <v>#NUM!</v>
      </c>
      <c r="AJ162" s="281" t="e">
        <f>AI162&amp;COUNTIF(AI155:AI162,AI162)</f>
        <v>#NUM!</v>
      </c>
      <c r="AK162" s="281" t="str">
        <f>IFERROR(VLOOKUP(AM162,K12:K21,1,0),"B")</f>
        <v>B</v>
      </c>
      <c r="AL162" s="281" t="str">
        <f>AK162&amp;COUNTIF(AK155:AK162,AK162)</f>
        <v>B8</v>
      </c>
      <c r="AM162" s="281" t="e">
        <f t="array" ref="AM162">INDEX(AD$155:AD$170,SMALL(IF(AE$155:AE$170=AF162,ROW(AE$155:AE$170)-ROW(AF$155)+1),COUNTIF(AF$155:AF162,AF162)))</f>
        <v>#NUM!</v>
      </c>
      <c r="AN162" s="41" t="s">
        <v>598</v>
      </c>
      <c r="AO162" s="281" t="str">
        <f>IFERROR(VLOOKUP(K19,Input!$AC:$AH,6,0),"")</f>
        <v/>
      </c>
      <c r="AP162" s="289" t="str">
        <f>IFERROR(VLOOKUP(VLOOKUP(K19,Input!$AC:$AG,5,0),Schedule!$T$3:$U$34,2,0),"")</f>
        <v/>
      </c>
    </row>
    <row r="163" spans="2:42" ht="15" hidden="1" customHeight="1" x14ac:dyDescent="0.25">
      <c r="B163" s="68" t="str">
        <f>Players!B63</f>
        <v>Cardinals</v>
      </c>
      <c r="AC163" s="39">
        <v>9</v>
      </c>
      <c r="AD163" s="27" t="str">
        <f>IFERROR(VLOOKUP(AD$154&amp;AC163,Input!$AB:$AC,2,0),"")</f>
        <v/>
      </c>
      <c r="AE163" s="281" t="str">
        <f>IFERROR(VLOOKUP(AD163,Input!$AC:$AH,6,0),"")</f>
        <v/>
      </c>
      <c r="AF163" s="281" t="e">
        <f>LARGE(AE155:AE170,AC163)</f>
        <v>#NUM!</v>
      </c>
      <c r="AG163" s="281" t="e">
        <f>VLOOKUP(AM163,Input!$AC:$AF,4,0)</f>
        <v>#NUM!</v>
      </c>
      <c r="AH163" s="281" t="e">
        <f>AG163&amp;COUNTIF(AG155:AG163,AG163)</f>
        <v>#NUM!</v>
      </c>
      <c r="AI163" s="281" t="e">
        <f t="shared" si="49"/>
        <v>#NUM!</v>
      </c>
      <c r="AJ163" s="281" t="e">
        <f>AI163&amp;COUNTIF(AI155:AI163,AI163)</f>
        <v>#NUM!</v>
      </c>
      <c r="AK163" s="281" t="str">
        <f>IFERROR(VLOOKUP(AM163,K12:K21,1,0),"B")</f>
        <v>B</v>
      </c>
      <c r="AL163" s="281" t="str">
        <f>AK163&amp;COUNTIF(AK155:AK163,AK163)</f>
        <v>B9</v>
      </c>
      <c r="AM163" s="281" t="e">
        <f t="array" ref="AM163">INDEX(AD$155:AD$170,SMALL(IF(AE$155:AE$170=AF163,ROW(AE$155:AE$170)-ROW(AF$155)+1),COUNTIF(AF$155:AF163,AF163)))</f>
        <v>#NUM!</v>
      </c>
      <c r="AN163" s="41" t="s">
        <v>599</v>
      </c>
      <c r="AO163" s="281" t="str">
        <f>IFERROR(VLOOKUP(K20,Input!$AC:$AH,6,0),"")</f>
        <v/>
      </c>
      <c r="AP163" s="289" t="str">
        <f>IFERROR(VLOOKUP(VLOOKUP(K20,Input!$AC:$AG,5,0),Schedule!$T$3:$U$34,2,0),"")</f>
        <v/>
      </c>
    </row>
    <row r="164" spans="2:42" ht="15" hidden="1" customHeight="1" x14ac:dyDescent="0.25">
      <c r="B164" s="68" t="str">
        <f>Players!B64</f>
        <v>Paul Perkins</v>
      </c>
      <c r="AC164" s="39">
        <v>10</v>
      </c>
      <c r="AD164" s="27" t="str">
        <f>IFERROR(VLOOKUP(AD$154&amp;AC164,Input!$AB:$AC,2,0),"")</f>
        <v/>
      </c>
      <c r="AE164" s="281" t="str">
        <f>IFERROR(VLOOKUP(AD164,Input!$AC:$AH,6,0),"")</f>
        <v/>
      </c>
      <c r="AF164" s="281" t="e">
        <f>LARGE(AE155:AE170,AC164)</f>
        <v>#NUM!</v>
      </c>
      <c r="AG164" s="281" t="e">
        <f>VLOOKUP(AM164,Input!$AC:$AF,4,0)</f>
        <v>#NUM!</v>
      </c>
      <c r="AH164" s="281" t="e">
        <f>AG164&amp;COUNTIF(AG155:AG164,AG164)</f>
        <v>#NUM!</v>
      </c>
      <c r="AI164" s="281" t="e">
        <f t="shared" si="49"/>
        <v>#NUM!</v>
      </c>
      <c r="AJ164" s="281" t="e">
        <f>AI164&amp;COUNTIF(AI155:AI164,AI164)</f>
        <v>#NUM!</v>
      </c>
      <c r="AK164" s="281" t="str">
        <f>IFERROR(VLOOKUP(AM164,K12:K21,1,0),"B")</f>
        <v>B</v>
      </c>
      <c r="AL164" s="281" t="str">
        <f>AK164&amp;COUNTIF(AK155:AK164,AK164)</f>
        <v>B10</v>
      </c>
      <c r="AM164" s="281" t="e">
        <f t="array" ref="AM164">INDEX(AD$155:AD$170,SMALL(IF(AE$155:AE$170=AF164,ROW(AE$155:AE$170)-ROW(AF$155)+1),COUNTIF(AF$155:AF164,AF164)))</f>
        <v>#NUM!</v>
      </c>
      <c r="AN164" s="41" t="s">
        <v>600</v>
      </c>
      <c r="AO164" s="281" t="str">
        <f>IFERROR(VLOOKUP(K21,Input!$AC:$AH,6,0),"")</f>
        <v/>
      </c>
      <c r="AP164" s="289" t="str">
        <f>IFERROR(VLOOKUP(VLOOKUP(K21,Input!$AC:$AG,5,0),Schedule!$T$3:$U$34,2,0),"")</f>
        <v/>
      </c>
    </row>
    <row r="165" spans="2:42" ht="15" hidden="1" customHeight="1" x14ac:dyDescent="0.25">
      <c r="B165" s="68" t="str">
        <f>Players!B65</f>
        <v>C.J. Anderson</v>
      </c>
      <c r="AC165" s="39">
        <v>11</v>
      </c>
      <c r="AD165" s="27" t="str">
        <f>IFERROR(VLOOKUP(AD$154&amp;AC165,Input!$AB:$AC,2,0),"")</f>
        <v/>
      </c>
      <c r="AE165" s="281" t="str">
        <f>IFERROR(VLOOKUP(AD165,Input!$AC:$AH,6,0),"")</f>
        <v/>
      </c>
      <c r="AF165" s="281" t="e">
        <f>LARGE(AE155:AE170,AC165)</f>
        <v>#NUM!</v>
      </c>
      <c r="AG165" s="281" t="e">
        <f>VLOOKUP(AM165,Input!$AC:$AF,4,0)</f>
        <v>#NUM!</v>
      </c>
      <c r="AH165" s="281" t="e">
        <f>AG165&amp;COUNTIF(AG155:AG165,AG165)</f>
        <v>#NUM!</v>
      </c>
      <c r="AI165" s="281" t="e">
        <f t="shared" si="49"/>
        <v>#NUM!</v>
      </c>
      <c r="AJ165" s="281" t="e">
        <f>AI165&amp;COUNTIF(AI155:AI165,AI165)</f>
        <v>#NUM!</v>
      </c>
      <c r="AK165" s="281" t="str">
        <f>IFERROR(VLOOKUP(AM165,K12:K21,1,0),"B")</f>
        <v>B</v>
      </c>
      <c r="AL165" s="281" t="str">
        <f>AK165&amp;COUNTIF(AK155:AK165,AK165)</f>
        <v>B11</v>
      </c>
      <c r="AM165" s="281" t="e">
        <f t="array" ref="AM165">INDEX(AD$155:AD$170,SMALL(IF(AE$155:AE$170=AF165,ROW(AE$155:AE$170)-ROW(AF$155)+1),COUNTIF(AF$155:AF165,AF165)))</f>
        <v>#NUM!</v>
      </c>
      <c r="AN165" s="41" t="s">
        <v>601</v>
      </c>
      <c r="AO165" s="17" t="str">
        <f>IFERROR(VLOOKUP(K22,Input!$AC:$AH,6,0),"")</f>
        <v/>
      </c>
      <c r="AP165" s="289" t="str">
        <f>IFERROR(VLOOKUP(VLOOKUP(K22,Input!$AC:$AG,5,0),Schedule!$T$3:$U$34,2,0),"")</f>
        <v/>
      </c>
    </row>
    <row r="166" spans="2:42" ht="15" hidden="1" customHeight="1" x14ac:dyDescent="0.25">
      <c r="B166" s="68" t="str">
        <f>Players!B66</f>
        <v>Rams</v>
      </c>
      <c r="AC166" s="39">
        <v>12</v>
      </c>
      <c r="AD166" s="27" t="str">
        <f>IFERROR(VLOOKUP(AD$154&amp;AC166,Input!$AB:$AC,2,0),"")</f>
        <v/>
      </c>
      <c r="AE166" s="281" t="str">
        <f>IFERROR(VLOOKUP(AD166,Input!$AC:$AH,6,0),"")</f>
        <v/>
      </c>
      <c r="AF166" s="281" t="e">
        <f>LARGE(AE155:AE170,AC166)</f>
        <v>#NUM!</v>
      </c>
      <c r="AG166" s="281" t="e">
        <f>VLOOKUP(AM166,Input!$AC:$AF,4,0)</f>
        <v>#NUM!</v>
      </c>
      <c r="AH166" s="281" t="e">
        <f>AG166&amp;COUNTIF(AG155:AG166,AG166)</f>
        <v>#NUM!</v>
      </c>
      <c r="AI166" s="281" t="e">
        <f t="shared" si="49"/>
        <v>#NUM!</v>
      </c>
      <c r="AJ166" s="281" t="e">
        <f>AI166&amp;COUNTIF(AI155:AI166,AI166)</f>
        <v>#NUM!</v>
      </c>
      <c r="AK166" s="281" t="str">
        <f>IFERROR(VLOOKUP(AM166,K12:K21,1,0),"B")</f>
        <v>B</v>
      </c>
      <c r="AL166" s="281" t="str">
        <f>AK166&amp;COUNTIF(AK155:AK166,AK166)</f>
        <v>B12</v>
      </c>
      <c r="AM166" s="281" t="e">
        <f t="array" ref="AM166">INDEX(AD$155:AD$170,SMALL(IF(AE$155:AE$170=AF166,ROW(AE$155:AE$170)-ROW(AF$155)+1),COUNTIF(AF$155:AF166,AF166)))</f>
        <v>#NUM!</v>
      </c>
      <c r="AN166" s="41" t="s">
        <v>602</v>
      </c>
      <c r="AO166" s="17"/>
      <c r="AP166" s="289" t="str">
        <f>IFERROR(VLOOKUP(VLOOKUP(K23,Input!$AC:$AG,5,0),Schedule!$T$3:$U$34,2,0),"")</f>
        <v/>
      </c>
    </row>
    <row r="167" spans="2:42" ht="15" hidden="1" customHeight="1" x14ac:dyDescent="0.25">
      <c r="B167" s="68" t="str">
        <f>Players!B67</f>
        <v>Danny Woodhead</v>
      </c>
      <c r="AC167" s="39">
        <v>13</v>
      </c>
      <c r="AD167" s="27" t="str">
        <f>IFERROR(VLOOKUP(AD$154&amp;AC167,Input!$AB:$AC,2,0),"")</f>
        <v/>
      </c>
      <c r="AE167" s="281" t="str">
        <f>IFERROR(VLOOKUP(AD167,Input!$AC:$AH,6,0),"")</f>
        <v/>
      </c>
      <c r="AF167" s="281" t="e">
        <f>LARGE(AE155:AE170,AC167)</f>
        <v>#NUM!</v>
      </c>
      <c r="AG167" s="281" t="e">
        <f>VLOOKUP(AM167,Input!$AC:$AF,4,0)</f>
        <v>#NUM!</v>
      </c>
      <c r="AH167" s="281" t="e">
        <f>AG167&amp;COUNTIF(AG155:AG167,AG167)</f>
        <v>#NUM!</v>
      </c>
      <c r="AI167" s="281" t="e">
        <f t="shared" si="49"/>
        <v>#NUM!</v>
      </c>
      <c r="AJ167" s="281" t="e">
        <f>AI167&amp;COUNTIF(AI155:AI167,AI167)</f>
        <v>#NUM!</v>
      </c>
      <c r="AK167" s="281" t="str">
        <f>IFERROR(VLOOKUP(AM167,K12:K21,1,0),"B")</f>
        <v>B</v>
      </c>
      <c r="AL167" s="281" t="str">
        <f>AK167&amp;COUNTIF(AK155:AK167,AK167)</f>
        <v>B13</v>
      </c>
      <c r="AM167" s="281" t="e">
        <f t="array" ref="AM167">INDEX(AD$155:AD$170,SMALL(IF(AE$155:AE$170=AF167,ROW(AE$155:AE$170)-ROW(AF$155)+1),COUNTIF(AF$155:AF167,AF167)))</f>
        <v>#NUM!</v>
      </c>
      <c r="AN167" s="41" t="s">
        <v>603</v>
      </c>
      <c r="AO167" s="17"/>
      <c r="AP167" s="289" t="str">
        <f>IFERROR(VLOOKUP(VLOOKUP(K24,Input!$AC:$AG,5,0),Schedule!$T$3:$U$34,2,0),"")</f>
        <v/>
      </c>
    </row>
    <row r="168" spans="2:42" ht="15" hidden="1" customHeight="1" x14ac:dyDescent="0.25">
      <c r="B168" s="68" t="str">
        <f>Players!B68</f>
        <v>Dan Bailey</v>
      </c>
      <c r="AC168" s="39">
        <v>14</v>
      </c>
      <c r="AD168" s="27" t="str">
        <f>IFERROR(VLOOKUP(AD$154&amp;AC168,Input!$AB:$AC,2,0),"")</f>
        <v/>
      </c>
      <c r="AE168" s="281" t="str">
        <f>IFERROR(VLOOKUP(AD168,Input!$AC:$AH,6,0),"")</f>
        <v/>
      </c>
      <c r="AF168" s="281" t="e">
        <f>LARGE(AE155:AE170,AC168)</f>
        <v>#NUM!</v>
      </c>
      <c r="AG168" s="281" t="e">
        <f>VLOOKUP(AM168,Input!$AC:$AF,4,0)</f>
        <v>#NUM!</v>
      </c>
      <c r="AH168" s="281" t="e">
        <f>AG168&amp;COUNTIF(AG155:AG168,AG168)</f>
        <v>#NUM!</v>
      </c>
      <c r="AI168" s="281" t="e">
        <f t="shared" si="49"/>
        <v>#NUM!</v>
      </c>
      <c r="AJ168" s="281" t="e">
        <f>AI168&amp;COUNTIF(AI155:AI168,AI168)</f>
        <v>#NUM!</v>
      </c>
      <c r="AK168" s="281" t="str">
        <f>IFERROR(VLOOKUP(AM168,K12:K21,1,0),"B")</f>
        <v>B</v>
      </c>
      <c r="AL168" s="281" t="str">
        <f>AK168&amp;COUNTIF(AK155:AK168,AK168)</f>
        <v>B14</v>
      </c>
      <c r="AM168" s="281" t="e">
        <f t="array" ref="AM168">INDEX(AD$155:AD$170,SMALL(IF(AE$155:AE$170=AF168,ROW(AE$155:AE$170)-ROW(AF$155)+1),COUNTIF(AF$155:AF168,AF168)))</f>
        <v>#NUM!</v>
      </c>
      <c r="AN168" s="41" t="s">
        <v>604</v>
      </c>
      <c r="AO168" s="17"/>
      <c r="AP168" s="289" t="str">
        <f>IFERROR(VLOOKUP(VLOOKUP(K25,Input!$AC:$AG,5,0),Schedule!$T$3:$U$34,2,0),"")</f>
        <v/>
      </c>
    </row>
    <row r="169" spans="2:42" ht="15" hidden="1" customHeight="1" x14ac:dyDescent="0.25">
      <c r="B169" s="68" t="str">
        <f>Players!B69</f>
        <v>Seahawks</v>
      </c>
      <c r="AC169" s="39">
        <v>15</v>
      </c>
      <c r="AD169" s="27" t="str">
        <f>IFERROR(VLOOKUP(AD$154&amp;AC169,Input!$AB:$AC,2,0),"")</f>
        <v/>
      </c>
      <c r="AE169" s="281" t="str">
        <f>IFERROR(VLOOKUP(AD169,Input!$AC:$AH,6,0),"")</f>
        <v/>
      </c>
      <c r="AF169" s="281" t="e">
        <f>LARGE(AE155:AE170,AC169)</f>
        <v>#NUM!</v>
      </c>
      <c r="AG169" s="281" t="e">
        <f>VLOOKUP(AM169,Input!$AC:$AF,4,0)</f>
        <v>#NUM!</v>
      </c>
      <c r="AH169" s="281" t="e">
        <f>AG169&amp;COUNTIF(AG155:AG169,AG169)</f>
        <v>#NUM!</v>
      </c>
      <c r="AI169" s="281" t="e">
        <f t="shared" si="49"/>
        <v>#NUM!</v>
      </c>
      <c r="AJ169" s="281" t="e">
        <f>AI169&amp;COUNTIF(AI155:AI169,AI169)</f>
        <v>#NUM!</v>
      </c>
      <c r="AK169" s="281" t="str">
        <f>IFERROR(VLOOKUP(AM169,K12:K21,1,0),"B")</f>
        <v>B</v>
      </c>
      <c r="AL169" s="281" t="str">
        <f>AK169&amp;COUNTIF(AK155:AK169,AK169)</f>
        <v>B15</v>
      </c>
      <c r="AM169" s="281" t="e">
        <f t="array" ref="AM169">INDEX(AD$155:AD$170,SMALL(IF(AE$155:AE$170=AF169,ROW(AE$155:AE$170)-ROW(AF$155)+1),COUNTIF(AF$155:AF169,AF169)))</f>
        <v>#NUM!</v>
      </c>
      <c r="AN169" s="41" t="s">
        <v>605</v>
      </c>
      <c r="AO169" s="17"/>
      <c r="AP169" s="289" t="str">
        <f>IFERROR(VLOOKUP(VLOOKUP(K26,Input!$AC:$AG,5,0),Schedule!$T$3:$U$34,2,0),"")</f>
        <v/>
      </c>
    </row>
    <row r="170" spans="2:42" ht="15.75" hidden="1" customHeight="1" thickBot="1" x14ac:dyDescent="0.3">
      <c r="B170" s="68" t="str">
        <f>Players!B70</f>
        <v>Adam Vinatieri</v>
      </c>
      <c r="AC170" s="40">
        <v>16</v>
      </c>
      <c r="AD170" s="29" t="str">
        <f>IFERROR(VLOOKUP(AD$154&amp;AC170,Input!$AB:$AC,2,0),"")</f>
        <v/>
      </c>
      <c r="AE170" s="282" t="str">
        <f>IFERROR(VLOOKUP(AD170,Input!$AC:$AH,6,0),"")</f>
        <v/>
      </c>
      <c r="AF170" s="282" t="e">
        <f>LARGE(AE155:AE170,AC170)</f>
        <v>#NUM!</v>
      </c>
      <c r="AG170" s="282" t="e">
        <f>VLOOKUP(AM170,Input!$AC:$AF,4,0)</f>
        <v>#NUM!</v>
      </c>
      <c r="AH170" s="282" t="e">
        <f>AG170&amp;COUNTIF(AG155:AG170,AG170)</f>
        <v>#NUM!</v>
      </c>
      <c r="AI170" s="282" t="e">
        <f t="shared" si="49"/>
        <v>#NUM!</v>
      </c>
      <c r="AJ170" s="282" t="e">
        <f>AI170&amp;COUNTIF(AI155:AI170,AI170)</f>
        <v>#NUM!</v>
      </c>
      <c r="AK170" s="282" t="str">
        <f>IFERROR(VLOOKUP(AM170,K12:K21,1,0),"B")</f>
        <v>B</v>
      </c>
      <c r="AL170" s="282" t="str">
        <f>AK170&amp;COUNTIF(AK155:AK170,AK170)</f>
        <v>B16</v>
      </c>
      <c r="AM170" s="282" t="e">
        <f t="array" ref="AM170">INDEX(AD$155:AD$170,SMALL(IF(AE$155:AE$170=AF170,ROW(AE$155:AE$170)-ROW(AF$155)+1),COUNTIF(AF$155:AF170,AF170)))</f>
        <v>#NUM!</v>
      </c>
      <c r="AN170" s="42" t="s">
        <v>606</v>
      </c>
      <c r="AO170" s="283"/>
      <c r="AP170" s="290" t="str">
        <f>IFERROR(VLOOKUP(VLOOKUP(K27,Input!$AC:$AG,5,0),Schedule!$T$3:$U$34,2,0),"")</f>
        <v/>
      </c>
    </row>
    <row r="171" spans="2:42" ht="15" hidden="1" customHeight="1" x14ac:dyDescent="0.25">
      <c r="B171" s="68" t="str">
        <f>Players!B71</f>
        <v>Tyreek Hill</v>
      </c>
    </row>
    <row r="172" spans="2:42" ht="15" hidden="1" customHeight="1" x14ac:dyDescent="0.25">
      <c r="B172" s="68" t="str">
        <f>Players!B72</f>
        <v>Carlos Hyde</v>
      </c>
    </row>
    <row r="173" spans="2:42" ht="15" hidden="1" customHeight="1" x14ac:dyDescent="0.25">
      <c r="B173" s="68" t="str">
        <f>Players!B73</f>
        <v>Martellus Bennett</v>
      </c>
    </row>
    <row r="174" spans="2:42" ht="15" hidden="1" customHeight="1" x14ac:dyDescent="0.25">
      <c r="B174" s="68" t="str">
        <f>Players!B74</f>
        <v>Tyler Eifert</v>
      </c>
    </row>
    <row r="175" spans="2:42" ht="15" hidden="1" customHeight="1" x14ac:dyDescent="0.25">
      <c r="B175" s="68" t="str">
        <f>Players!B75</f>
        <v>Spencer Ware</v>
      </c>
    </row>
    <row r="176" spans="2:42" ht="15" hidden="1" customHeight="1" x14ac:dyDescent="0.25">
      <c r="B176" s="68" t="str">
        <f>Players!B76</f>
        <v>Matt Prater</v>
      </c>
    </row>
    <row r="177" spans="2:2" ht="15" hidden="1" customHeight="1" x14ac:dyDescent="0.25">
      <c r="B177" s="68" t="str">
        <f>Players!B77</f>
        <v>Sammy Watkins</v>
      </c>
    </row>
    <row r="178" spans="2:2" ht="15" hidden="1" customHeight="1" x14ac:dyDescent="0.25">
      <c r="B178" s="68" t="str">
        <f>Players!B78</f>
        <v>Mason Crosby</v>
      </c>
    </row>
    <row r="179" spans="2:2" ht="15" hidden="1" customHeight="1" x14ac:dyDescent="0.25">
      <c r="B179" s="68" t="str">
        <f>Players!B79</f>
        <v>Bengals</v>
      </c>
    </row>
    <row r="180" spans="2:2" ht="15" hidden="1" customHeight="1" x14ac:dyDescent="0.25">
      <c r="B180" s="68" t="str">
        <f>Players!B80</f>
        <v>Terrelle Pryor</v>
      </c>
    </row>
    <row r="181" spans="2:2" ht="15" hidden="1" customHeight="1" x14ac:dyDescent="0.25">
      <c r="B181" s="68" t="str">
        <f>Players!B81</f>
        <v>Alshon Jeffery</v>
      </c>
    </row>
    <row r="182" spans="2:2" ht="15" hidden="1" customHeight="1" x14ac:dyDescent="0.25">
      <c r="B182" s="68" t="str">
        <f>Players!B82</f>
        <v>Jameis Winston</v>
      </c>
    </row>
    <row r="183" spans="2:2" ht="15" hidden="1" customHeight="1" x14ac:dyDescent="0.25">
      <c r="B183" s="68" t="str">
        <f>Players!B83</f>
        <v>Panthers</v>
      </c>
    </row>
    <row r="184" spans="2:2" ht="15" hidden="1" customHeight="1" x14ac:dyDescent="0.25">
      <c r="B184" s="68" t="str">
        <f>Players!B84</f>
        <v>Kirk Cousins</v>
      </c>
    </row>
    <row r="185" spans="2:2" ht="15" hidden="1" customHeight="1" x14ac:dyDescent="0.25">
      <c r="B185" s="68" t="str">
        <f>Players!B85</f>
        <v>Wil Lutz</v>
      </c>
    </row>
    <row r="186" spans="2:2" ht="15" hidden="1" customHeight="1" x14ac:dyDescent="0.25">
      <c r="B186" s="68" t="str">
        <f>Players!B86</f>
        <v>Dak Prescott</v>
      </c>
    </row>
    <row r="187" spans="2:2" ht="15" hidden="1" customHeight="1" x14ac:dyDescent="0.25">
      <c r="B187" s="68" t="str">
        <f>Players!B87</f>
        <v>Blair Walsh</v>
      </c>
    </row>
    <row r="188" spans="2:2" ht="15" hidden="1" customHeight="1" x14ac:dyDescent="0.25">
      <c r="B188" s="68" t="str">
        <f>Players!B88</f>
        <v>Emmanuel Sanders</v>
      </c>
    </row>
    <row r="189" spans="2:2" ht="15" hidden="1" customHeight="1" x14ac:dyDescent="0.25">
      <c r="B189" s="68" t="str">
        <f>Players!B89</f>
        <v>Keenan Allen</v>
      </c>
    </row>
    <row r="190" spans="2:2" ht="15" hidden="1" customHeight="1" x14ac:dyDescent="0.25">
      <c r="B190" s="68" t="str">
        <f>Players!B90</f>
        <v>Tevin Coleman</v>
      </c>
    </row>
    <row r="191" spans="2:2" ht="15" hidden="1" customHeight="1" x14ac:dyDescent="0.25">
      <c r="B191" s="68" t="str">
        <f>Players!B91</f>
        <v>Caleb Sturgis</v>
      </c>
    </row>
    <row r="192" spans="2:2" ht="15" hidden="1" customHeight="1" x14ac:dyDescent="0.25">
      <c r="B192" s="68" t="str">
        <f>Players!B92</f>
        <v>Frank Gore</v>
      </c>
    </row>
    <row r="193" spans="2:2" ht="15" hidden="1" customHeight="1" x14ac:dyDescent="0.25">
      <c r="B193" s="68" t="str">
        <f>Players!B93</f>
        <v>Stefon Diggs</v>
      </c>
    </row>
    <row r="194" spans="2:2" ht="15" hidden="1" customHeight="1" x14ac:dyDescent="0.25">
      <c r="B194" s="68" t="str">
        <f>Players!B94</f>
        <v>Sebastian Janikowski</v>
      </c>
    </row>
    <row r="195" spans="2:2" ht="15" hidden="1" customHeight="1" x14ac:dyDescent="0.25">
      <c r="B195" s="68" t="str">
        <f>Players!B95</f>
        <v>Tyrod Taylor</v>
      </c>
    </row>
    <row r="196" spans="2:2" ht="15" hidden="1" customHeight="1" x14ac:dyDescent="0.25">
      <c r="B196" s="68" t="str">
        <f>Players!B96</f>
        <v>Graham Gano</v>
      </c>
    </row>
    <row r="197" spans="2:2" ht="15" hidden="1" customHeight="1" x14ac:dyDescent="0.25">
      <c r="B197" s="68" t="str">
        <f>Players!B97</f>
        <v>Vikings</v>
      </c>
    </row>
    <row r="198" spans="2:2" ht="15" hidden="1" customHeight="1" x14ac:dyDescent="0.25">
      <c r="B198" s="68" t="str">
        <f>Players!B98</f>
        <v>Cairo Santos</v>
      </c>
    </row>
    <row r="199" spans="2:2" ht="15" hidden="1" customHeight="1" x14ac:dyDescent="0.25">
      <c r="B199" s="68" t="str">
        <f>Players!B99</f>
        <v>Theo Riddick</v>
      </c>
    </row>
    <row r="200" spans="2:2" ht="15" hidden="1" customHeight="1" x14ac:dyDescent="0.25">
      <c r="B200" s="68" t="str">
        <f>Players!B100</f>
        <v>Davante Adams</v>
      </c>
    </row>
    <row r="201" spans="2:2" ht="15" hidden="1" customHeight="1" x14ac:dyDescent="0.25">
      <c r="B201" s="68" t="str">
        <f>Players!B101</f>
        <v>Marcus Mariota</v>
      </c>
    </row>
    <row r="202" spans="2:2" ht="15" hidden="1" customHeight="1" x14ac:dyDescent="0.25">
      <c r="B202" s="68" t="str">
        <f>Players!B102</f>
        <v>Joe Mixon</v>
      </c>
    </row>
    <row r="203" spans="2:2" ht="15" hidden="1" customHeight="1" x14ac:dyDescent="0.25">
      <c r="B203" s="68" t="str">
        <f>Players!B103</f>
        <v>Texans</v>
      </c>
    </row>
    <row r="204" spans="2:2" ht="15" hidden="1" customHeight="1" x14ac:dyDescent="0.25">
      <c r="B204" s="68" t="str">
        <f>Players!B104</f>
        <v>Chris Boswell</v>
      </c>
    </row>
    <row r="205" spans="2:2" ht="15" hidden="1" customHeight="1" x14ac:dyDescent="0.25">
      <c r="B205" s="68" t="str">
        <f>Players!B105</f>
        <v>Eric Ebron</v>
      </c>
    </row>
    <row r="206" spans="2:2" ht="15" hidden="1" customHeight="1" x14ac:dyDescent="0.25">
      <c r="B206" s="68" t="str">
        <f>Players!B106</f>
        <v>Dustin Hopkins</v>
      </c>
    </row>
    <row r="207" spans="2:2" ht="15" hidden="1" customHeight="1" x14ac:dyDescent="0.25">
      <c r="B207" s="68" t="str">
        <f>Players!B107</f>
        <v>Duke Johnson</v>
      </c>
    </row>
    <row r="208" spans="2:2" ht="15" hidden="1" customHeight="1" x14ac:dyDescent="0.25">
      <c r="B208" s="68" t="str">
        <f>Players!B108</f>
        <v>Jason Witten</v>
      </c>
    </row>
    <row r="209" spans="2:2" ht="15" hidden="1" customHeight="1" x14ac:dyDescent="0.25">
      <c r="B209" s="68" t="str">
        <f>Players!B109</f>
        <v>Brandon McManus</v>
      </c>
    </row>
    <row r="210" spans="2:2" ht="15" hidden="1" customHeight="1" x14ac:dyDescent="0.25">
      <c r="B210" s="68" t="str">
        <f>Players!B110</f>
        <v>Jack Doyle</v>
      </c>
    </row>
    <row r="211" spans="2:2" ht="15" hidden="1" customHeight="1" x14ac:dyDescent="0.25">
      <c r="B211" s="68" t="str">
        <f>Players!B111</f>
        <v>Kelvin Benjamin</v>
      </c>
    </row>
    <row r="212" spans="2:2" ht="15" hidden="1" customHeight="1" x14ac:dyDescent="0.25">
      <c r="B212" s="68" t="str">
        <f>Players!B112</f>
        <v>Dalvin Cook</v>
      </c>
    </row>
    <row r="213" spans="2:2" ht="15" hidden="1" customHeight="1" x14ac:dyDescent="0.25">
      <c r="B213" s="68" t="str">
        <f>Players!B113</f>
        <v>Eagles</v>
      </c>
    </row>
    <row r="214" spans="2:2" ht="15" hidden="1" customHeight="1" x14ac:dyDescent="0.25">
      <c r="B214" s="68" t="str">
        <f>Players!B114</f>
        <v>Matthew Stafford</v>
      </c>
    </row>
    <row r="215" spans="2:2" ht="15" hidden="1" customHeight="1" x14ac:dyDescent="0.25">
      <c r="B215" s="68" t="str">
        <f>Players!B115</f>
        <v>Giants</v>
      </c>
    </row>
    <row r="216" spans="2:2" ht="15" hidden="1" customHeight="1" x14ac:dyDescent="0.25">
      <c r="B216" s="68" t="str">
        <f>Players!B116</f>
        <v>Falcons</v>
      </c>
    </row>
    <row r="217" spans="2:2" ht="15" hidden="1" customHeight="1" x14ac:dyDescent="0.25">
      <c r="B217" s="68" t="str">
        <f>Players!B117</f>
        <v>Steelers</v>
      </c>
    </row>
    <row r="218" spans="2:2" ht="15" hidden="1" customHeight="1" x14ac:dyDescent="0.25">
      <c r="B218" s="68" t="str">
        <f>Players!B118</f>
        <v>Buccaneers</v>
      </c>
    </row>
    <row r="219" spans="2:2" ht="15" hidden="1" customHeight="1" x14ac:dyDescent="0.25">
      <c r="B219" s="68" t="str">
        <f>Players!B119</f>
        <v>Matt Forte</v>
      </c>
    </row>
    <row r="220" spans="2:2" ht="15" hidden="1" customHeight="1" x14ac:dyDescent="0.25">
      <c r="B220" s="68" t="str">
        <f>Players!B120</f>
        <v>Nick Novak</v>
      </c>
    </row>
    <row r="221" spans="2:2" ht="15" hidden="1" customHeight="1" x14ac:dyDescent="0.25">
      <c r="B221" s="68" t="str">
        <f>Players!B121</f>
        <v>Ameer Abdullah</v>
      </c>
    </row>
    <row r="222" spans="2:2" ht="15" hidden="1" customHeight="1" x14ac:dyDescent="0.25">
      <c r="B222" s="68" t="str">
        <f>Players!B122</f>
        <v>Hunter Henry</v>
      </c>
    </row>
    <row r="223" spans="2:2" ht="15" hidden="1" customHeight="1" x14ac:dyDescent="0.25">
      <c r="B223" s="68" t="str">
        <f>Players!B123</f>
        <v>Terrance West</v>
      </c>
    </row>
    <row r="224" spans="2:2" ht="15" hidden="1" customHeight="1" x14ac:dyDescent="0.25">
      <c r="B224" s="68" t="str">
        <f>Players!B124</f>
        <v>Jamison Crowder</v>
      </c>
    </row>
    <row r="225" spans="2:2" ht="15" hidden="1" customHeight="1" x14ac:dyDescent="0.25">
      <c r="B225" s="68" t="str">
        <f>Players!B125</f>
        <v>Pierre Garcon</v>
      </c>
    </row>
    <row r="226" spans="2:2" ht="15" hidden="1" customHeight="1" x14ac:dyDescent="0.25">
      <c r="B226" s="68" t="str">
        <f>Players!B126</f>
        <v>Titans</v>
      </c>
    </row>
    <row r="227" spans="2:2" ht="15" hidden="1" customHeight="1" x14ac:dyDescent="0.25">
      <c r="B227" s="68" t="str">
        <f>Players!B127</f>
        <v>Kai Forbath</v>
      </c>
    </row>
    <row r="228" spans="2:2" ht="15" hidden="1" customHeight="1" x14ac:dyDescent="0.25">
      <c r="B228" s="68" t="str">
        <f>Players!B128</f>
        <v>Jason Myers</v>
      </c>
    </row>
    <row r="229" spans="2:2" ht="15" hidden="1" customHeight="1" x14ac:dyDescent="0.25">
      <c r="B229" s="68" t="str">
        <f>Players!B129</f>
        <v>Ryan Succop</v>
      </c>
    </row>
    <row r="230" spans="2:2" ht="15" hidden="1" customHeight="1" x14ac:dyDescent="0.25">
      <c r="B230" s="68" t="str">
        <f>Players!B130</f>
        <v>Derek Carr</v>
      </c>
    </row>
    <row r="231" spans="2:2" ht="15" hidden="1" customHeight="1" x14ac:dyDescent="0.25">
      <c r="B231" s="68" t="str">
        <f>Players!B131</f>
        <v>Josh Lambo</v>
      </c>
    </row>
    <row r="232" spans="2:2" ht="15" hidden="1" customHeight="1" x14ac:dyDescent="0.25">
      <c r="B232" s="68" t="str">
        <f>Players!B132</f>
        <v>Phil Dawson</v>
      </c>
    </row>
    <row r="233" spans="2:2" ht="15" hidden="1" customHeight="1" x14ac:dyDescent="0.25">
      <c r="B233" s="68" t="str">
        <f>Players!B133</f>
        <v>Ravens</v>
      </c>
    </row>
    <row r="234" spans="2:2" ht="15" hidden="1" customHeight="1" x14ac:dyDescent="0.25">
      <c r="B234" s="68" t="str">
        <f>Players!B134</f>
        <v>Dolphins</v>
      </c>
    </row>
    <row r="235" spans="2:2" ht="15" hidden="1" customHeight="1" x14ac:dyDescent="0.25">
      <c r="B235" s="68" t="str">
        <f>Players!B135</f>
        <v>Bills</v>
      </c>
    </row>
    <row r="236" spans="2:2" ht="15" hidden="1" customHeight="1" x14ac:dyDescent="0.25">
      <c r="B236" s="68" t="str">
        <f>Players!B136</f>
        <v>Eddie Lacy</v>
      </c>
    </row>
    <row r="237" spans="2:2" ht="15" hidden="1" customHeight="1" x14ac:dyDescent="0.25">
      <c r="B237" s="68" t="str">
        <f>Players!B137</f>
        <v>Jaguars</v>
      </c>
    </row>
    <row r="238" spans="2:2" ht="15" hidden="1" customHeight="1" x14ac:dyDescent="0.25">
      <c r="B238" s="68" t="str">
        <f>Players!B138</f>
        <v>Randall Cobb</v>
      </c>
    </row>
    <row r="239" spans="2:2" ht="15" hidden="1" customHeight="1" x14ac:dyDescent="0.25">
      <c r="B239" s="68" t="str">
        <f>Players!B139</f>
        <v>Raiders</v>
      </c>
    </row>
    <row r="240" spans="2:2" ht="15" hidden="1" customHeight="1" x14ac:dyDescent="0.25">
      <c r="B240" s="68" t="str">
        <f>Players!B140</f>
        <v>James White</v>
      </c>
    </row>
    <row r="241" spans="2:2" ht="15" hidden="1" customHeight="1" x14ac:dyDescent="0.25">
      <c r="B241" s="68" t="str">
        <f>Players!B141</f>
        <v>Andy Dalton</v>
      </c>
    </row>
    <row r="242" spans="2:2" ht="15" hidden="1" customHeight="1" x14ac:dyDescent="0.25">
      <c r="B242" s="68" t="str">
        <f>Players!B142</f>
        <v>Chargers</v>
      </c>
    </row>
    <row r="243" spans="2:2" ht="15" hidden="1" customHeight="1" x14ac:dyDescent="0.25">
      <c r="B243" s="68" t="str">
        <f>Players!B143</f>
        <v>Steven Hauschka</v>
      </c>
    </row>
    <row r="244" spans="2:2" ht="15" hidden="1" customHeight="1" x14ac:dyDescent="0.25">
      <c r="B244" s="68" t="str">
        <f>Players!B144</f>
        <v>Packers</v>
      </c>
    </row>
    <row r="245" spans="2:2" ht="15" hidden="1" customHeight="1" x14ac:dyDescent="0.25">
      <c r="B245" s="68" t="str">
        <f>Players!B145</f>
        <v>Willie Snead</v>
      </c>
    </row>
    <row r="246" spans="2:2" ht="15" hidden="1" customHeight="1" x14ac:dyDescent="0.25">
      <c r="B246" s="68" t="str">
        <f>Players!B146</f>
        <v>Mike Gillislee</v>
      </c>
    </row>
    <row r="247" spans="2:2" ht="15" hidden="1" customHeight="1" x14ac:dyDescent="0.25">
      <c r="B247" s="68" t="str">
        <f>Players!B147</f>
        <v>Cowboys</v>
      </c>
    </row>
    <row r="248" spans="2:2" ht="15" hidden="1" customHeight="1" x14ac:dyDescent="0.25">
      <c r="B248" s="68" t="str">
        <f>Players!B148</f>
        <v>Colts</v>
      </c>
    </row>
    <row r="249" spans="2:2" ht="15" hidden="1" customHeight="1" x14ac:dyDescent="0.25">
      <c r="B249" s="68" t="str">
        <f>Players!B149</f>
        <v>Philip Rivers</v>
      </c>
    </row>
    <row r="250" spans="2:2" ht="15" hidden="1" customHeight="1" x14ac:dyDescent="0.25">
      <c r="B250" s="68" t="str">
        <f>Players!B150</f>
        <v>Cameron Meredith</v>
      </c>
    </row>
    <row r="251" spans="2:2" ht="15" hidden="1" customHeight="1" x14ac:dyDescent="0.25">
      <c r="B251" s="68" t="str">
        <f>Players!B151</f>
        <v>Adrian Peterson</v>
      </c>
    </row>
    <row r="252" spans="2:2" ht="15" hidden="1" customHeight="1" x14ac:dyDescent="0.25">
      <c r="B252" s="68" t="str">
        <f>Players!B152</f>
        <v>Cameron Brate</v>
      </c>
    </row>
    <row r="253" spans="2:2" ht="15" hidden="1" customHeight="1" x14ac:dyDescent="0.25">
      <c r="B253" s="68" t="str">
        <f>Players!B153</f>
        <v>Coby Fleener</v>
      </c>
    </row>
    <row r="254" spans="2:2" ht="15" hidden="1" customHeight="1" x14ac:dyDescent="0.25">
      <c r="B254" s="68" t="str">
        <f>Players!B154</f>
        <v>Ben Roethlisberger</v>
      </c>
    </row>
    <row r="255" spans="2:2" ht="15" hidden="1" customHeight="1" x14ac:dyDescent="0.25">
      <c r="B255" s="68" t="str">
        <f>Players!B155</f>
        <v>Saints</v>
      </c>
    </row>
    <row r="256" spans="2:2" ht="15" hidden="1" customHeight="1" x14ac:dyDescent="0.25">
      <c r="B256" s="68" t="str">
        <f>Players!B156</f>
        <v>Darren Sproles</v>
      </c>
    </row>
    <row r="257" spans="2:2" ht="15" hidden="1" customHeight="1" x14ac:dyDescent="0.25">
      <c r="B257" s="68" t="str">
        <f>Players!B157</f>
        <v>Charles Clay</v>
      </c>
    </row>
    <row r="258" spans="2:2" ht="15" hidden="1" customHeight="1" x14ac:dyDescent="0.25">
      <c r="B258" s="68" t="str">
        <f>Players!B158</f>
        <v>C.J. Fiedorowicz</v>
      </c>
    </row>
    <row r="259" spans="2:2" ht="15" hidden="1" customHeight="1" x14ac:dyDescent="0.25">
      <c r="B259" s="68" t="str">
        <f>Players!B159</f>
        <v>Eric Decker</v>
      </c>
    </row>
    <row r="260" spans="2:2" ht="15" hidden="1" customHeight="1" x14ac:dyDescent="0.25">
      <c r="B260" s="68" t="str">
        <f>Players!B160</f>
        <v>Donte Moncrief</v>
      </c>
    </row>
    <row r="261" spans="2:2" ht="15" hidden="1" customHeight="1" x14ac:dyDescent="0.25">
      <c r="B261" s="68" t="str">
        <f>Players!B161</f>
        <v>Brandon Marshall</v>
      </c>
    </row>
    <row r="262" spans="2:2" ht="15" hidden="1" customHeight="1" x14ac:dyDescent="0.25">
      <c r="B262" s="68" t="str">
        <f>Players!B162</f>
        <v>Martavis Bryant</v>
      </c>
    </row>
    <row r="263" spans="2:2" ht="15" hidden="1" customHeight="1" x14ac:dyDescent="0.25">
      <c r="B263" s="68" t="str">
        <f>Players!B163</f>
        <v>Blake Bortles</v>
      </c>
    </row>
    <row r="264" spans="2:2" ht="15" hidden="1" customHeight="1" x14ac:dyDescent="0.25">
      <c r="B264" s="68" t="str">
        <f>Players!B164</f>
        <v>Robbie Gould</v>
      </c>
    </row>
    <row r="265" spans="2:2" ht="15" hidden="1" customHeight="1" x14ac:dyDescent="0.25">
      <c r="B265" s="68" t="str">
        <f>Players!B165</f>
        <v>DeVante Parker</v>
      </c>
    </row>
    <row r="266" spans="2:2" ht="15" hidden="1" customHeight="1" x14ac:dyDescent="0.25">
      <c r="B266" s="68" t="str">
        <f>Players!B166</f>
        <v>Bears</v>
      </c>
    </row>
    <row r="267" spans="2:2" ht="15" hidden="1" customHeight="1" x14ac:dyDescent="0.25">
      <c r="B267" s="68" t="str">
        <f>Players!B167</f>
        <v>DeSean Jackson</v>
      </c>
    </row>
    <row r="268" spans="2:2" ht="15" hidden="1" customHeight="1" x14ac:dyDescent="0.25">
      <c r="B268" s="68" t="str">
        <f>Players!B168</f>
        <v>Connor Barth</v>
      </c>
    </row>
    <row r="269" spans="2:2" ht="15" hidden="1" customHeight="1" x14ac:dyDescent="0.25">
      <c r="B269" s="68" t="str">
        <f>Players!B169</f>
        <v>Jets</v>
      </c>
    </row>
    <row r="270" spans="2:2" ht="15" hidden="1" customHeight="1" x14ac:dyDescent="0.25">
      <c r="B270" s="68" t="str">
        <f>Players!B170</f>
        <v>Chandler Catanzaro</v>
      </c>
    </row>
    <row r="271" spans="2:2" ht="15" hidden="1" customHeight="1" x14ac:dyDescent="0.25">
      <c r="B271" s="68" t="str">
        <f>Players!B171</f>
        <v>Lions</v>
      </c>
    </row>
    <row r="272" spans="2:2" ht="15" hidden="1" customHeight="1" x14ac:dyDescent="0.25">
      <c r="B272" s="68" t="str">
        <f>Players!B172</f>
        <v>Mike Wallace</v>
      </c>
    </row>
    <row r="273" spans="2:2" ht="15" hidden="1" customHeight="1" x14ac:dyDescent="0.25">
      <c r="B273" s="68" t="str">
        <f>Players!B173</f>
        <v>Tyrell Williams</v>
      </c>
    </row>
    <row r="274" spans="2:2" ht="15" hidden="1" customHeight="1" x14ac:dyDescent="0.25">
      <c r="B274" s="68" t="str">
        <f>Players!B174</f>
        <v>Jared Cook</v>
      </c>
    </row>
    <row r="275" spans="2:2" ht="15" hidden="1" customHeight="1" x14ac:dyDescent="0.25">
      <c r="B275" s="68" t="str">
        <f>Players!B175</f>
        <v>Rishard Matthews</v>
      </c>
    </row>
    <row r="276" spans="2:2" ht="15" hidden="1" customHeight="1" x14ac:dyDescent="0.25">
      <c r="B276" s="68" t="str">
        <f>Players!B176</f>
        <v>Julius Thomas</v>
      </c>
    </row>
    <row r="277" spans="2:2" ht="15" hidden="1" customHeight="1" x14ac:dyDescent="0.25">
      <c r="B277" s="68" t="str">
        <f>Players!B177</f>
        <v>LeGarrette Blount</v>
      </c>
    </row>
    <row r="278" spans="2:2" ht="15" hidden="1" customHeight="1" x14ac:dyDescent="0.25">
      <c r="B278" s="68" t="str">
        <f>Players!B178</f>
        <v>Browns</v>
      </c>
    </row>
    <row r="279" spans="2:2" ht="15" hidden="1" customHeight="1" x14ac:dyDescent="0.25">
      <c r="B279" s="68" t="str">
        <f>Players!B179</f>
        <v>Greg Zuerlein</v>
      </c>
    </row>
    <row r="280" spans="2:2" ht="15" hidden="1" customHeight="1" x14ac:dyDescent="0.25">
      <c r="B280" s="68" t="str">
        <f>Players!B180</f>
        <v>Antonio Gates</v>
      </c>
    </row>
    <row r="281" spans="2:2" ht="15" hidden="1" customHeight="1" x14ac:dyDescent="0.25">
      <c r="B281" s="68" t="str">
        <f>Players!B181</f>
        <v>Carson Wentz</v>
      </c>
    </row>
    <row r="282" spans="2:2" ht="15" hidden="1" customHeight="1" x14ac:dyDescent="0.25">
      <c r="B282" s="68" t="str">
        <f>Players!B182</f>
        <v>Jeremy Maclin</v>
      </c>
    </row>
    <row r="283" spans="2:2" ht="15" hidden="1" customHeight="1" x14ac:dyDescent="0.25">
      <c r="B283" s="68" t="str">
        <f>Players!B183</f>
        <v>Carson Palmer</v>
      </c>
    </row>
    <row r="284" spans="2:2" ht="15" hidden="1" customHeight="1" x14ac:dyDescent="0.25">
      <c r="B284" s="68" t="str">
        <f>Players!B184</f>
        <v>Chris Thompson</v>
      </c>
    </row>
    <row r="285" spans="2:2" ht="15" hidden="1" customHeight="1" x14ac:dyDescent="0.25">
      <c r="B285" s="68" t="str">
        <f>Players!B185</f>
        <v>Doug Martin</v>
      </c>
    </row>
    <row r="286" spans="2:2" ht="15" hidden="1" customHeight="1" x14ac:dyDescent="0.25">
      <c r="B286" s="68" t="str">
        <f>Players!B186</f>
        <v>Andrew Franks</v>
      </c>
    </row>
    <row r="287" spans="2:2" ht="15" hidden="1" customHeight="1" x14ac:dyDescent="0.25">
      <c r="B287" s="68" t="str">
        <f>Players!B187</f>
        <v>Jonathan Stewart</v>
      </c>
    </row>
    <row r="288" spans="2:2" ht="15" hidden="1" customHeight="1" x14ac:dyDescent="0.25">
      <c r="B288" s="68" t="str">
        <f>Players!B188</f>
        <v>Kenny Britt</v>
      </c>
    </row>
    <row r="289" spans="2:2" ht="15" hidden="1" customHeight="1" x14ac:dyDescent="0.25">
      <c r="B289" s="68" t="str">
        <f>Players!B189</f>
        <v>Austin Hooper</v>
      </c>
    </row>
    <row r="290" spans="2:2" ht="15" hidden="1" customHeight="1" x14ac:dyDescent="0.25">
      <c r="B290" s="68" t="str">
        <f>Players!B190</f>
        <v>Eli Manning</v>
      </c>
    </row>
    <row r="291" spans="2:2" ht="15" hidden="1" customHeight="1" x14ac:dyDescent="0.25">
      <c r="B291" s="68" t="str">
        <f>Players!B191</f>
        <v>Rob Kelley</v>
      </c>
    </row>
    <row r="292" spans="2:2" ht="15" hidden="1" customHeight="1" x14ac:dyDescent="0.25">
      <c r="B292" s="68" t="str">
        <f>Players!B192</f>
        <v>C.J. Prosise</v>
      </c>
    </row>
    <row r="293" spans="2:2" ht="15" hidden="1" customHeight="1" x14ac:dyDescent="0.25">
      <c r="B293" s="68" t="str">
        <f>Players!B193</f>
        <v>Charles Sims</v>
      </c>
    </row>
    <row r="294" spans="2:2" ht="15" hidden="1" customHeight="1" x14ac:dyDescent="0.25">
      <c r="B294" s="68" t="str">
        <f>Players!B194</f>
        <v>Ryan Tannehill</v>
      </c>
    </row>
    <row r="295" spans="2:2" ht="15" hidden="1" customHeight="1" x14ac:dyDescent="0.25">
      <c r="B295" s="68" t="str">
        <f>Players!B195</f>
        <v>Kareem Hunt</v>
      </c>
    </row>
    <row r="296" spans="2:2" ht="15" hidden="1" customHeight="1" x14ac:dyDescent="0.25">
      <c r="B296" s="68" t="str">
        <f>Players!B196</f>
        <v>Aldrick Rosas</v>
      </c>
    </row>
    <row r="297" spans="2:2" ht="15" hidden="1" customHeight="1" x14ac:dyDescent="0.25">
      <c r="B297" s="68" t="str">
        <f>Players!B197</f>
        <v>Adam Thielen</v>
      </c>
    </row>
    <row r="298" spans="2:2" ht="15" hidden="1" customHeight="1" x14ac:dyDescent="0.25">
      <c r="B298" s="68" t="str">
        <f>Players!B198</f>
        <v>O.J. Howard</v>
      </c>
    </row>
    <row r="299" spans="2:2" ht="15" hidden="1" customHeight="1" x14ac:dyDescent="0.25">
      <c r="B299" s="68" t="str">
        <f>Players!B199</f>
        <v>David Njoku</v>
      </c>
    </row>
    <row r="300" spans="2:2" ht="15" hidden="1" customHeight="1" x14ac:dyDescent="0.25">
      <c r="B300" s="68" t="str">
        <f>Players!B200</f>
        <v>Giovani Bernard</v>
      </c>
    </row>
    <row r="301" spans="2:2" ht="15" hidden="1" customHeight="1" x14ac:dyDescent="0.25">
      <c r="B301" s="68" t="str">
        <f>Players!B201</f>
        <v>Shane Vereen</v>
      </c>
    </row>
    <row r="302" spans="2:2" ht="15" hidden="1" customHeight="1" x14ac:dyDescent="0.25">
      <c r="B302" s="68" t="str">
        <f>Players!B202</f>
        <v>Marvin Jones</v>
      </c>
    </row>
    <row r="303" spans="2:2" ht="15" hidden="1" customHeight="1" x14ac:dyDescent="0.25">
      <c r="B303" s="68" t="str">
        <f>Players!B203</f>
        <v>Evan Engram</v>
      </c>
    </row>
    <row r="304" spans="2:2" ht="15" hidden="1" customHeight="1" x14ac:dyDescent="0.25">
      <c r="B304" s="68" t="str">
        <f>Players!B204</f>
        <v>Quincy Enunwa</v>
      </c>
    </row>
    <row r="305" spans="2:2" ht="15" hidden="1" customHeight="1" x14ac:dyDescent="0.25">
      <c r="B305" s="68" t="str">
        <f>Players!B205</f>
        <v>Latavius Murray</v>
      </c>
    </row>
    <row r="306" spans="2:2" ht="15" hidden="1" customHeight="1" x14ac:dyDescent="0.25">
      <c r="B306" s="68" t="str">
        <f>Players!B206</f>
        <v>Randy Bullock</v>
      </c>
    </row>
    <row r="307" spans="2:2" ht="15" hidden="1" customHeight="1" x14ac:dyDescent="0.25">
      <c r="B307" s="68" t="str">
        <f>Players!B207</f>
        <v>Corey Coleman</v>
      </c>
    </row>
    <row r="308" spans="2:2" ht="15" hidden="1" customHeight="1" x14ac:dyDescent="0.25">
      <c r="B308" s="68" t="str">
        <f>Players!B208</f>
        <v>Alex Smith</v>
      </c>
    </row>
    <row r="309" spans="2:2" ht="15" hidden="1" customHeight="1" x14ac:dyDescent="0.25">
      <c r="B309" s="68" t="str">
        <f>Players!B209</f>
        <v>Jake Elliott</v>
      </c>
    </row>
    <row r="310" spans="2:2" ht="15" hidden="1" customHeight="1" x14ac:dyDescent="0.25">
      <c r="B310" s="68" t="str">
        <f>Players!B210</f>
        <v>Jordan Matthews</v>
      </c>
    </row>
    <row r="311" spans="2:2" ht="15" hidden="1" customHeight="1" x14ac:dyDescent="0.25">
      <c r="B311" s="68" t="str">
        <f>Players!B211</f>
        <v>John Brown</v>
      </c>
    </row>
    <row r="312" spans="2:2" ht="15" hidden="1" customHeight="1" x14ac:dyDescent="0.25">
      <c r="B312" s="68" t="str">
        <f>Players!B212</f>
        <v>Derrick Henry</v>
      </c>
    </row>
    <row r="313" spans="2:2" ht="15" hidden="1" customHeight="1" x14ac:dyDescent="0.25">
      <c r="B313" s="68" t="str">
        <f>Players!B213</f>
        <v>Roberto Aguayo</v>
      </c>
    </row>
    <row r="314" spans="2:2" ht="15" hidden="1" customHeight="1" x14ac:dyDescent="0.25">
      <c r="B314" s="68" t="str">
        <f>Players!B214</f>
        <v>Joe Flacco</v>
      </c>
    </row>
    <row r="315" spans="2:2" ht="15" hidden="1" customHeight="1" x14ac:dyDescent="0.25">
      <c r="B315" s="68" t="str">
        <f>Players!B215</f>
        <v>Jesse James</v>
      </c>
    </row>
    <row r="316" spans="2:2" ht="15" hidden="1" customHeight="1" x14ac:dyDescent="0.25">
      <c r="B316" s="68" t="str">
        <f>Players!B216</f>
        <v>Tavon Austin</v>
      </c>
    </row>
    <row r="317" spans="2:2" ht="15" hidden="1" customHeight="1" x14ac:dyDescent="0.25">
      <c r="B317" s="68" t="str">
        <f>Players!B217</f>
        <v>Jamaal Charles</v>
      </c>
    </row>
    <row r="318" spans="2:2" ht="15" hidden="1" customHeight="1" x14ac:dyDescent="0.25">
      <c r="B318" s="68" t="str">
        <f>Players!B218</f>
        <v>Cole Beasley</v>
      </c>
    </row>
    <row r="319" spans="2:2" ht="15" hidden="1" customHeight="1" x14ac:dyDescent="0.25">
      <c r="B319" s="68" t="str">
        <f>Players!B219</f>
        <v>Zane Gonzalez</v>
      </c>
    </row>
    <row r="320" spans="2:2" ht="15" hidden="1" customHeight="1" x14ac:dyDescent="0.25">
      <c r="B320" s="68" t="str">
        <f>Players!B220</f>
        <v>Zach Miller</v>
      </c>
    </row>
    <row r="321" spans="2:2" ht="15" hidden="1" customHeight="1" x14ac:dyDescent="0.25">
      <c r="B321" s="68" t="str">
        <f>Players!B221</f>
        <v>Jermaine Gresham</v>
      </c>
    </row>
    <row r="322" spans="2:2" ht="15" hidden="1" customHeight="1" x14ac:dyDescent="0.25">
      <c r="B322" s="68" t="str">
        <f>Players!B222</f>
        <v>Cody Parkey</v>
      </c>
    </row>
    <row r="323" spans="2:2" ht="15" hidden="1" customHeight="1" x14ac:dyDescent="0.25">
      <c r="B323" s="68" t="str">
        <f>Players!B223</f>
        <v>Jeremy Hill</v>
      </c>
    </row>
    <row r="324" spans="2:2" ht="15" hidden="1" customHeight="1" x14ac:dyDescent="0.25">
      <c r="B324" s="68" t="str">
        <f>Players!B224</f>
        <v>Sam Bradford</v>
      </c>
    </row>
    <row r="325" spans="2:2" ht="15" hidden="1" customHeight="1" x14ac:dyDescent="0.25">
      <c r="B325" s="68" t="str">
        <f>Players!B225</f>
        <v>Ted Ginn</v>
      </c>
    </row>
    <row r="326" spans="2:2" ht="15" hidden="1" customHeight="1" x14ac:dyDescent="0.25">
      <c r="B326" s="68" t="str">
        <f>Players!B226</f>
        <v>Robert Turbin</v>
      </c>
    </row>
    <row r="327" spans="2:2" ht="15" hidden="1" customHeight="1" x14ac:dyDescent="0.25">
      <c r="B327" s="68" t="str">
        <f>Players!B227</f>
        <v>Robert Woods</v>
      </c>
    </row>
    <row r="328" spans="2:2" ht="15" hidden="1" customHeight="1" x14ac:dyDescent="0.25">
      <c r="B328" s="68" t="str">
        <f>Players!B228</f>
        <v>Mohamed Sanu</v>
      </c>
    </row>
    <row r="329" spans="2:2" ht="15" hidden="1" customHeight="1" x14ac:dyDescent="0.25">
      <c r="B329" s="68" t="str">
        <f>Players!B229</f>
        <v>Marqise Lee</v>
      </c>
    </row>
    <row r="330" spans="2:2" ht="15" hidden="1" customHeight="1" x14ac:dyDescent="0.25">
      <c r="B330" s="68" t="str">
        <f>Players!B230</f>
        <v>T.J. Yeldon</v>
      </c>
    </row>
    <row r="331" spans="2:2" ht="15" hidden="1" customHeight="1" x14ac:dyDescent="0.25">
      <c r="B331" s="68" t="str">
        <f>Players!B231</f>
        <v>Taylor Gabriel</v>
      </c>
    </row>
    <row r="332" spans="2:2" ht="15" hidden="1" customHeight="1" x14ac:dyDescent="0.25">
      <c r="B332" s="68" t="str">
        <f>Players!B232</f>
        <v>Allen Hurns</v>
      </c>
    </row>
    <row r="333" spans="2:2" ht="15" hidden="1" customHeight="1" x14ac:dyDescent="0.25">
      <c r="B333" s="68" t="str">
        <f>Players!B233</f>
        <v>Dominique Jones</v>
      </c>
    </row>
    <row r="334" spans="2:2" ht="15" hidden="1" customHeight="1" x14ac:dyDescent="0.25">
      <c r="B334" s="68" t="str">
        <f>Players!B234</f>
        <v>Kenny Stills</v>
      </c>
    </row>
    <row r="335" spans="2:2" ht="15" hidden="1" customHeight="1" x14ac:dyDescent="0.25">
      <c r="B335" s="68" t="str">
        <f>Players!B235</f>
        <v>Kevin White</v>
      </c>
    </row>
    <row r="336" spans="2:2" ht="15" hidden="1" customHeight="1" x14ac:dyDescent="0.25">
      <c r="B336" s="68" t="str">
        <f>Players!B236</f>
        <v>Rex Burkhead</v>
      </c>
    </row>
    <row r="337" spans="2:2" ht="15" hidden="1" customHeight="1" x14ac:dyDescent="0.25">
      <c r="B337" s="68" t="str">
        <f>Players!B237</f>
        <v>Breshad Perriman</v>
      </c>
    </row>
    <row r="338" spans="2:2" ht="15" hidden="1" customHeight="1" x14ac:dyDescent="0.25">
      <c r="B338" s="68" t="str">
        <f>Players!B238</f>
        <v>Tyler Lockett</v>
      </c>
    </row>
    <row r="339" spans="2:2" ht="15" hidden="1" customHeight="1" x14ac:dyDescent="0.25">
      <c r="B339" s="68" t="str">
        <f>Players!B239</f>
        <v>Jerick McKinnon</v>
      </c>
    </row>
    <row r="340" spans="2:2" ht="15" hidden="1" customHeight="1" x14ac:dyDescent="0.25">
      <c r="B340" s="68" t="str">
        <f>Players!B240</f>
        <v>Sterling Shepard</v>
      </c>
    </row>
    <row r="341" spans="2:2" ht="15" hidden="1" customHeight="1" x14ac:dyDescent="0.25">
      <c r="B341" s="68" t="str">
        <f>Players!B241</f>
        <v>Vance McDonald</v>
      </c>
    </row>
    <row r="342" spans="2:2" ht="15" hidden="1" customHeight="1" x14ac:dyDescent="0.25">
      <c r="B342" s="68" t="str">
        <f>Players!B242</f>
        <v>Benjamin Watson</v>
      </c>
    </row>
    <row r="343" spans="2:2" ht="15" hidden="1" customHeight="1" x14ac:dyDescent="0.25">
      <c r="B343" s="68" t="str">
        <f>Players!B243</f>
        <v>Thomas Rawls</v>
      </c>
    </row>
    <row r="344" spans="2:2" ht="15" hidden="1" customHeight="1" x14ac:dyDescent="0.25">
      <c r="B344" s="68" t="str">
        <f>Players!B244</f>
        <v>Jalen Richard</v>
      </c>
    </row>
    <row r="345" spans="2:2" ht="15" hidden="1" customHeight="1" x14ac:dyDescent="0.25">
      <c r="B345" s="68" t="str">
        <f>Players!B245</f>
        <v>Corey Davis</v>
      </c>
    </row>
    <row r="346" spans="2:2" ht="15" hidden="1" customHeight="1" x14ac:dyDescent="0.25">
      <c r="B346" s="68" t="str">
        <f>Players!B246</f>
        <v>Vernon Davis</v>
      </c>
    </row>
    <row r="347" spans="2:2" ht="15" hidden="1" customHeight="1" x14ac:dyDescent="0.25">
      <c r="B347" s="68" t="str">
        <f>Players!B247</f>
        <v>Nick Folk</v>
      </c>
    </row>
    <row r="348" spans="2:2" ht="15" hidden="1" customHeight="1" x14ac:dyDescent="0.25">
      <c r="B348" s="68" t="str">
        <f>Players!B248</f>
        <v>Samaje Perine</v>
      </c>
    </row>
    <row r="349" spans="2:2" ht="15" hidden="1" customHeight="1" x14ac:dyDescent="0.25">
      <c r="B349" s="68" t="str">
        <f>Players!B249</f>
        <v>J.J. Nelson</v>
      </c>
    </row>
    <row r="350" spans="2:2" ht="15" hidden="1" customHeight="1" x14ac:dyDescent="0.25">
      <c r="B350" s="68" t="str">
        <f>Players!B250</f>
        <v>Dwayne Allen</v>
      </c>
    </row>
    <row r="351" spans="2:2" ht="15" hidden="1" customHeight="1" x14ac:dyDescent="0.25">
      <c r="B351" s="68" t="str">
        <f>Players!B251</f>
        <v>Alvin Kamara</v>
      </c>
    </row>
    <row r="352" spans="2:2" ht="15" hidden="1" customHeight="1" x14ac:dyDescent="0.25">
      <c r="B352" s="68" t="str">
        <f>Players!B252</f>
        <v>Dion Lewis</v>
      </c>
    </row>
    <row r="353" spans="2:2" ht="15" hidden="1" customHeight="1" x14ac:dyDescent="0.25">
      <c r="B353" s="68" t="str">
        <f>Players!B253</f>
        <v>Devontae Booker</v>
      </c>
    </row>
    <row r="354" spans="2:2" ht="15" hidden="1" customHeight="1" x14ac:dyDescent="0.25">
      <c r="B354" s="68" t="str">
        <f>Players!B254</f>
        <v>DeAndre Washington</v>
      </c>
    </row>
    <row r="355" spans="2:2" ht="15" hidden="1" customHeight="1" x14ac:dyDescent="0.25">
      <c r="B355" s="68" t="str">
        <f>Players!B255</f>
        <v>Austin Seferian-Jenkins</v>
      </c>
    </row>
    <row r="356" spans="2:2" ht="15" hidden="1" customHeight="1" x14ac:dyDescent="0.25">
      <c r="B356" s="68" t="str">
        <f>Players!B256</f>
        <v>Erik Swoope</v>
      </c>
    </row>
    <row r="357" spans="2:2" ht="15" hidden="1" customHeight="1" x14ac:dyDescent="0.25">
      <c r="B357" s="68" t="str">
        <f>Players!B257</f>
        <v>Zay Jones</v>
      </c>
    </row>
    <row r="358" spans="2:2" ht="15" hidden="1" customHeight="1" x14ac:dyDescent="0.25">
      <c r="B358" s="68" t="str">
        <f>Players!B258</f>
        <v>Robby Anderson</v>
      </c>
    </row>
    <row r="359" spans="2:2" ht="15" hidden="1" customHeight="1" x14ac:dyDescent="0.25">
      <c r="B359" s="68" t="str">
        <f>Players!B259</f>
        <v>Ryan Mathews</v>
      </c>
    </row>
    <row r="360" spans="2:2" ht="15" hidden="1" customHeight="1" x14ac:dyDescent="0.25">
      <c r="B360" s="68" t="str">
        <f>Players!B260</f>
        <v>Brandon LaFell</v>
      </c>
    </row>
    <row r="361" spans="2:2" ht="15" hidden="1" customHeight="1" x14ac:dyDescent="0.25">
      <c r="B361" s="68" t="str">
        <f>Players!B261</f>
        <v>Tyler Higbee</v>
      </c>
    </row>
    <row r="362" spans="2:2" ht="15" hidden="1" customHeight="1" x14ac:dyDescent="0.25">
      <c r="B362" s="68" t="str">
        <f>Players!B262</f>
        <v>Ryan Griffin</v>
      </c>
    </row>
    <row r="363" spans="2:2" ht="15" hidden="1" customHeight="1" x14ac:dyDescent="0.25">
      <c r="B363" s="68" t="str">
        <f>Players!B263</f>
        <v>Josh Doctson</v>
      </c>
    </row>
    <row r="364" spans="2:2" ht="15" hidden="1" customHeight="1" x14ac:dyDescent="0.25">
      <c r="B364" s="68" t="str">
        <f>Players!B264</f>
        <v>Jacquizz Rodgers</v>
      </c>
    </row>
    <row r="365" spans="2:2" ht="15" hidden="1" customHeight="1" x14ac:dyDescent="0.25">
      <c r="B365" s="68" t="str">
        <f>Players!B265</f>
        <v>Darren McFadden</v>
      </c>
    </row>
    <row r="366" spans="2:2" ht="15" hidden="1" customHeight="1" x14ac:dyDescent="0.25">
      <c r="B366" s="68" t="str">
        <f>Players!B266</f>
        <v>Joe Williams</v>
      </c>
    </row>
    <row r="367" spans="2:2" ht="15" hidden="1" customHeight="1" x14ac:dyDescent="0.25">
      <c r="B367" s="68" t="str">
        <f>Players!B267</f>
        <v>Jonathan Williams</v>
      </c>
    </row>
    <row r="368" spans="2:2" ht="15" hidden="1" customHeight="1" x14ac:dyDescent="0.25">
      <c r="B368" s="68" t="str">
        <f>Players!B268</f>
        <v>Virgil Green</v>
      </c>
    </row>
    <row r="369" spans="2:2" ht="15" hidden="1" customHeight="1" x14ac:dyDescent="0.25">
      <c r="B369" s="68" t="str">
        <f>Players!B269</f>
        <v>Will Tye</v>
      </c>
    </row>
    <row r="370" spans="2:2" ht="15" hidden="1" customHeight="1" x14ac:dyDescent="0.25">
      <c r="B370" s="68" t="str">
        <f>Players!B270</f>
        <v>Gerald Everett</v>
      </c>
    </row>
    <row r="371" spans="2:2" ht="15" hidden="1" customHeight="1" x14ac:dyDescent="0.25">
      <c r="B371" s="68" t="str">
        <f>Players!B271</f>
        <v>Mychal Rivera</v>
      </c>
    </row>
    <row r="372" spans="2:2" ht="15" hidden="1" customHeight="1" x14ac:dyDescent="0.25">
      <c r="B372" s="68" t="str">
        <f>Players!B272</f>
        <v>Terrance Williams</v>
      </c>
    </row>
    <row r="373" spans="2:2" ht="15" hidden="1" customHeight="1" x14ac:dyDescent="0.25">
      <c r="B373" s="68" t="str">
        <f>Players!B273</f>
        <v>Jamaal Williams</v>
      </c>
    </row>
    <row r="374" spans="2:2" ht="15" hidden="1" customHeight="1" x14ac:dyDescent="0.25">
      <c r="B374" s="68" t="str">
        <f>Players!B274</f>
        <v>Tim Hightower</v>
      </c>
    </row>
    <row r="375" spans="2:2" ht="15" hidden="1" customHeight="1" x14ac:dyDescent="0.25">
      <c r="B375" s="68" t="str">
        <f>Players!B275</f>
        <v>Clive Walford</v>
      </c>
    </row>
    <row r="376" spans="2:2" ht="15" hidden="1" customHeight="1" x14ac:dyDescent="0.25">
      <c r="B376" s="68" t="str">
        <f>Players!B276</f>
        <v>Seth DeValve</v>
      </c>
    </row>
    <row r="377" spans="2:2" ht="15" hidden="1" customHeight="1" x14ac:dyDescent="0.25">
      <c r="B377" s="68" t="str">
        <f>Players!B277</f>
        <v>Chris Conley</v>
      </c>
    </row>
    <row r="378" spans="2:2" ht="15" hidden="1" customHeight="1" x14ac:dyDescent="0.25">
      <c r="B378" s="68" t="str">
        <f>Players!B278</f>
        <v>Devin Funchess</v>
      </c>
    </row>
    <row r="379" spans="2:2" ht="15" hidden="1" customHeight="1" x14ac:dyDescent="0.25">
      <c r="B379" s="68" t="str">
        <f>Players!B279</f>
        <v>Curtis Samuel</v>
      </c>
    </row>
    <row r="380" spans="2:2" ht="15" hidden="1" customHeight="1" x14ac:dyDescent="0.25">
      <c r="B380" s="68" t="str">
        <f>Players!B280</f>
        <v>Trey Burton</v>
      </c>
    </row>
    <row r="381" spans="2:2" ht="15" hidden="1" customHeight="1" x14ac:dyDescent="0.25">
      <c r="B381" s="68" t="str">
        <f>Players!B281</f>
        <v>Damien Williams</v>
      </c>
    </row>
    <row r="382" spans="2:2" ht="15" hidden="1" customHeight="1" x14ac:dyDescent="0.25">
      <c r="B382" s="68" t="str">
        <f>Players!B282</f>
        <v>Marcedes Lewis</v>
      </c>
    </row>
    <row r="383" spans="2:2" ht="15" hidden="1" customHeight="1" x14ac:dyDescent="0.25">
      <c r="B383" s="68" t="str">
        <f>Players!B283</f>
        <v>Brian Hoyer</v>
      </c>
    </row>
    <row r="384" spans="2:2" ht="15" hidden="1" customHeight="1" x14ac:dyDescent="0.25">
      <c r="B384" s="68" t="str">
        <f>Players!B284</f>
        <v>Jeremy Kerley</v>
      </c>
    </row>
    <row r="385" spans="2:2" ht="15" hidden="1" customHeight="1" x14ac:dyDescent="0.25">
      <c r="B385" s="68" t="str">
        <f>Players!B285</f>
        <v>Torrey Smith</v>
      </c>
    </row>
    <row r="386" spans="2:2" ht="15" hidden="1" customHeight="1" x14ac:dyDescent="0.25">
      <c r="B386" s="68" t="str">
        <f>Players!B286</f>
        <v>Eli Rogers</v>
      </c>
    </row>
    <row r="387" spans="2:2" ht="15" hidden="1" customHeight="1" x14ac:dyDescent="0.25">
      <c r="B387" s="68" t="str">
        <f>Players!B287</f>
        <v>Garrett Celek</v>
      </c>
    </row>
    <row r="388" spans="2:2" ht="15" hidden="1" customHeight="1" x14ac:dyDescent="0.25">
      <c r="B388" s="68" t="str">
        <f>Players!B288</f>
        <v>Josh Hill</v>
      </c>
    </row>
    <row r="389" spans="2:2" ht="15" hidden="1" customHeight="1" x14ac:dyDescent="0.25">
      <c r="B389" s="68" t="str">
        <f>Players!B289</f>
        <v>Dion Sims</v>
      </c>
    </row>
    <row r="390" spans="2:2" ht="15" hidden="1" customHeight="1" x14ac:dyDescent="0.25">
      <c r="B390" s="68" t="str">
        <f>Players!B290</f>
        <v>Chris Ivory</v>
      </c>
    </row>
    <row r="391" spans="2:2" ht="15" hidden="1" customHeight="1" x14ac:dyDescent="0.25">
      <c r="B391" s="68" t="str">
        <f>Players!B291</f>
        <v>Tyler Boyd</v>
      </c>
    </row>
    <row r="392" spans="2:2" ht="15" hidden="1" customHeight="1" x14ac:dyDescent="0.25">
      <c r="B392" s="68" t="str">
        <f>Players!B292</f>
        <v>Crockett Gillmore</v>
      </c>
    </row>
    <row r="393" spans="2:2" ht="15" hidden="1" customHeight="1" x14ac:dyDescent="0.25">
      <c r="B393" s="68" t="str">
        <f>Players!B293</f>
        <v>Lance Kendricks</v>
      </c>
    </row>
    <row r="394" spans="2:2" ht="15" hidden="1" customHeight="1" x14ac:dyDescent="0.25">
      <c r="B394" s="68" t="str">
        <f>Players!B294</f>
        <v>Will Fuller</v>
      </c>
    </row>
    <row r="395" spans="2:2" ht="15" hidden="1" customHeight="1" x14ac:dyDescent="0.25">
      <c r="B395" s="68" t="str">
        <f>Players!B295</f>
        <v>Zach Zenner</v>
      </c>
    </row>
    <row r="396" spans="2:2" ht="15" hidden="1" customHeight="1" x14ac:dyDescent="0.25">
      <c r="B396" s="68" t="str">
        <f>Players!B296</f>
        <v>Mike Glennon</v>
      </c>
    </row>
    <row r="397" spans="2:2" ht="15" hidden="1" customHeight="1" x14ac:dyDescent="0.25">
      <c r="B397" s="68" t="str">
        <f>Players!B297</f>
        <v>John Ross</v>
      </c>
    </row>
    <row r="398" spans="2:2" ht="15" hidden="1" customHeight="1" x14ac:dyDescent="0.25">
      <c r="B398" s="68" t="str">
        <f>Players!B298</f>
        <v>Xavier Grimble</v>
      </c>
    </row>
    <row r="399" spans="2:2" ht="15" hidden="1" customHeight="1" x14ac:dyDescent="0.25">
      <c r="B399" s="68" t="str">
        <f>Players!B299</f>
        <v>DOnta Foreman</v>
      </c>
    </row>
    <row r="400" spans="2:2" ht="15" hidden="1" customHeight="1" x14ac:dyDescent="0.25">
      <c r="B400" s="68" t="str">
        <f>Players!B300</f>
        <v>Chris Hogan</v>
      </c>
    </row>
    <row r="401" spans="2:2" ht="15" hidden="1" customHeight="1" x14ac:dyDescent="0.25">
      <c r="B401" s="68" t="str">
        <f>Players!B301</f>
        <v>Lance Dunbar</v>
      </c>
    </row>
    <row r="402" spans="2:2" ht="15" hidden="1" customHeight="1" x14ac:dyDescent="0.25">
      <c r="B402" s="68" t="str">
        <f>Players!B302</f>
        <v>Marlon Mack</v>
      </c>
    </row>
    <row r="403" spans="2:2" ht="15" hidden="1" customHeight="1" x14ac:dyDescent="0.25">
      <c r="B403" s="68" t="str">
        <f>Players!B303</f>
        <v>Branden Oliver</v>
      </c>
    </row>
    <row r="404" spans="2:2" ht="15" hidden="1" customHeight="1" x14ac:dyDescent="0.25">
      <c r="B404" s="68" t="str">
        <f>Players!B304</f>
        <v>Jordan Leggett</v>
      </c>
    </row>
    <row r="405" spans="2:2" ht="15" hidden="1" customHeight="1" x14ac:dyDescent="0.25">
      <c r="B405" s="68" t="str">
        <f>Players!B305</f>
        <v>A.J. Derby</v>
      </c>
    </row>
    <row r="406" spans="2:2" ht="15" hidden="1" customHeight="1" x14ac:dyDescent="0.25">
      <c r="B406" s="68" t="str">
        <f>Players!B306</f>
        <v>Maxx Williams</v>
      </c>
    </row>
    <row r="407" spans="2:2" ht="15" hidden="1" customHeight="1" x14ac:dyDescent="0.25">
      <c r="B407" s="68" t="str">
        <f>Players!B307</f>
        <v>Charcandrick West</v>
      </c>
    </row>
    <row r="408" spans="2:2" ht="15" hidden="1" customHeight="1" x14ac:dyDescent="0.25">
      <c r="B408" s="68" t="str">
        <f>Players!B308</f>
        <v>George Kittle</v>
      </c>
    </row>
    <row r="409" spans="2:2" ht="15" hidden="1" customHeight="1" x14ac:dyDescent="0.25">
      <c r="B409" s="68" t="str">
        <f>Players!B309</f>
        <v>Kenneth Dixon</v>
      </c>
    </row>
    <row r="410" spans="2:2" ht="15" hidden="1" customHeight="1" x14ac:dyDescent="0.25">
      <c r="B410" s="68" t="str">
        <f>Players!B310</f>
        <v>Seth Roberts</v>
      </c>
    </row>
    <row r="411" spans="2:2" ht="15" hidden="1" customHeight="1" x14ac:dyDescent="0.25">
      <c r="B411" s="68" t="str">
        <f>Players!B311</f>
        <v>Jonnu Smith</v>
      </c>
    </row>
    <row r="412" spans="2:2" ht="15" hidden="1" customHeight="1" x14ac:dyDescent="0.25">
      <c r="B412" s="68" t="str">
        <f>Players!B312</f>
        <v>Richard Rodgers</v>
      </c>
    </row>
    <row r="413" spans="2:2" ht="15" hidden="1" customHeight="1" x14ac:dyDescent="0.25">
      <c r="B413" s="68" t="str">
        <f>Players!B313</f>
        <v>Tarik Cohen</v>
      </c>
    </row>
    <row r="414" spans="2:2" ht="15" hidden="1" customHeight="1" x14ac:dyDescent="0.25">
      <c r="B414" s="68" t="str">
        <f>Players!B314</f>
        <v>Travis Benjamin</v>
      </c>
    </row>
    <row r="415" spans="2:2" ht="15" hidden="1" customHeight="1" x14ac:dyDescent="0.25">
      <c r="B415" s="68" t="str">
        <f>Players!B315</f>
        <v>Jeremy Langford</v>
      </c>
    </row>
    <row r="416" spans="2:2" ht="15" hidden="1" customHeight="1" x14ac:dyDescent="0.25">
      <c r="B416" s="68" t="str">
        <f>Players!B316</f>
        <v>Wendell Smallwood</v>
      </c>
    </row>
    <row r="417" spans="2:2" ht="15" hidden="1" customHeight="1" x14ac:dyDescent="0.25">
      <c r="B417" s="68" t="str">
        <f>Players!B317</f>
        <v>Kerwynn Williams</v>
      </c>
    </row>
    <row r="418" spans="2:2" ht="15" hidden="1" customHeight="1" x14ac:dyDescent="0.25">
      <c r="B418" s="68" t="str">
        <f>Players!B318</f>
        <v>Kenny Golladay</v>
      </c>
    </row>
    <row r="419" spans="2:2" ht="15" hidden="1" customHeight="1" x14ac:dyDescent="0.25">
      <c r="B419" s="68" t="str">
        <f>Players!B319</f>
        <v>Matt Jones</v>
      </c>
    </row>
    <row r="420" spans="2:2" ht="15" hidden="1" customHeight="1" x14ac:dyDescent="0.25">
      <c r="B420" s="68" t="str">
        <f>Players!B320</f>
        <v>Luke Willson</v>
      </c>
    </row>
    <row r="421" spans="2:2" ht="15" hidden="1" customHeight="1" x14ac:dyDescent="0.25">
      <c r="B421" s="68" t="str">
        <f>Players!B321</f>
        <v>Jeff Heuerman</v>
      </c>
    </row>
    <row r="422" spans="2:2" ht="15" hidden="1" customHeight="1" x14ac:dyDescent="0.25">
      <c r="B422" s="68" t="str">
        <f>Players!B322</f>
        <v>Jermaine Kearse</v>
      </c>
    </row>
    <row r="423" spans="2:2" ht="15" hidden="1" customHeight="1" x14ac:dyDescent="0.25">
      <c r="B423" s="68" t="str">
        <f>Players!B323</f>
        <v>Markus Wheaton</v>
      </c>
    </row>
    <row r="424" spans="2:2" ht="15" hidden="1" customHeight="1" x14ac:dyDescent="0.25">
      <c r="B424" s="68" t="str">
        <f>Players!B324</f>
        <v>Matt Asiata</v>
      </c>
    </row>
    <row r="425" spans="2:2" ht="15" hidden="1" customHeight="1" x14ac:dyDescent="0.25">
      <c r="B425" s="68" t="str">
        <f>Players!B325</f>
        <v>Kenyan Drake</v>
      </c>
    </row>
    <row r="426" spans="2:2" ht="15" hidden="1" customHeight="1" x14ac:dyDescent="0.25">
      <c r="B426" s="68" t="str">
        <f>Players!B326</f>
        <v>Adam Shaheen</v>
      </c>
    </row>
    <row r="427" spans="2:2" ht="15" hidden="1" customHeight="1" x14ac:dyDescent="0.25">
      <c r="B427" s="68" t="str">
        <f>Players!B327</f>
        <v>Jerell Adams</v>
      </c>
    </row>
    <row r="428" spans="2:2" ht="15" hidden="1" customHeight="1" x14ac:dyDescent="0.25">
      <c r="B428" s="68" t="str">
        <f>Players!B328</f>
        <v>Marshall Koehn</v>
      </c>
    </row>
    <row r="429" spans="2:2" ht="15" hidden="1" customHeight="1" x14ac:dyDescent="0.25">
      <c r="B429" s="68" t="str">
        <f>Players!B329</f>
        <v>Phillip Dorsett</v>
      </c>
    </row>
    <row r="430" spans="2:2" ht="15" hidden="1" customHeight="1" x14ac:dyDescent="0.25">
      <c r="B430" s="68" t="str">
        <f>Players!B330</f>
        <v>Levine Toilolo</v>
      </c>
    </row>
    <row r="431" spans="2:2" ht="15" hidden="1" customHeight="1" x14ac:dyDescent="0.25">
      <c r="B431" s="68" t="str">
        <f>Players!B331</f>
        <v>Adam Humphries</v>
      </c>
    </row>
    <row r="432" spans="2:2" ht="15" hidden="1" customHeight="1" x14ac:dyDescent="0.25">
      <c r="B432" s="68" t="str">
        <f>Players!B332</f>
        <v>Andre Ellington</v>
      </c>
    </row>
    <row r="433" spans="2:2" ht="15" hidden="1" customHeight="1" x14ac:dyDescent="0.25">
      <c r="B433" s="68" t="str">
        <f>Players!B333</f>
        <v>Travaris Cadet</v>
      </c>
    </row>
    <row r="434" spans="2:2" ht="15" hidden="1" customHeight="1" x14ac:dyDescent="0.25">
      <c r="B434" s="68" t="str">
        <f>Players!B334</f>
        <v>Marquise Goodwin</v>
      </c>
    </row>
    <row r="435" spans="2:2" ht="15" hidden="1" customHeight="1" x14ac:dyDescent="0.25">
      <c r="B435" s="68" t="str">
        <f>Players!B335</f>
        <v>Stephen Anderson</v>
      </c>
    </row>
    <row r="436" spans="2:2" ht="15" hidden="1" customHeight="1" x14ac:dyDescent="0.25">
      <c r="B436" s="68" t="str">
        <f>Players!B336</f>
        <v>Laquon Treadwell</v>
      </c>
    </row>
    <row r="437" spans="2:2" ht="15" hidden="1" customHeight="1" x14ac:dyDescent="0.25">
      <c r="B437" s="68" t="str">
        <f>Players!B337</f>
        <v>Aaron Jones</v>
      </c>
    </row>
    <row r="438" spans="2:2" ht="15" hidden="1" customHeight="1" x14ac:dyDescent="0.25">
      <c r="B438" s="68" t="str">
        <f>Players!B338</f>
        <v>Alfred Blue</v>
      </c>
    </row>
    <row r="439" spans="2:2" ht="15" hidden="1" customHeight="1" x14ac:dyDescent="0.25">
      <c r="B439" s="68" t="str">
        <f>Players!B339</f>
        <v>Anthony Fasano</v>
      </c>
    </row>
    <row r="440" spans="2:2" ht="15" hidden="1" customHeight="1" x14ac:dyDescent="0.25">
      <c r="B440" s="68" t="str">
        <f>Players!B340</f>
        <v>James Conner</v>
      </c>
    </row>
    <row r="441" spans="2:2" ht="15" hidden="1" customHeight="1" x14ac:dyDescent="0.25">
      <c r="B441" s="68" t="str">
        <f>Players!B341</f>
        <v>Ed Dickson</v>
      </c>
    </row>
    <row r="442" spans="2:2" ht="15" hidden="1" customHeight="1" x14ac:dyDescent="0.25">
      <c r="B442" s="68" t="str">
        <f>Players!B342</f>
        <v>Kyle Juszczyk</v>
      </c>
    </row>
    <row r="443" spans="2:2" ht="15" hidden="1" customHeight="1" x14ac:dyDescent="0.25">
      <c r="B443" s="68" t="str">
        <f>Players!B343</f>
        <v>Brent Celek</v>
      </c>
    </row>
    <row r="444" spans="2:2" ht="15" hidden="1" customHeight="1" x14ac:dyDescent="0.25">
      <c r="B444" s="68" t="str">
        <f>Players!B344</f>
        <v>Demetrius Harris</v>
      </c>
    </row>
    <row r="445" spans="2:2" ht="15" hidden="1" customHeight="1" x14ac:dyDescent="0.25">
      <c r="B445" s="68" t="str">
        <f>Players!B345</f>
        <v>Michael Roberts</v>
      </c>
    </row>
    <row r="446" spans="2:2" ht="15" hidden="1" customHeight="1" x14ac:dyDescent="0.25">
      <c r="B446" s="68" t="str">
        <f>Players!B346</f>
        <v>Gavin Escobar</v>
      </c>
    </row>
    <row r="447" spans="2:2" ht="15" hidden="1" customHeight="1" x14ac:dyDescent="0.25">
      <c r="B447" s="68" t="str">
        <f>Players!B347</f>
        <v>Nick Boyle</v>
      </c>
    </row>
    <row r="448" spans="2:2" ht="15" hidden="1" customHeight="1" x14ac:dyDescent="0.25">
      <c r="B448" s="68" t="str">
        <f>Players!B348</f>
        <v>Mike Nugent</v>
      </c>
    </row>
    <row r="449" spans="2:2" ht="15" hidden="1" customHeight="1" x14ac:dyDescent="0.25">
      <c r="B449" s="68" t="str">
        <f>Players!B349</f>
        <v>Jared Goff</v>
      </c>
    </row>
    <row r="450" spans="2:2" ht="15" hidden="1" customHeight="1" x14ac:dyDescent="0.25">
      <c r="B450" s="68" t="str">
        <f>Players!B350</f>
        <v>Aaron Ripkowski</v>
      </c>
    </row>
    <row r="451" spans="2:2" ht="15" hidden="1" customHeight="1" x14ac:dyDescent="0.25">
      <c r="B451" s="68" t="str">
        <f>Players!B351</f>
        <v>Darren Fells</v>
      </c>
    </row>
    <row r="452" spans="2:2" ht="15" hidden="1" customHeight="1" x14ac:dyDescent="0.25">
      <c r="B452" s="68" t="str">
        <f>Players!B352</f>
        <v>Rhett Ellison</v>
      </c>
    </row>
    <row r="453" spans="2:2" ht="15" hidden="1" customHeight="1" x14ac:dyDescent="0.25">
      <c r="B453" s="68" t="str">
        <f>Players!B353</f>
        <v>Elijah McGuire</v>
      </c>
    </row>
    <row r="454" spans="2:2" ht="15" hidden="1" customHeight="1" x14ac:dyDescent="0.25">
      <c r="B454" s="68" t="str">
        <f>Players!B354</f>
        <v>Benny Cunningham</v>
      </c>
    </row>
    <row r="455" spans="2:2" ht="15" hidden="1" customHeight="1" x14ac:dyDescent="0.25">
      <c r="B455" s="68" t="str">
        <f>Players!B355</f>
        <v>Malcolm Mitchell</v>
      </c>
    </row>
    <row r="456" spans="2:2" ht="15" hidden="1" customHeight="1" x14ac:dyDescent="0.25">
      <c r="B456" s="68" t="str">
        <f>Players!B356</f>
        <v>Shaun Draughn</v>
      </c>
    </row>
    <row r="457" spans="2:2" ht="15" hidden="1" customHeight="1" x14ac:dyDescent="0.25">
      <c r="B457" s="68" t="str">
        <f>Players!B357</f>
        <v>Chris Godwin</v>
      </c>
    </row>
    <row r="458" spans="2:2" ht="15" hidden="1" customHeight="1" x14ac:dyDescent="0.25">
      <c r="B458" s="68" t="str">
        <f>Players!B358</f>
        <v>Albert Wilson</v>
      </c>
    </row>
    <row r="459" spans="2:2" ht="15" hidden="1" customHeight="1" x14ac:dyDescent="0.25">
      <c r="B459" s="68" t="str">
        <f>Players!B359</f>
        <v>Jace Amaro</v>
      </c>
    </row>
    <row r="460" spans="2:2" ht="15" hidden="1" customHeight="1" x14ac:dyDescent="0.25">
      <c r="B460" s="68" t="str">
        <f>Players!B360</f>
        <v>Rhett Ellison</v>
      </c>
    </row>
    <row r="461" spans="2:2" ht="15" hidden="1" customHeight="1" x14ac:dyDescent="0.25">
      <c r="B461" s="68" t="str">
        <f>Players!B361</f>
        <v>Dan Carpenter</v>
      </c>
    </row>
    <row r="462" spans="2:2" ht="15" hidden="1" customHeight="1" x14ac:dyDescent="0.25">
      <c r="B462" s="68" t="str">
        <f>Players!B362</f>
        <v>Andre Holmes</v>
      </c>
    </row>
    <row r="463" spans="2:2" ht="15" hidden="1" customHeight="1" x14ac:dyDescent="0.25">
      <c r="B463" s="68" t="str">
        <f>Players!B363</f>
        <v>C.J. Uzomah</v>
      </c>
    </row>
    <row r="464" spans="2:2" ht="15" hidden="1" customHeight="1" x14ac:dyDescent="0.25">
      <c r="B464" s="68" t="str">
        <f>Players!B364</f>
        <v>Cooper Kupp</v>
      </c>
    </row>
    <row r="465" spans="2:2" ht="15" hidden="1" customHeight="1" x14ac:dyDescent="0.25">
      <c r="B465" s="68" t="str">
        <f>Players!B365</f>
        <v>Jacob Tamme</v>
      </c>
    </row>
    <row r="466" spans="2:2" ht="15" hidden="1" customHeight="1" x14ac:dyDescent="0.25">
      <c r="B466" s="68" t="str">
        <f>Players!B366</f>
        <v>Patrick Murray</v>
      </c>
    </row>
    <row r="467" spans="2:2" ht="15" hidden="1" customHeight="1" x14ac:dyDescent="0.25">
      <c r="B467" s="68" t="str">
        <f>Players!B367</f>
        <v>Bruce Ellington</v>
      </c>
    </row>
    <row r="468" spans="2:2" ht="15" hidden="1" customHeight="1" x14ac:dyDescent="0.25">
      <c r="B468" s="68" t="str">
        <f>Players!B368</f>
        <v>Wayne Gallman</v>
      </c>
    </row>
    <row r="469" spans="2:2" ht="15" hidden="1" customHeight="1" x14ac:dyDescent="0.25">
      <c r="B469" s="68" t="str">
        <f>Players!B369</f>
        <v>Tyler Kroft</v>
      </c>
    </row>
    <row r="470" spans="2:2" ht="15" hidden="1" customHeight="1" x14ac:dyDescent="0.25">
      <c r="B470" s="68" t="str">
        <f>Players!B370</f>
        <v>Paul Richardson</v>
      </c>
    </row>
    <row r="471" spans="2:2" ht="15" hidden="1" customHeight="1" x14ac:dyDescent="0.25">
      <c r="B471" s="68" t="str">
        <f>Players!B371</f>
        <v>Kaimi Fairbairn</v>
      </c>
    </row>
    <row r="472" spans="2:2" ht="15" hidden="1" customHeight="1" x14ac:dyDescent="0.25">
      <c r="B472" s="68" t="str">
        <f>Players!B372</f>
        <v>Jordan Gay</v>
      </c>
    </row>
    <row r="473" spans="2:2" ht="15" hidden="1" customHeight="1" x14ac:dyDescent="0.25">
      <c r="B473" s="68" t="str">
        <f>Players!B373</f>
        <v>Jake Butt</v>
      </c>
    </row>
    <row r="474" spans="2:2" ht="15" hidden="1" customHeight="1" x14ac:dyDescent="0.25">
      <c r="B474" s="68" t="str">
        <f>Players!B374</f>
        <v>MarQueis Gray</v>
      </c>
    </row>
    <row r="475" spans="2:2" ht="15" hidden="1" customHeight="1" x14ac:dyDescent="0.25">
      <c r="B475" s="68" t="str">
        <f>Players!B375</f>
        <v>Matt Breida</v>
      </c>
    </row>
    <row r="476" spans="2:2" ht="15" hidden="1" customHeight="1" x14ac:dyDescent="0.25">
      <c r="B476" s="68" t="str">
        <f>Players!B376</f>
        <v>Cameron Artis-Payne</v>
      </c>
    </row>
    <row r="477" spans="2:2" ht="15" hidden="1" customHeight="1" x14ac:dyDescent="0.25">
      <c r="B477" s="68" t="str">
        <f>Players!B377</f>
        <v>ArDarius Stewart</v>
      </c>
    </row>
    <row r="478" spans="2:2" ht="15" hidden="1" customHeight="1" x14ac:dyDescent="0.25">
      <c r="B478" s="68" t="str">
        <f>Players!B378</f>
        <v>Kenjon Barner</v>
      </c>
    </row>
    <row r="479" spans="2:2" ht="15" hidden="1" customHeight="1" x14ac:dyDescent="0.25">
      <c r="B479" s="68" t="str">
        <f>Players!B379</f>
        <v>David Morgan</v>
      </c>
    </row>
    <row r="480" spans="2:2" ht="15" hidden="1" customHeight="1" x14ac:dyDescent="0.25">
      <c r="B480" s="68" t="str">
        <f>Players!B380</f>
        <v>Mike Williams</v>
      </c>
    </row>
    <row r="481" spans="2:2" ht="15" hidden="1" customHeight="1" x14ac:dyDescent="0.25">
      <c r="B481" s="68" t="str">
        <f>Players!B381</f>
        <v>Nick Vannett</v>
      </c>
    </row>
    <row r="482" spans="2:2" ht="15" hidden="1" customHeight="1" x14ac:dyDescent="0.25">
      <c r="B482" s="68" t="str">
        <f>Players!B382</f>
        <v>Eric Saubert</v>
      </c>
    </row>
    <row r="483" spans="2:2" ht="15" hidden="1" customHeight="1" x14ac:dyDescent="0.25">
      <c r="B483" s="68" t="str">
        <f>Players!B383</f>
        <v>Deshaun Watson</v>
      </c>
    </row>
    <row r="484" spans="2:2" ht="15" hidden="1" customHeight="1" x14ac:dyDescent="0.25">
      <c r="B484" s="68" t="str">
        <f>Players!B384</f>
        <v>Dontrelle Inman</v>
      </c>
    </row>
    <row r="485" spans="2:2" ht="15" hidden="1" customHeight="1" x14ac:dyDescent="0.25">
      <c r="B485" s="68" t="str">
        <f>Players!B385</f>
        <v>Bucky Hodges</v>
      </c>
    </row>
    <row r="486" spans="2:2" ht="15" hidden="1" customHeight="1" x14ac:dyDescent="0.25">
      <c r="B486" s="68" t="str">
        <f>Players!B386</f>
        <v>Temarrick Hemingway</v>
      </c>
    </row>
    <row r="487" spans="2:2" ht="15" hidden="1" customHeight="1" x14ac:dyDescent="0.25">
      <c r="B487" s="68" t="str">
        <f>Players!B387</f>
        <v>Fozzy Whittaker</v>
      </c>
    </row>
    <row r="488" spans="2:2" ht="15" hidden="1" customHeight="1" x14ac:dyDescent="0.25">
      <c r="B488" s="68" t="str">
        <f>Players!B388</f>
        <v>Mike Tolbert</v>
      </c>
    </row>
    <row r="489" spans="2:2" ht="15" hidden="1" customHeight="1" x14ac:dyDescent="0.25">
      <c r="B489" s="68" t="str">
        <f>Players!B389</f>
        <v>Troy Niklas</v>
      </c>
    </row>
    <row r="490" spans="2:2" ht="15" hidden="1" customHeight="1" x14ac:dyDescent="0.25">
      <c r="B490" s="68" t="str">
        <f>Players!B390</f>
        <v>Javorius Allen</v>
      </c>
    </row>
    <row r="491" spans="2:2" ht="15" hidden="1" customHeight="1" x14ac:dyDescent="0.25">
      <c r="B491" s="68" t="str">
        <f>Players!B391</f>
        <v>Nick OLeary</v>
      </c>
    </row>
    <row r="492" spans="2:2" ht="15" hidden="1" customHeight="1" x14ac:dyDescent="0.25">
      <c r="B492" s="68" t="str">
        <f>Players!B392</f>
        <v>Kamar Aiken</v>
      </c>
    </row>
    <row r="493" spans="2:2" ht="15" hidden="1" customHeight="1" x14ac:dyDescent="0.25">
      <c r="B493" s="68" t="str">
        <f>Players!B393</f>
        <v>Ben Koyack</v>
      </c>
    </row>
    <row r="494" spans="2:2" ht="15" hidden="1" customHeight="1" x14ac:dyDescent="0.25">
      <c r="B494" s="68" t="str">
        <f>Players!B394</f>
        <v>Kendall Wright</v>
      </c>
    </row>
    <row r="495" spans="2:2" ht="15" hidden="1" customHeight="1" x14ac:dyDescent="0.25">
      <c r="B495" s="68" t="str">
        <f>Players!B395</f>
        <v>John Kuhn</v>
      </c>
    </row>
    <row r="496" spans="2:2" ht="15" hidden="1" customHeight="1" x14ac:dyDescent="0.25">
      <c r="B496" s="68" t="str">
        <f>Players!B396</f>
        <v>Trevor Siemian</v>
      </c>
    </row>
    <row r="497" spans="2:2" ht="15" hidden="1" customHeight="1" x14ac:dyDescent="0.25">
      <c r="B497" s="68" t="str">
        <f>Players!B397</f>
        <v>Elijah Hood</v>
      </c>
    </row>
    <row r="498" spans="2:2" ht="15" hidden="1" customHeight="1" x14ac:dyDescent="0.25">
      <c r="B498" s="68" t="str">
        <f>Players!B398</f>
        <v>Cody Kessler</v>
      </c>
    </row>
    <row r="499" spans="2:2" ht="15" hidden="1" customHeight="1" x14ac:dyDescent="0.25">
      <c r="B499" s="68" t="str">
        <f>Players!B399</f>
        <v>Brandon Coleman</v>
      </c>
    </row>
    <row r="500" spans="2:2" ht="15" hidden="1" customHeight="1" x14ac:dyDescent="0.25">
      <c r="B500" s="68" t="str">
        <f>Players!B400</f>
        <v>Larry Donnell</v>
      </c>
    </row>
    <row r="501" spans="2:2" ht="15" hidden="1" customHeight="1" x14ac:dyDescent="0.25">
      <c r="B501" s="68" t="str">
        <f>Players!B401</f>
        <v>DeAngelo Henderson</v>
      </c>
    </row>
    <row r="502" spans="2:2" ht="15" hidden="1" customHeight="1" x14ac:dyDescent="0.25">
      <c r="B502" s="68" t="str">
        <f>Players!B402</f>
        <v>Michael Hoomanawanui</v>
      </c>
    </row>
    <row r="503" spans="2:2" ht="15" hidden="1" customHeight="1" x14ac:dyDescent="0.25">
      <c r="B503" s="68" t="str">
        <f>Players!B403</f>
        <v>Kenneth Farrow</v>
      </c>
    </row>
    <row r="504" spans="2:2" ht="15" hidden="1" customHeight="1" x14ac:dyDescent="0.25">
      <c r="B504" s="68" t="str">
        <f>Players!B404</f>
        <v>Logan Paulsen</v>
      </c>
    </row>
    <row r="505" spans="2:2" ht="15" hidden="1" customHeight="1" x14ac:dyDescent="0.25">
      <c r="B505" s="68" t="str">
        <f>Players!B405</f>
        <v>Andrew Quarless</v>
      </c>
    </row>
    <row r="506" spans="2:2" ht="15" hidden="1" customHeight="1" x14ac:dyDescent="0.25">
      <c r="B506" s="68" t="str">
        <f>Players!B406</f>
        <v>Fitzgerald Toussaint</v>
      </c>
    </row>
    <row r="507" spans="2:2" ht="15" hidden="1" customHeight="1" x14ac:dyDescent="0.25">
      <c r="B507" s="68" t="str">
        <f>Players!B407</f>
        <v>James Hanna</v>
      </c>
    </row>
    <row r="508" spans="2:2" ht="15" hidden="1" customHeight="1" x14ac:dyDescent="0.25">
      <c r="B508" s="68" t="str">
        <f>Players!B408</f>
        <v>Neal Sterling</v>
      </c>
    </row>
    <row r="509" spans="2:2" ht="15" hidden="1" customHeight="1" x14ac:dyDescent="0.25">
      <c r="B509" s="68" t="str">
        <f>Players!B409</f>
        <v>Lee Smith</v>
      </c>
    </row>
    <row r="510" spans="2:2" ht="15" hidden="1" customHeight="1" x14ac:dyDescent="0.25">
      <c r="B510" s="68" t="str">
        <f>Players!B410</f>
        <v>Phillip Supernaw</v>
      </c>
    </row>
    <row r="511" spans="2:2" ht="15" hidden="1" customHeight="1" x14ac:dyDescent="0.25">
      <c r="B511" s="68" t="str">
        <f>Players!B411</f>
        <v>Kapri Bibbs</v>
      </c>
    </row>
    <row r="512" spans="2:2" ht="15" hidden="1" customHeight="1" x14ac:dyDescent="0.25">
      <c r="B512" s="68" t="str">
        <f>Players!B412</f>
        <v>Alfred Morris</v>
      </c>
    </row>
    <row r="513" spans="2:2" ht="15" hidden="1" customHeight="1" x14ac:dyDescent="0.25">
      <c r="B513" s="68" t="str">
        <f>Players!B413</f>
        <v>Jeremy McNichols</v>
      </c>
    </row>
    <row r="514" spans="2:2" ht="15" hidden="1" customHeight="1" x14ac:dyDescent="0.25">
      <c r="B514" s="68" t="str">
        <f>Players!B414</f>
        <v>Ben Braunecker</v>
      </c>
    </row>
    <row r="515" spans="2:2" ht="15" hidden="1" customHeight="1" x14ac:dyDescent="0.25">
      <c r="B515" s="68" t="str">
        <f>Players!B415</f>
        <v>Greg Scruggs</v>
      </c>
    </row>
    <row r="516" spans="2:2" ht="15" hidden="1" customHeight="1" x14ac:dyDescent="0.25">
      <c r="B516" s="68" t="str">
        <f>Players!B416</f>
        <v>Jeremy Sprinkle</v>
      </c>
    </row>
    <row r="517" spans="2:2" ht="15" hidden="1" customHeight="1" x14ac:dyDescent="0.25">
      <c r="B517" s="68" t="str">
        <f>Players!B417</f>
        <v>Brian Hill</v>
      </c>
    </row>
    <row r="518" spans="2:2" ht="15" hidden="1" customHeight="1" x14ac:dyDescent="0.25">
      <c r="B518" s="68" t="str">
        <f>Players!B418</f>
        <v>Geronimo Allison</v>
      </c>
    </row>
    <row r="519" spans="2:2" ht="15" hidden="1" customHeight="1" x14ac:dyDescent="0.25">
      <c r="B519" s="68" t="str">
        <f>Players!B419</f>
        <v>Josh Gordon</v>
      </c>
    </row>
    <row r="520" spans="2:2" ht="15" hidden="1" customHeight="1" x14ac:dyDescent="0.25">
      <c r="B520" s="68" t="str">
        <f>Players!B420</f>
        <v>Alex Collins</v>
      </c>
    </row>
    <row r="521" spans="2:2" ht="15" hidden="1" customHeight="1" x14ac:dyDescent="0.25">
      <c r="B521" s="68" t="str">
        <f>Players!B421</f>
        <v>Mack Brown</v>
      </c>
    </row>
    <row r="522" spans="2:2" ht="15" hidden="1" customHeight="1" x14ac:dyDescent="0.25">
      <c r="B522" s="68" t="str">
        <f>Players!B422</f>
        <v>Josh Ferguson</v>
      </c>
    </row>
    <row r="523" spans="2:2" ht="15" hidden="1" customHeight="1" x14ac:dyDescent="0.25">
      <c r="B523" s="68" t="str">
        <f>Players!B423</f>
        <v>Rico Gathers</v>
      </c>
    </row>
    <row r="524" spans="2:2" ht="15" hidden="1" customHeight="1" x14ac:dyDescent="0.25">
      <c r="B524" s="68" t="str">
        <f>Players!B424</f>
        <v>Corey Grant</v>
      </c>
    </row>
    <row r="525" spans="2:2" ht="15" hidden="1" customHeight="1" x14ac:dyDescent="0.25">
      <c r="B525" s="68" t="str">
        <f>Players!B425</f>
        <v>Cordarrelle Patterson</v>
      </c>
    </row>
    <row r="526" spans="2:2" ht="15" hidden="1" customHeight="1" x14ac:dyDescent="0.25">
      <c r="B526" s="68" t="str">
        <f>Players!B426</f>
        <v>Mason Schreck</v>
      </c>
    </row>
    <row r="527" spans="2:2" ht="15" hidden="1" customHeight="1" x14ac:dyDescent="0.25">
      <c r="B527" s="68" t="str">
        <f>Players!B427</f>
        <v>Chris Johnson</v>
      </c>
    </row>
    <row r="528" spans="2:2" ht="15" hidden="1" customHeight="1" x14ac:dyDescent="0.25">
      <c r="B528" s="68" t="str">
        <f>Players!B428</f>
        <v>Braxton Miller</v>
      </c>
    </row>
    <row r="529" spans="2:2" ht="15" hidden="1" customHeight="1" x14ac:dyDescent="0.25">
      <c r="B529" s="68" t="str">
        <f>Players!B429</f>
        <v>Josh McCown</v>
      </c>
    </row>
    <row r="530" spans="2:2" ht="15" hidden="1" customHeight="1" x14ac:dyDescent="0.25">
      <c r="B530" s="68" t="str">
        <f>Players!B430</f>
        <v>Dwayne Washington</v>
      </c>
    </row>
    <row r="531" spans="2:2" ht="15" hidden="1" customHeight="1" x14ac:dyDescent="0.25">
      <c r="B531" s="68" t="str">
        <f>Players!B431</f>
        <v>David Johnson2</v>
      </c>
    </row>
    <row r="532" spans="2:2" ht="15" hidden="1" customHeight="1" x14ac:dyDescent="0.25">
      <c r="B532" s="68" t="str">
        <f>Players!B432</f>
        <v>Luke Stocker</v>
      </c>
    </row>
    <row r="533" spans="2:2" ht="15" hidden="1" customHeight="1" x14ac:dyDescent="0.25">
      <c r="B533" s="68" t="str">
        <f>Players!B433</f>
        <v>Geoff Swaim</v>
      </c>
    </row>
    <row r="534" spans="2:2" ht="15" hidden="1" customHeight="1" x14ac:dyDescent="0.25">
      <c r="B534" s="68" t="str">
        <f>Players!B434</f>
        <v>Tajae Sharpe</v>
      </c>
    </row>
    <row r="535" spans="2:2" ht="15" hidden="1" customHeight="1" x14ac:dyDescent="0.25">
      <c r="B535" s="68" t="str">
        <f>Players!B435</f>
        <v>Matt LaCosse</v>
      </c>
    </row>
    <row r="536" spans="2:2" ht="15" hidden="1" customHeight="1" x14ac:dyDescent="0.25">
      <c r="B536" s="68" t="str">
        <f>Players!B436</f>
        <v>Malcolm Brown</v>
      </c>
    </row>
    <row r="537" spans="2:2" ht="15" hidden="1" customHeight="1" x14ac:dyDescent="0.25">
      <c r="B537" s="68" t="str">
        <f>Players!B437</f>
        <v>Brandon Bostick</v>
      </c>
    </row>
    <row r="538" spans="2:2" ht="15" hidden="1" customHeight="1" x14ac:dyDescent="0.25">
      <c r="B538" s="68" t="str">
        <f>Players!B438</f>
        <v>Knile Davis</v>
      </c>
    </row>
    <row r="539" spans="2:2" ht="15" hidden="1" customHeight="1" x14ac:dyDescent="0.25">
      <c r="B539" s="68" t="str">
        <f>Players!B439</f>
        <v>John Phillips</v>
      </c>
    </row>
    <row r="540" spans="2:2" ht="15" hidden="1" customHeight="1" x14ac:dyDescent="0.25">
      <c r="B540" s="68" t="str">
        <f>Players!B440</f>
        <v>Niles Paul</v>
      </c>
    </row>
    <row r="541" spans="2:2" ht="15" hidden="1" customHeight="1" x14ac:dyDescent="0.25">
      <c r="B541" s="68" t="str">
        <f>Players!B441</f>
        <v>Brice Butler</v>
      </c>
    </row>
    <row r="542" spans="2:2" ht="15" hidden="1" customHeight="1" x14ac:dyDescent="0.25">
      <c r="B542" s="68" t="str">
        <f>Players!B442</f>
        <v>Blake Bell</v>
      </c>
    </row>
    <row r="543" spans="2:2" ht="15" hidden="1" customHeight="1" x14ac:dyDescent="0.25">
      <c r="B543" s="68" t="str">
        <f>Players!B443</f>
        <v>Taywan Taylor</v>
      </c>
    </row>
    <row r="544" spans="2:2" ht="15" hidden="1" customHeight="1" x14ac:dyDescent="0.25">
      <c r="B544" s="68" t="str">
        <f>Players!B444</f>
        <v>James OShaughnessy</v>
      </c>
    </row>
    <row r="545" spans="2:2" ht="15" hidden="1" customHeight="1" x14ac:dyDescent="0.25">
      <c r="B545" s="68" t="str">
        <f>Players!B445</f>
        <v>Ifeanyi Momah</v>
      </c>
    </row>
    <row r="546" spans="2:2" ht="15" hidden="1" customHeight="1" x14ac:dyDescent="0.25">
      <c r="B546" s="68" t="str">
        <f>Players!B446</f>
        <v>Marcel Reece</v>
      </c>
    </row>
    <row r="547" spans="2:2" ht="15" hidden="1" customHeight="1" x14ac:dyDescent="0.25">
      <c r="B547" s="68" t="str">
        <f>Players!B447</f>
        <v>Ryan Hewitt</v>
      </c>
    </row>
    <row r="548" spans="2:2" ht="15" hidden="1" customHeight="1" x14ac:dyDescent="0.25">
      <c r="B548" s="68" t="str">
        <f>Players!B448</f>
        <v>Randall Telfer</v>
      </c>
    </row>
    <row r="549" spans="2:2" ht="15" hidden="1" customHeight="1" x14ac:dyDescent="0.25">
      <c r="B549" s="68" t="str">
        <f>Players!B449</f>
        <v>Matt Lengel</v>
      </c>
    </row>
    <row r="550" spans="2:2" ht="15" hidden="1" customHeight="1" x14ac:dyDescent="0.25">
      <c r="B550" s="68" t="str">
        <f>Players!B450</f>
        <v>Brandon Williams</v>
      </c>
    </row>
    <row r="551" spans="2:2" ht="15" hidden="1" customHeight="1" x14ac:dyDescent="0.25">
      <c r="B551" s="68" t="str">
        <f>Players!B451</f>
        <v>Andre Williams</v>
      </c>
    </row>
    <row r="552" spans="2:2" ht="15" hidden="1" customHeight="1" x14ac:dyDescent="0.25">
      <c r="B552" s="68" t="str">
        <f>Players!B452</f>
        <v>KaDeem Carey</v>
      </c>
    </row>
    <row r="553" spans="2:2" ht="15" hidden="1" customHeight="1" x14ac:dyDescent="0.25">
      <c r="B553" s="68" t="str">
        <f>Players!B453</f>
        <v>Logan Thomas</v>
      </c>
    </row>
    <row r="554" spans="2:2" ht="15" hidden="1" customHeight="1" x14ac:dyDescent="0.25">
      <c r="B554" s="68" t="str">
        <f>Players!B454</f>
        <v>Terron Ward</v>
      </c>
    </row>
    <row r="555" spans="2:2" ht="15" hidden="1" customHeight="1" x14ac:dyDescent="0.25">
      <c r="B555" s="68" t="str">
        <f>Players!B455</f>
        <v>Sean McGrath</v>
      </c>
    </row>
    <row r="556" spans="2:2" ht="15" hidden="1" customHeight="1" x14ac:dyDescent="0.25">
      <c r="B556" s="68" t="str">
        <f>Players!B456</f>
        <v>Philly Brown</v>
      </c>
    </row>
    <row r="557" spans="2:2" ht="15" hidden="1" customHeight="1" x14ac:dyDescent="0.25">
      <c r="B557" s="68" t="str">
        <f>Players!B457</f>
        <v>MyCole Pruitt</v>
      </c>
    </row>
    <row r="558" spans="2:2" ht="15" hidden="1" customHeight="1" x14ac:dyDescent="0.25">
      <c r="B558" s="68" t="str">
        <f>Players!B458</f>
        <v>Derek Carrier</v>
      </c>
    </row>
    <row r="559" spans="2:2" ht="15" hidden="1" customHeight="1" x14ac:dyDescent="0.25">
      <c r="B559" s="68" t="str">
        <f>Players!B459</f>
        <v>Clay Harbor</v>
      </c>
    </row>
    <row r="560" spans="2:2" ht="15" hidden="1" customHeight="1" x14ac:dyDescent="0.25">
      <c r="B560" s="68" t="str">
        <f>Players!B460</f>
        <v>Akeem Hunt</v>
      </c>
    </row>
    <row r="561" spans="2:2" ht="15" hidden="1" customHeight="1" x14ac:dyDescent="0.25">
      <c r="B561" s="68" t="str">
        <f>Players!B461</f>
        <v>Hakeem Valles</v>
      </c>
    </row>
    <row r="562" spans="2:2" ht="15" hidden="1" customHeight="1" x14ac:dyDescent="0.25">
      <c r="B562" s="68" t="str">
        <f>Players!B462</f>
        <v>Garrett Graham</v>
      </c>
    </row>
    <row r="563" spans="2:2" ht="15" hidden="1" customHeight="1" x14ac:dyDescent="0.25">
      <c r="B563" s="68" t="str">
        <f>Players!B463</f>
        <v>Anquan Boldin</v>
      </c>
    </row>
    <row r="564" spans="2:2" ht="15" hidden="1" customHeight="1" x14ac:dyDescent="0.25">
      <c r="B564" s="68" t="str">
        <f>Players!B464</f>
        <v>Cole Wick</v>
      </c>
    </row>
    <row r="565" spans="2:2" ht="15" hidden="1" customHeight="1" x14ac:dyDescent="0.25">
      <c r="B565" s="68" t="str">
        <f>Players!B465</f>
        <v>Chris Manhertz</v>
      </c>
    </row>
    <row r="566" spans="2:2" ht="15" hidden="1" customHeight="1" x14ac:dyDescent="0.25">
      <c r="B566" s="68" t="str">
        <f>Players!B466</f>
        <v>T.J. Logan</v>
      </c>
    </row>
    <row r="567" spans="2:2" ht="15" hidden="1" customHeight="1" x14ac:dyDescent="0.25">
      <c r="B567" s="68" t="str">
        <f>Players!B467</f>
        <v>JuJu Smith-Schuster</v>
      </c>
    </row>
    <row r="568" spans="2:2" ht="15" hidden="1" customHeight="1" x14ac:dyDescent="0.25">
      <c r="B568" s="68" t="str">
        <f>Players!B468</f>
        <v>Matthew Mulligan</v>
      </c>
    </row>
    <row r="569" spans="2:2" ht="15" hidden="1" customHeight="1" x14ac:dyDescent="0.25">
      <c r="B569" s="68" t="str">
        <f>Players!B469</f>
        <v>Khalfani Muhammad</v>
      </c>
    </row>
    <row r="570" spans="2:2" ht="15" hidden="1" customHeight="1" x14ac:dyDescent="0.25">
      <c r="B570" s="68" t="str">
        <f>Players!B470</f>
        <v>Cory Harkey</v>
      </c>
    </row>
    <row r="571" spans="2:2" ht="15" hidden="1" customHeight="1" x14ac:dyDescent="0.25">
      <c r="B571" s="68" t="str">
        <f>Players!B471</f>
        <v>Charone Peake</v>
      </c>
    </row>
    <row r="572" spans="2:2" ht="15" hidden="1" customHeight="1" x14ac:dyDescent="0.25">
      <c r="B572" s="68" t="str">
        <f>Players!B472</f>
        <v>Chris Gragg</v>
      </c>
    </row>
    <row r="573" spans="2:2" ht="15" hidden="1" customHeight="1" x14ac:dyDescent="0.25">
      <c r="B573" s="68" t="str">
        <f>Players!B473</f>
        <v>Rob Housler</v>
      </c>
    </row>
    <row r="574" spans="2:2" ht="15" hidden="1" customHeight="1" x14ac:dyDescent="0.25">
      <c r="B574" s="68" t="str">
        <f>Players!B474</f>
        <v>Lorenzo Taliaferro</v>
      </c>
    </row>
    <row r="575" spans="2:2" ht="15" hidden="1" customHeight="1" x14ac:dyDescent="0.25">
      <c r="B575" s="68" t="str">
        <f>Players!B475</f>
        <v>Wes Saxton</v>
      </c>
    </row>
    <row r="576" spans="2:2" ht="15" hidden="1" customHeight="1" x14ac:dyDescent="0.25">
      <c r="B576" s="68" t="str">
        <f>Players!B476</f>
        <v>Tim Wright</v>
      </c>
    </row>
    <row r="577" spans="2:2" ht="15" hidden="1" customHeight="1" x14ac:dyDescent="0.25">
      <c r="B577" s="68" t="str">
        <f>Players!B477</f>
        <v>Gerald Christian</v>
      </c>
    </row>
    <row r="578" spans="2:2" ht="15" hidden="1" customHeight="1" x14ac:dyDescent="0.25">
      <c r="B578" s="68" t="str">
        <f>Players!B478</f>
        <v>Darren Waller</v>
      </c>
    </row>
    <row r="579" spans="2:2" ht="15" hidden="1" customHeight="1" x14ac:dyDescent="0.25">
      <c r="B579" s="68" t="str">
        <f>Players!B479</f>
        <v>Daniel Brown</v>
      </c>
    </row>
    <row r="580" spans="2:2" ht="15" hidden="1" customHeight="1" x14ac:dyDescent="0.25">
      <c r="B580" s="68" t="str">
        <f>Players!B480</f>
        <v>Clark Harris</v>
      </c>
    </row>
    <row r="581" spans="2:2" ht="15" hidden="1" customHeight="1" x14ac:dyDescent="0.25">
      <c r="B581" s="68" t="str">
        <f>Players!B481</f>
        <v>Dan Vitale</v>
      </c>
    </row>
    <row r="582" spans="2:2" ht="15" hidden="1" customHeight="1" x14ac:dyDescent="0.25">
      <c r="B582" s="68" t="str">
        <f>Players!B482</f>
        <v>Khari Lee</v>
      </c>
    </row>
    <row r="583" spans="2:2" ht="15" hidden="1" customHeight="1" x14ac:dyDescent="0.25">
      <c r="B583" s="68" t="str">
        <f>Players!B483</f>
        <v>Gary Barnidge</v>
      </c>
    </row>
    <row r="584" spans="2:2" ht="15" hidden="1" customHeight="1" x14ac:dyDescent="0.25">
      <c r="B584" s="68" t="str">
        <f>Players!B484</f>
        <v>Brandon Myers</v>
      </c>
    </row>
    <row r="585" spans="2:2" ht="15" hidden="1" customHeight="1" x14ac:dyDescent="0.25">
      <c r="B585" s="68" t="str">
        <f>Players!B485</f>
        <v>Jim Dray</v>
      </c>
    </row>
    <row r="586" spans="2:2" ht="15" hidden="1" customHeight="1" x14ac:dyDescent="0.25">
      <c r="B586" s="68" t="str">
        <f>Players!B486</f>
        <v>Dennis Pitta</v>
      </c>
    </row>
    <row r="587" spans="2:2" ht="15" hidden="1" customHeight="1" x14ac:dyDescent="0.25">
      <c r="B587" s="68" t="str">
        <f>Players!B487</f>
        <v>David Ausberry</v>
      </c>
    </row>
    <row r="588" spans="2:2" ht="15" hidden="1" customHeight="1" x14ac:dyDescent="0.25">
      <c r="B588" s="68" t="str">
        <f>Players!B488</f>
        <v>Kellen Davis</v>
      </c>
    </row>
    <row r="589" spans="2:2" ht="15" hidden="1" customHeight="1" x14ac:dyDescent="0.25">
      <c r="B589" s="68" t="str">
        <f>Players!B489</f>
        <v>Ladarius Green</v>
      </c>
    </row>
    <row r="590" spans="2:2" ht="15" hidden="1" customHeight="1" x14ac:dyDescent="0.25">
      <c r="B590" s="68" t="str">
        <f>Players!B490</f>
        <v>Michael Williams</v>
      </c>
    </row>
    <row r="591" spans="2:2" ht="15" hidden="1" customHeight="1" x14ac:dyDescent="0.25">
      <c r="B591" s="68" t="str">
        <f>Players!B491</f>
        <v>Justin Perillo</v>
      </c>
    </row>
    <row r="592" spans="2:2" ht="15" hidden="1" customHeight="1" x14ac:dyDescent="0.25">
      <c r="B592" s="68" t="str">
        <f>Players!B492</f>
        <v>Blake Annen</v>
      </c>
    </row>
    <row r="593" spans="2:2" ht="15" hidden="1" customHeight="1" x14ac:dyDescent="0.25">
      <c r="B593" s="68" t="str">
        <f>Players!B493</f>
        <v>Jerome Cunningham</v>
      </c>
    </row>
    <row r="594" spans="2:2" ht="15" hidden="1" customHeight="1" x14ac:dyDescent="0.25">
      <c r="B594" s="68" t="str">
        <f>Players!B494</f>
        <v>Kennard Backman</v>
      </c>
    </row>
    <row r="595" spans="2:2" ht="15" hidden="1" customHeight="1" x14ac:dyDescent="0.25">
      <c r="B595" s="68" t="str">
        <f>Players!B495</f>
        <v>E.J. Bibbs</v>
      </c>
    </row>
    <row r="596" spans="2:2" ht="15" hidden="1" customHeight="1" x14ac:dyDescent="0.25">
      <c r="B596" s="68" t="str">
        <f>Players!B496</f>
        <v>Brian Parker</v>
      </c>
    </row>
    <row r="597" spans="2:2" ht="15" hidden="1" customHeight="1" x14ac:dyDescent="0.25">
      <c r="B597" s="68" t="str">
        <f>Players!B497</f>
        <v>Beau Sandland</v>
      </c>
    </row>
    <row r="598" spans="2:2" ht="15" hidden="1" customHeight="1" x14ac:dyDescent="0.25">
      <c r="B598" s="68" t="str">
        <f>Players!B498</f>
        <v>Mo Alie-Cox</v>
      </c>
    </row>
    <row r="599" spans="2:2" ht="15" hidden="1" customHeight="1" x14ac:dyDescent="0.25">
      <c r="B599" s="68" t="str">
        <f>Players!B499</f>
        <v>Orson Charles</v>
      </c>
    </row>
    <row r="600" spans="2:2" ht="15" hidden="1" customHeight="1" x14ac:dyDescent="0.25">
      <c r="B600" s="68" t="str">
        <f>Players!B500</f>
        <v>James Winchester</v>
      </c>
    </row>
    <row r="601" spans="2:2" ht="15" hidden="1" customHeight="1" x14ac:dyDescent="0.25">
      <c r="B601" s="68" t="str">
        <f>Players!B501</f>
        <v>Asante Cleveland</v>
      </c>
    </row>
    <row r="602" spans="2:2" ht="15" hidden="1" customHeight="1" x14ac:dyDescent="0.25">
      <c r="B602" s="68" t="str">
        <f>Players!B502</f>
        <v>Chris Pantale</v>
      </c>
    </row>
    <row r="603" spans="2:2" ht="15" hidden="1" customHeight="1" x14ac:dyDescent="0.25">
      <c r="B603" s="68" t="str">
        <f>Players!B503</f>
        <v>Thomas Duarte</v>
      </c>
    </row>
    <row r="604" spans="2:2" ht="15" hidden="1" customHeight="1" x14ac:dyDescent="0.25">
      <c r="B604" s="68" t="str">
        <f>Players!B504</f>
        <v>Nick Truesdell</v>
      </c>
    </row>
    <row r="605" spans="2:2" ht="15" hidden="1" customHeight="1" x14ac:dyDescent="0.25">
      <c r="B605" s="68" t="str">
        <f>Players!B505</f>
        <v>Bear Pascoe</v>
      </c>
    </row>
    <row r="606" spans="2:2" ht="15" hidden="1" customHeight="1" x14ac:dyDescent="0.25">
      <c r="B606" s="68" t="str">
        <f>Players!B506</f>
        <v>Jake Stoneburner</v>
      </c>
    </row>
    <row r="607" spans="2:2" ht="15" hidden="1" customHeight="1" x14ac:dyDescent="0.25">
      <c r="B607" s="68" t="str">
        <f>Players!B507</f>
        <v>Daniel Fells</v>
      </c>
    </row>
    <row r="608" spans="2:2" ht="15" hidden="1" customHeight="1" x14ac:dyDescent="0.25">
      <c r="B608" s="68" t="str">
        <f>Players!B508</f>
        <v>Cooper Helfet</v>
      </c>
    </row>
    <row r="609" spans="2:2" ht="15" hidden="1" customHeight="1" x14ac:dyDescent="0.25">
      <c r="B609" s="68" t="str">
        <f>Players!B509</f>
        <v>Brian Leonhardt</v>
      </c>
    </row>
    <row r="610" spans="2:2" ht="15" hidden="1" customHeight="1" x14ac:dyDescent="0.25">
      <c r="B610" s="68" t="str">
        <f>Players!B510</f>
        <v>Gabe Holmes</v>
      </c>
    </row>
    <row r="611" spans="2:2" ht="15" hidden="1" customHeight="1" x14ac:dyDescent="0.25">
      <c r="B611" s="68" t="str">
        <f>Players!B511</f>
        <v>Ryan OMalley</v>
      </c>
    </row>
    <row r="612" spans="2:2" ht="15" hidden="1" customHeight="1" x14ac:dyDescent="0.25">
      <c r="B612" s="68" t="str">
        <f>Players!B512</f>
        <v>RaShaun Allen</v>
      </c>
    </row>
    <row r="613" spans="2:2" ht="15" hidden="1" customHeight="1" x14ac:dyDescent="0.25">
      <c r="B613" s="68" t="str">
        <f>Players!B513</f>
        <v>Rory Anderson</v>
      </c>
    </row>
    <row r="614" spans="2:2" ht="15" hidden="1" customHeight="1" x14ac:dyDescent="0.25">
      <c r="B614" s="68" t="str">
        <f>Players!B514</f>
        <v>Alex Smith</v>
      </c>
    </row>
    <row r="615" spans="2:2" ht="15" hidden="1" customHeight="1" x14ac:dyDescent="0.25">
      <c r="B615" s="68" t="str">
        <f>Players!B515</f>
        <v>Marcel Jensen</v>
      </c>
    </row>
    <row r="616" spans="2:2" ht="15" hidden="1" customHeight="1" x14ac:dyDescent="0.25">
      <c r="B616" s="68" t="str">
        <f>Players!B516</f>
        <v>Jeff Cumberland</v>
      </c>
    </row>
    <row r="617" spans="2:2" ht="15" hidden="1" customHeight="1" x14ac:dyDescent="0.25">
      <c r="B617" s="68" t="str">
        <f>Players!B517</f>
        <v>Chris Carson</v>
      </c>
    </row>
    <row r="618" spans="2:2" ht="15" hidden="1" customHeight="1" x14ac:dyDescent="0.25">
      <c r="B618" s="68" t="str">
        <f>Players!B518</f>
        <v>J.D. McKissic</v>
      </c>
    </row>
    <row r="619" spans="2:2" ht="15" hidden="1" customHeight="1" x14ac:dyDescent="0.25">
      <c r="B619" s="68" t="str">
        <f>Players!B519</f>
        <v>Andrew Hawkins</v>
      </c>
    </row>
    <row r="620" spans="2:2" ht="15" hidden="1" customHeight="1" x14ac:dyDescent="0.25">
      <c r="B620" s="68" t="str">
        <f>Players!B520</f>
        <v>Christine Michael</v>
      </c>
    </row>
    <row r="621" spans="2:2" ht="15" hidden="1" customHeight="1" x14ac:dyDescent="0.25">
      <c r="B621" s="68" t="str">
        <f>Players!B521</f>
        <v>Peyton Barber</v>
      </c>
    </row>
    <row r="622" spans="2:2" ht="15" hidden="1" customHeight="1" x14ac:dyDescent="0.25">
      <c r="B622" s="68" t="str">
        <f>Players!B522</f>
        <v>Jamize Olawale</v>
      </c>
    </row>
    <row r="623" spans="2:2" ht="15" hidden="1" customHeight="1" x14ac:dyDescent="0.25">
      <c r="B623" s="68" t="str">
        <f>Players!B523</f>
        <v>Andy Janovich</v>
      </c>
    </row>
    <row r="624" spans="2:2" ht="15" hidden="1" customHeight="1" x14ac:dyDescent="0.25">
      <c r="B624" s="68" t="str">
        <f>Players!B524</f>
        <v>Jaelen Strong</v>
      </c>
    </row>
    <row r="625" spans="2:2" ht="15" hidden="1" customHeight="1" x14ac:dyDescent="0.25">
      <c r="B625" s="68" t="str">
        <f>Players!B525</f>
        <v>C.J. Spiller</v>
      </c>
    </row>
    <row r="626" spans="2:2" ht="15" hidden="1" customHeight="1" x14ac:dyDescent="0.25">
      <c r="B626" s="68" t="str">
        <f>Players!B526</f>
        <v>DeAngelo Williams</v>
      </c>
    </row>
    <row r="627" spans="2:2" ht="15" hidden="1" customHeight="1" x14ac:dyDescent="0.25">
      <c r="B627" s="68" t="str">
        <f>Players!B527</f>
        <v>Daniel Lasco</v>
      </c>
    </row>
    <row r="628" spans="2:2" ht="15" hidden="1" customHeight="1" x14ac:dyDescent="0.25">
      <c r="B628" s="68" t="str">
        <f>Players!B528</f>
        <v>Jaron Brown</v>
      </c>
    </row>
    <row r="629" spans="2:2" ht="15" hidden="1" customHeight="1" x14ac:dyDescent="0.25">
      <c r="B629" s="68" t="str">
        <f>Players!B529</f>
        <v>Orleans Darkwa</v>
      </c>
    </row>
    <row r="630" spans="2:2" ht="15" hidden="1" customHeight="1" x14ac:dyDescent="0.25">
      <c r="B630" s="68" t="str">
        <f>Players!B530</f>
        <v>Raheem Mostert</v>
      </c>
    </row>
    <row r="631" spans="2:2" ht="15" hidden="1" customHeight="1" x14ac:dyDescent="0.25">
      <c r="B631" s="68" t="str">
        <f>Players!B531</f>
        <v>Michael Floyd</v>
      </c>
    </row>
    <row r="632" spans="2:2" ht="15" hidden="1" customHeight="1" x14ac:dyDescent="0.25">
      <c r="B632" s="68" t="str">
        <f>Players!B532</f>
        <v>Michael Campanaro</v>
      </c>
    </row>
    <row r="633" spans="2:2" ht="15" hidden="1" customHeight="1" x14ac:dyDescent="0.25">
      <c r="B633" s="68" t="str">
        <f>Players!B533</f>
        <v>D.J. Foster</v>
      </c>
    </row>
    <row r="634" spans="2:2" ht="15" hidden="1" customHeight="1" x14ac:dyDescent="0.25">
      <c r="B634" s="68" t="str">
        <f>Players!B534</f>
        <v>George Atkinson</v>
      </c>
    </row>
    <row r="635" spans="2:2" ht="15" hidden="1" customHeight="1" x14ac:dyDescent="0.25">
      <c r="B635" s="68" t="str">
        <f>Players!B535</f>
        <v>Mike Davis</v>
      </c>
    </row>
    <row r="636" spans="2:2" ht="15" hidden="1" customHeight="1" x14ac:dyDescent="0.25">
      <c r="B636" s="68" t="str">
        <f>Players!B536</f>
        <v>Brian Quick</v>
      </c>
    </row>
    <row r="637" spans="2:2" ht="15" hidden="1" customHeight="1" x14ac:dyDescent="0.25">
      <c r="B637" s="68" t="str">
        <f>Players!B537</f>
        <v>Danny Amendola</v>
      </c>
    </row>
    <row r="638" spans="2:2" ht="15" hidden="1" customHeight="1" x14ac:dyDescent="0.25">
      <c r="B638" s="68" t="str">
        <f>Players!B538</f>
        <v>Nelson Agholor</v>
      </c>
    </row>
    <row r="639" spans="2:2" ht="15" hidden="1" customHeight="1" x14ac:dyDescent="0.25">
      <c r="B639" s="68" t="str">
        <f>Players!B539</f>
        <v>Patrick DiMarco</v>
      </c>
    </row>
    <row r="640" spans="2:2" ht="15" hidden="1" customHeight="1" x14ac:dyDescent="0.25">
      <c r="B640" s="68" t="str">
        <f>Players!B540</f>
        <v>Joe Banyard</v>
      </c>
    </row>
    <row r="641" spans="2:2" ht="15" hidden="1" customHeight="1" x14ac:dyDescent="0.25">
      <c r="B641" s="68" t="str">
        <f>Players!B541</f>
        <v>Tyler Ervin</v>
      </c>
    </row>
    <row r="642" spans="2:2" ht="15" hidden="1" customHeight="1" x14ac:dyDescent="0.25">
      <c r="B642" s="68" t="str">
        <f>Players!B542</f>
        <v>Justin Hardy</v>
      </c>
    </row>
    <row r="643" spans="2:2" ht="15" hidden="1" customHeight="1" x14ac:dyDescent="0.25">
      <c r="B643" s="68" t="str">
        <f>Players!B543</f>
        <v>Charles Johnson</v>
      </c>
    </row>
    <row r="644" spans="2:2" ht="15" hidden="1" customHeight="1" x14ac:dyDescent="0.25">
      <c r="B644" s="68" t="str">
        <f>Players!B544</f>
        <v>Dan Vitale</v>
      </c>
    </row>
    <row r="645" spans="2:2" ht="15" hidden="1" customHeight="1" x14ac:dyDescent="0.25">
      <c r="B645" s="68" t="str">
        <f>Players!B545</f>
        <v>Ricardo Louis</v>
      </c>
    </row>
    <row r="646" spans="2:2" ht="15" hidden="1" customHeight="1" x14ac:dyDescent="0.25">
      <c r="B646" s="68" t="str">
        <f>Players!B546</f>
        <v>Khiry Robinson</v>
      </c>
    </row>
    <row r="647" spans="2:2" ht="15" hidden="1" customHeight="1" x14ac:dyDescent="0.25">
      <c r="B647" s="68" t="str">
        <f>Players!B547</f>
        <v>Brandon Wilds</v>
      </c>
    </row>
    <row r="648" spans="2:2" ht="15" hidden="1" customHeight="1" x14ac:dyDescent="0.25">
      <c r="B648" s="68" t="str">
        <f>Players!B548</f>
        <v>Bobby Rainey</v>
      </c>
    </row>
    <row r="649" spans="2:2" ht="15" hidden="1" customHeight="1" x14ac:dyDescent="0.25">
      <c r="B649" s="68" t="str">
        <f>Players!B549</f>
        <v>Dorial Green-Beckham</v>
      </c>
    </row>
    <row r="650" spans="2:2" ht="15" hidden="1" customHeight="1" x14ac:dyDescent="0.25">
      <c r="B650" s="68" t="str">
        <f>Players!B550</f>
        <v>Joique Bell</v>
      </c>
    </row>
    <row r="651" spans="2:2" ht="15" hidden="1" customHeight="1" x14ac:dyDescent="0.25">
      <c r="B651" s="68" t="str">
        <f>Players!B551</f>
        <v>Keith Marshall</v>
      </c>
    </row>
    <row r="652" spans="2:2" ht="15" hidden="1" customHeight="1" x14ac:dyDescent="0.25">
      <c r="B652" s="68" t="str">
        <f>Players!B552</f>
        <v>Bennie Fowler</v>
      </c>
    </row>
    <row r="653" spans="2:2" ht="15" hidden="1" customHeight="1" x14ac:dyDescent="0.25">
      <c r="B653" s="68" t="str">
        <f>Players!B553</f>
        <v>Taiwan Jones</v>
      </c>
    </row>
    <row r="654" spans="2:2" ht="15" hidden="1" customHeight="1" x14ac:dyDescent="0.25">
      <c r="B654" s="68" t="str">
        <f>Players!B554</f>
        <v>Jonathan Grimes</v>
      </c>
    </row>
    <row r="655" spans="2:2" ht="15" hidden="1" customHeight="1" x14ac:dyDescent="0.25">
      <c r="B655" s="68" t="str">
        <f>Players!B555</f>
        <v>Darrel Young</v>
      </c>
    </row>
    <row r="656" spans="2:2" ht="15" hidden="1" customHeight="1" x14ac:dyDescent="0.25">
      <c r="B656" s="68" t="str">
        <f>Players!B556</f>
        <v>Antonio Andrews</v>
      </c>
    </row>
    <row r="657" spans="2:2" ht="15" hidden="1" customHeight="1" x14ac:dyDescent="0.25">
      <c r="B657" s="68" t="str">
        <f>Players!B557</f>
        <v>Cedric Peerman</v>
      </c>
    </row>
    <row r="658" spans="2:2" ht="15" hidden="1" customHeight="1" x14ac:dyDescent="0.25">
      <c r="B658" s="68" t="str">
        <f>Players!B558</f>
        <v>Antone Smith</v>
      </c>
    </row>
    <row r="659" spans="2:2" ht="15" hidden="1" customHeight="1" x14ac:dyDescent="0.25">
      <c r="B659" s="68" t="str">
        <f>Players!B559</f>
        <v>Derek Watt</v>
      </c>
    </row>
    <row r="660" spans="2:2" ht="15" hidden="1" customHeight="1" x14ac:dyDescent="0.25">
      <c r="B660" s="68" t="str">
        <f>Players!B560</f>
        <v>Carlos Henderson</v>
      </c>
    </row>
    <row r="661" spans="2:2" ht="15" hidden="1" customHeight="1" x14ac:dyDescent="0.25">
      <c r="B661" s="68" t="str">
        <f>Players!B561</f>
        <v>Anthony Sherman</v>
      </c>
    </row>
    <row r="662" spans="2:2" ht="15" hidden="1" customHeight="1" x14ac:dyDescent="0.25">
      <c r="B662" s="68" t="str">
        <f>Players!B562</f>
        <v>C.J. Ham</v>
      </c>
    </row>
    <row r="663" spans="2:2" ht="15" hidden="1" customHeight="1" x14ac:dyDescent="0.25">
      <c r="B663" s="68" t="str">
        <f>Players!B563</f>
        <v>Malcolm Johnson</v>
      </c>
    </row>
    <row r="664" spans="2:2" ht="15" hidden="1" customHeight="1" x14ac:dyDescent="0.25">
      <c r="B664" s="68" t="str">
        <f>Players!B564</f>
        <v>James Develin</v>
      </c>
    </row>
    <row r="665" spans="2:2" ht="15" hidden="1" customHeight="1" x14ac:dyDescent="0.25">
      <c r="B665" s="68" t="str">
        <f>Players!B565</f>
        <v>Victor Cruz</v>
      </c>
    </row>
    <row r="666" spans="2:2" ht="15" hidden="1" customHeight="1" x14ac:dyDescent="0.25">
      <c r="B666" s="68" t="str">
        <f>Players!B566</f>
        <v>Russell Shepard</v>
      </c>
    </row>
    <row r="667" spans="2:2" ht="15" hidden="1" customHeight="1" x14ac:dyDescent="0.25">
      <c r="B667" s="68" t="str">
        <f>Players!B567</f>
        <v>Devante Mays</v>
      </c>
    </row>
    <row r="668" spans="2:2" ht="15" hidden="1" customHeight="1" x14ac:dyDescent="0.25">
      <c r="B668" s="68" t="str">
        <f>Players!B568</f>
        <v>Roosevelt Nix</v>
      </c>
    </row>
    <row r="669" spans="2:2" ht="15" hidden="1" customHeight="1" x14ac:dyDescent="0.25">
      <c r="B669" s="68" t="str">
        <f>Players!B569</f>
        <v>Sam Rogers</v>
      </c>
    </row>
    <row r="670" spans="2:2" ht="15" hidden="1" customHeight="1" x14ac:dyDescent="0.25">
      <c r="B670" s="68" t="str">
        <f>Players!B570</f>
        <v>Will Johnson</v>
      </c>
    </row>
    <row r="671" spans="2:2" ht="15" hidden="1" customHeight="1" x14ac:dyDescent="0.25">
      <c r="B671" s="68" t="str">
        <f>Players!B571</f>
        <v>Bishop Sankey</v>
      </c>
    </row>
    <row r="672" spans="2:2" ht="15" hidden="1" customHeight="1" x14ac:dyDescent="0.25">
      <c r="B672" s="68" t="str">
        <f>Players!B572</f>
        <v>Troymaine Pope</v>
      </c>
    </row>
    <row r="673" spans="2:2" ht="15" hidden="1" customHeight="1" x14ac:dyDescent="0.25">
      <c r="B673" s="68" t="str">
        <f>Players!B573</f>
        <v>Jerome Felton</v>
      </c>
    </row>
    <row r="674" spans="2:2" ht="15" hidden="1" customHeight="1" x14ac:dyDescent="0.25">
      <c r="B674" s="68" t="str">
        <f>Players!B574</f>
        <v>Rod Smith</v>
      </c>
    </row>
    <row r="675" spans="2:2" ht="15" hidden="1" customHeight="1" x14ac:dyDescent="0.25">
      <c r="B675" s="68" t="str">
        <f>Players!B575</f>
        <v>John Crockett</v>
      </c>
    </row>
    <row r="676" spans="2:2" ht="15" hidden="1" customHeight="1" x14ac:dyDescent="0.25">
      <c r="B676" s="68" t="str">
        <f>Players!B576</f>
        <v>Glenn Winston</v>
      </c>
    </row>
    <row r="677" spans="2:2" ht="15" hidden="1" customHeight="1" x14ac:dyDescent="0.25">
      <c r="B677" s="68" t="str">
        <f>Players!B577</f>
        <v>Chester Rogers</v>
      </c>
    </row>
    <row r="678" spans="2:2" ht="15" hidden="1" customHeight="1" x14ac:dyDescent="0.25">
      <c r="B678" s="68" t="str">
        <f>Players!B578</f>
        <v>Zach Line</v>
      </c>
    </row>
    <row r="679" spans="2:2" ht="15" hidden="1" customHeight="1" x14ac:dyDescent="0.25">
      <c r="B679" s="68" t="str">
        <f>Players!B579</f>
        <v>Jordan Todman</v>
      </c>
    </row>
    <row r="680" spans="2:2" ht="15" hidden="1" customHeight="1" x14ac:dyDescent="0.25">
      <c r="B680" s="68" t="str">
        <f>Players!B580</f>
        <v>Jay Prosch</v>
      </c>
    </row>
    <row r="681" spans="2:2" ht="15" hidden="1" customHeight="1" x14ac:dyDescent="0.25">
      <c r="B681" s="68" t="str">
        <f>Players!B581</f>
        <v>Brandon Bolden</v>
      </c>
    </row>
    <row r="682" spans="2:2" ht="15" hidden="1" customHeight="1" x14ac:dyDescent="0.25">
      <c r="B682" s="68" t="str">
        <f>Players!B582</f>
        <v>Pharoh Cooper</v>
      </c>
    </row>
    <row r="683" spans="2:2" ht="15" hidden="1" customHeight="1" x14ac:dyDescent="0.25">
      <c r="B683" s="68" t="str">
        <f>Players!B583</f>
        <v>Reggie Bush</v>
      </c>
    </row>
    <row r="684" spans="2:2" ht="15" hidden="1" customHeight="1" x14ac:dyDescent="0.25">
      <c r="B684" s="68" t="str">
        <f>Players!B584</f>
        <v>Jalston Fowler</v>
      </c>
    </row>
    <row r="685" spans="2:2" ht="15" hidden="1" customHeight="1" x14ac:dyDescent="0.25">
      <c r="B685" s="68" t="str">
        <f>Players!B585</f>
        <v>Keith Smith</v>
      </c>
    </row>
    <row r="686" spans="2:2" ht="15" hidden="1" customHeight="1" x14ac:dyDescent="0.25">
      <c r="B686" s="68" t="str">
        <f>Players!B586</f>
        <v>Sammie Coates</v>
      </c>
    </row>
    <row r="687" spans="2:2" ht="15" hidden="1" customHeight="1" x14ac:dyDescent="0.25">
      <c r="B687" s="68" t="str">
        <f>Players!B587</f>
        <v>Juwan Thompson</v>
      </c>
    </row>
    <row r="688" spans="2:2" ht="15" hidden="1" customHeight="1" x14ac:dyDescent="0.25">
      <c r="B688" s="68" t="str">
        <f>Players!B588</f>
        <v>Michael Burton</v>
      </c>
    </row>
    <row r="689" spans="2:2" ht="15" hidden="1" customHeight="1" x14ac:dyDescent="0.25">
      <c r="B689" s="68" t="str">
        <f>Players!B589</f>
        <v>Marcus Murphy</v>
      </c>
    </row>
    <row r="690" spans="2:2" ht="15" hidden="1" customHeight="1" x14ac:dyDescent="0.25">
      <c r="B690" s="68" t="str">
        <f>Players!B590</f>
        <v>Jarius Wright</v>
      </c>
    </row>
    <row r="691" spans="2:2" ht="15" hidden="1" customHeight="1" x14ac:dyDescent="0.25">
      <c r="B691" s="68" t="str">
        <f>Players!B591</f>
        <v>Mike James</v>
      </c>
    </row>
    <row r="692" spans="2:2" ht="15" hidden="1" customHeight="1" x14ac:dyDescent="0.25">
      <c r="B692" s="68" t="str">
        <f>Players!B592</f>
        <v>Stepfan Taylor</v>
      </c>
    </row>
    <row r="693" spans="2:2" ht="15" hidden="1" customHeight="1" x14ac:dyDescent="0.25">
      <c r="B693" s="68" t="str">
        <f>Players!B593</f>
        <v>George Winn</v>
      </c>
    </row>
    <row r="694" spans="2:2" ht="15" hidden="1" customHeight="1" x14ac:dyDescent="0.25">
      <c r="B694" s="68" t="str">
        <f>Players!B594</f>
        <v>Tra Carson</v>
      </c>
    </row>
    <row r="695" spans="2:2" ht="15" hidden="1" customHeight="1" x14ac:dyDescent="0.25">
      <c r="B695" s="68" t="str">
        <f>Players!B595</f>
        <v>Cyrus Gray</v>
      </c>
    </row>
    <row r="696" spans="2:2" ht="15" hidden="1" customHeight="1" x14ac:dyDescent="0.25">
      <c r="B696" s="68" t="str">
        <f>Players!B596</f>
        <v>Terrence Magee</v>
      </c>
    </row>
    <row r="697" spans="2:2" ht="15" hidden="1" customHeight="1" x14ac:dyDescent="0.25">
      <c r="B697" s="68" t="str">
        <f>Players!B597</f>
        <v>Darius Jackson</v>
      </c>
    </row>
    <row r="698" spans="2:2" ht="15" hidden="1" customHeight="1" x14ac:dyDescent="0.25">
      <c r="B698" s="68" t="str">
        <f>Players!B598</f>
        <v>Ronnie Hillman</v>
      </c>
    </row>
    <row r="699" spans="2:2" ht="15" hidden="1" customHeight="1" x14ac:dyDescent="0.25">
      <c r="B699" s="68" t="str">
        <f>Players!B599</f>
        <v>Stevan Ridley</v>
      </c>
    </row>
    <row r="700" spans="2:2" ht="15" hidden="1" customHeight="1" x14ac:dyDescent="0.25">
      <c r="B700" s="68" t="str">
        <f>Players!B600</f>
        <v>Bernard Pierce</v>
      </c>
    </row>
    <row r="701" spans="2:2" ht="15" hidden="1" customHeight="1" x14ac:dyDescent="0.25">
      <c r="B701" s="68" t="str">
        <f>Players!B601</f>
        <v>Zac Brooks</v>
      </c>
    </row>
    <row r="702" spans="2:2" ht="15" hidden="1" customHeight="1" x14ac:dyDescent="0.25">
      <c r="B702" s="68" t="str">
        <f>Players!B602</f>
        <v>Justin Forsett</v>
      </c>
    </row>
    <row r="703" spans="2:2" ht="15" hidden="1" customHeight="1" x14ac:dyDescent="0.25">
      <c r="B703" s="68" t="str">
        <f>Players!B603</f>
        <v>Rashad Jennings</v>
      </c>
    </row>
    <row r="704" spans="2:2" ht="15" hidden="1" customHeight="1" x14ac:dyDescent="0.25">
      <c r="B704" s="68" t="str">
        <f>Players!B604</f>
        <v>Dexter McCluster</v>
      </c>
    </row>
    <row r="705" spans="2:2" ht="15" hidden="1" customHeight="1" x14ac:dyDescent="0.25">
      <c r="B705" s="68" t="str">
        <f>Players!B605</f>
        <v>James Starks</v>
      </c>
    </row>
    <row r="706" spans="2:2" ht="15" hidden="1" customHeight="1" x14ac:dyDescent="0.25">
      <c r="B706" s="68" t="str">
        <f>Players!B606</f>
        <v>Will Tukuafu</v>
      </c>
    </row>
    <row r="707" spans="2:2" ht="15" hidden="1" customHeight="1" x14ac:dyDescent="0.25">
      <c r="B707" s="68" t="str">
        <f>Players!B607</f>
        <v>DuJuan Harris</v>
      </c>
    </row>
    <row r="708" spans="2:2" ht="15" hidden="1" customHeight="1" x14ac:dyDescent="0.25">
      <c r="B708" s="68" t="str">
        <f>Players!B608</f>
        <v>Austin Johnson</v>
      </c>
    </row>
    <row r="709" spans="2:2" ht="15" hidden="1" customHeight="1" x14ac:dyDescent="0.25">
      <c r="B709" s="68" t="str">
        <f>Players!B609</f>
        <v>Daryl Richardson</v>
      </c>
    </row>
    <row r="710" spans="2:2" ht="15" hidden="1" customHeight="1" x14ac:dyDescent="0.25">
      <c r="B710" s="68" t="str">
        <f>Players!B610</f>
        <v>Derrick Coleman</v>
      </c>
    </row>
    <row r="711" spans="2:2" ht="15" hidden="1" customHeight="1" x14ac:dyDescent="0.25">
      <c r="B711" s="68" t="str">
        <f>Players!B611</f>
        <v>Denard Robinson</v>
      </c>
    </row>
    <row r="712" spans="2:2" ht="15" hidden="1" customHeight="1" x14ac:dyDescent="0.25">
      <c r="B712" s="68" t="str">
        <f>Players!B612</f>
        <v>Montee Ball</v>
      </c>
    </row>
    <row r="713" spans="2:2" ht="15" hidden="1" customHeight="1" x14ac:dyDescent="0.25">
      <c r="B713" s="68" t="str">
        <f>Players!B613</f>
        <v>Joseph Randle</v>
      </c>
    </row>
    <row r="714" spans="2:2" ht="15" hidden="1" customHeight="1" x14ac:dyDescent="0.25">
      <c r="B714" s="68" t="str">
        <f>Players!B614</f>
        <v>Tommy Bohanon</v>
      </c>
    </row>
    <row r="715" spans="2:2" ht="15" hidden="1" customHeight="1" x14ac:dyDescent="0.25">
      <c r="B715" s="68" t="str">
        <f>Players!B615</f>
        <v>Tre Mason</v>
      </c>
    </row>
    <row r="716" spans="2:2" ht="15" hidden="1" customHeight="1" x14ac:dyDescent="0.25">
      <c r="B716" s="68" t="str">
        <f>Players!B616</f>
        <v>Dri Archer</v>
      </c>
    </row>
    <row r="717" spans="2:2" ht="15" hidden="1" customHeight="1" x14ac:dyDescent="0.25">
      <c r="B717" s="68" t="str">
        <f>Players!B617</f>
        <v>Darrin Reaves</v>
      </c>
    </row>
    <row r="718" spans="2:2" ht="15" hidden="1" customHeight="1" x14ac:dyDescent="0.25">
      <c r="B718" s="68" t="str">
        <f>Players!B618</f>
        <v>David Cobb</v>
      </c>
    </row>
    <row r="719" spans="2:2" ht="15" hidden="1" customHeight="1" x14ac:dyDescent="0.25">
      <c r="B719" s="68" t="str">
        <f>Players!B619</f>
        <v>Karlos Williams</v>
      </c>
    </row>
    <row r="720" spans="2:2" ht="15" hidden="1" customHeight="1" x14ac:dyDescent="0.25">
      <c r="B720" s="68" t="str">
        <f>Players!B620</f>
        <v>Kenny Hilliard</v>
      </c>
    </row>
    <row r="721" spans="2:2" ht="15" hidden="1" customHeight="1" x14ac:dyDescent="0.25">
      <c r="B721" s="68" t="str">
        <f>Players!B621</f>
        <v>Trey Williams</v>
      </c>
    </row>
    <row r="722" spans="2:2" ht="15" hidden="1" customHeight="1" x14ac:dyDescent="0.25">
      <c r="B722" s="68" t="str">
        <f>Players!B622</f>
        <v>Brandon Wegher</v>
      </c>
    </row>
    <row r="723" spans="2:2" ht="15" hidden="1" customHeight="1" x14ac:dyDescent="0.25">
      <c r="B723" s="68" t="str">
        <f>Players!B623</f>
        <v>George Farmer</v>
      </c>
    </row>
    <row r="724" spans="2:2" ht="15" hidden="1" customHeight="1" x14ac:dyDescent="0.25">
      <c r="B724" s="68" t="str">
        <f>Players!B624</f>
        <v>Dreamius Smith</v>
      </c>
    </row>
    <row r="725" spans="2:2" ht="15" hidden="1" customHeight="1" x14ac:dyDescent="0.25">
      <c r="B725" s="68" t="str">
        <f>Players!B625</f>
        <v>Kelvin Taylor</v>
      </c>
    </row>
    <row r="726" spans="2:2" ht="15" hidden="1" customHeight="1" x14ac:dyDescent="0.25">
      <c r="B726" s="68" t="str">
        <f>Players!B626</f>
        <v>Glenn Gronkowski</v>
      </c>
    </row>
    <row r="727" spans="2:2" ht="15" hidden="1" customHeight="1" x14ac:dyDescent="0.25">
      <c r="B727" s="68" t="str">
        <f>Players!B627</f>
        <v>Don Jackson</v>
      </c>
    </row>
    <row r="728" spans="2:2" ht="15" hidden="1" customHeight="1" x14ac:dyDescent="0.25">
      <c r="B728" s="68" t="str">
        <f>Players!B628</f>
        <v>Brandon Burks</v>
      </c>
    </row>
    <row r="729" spans="2:2" ht="15" hidden="1" customHeight="1" x14ac:dyDescent="0.25">
      <c r="B729" s="68" t="str">
        <f>Players!B629</f>
        <v>Devon Johnson</v>
      </c>
    </row>
    <row r="730" spans="2:2" ht="15" hidden="1" customHeight="1" x14ac:dyDescent="0.25">
      <c r="B730" s="68" t="str">
        <f>Players!B630</f>
        <v>Dare Ogunbowale</v>
      </c>
    </row>
    <row r="731" spans="2:2" ht="15" hidden="1" customHeight="1" x14ac:dyDescent="0.25">
      <c r="B731" s="68" t="str">
        <f>Players!B631</f>
        <v>Tyler Varga</v>
      </c>
    </row>
    <row r="732" spans="2:2" ht="15" hidden="1" customHeight="1" x14ac:dyDescent="0.25">
      <c r="B732" s="68" t="str">
        <f>Players!B632</f>
        <v>Tyler Gaffney</v>
      </c>
    </row>
    <row r="733" spans="2:2" ht="15" hidden="1" customHeight="1" x14ac:dyDescent="0.25">
      <c r="B733" s="68" t="str">
        <f>Players!B633</f>
        <v>Justin Davis</v>
      </c>
    </row>
    <row r="734" spans="2:2" ht="15" hidden="1" customHeight="1" x14ac:dyDescent="0.25">
      <c r="B734" s="68" t="str">
        <f>Players!B634</f>
        <v>Storm Johnson</v>
      </c>
    </row>
    <row r="735" spans="2:2" ht="15" hidden="1" customHeight="1" x14ac:dyDescent="0.25">
      <c r="B735" s="68" t="str">
        <f>Players!B635</f>
        <v>Senorise Perry</v>
      </c>
    </row>
    <row r="736" spans="2:2" ht="15" hidden="1" customHeight="1" x14ac:dyDescent="0.25">
      <c r="B736" s="68" t="str">
        <f>Players!B636</f>
        <v>Steven Jackson</v>
      </c>
    </row>
    <row r="737" spans="2:2" ht="15" hidden="1" customHeight="1" x14ac:dyDescent="0.25">
      <c r="B737" s="68" t="str">
        <f>Players!B637</f>
        <v>Nikita Whitlock</v>
      </c>
    </row>
    <row r="738" spans="2:2" ht="15" hidden="1" customHeight="1" x14ac:dyDescent="0.25">
      <c r="B738" s="68" t="str">
        <f>Players!B638</f>
        <v>Corey Clement</v>
      </c>
    </row>
    <row r="739" spans="2:2" ht="15" hidden="1" customHeight="1" x14ac:dyDescent="0.25">
      <c r="B739" s="68" t="str">
        <f>Players!B639</f>
        <v>Terrell Watson</v>
      </c>
    </row>
    <row r="740" spans="2:2" ht="15" hidden="1" customHeight="1" x14ac:dyDescent="0.25">
      <c r="B740" s="68" t="str">
        <f>Players!B640</f>
        <v>Gus Johnson</v>
      </c>
    </row>
    <row r="741" spans="2:2" ht="15" hidden="1" customHeight="1" x14ac:dyDescent="0.25">
      <c r="B741" s="68" t="str">
        <f>Players!B641</f>
        <v>Tre Madden</v>
      </c>
    </row>
    <row r="742" spans="2:2" ht="15" hidden="1" customHeight="1" x14ac:dyDescent="0.25">
      <c r="B742" s="68" t="str">
        <f>Players!B642</f>
        <v>Russell Hansbrough</v>
      </c>
    </row>
    <row r="743" spans="2:2" ht="15" hidden="1" customHeight="1" x14ac:dyDescent="0.25">
      <c r="B743" s="68" t="str">
        <f>Players!B643</f>
        <v>Silas Redd</v>
      </c>
    </row>
    <row r="744" spans="2:2" ht="15" hidden="1" customHeight="1" x14ac:dyDescent="0.25">
      <c r="B744" s="68" t="str">
        <f>Players!B644</f>
        <v>Aaron Green</v>
      </c>
    </row>
    <row r="745" spans="2:2" ht="15" hidden="1" customHeight="1" x14ac:dyDescent="0.25">
      <c r="B745" s="68" t="str">
        <f>Players!B645</f>
        <v>Darrius Heyward-Bey</v>
      </c>
    </row>
    <row r="746" spans="2:2" ht="15" hidden="1" customHeight="1" x14ac:dyDescent="0.25">
      <c r="B746" s="68" t="str">
        <f>Players!B646</f>
        <v>Jordan Taylor</v>
      </c>
    </row>
    <row r="747" spans="2:2" ht="15" hidden="1" customHeight="1" x14ac:dyDescent="0.25">
      <c r="B747" s="68" t="str">
        <f>Players!B647</f>
        <v>Roger Lewis</v>
      </c>
    </row>
    <row r="748" spans="2:2" ht="15" hidden="1" customHeight="1" x14ac:dyDescent="0.25">
      <c r="B748" s="68" t="str">
        <f>Players!B648</f>
        <v>Chad Williams</v>
      </c>
    </row>
    <row r="749" spans="2:2" ht="15" hidden="1" customHeight="1" x14ac:dyDescent="0.25">
      <c r="B749" s="68" t="str">
        <f>Players!B649</f>
        <v>Josh Reynolds</v>
      </c>
    </row>
    <row r="750" spans="2:2" ht="15" hidden="1" customHeight="1" x14ac:dyDescent="0.25">
      <c r="B750" s="68" t="str">
        <f>Players!B650</f>
        <v>Andre Roberts</v>
      </c>
    </row>
    <row r="751" spans="2:2" ht="15" hidden="1" customHeight="1" x14ac:dyDescent="0.25">
      <c r="B751" s="68" t="str">
        <f>Players!B651</f>
        <v>Aldrick Robinson</v>
      </c>
    </row>
    <row r="752" spans="2:2" ht="15" hidden="1" customHeight="1" x14ac:dyDescent="0.25">
      <c r="B752" s="68" t="str">
        <f>Players!B652</f>
        <v>Chris Moore</v>
      </c>
    </row>
    <row r="753" spans="2:2" ht="15" hidden="1" customHeight="1" x14ac:dyDescent="0.25">
      <c r="B753" s="68" t="str">
        <f>Players!B653</f>
        <v>Leonte Carroo</v>
      </c>
    </row>
    <row r="754" spans="2:2" ht="15" hidden="1" customHeight="1" x14ac:dyDescent="0.25">
      <c r="B754" s="68" t="str">
        <f>Players!B654</f>
        <v>Tom Savage</v>
      </c>
    </row>
    <row r="755" spans="2:2" ht="15" hidden="1" customHeight="1" x14ac:dyDescent="0.25">
      <c r="B755" s="68" t="str">
        <f>Players!B655</f>
        <v>Harry Douglas</v>
      </c>
    </row>
    <row r="756" spans="2:2" ht="15" hidden="1" customHeight="1" x14ac:dyDescent="0.25">
      <c r="B756" s="68" t="str">
        <f>Players!B656</f>
        <v>Cobi Hamilton</v>
      </c>
    </row>
    <row r="757" spans="2:2" ht="15" hidden="1" customHeight="1" x14ac:dyDescent="0.25">
      <c r="B757" s="68" t="str">
        <f>Players!B657</f>
        <v>Rashard Higgins</v>
      </c>
    </row>
    <row r="758" spans="2:2" ht="15" hidden="1" customHeight="1" x14ac:dyDescent="0.25">
      <c r="B758" s="68" t="str">
        <f>Players!B658</f>
        <v>Cody Core</v>
      </c>
    </row>
    <row r="759" spans="2:2" ht="15" hidden="1" customHeight="1" x14ac:dyDescent="0.25">
      <c r="B759" s="68" t="str">
        <f>Players!B659</f>
        <v>Vincent Jackson</v>
      </c>
    </row>
    <row r="760" spans="2:2" ht="15" hidden="1" customHeight="1" x14ac:dyDescent="0.25">
      <c r="B760" s="68" t="str">
        <f>Players!B660</f>
        <v>Amara Darboh</v>
      </c>
    </row>
    <row r="761" spans="2:2" ht="15" hidden="1" customHeight="1" x14ac:dyDescent="0.25">
      <c r="B761" s="68" t="str">
        <f>Players!B661</f>
        <v>Cecil Shorts</v>
      </c>
    </row>
    <row r="762" spans="2:2" ht="15" hidden="1" customHeight="1" x14ac:dyDescent="0.25">
      <c r="B762" s="68" t="str">
        <f>Players!B662</f>
        <v>Justin Hunter</v>
      </c>
    </row>
    <row r="763" spans="2:2" ht="15" hidden="1" customHeight="1" x14ac:dyDescent="0.25">
      <c r="B763" s="68" t="str">
        <f>Players!B663</f>
        <v>Robert Davis</v>
      </c>
    </row>
    <row r="764" spans="2:2" ht="15" hidden="1" customHeight="1" x14ac:dyDescent="0.25">
      <c r="B764" s="68" t="str">
        <f>Players!B664</f>
        <v>Cody Latimer</v>
      </c>
    </row>
    <row r="765" spans="2:2" ht="15" hidden="1" customHeight="1" x14ac:dyDescent="0.25">
      <c r="B765" s="68" t="str">
        <f>Players!B665</f>
        <v>Marquess Wilson</v>
      </c>
    </row>
    <row r="766" spans="2:2" ht="15" hidden="1" customHeight="1" x14ac:dyDescent="0.25">
      <c r="B766" s="68" t="str">
        <f>Players!B666</f>
        <v>Eddie Royal</v>
      </c>
    </row>
    <row r="767" spans="2:2" ht="15" hidden="1" customHeight="1" x14ac:dyDescent="0.25">
      <c r="B767" s="68" t="str">
        <f>Players!B667</f>
        <v>Bryan Walters</v>
      </c>
    </row>
    <row r="768" spans="2:2" ht="15" hidden="1" customHeight="1" x14ac:dyDescent="0.25">
      <c r="B768" s="68" t="str">
        <f>Players!B668</f>
        <v>Chad Hansen</v>
      </c>
    </row>
    <row r="769" spans="2:2" ht="15" hidden="1" customHeight="1" x14ac:dyDescent="0.25">
      <c r="B769" s="68" t="str">
        <f>Players!B669</f>
        <v>Josh Bellamy</v>
      </c>
    </row>
    <row r="770" spans="2:2" ht="15" hidden="1" customHeight="1" x14ac:dyDescent="0.25">
      <c r="B770" s="68" t="str">
        <f>Players!B670</f>
        <v>Rueben Randle</v>
      </c>
    </row>
    <row r="771" spans="2:2" ht="15" hidden="1" customHeight="1" x14ac:dyDescent="0.25">
      <c r="B771" s="68" t="str">
        <f>Players!B671</f>
        <v>Ryan Grant</v>
      </c>
    </row>
    <row r="772" spans="2:2" ht="15" hidden="1" customHeight="1" x14ac:dyDescent="0.25">
      <c r="B772" s="68" t="str">
        <f>Players!B672</f>
        <v>Paxton Lynch</v>
      </c>
    </row>
    <row r="773" spans="2:2" ht="15" hidden="1" customHeight="1" x14ac:dyDescent="0.25">
      <c r="B773" s="68" t="str">
        <f>Players!B673</f>
        <v>Isaiah McKenzie</v>
      </c>
    </row>
    <row r="774" spans="2:2" ht="15" hidden="1" customHeight="1" x14ac:dyDescent="0.25">
      <c r="B774" s="68" t="str">
        <f>Players!B674</f>
        <v>Rod Streater</v>
      </c>
    </row>
    <row r="775" spans="2:2" ht="15" hidden="1" customHeight="1" x14ac:dyDescent="0.25">
      <c r="B775" s="68" t="str">
        <f>Players!B675</f>
        <v>Trent Taylor</v>
      </c>
    </row>
    <row r="776" spans="2:2" ht="15" hidden="1" customHeight="1" x14ac:dyDescent="0.25">
      <c r="B776" s="68" t="str">
        <f>Players!B676</f>
        <v>Demarcus Robinson</v>
      </c>
    </row>
    <row r="777" spans="2:2" ht="15" hidden="1" customHeight="1" x14ac:dyDescent="0.25">
      <c r="B777" s="68" t="str">
        <f>Players!B677</f>
        <v>T.J. Jones</v>
      </c>
    </row>
    <row r="778" spans="2:2" ht="15" hidden="1" customHeight="1" x14ac:dyDescent="0.25">
      <c r="B778" s="68" t="str">
        <f>Players!B678</f>
        <v>Malachi Dupre</v>
      </c>
    </row>
    <row r="779" spans="2:2" ht="15" hidden="1" customHeight="1" x14ac:dyDescent="0.25">
      <c r="B779" s="68" t="str">
        <f>Players!B679</f>
        <v>Josh Malone</v>
      </c>
    </row>
    <row r="780" spans="2:2" ht="15" hidden="1" customHeight="1" x14ac:dyDescent="0.25">
      <c r="B780" s="68" t="str">
        <f>Players!B680</f>
        <v>Shelton Gibson</v>
      </c>
    </row>
    <row r="781" spans="2:2" ht="15" hidden="1" customHeight="1" x14ac:dyDescent="0.25">
      <c r="B781" s="68" t="str">
        <f>Players!B681</f>
        <v>Brittan Golden</v>
      </c>
    </row>
    <row r="782" spans="2:2" ht="15" hidden="1" customHeight="1" x14ac:dyDescent="0.25">
      <c r="B782" s="68" t="str">
        <f>Players!B682</f>
        <v>Deonte Thompson</v>
      </c>
    </row>
    <row r="783" spans="2:2" ht="15" hidden="1" customHeight="1" x14ac:dyDescent="0.25">
      <c r="B783" s="68" t="str">
        <f>Players!B683</f>
        <v>Ryan Switzer</v>
      </c>
    </row>
    <row r="784" spans="2:2" ht="15" hidden="1" customHeight="1" x14ac:dyDescent="0.25">
      <c r="B784" s="68" t="str">
        <f>Players!B684</f>
        <v>Jordan Norwood</v>
      </c>
    </row>
    <row r="785" spans="2:2" ht="15" hidden="1" customHeight="1" x14ac:dyDescent="0.25">
      <c r="B785" s="68" t="str">
        <f>Players!B685</f>
        <v>Greg Salas</v>
      </c>
    </row>
    <row r="786" spans="2:2" ht="15" hidden="1" customHeight="1" x14ac:dyDescent="0.25">
      <c r="B786" s="68" t="str">
        <f>Players!B686</f>
        <v>Trevor Davis</v>
      </c>
    </row>
    <row r="787" spans="2:2" ht="15" hidden="1" customHeight="1" x14ac:dyDescent="0.25">
      <c r="B787" s="68" t="str">
        <f>Players!B687</f>
        <v>Mack Hollins</v>
      </c>
    </row>
    <row r="788" spans="2:2" ht="15" hidden="1" customHeight="1" x14ac:dyDescent="0.25">
      <c r="B788" s="68" t="str">
        <f>Players!B688</f>
        <v>Quinton Patton</v>
      </c>
    </row>
    <row r="789" spans="2:2" ht="15" hidden="1" customHeight="1" x14ac:dyDescent="0.25">
      <c r="B789" s="68" t="str">
        <f>Players!B689</f>
        <v>Jalin Marshall</v>
      </c>
    </row>
    <row r="790" spans="2:2" ht="15" hidden="1" customHeight="1" x14ac:dyDescent="0.25">
      <c r="B790" s="68" t="str">
        <f>Players!B690</f>
        <v>Jeff Janis</v>
      </c>
    </row>
    <row r="791" spans="2:2" ht="15" hidden="1" customHeight="1" x14ac:dyDescent="0.25">
      <c r="B791" s="68" t="str">
        <f>Players!B691</f>
        <v>Javontee Herndon</v>
      </c>
    </row>
    <row r="792" spans="2:2" ht="15" hidden="1" customHeight="1" x14ac:dyDescent="0.25">
      <c r="B792" s="68" t="str">
        <f>Players!B692</f>
        <v>Brenton Bersin</v>
      </c>
    </row>
    <row r="793" spans="2:2" ht="15" hidden="1" customHeight="1" x14ac:dyDescent="0.25">
      <c r="B793" s="68" t="str">
        <f>Players!B693</f>
        <v>Bradley Marquez</v>
      </c>
    </row>
    <row r="794" spans="2:2" ht="15" hidden="1" customHeight="1" x14ac:dyDescent="0.25">
      <c r="B794" s="68" t="str">
        <f>Players!B694</f>
        <v>Jehu Chesson</v>
      </c>
    </row>
    <row r="795" spans="2:2" ht="15" hidden="1" customHeight="1" x14ac:dyDescent="0.25">
      <c r="B795" s="68" t="str">
        <f>Players!B695</f>
        <v>Brandon Tate</v>
      </c>
    </row>
    <row r="796" spans="2:2" ht="15" hidden="1" customHeight="1" x14ac:dyDescent="0.25">
      <c r="B796" s="68" t="str">
        <f>Players!B696</f>
        <v>Kenny Bell</v>
      </c>
    </row>
    <row r="797" spans="2:2" ht="15" hidden="1" customHeight="1" x14ac:dyDescent="0.25">
      <c r="B797" s="68" t="str">
        <f>Players!B697</f>
        <v>Josh Huff</v>
      </c>
    </row>
    <row r="798" spans="2:2" ht="15" hidden="1" customHeight="1" x14ac:dyDescent="0.25">
      <c r="B798" s="68" t="str">
        <f>Players!B698</f>
        <v>Johnny Holton</v>
      </c>
    </row>
    <row r="799" spans="2:2" ht="15" hidden="1" customHeight="1" x14ac:dyDescent="0.25">
      <c r="B799" s="68" t="str">
        <f>Players!B699</f>
        <v>Walt Powell</v>
      </c>
    </row>
    <row r="800" spans="2:2" ht="15" hidden="1" customHeight="1" x14ac:dyDescent="0.25">
      <c r="B800" s="68" t="str">
        <f>Players!B700</f>
        <v>Rashad Greene</v>
      </c>
    </row>
    <row r="801" spans="2:2" ht="15" hidden="1" customHeight="1" x14ac:dyDescent="0.25">
      <c r="B801" s="68" t="str">
        <f>Players!B701</f>
        <v>Jace Billingsley</v>
      </c>
    </row>
    <row r="802" spans="2:2" ht="15" hidden="1" customHeight="1" x14ac:dyDescent="0.25">
      <c r="B802" s="68" t="str">
        <f>Players!B702</f>
        <v>Tavarres King</v>
      </c>
    </row>
    <row r="803" spans="2:2" ht="15" hidden="1" customHeight="1" x14ac:dyDescent="0.25">
      <c r="B803" s="68" t="str">
        <f>Players!B703</f>
        <v>Rodney Adams</v>
      </c>
    </row>
    <row r="804" spans="2:2" ht="15" hidden="1" customHeight="1" x14ac:dyDescent="0.25">
      <c r="B804" s="68" t="str">
        <f>Players!B704</f>
        <v>DeAnthony Thomas</v>
      </c>
    </row>
    <row r="805" spans="2:2" ht="15" hidden="1" customHeight="1" x14ac:dyDescent="0.25">
      <c r="B805" s="68" t="str">
        <f>Players!B705</f>
        <v>Dwayne Harris</v>
      </c>
    </row>
    <row r="806" spans="2:2" ht="15" hidden="1" customHeight="1" x14ac:dyDescent="0.25">
      <c r="B806" s="68" t="str">
        <f>Players!B706</f>
        <v>DeAngelo Yancey</v>
      </c>
    </row>
    <row r="807" spans="2:2" ht="15" hidden="1" customHeight="1" x14ac:dyDescent="0.25">
      <c r="B807" s="68" t="str">
        <f>Players!B707</f>
        <v>Paul Turner</v>
      </c>
    </row>
    <row r="808" spans="2:2" ht="15" hidden="1" customHeight="1" x14ac:dyDescent="0.25">
      <c r="B808" s="68" t="str">
        <f>Players!B708</f>
        <v>Nick Williams</v>
      </c>
    </row>
    <row r="809" spans="2:2" ht="15" hidden="1" customHeight="1" x14ac:dyDescent="0.25">
      <c r="B809" s="68" t="str">
        <f>Players!B709</f>
        <v>Jeremy Butler</v>
      </c>
    </row>
    <row r="810" spans="2:2" ht="15" hidden="1" customHeight="1" x14ac:dyDescent="0.25">
      <c r="B810" s="68" t="str">
        <f>Players!B710</f>
        <v>Chris Matthews</v>
      </c>
    </row>
    <row r="811" spans="2:2" ht="15" hidden="1" customHeight="1" x14ac:dyDescent="0.25">
      <c r="B811" s="68" t="str">
        <f>Players!B711</f>
        <v>Stacy Coley</v>
      </c>
    </row>
    <row r="812" spans="2:2" ht="15" hidden="1" customHeight="1" x14ac:dyDescent="0.25">
      <c r="B812" s="68" t="str">
        <f>Players!B712</f>
        <v>Isaiah Ford</v>
      </c>
    </row>
    <row r="813" spans="2:2" ht="15" hidden="1" customHeight="1" x14ac:dyDescent="0.25">
      <c r="B813" s="68" t="str">
        <f>Players!B713</f>
        <v>Tevaun Smith</v>
      </c>
    </row>
    <row r="814" spans="2:2" ht="15" hidden="1" customHeight="1" x14ac:dyDescent="0.25">
      <c r="B814" s="68" t="str">
        <f>Players!B714</f>
        <v>Maurice Harris</v>
      </c>
    </row>
    <row r="815" spans="2:2" ht="15" hidden="1" customHeight="1" x14ac:dyDescent="0.25">
      <c r="B815" s="68" t="str">
        <f>Players!B715</f>
        <v>David Moore</v>
      </c>
    </row>
    <row r="816" spans="2:2" ht="15" hidden="1" customHeight="1" x14ac:dyDescent="0.25">
      <c r="B816" s="68" t="str">
        <f>Players!B716</f>
        <v>Noah Brown</v>
      </c>
    </row>
    <row r="817" spans="2:2" ht="15" hidden="1" customHeight="1" x14ac:dyDescent="0.25">
      <c r="B817" s="68" t="str">
        <f>Players!B717</f>
        <v>Keshawn Martin</v>
      </c>
    </row>
    <row r="818" spans="2:2" ht="15" hidden="1" customHeight="1" x14ac:dyDescent="0.25">
      <c r="B818" s="68" t="str">
        <f>Players!B718</f>
        <v>Tanner McEvoy</v>
      </c>
    </row>
    <row r="819" spans="2:2" ht="15" hidden="1" customHeight="1" x14ac:dyDescent="0.25">
      <c r="B819" s="68" t="str">
        <f>Players!B719</f>
        <v>Freddie Martino</v>
      </c>
    </row>
    <row r="820" spans="2:2" ht="15" hidden="1" customHeight="1" x14ac:dyDescent="0.25">
      <c r="B820" s="68" t="str">
        <f>Players!B720</f>
        <v>Tommylee Lewis</v>
      </c>
    </row>
    <row r="821" spans="2:2" ht="15" hidden="1" customHeight="1" x14ac:dyDescent="0.25">
      <c r="B821" s="68" t="str">
        <f>Players!B721</f>
        <v>Alex Erickson</v>
      </c>
    </row>
    <row r="822" spans="2:2" ht="15" hidden="1" customHeight="1" x14ac:dyDescent="0.25">
      <c r="B822" s="68" t="str">
        <f>Players!B722</f>
        <v>Corey Fuller</v>
      </c>
    </row>
    <row r="823" spans="2:2" ht="15" hidden="1" customHeight="1" x14ac:dyDescent="0.25">
      <c r="B823" s="68" t="str">
        <f>Players!B723</f>
        <v>Mike Thomas</v>
      </c>
    </row>
    <row r="824" spans="2:2" ht="15" hidden="1" customHeight="1" x14ac:dyDescent="0.25">
      <c r="B824" s="68" t="str">
        <f>Players!B724</f>
        <v>Marc Mariani</v>
      </c>
    </row>
    <row r="825" spans="2:2" ht="15" hidden="1" customHeight="1" x14ac:dyDescent="0.25">
      <c r="B825" s="68" t="str">
        <f>Players!B725</f>
        <v>DeAndre Smelter</v>
      </c>
    </row>
    <row r="826" spans="2:2" ht="15" hidden="1" customHeight="1" x14ac:dyDescent="0.25">
      <c r="B826" s="68" t="str">
        <f>Players!B726</f>
        <v>Mario Alford</v>
      </c>
    </row>
    <row r="827" spans="2:2" ht="15" hidden="1" customHeight="1" x14ac:dyDescent="0.25">
      <c r="B827" s="68" t="str">
        <f>Players!B727</f>
        <v>Arrelious Benn</v>
      </c>
    </row>
    <row r="828" spans="2:2" ht="15" hidden="1" customHeight="1" x14ac:dyDescent="0.25">
      <c r="B828" s="68" t="str">
        <f>Players!B728</f>
        <v>Lucky Whitehead</v>
      </c>
    </row>
    <row r="829" spans="2:2" ht="15" hidden="1" customHeight="1" x14ac:dyDescent="0.25">
      <c r="B829" s="68" t="str">
        <f>Players!B729</f>
        <v>Ishmael Zamora</v>
      </c>
    </row>
    <row r="830" spans="2:2" ht="15" hidden="1" customHeight="1" x14ac:dyDescent="0.25">
      <c r="B830" s="68" t="str">
        <f>Players!B730</f>
        <v>Tre McBride</v>
      </c>
    </row>
    <row r="831" spans="2:2" ht="15" hidden="1" customHeight="1" x14ac:dyDescent="0.25">
      <c r="B831" s="68" t="str">
        <f>Players!B731</f>
        <v>Bryce Treggs</v>
      </c>
    </row>
    <row r="832" spans="2:2" ht="15" hidden="1" customHeight="1" x14ac:dyDescent="0.25">
      <c r="B832" s="68" t="str">
        <f>Players!B732</f>
        <v>Aaron Burbridge</v>
      </c>
    </row>
    <row r="833" spans="2:2" ht="15" hidden="1" customHeight="1" x14ac:dyDescent="0.25">
      <c r="B833" s="68" t="str">
        <f>Players!B733</f>
        <v>Aaron Dobson</v>
      </c>
    </row>
    <row r="834" spans="2:2" ht="15" hidden="1" customHeight="1" x14ac:dyDescent="0.25">
      <c r="B834" s="68" t="str">
        <f>Players!B734</f>
        <v>Donteea Dye</v>
      </c>
    </row>
    <row r="835" spans="2:2" ht="15" hidden="1" customHeight="1" x14ac:dyDescent="0.25">
      <c r="B835" s="68" t="str">
        <f>Players!B735</f>
        <v>Daniel Braverman</v>
      </c>
    </row>
    <row r="836" spans="2:2" ht="15" hidden="1" customHeight="1" x14ac:dyDescent="0.25">
      <c r="B836" s="68" t="str">
        <f>Players!B736</f>
        <v>Frankie Hammond</v>
      </c>
    </row>
    <row r="837" spans="2:2" ht="15" hidden="1" customHeight="1" x14ac:dyDescent="0.25">
      <c r="B837" s="68" t="str">
        <f>Players!B737</f>
        <v>Kevin Smith</v>
      </c>
    </row>
    <row r="838" spans="2:2" ht="15" hidden="1" customHeight="1" x14ac:dyDescent="0.25">
      <c r="B838" s="68" t="str">
        <f>Players!B738</f>
        <v>Jeremy Ross</v>
      </c>
    </row>
    <row r="839" spans="2:2" ht="15" hidden="1" customHeight="1" x14ac:dyDescent="0.25">
      <c r="B839" s="68" t="str">
        <f>Players!B739</f>
        <v>Jakeem Grant</v>
      </c>
    </row>
    <row r="840" spans="2:2" ht="15" hidden="1" customHeight="1" x14ac:dyDescent="0.25">
      <c r="B840" s="68" t="str">
        <f>Players!B740</f>
        <v>Jared Abbrederis</v>
      </c>
    </row>
    <row r="841" spans="2:2" ht="15" hidden="1" customHeight="1" x14ac:dyDescent="0.25">
      <c r="B841" s="68" t="str">
        <f>Players!B741</f>
        <v>James Wright</v>
      </c>
    </row>
    <row r="842" spans="2:2" ht="15" hidden="1" customHeight="1" x14ac:dyDescent="0.25">
      <c r="B842" s="68" t="str">
        <f>Players!B742</f>
        <v>Quan Bray</v>
      </c>
    </row>
    <row r="843" spans="2:2" ht="15" hidden="1" customHeight="1" x14ac:dyDescent="0.25">
      <c r="B843" s="68" t="str">
        <f>Players!B743</f>
        <v>Rashad Ross</v>
      </c>
    </row>
    <row r="844" spans="2:2" ht="15" hidden="1" customHeight="1" x14ac:dyDescent="0.25">
      <c r="B844" s="68" t="str">
        <f>Players!B744</f>
        <v>Jordan Payton</v>
      </c>
    </row>
    <row r="845" spans="2:2" ht="15" hidden="1" customHeight="1" x14ac:dyDescent="0.25">
      <c r="B845" s="68" t="str">
        <f>Players!B745</f>
        <v>Devin Fuller</v>
      </c>
    </row>
    <row r="846" spans="2:2" ht="15" hidden="1" customHeight="1" x14ac:dyDescent="0.25">
      <c r="B846" s="68" t="str">
        <f>Players!B746</f>
        <v>Isaiah Burse</v>
      </c>
    </row>
    <row r="847" spans="2:2" ht="15" hidden="1" customHeight="1" x14ac:dyDescent="0.25">
      <c r="B847" s="68" t="str">
        <f>Players!B747</f>
        <v>Percy Harvin</v>
      </c>
    </row>
    <row r="848" spans="2:2" ht="15" hidden="1" customHeight="1" x14ac:dyDescent="0.25">
      <c r="B848" s="68" t="str">
        <f>Players!B748</f>
        <v>Eric Weems</v>
      </c>
    </row>
    <row r="849" spans="2:2" ht="15" hidden="1" customHeight="1" x14ac:dyDescent="0.25">
      <c r="B849" s="68" t="str">
        <f>Players!B749</f>
        <v>Chris Hubert</v>
      </c>
    </row>
    <row r="850" spans="2:2" ht="15" hidden="1" customHeight="1" x14ac:dyDescent="0.25">
      <c r="B850" s="68" t="str">
        <f>Players!B750</f>
        <v>Krishawn Hogan</v>
      </c>
    </row>
    <row r="851" spans="2:2" ht="15" hidden="1" customHeight="1" x14ac:dyDescent="0.25">
      <c r="B851" s="68" t="str">
        <f>Players!B751</f>
        <v>Griff Whalen</v>
      </c>
    </row>
    <row r="852" spans="2:2" ht="15" hidden="1" customHeight="1" x14ac:dyDescent="0.25">
      <c r="B852" s="68" t="str">
        <f>Players!B752</f>
        <v>Vince Mayle</v>
      </c>
    </row>
    <row r="853" spans="2:2" ht="15" hidden="1" customHeight="1" x14ac:dyDescent="0.25">
      <c r="B853" s="68" t="str">
        <f>Players!B753</f>
        <v>Kaelin Clay</v>
      </c>
    </row>
    <row r="854" spans="2:2" ht="15" hidden="1" customHeight="1" x14ac:dyDescent="0.25">
      <c r="B854" s="68" t="str">
        <f>Players!B754</f>
        <v>Marcus Easley</v>
      </c>
    </row>
    <row r="855" spans="2:2" ht="15" hidden="1" customHeight="1" x14ac:dyDescent="0.25">
      <c r="B855" s="68" t="str">
        <f>Players!B755</f>
        <v>Dezmin Lewis</v>
      </c>
    </row>
    <row r="856" spans="2:2" ht="15" hidden="1" customHeight="1" x14ac:dyDescent="0.25">
      <c r="B856" s="68" t="str">
        <f>Players!B756</f>
        <v>Keyarris Garrett</v>
      </c>
    </row>
    <row r="857" spans="2:2" ht="15" hidden="1" customHeight="1" x14ac:dyDescent="0.25">
      <c r="B857" s="68" t="str">
        <f>Players!B757</f>
        <v>Fred Ross</v>
      </c>
    </row>
    <row r="858" spans="2:2" ht="15" hidden="1" customHeight="1" x14ac:dyDescent="0.25">
      <c r="B858" s="68" t="str">
        <f>Players!B758</f>
        <v>Titus Davis</v>
      </c>
    </row>
    <row r="859" spans="2:2" ht="15" hidden="1" customHeight="1" x14ac:dyDescent="0.25">
      <c r="B859" s="68" t="str">
        <f>Players!B759</f>
        <v>Rannell Hall</v>
      </c>
    </row>
    <row r="860" spans="2:2" ht="15" hidden="1" customHeight="1" x14ac:dyDescent="0.25">
      <c r="B860" s="68" t="str">
        <f>Players!B760</f>
        <v>Antwan Goodley</v>
      </c>
    </row>
    <row r="861" spans="2:2" ht="15" hidden="1" customHeight="1" x14ac:dyDescent="0.25">
      <c r="B861" s="68" t="str">
        <f>Players!B761</f>
        <v>Marlon Brown</v>
      </c>
    </row>
    <row r="862" spans="2:2" ht="15" hidden="1" customHeight="1" x14ac:dyDescent="0.25">
      <c r="B862" s="68" t="str">
        <f>Players!B762</f>
        <v>Andrew Turzilli</v>
      </c>
    </row>
    <row r="863" spans="2:2" ht="15" hidden="1" customHeight="1" x14ac:dyDescent="0.25">
      <c r="B863" s="68" t="str">
        <f>Players!B763</f>
        <v>Donnie Avery</v>
      </c>
    </row>
    <row r="864" spans="2:2" ht="15" hidden="1" customHeight="1" x14ac:dyDescent="0.25">
      <c r="B864" s="68" t="str">
        <f>Players!B764</f>
        <v>Andre Caldwell</v>
      </c>
    </row>
    <row r="865" spans="2:2" ht="15" hidden="1" customHeight="1" x14ac:dyDescent="0.25">
      <c r="B865" s="68" t="str">
        <f>Players!B765</f>
        <v>Steve Johnson</v>
      </c>
    </row>
    <row r="866" spans="2:2" ht="15" hidden="1" customHeight="1" x14ac:dyDescent="0.25">
      <c r="B866" s="68" t="str">
        <f>Players!B766</f>
        <v>Dexter McCluster</v>
      </c>
    </row>
    <row r="867" spans="2:2" ht="15" hidden="1" customHeight="1" x14ac:dyDescent="0.25">
      <c r="B867" s="68" t="str">
        <f>Players!B767</f>
        <v>Preston Parker</v>
      </c>
    </row>
    <row r="868" spans="2:2" ht="15" hidden="1" customHeight="1" x14ac:dyDescent="0.25">
      <c r="B868" s="68" t="str">
        <f>Players!B768</f>
        <v>T.J. Graham</v>
      </c>
    </row>
    <row r="869" spans="2:2" ht="15" hidden="1" customHeight="1" x14ac:dyDescent="0.25">
      <c r="B869" s="68" t="str">
        <f>Players!B769</f>
        <v>Justin Blackmon</v>
      </c>
    </row>
    <row r="870" spans="2:2" ht="15" hidden="1" customHeight="1" x14ac:dyDescent="0.25">
      <c r="B870" s="68" t="str">
        <f>Players!B770</f>
        <v>Rodney Smith</v>
      </c>
    </row>
    <row r="871" spans="2:2" ht="15" hidden="1" customHeight="1" x14ac:dyDescent="0.25">
      <c r="B871" s="68" t="str">
        <f>Players!B771</f>
        <v>Stedman Bailey</v>
      </c>
    </row>
    <row r="872" spans="2:2" ht="15" hidden="1" customHeight="1" x14ac:dyDescent="0.25">
      <c r="B872" s="68" t="str">
        <f>Players!B772</f>
        <v>Josh Boyce</v>
      </c>
    </row>
    <row r="873" spans="2:2" ht="15" hidden="1" customHeight="1" x14ac:dyDescent="0.25">
      <c r="B873" s="68" t="str">
        <f>Players!B773</f>
        <v>B.J. Daniels</v>
      </c>
    </row>
    <row r="874" spans="2:2" ht="15" hidden="1" customHeight="1" x14ac:dyDescent="0.25">
      <c r="B874" s="68" t="str">
        <f>Players!B774</f>
        <v>Eric Rogers</v>
      </c>
    </row>
    <row r="875" spans="2:2" ht="15" hidden="1" customHeight="1" x14ac:dyDescent="0.25">
      <c r="B875" s="68" t="str">
        <f>Players!B775</f>
        <v>Myles White</v>
      </c>
    </row>
    <row r="876" spans="2:2" ht="15" hidden="1" customHeight="1" x14ac:dyDescent="0.25">
      <c r="B876" s="68" t="str">
        <f>Players!B776</f>
        <v>Jonathan Krause</v>
      </c>
    </row>
    <row r="877" spans="2:2" ht="15" hidden="1" customHeight="1" x14ac:dyDescent="0.25">
      <c r="B877" s="68" t="str">
        <f>Players!B777</f>
        <v>Corey Washington</v>
      </c>
    </row>
    <row r="878" spans="2:2" ht="15" hidden="1" customHeight="1" x14ac:dyDescent="0.25">
      <c r="B878" s="68" t="str">
        <f>Players!B778</f>
        <v>Tony Washington</v>
      </c>
    </row>
    <row r="879" spans="2:2" ht="15" hidden="1" customHeight="1" x14ac:dyDescent="0.25">
      <c r="B879" s="68" t="str">
        <f>Players!B779</f>
        <v>Keith Mumphery</v>
      </c>
    </row>
    <row r="880" spans="2:2" ht="15" hidden="1" customHeight="1" x14ac:dyDescent="0.25">
      <c r="B880" s="68" t="str">
        <f>Players!B780</f>
        <v>DeAndrew White</v>
      </c>
    </row>
    <row r="881" spans="2:2" ht="15" hidden="1" customHeight="1" x14ac:dyDescent="0.25">
      <c r="B881" s="68" t="str">
        <f>Players!B781</f>
        <v>Devin Smith</v>
      </c>
    </row>
    <row r="882" spans="2:2" ht="15" hidden="1" customHeight="1" x14ac:dyDescent="0.25">
      <c r="B882" s="68" t="str">
        <f>Players!B782</f>
        <v>Jake Kumerow</v>
      </c>
    </row>
    <row r="883" spans="2:2" ht="15" hidden="1" customHeight="1" x14ac:dyDescent="0.25">
      <c r="B883" s="68" t="str">
        <f>Players!B783</f>
        <v>Chris Harper</v>
      </c>
    </row>
    <row r="884" spans="2:2" ht="15" hidden="1" customHeight="1" x14ac:dyDescent="0.25">
      <c r="B884" s="68" t="str">
        <f>Players!B784</f>
        <v>Chris Harper</v>
      </c>
    </row>
    <row r="885" spans="2:2" ht="15" hidden="1" customHeight="1" x14ac:dyDescent="0.25">
      <c r="B885" s="68" t="str">
        <f>Players!B785</f>
        <v>Rasheed Bailey</v>
      </c>
    </row>
    <row r="886" spans="2:2" ht="15" hidden="1" customHeight="1" x14ac:dyDescent="0.25">
      <c r="B886" s="68" t="str">
        <f>Players!B786</f>
        <v>Kasen Williams</v>
      </c>
    </row>
    <row r="887" spans="2:2" ht="15" hidden="1" customHeight="1" x14ac:dyDescent="0.25">
      <c r="B887" s="68" t="str">
        <f>Players!B787</f>
        <v>Kolby Listenbee</v>
      </c>
    </row>
    <row r="888" spans="2:2" ht="15" hidden="1" customHeight="1" x14ac:dyDescent="0.25">
      <c r="B888" s="68" t="str">
        <f>Players!B788</f>
        <v>Anthony Dable</v>
      </c>
    </row>
    <row r="889" spans="2:2" ht="15" hidden="1" customHeight="1" x14ac:dyDescent="0.25">
      <c r="B889" s="68" t="str">
        <f>Players!B789</f>
        <v>Mekale McKay</v>
      </c>
    </row>
    <row r="890" spans="2:2" ht="15" hidden="1" customHeight="1" x14ac:dyDescent="0.25">
      <c r="B890" s="68" t="str">
        <f>Players!B790</f>
        <v>Marquez North</v>
      </c>
    </row>
    <row r="891" spans="2:2" ht="15" hidden="1" customHeight="1" x14ac:dyDescent="0.25">
      <c r="B891" s="68" t="str">
        <f>Players!B791</f>
        <v>Devin Street</v>
      </c>
    </row>
    <row r="892" spans="2:2" ht="15" hidden="1" customHeight="1" x14ac:dyDescent="0.25">
      <c r="B892" s="68" t="str">
        <f>Players!B792</f>
        <v>Seantavius Jones</v>
      </c>
    </row>
    <row r="893" spans="2:2" ht="15" hidden="1" customHeight="1" x14ac:dyDescent="0.25">
      <c r="B893" s="68" t="str">
        <f>Players!B793</f>
        <v>DaRon Brown</v>
      </c>
    </row>
    <row r="894" spans="2:2" ht="15" hidden="1" customHeight="1" x14ac:dyDescent="0.25">
      <c r="B894" s="68" t="str">
        <f>Players!B794</f>
        <v>Geremy Davis</v>
      </c>
    </row>
    <row r="895" spans="2:2" ht="15" hidden="1" customHeight="1" x14ac:dyDescent="0.25">
      <c r="B895" s="68" t="str">
        <f>Players!B795</f>
        <v>Nelson Spruce</v>
      </c>
    </row>
    <row r="896" spans="2:2" ht="15" hidden="1" customHeight="1" x14ac:dyDescent="0.25">
      <c r="B896" s="68" t="str">
        <f>Players!B796</f>
        <v>Tyler Murphy</v>
      </c>
    </row>
    <row r="897" spans="2:2" ht="15" hidden="1" customHeight="1" x14ac:dyDescent="0.25">
      <c r="B897" s="68" t="str">
        <f>Players!B797</f>
        <v>Jordan Leslie</v>
      </c>
    </row>
    <row r="898" spans="2:2" ht="15" hidden="1" customHeight="1" x14ac:dyDescent="0.25">
      <c r="B898" s="68" t="str">
        <f>Players!B798</f>
        <v>Moritz Boehringer</v>
      </c>
    </row>
    <row r="899" spans="2:2" ht="15" hidden="1" customHeight="1" x14ac:dyDescent="0.25">
      <c r="B899" s="68" t="str">
        <f>Players!B799</f>
        <v>Matthew Slater</v>
      </c>
    </row>
    <row r="900" spans="2:2" ht="15" hidden="1" customHeight="1" x14ac:dyDescent="0.25">
      <c r="B900" s="68" t="str">
        <f>Players!B800</f>
        <v>Brandon Gibson</v>
      </c>
    </row>
    <row r="901" spans="2:2" ht="15" hidden="1" customHeight="1" x14ac:dyDescent="0.25">
      <c r="B901" s="68" t="str">
        <f>Players!B801</f>
        <v>Devin Lucien</v>
      </c>
    </row>
    <row r="902" spans="2:2" ht="15" hidden="1" customHeight="1" x14ac:dyDescent="0.25">
      <c r="B902" s="68" t="str">
        <f>Players!B802</f>
        <v>R.J. Harris</v>
      </c>
    </row>
    <row r="903" spans="2:2" ht="15" hidden="1" customHeight="1" x14ac:dyDescent="0.25">
      <c r="B903" s="68" t="str">
        <f>Players!B803</f>
        <v>Jake Lampman</v>
      </c>
    </row>
    <row r="904" spans="2:2" ht="15" hidden="1" customHeight="1" x14ac:dyDescent="0.25">
      <c r="B904" s="68" t="str">
        <f>Players!B804</f>
        <v>Travin Dural</v>
      </c>
    </row>
    <row r="905" spans="2:2" ht="15" hidden="1" customHeight="1" x14ac:dyDescent="0.25">
      <c r="B905" s="68" t="str">
        <f>Players!B805</f>
        <v>Kevin Norwood</v>
      </c>
    </row>
    <row r="906" spans="2:2" ht="15" hidden="1" customHeight="1" x14ac:dyDescent="0.25">
      <c r="B906" s="68" t="str">
        <f>Players!B806</f>
        <v>Chris Owusu</v>
      </c>
    </row>
    <row r="907" spans="2:2" ht="15" hidden="1" customHeight="1" x14ac:dyDescent="0.25">
      <c r="B907" s="68" t="str">
        <f>Players!B807</f>
        <v>Darius Jennings</v>
      </c>
    </row>
    <row r="908" spans="2:2" ht="15" hidden="1" customHeight="1" x14ac:dyDescent="0.25">
      <c r="B908" s="68" t="str">
        <f>Players!B808</f>
        <v>Keon Hatcher</v>
      </c>
    </row>
    <row r="909" spans="2:2" ht="15" hidden="1" customHeight="1" x14ac:dyDescent="0.25">
      <c r="B909" s="68" t="str">
        <f>Players!B809</f>
        <v>Seyi Ajirotutu</v>
      </c>
    </row>
    <row r="910" spans="2:2" ht="15" hidden="1" customHeight="1" x14ac:dyDescent="0.25">
      <c r="B910" s="68" t="str">
        <f>Players!B810</f>
        <v>Kenny Lawler</v>
      </c>
    </row>
    <row r="911" spans="2:2" ht="15" hidden="1" customHeight="1" x14ac:dyDescent="0.25">
      <c r="B911" s="68" t="str">
        <f>Players!B811</f>
        <v>Louis Murphy</v>
      </c>
    </row>
    <row r="912" spans="2:2" ht="15" hidden="1" customHeight="1" x14ac:dyDescent="0.25">
      <c r="B912" s="68" t="str">
        <f>Players!B812</f>
        <v>Dres Anderson</v>
      </c>
    </row>
    <row r="913" spans="2:2" ht="15" hidden="1" customHeight="1" x14ac:dyDescent="0.25">
      <c r="B913" s="68" t="str">
        <f>Players!B813</f>
        <v>DeAndre Carter</v>
      </c>
    </row>
    <row r="914" spans="2:2" ht="15" hidden="1" customHeight="1" x14ac:dyDescent="0.25">
      <c r="B914" s="68" t="str">
        <f>Players!B814</f>
        <v>Matt Hazel</v>
      </c>
    </row>
    <row r="915" spans="2:2" ht="15" hidden="1" customHeight="1" x14ac:dyDescent="0.25">
      <c r="B915" s="68" t="str">
        <f>Players!B815</f>
        <v>Keenan Reynolds</v>
      </c>
    </row>
    <row r="916" spans="2:2" ht="15" hidden="1" customHeight="1" x14ac:dyDescent="0.25">
      <c r="B916" s="68" t="str">
        <f>Players!B816</f>
        <v>Andy Jones</v>
      </c>
    </row>
    <row r="917" spans="2:2" ht="15" hidden="1" customHeight="1" x14ac:dyDescent="0.25">
      <c r="B917" s="68" t="str">
        <f>Players!B817</f>
        <v>DeShone Kizer</v>
      </c>
    </row>
    <row r="918" spans="2:2" ht="15" hidden="1" customHeight="1" x14ac:dyDescent="0.25">
      <c r="B918" s="68" t="str">
        <f>Players!B818</f>
        <v>Christian Hackenberg</v>
      </c>
    </row>
    <row r="919" spans="2:2" ht="15" hidden="1" customHeight="1" x14ac:dyDescent="0.25">
      <c r="B919" s="68" t="str">
        <f>Players!B819</f>
        <v>Brock Osweiler</v>
      </c>
    </row>
    <row r="920" spans="2:2" ht="15" hidden="1" customHeight="1" x14ac:dyDescent="0.25">
      <c r="B920" s="68" t="str">
        <f>Players!B820</f>
        <v>Mitchell Trubisky</v>
      </c>
    </row>
    <row r="921" spans="2:2" ht="15" hidden="1" customHeight="1" x14ac:dyDescent="0.25">
      <c r="B921" s="68" t="str">
        <f>Players!B821</f>
        <v>Ryan Fitzpatrick</v>
      </c>
    </row>
    <row r="922" spans="2:2" ht="15" hidden="1" customHeight="1" x14ac:dyDescent="0.25">
      <c r="B922" s="68" t="str">
        <f>Players!B822</f>
        <v>Matt Barkley</v>
      </c>
    </row>
    <row r="923" spans="2:2" ht="15" hidden="1" customHeight="1" x14ac:dyDescent="0.25">
      <c r="B923" s="68" t="str">
        <f>Players!B823</f>
        <v>Bryce Petty</v>
      </c>
    </row>
    <row r="924" spans="2:2" ht="15" hidden="1" customHeight="1" x14ac:dyDescent="0.25">
      <c r="B924" s="68" t="str">
        <f>Players!B824</f>
        <v>Teddy Bridgewater</v>
      </c>
    </row>
    <row r="925" spans="2:2" ht="15" hidden="1" customHeight="1" x14ac:dyDescent="0.25">
      <c r="B925" s="68" t="str">
        <f>Players!B825</f>
        <v>Sean Mannion</v>
      </c>
    </row>
    <row r="926" spans="2:2" ht="15" hidden="1" customHeight="1" x14ac:dyDescent="0.25">
      <c r="B926" s="68" t="str">
        <f>Players!B826</f>
        <v>Drew Stanton</v>
      </c>
    </row>
    <row r="927" spans="2:2" ht="15" hidden="1" customHeight="1" x14ac:dyDescent="0.25">
      <c r="B927" s="68" t="str">
        <f>Players!B827</f>
        <v>Joshua Dobbs</v>
      </c>
    </row>
    <row r="928" spans="2:2" ht="15" hidden="1" customHeight="1" x14ac:dyDescent="0.25">
      <c r="B928" s="68" t="str">
        <f>Players!B828</f>
        <v>Matt Moore</v>
      </c>
    </row>
    <row r="929" spans="2:2" ht="15" hidden="1" customHeight="1" x14ac:dyDescent="0.25">
      <c r="B929" s="68" t="str">
        <f>Players!B829</f>
        <v>Matt Cassel</v>
      </c>
    </row>
    <row r="930" spans="2:2" ht="15" hidden="1" customHeight="1" x14ac:dyDescent="0.25">
      <c r="B930" s="68" t="str">
        <f>Players!B830</f>
        <v>Derek Anderson</v>
      </c>
    </row>
    <row r="931" spans="2:2" ht="15" hidden="1" customHeight="1" x14ac:dyDescent="0.25">
      <c r="B931" s="68" t="str">
        <f>Players!B831</f>
        <v>Landry Jones</v>
      </c>
    </row>
    <row r="932" spans="2:2" ht="15" hidden="1" customHeight="1" x14ac:dyDescent="0.25">
      <c r="B932" s="68" t="str">
        <f>Players!B832</f>
        <v>Patrick Mahomes</v>
      </c>
    </row>
    <row r="933" spans="2:2" ht="15" hidden="1" customHeight="1" x14ac:dyDescent="0.25">
      <c r="B933" s="68" t="str">
        <f>Players!B833</f>
        <v>AJ McCarron</v>
      </c>
    </row>
    <row r="934" spans="2:2" ht="15" hidden="1" customHeight="1" x14ac:dyDescent="0.25">
      <c r="B934" s="68" t="str">
        <f>Players!B834</f>
        <v>C.J. Beathard</v>
      </c>
    </row>
    <row r="935" spans="2:2" ht="15" hidden="1" customHeight="1" x14ac:dyDescent="0.25">
      <c r="B935" s="68" t="str">
        <f>Players!B835</f>
        <v>Nick Foles</v>
      </c>
    </row>
    <row r="936" spans="2:2" ht="15" hidden="1" customHeight="1" x14ac:dyDescent="0.25">
      <c r="B936" s="68" t="str">
        <f>Players!B836</f>
        <v>Case Keenum</v>
      </c>
    </row>
    <row r="937" spans="2:2" ht="15" hidden="1" customHeight="1" x14ac:dyDescent="0.25">
      <c r="B937" s="68" t="str">
        <f>Players!B837</f>
        <v>Blaine Gabbert</v>
      </c>
    </row>
    <row r="938" spans="2:2" ht="15" hidden="1" customHeight="1" x14ac:dyDescent="0.25">
      <c r="B938" s="68" t="str">
        <f>Players!B838</f>
        <v>Jimmy Garoppolo</v>
      </c>
    </row>
    <row r="939" spans="2:2" ht="15" hidden="1" customHeight="1" x14ac:dyDescent="0.25">
      <c r="B939" s="68" t="str">
        <f>Players!B839</f>
        <v>Chad Kelly</v>
      </c>
    </row>
    <row r="940" spans="2:2" ht="15" hidden="1" customHeight="1" x14ac:dyDescent="0.25">
      <c r="B940" s="68" t="str">
        <f>Players!B840</f>
        <v>Kevin Hogan</v>
      </c>
    </row>
    <row r="941" spans="2:2" ht="15" hidden="1" customHeight="1" x14ac:dyDescent="0.25">
      <c r="B941" s="68" t="str">
        <f>Players!B841</f>
        <v>Scott Tolzien</v>
      </c>
    </row>
    <row r="942" spans="2:2" ht="15" hidden="1" customHeight="1" x14ac:dyDescent="0.25">
      <c r="B942" s="68" t="str">
        <f>Players!B842</f>
        <v>Brett Hundley</v>
      </c>
    </row>
    <row r="943" spans="2:2" ht="15" hidden="1" customHeight="1" x14ac:dyDescent="0.25">
      <c r="B943" s="68" t="str">
        <f>Players!B843</f>
        <v>Trevone Boykin</v>
      </c>
    </row>
    <row r="944" spans="2:2" ht="15" hidden="1" customHeight="1" x14ac:dyDescent="0.25">
      <c r="B944" s="68" t="str">
        <f>Players!B844</f>
        <v>Connor Cook</v>
      </c>
    </row>
    <row r="945" spans="2:2" ht="15" hidden="1" customHeight="1" x14ac:dyDescent="0.25">
      <c r="B945" s="68" t="str">
        <f>Players!B845</f>
        <v>Davis Webb</v>
      </c>
    </row>
    <row r="946" spans="2:2" ht="15" hidden="1" customHeight="1" x14ac:dyDescent="0.25">
      <c r="B946" s="68" t="str">
        <f>Players!B846</f>
        <v>Nathan Peterman</v>
      </c>
    </row>
    <row r="947" spans="2:2" ht="15" hidden="1" customHeight="1" x14ac:dyDescent="0.25">
      <c r="B947" s="68" t="str">
        <f>Players!B847</f>
        <v>Colt McCoy</v>
      </c>
    </row>
    <row r="948" spans="2:2" ht="15" hidden="1" customHeight="1" x14ac:dyDescent="0.25">
      <c r="B948" s="68" t="str">
        <f>Players!B848</f>
        <v>Geno Smith</v>
      </c>
    </row>
    <row r="949" spans="2:2" ht="15" hidden="1" customHeight="1" x14ac:dyDescent="0.25">
      <c r="B949" s="68" t="str">
        <f>Players!B849</f>
        <v>Kellen Moore</v>
      </c>
    </row>
    <row r="950" spans="2:2" ht="15" hidden="1" customHeight="1" x14ac:dyDescent="0.25">
      <c r="B950" s="68" t="str">
        <f>Players!B850</f>
        <v>T.J. Yates</v>
      </c>
    </row>
    <row r="951" spans="2:2" ht="15" hidden="1" customHeight="1" x14ac:dyDescent="0.25">
      <c r="B951" s="68" t="str">
        <f>Players!B851</f>
        <v>Austin Davis</v>
      </c>
    </row>
    <row r="952" spans="2:2" ht="15" hidden="1" customHeight="1" x14ac:dyDescent="0.25">
      <c r="B952" s="68" t="str">
        <f>Players!B852</f>
        <v>EJ Manuel</v>
      </c>
    </row>
    <row r="953" spans="2:2" ht="15" hidden="1" customHeight="1" x14ac:dyDescent="0.25">
      <c r="B953" s="68" t="str">
        <f>Players!B853</f>
        <v>Matt Schaub</v>
      </c>
    </row>
    <row r="954" spans="2:2" ht="15" hidden="1" customHeight="1" x14ac:dyDescent="0.25">
      <c r="B954" s="68" t="str">
        <f>Players!B854</f>
        <v>Jake Rudock</v>
      </c>
    </row>
    <row r="955" spans="2:2" ht="15" hidden="1" customHeight="1" x14ac:dyDescent="0.25">
      <c r="B955" s="68" t="str">
        <f>Players!B855</f>
        <v>Brad Kaaya</v>
      </c>
    </row>
    <row r="956" spans="2:2" ht="15" hidden="1" customHeight="1" x14ac:dyDescent="0.25">
      <c r="B956" s="68" t="str">
        <f>Players!B856</f>
        <v>Cardale Jones</v>
      </c>
    </row>
    <row r="957" spans="2:2" ht="15" hidden="1" customHeight="1" x14ac:dyDescent="0.25">
      <c r="B957" s="68" t="str">
        <f>Players!B857</f>
        <v>Brandon Weeden</v>
      </c>
    </row>
    <row r="958" spans="2:2" ht="15" hidden="1" customHeight="1" x14ac:dyDescent="0.25">
      <c r="B958" s="68" t="str">
        <f>Players!B858</f>
        <v>Chad Henne</v>
      </c>
    </row>
    <row r="959" spans="2:2" ht="15" hidden="1" customHeight="1" x14ac:dyDescent="0.25">
      <c r="B959" s="68" t="str">
        <f>Players!B859</f>
        <v>Matt McGloin</v>
      </c>
    </row>
    <row r="960" spans="2:2" ht="15" hidden="1" customHeight="1" x14ac:dyDescent="0.25">
      <c r="B960" s="68" t="str">
        <f>Players!B860</f>
        <v>Ryan Mallett</v>
      </c>
    </row>
    <row r="961" spans="2:2" ht="15" hidden="1" customHeight="1" x14ac:dyDescent="0.25">
      <c r="B961" s="68" t="str">
        <f>Players!B861</f>
        <v>Kellen Clemens</v>
      </c>
    </row>
    <row r="962" spans="2:2" ht="15" hidden="1" customHeight="1" x14ac:dyDescent="0.25">
      <c r="B962" s="68" t="str">
        <f>Players!B862</f>
        <v>Garrett Grayson</v>
      </c>
    </row>
    <row r="963" spans="2:2" ht="15" hidden="1" customHeight="1" x14ac:dyDescent="0.25">
      <c r="B963" s="68" t="str">
        <f>Players!B863</f>
        <v>Chase Daniel</v>
      </c>
    </row>
    <row r="964" spans="2:2" ht="15" hidden="1" customHeight="1" x14ac:dyDescent="0.25">
      <c r="B964" s="68" t="str">
        <f>Players!B864</f>
        <v>Nate Sudfeld</v>
      </c>
    </row>
    <row r="965" spans="2:2" ht="15" hidden="1" customHeight="1" x14ac:dyDescent="0.25">
      <c r="B965" s="68" t="str">
        <f>Players!B865</f>
        <v>Jacoby Brissett</v>
      </c>
    </row>
    <row r="966" spans="2:2" ht="15" hidden="1" customHeight="1" x14ac:dyDescent="0.25">
      <c r="B966" s="68" t="str">
        <f>Players!B866</f>
        <v>Joe Webb</v>
      </c>
    </row>
    <row r="967" spans="2:2" ht="15" hidden="1" customHeight="1" x14ac:dyDescent="0.25">
      <c r="B967" s="68" t="str">
        <f>Players!B867</f>
        <v>Jeff Driskel</v>
      </c>
    </row>
    <row r="968" spans="2:2" ht="15" hidden="1" customHeight="1" x14ac:dyDescent="0.25">
      <c r="B968" s="68" t="str">
        <f>Players!B868</f>
        <v>Mark Sanchez</v>
      </c>
    </row>
    <row r="969" spans="2:2" ht="15" hidden="1" customHeight="1" x14ac:dyDescent="0.25">
      <c r="B969" s="68" t="str">
        <f>Players!B869</f>
        <v>Ryan Nassib</v>
      </c>
    </row>
    <row r="970" spans="2:2" ht="15" hidden="1" customHeight="1" x14ac:dyDescent="0.25">
      <c r="B970" s="68" t="str">
        <f>Players!B870</f>
        <v>Connor Shaw</v>
      </c>
    </row>
    <row r="971" spans="2:2" ht="15" hidden="1" customHeight="1" x14ac:dyDescent="0.25">
      <c r="B971" s="68" t="str">
        <f>Players!B871</f>
        <v>Jerrod Johnson</v>
      </c>
    </row>
    <row r="972" spans="2:2" ht="15" hidden="1" customHeight="1" x14ac:dyDescent="0.25">
      <c r="B972" s="68" t="str">
        <f>Players!B872</f>
        <v>Luke McCown</v>
      </c>
    </row>
    <row r="973" spans="2:2" ht="15" hidden="1" customHeight="1" x14ac:dyDescent="0.25">
      <c r="B973" s="68" t="str">
        <f>Players!B873</f>
        <v>Dustin Vaughan</v>
      </c>
    </row>
    <row r="974" spans="2:2" ht="15" hidden="1" customHeight="1" x14ac:dyDescent="0.25">
      <c r="B974" s="68" t="str">
        <f>Players!B874</f>
        <v>Tim Tebow</v>
      </c>
    </row>
    <row r="975" spans="2:2" ht="15" hidden="1" customHeight="1" x14ac:dyDescent="0.25">
      <c r="B975" s="68" t="str">
        <f>Players!B875</f>
        <v>Colin Kaepernick</v>
      </c>
    </row>
    <row r="976" spans="2:2" ht="15" hidden="1" customHeight="1" x14ac:dyDescent="0.25">
      <c r="B976" s="68" t="str">
        <f>Players!B876</f>
        <v>Christian Ponder</v>
      </c>
    </row>
    <row r="977" spans="2:57" ht="15" hidden="1" customHeight="1" x14ac:dyDescent="0.25">
      <c r="B977" s="68" t="str">
        <f>Players!B877</f>
        <v>Jay Cutler</v>
      </c>
    </row>
    <row r="978" spans="2:57" ht="15" hidden="1" customHeight="1" x14ac:dyDescent="0.25">
      <c r="B978" s="68" t="str">
        <f>Players!B878</f>
        <v>Shaun Hill</v>
      </c>
    </row>
    <row r="979" spans="2:57" ht="15" hidden="1" customHeight="1" x14ac:dyDescent="0.25">
      <c r="B979" s="68" t="str">
        <f>Players!B879</f>
        <v>Tony Romo</v>
      </c>
    </row>
    <row r="980" spans="2:57" ht="15" hidden="1" customHeight="1" x14ac:dyDescent="0.25">
      <c r="B980" s="68" t="str">
        <f>Players!B880</f>
        <v>Robert Griffin</v>
      </c>
    </row>
    <row r="981" spans="2:57" ht="15" hidden="1" customHeight="1" x14ac:dyDescent="0.25">
      <c r="B981" s="68" t="str">
        <f>Players!B881</f>
        <v>Alex Tanney</v>
      </c>
    </row>
    <row r="982" spans="2:57" ht="15" hidden="1" customHeight="1" x14ac:dyDescent="0.25">
      <c r="B982" s="68" t="str">
        <f>Players!B882</f>
        <v>Matt Simms</v>
      </c>
    </row>
    <row r="983" spans="2:57" ht="15" hidden="1" customHeight="1" x14ac:dyDescent="0.25">
      <c r="B983" s="68" t="str">
        <f>Players!B883</f>
        <v>Zac Dysert</v>
      </c>
      <c r="R983" s="68"/>
      <c r="S983" s="68"/>
      <c r="AC983" s="68"/>
      <c r="AD983" s="68"/>
      <c r="AE983" s="68"/>
      <c r="AF983" s="68"/>
      <c r="AG983" s="68"/>
      <c r="AH983" s="68"/>
      <c r="AI983" s="68"/>
      <c r="AJ983" s="68"/>
      <c r="AK983" s="68"/>
      <c r="AL983" s="68"/>
      <c r="AM983" s="68"/>
      <c r="AN983" s="68"/>
      <c r="AO983" s="68"/>
      <c r="AP983" s="68"/>
      <c r="AQ983" s="68"/>
      <c r="AR983" s="68"/>
      <c r="AS983" s="68"/>
      <c r="AT983" s="68"/>
      <c r="AU983" s="68"/>
      <c r="AV983" s="68"/>
      <c r="AW983" s="68"/>
      <c r="AX983" s="68"/>
      <c r="AY983" s="68"/>
      <c r="AZ983" s="68"/>
      <c r="BA983" s="68"/>
      <c r="BB983" s="68"/>
      <c r="BC983" s="68"/>
      <c r="BD983" s="68"/>
      <c r="BE983" s="68"/>
    </row>
    <row r="984" spans="2:57" ht="15" hidden="1" customHeight="1" x14ac:dyDescent="0.25">
      <c r="B984" s="68" t="str">
        <f>Players!B884</f>
        <v>Johnny Manziel</v>
      </c>
      <c r="R984" s="68"/>
      <c r="S984" s="68"/>
      <c r="AC984" s="68"/>
      <c r="AD984" s="68"/>
      <c r="AE984" s="68"/>
      <c r="AF984" s="68"/>
      <c r="AG984" s="68"/>
      <c r="AH984" s="68"/>
      <c r="AI984" s="68"/>
      <c r="AJ984" s="68"/>
      <c r="AK984" s="68"/>
      <c r="AL984" s="68"/>
      <c r="AM984" s="68"/>
      <c r="AN984" s="68"/>
      <c r="AO984" s="68"/>
      <c r="AP984" s="68"/>
      <c r="AQ984" s="68"/>
      <c r="AR984" s="68"/>
      <c r="AS984" s="68"/>
      <c r="AT984" s="68"/>
      <c r="AU984" s="68"/>
      <c r="AV984" s="68"/>
      <c r="AW984" s="68"/>
      <c r="AX984" s="68"/>
      <c r="AY984" s="68"/>
      <c r="AZ984" s="68"/>
      <c r="BA984" s="68"/>
      <c r="BB984" s="68"/>
      <c r="BC984" s="68"/>
      <c r="BD984" s="68"/>
      <c r="BE984" s="68"/>
    </row>
    <row r="985" spans="2:57" ht="15" hidden="1" customHeight="1" x14ac:dyDescent="0.25">
      <c r="B985" s="68" t="str">
        <f>Players!B885</f>
        <v>Aaron Murray</v>
      </c>
      <c r="R985" s="68"/>
      <c r="S985" s="68"/>
      <c r="AC985" s="68"/>
      <c r="AD985" s="68"/>
      <c r="AE985" s="68"/>
      <c r="AF985" s="68"/>
      <c r="AG985" s="68"/>
      <c r="AH985" s="68"/>
      <c r="AI985" s="68"/>
      <c r="AJ985" s="68"/>
      <c r="AK985" s="68"/>
      <c r="AL985" s="68"/>
      <c r="AM985" s="68"/>
      <c r="AN985" s="68"/>
      <c r="AO985" s="68"/>
      <c r="AP985" s="68"/>
      <c r="AQ985" s="68"/>
      <c r="AR985" s="68"/>
      <c r="AS985" s="68"/>
      <c r="AT985" s="68"/>
      <c r="AU985" s="68"/>
      <c r="AV985" s="68"/>
      <c r="AW985" s="68"/>
      <c r="AX985" s="68"/>
      <c r="AY985" s="68"/>
      <c r="AZ985" s="68"/>
      <c r="BA985" s="68"/>
      <c r="BB985" s="68"/>
      <c r="BC985" s="68"/>
      <c r="BD985" s="68"/>
      <c r="BE985" s="68"/>
    </row>
    <row r="986" spans="2:57" ht="15" hidden="1" customHeight="1" x14ac:dyDescent="0.25">
      <c r="B986" s="68" t="str">
        <f>Players!B886</f>
        <v>Keith Wenning</v>
      </c>
      <c r="R986" s="68"/>
      <c r="S986" s="68"/>
      <c r="AC986" s="68"/>
      <c r="AD986" s="68"/>
      <c r="AE986" s="68"/>
      <c r="AF986" s="68"/>
      <c r="AG986" s="68"/>
      <c r="AH986" s="68"/>
      <c r="AI986" s="68"/>
      <c r="AJ986" s="68"/>
      <c r="AK986" s="68"/>
      <c r="AL986" s="68"/>
      <c r="AM986" s="68"/>
      <c r="AN986" s="68"/>
      <c r="AO986" s="68"/>
      <c r="AP986" s="68"/>
      <c r="AQ986" s="68"/>
      <c r="AR986" s="68"/>
      <c r="AS986" s="68"/>
      <c r="AT986" s="68"/>
      <c r="AU986" s="68"/>
      <c r="AV986" s="68"/>
      <c r="AW986" s="68"/>
      <c r="AX986" s="68"/>
      <c r="AY986" s="68"/>
      <c r="AZ986" s="68"/>
      <c r="BA986" s="68"/>
      <c r="BB986" s="68"/>
      <c r="BC986" s="68"/>
      <c r="BD986" s="68"/>
      <c r="BE986" s="68"/>
    </row>
    <row r="987" spans="2:57" s="68" customFormat="1" ht="15" hidden="1" customHeight="1" x14ac:dyDescent="0.25">
      <c r="B987" s="68" t="str">
        <f>Players!B887</f>
        <v>Garrett Gilbert</v>
      </c>
    </row>
    <row r="988" spans="2:57" s="68" customFormat="1" ht="15" hidden="1" customHeight="1" x14ac:dyDescent="0.25">
      <c r="B988" s="68" t="str">
        <f>Players!B888</f>
        <v>Joel Stave</v>
      </c>
    </row>
    <row r="989" spans="2:57" s="68" customFormat="1" ht="15" hidden="1" customHeight="1" x14ac:dyDescent="0.25">
      <c r="B989" s="68" t="str">
        <f>Players!B889</f>
        <v>Joe Callahan</v>
      </c>
    </row>
    <row r="990" spans="2:57" s="68" customFormat="1" ht="15" hidden="1" customHeight="1" x14ac:dyDescent="0.25">
      <c r="B990" s="68" t="str">
        <f>Players!B890</f>
        <v>Stephen Morris</v>
      </c>
    </row>
    <row r="991" spans="2:57" s="68" customFormat="1" ht="15" hidden="1" customHeight="1" x14ac:dyDescent="0.25">
      <c r="B991" s="68" t="str">
        <f>Players!B891</f>
        <v>Tyler Bray</v>
      </c>
    </row>
    <row r="992" spans="2:57" s="68" customFormat="1" ht="15" hidden="1" customHeight="1" x14ac:dyDescent="0.25">
      <c r="B992" s="68" t="str">
        <f>Players!B892</f>
        <v>Dan Orlovsky</v>
      </c>
    </row>
    <row r="993" spans="2:2" s="68" customFormat="1" ht="15" hidden="1" customHeight="1" x14ac:dyDescent="0.25">
      <c r="B993" s="68" t="str">
        <f>Players!B893</f>
        <v>David Fales</v>
      </c>
    </row>
    <row r="994" spans="2:2" s="68" customFormat="1" ht="15" hidden="1" customHeight="1" x14ac:dyDescent="0.25">
      <c r="B994" s="68" t="str">
        <f>Players!B894</f>
        <v>Brandon Doughty</v>
      </c>
    </row>
    <row r="995" spans="2:2" s="68" customFormat="1" ht="15" hidden="1" customHeight="1" x14ac:dyDescent="0.25">
      <c r="B995" s="68" t="str">
        <f>Players!B895</f>
        <v>Matt Flynn</v>
      </c>
    </row>
    <row r="996" spans="2:2" s="68" customFormat="1" ht="15" hidden="1" customHeight="1" x14ac:dyDescent="0.25">
      <c r="B996" s="68" t="str">
        <f>Players!B896</f>
        <v>Josh Johnson</v>
      </c>
    </row>
    <row r="997" spans="2:2" s="68" customFormat="1" ht="15" hidden="1" customHeight="1" x14ac:dyDescent="0.25">
      <c r="B997" s="68" t="str">
        <f>Players!B897</f>
        <v>Bruce Gradkowski</v>
      </c>
    </row>
    <row r="998" spans="2:2" s="68" customFormat="1" ht="15" hidden="1" customHeight="1" x14ac:dyDescent="0.25">
      <c r="B998" s="68" t="str">
        <f>Players!B898</f>
        <v>Ryan Griffin</v>
      </c>
    </row>
    <row r="999" spans="2:2" s="68" customFormat="1" ht="15" hidden="1" customHeight="1" x14ac:dyDescent="0.25">
      <c r="B999" s="68" t="str">
        <f>Players!B899</f>
        <v>Zach Mettenberger</v>
      </c>
    </row>
    <row r="1000" spans="2:2" s="68" customFormat="1" ht="15" hidden="1" customHeight="1" x14ac:dyDescent="0.25">
      <c r="B1000" s="68" t="str">
        <f>Players!B900</f>
        <v>Sean Renfree</v>
      </c>
    </row>
    <row r="1001" spans="2:2" s="68" customFormat="1" ht="15" hidden="1" customHeight="1" x14ac:dyDescent="0.25">
      <c r="B1001" s="68">
        <f>Players!B901</f>
        <v>0</v>
      </c>
    </row>
    <row r="1002" spans="2:2" s="68" customFormat="1" ht="15" hidden="1" customHeight="1" x14ac:dyDescent="0.25">
      <c r="B1002" s="68">
        <f>Players!B902</f>
        <v>0</v>
      </c>
    </row>
    <row r="1003" spans="2:2" s="68" customFormat="1" ht="15" hidden="1" customHeight="1" x14ac:dyDescent="0.25">
      <c r="B1003" s="68">
        <f>Players!B903</f>
        <v>0</v>
      </c>
    </row>
    <row r="1004" spans="2:2" s="68" customFormat="1" ht="15" hidden="1" customHeight="1" x14ac:dyDescent="0.25">
      <c r="B1004" s="68">
        <f>Players!B904</f>
        <v>0</v>
      </c>
    </row>
    <row r="1005" spans="2:2" s="68" customFormat="1" ht="15" hidden="1" customHeight="1" x14ac:dyDescent="0.25">
      <c r="B1005" s="68">
        <f>Players!B905</f>
        <v>0</v>
      </c>
    </row>
    <row r="1006" spans="2:2" s="68" customFormat="1" ht="15" hidden="1" customHeight="1" x14ac:dyDescent="0.25">
      <c r="B1006" s="68">
        <f>Players!B906</f>
        <v>0</v>
      </c>
    </row>
    <row r="1007" spans="2:2" s="68" customFormat="1" ht="15" hidden="1" customHeight="1" x14ac:dyDescent="0.25">
      <c r="B1007" s="68">
        <f>Players!B907</f>
        <v>0</v>
      </c>
    </row>
    <row r="1008" spans="2:2" s="68" customFormat="1" ht="15" hidden="1" customHeight="1" x14ac:dyDescent="0.25">
      <c r="B1008" s="68">
        <f>Players!B908</f>
        <v>0</v>
      </c>
    </row>
    <row r="1009" spans="2:2" s="68" customFormat="1" ht="15" hidden="1" customHeight="1" x14ac:dyDescent="0.25">
      <c r="B1009" s="68">
        <f>Players!B909</f>
        <v>0</v>
      </c>
    </row>
    <row r="1010" spans="2:2" s="68" customFormat="1" ht="15" hidden="1" customHeight="1" x14ac:dyDescent="0.25">
      <c r="B1010" s="68">
        <f>Players!B910</f>
        <v>0</v>
      </c>
    </row>
    <row r="1011" spans="2:2" s="68" customFormat="1" ht="15" hidden="1" customHeight="1" x14ac:dyDescent="0.25">
      <c r="B1011" s="68">
        <f>Players!B911</f>
        <v>0</v>
      </c>
    </row>
    <row r="1012" spans="2:2" s="68" customFormat="1" ht="15" hidden="1" customHeight="1" x14ac:dyDescent="0.25">
      <c r="B1012" s="68">
        <f>Players!B912</f>
        <v>0</v>
      </c>
    </row>
    <row r="1013" spans="2:2" s="68" customFormat="1" ht="15" hidden="1" customHeight="1" x14ac:dyDescent="0.25">
      <c r="B1013" s="68">
        <f>Players!B913</f>
        <v>0</v>
      </c>
    </row>
    <row r="1014" spans="2:2" s="68" customFormat="1" ht="15" hidden="1" customHeight="1" x14ac:dyDescent="0.25">
      <c r="B1014" s="68">
        <f>Players!B914</f>
        <v>0</v>
      </c>
    </row>
    <row r="1015" spans="2:2" s="68" customFormat="1" ht="15" hidden="1" customHeight="1" x14ac:dyDescent="0.25">
      <c r="B1015" s="68">
        <f>Players!B915</f>
        <v>0</v>
      </c>
    </row>
    <row r="1016" spans="2:2" s="68" customFormat="1" ht="15" hidden="1" customHeight="1" x14ac:dyDescent="0.25">
      <c r="B1016" s="68">
        <f>Players!B916</f>
        <v>0</v>
      </c>
    </row>
    <row r="1017" spans="2:2" s="68" customFormat="1" ht="15" hidden="1" customHeight="1" x14ac:dyDescent="0.25">
      <c r="B1017" s="68">
        <f>Players!B917</f>
        <v>0</v>
      </c>
    </row>
    <row r="1018" spans="2:2" s="68" customFormat="1" ht="15" hidden="1" customHeight="1" x14ac:dyDescent="0.25">
      <c r="B1018" s="68">
        <f>Players!B918</f>
        <v>0</v>
      </c>
    </row>
    <row r="1019" spans="2:2" s="68" customFormat="1" ht="15" hidden="1" customHeight="1" x14ac:dyDescent="0.25">
      <c r="B1019" s="68">
        <f>Players!B919</f>
        <v>0</v>
      </c>
    </row>
    <row r="1020" spans="2:2" s="68" customFormat="1" ht="15" hidden="1" customHeight="1" x14ac:dyDescent="0.25">
      <c r="B1020" s="68">
        <f>Players!B920</f>
        <v>0</v>
      </c>
    </row>
    <row r="1021" spans="2:2" s="68" customFormat="1" ht="15" hidden="1" customHeight="1" x14ac:dyDescent="0.25">
      <c r="B1021" s="68">
        <f>Players!B921</f>
        <v>0</v>
      </c>
    </row>
    <row r="1022" spans="2:2" s="68" customFormat="1" ht="15" hidden="1" customHeight="1" x14ac:dyDescent="0.25">
      <c r="B1022" s="68">
        <f>Players!B922</f>
        <v>0</v>
      </c>
    </row>
    <row r="1023" spans="2:2" s="68" customFormat="1" ht="15" hidden="1" customHeight="1" x14ac:dyDescent="0.25">
      <c r="B1023" s="68">
        <f>Players!B923</f>
        <v>0</v>
      </c>
    </row>
    <row r="1024" spans="2:2" s="68" customFormat="1" ht="15" hidden="1" customHeight="1" x14ac:dyDescent="0.25">
      <c r="B1024" s="68">
        <f>Players!B924</f>
        <v>0</v>
      </c>
    </row>
    <row r="1025" spans="2:57" s="68" customFormat="1" ht="15" hidden="1" customHeight="1" x14ac:dyDescent="0.25">
      <c r="B1025" s="68">
        <f>Players!B925</f>
        <v>0</v>
      </c>
    </row>
    <row r="1026" spans="2:57" s="68" customFormat="1" ht="15" hidden="1" customHeight="1" x14ac:dyDescent="0.25">
      <c r="B1026" s="68">
        <f>Players!B926</f>
        <v>0</v>
      </c>
    </row>
    <row r="1027" spans="2:57" s="68" customFormat="1" ht="15" hidden="1" customHeight="1" x14ac:dyDescent="0.25">
      <c r="B1027" s="68">
        <f>Players!B927</f>
        <v>0</v>
      </c>
    </row>
    <row r="1028" spans="2:57" s="68" customFormat="1" ht="15" hidden="1" customHeight="1" x14ac:dyDescent="0.25">
      <c r="B1028" s="68">
        <f>Players!B928</f>
        <v>0</v>
      </c>
      <c r="R1028"/>
      <c r="S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row>
    <row r="1029" spans="2:57" s="68" customFormat="1" ht="15" hidden="1" customHeight="1" x14ac:dyDescent="0.25">
      <c r="B1029" s="68">
        <f>Players!B929</f>
        <v>0</v>
      </c>
      <c r="R1029"/>
      <c r="S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row>
    <row r="1030" spans="2:57" s="68" customFormat="1" ht="15" hidden="1" customHeight="1" x14ac:dyDescent="0.25">
      <c r="B1030" s="68">
        <f>Players!B930</f>
        <v>0</v>
      </c>
      <c r="R1030"/>
      <c r="S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row>
    <row r="1031" spans="2:57" s="68" customFormat="1" ht="15" hidden="1" customHeight="1" x14ac:dyDescent="0.25">
      <c r="B1031" s="157" t="s">
        <v>840</v>
      </c>
      <c r="R1031"/>
      <c r="S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row>
    <row r="1032" spans="2:57" ht="15" hidden="1" customHeight="1" x14ac:dyDescent="0.25">
      <c r="B1032" t="str">
        <f>Input!AN2</f>
        <v>Team 5</v>
      </c>
    </row>
    <row r="1033" spans="2:57" ht="15" hidden="1" customHeight="1" x14ac:dyDescent="0.25">
      <c r="B1033" s="68" t="str">
        <f>Input!AN3</f>
        <v>Team 9</v>
      </c>
    </row>
    <row r="1034" spans="2:57" ht="15" hidden="1" customHeight="1" x14ac:dyDescent="0.25">
      <c r="B1034" s="68" t="str">
        <f>Input!AN4</f>
        <v>Team 3</v>
      </c>
    </row>
    <row r="1035" spans="2:57" ht="15" hidden="1" customHeight="1" x14ac:dyDescent="0.25">
      <c r="B1035" s="68" t="str">
        <f>Input!AN5</f>
        <v>Team 6</v>
      </c>
    </row>
    <row r="1036" spans="2:57" ht="15" hidden="1" customHeight="1" x14ac:dyDescent="0.25">
      <c r="B1036" s="68" t="str">
        <f>Input!AN6</f>
        <v>Team 7</v>
      </c>
    </row>
    <row r="1037" spans="2:57" ht="15" hidden="1" customHeight="1" x14ac:dyDescent="0.25">
      <c r="B1037" s="68" t="str">
        <f>Input!AN7</f>
        <v>Team 8</v>
      </c>
    </row>
    <row r="1038" spans="2:57" ht="15" hidden="1" customHeight="1" x14ac:dyDescent="0.25">
      <c r="B1038" s="68" t="str">
        <f>Input!AN8</f>
        <v>Team Se</v>
      </c>
    </row>
    <row r="1039" spans="2:57" ht="15" hidden="1" customHeight="1" x14ac:dyDescent="0.25">
      <c r="B1039" s="68" t="str">
        <f>Input!AN9</f>
        <v>Team 10</v>
      </c>
    </row>
    <row r="1040" spans="2:57" ht="15" hidden="1" customHeight="1" x14ac:dyDescent="0.25">
      <c r="B1040" s="68" t="str">
        <f>Input!AN10</f>
        <v>Crouch</v>
      </c>
    </row>
    <row r="1041" spans="2:2" ht="15" hidden="1" customHeight="1" x14ac:dyDescent="0.25">
      <c r="B1041" s="68" t="str">
        <f>Input!AN11</f>
        <v>Team 4</v>
      </c>
    </row>
    <row r="1042" spans="2:2" ht="15" hidden="1" customHeight="1" x14ac:dyDescent="0.25">
      <c r="B1042" s="157" t="str">
        <f>Input!AN12</f>
        <v>(Select Buyer)</v>
      </c>
    </row>
  </sheetData>
  <mergeCells count="18">
    <mergeCell ref="P1:Q2"/>
    <mergeCell ref="V1:AA1"/>
    <mergeCell ref="V35:AA35"/>
    <mergeCell ref="V47:AA47"/>
    <mergeCell ref="V59:AA59"/>
    <mergeCell ref="R1:S2"/>
    <mergeCell ref="A1:A2"/>
    <mergeCell ref="A5:A6"/>
    <mergeCell ref="A3:A4"/>
    <mergeCell ref="D1:D2"/>
    <mergeCell ref="B5:D6"/>
    <mergeCell ref="B3:D4"/>
    <mergeCell ref="E1:E3"/>
    <mergeCell ref="E4:E6"/>
    <mergeCell ref="B1:B2"/>
    <mergeCell ref="C1:C2"/>
    <mergeCell ref="F1:F3"/>
    <mergeCell ref="F5:F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15" r:id="rId4" name="Spinner 7">
              <controlPr defaultSize="0" autoPict="0">
                <anchor moveWithCells="1" sizeWithCells="1">
                  <from>
                    <xdr:col>2</xdr:col>
                    <xdr:colOff>1066800</xdr:colOff>
                    <xdr:row>0</xdr:row>
                    <xdr:rowOff>19050</xdr:rowOff>
                  </from>
                  <to>
                    <xdr:col>2</xdr:col>
                    <xdr:colOff>1276350</xdr:colOff>
                    <xdr:row>1</xdr:row>
                    <xdr:rowOff>171450</xdr:rowOff>
                  </to>
                </anchor>
              </controlPr>
            </control>
          </mc:Choice>
        </mc:AlternateContent>
        <mc:AlternateContent xmlns:mc="http://schemas.openxmlformats.org/markup-compatibility/2006">
          <mc:Choice Requires="x14">
            <control shapeId="17416" r:id="rId5" name="Button 8">
              <controlPr defaultSize="0" print="0" autoFill="0" autoPict="0" macro="[0]!submit">
                <anchor moveWithCells="1" sizeWithCells="1">
                  <from>
                    <xdr:col>4</xdr:col>
                    <xdr:colOff>38100</xdr:colOff>
                    <xdr:row>0</xdr:row>
                    <xdr:rowOff>38100</xdr:rowOff>
                  </from>
                  <to>
                    <xdr:col>4</xdr:col>
                    <xdr:colOff>1504950</xdr:colOff>
                    <xdr:row>2</xdr:row>
                    <xdr:rowOff>161925</xdr:rowOff>
                  </to>
                </anchor>
              </controlPr>
            </control>
          </mc:Choice>
        </mc:AlternateContent>
        <mc:AlternateContent xmlns:mc="http://schemas.openxmlformats.org/markup-compatibility/2006">
          <mc:Choice Requires="x14">
            <control shapeId="17417" r:id="rId6" name="Button 9">
              <controlPr defaultSize="0" print="0" autoFill="0" autoPict="0" macro="[0]!_xludf.Undo">
                <anchor moveWithCells="1" sizeWithCells="1">
                  <from>
                    <xdr:col>4</xdr:col>
                    <xdr:colOff>19050</xdr:colOff>
                    <xdr:row>3</xdr:row>
                    <xdr:rowOff>28575</xdr:rowOff>
                  </from>
                  <to>
                    <xdr:col>4</xdr:col>
                    <xdr:colOff>1495425</xdr:colOff>
                    <xdr:row>5</xdr:row>
                    <xdr:rowOff>180975</xdr:rowOff>
                  </to>
                </anchor>
              </controlPr>
            </control>
          </mc:Choice>
        </mc:AlternateContent>
        <mc:AlternateContent xmlns:mc="http://schemas.openxmlformats.org/markup-compatibility/2006">
          <mc:Choice Requires="x14">
            <control shapeId="17426" r:id="rId7" name="Button 18">
              <controlPr defaultSize="0" print="0" autoFill="0" autoPict="0" macro="[0]!Bid_Up_To">
                <anchor moveWithCells="1" sizeWithCells="1">
                  <from>
                    <xdr:col>5</xdr:col>
                    <xdr:colOff>28575</xdr:colOff>
                    <xdr:row>0</xdr:row>
                    <xdr:rowOff>38100</xdr:rowOff>
                  </from>
                  <to>
                    <xdr:col>5</xdr:col>
                    <xdr:colOff>1495425</xdr:colOff>
                    <xdr:row>2</xdr:row>
                    <xdr:rowOff>161925</xdr:rowOff>
                  </to>
                </anchor>
              </controlPr>
            </control>
          </mc:Choice>
        </mc:AlternateContent>
        <mc:AlternateContent xmlns:mc="http://schemas.openxmlformats.org/markup-compatibility/2006">
          <mc:Choice Requires="x14">
            <control shapeId="17432" r:id="rId8" name="Button 24">
              <controlPr defaultSize="0" print="0" autoFill="0" autoPict="0" macro="[0]!Team1">
                <anchor moveWithCells="1" sizeWithCells="1">
                  <from>
                    <xdr:col>1</xdr:col>
                    <xdr:colOff>1524000</xdr:colOff>
                    <xdr:row>8</xdr:row>
                    <xdr:rowOff>9525</xdr:rowOff>
                  </from>
                  <to>
                    <xdr:col>3</xdr:col>
                    <xdr:colOff>0</xdr:colOff>
                    <xdr:row>9</xdr:row>
                    <xdr:rowOff>9525</xdr:rowOff>
                  </to>
                </anchor>
              </controlPr>
            </control>
          </mc:Choice>
        </mc:AlternateContent>
        <mc:AlternateContent xmlns:mc="http://schemas.openxmlformats.org/markup-compatibility/2006">
          <mc:Choice Requires="x14">
            <control shapeId="17433" r:id="rId9" name="Button 25">
              <controlPr defaultSize="0" print="0" autoFill="0" autoPict="0" macro="[0]!Team2">
                <anchor moveWithCells="1" sizeWithCells="1">
                  <from>
                    <xdr:col>3</xdr:col>
                    <xdr:colOff>0</xdr:colOff>
                    <xdr:row>8</xdr:row>
                    <xdr:rowOff>9525</xdr:rowOff>
                  </from>
                  <to>
                    <xdr:col>4</xdr:col>
                    <xdr:colOff>0</xdr:colOff>
                    <xdr:row>9</xdr:row>
                    <xdr:rowOff>9525</xdr:rowOff>
                  </to>
                </anchor>
              </controlPr>
            </control>
          </mc:Choice>
        </mc:AlternateContent>
        <mc:AlternateContent xmlns:mc="http://schemas.openxmlformats.org/markup-compatibility/2006">
          <mc:Choice Requires="x14">
            <control shapeId="17434" r:id="rId10" name="Button 26">
              <controlPr defaultSize="0" print="0" autoFill="0" autoPict="0" macro="[0]!Team3">
                <anchor moveWithCells="1" sizeWithCells="1">
                  <from>
                    <xdr:col>4</xdr:col>
                    <xdr:colOff>0</xdr:colOff>
                    <xdr:row>8</xdr:row>
                    <xdr:rowOff>9525</xdr:rowOff>
                  </from>
                  <to>
                    <xdr:col>5</xdr:col>
                    <xdr:colOff>0</xdr:colOff>
                    <xdr:row>9</xdr:row>
                    <xdr:rowOff>9525</xdr:rowOff>
                  </to>
                </anchor>
              </controlPr>
            </control>
          </mc:Choice>
        </mc:AlternateContent>
        <mc:AlternateContent xmlns:mc="http://schemas.openxmlformats.org/markup-compatibility/2006">
          <mc:Choice Requires="x14">
            <control shapeId="17435" r:id="rId11" name="Button 27">
              <controlPr defaultSize="0" print="0" autoFill="0" autoPict="0" macro="[0]!Team4">
                <anchor moveWithCells="1" sizeWithCells="1">
                  <from>
                    <xdr:col>5</xdr:col>
                    <xdr:colOff>0</xdr:colOff>
                    <xdr:row>8</xdr:row>
                    <xdr:rowOff>9525</xdr:rowOff>
                  </from>
                  <to>
                    <xdr:col>6</xdr:col>
                    <xdr:colOff>0</xdr:colOff>
                    <xdr:row>9</xdr:row>
                    <xdr:rowOff>9525</xdr:rowOff>
                  </to>
                </anchor>
              </controlPr>
            </control>
          </mc:Choice>
        </mc:AlternateContent>
        <mc:AlternateContent xmlns:mc="http://schemas.openxmlformats.org/markup-compatibility/2006">
          <mc:Choice Requires="x14">
            <control shapeId="17436" r:id="rId12" name="Button 28">
              <controlPr defaultSize="0" print="0" autoFill="0" autoPict="0" macro="[0]!Team5">
                <anchor moveWithCells="1" sizeWithCells="1">
                  <from>
                    <xdr:col>6</xdr:col>
                    <xdr:colOff>0</xdr:colOff>
                    <xdr:row>8</xdr:row>
                    <xdr:rowOff>9525</xdr:rowOff>
                  </from>
                  <to>
                    <xdr:col>7</xdr:col>
                    <xdr:colOff>0</xdr:colOff>
                    <xdr:row>9</xdr:row>
                    <xdr:rowOff>9525</xdr:rowOff>
                  </to>
                </anchor>
              </controlPr>
            </control>
          </mc:Choice>
        </mc:AlternateContent>
        <mc:AlternateContent xmlns:mc="http://schemas.openxmlformats.org/markup-compatibility/2006">
          <mc:Choice Requires="x14">
            <control shapeId="17437" r:id="rId13" name="Button 29">
              <controlPr defaultSize="0" print="0" autoFill="0" autoPict="0" macro="[0]!Team6">
                <anchor moveWithCells="1" sizeWithCells="1">
                  <from>
                    <xdr:col>7</xdr:col>
                    <xdr:colOff>0</xdr:colOff>
                    <xdr:row>8</xdr:row>
                    <xdr:rowOff>9525</xdr:rowOff>
                  </from>
                  <to>
                    <xdr:col>8</xdr:col>
                    <xdr:colOff>0</xdr:colOff>
                    <xdr:row>9</xdr:row>
                    <xdr:rowOff>9525</xdr:rowOff>
                  </to>
                </anchor>
              </controlPr>
            </control>
          </mc:Choice>
        </mc:AlternateContent>
        <mc:AlternateContent xmlns:mc="http://schemas.openxmlformats.org/markup-compatibility/2006">
          <mc:Choice Requires="x14">
            <control shapeId="17438" r:id="rId14" name="Button 30">
              <controlPr defaultSize="0" print="0" autoFill="0" autoPict="0" macro="[0]!Team7">
                <anchor moveWithCells="1" sizeWithCells="1">
                  <from>
                    <xdr:col>8</xdr:col>
                    <xdr:colOff>0</xdr:colOff>
                    <xdr:row>8</xdr:row>
                    <xdr:rowOff>9525</xdr:rowOff>
                  </from>
                  <to>
                    <xdr:col>9</xdr:col>
                    <xdr:colOff>0</xdr:colOff>
                    <xdr:row>9</xdr:row>
                    <xdr:rowOff>9525</xdr:rowOff>
                  </to>
                </anchor>
              </controlPr>
            </control>
          </mc:Choice>
        </mc:AlternateContent>
        <mc:AlternateContent xmlns:mc="http://schemas.openxmlformats.org/markup-compatibility/2006">
          <mc:Choice Requires="x14">
            <control shapeId="17439" r:id="rId15" name="Button 31">
              <controlPr defaultSize="0" print="0" autoFill="0" autoPict="0" macro="[0]!Team8">
                <anchor moveWithCells="1" sizeWithCells="1">
                  <from>
                    <xdr:col>9</xdr:col>
                    <xdr:colOff>0</xdr:colOff>
                    <xdr:row>8</xdr:row>
                    <xdr:rowOff>9525</xdr:rowOff>
                  </from>
                  <to>
                    <xdr:col>10</xdr:col>
                    <xdr:colOff>0</xdr:colOff>
                    <xdr:row>9</xdr:row>
                    <xdr:rowOff>9525</xdr:rowOff>
                  </to>
                </anchor>
              </controlPr>
            </control>
          </mc:Choice>
        </mc:AlternateContent>
        <mc:AlternateContent xmlns:mc="http://schemas.openxmlformats.org/markup-compatibility/2006">
          <mc:Choice Requires="x14">
            <control shapeId="17440" r:id="rId16" name="Button 32">
              <controlPr defaultSize="0" print="0" autoFill="0" autoPict="0" macro="[0]!Team9">
                <anchor moveWithCells="1" sizeWithCells="1">
                  <from>
                    <xdr:col>10</xdr:col>
                    <xdr:colOff>0</xdr:colOff>
                    <xdr:row>8</xdr:row>
                    <xdr:rowOff>9525</xdr:rowOff>
                  </from>
                  <to>
                    <xdr:col>11</xdr:col>
                    <xdr:colOff>0</xdr:colOff>
                    <xdr:row>9</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2" id="{5F51056A-3958-4BE4-814C-613CF8B4492B}">
            <xm:f>IF(VLOOKUP(C22,Players!$B:$E,4,0)&gt;0,1,0)</xm:f>
            <x14:dxf>
              <font>
                <b/>
                <i val="0"/>
              </font>
              <fill>
                <patternFill patternType="solid">
                  <bgColor theme="0" tint="-0.14996795556505021"/>
                </patternFill>
              </fill>
            </x14:dxf>
          </x14:cfRule>
          <xm:sqref>C22:C27</xm:sqref>
        </x14:conditionalFormatting>
        <x14:conditionalFormatting xmlns:xm="http://schemas.microsoft.com/office/excel/2006/main">
          <x14:cfRule type="expression" priority="11" id="{88AF7498-526E-43B7-A08C-E6820FC767BD}">
            <xm:f>IF(VLOOKUP(C12,Players!$B:$E,4,0)&lt;0,1,0)</xm:f>
            <x14:dxf>
              <fill>
                <patternFill>
                  <bgColor rgb="FFE0CAC6"/>
                </patternFill>
              </fill>
            </x14:dxf>
          </x14:cfRule>
          <xm:sqref>C12:C21</xm:sqref>
        </x14:conditionalFormatting>
        <x14:conditionalFormatting xmlns:xm="http://schemas.microsoft.com/office/excel/2006/main">
          <x14:cfRule type="expression" priority="10" id="{56972C9E-BD23-4944-A932-A725F4497927}">
            <xm:f>IF(VLOOKUP(B22,Players!$B:$E,4,0)&gt;0,1,0)</xm:f>
            <x14:dxf>
              <font>
                <b/>
                <i val="0"/>
              </font>
              <fill>
                <patternFill patternType="solid">
                  <bgColor theme="0" tint="-0.14996795556505021"/>
                </patternFill>
              </fill>
            </x14:dxf>
          </x14:cfRule>
          <xm:sqref>B22:B27</xm:sqref>
        </x14:conditionalFormatting>
        <x14:conditionalFormatting xmlns:xm="http://schemas.microsoft.com/office/excel/2006/main">
          <x14:cfRule type="expression" priority="9" id="{747FC213-EB24-4393-B0EE-69ACF6E7FDEF}">
            <xm:f>IF(VLOOKUP(B12,Players!$B:$E,4,0)&lt;0,1,0)</xm:f>
            <x14:dxf>
              <fill>
                <patternFill>
                  <bgColor rgb="FFE0CAC6"/>
                </patternFill>
              </fill>
            </x14:dxf>
          </x14:cfRule>
          <xm:sqref>B12:B21</xm:sqref>
        </x14:conditionalFormatting>
        <x14:conditionalFormatting xmlns:xm="http://schemas.microsoft.com/office/excel/2006/main">
          <x14:cfRule type="expression" priority="8" id="{D85C4614-8208-4377-9AAF-2BC8753FBE28}">
            <xm:f>IF(VLOOKUP(D22,Players!$B:$E,4,0)&gt;0,1,0)</xm:f>
            <x14:dxf>
              <font>
                <b/>
                <i val="0"/>
              </font>
              <fill>
                <patternFill patternType="solid">
                  <bgColor theme="0" tint="-0.14996795556505021"/>
                </patternFill>
              </fill>
            </x14:dxf>
          </x14:cfRule>
          <xm:sqref>D22:D27</xm:sqref>
        </x14:conditionalFormatting>
        <x14:conditionalFormatting xmlns:xm="http://schemas.microsoft.com/office/excel/2006/main">
          <x14:cfRule type="expression" priority="7" id="{9F550F4E-9FE4-4631-B067-68585026C665}">
            <xm:f>IF(VLOOKUP(D12,Players!$B:$E,4,0)&lt;0,1,0)</xm:f>
            <x14:dxf>
              <fill>
                <patternFill>
                  <bgColor rgb="FFE0CAC6"/>
                </patternFill>
              </fill>
            </x14:dxf>
          </x14:cfRule>
          <xm:sqref>D12:D21</xm:sqref>
        </x14:conditionalFormatting>
        <x14:conditionalFormatting xmlns:xm="http://schemas.microsoft.com/office/excel/2006/main">
          <x14:cfRule type="expression" priority="6" id="{6AD54C31-BB2A-4DF1-8BC2-30B89BC379B4}">
            <xm:f>IF(VLOOKUP(E22,Players!$B:$E,4,0)&gt;0,1,0)</xm:f>
            <x14:dxf>
              <font>
                <b/>
                <i val="0"/>
              </font>
              <fill>
                <patternFill patternType="solid">
                  <bgColor theme="0" tint="-0.14996795556505021"/>
                </patternFill>
              </fill>
            </x14:dxf>
          </x14:cfRule>
          <xm:sqref>E22:E27</xm:sqref>
        </x14:conditionalFormatting>
        <x14:conditionalFormatting xmlns:xm="http://schemas.microsoft.com/office/excel/2006/main">
          <x14:cfRule type="expression" priority="5" id="{27CFEF42-0097-4E41-A4FE-5E15B85F28F5}">
            <xm:f>IF(VLOOKUP(E12,Players!$B:$E,4,0)&lt;0,1,0)</xm:f>
            <x14:dxf>
              <fill>
                <patternFill>
                  <bgColor rgb="FFE0CAC6"/>
                </patternFill>
              </fill>
            </x14:dxf>
          </x14:cfRule>
          <xm:sqref>E12:E21</xm:sqref>
        </x14:conditionalFormatting>
        <x14:conditionalFormatting xmlns:xm="http://schemas.microsoft.com/office/excel/2006/main">
          <x14:cfRule type="expression" priority="2" id="{49CBC8AC-61F9-42C6-B38C-68FE6ACE5B9B}">
            <xm:f>IF(VLOOKUP(F22,Players!$B:$E,4,0)&gt;0,1,0)</xm:f>
            <x14:dxf>
              <font>
                <b/>
                <i val="0"/>
              </font>
              <fill>
                <patternFill patternType="solid">
                  <bgColor theme="0" tint="-0.14996795556505021"/>
                </patternFill>
              </fill>
            </x14:dxf>
          </x14:cfRule>
          <xm:sqref>F22:K27</xm:sqref>
        </x14:conditionalFormatting>
        <x14:conditionalFormatting xmlns:xm="http://schemas.microsoft.com/office/excel/2006/main">
          <x14:cfRule type="expression" priority="1" id="{4FA389F2-A9E3-48E1-A0B7-AF229AB69AEC}">
            <xm:f>IF(VLOOKUP(F12,Players!$B:$E,4,0)&lt;0,1,0)</xm:f>
            <x14:dxf>
              <fill>
                <patternFill>
                  <bgColor rgb="FFE0CAC6"/>
                </patternFill>
              </fill>
            </x14:dxf>
          </x14:cfRule>
          <xm:sqref>F12:K21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Input!$AN$2:$AN$12</xm:f>
          </x14:formula1>
          <xm:sqref>B5:D6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D930"/>
  <sheetViews>
    <sheetView zoomScale="85" zoomScaleNormal="85" workbookViewId="0">
      <pane xSplit="2" ySplit="1" topLeftCell="C2" activePane="bottomRight" state="frozen"/>
      <selection activeCell="D103" sqref="D103"/>
      <selection pane="topRight" activeCell="D103" sqref="D103"/>
      <selection pane="bottomLeft" activeCell="D103" sqref="D103"/>
      <selection pane="bottomRight" activeCell="C2" sqref="C2"/>
    </sheetView>
  </sheetViews>
  <sheetFormatPr defaultRowHeight="15" x14ac:dyDescent="0.25"/>
  <cols>
    <col min="1" max="1" width="8" bestFit="1" customWidth="1"/>
    <col min="2" max="2" width="24.140625" bestFit="1" customWidth="1"/>
    <col min="3" max="3" width="8.5703125" customWidth="1"/>
    <col min="4" max="4" width="6.7109375" customWidth="1"/>
    <col min="5" max="5" width="9.85546875" style="5" customWidth="1"/>
    <col min="6" max="6" width="7.85546875" style="5" customWidth="1"/>
    <col min="7" max="7" width="9.42578125" style="5" customWidth="1"/>
    <col min="8" max="8" width="8" style="5" customWidth="1"/>
    <col min="9" max="9" width="7.42578125" customWidth="1"/>
    <col min="10" max="10" width="8.7109375" style="5" bestFit="1" customWidth="1"/>
    <col min="11" max="11" width="8.42578125" style="253" bestFit="1" customWidth="1"/>
    <col min="12" max="12" width="11.42578125" customWidth="1"/>
    <col min="13" max="13" width="11.5703125" style="5" customWidth="1"/>
    <col min="14" max="14" width="8.85546875" style="5" bestFit="1" customWidth="1"/>
    <col min="15" max="15" width="9.42578125" style="5" customWidth="1"/>
    <col min="16" max="16" width="8.85546875" style="5" customWidth="1"/>
    <col min="17" max="17" width="10.5703125" customWidth="1"/>
    <col min="18" max="18" width="8.5703125" customWidth="1"/>
    <col min="19" max="19" width="9.85546875" bestFit="1" customWidth="1"/>
    <col min="20" max="20" width="10.7109375" style="68" customWidth="1"/>
    <col min="21" max="21" width="13.140625" customWidth="1"/>
    <col min="22" max="22" width="8.5703125" style="104" bestFit="1" customWidth="1"/>
    <col min="23" max="23" width="8.42578125" style="15" bestFit="1" customWidth="1"/>
    <col min="24" max="24" width="11.140625" customWidth="1"/>
    <col min="25" max="25" width="10.5703125" customWidth="1"/>
    <col min="26" max="26" width="5.5703125" bestFit="1" customWidth="1"/>
    <col min="27" max="27" width="5.28515625" customWidth="1"/>
    <col min="28" max="28" width="6.42578125" customWidth="1"/>
    <col min="29" max="29" width="6.140625" customWidth="1"/>
    <col min="30" max="30" width="6.85546875" customWidth="1"/>
    <col min="31" max="31" width="5.85546875" customWidth="1"/>
    <col min="32" max="32" width="7.140625" customWidth="1"/>
    <col min="33" max="34" width="5" customWidth="1"/>
    <col min="35" max="35" width="20.140625" customWidth="1"/>
    <col min="36" max="36" width="5.85546875" style="68" customWidth="1"/>
    <col min="37" max="37" width="9.5703125" style="68" customWidth="1"/>
    <col min="38" max="38" width="6.140625" style="15" customWidth="1"/>
    <col min="39" max="39" width="9.5703125" style="5" customWidth="1"/>
    <col min="40" max="40" width="2.5703125" style="197" customWidth="1"/>
    <col min="41" max="41" width="10.5703125" bestFit="1" customWidth="1"/>
    <col min="42" max="42" width="9.5703125" style="68" bestFit="1" customWidth="1"/>
    <col min="52" max="52" width="2.5703125" style="197" customWidth="1"/>
    <col min="53" max="53" width="6.140625" style="68" bestFit="1" customWidth="1"/>
    <col min="54" max="54" width="6.140625" style="15" bestFit="1" customWidth="1"/>
    <col min="55" max="55" width="6.140625" style="5" bestFit="1" customWidth="1"/>
    <col min="56" max="61" width="6.140625" bestFit="1" customWidth="1"/>
    <col min="62" max="62" width="2.5703125" style="197" customWidth="1"/>
    <col min="63" max="63" width="2.7109375" bestFit="1" customWidth="1"/>
    <col min="64" max="64" width="3.7109375" hidden="1" customWidth="1"/>
    <col min="65" max="65" width="3.5703125" hidden="1" customWidth="1"/>
    <col min="66" max="66" width="4.140625" hidden="1" customWidth="1"/>
    <col min="67" max="67" width="3.140625" hidden="1" customWidth="1"/>
    <col min="68" max="68" width="4.5703125" hidden="1" customWidth="1"/>
    <col min="69" max="70" width="2.28515625" hidden="1" customWidth="1"/>
    <col min="71" max="71" width="19.85546875" customWidth="1"/>
    <col min="72" max="72" width="6.140625" bestFit="1" customWidth="1"/>
    <col min="73" max="73" width="9.5703125" bestFit="1" customWidth="1"/>
    <col min="74" max="74" width="6.28515625" bestFit="1" customWidth="1"/>
    <col min="75" max="75" width="9.5703125" bestFit="1" customWidth="1"/>
    <col min="76" max="76" width="3.140625" customWidth="1"/>
    <col min="77" max="77" width="6.140625" style="68" bestFit="1" customWidth="1"/>
    <col min="78" max="78" width="5.5703125" style="68" bestFit="1" customWidth="1"/>
    <col min="79" max="79" width="6.5703125" style="68" bestFit="1" customWidth="1"/>
    <col min="80" max="80" width="4.85546875" style="68" bestFit="1" customWidth="1"/>
    <col min="81" max="81" width="4.85546875" style="68" customWidth="1"/>
    <col min="82" max="82" width="5.5703125" style="68" bestFit="1" customWidth="1"/>
  </cols>
  <sheetData>
    <row r="1" spans="1:82" s="1" customFormat="1" ht="15.75" thickBot="1" x14ac:dyDescent="0.3">
      <c r="A1" s="57" t="s">
        <v>0</v>
      </c>
      <c r="B1" s="149" t="s">
        <v>1</v>
      </c>
      <c r="C1" s="149" t="s">
        <v>2</v>
      </c>
      <c r="D1" s="149" t="s">
        <v>3</v>
      </c>
      <c r="E1" s="150" t="s">
        <v>745</v>
      </c>
      <c r="F1" s="150" t="s">
        <v>5</v>
      </c>
      <c r="G1" s="150" t="s">
        <v>6</v>
      </c>
      <c r="H1" s="150" t="s">
        <v>7</v>
      </c>
      <c r="I1" s="149" t="s">
        <v>9</v>
      </c>
      <c r="J1" s="150" t="s">
        <v>14</v>
      </c>
      <c r="K1" s="246" t="s">
        <v>728</v>
      </c>
      <c r="L1" s="75" t="s">
        <v>8</v>
      </c>
      <c r="M1" s="76" t="s">
        <v>13</v>
      </c>
      <c r="N1" s="76" t="s">
        <v>683</v>
      </c>
      <c r="O1" s="76" t="s">
        <v>6</v>
      </c>
      <c r="P1" s="76" t="s">
        <v>4</v>
      </c>
      <c r="Q1" s="75" t="s">
        <v>744</v>
      </c>
      <c r="R1" s="75" t="s">
        <v>743</v>
      </c>
      <c r="S1" s="75" t="s">
        <v>911</v>
      </c>
      <c r="T1" s="75" t="s">
        <v>736</v>
      </c>
      <c r="U1" s="75" t="s">
        <v>11</v>
      </c>
      <c r="V1" s="254" t="s">
        <v>902</v>
      </c>
      <c r="W1" s="261" t="s">
        <v>821</v>
      </c>
      <c r="X1" s="55"/>
      <c r="Y1" s="227" t="str">
        <f>Input!$AN$14</f>
        <v>Crouch</v>
      </c>
      <c r="Z1" s="203"/>
      <c r="AA1" s="203" t="s">
        <v>678</v>
      </c>
      <c r="AB1" s="203" t="s">
        <v>53</v>
      </c>
      <c r="AC1" s="203" t="s">
        <v>19</v>
      </c>
      <c r="AD1" s="203" t="s">
        <v>17</v>
      </c>
      <c r="AE1" s="203" t="s">
        <v>43</v>
      </c>
      <c r="AF1" s="203" t="s">
        <v>135</v>
      </c>
      <c r="AG1" s="203" t="s">
        <v>147</v>
      </c>
      <c r="AH1" s="203" t="s">
        <v>590</v>
      </c>
      <c r="AI1" s="203" t="s">
        <v>1</v>
      </c>
      <c r="AJ1" s="278" t="s">
        <v>743</v>
      </c>
      <c r="AK1" s="279" t="s">
        <v>737</v>
      </c>
      <c r="AL1" s="278" t="s">
        <v>820</v>
      </c>
      <c r="AM1" s="280" t="s">
        <v>822</v>
      </c>
      <c r="AN1" s="195"/>
      <c r="AO1" s="349" t="s">
        <v>3</v>
      </c>
      <c r="AP1" s="350"/>
      <c r="AQ1" s="201" t="s">
        <v>583</v>
      </c>
      <c r="AR1" s="201" t="s">
        <v>580</v>
      </c>
      <c r="AS1" s="201" t="s">
        <v>585</v>
      </c>
      <c r="AT1" s="201" t="s">
        <v>579</v>
      </c>
      <c r="AU1" s="201" t="s">
        <v>582</v>
      </c>
      <c r="AV1" s="201" t="s">
        <v>587</v>
      </c>
      <c r="AW1" s="201" t="s">
        <v>588</v>
      </c>
      <c r="AX1" s="201" t="s">
        <v>581</v>
      </c>
      <c r="AY1" s="202" t="s">
        <v>586</v>
      </c>
      <c r="AZ1" s="195"/>
      <c r="BA1" s="193" t="s">
        <v>743</v>
      </c>
      <c r="BB1" s="194" t="s">
        <v>743</v>
      </c>
      <c r="BC1" s="194" t="s">
        <v>743</v>
      </c>
      <c r="BD1" s="194" t="s">
        <v>743</v>
      </c>
      <c r="BE1" s="194" t="s">
        <v>743</v>
      </c>
      <c r="BF1" s="194" t="s">
        <v>743</v>
      </c>
      <c r="BG1" s="194" t="s">
        <v>743</v>
      </c>
      <c r="BH1" s="194" t="s">
        <v>743</v>
      </c>
      <c r="BI1" s="210" t="s">
        <v>743</v>
      </c>
      <c r="BJ1" s="211"/>
      <c r="BK1" s="203" t="s">
        <v>678</v>
      </c>
      <c r="BL1" s="203" t="s">
        <v>53</v>
      </c>
      <c r="BM1" s="203" t="s">
        <v>19</v>
      </c>
      <c r="BN1" s="203" t="s">
        <v>17</v>
      </c>
      <c r="BO1" s="203" t="s">
        <v>43</v>
      </c>
      <c r="BP1" s="203" t="s">
        <v>135</v>
      </c>
      <c r="BQ1" s="203" t="s">
        <v>147</v>
      </c>
      <c r="BR1" s="203" t="s">
        <v>590</v>
      </c>
      <c r="BS1" s="203" t="s">
        <v>1</v>
      </c>
      <c r="BT1" s="278" t="s">
        <v>743</v>
      </c>
      <c r="BU1" s="279" t="s">
        <v>737</v>
      </c>
      <c r="BV1" s="278" t="s">
        <v>743</v>
      </c>
      <c r="BW1" s="280" t="s">
        <v>822</v>
      </c>
      <c r="BX1" s="203"/>
      <c r="BY1" s="242" t="s">
        <v>743</v>
      </c>
      <c r="BZ1" s="242" t="s">
        <v>919</v>
      </c>
      <c r="CA1" s="242" t="s">
        <v>920</v>
      </c>
      <c r="CB1" s="242" t="s">
        <v>748</v>
      </c>
      <c r="CC1" s="242" t="s">
        <v>659</v>
      </c>
      <c r="CD1" s="242" t="str">
        <f>Input!B12</f>
        <v>ESPN</v>
      </c>
    </row>
    <row r="2" spans="1:82" ht="15.75" customHeight="1" thickBot="1" x14ac:dyDescent="0.3">
      <c r="A2" s="2">
        <v>1</v>
      </c>
      <c r="B2" s="3" t="s">
        <v>252</v>
      </c>
      <c r="C2" s="3" t="s">
        <v>68</v>
      </c>
      <c r="D2" s="3" t="s">
        <v>19</v>
      </c>
      <c r="E2" s="49">
        <v>184.50414426713499</v>
      </c>
      <c r="F2" s="148">
        <v>353.60654229308699</v>
      </c>
      <c r="G2" s="148">
        <v>369.67801057576997</v>
      </c>
      <c r="H2" s="148">
        <v>332.9</v>
      </c>
      <c r="I2" s="4">
        <v>64.900000000000006</v>
      </c>
      <c r="J2" s="49">
        <v>3.15398260263914</v>
      </c>
      <c r="K2" s="247">
        <f>IFERROR(VLOOKUP(C2,Schedule!$T$3:$U$34,2,0),"FA")</f>
        <v>8</v>
      </c>
      <c r="L2" s="3" t="str">
        <f>D2&amp;COUNTIF(D$2:$D2,D2)</f>
        <v>RB1</v>
      </c>
      <c r="M2" s="49">
        <f t="array" ref="M2">IFERROR(F2-AVERAGE(VLOOKUP(D2,$D3:$F$885,3,0),INDEX($F3:$F$885,SMALL(IF(D2=$D3:$D$885,ROW($D3:$D$885)-ROW(D2)),2))),0)</f>
        <v>42.246680381469503</v>
      </c>
      <c r="N2" s="148">
        <f>IFERROR(IF(VLOOKUP($B2,Input!$AC$2:$AC$162,1,0)=$B2,0),F2)</f>
        <v>353.60654229308699</v>
      </c>
      <c r="O2" s="148">
        <f>IFERROR(IF(VLOOKUP($B2,Input!$AC$2:$AC$162,1,0)=$B2,0,G2),G2)</f>
        <v>369.67801057576997</v>
      </c>
      <c r="P2" s="49">
        <f>IF(N2=0,0,F2-AVERAGE(INDEX(F:F,MATCH(VLOOKUP(D2,Input!$A$14:$L$22,10,0),L:L,0)),INDEX(F:F,MATCH(VLOOKUP(D2,Input!$A$14:$L$22,11,0),L:L,0)),INDEX(F:F,MATCH(VLOOKUP(D2,Input!$A$14:$L$22,12,0),L:L,0)))+(0.01-ROW()*0.01))</f>
        <v>184.494144267135</v>
      </c>
      <c r="Q2" s="105">
        <f t="shared" ref="Q2:Q65" si="0">IFERROR(P2/SUMIF(P:P,"&gt;0",P:P),0)</f>
        <v>6.3649177414936933E-2</v>
      </c>
      <c r="R2" s="4">
        <f>IF(VLOOKUP($D2,$X$14:$Y$19,2,0)&lt;=0,1,IF(Q2&lt;0,1,ROUNDUP(IF(Q2*('Draft Center'!$L$28+'Draft Center'!$L$78-'Draft Center'!$L$82)&lt;1,1,Q2*('Draft Center'!$L$28+'Draft Center'!$L$78-'Draft Center'!$L$82)),0)))</f>
        <v>124</v>
      </c>
      <c r="S2" s="4">
        <f>IF(A2&lt;Input!$B$10+0.1,IF(ROUNDUP(R2*Input!$C$10,0)=0,1,ROUNDUP(R2*Input!$C$10,0)),IF(A2&gt;Input!$B$11,IF(ROUNDUP(R2*Input!$C$11,0)=0,1,ROUNDUP(R2*Input!$C$11,0)),IF(ROUNDUP(R2,0)=0,1,ROUNDUP(R2,0))))</f>
        <v>137</v>
      </c>
      <c r="T2" s="4">
        <f t="shared" ref="T2:T65" si="1">IF(U2&gt;0,0,IF(AA2=1,R2,IF(AL2=0,1,AL2)))</f>
        <v>124</v>
      </c>
      <c r="U2" s="4">
        <f>IFERROR(VLOOKUP($B2,Input!$AC$2:$AE$161,3,0),0)</f>
        <v>0</v>
      </c>
      <c r="V2" s="255">
        <f>IF(R2=0,0,IFERROR(((R2-CD2)/CD2)+(ROW()*0.00001),0))</f>
        <v>0.91065174114021552</v>
      </c>
      <c r="W2" s="262">
        <f>IF(R2=0,0,IFERROR(((R2-CD2))+(ROW()*0.00001),0))</f>
        <v>59.100019999999994</v>
      </c>
      <c r="X2" s="198" t="s">
        <v>679</v>
      </c>
      <c r="Y2" s="82">
        <f>SUM(Input!Q2:Q15)-COUNTIF('Draft Center'!$B$12:$B$21,"*?")</f>
        <v>9</v>
      </c>
      <c r="Z2" s="83">
        <f>SUM(AA2:AA885)</f>
        <v>9</v>
      </c>
      <c r="AA2" s="23">
        <v>0</v>
      </c>
      <c r="AB2" s="23" t="str">
        <f t="shared" ref="AB2:AG11" si="2">IF($D2=AB$1,1*$AA2,"")</f>
        <v/>
      </c>
      <c r="AC2" s="23">
        <f t="shared" si="2"/>
        <v>0</v>
      </c>
      <c r="AD2" s="23" t="str">
        <f t="shared" si="2"/>
        <v/>
      </c>
      <c r="AE2" s="23" t="str">
        <f t="shared" si="2"/>
        <v/>
      </c>
      <c r="AF2" s="23" t="str">
        <f t="shared" si="2"/>
        <v/>
      </c>
      <c r="AG2" s="23" t="str">
        <f t="shared" si="2"/>
        <v/>
      </c>
      <c r="AH2" s="23">
        <f t="shared" ref="AH2:AH65" si="3">IF($D2=AC$1,1*$AA2,IF($D2=AD$1,1*$AA2,IF($D2=AE$1,1*$AA2,IF($D2=AB$1,1*$AA2,IF($D2=AF$1,1*$AA2,IF($D2=AG$1,1*$AA2,""))))))</f>
        <v>0</v>
      </c>
      <c r="AI2" s="23">
        <f t="shared" ref="AI2:AI65" si="4">IF(AH2=1,B2,0)</f>
        <v>0</v>
      </c>
      <c r="AJ2" s="208">
        <v>124</v>
      </c>
      <c r="AK2" s="225">
        <v>1664.2393296805169</v>
      </c>
      <c r="AL2" s="33">
        <v>124</v>
      </c>
      <c r="AM2" s="204">
        <v>1664.9334747686589</v>
      </c>
      <c r="AN2" s="196"/>
      <c r="AO2" s="82" t="s">
        <v>679</v>
      </c>
      <c r="AP2" s="83">
        <f>SUM(BK2:BK885)</f>
        <v>10</v>
      </c>
      <c r="AQ2" s="82">
        <f>SUM(Input!$Q$2:$Q$15)-COUNTIF('Draft Center'!C12:C21,"*?")</f>
        <v>9</v>
      </c>
      <c r="AR2" s="82">
        <f>SUM(Input!$Q$2:$Q$15)-COUNTIF('Draft Center'!D12:D21,"*?")</f>
        <v>9</v>
      </c>
      <c r="AS2" s="82">
        <f>SUM(Input!$Q$2:$Q$15)-COUNTIF('Draft Center'!E12:E21,"*?")</f>
        <v>9</v>
      </c>
      <c r="AT2" s="82">
        <f>SUM(Input!$Q$2:$Q$15)-COUNTIF('Draft Center'!F12:F21,"*?")</f>
        <v>9</v>
      </c>
      <c r="AU2" s="82">
        <f>SUM(Input!$Q$2:$Q$15)-COUNTIF('Draft Center'!G12:G21,"*?")</f>
        <v>9</v>
      </c>
      <c r="AV2" s="82">
        <f>SUM(Input!$Q$2:$Q$15)-COUNTIF('Draft Center'!H12:H21,"*?")</f>
        <v>9</v>
      </c>
      <c r="AW2" s="82">
        <f>SUM(Input!$Q$2:$Q$15)-COUNTIF('Draft Center'!I12:I21,"*?")</f>
        <v>9</v>
      </c>
      <c r="AX2" s="82">
        <f>SUM(Input!$Q$2:$Q$15)-COUNTIF('Draft Center'!J12:J21,"*?")</f>
        <v>9</v>
      </c>
      <c r="AY2" s="82">
        <f>SUM(Input!$Q$2:$Q$15)-COUNTIF('Draft Center'!K12:K21,"*?")</f>
        <v>9</v>
      </c>
      <c r="AZ2" s="196"/>
      <c r="BA2" s="208">
        <f>IF(VLOOKUP($D2,$AO$14:AQ$19,COLUMN()-50,0)&lt;=0,1,IF($Q2&lt;0,1,ROUNDUP(IF($Q2*('Draft Center'!$L$28+'Draft Center'!$L$78-'Draft Center'!$L$82)&lt;1,1,$Q2*('Draft Center'!$L$28+'Draft Center'!$L$78-'Draft Center'!$L$82)),0)))</f>
        <v>124</v>
      </c>
      <c r="BB2" s="208">
        <f>IF(VLOOKUP($D2,$AO$14:AR$19,COLUMN()-50,0)&lt;=0,1,IF($Q2&lt;0,1,ROUNDUP(IF($Q2*('Draft Center'!$L$28+'Draft Center'!$L$78-'Draft Center'!$L$82)&lt;1,1,$Q2*('Draft Center'!$L$28+'Draft Center'!$L$78-'Draft Center'!$L$82)),0)))</f>
        <v>124</v>
      </c>
      <c r="BC2" s="208">
        <f>IF(VLOOKUP($D2,$AO$14:AS$19,COLUMN()-50,0)&lt;=0,1,IF($Q2&lt;0,1,ROUNDUP(IF($Q2*('Draft Center'!$L$28+'Draft Center'!$L$78-'Draft Center'!$L$82)&lt;1,1,$Q2*('Draft Center'!$L$28+'Draft Center'!$L$78-'Draft Center'!$L$82)),0)))</f>
        <v>124</v>
      </c>
      <c r="BD2" s="208">
        <f>IF(VLOOKUP($D2,$AO$14:AT$19,COLUMN()-50,0)&lt;=0,1,IF($Q2&lt;0,1,ROUNDUP(IF($Q2*('Draft Center'!$L$28+'Draft Center'!$L$78-'Draft Center'!$L$82)&lt;1,1,$Q2*('Draft Center'!$L$28+'Draft Center'!$L$78-'Draft Center'!$L$82)),0)))</f>
        <v>124</v>
      </c>
      <c r="BE2" s="208">
        <f>IF(VLOOKUP($D2,$AO$14:AU$19,COLUMN()-50,0)&lt;=0,1,IF($Q2&lt;0,1,ROUNDUP(IF($Q2*('Draft Center'!$L$28+'Draft Center'!$L$78-'Draft Center'!$L$82)&lt;1,1,$Q2*('Draft Center'!$L$28+'Draft Center'!$L$78-'Draft Center'!$L$82)),0)))</f>
        <v>124</v>
      </c>
      <c r="BF2" s="208">
        <f>IF(VLOOKUP($D2,$AO$14:AV$19,COLUMN()-50,0)&lt;=0,1,IF($Q2&lt;0,1,ROUNDUP(IF($Q2*('Draft Center'!$L$28+'Draft Center'!$L$78-'Draft Center'!$L$82)&lt;1,1,$Q2*('Draft Center'!$L$28+'Draft Center'!$L$78-'Draft Center'!$L$82)),0)))</f>
        <v>124</v>
      </c>
      <c r="BG2" s="208">
        <f>IF(VLOOKUP($D2,$AO$14:AW$19,COLUMN()-50,0)&lt;=0,1,IF($Q2&lt;0,1,ROUNDUP(IF($Q2*('Draft Center'!$L$28+'Draft Center'!$L$78-'Draft Center'!$L$82)&lt;1,1,$Q2*('Draft Center'!$L$28+'Draft Center'!$L$78-'Draft Center'!$L$82)),0)))</f>
        <v>124</v>
      </c>
      <c r="BH2" s="208">
        <f>IF(VLOOKUP($D2,$AO$14:AX$19,COLUMN()-50,0)&lt;=0,1,IF($Q2&lt;0,1,ROUNDUP(IF($Q2*('Draft Center'!$L$28+'Draft Center'!$L$78-'Draft Center'!$L$82)&lt;1,1,$Q2*('Draft Center'!$L$28+'Draft Center'!$L$78-'Draft Center'!$L$82)),0)))</f>
        <v>124</v>
      </c>
      <c r="BI2" s="208">
        <f>IF(VLOOKUP($D2,$AO$14:AY$19,COLUMN()-50,0)&lt;=0,1,IF($Q2&lt;0,1,ROUNDUP(IF($Q2*('Draft Center'!$L$28+'Draft Center'!$L$78-'Draft Center'!$L$82)&lt;1,1,$Q2*('Draft Center'!$L$28+'Draft Center'!$L$78-'Draft Center'!$L$82)),0)))</f>
        <v>124</v>
      </c>
      <c r="BJ2" s="196"/>
      <c r="BK2" s="23">
        <v>1</v>
      </c>
      <c r="BL2" s="23" t="str">
        <f t="shared" ref="BL2:BQ11" si="5">IF($D2=BL$1,1*$BK2,"")</f>
        <v/>
      </c>
      <c r="BM2" s="23">
        <v>0</v>
      </c>
      <c r="BN2" s="23" t="str">
        <f t="shared" si="5"/>
        <v/>
      </c>
      <c r="BO2" s="23" t="str">
        <f t="shared" si="5"/>
        <v/>
      </c>
      <c r="BP2" s="23" t="str">
        <f t="shared" si="5"/>
        <v/>
      </c>
      <c r="BQ2" s="23" t="str">
        <f t="shared" si="5"/>
        <v/>
      </c>
      <c r="BR2" s="23">
        <f t="shared" ref="BR2:BR65" si="6">IF($D2=BM$1,1*$BK2,IF($D2=BN$1,1*$BK2,IF($D2=BO$1,1*$BK2,IF($D2=BL$1,1*$BK2,IF($D2=BP$1,1*$BK2,IF($D2=BQ$1,1*$BK2,""))))))</f>
        <v>1</v>
      </c>
      <c r="BS2" s="23" t="str">
        <f t="shared" ref="BS2:BS65" si="7">IF(BR2=1,B2,0)</f>
        <v>David Johnson</v>
      </c>
      <c r="BT2" s="69">
        <v>124</v>
      </c>
      <c r="BU2" s="58">
        <v>2327.0337</v>
      </c>
      <c r="BV2" s="33">
        <v>124</v>
      </c>
      <c r="BW2" s="204">
        <v>2327.0337</v>
      </c>
      <c r="BX2" s="23"/>
      <c r="BY2" s="72">
        <v>124</v>
      </c>
      <c r="BZ2" s="72">
        <v>64.900000000000006</v>
      </c>
      <c r="CA2" s="72">
        <v>64.900000000000006</v>
      </c>
      <c r="CB2" s="72">
        <v>64.900000000000006</v>
      </c>
      <c r="CC2" s="72">
        <f>AVERAGE(BZ2:CB2)</f>
        <v>64.900000000000006</v>
      </c>
      <c r="CD2" s="72">
        <f>IFERROR(HLOOKUP($CD$1,$BZ$1:$CC$930,ROW(),0),"")</f>
        <v>64.900000000000006</v>
      </c>
    </row>
    <row r="3" spans="1:82" ht="15.75" customHeight="1" thickBot="1" x14ac:dyDescent="0.3">
      <c r="A3" s="6">
        <v>2</v>
      </c>
      <c r="B3" s="7" t="s">
        <v>18</v>
      </c>
      <c r="C3" s="7" t="s">
        <v>16</v>
      </c>
      <c r="D3" s="7" t="s">
        <v>19</v>
      </c>
      <c r="E3" s="50">
        <v>167.586703935755</v>
      </c>
      <c r="F3" s="50">
        <v>336.68910196170702</v>
      </c>
      <c r="G3" s="50">
        <v>367.92088582282599</v>
      </c>
      <c r="H3" s="50">
        <v>310.30473251028798</v>
      </c>
      <c r="I3" s="8">
        <v>63.2</v>
      </c>
      <c r="J3" s="50">
        <v>3.8394891827889301</v>
      </c>
      <c r="K3" s="248">
        <f>IFERROR(VLOOKUP(C3,Schedule!$T$3:$U$34,2,0),"FA")</f>
        <v>9</v>
      </c>
      <c r="L3" s="7" t="str">
        <f>D3&amp;COUNTIF(D$2:$D3,D3)</f>
        <v>RB2</v>
      </c>
      <c r="M3" s="50">
        <f t="array" ref="M3">IFERROR(F3-AVERAGE(VLOOKUP(D3,$D4:$F$885,3,0),INDEX($F4:$F$885,SMALL(IF(D3=$D4:$D$885,ROW($D4:$D$885)-ROW(D3)),2))),0)</f>
        <v>59.104857664405529</v>
      </c>
      <c r="N3" s="50">
        <f>IFERROR(IF(VLOOKUP($B3,Input!$AC$2:$AC$162,1,0)=$B3,0),F3)</f>
        <v>336.68910196170702</v>
      </c>
      <c r="O3" s="50">
        <f>IFERROR(IF(VLOOKUP($B3,Input!$AC$2:$AC$162,1,0)=$B3,0,G3),G3)</f>
        <v>367.92088582282599</v>
      </c>
      <c r="P3" s="50">
        <f>IF(N3=0,0,F3-AVERAGE(INDEX(F:F,MATCH(VLOOKUP(D3,Input!$A$14:$L$22,10,0),L:L,0)),INDEX(F:F,MATCH(VLOOKUP(D3,Input!$A$14:$L$22,11,0),L:L,0)),INDEX(F:F,MATCH(VLOOKUP(D3,Input!$A$14:$L$22,12,0),L:L,0)))+(0.01-ROW()*0.01))</f>
        <v>167.56670393575502</v>
      </c>
      <c r="Q3" s="106">
        <f t="shared" si="0"/>
        <v>5.7809329992610424E-2</v>
      </c>
      <c r="R3" s="8">
        <f>IF(VLOOKUP($D3,$X$14:$Y$19,2,0)&lt;=0,1,IF(Q3&lt;0,1,ROUNDUP(IF(Q3*('Draft Center'!$L$28+'Draft Center'!$L$78-'Draft Center'!$L$82)&lt;1,1,Q3*('Draft Center'!$L$28+'Draft Center'!$L$78-'Draft Center'!$L$82)),0)))</f>
        <v>113</v>
      </c>
      <c r="S3" s="8">
        <f>IF(A3&lt;Input!$B$10+0.1,IF(ROUNDUP(R3*Input!$C$10,0)=0,1,ROUNDUP(R3*Input!$C$10,0)),IF(A3&gt;Input!$B$11,IF(ROUNDUP(R3*Input!$C$11,0)=0,1,ROUNDUP(R3*Input!$C$11,0)),IF(ROUNDUP(R3,0)=0,1,ROUNDUP(R3,0))))</f>
        <v>125</v>
      </c>
      <c r="T3" s="8">
        <f t="shared" si="1"/>
        <v>113</v>
      </c>
      <c r="U3" s="8">
        <f>IFERROR(VLOOKUP($B3,Input!$AC$2:$AE$161,3,0),0)</f>
        <v>0</v>
      </c>
      <c r="V3" s="256">
        <f t="shared" ref="V3:V66" si="8">IF(R3=0,0,IFERROR(((R3-CD3)/CD3)+(ROW()*0.00001),0))</f>
        <v>0.78800468354430364</v>
      </c>
      <c r="W3" s="263">
        <f t="shared" ref="W3:W66" si="9">IF(R3=0,0,IFERROR(((R3-CD3))+(ROW()*0.00001),0))</f>
        <v>49.80003</v>
      </c>
      <c r="X3" s="27" t="s">
        <v>680</v>
      </c>
      <c r="Y3" s="23">
        <f>HLOOKUP(Input!$AN$14,Input!$AZ$1:$AZ$161,161,0)-Y12</f>
        <v>193</v>
      </c>
      <c r="Z3" s="84">
        <f>SUMPRODUCT(AA2:AA885,AJ2:AJ885)</f>
        <v>193</v>
      </c>
      <c r="AA3" s="23">
        <v>0</v>
      </c>
      <c r="AB3" s="23" t="str">
        <f t="shared" si="2"/>
        <v/>
      </c>
      <c r="AC3" s="23">
        <f t="shared" si="2"/>
        <v>0</v>
      </c>
      <c r="AD3" s="23" t="str">
        <f t="shared" si="2"/>
        <v/>
      </c>
      <c r="AE3" s="23" t="str">
        <f t="shared" si="2"/>
        <v/>
      </c>
      <c r="AF3" s="23" t="str">
        <f t="shared" si="2"/>
        <v/>
      </c>
      <c r="AG3" s="23" t="str">
        <f t="shared" si="2"/>
        <v/>
      </c>
      <c r="AH3" s="23">
        <f t="shared" si="3"/>
        <v>0</v>
      </c>
      <c r="AI3" s="23">
        <f t="shared" si="4"/>
        <v>0</v>
      </c>
      <c r="AJ3" s="70">
        <v>113</v>
      </c>
      <c r="AK3" s="225">
        <v>1919.310059326433</v>
      </c>
      <c r="AL3" s="33">
        <v>113</v>
      </c>
      <c r="AM3" s="204">
        <v>1920.4123472561241</v>
      </c>
      <c r="AN3" s="196"/>
      <c r="AO3" s="23" t="s">
        <v>680</v>
      </c>
      <c r="AP3" s="84">
        <f>SUMPRODUCT(BK2:BK885,BT2:BT885)</f>
        <v>214</v>
      </c>
      <c r="AQ3" s="97">
        <f>HLOOKUP(Input!BA$1,Input!$BA$1:$BI$161,161,0)-AQ12</f>
        <v>193</v>
      </c>
      <c r="AR3" s="97">
        <f>HLOOKUP(Input!BB$1,Input!$BA$1:$BI$161,161,0)-AR12</f>
        <v>193</v>
      </c>
      <c r="AS3" s="97">
        <f>HLOOKUP(Input!BC$1,Input!$BA$1:$BI$161,161,0)-AS12</f>
        <v>193</v>
      </c>
      <c r="AT3" s="97">
        <f>HLOOKUP(Input!BD$1,Input!$BA$1:$BI$161,161,0)-AT12</f>
        <v>193</v>
      </c>
      <c r="AU3" s="97">
        <f>HLOOKUP(Input!BE$1,Input!$BA$1:$BI$161,161,0)-AU12</f>
        <v>193</v>
      </c>
      <c r="AV3" s="97">
        <f>HLOOKUP(Input!BF$1,Input!$BA$1:$BI$161,161,0)-AV12</f>
        <v>193</v>
      </c>
      <c r="AW3" s="97">
        <f>HLOOKUP(Input!BG$1,Input!$BA$1:$BI$161,161,0)-AW12</f>
        <v>193</v>
      </c>
      <c r="AX3" s="97">
        <f>HLOOKUP(Input!BH$1,Input!$BA$1:$BI$161,161,0)-AX12</f>
        <v>193</v>
      </c>
      <c r="AY3" s="97">
        <f>HLOOKUP(Input!BI$1,Input!$BA$1:$BI$161,161,0)-AY12</f>
        <v>193</v>
      </c>
      <c r="AZ3" s="196"/>
      <c r="BA3" s="70">
        <f>IF(VLOOKUP($D3,$AO$14:AQ$19,COLUMN()-50,0)&lt;=0,1,IF($Q3&lt;0,1,ROUNDUP(IF($Q3*('Draft Center'!$L$28+'Draft Center'!$L$78-'Draft Center'!$L$82)&lt;1,1,$Q3*('Draft Center'!$L$28+'Draft Center'!$L$78-'Draft Center'!$L$82)),0)))</f>
        <v>113</v>
      </c>
      <c r="BB3" s="70">
        <f>IF(VLOOKUP($D3,$AO$14:AR$19,COLUMN()-50,0)&lt;=0,1,IF($Q3&lt;0,1,ROUNDUP(IF($Q3*('Draft Center'!$L$28+'Draft Center'!$L$78-'Draft Center'!$L$82)&lt;1,1,$Q3*('Draft Center'!$L$28+'Draft Center'!$L$78-'Draft Center'!$L$82)),0)))</f>
        <v>113</v>
      </c>
      <c r="BC3" s="70">
        <f>IF(VLOOKUP($D3,$AO$14:AS$19,COLUMN()-50,0)&lt;=0,1,IF($Q3&lt;0,1,ROUNDUP(IF($Q3*('Draft Center'!$L$28+'Draft Center'!$L$78-'Draft Center'!$L$82)&lt;1,1,$Q3*('Draft Center'!$L$28+'Draft Center'!$L$78-'Draft Center'!$L$82)),0)))</f>
        <v>113</v>
      </c>
      <c r="BD3" s="70">
        <f>IF(VLOOKUP($D3,$AO$14:AT$19,COLUMN()-50,0)&lt;=0,1,IF($Q3&lt;0,1,ROUNDUP(IF($Q3*('Draft Center'!$L$28+'Draft Center'!$L$78-'Draft Center'!$L$82)&lt;1,1,$Q3*('Draft Center'!$L$28+'Draft Center'!$L$78-'Draft Center'!$L$82)),0)))</f>
        <v>113</v>
      </c>
      <c r="BE3" s="70">
        <f>IF(VLOOKUP($D3,$AO$14:AU$19,COLUMN()-50,0)&lt;=0,1,IF($Q3&lt;0,1,ROUNDUP(IF($Q3*('Draft Center'!$L$28+'Draft Center'!$L$78-'Draft Center'!$L$82)&lt;1,1,$Q3*('Draft Center'!$L$28+'Draft Center'!$L$78-'Draft Center'!$L$82)),0)))</f>
        <v>113</v>
      </c>
      <c r="BF3" s="70">
        <f>IF(VLOOKUP($D3,$AO$14:AV$19,COLUMN()-50,0)&lt;=0,1,IF($Q3&lt;0,1,ROUNDUP(IF($Q3*('Draft Center'!$L$28+'Draft Center'!$L$78-'Draft Center'!$L$82)&lt;1,1,$Q3*('Draft Center'!$L$28+'Draft Center'!$L$78-'Draft Center'!$L$82)),0)))</f>
        <v>113</v>
      </c>
      <c r="BG3" s="70">
        <f>IF(VLOOKUP($D3,$AO$14:AW$19,COLUMN()-50,0)&lt;=0,1,IF($Q3&lt;0,1,ROUNDUP(IF($Q3*('Draft Center'!$L$28+'Draft Center'!$L$78-'Draft Center'!$L$82)&lt;1,1,$Q3*('Draft Center'!$L$28+'Draft Center'!$L$78-'Draft Center'!$L$82)),0)))</f>
        <v>113</v>
      </c>
      <c r="BH3" s="70">
        <f>IF(VLOOKUP($D3,$AO$14:AX$19,COLUMN()-50,0)&lt;=0,1,IF($Q3&lt;0,1,ROUNDUP(IF($Q3*('Draft Center'!$L$28+'Draft Center'!$L$78-'Draft Center'!$L$82)&lt;1,1,$Q3*('Draft Center'!$L$28+'Draft Center'!$L$78-'Draft Center'!$L$82)),0)))</f>
        <v>113</v>
      </c>
      <c r="BI3" s="70">
        <f>IF(VLOOKUP($D3,$AO$14:AY$19,COLUMN()-50,0)&lt;=0,1,IF($Q3&lt;0,1,ROUNDUP(IF($Q3*('Draft Center'!$L$28+'Draft Center'!$L$78-'Draft Center'!$L$82)&lt;1,1,$Q3*('Draft Center'!$L$28+'Draft Center'!$L$78-'Draft Center'!$L$82)),0)))</f>
        <v>113</v>
      </c>
      <c r="BJ3" s="196"/>
      <c r="BK3" s="23">
        <v>0</v>
      </c>
      <c r="BL3" s="23" t="str">
        <f t="shared" si="5"/>
        <v/>
      </c>
      <c r="BM3" s="23">
        <v>0</v>
      </c>
      <c r="BN3" s="23" t="str">
        <f t="shared" si="5"/>
        <v/>
      </c>
      <c r="BO3" s="23" t="str">
        <f t="shared" si="5"/>
        <v/>
      </c>
      <c r="BP3" s="23" t="str">
        <f t="shared" si="5"/>
        <v/>
      </c>
      <c r="BQ3" s="23" t="str">
        <f t="shared" si="5"/>
        <v/>
      </c>
      <c r="BR3" s="23">
        <f t="shared" si="6"/>
        <v>0</v>
      </c>
      <c r="BS3" s="23">
        <f t="shared" si="7"/>
        <v>0</v>
      </c>
      <c r="BT3" s="70">
        <v>113</v>
      </c>
      <c r="BU3" s="58">
        <v>2327.0337</v>
      </c>
      <c r="BV3" s="33">
        <v>113</v>
      </c>
      <c r="BW3" s="204">
        <v>2327.0337</v>
      </c>
      <c r="BX3" s="23"/>
      <c r="BY3" s="70">
        <v>113</v>
      </c>
      <c r="BZ3" s="70">
        <v>63.2</v>
      </c>
      <c r="CA3" s="70">
        <v>63.2</v>
      </c>
      <c r="CB3" s="70">
        <v>63.2</v>
      </c>
      <c r="CC3" s="70">
        <f t="shared" ref="CC3:CC66" si="10">AVERAGE(BZ3:CB3)</f>
        <v>63.20000000000001</v>
      </c>
      <c r="CD3" s="70">
        <f t="shared" ref="CD3:CD66" si="11">IFERROR(HLOOKUP($CD$1,$BZ$1:$CC$930,ROW(),0),"")</f>
        <v>63.2</v>
      </c>
    </row>
    <row r="4" spans="1:82" ht="15.75" customHeight="1" thickBot="1" x14ac:dyDescent="0.3">
      <c r="A4" s="9">
        <v>3</v>
      </c>
      <c r="B4" s="10" t="s">
        <v>753</v>
      </c>
      <c r="C4" s="10" t="s">
        <v>35</v>
      </c>
      <c r="D4" s="10" t="s">
        <v>19</v>
      </c>
      <c r="E4" s="51">
        <v>116.928223835577</v>
      </c>
      <c r="F4" s="51">
        <v>286.030621861528</v>
      </c>
      <c r="G4" s="51">
        <v>307.347116727117</v>
      </c>
      <c r="H4" s="51">
        <v>253.41490675241201</v>
      </c>
      <c r="I4" s="11">
        <v>60.6</v>
      </c>
      <c r="J4" s="51">
        <v>3.7328231741039399</v>
      </c>
      <c r="K4" s="249">
        <f>IFERROR(VLOOKUP(C4,Schedule!$T$3:$U$34,2,0),"FA")</f>
        <v>6</v>
      </c>
      <c r="L4" s="10" t="str">
        <f>D4&amp;COUNTIF(D$2:$D4,D4)</f>
        <v>RB3</v>
      </c>
      <c r="M4" s="51">
        <f t="array" ref="M4">IFERROR(F4-AVERAGE(VLOOKUP(D4,$D5:$F$885,3,0),INDEX($F5:$F$885,SMALL(IF(D4=$D5:$D$885,ROW($D5:$D$885)-ROW(D4)),2))),0)</f>
        <v>20.602174552780525</v>
      </c>
      <c r="N4" s="51">
        <f>IFERROR(IF(VLOOKUP($B4,Input!$AC$2:$AC$162,1,0)=$B4,0),F4)</f>
        <v>286.030621861528</v>
      </c>
      <c r="O4" s="51">
        <f>IFERROR(IF(VLOOKUP($B4,Input!$AC$2:$AC$162,1,0)=$B4,0,G4),G4)</f>
        <v>307.347116727117</v>
      </c>
      <c r="P4" s="51">
        <f>IF(N4=0,0,F4-AVERAGE(INDEX(F:F,MATCH(VLOOKUP(D4,Input!$A$14:$L$22,10,0),L:L,0)),INDEX(F:F,MATCH(VLOOKUP(D4,Input!$A$14:$L$22,11,0),L:L,0)),INDEX(F:F,MATCH(VLOOKUP(D4,Input!$A$14:$L$22,12,0),L:L,0)))+(0.01-ROW()*0.01))</f>
        <v>116.898223835576</v>
      </c>
      <c r="Q4" s="107">
        <f t="shared" si="0"/>
        <v>4.0329062030436492E-2</v>
      </c>
      <c r="R4" s="11">
        <f>IF(VLOOKUP($D4,$X$14:$Y$19,2,0)&lt;=0,1,IF(Q4&lt;0,1,ROUNDUP(IF(Q4*('Draft Center'!$L$28+'Draft Center'!$L$78-'Draft Center'!$L$82)&lt;1,1,Q4*('Draft Center'!$L$28+'Draft Center'!$L$78-'Draft Center'!$L$82)),0)))</f>
        <v>79</v>
      </c>
      <c r="S4" s="11">
        <f>IF(A4&lt;Input!$B$10+0.1,IF(ROUNDUP(R4*Input!$C$10,0)=0,1,ROUNDUP(R4*Input!$C$10,0)),IF(A4&gt;Input!$B$11,IF(ROUNDUP(R4*Input!$C$11,0)=0,1,ROUNDUP(R4*Input!$C$11,0)),IF(ROUNDUP(R4,0)=0,1,ROUNDUP(R4,0))))</f>
        <v>87</v>
      </c>
      <c r="T4" s="11">
        <f t="shared" si="1"/>
        <v>79</v>
      </c>
      <c r="U4" s="11">
        <f>IFERROR(VLOOKUP($B4,Input!$AC$2:$AE$161,3,0),0)</f>
        <v>0</v>
      </c>
      <c r="V4" s="257">
        <f t="shared" si="8"/>
        <v>0.30367036303630357</v>
      </c>
      <c r="W4" s="264">
        <f t="shared" si="9"/>
        <v>18.400039999999997</v>
      </c>
      <c r="X4" s="27" t="s">
        <v>681</v>
      </c>
      <c r="Y4" s="22">
        <f>SUMPRODUCT(AA2:AA885,N2:N885)</f>
        <v>1932.5158367073211</v>
      </c>
      <c r="Z4" s="84"/>
      <c r="AA4" s="23">
        <v>0</v>
      </c>
      <c r="AB4" s="23" t="str">
        <f t="shared" si="2"/>
        <v/>
      </c>
      <c r="AC4" s="23">
        <f t="shared" si="2"/>
        <v>0</v>
      </c>
      <c r="AD4" s="23" t="str">
        <f t="shared" si="2"/>
        <v/>
      </c>
      <c r="AE4" s="23" t="str">
        <f t="shared" si="2"/>
        <v/>
      </c>
      <c r="AF4" s="23" t="str">
        <f t="shared" si="2"/>
        <v/>
      </c>
      <c r="AG4" s="23" t="str">
        <f t="shared" si="2"/>
        <v/>
      </c>
      <c r="AH4" s="23">
        <f t="shared" si="3"/>
        <v>0</v>
      </c>
      <c r="AI4" s="23">
        <f t="shared" si="4"/>
        <v>0</v>
      </c>
      <c r="AJ4" s="69">
        <v>79</v>
      </c>
      <c r="AK4" s="225">
        <v>1398.8608499669419</v>
      </c>
      <c r="AL4" s="33">
        <v>79</v>
      </c>
      <c r="AM4" s="204">
        <v>1398.905157171688</v>
      </c>
      <c r="AN4" s="196"/>
      <c r="AO4" s="23" t="s">
        <v>681</v>
      </c>
      <c r="AP4" s="22">
        <f>SUMPRODUCT(BK2:BK930,N2:N930)</f>
        <v>2182.4082119090044</v>
      </c>
      <c r="AQ4" s="68"/>
      <c r="AR4" s="68"/>
      <c r="AS4" s="68"/>
      <c r="AT4" s="68"/>
      <c r="AU4" s="68"/>
      <c r="AV4" s="68"/>
      <c r="AW4" s="68"/>
      <c r="AX4" s="68"/>
      <c r="AY4" s="68"/>
      <c r="AZ4" s="196"/>
      <c r="BA4" s="69">
        <f>IF(VLOOKUP($D4,$AO$14:AQ$19,COLUMN()-50,0)&lt;=0,1,IF($Q4&lt;0,1,ROUNDUP(IF($Q4*('Draft Center'!$L$28+'Draft Center'!$L$78-'Draft Center'!$L$82)&lt;1,1,$Q4*('Draft Center'!$L$28+'Draft Center'!$L$78-'Draft Center'!$L$82)),0)))</f>
        <v>79</v>
      </c>
      <c r="BB4" s="69">
        <f>IF(VLOOKUP($D4,$AO$14:AR$19,COLUMN()-50,0)&lt;=0,1,IF($Q4&lt;0,1,ROUNDUP(IF($Q4*('Draft Center'!$L$28+'Draft Center'!$L$78-'Draft Center'!$L$82)&lt;1,1,$Q4*('Draft Center'!$L$28+'Draft Center'!$L$78-'Draft Center'!$L$82)),0)))</f>
        <v>79</v>
      </c>
      <c r="BC4" s="69">
        <f>IF(VLOOKUP($D4,$AO$14:AS$19,COLUMN()-50,0)&lt;=0,1,IF($Q4&lt;0,1,ROUNDUP(IF($Q4*('Draft Center'!$L$28+'Draft Center'!$L$78-'Draft Center'!$L$82)&lt;1,1,$Q4*('Draft Center'!$L$28+'Draft Center'!$L$78-'Draft Center'!$L$82)),0)))</f>
        <v>79</v>
      </c>
      <c r="BD4" s="69">
        <f>IF(VLOOKUP($D4,$AO$14:AT$19,COLUMN()-50,0)&lt;=0,1,IF($Q4&lt;0,1,ROUNDUP(IF($Q4*('Draft Center'!$L$28+'Draft Center'!$L$78-'Draft Center'!$L$82)&lt;1,1,$Q4*('Draft Center'!$L$28+'Draft Center'!$L$78-'Draft Center'!$L$82)),0)))</f>
        <v>79</v>
      </c>
      <c r="BE4" s="69">
        <f>IF(VLOOKUP($D4,$AO$14:AU$19,COLUMN()-50,0)&lt;=0,1,IF($Q4&lt;0,1,ROUNDUP(IF($Q4*('Draft Center'!$L$28+'Draft Center'!$L$78-'Draft Center'!$L$82)&lt;1,1,$Q4*('Draft Center'!$L$28+'Draft Center'!$L$78-'Draft Center'!$L$82)),0)))</f>
        <v>79</v>
      </c>
      <c r="BF4" s="69">
        <f>IF(VLOOKUP($D4,$AO$14:AV$19,COLUMN()-50,0)&lt;=0,1,IF($Q4&lt;0,1,ROUNDUP(IF($Q4*('Draft Center'!$L$28+'Draft Center'!$L$78-'Draft Center'!$L$82)&lt;1,1,$Q4*('Draft Center'!$L$28+'Draft Center'!$L$78-'Draft Center'!$L$82)),0)))</f>
        <v>79</v>
      </c>
      <c r="BG4" s="69">
        <f>IF(VLOOKUP($D4,$AO$14:AW$19,COLUMN()-50,0)&lt;=0,1,IF($Q4&lt;0,1,ROUNDUP(IF($Q4*('Draft Center'!$L$28+'Draft Center'!$L$78-'Draft Center'!$L$82)&lt;1,1,$Q4*('Draft Center'!$L$28+'Draft Center'!$L$78-'Draft Center'!$L$82)),0)))</f>
        <v>79</v>
      </c>
      <c r="BH4" s="69">
        <f>IF(VLOOKUP($D4,$AO$14:AX$19,COLUMN()-50,0)&lt;=0,1,IF($Q4&lt;0,1,ROUNDUP(IF($Q4*('Draft Center'!$L$28+'Draft Center'!$L$78-'Draft Center'!$L$82)&lt;1,1,$Q4*('Draft Center'!$L$28+'Draft Center'!$L$78-'Draft Center'!$L$82)),0)))</f>
        <v>79</v>
      </c>
      <c r="BI4" s="69">
        <f>IF(VLOOKUP($D4,$AO$14:AY$19,COLUMN()-50,0)&lt;=0,1,IF($Q4&lt;0,1,ROUNDUP(IF($Q4*('Draft Center'!$L$28+'Draft Center'!$L$78-'Draft Center'!$L$82)&lt;1,1,$Q4*('Draft Center'!$L$28+'Draft Center'!$L$78-'Draft Center'!$L$82)),0)))</f>
        <v>79</v>
      </c>
      <c r="BJ4" s="196"/>
      <c r="BK4" s="23">
        <v>0</v>
      </c>
      <c r="BL4" s="23" t="str">
        <f t="shared" si="5"/>
        <v/>
      </c>
      <c r="BM4" s="23">
        <v>0</v>
      </c>
      <c r="BN4" s="23" t="str">
        <f t="shared" si="5"/>
        <v/>
      </c>
      <c r="BO4" s="23" t="str">
        <f t="shared" si="5"/>
        <v/>
      </c>
      <c r="BP4" s="23" t="str">
        <f t="shared" si="5"/>
        <v/>
      </c>
      <c r="BQ4" s="23" t="str">
        <f t="shared" si="5"/>
        <v/>
      </c>
      <c r="BR4" s="23">
        <f t="shared" si="6"/>
        <v>0</v>
      </c>
      <c r="BS4" s="23">
        <f t="shared" si="7"/>
        <v>0</v>
      </c>
      <c r="BT4" s="69">
        <v>79</v>
      </c>
      <c r="BU4" s="58">
        <v>2327.0337</v>
      </c>
      <c r="BV4" s="33">
        <v>79</v>
      </c>
      <c r="BW4" s="204">
        <v>2327.0337</v>
      </c>
      <c r="BX4" s="23"/>
      <c r="BY4" s="69">
        <v>79</v>
      </c>
      <c r="BZ4" s="69">
        <v>60.6</v>
      </c>
      <c r="CA4" s="69">
        <v>60.6</v>
      </c>
      <c r="CB4" s="69">
        <v>60.6</v>
      </c>
      <c r="CC4" s="69">
        <f t="shared" si="10"/>
        <v>60.6</v>
      </c>
      <c r="CD4" s="69">
        <f t="shared" si="11"/>
        <v>60.6</v>
      </c>
    </row>
    <row r="5" spans="1:82" ht="15.75" customHeight="1" thickBot="1" x14ac:dyDescent="0.3">
      <c r="A5" s="6">
        <v>4</v>
      </c>
      <c r="B5" s="7" t="s">
        <v>15</v>
      </c>
      <c r="C5" s="7" t="s">
        <v>16</v>
      </c>
      <c r="D5" s="7" t="s">
        <v>17</v>
      </c>
      <c r="E5" s="50">
        <v>109.894353792205</v>
      </c>
      <c r="F5" s="50">
        <v>322.672270061554</v>
      </c>
      <c r="G5" s="50">
        <v>344.34885660992597</v>
      </c>
      <c r="H5" s="50">
        <v>286.07230868167198</v>
      </c>
      <c r="I5" s="8">
        <v>57.7</v>
      </c>
      <c r="J5" s="50">
        <v>4.0356262978210999</v>
      </c>
      <c r="K5" s="248">
        <f>IFERROR(VLOOKUP(C5,Schedule!$T$3:$U$34,2,0),"FA")</f>
        <v>9</v>
      </c>
      <c r="L5" s="7" t="str">
        <f>D5&amp;COUNTIF(D$2:$D5,D5)</f>
        <v>WR1</v>
      </c>
      <c r="M5" s="50">
        <f t="array" ref="M5">IFERROR(F5-AVERAGE(VLOOKUP(D5,$D6:$F$885,3,0),INDEX($F6:$F$885,SMALL(IF(D5=$D6:$D$885,ROW($D6:$D$885)-ROW(D5)),2))),0)</f>
        <v>27.475870027636006</v>
      </c>
      <c r="N5" s="50">
        <f>IFERROR(IF(VLOOKUP($B5,Input!$AC$2:$AC$162,1,0)=$B5,0),F5)</f>
        <v>322.672270061554</v>
      </c>
      <c r="O5" s="50">
        <f>IFERROR(IF(VLOOKUP($B5,Input!$AC$2:$AC$162,1,0)=$B5,0,G5),G5)</f>
        <v>344.34885660992597</v>
      </c>
      <c r="P5" s="50">
        <f>IF(N5=0,0,F5-AVERAGE(INDEX(F:F,MATCH(VLOOKUP(D5,Input!$A$14:$L$22,10,0),L:L,0)),INDEX(F:F,MATCH(VLOOKUP(D5,Input!$A$14:$L$22,11,0),L:L,0)),INDEX(F:F,MATCH(VLOOKUP(D5,Input!$A$14:$L$22,12,0),L:L,0)))+(0.01-ROW()*0.01))</f>
        <v>109.85435379220498</v>
      </c>
      <c r="Q5" s="106">
        <f t="shared" si="0"/>
        <v>3.7898976588650754E-2</v>
      </c>
      <c r="R5" s="8">
        <f>IF(VLOOKUP($D5,$X$14:$Y$19,2,0)&lt;=0,1,IF(Q5&lt;0,1,ROUNDUP(IF(Q5*('Draft Center'!$L$28+'Draft Center'!$L$78-'Draft Center'!$L$82)&lt;1,1,Q5*('Draft Center'!$L$28+'Draft Center'!$L$78-'Draft Center'!$L$82)),0)))</f>
        <v>74</v>
      </c>
      <c r="S5" s="8">
        <f>IF(A5&lt;Input!$B$10+0.1,IF(ROUNDUP(R5*Input!$C$10,0)=0,1,ROUNDUP(R5*Input!$C$10,0)),IF(A5&gt;Input!$B$11,IF(ROUNDUP(R5*Input!$C$11,0)=0,1,ROUNDUP(R5*Input!$C$11,0)),IF(ROUNDUP(R5,0)=0,1,ROUNDUP(R5,0))))</f>
        <v>82</v>
      </c>
      <c r="T5" s="8">
        <f t="shared" si="1"/>
        <v>74</v>
      </c>
      <c r="U5" s="8">
        <f>IFERROR(VLOOKUP($B5,Input!$AC$2:$AE$161,3,0),0)</f>
        <v>0</v>
      </c>
      <c r="V5" s="256">
        <f t="shared" si="8"/>
        <v>0.28254566724436736</v>
      </c>
      <c r="W5" s="263">
        <f t="shared" si="9"/>
        <v>16.300049999999999</v>
      </c>
      <c r="X5" s="27" t="s">
        <v>53</v>
      </c>
      <c r="Y5" s="23">
        <f>Input!$Q2-COUNTIF('Draft Center'!$B$12:$B$13,"*?")</f>
        <v>1</v>
      </c>
      <c r="Z5" s="84">
        <f>SUM(AB2:AB885)</f>
        <v>1</v>
      </c>
      <c r="AA5" s="23">
        <v>0</v>
      </c>
      <c r="AB5" s="23" t="str">
        <f t="shared" si="2"/>
        <v/>
      </c>
      <c r="AC5" s="23" t="str">
        <f t="shared" si="2"/>
        <v/>
      </c>
      <c r="AD5" s="23">
        <f t="shared" si="2"/>
        <v>0</v>
      </c>
      <c r="AE5" s="23" t="str">
        <f t="shared" si="2"/>
        <v/>
      </c>
      <c r="AF5" s="23" t="str">
        <f t="shared" si="2"/>
        <v/>
      </c>
      <c r="AG5" s="23" t="str">
        <f t="shared" si="2"/>
        <v/>
      </c>
      <c r="AH5" s="23">
        <f t="shared" si="3"/>
        <v>0</v>
      </c>
      <c r="AI5" s="23">
        <f t="shared" si="4"/>
        <v>0</v>
      </c>
      <c r="AJ5" s="70">
        <v>74</v>
      </c>
      <c r="AK5" s="225">
        <v>1409.2015797044539</v>
      </c>
      <c r="AL5" s="33">
        <v>74</v>
      </c>
      <c r="AM5" s="204">
        <v>1412.2745457457161</v>
      </c>
      <c r="AN5" s="196"/>
      <c r="AO5" s="23" t="s">
        <v>53</v>
      </c>
      <c r="AP5" s="84">
        <f>SUM(BL2:BL885)</f>
        <v>1</v>
      </c>
      <c r="AQ5" s="23">
        <f>Input!$Q2-COUNTIF('Draft Center'!C$12:C$13,"*?")</f>
        <v>1</v>
      </c>
      <c r="AR5" s="23">
        <f>Input!$Q2-COUNTIF('Draft Center'!D$12:D$13,"*?")</f>
        <v>1</v>
      </c>
      <c r="AS5" s="23">
        <f>Input!$Q2-COUNTIF('Draft Center'!E$12:E$13,"*?")</f>
        <v>1</v>
      </c>
      <c r="AT5" s="23">
        <f>Input!$Q2-COUNTIF('Draft Center'!F$12:F$13,"*?")</f>
        <v>1</v>
      </c>
      <c r="AU5" s="23">
        <f>Input!$Q2-COUNTIF('Draft Center'!G$12:G$13,"*?")</f>
        <v>1</v>
      </c>
      <c r="AV5" s="23">
        <f>Input!$Q2-COUNTIF('Draft Center'!H$12:H$13,"*?")</f>
        <v>1</v>
      </c>
      <c r="AW5" s="23">
        <f>Input!$Q2-COUNTIF('Draft Center'!I$12:I$13,"*?")</f>
        <v>1</v>
      </c>
      <c r="AX5" s="23">
        <f>Input!$Q2-COUNTIF('Draft Center'!J$12:J$13,"*?")</f>
        <v>1</v>
      </c>
      <c r="AY5" s="23">
        <f>Input!$Q2-COUNTIF('Draft Center'!K$12:K$13,"*?")</f>
        <v>1</v>
      </c>
      <c r="AZ5" s="196"/>
      <c r="BA5" s="70">
        <f>IF(VLOOKUP($D5,$AO$14:AQ$19,COLUMN()-50,0)&lt;=0,1,IF($Q5&lt;0,1,ROUNDUP(IF($Q5*('Draft Center'!$L$28+'Draft Center'!$L$78-'Draft Center'!$L$82)&lt;1,1,$Q5*('Draft Center'!$L$28+'Draft Center'!$L$78-'Draft Center'!$L$82)),0)))</f>
        <v>74</v>
      </c>
      <c r="BB5" s="70">
        <f>IF(VLOOKUP($D5,$AO$14:AR$19,COLUMN()-50,0)&lt;=0,1,IF($Q5&lt;0,1,ROUNDUP(IF($Q5*('Draft Center'!$L$28+'Draft Center'!$L$78-'Draft Center'!$L$82)&lt;1,1,$Q5*('Draft Center'!$L$28+'Draft Center'!$L$78-'Draft Center'!$L$82)),0)))</f>
        <v>74</v>
      </c>
      <c r="BC5" s="70">
        <f>IF(VLOOKUP($D5,$AO$14:AS$19,COLUMN()-50,0)&lt;=0,1,IF($Q5&lt;0,1,ROUNDUP(IF($Q5*('Draft Center'!$L$28+'Draft Center'!$L$78-'Draft Center'!$L$82)&lt;1,1,$Q5*('Draft Center'!$L$28+'Draft Center'!$L$78-'Draft Center'!$L$82)),0)))</f>
        <v>74</v>
      </c>
      <c r="BD5" s="70">
        <f>IF(VLOOKUP($D5,$AO$14:AT$19,COLUMN()-50,0)&lt;=0,1,IF($Q5&lt;0,1,ROUNDUP(IF($Q5*('Draft Center'!$L$28+'Draft Center'!$L$78-'Draft Center'!$L$82)&lt;1,1,$Q5*('Draft Center'!$L$28+'Draft Center'!$L$78-'Draft Center'!$L$82)),0)))</f>
        <v>74</v>
      </c>
      <c r="BE5" s="70">
        <f>IF(VLOOKUP($D5,$AO$14:AU$19,COLUMN()-50,0)&lt;=0,1,IF($Q5&lt;0,1,ROUNDUP(IF($Q5*('Draft Center'!$L$28+'Draft Center'!$L$78-'Draft Center'!$L$82)&lt;1,1,$Q5*('Draft Center'!$L$28+'Draft Center'!$L$78-'Draft Center'!$L$82)),0)))</f>
        <v>74</v>
      </c>
      <c r="BF5" s="70">
        <f>IF(VLOOKUP($D5,$AO$14:AV$19,COLUMN()-50,0)&lt;=0,1,IF($Q5&lt;0,1,ROUNDUP(IF($Q5*('Draft Center'!$L$28+'Draft Center'!$L$78-'Draft Center'!$L$82)&lt;1,1,$Q5*('Draft Center'!$L$28+'Draft Center'!$L$78-'Draft Center'!$L$82)),0)))</f>
        <v>74</v>
      </c>
      <c r="BG5" s="70">
        <f>IF(VLOOKUP($D5,$AO$14:AW$19,COLUMN()-50,0)&lt;=0,1,IF($Q5&lt;0,1,ROUNDUP(IF($Q5*('Draft Center'!$L$28+'Draft Center'!$L$78-'Draft Center'!$L$82)&lt;1,1,$Q5*('Draft Center'!$L$28+'Draft Center'!$L$78-'Draft Center'!$L$82)),0)))</f>
        <v>74</v>
      </c>
      <c r="BH5" s="70">
        <f>IF(VLOOKUP($D5,$AO$14:AX$19,COLUMN()-50,0)&lt;=0,1,IF($Q5&lt;0,1,ROUNDUP(IF($Q5*('Draft Center'!$L$28+'Draft Center'!$L$78-'Draft Center'!$L$82)&lt;1,1,$Q5*('Draft Center'!$L$28+'Draft Center'!$L$78-'Draft Center'!$L$82)),0)))</f>
        <v>74</v>
      </c>
      <c r="BI5" s="70">
        <f>IF(VLOOKUP($D5,$AO$14:AY$19,COLUMN()-50,0)&lt;=0,1,IF($Q5&lt;0,1,ROUNDUP(IF($Q5*('Draft Center'!$L$28+'Draft Center'!$L$78-'Draft Center'!$L$82)&lt;1,1,$Q5*('Draft Center'!$L$28+'Draft Center'!$L$78-'Draft Center'!$L$82)),0)))</f>
        <v>74</v>
      </c>
      <c r="BJ5" s="196"/>
      <c r="BK5" s="23">
        <v>0</v>
      </c>
      <c r="BL5" s="23" t="str">
        <f t="shared" si="5"/>
        <v/>
      </c>
      <c r="BM5" s="23">
        <v>0</v>
      </c>
      <c r="BN5" s="23">
        <f t="shared" si="5"/>
        <v>0</v>
      </c>
      <c r="BO5" s="23" t="str">
        <f t="shared" si="5"/>
        <v/>
      </c>
      <c r="BP5" s="23" t="str">
        <f t="shared" si="5"/>
        <v/>
      </c>
      <c r="BQ5" s="23" t="str">
        <f t="shared" si="5"/>
        <v/>
      </c>
      <c r="BR5" s="23">
        <f t="shared" si="6"/>
        <v>0</v>
      </c>
      <c r="BS5" s="23">
        <f t="shared" si="7"/>
        <v>0</v>
      </c>
      <c r="BT5" s="70">
        <v>74</v>
      </c>
      <c r="BU5" s="58">
        <v>2327.0337</v>
      </c>
      <c r="BV5" s="33">
        <v>74</v>
      </c>
      <c r="BW5" s="204">
        <v>2327.0337</v>
      </c>
      <c r="BX5" s="23"/>
      <c r="BY5" s="70">
        <v>74</v>
      </c>
      <c r="BZ5" s="70">
        <v>57.7</v>
      </c>
      <c r="CA5" s="70">
        <v>57.7</v>
      </c>
      <c r="CB5" s="70">
        <v>57.7</v>
      </c>
      <c r="CC5" s="70">
        <f t="shared" si="10"/>
        <v>57.70000000000001</v>
      </c>
      <c r="CD5" s="70">
        <f t="shared" si="11"/>
        <v>57.7</v>
      </c>
    </row>
    <row r="6" spans="1:82" ht="15.75" customHeight="1" thickBot="1" x14ac:dyDescent="0.3">
      <c r="A6" s="9">
        <v>5</v>
      </c>
      <c r="B6" s="10" t="s">
        <v>114</v>
      </c>
      <c r="C6" s="10" t="s">
        <v>23</v>
      </c>
      <c r="D6" s="10" t="s">
        <v>19</v>
      </c>
      <c r="E6" s="51">
        <v>100.035468707123</v>
      </c>
      <c r="F6" s="51">
        <v>269.13786673307499</v>
      </c>
      <c r="G6" s="51">
        <v>284.96895349920101</v>
      </c>
      <c r="H6" s="51">
        <v>254.8</v>
      </c>
      <c r="I6" s="11">
        <v>44.4</v>
      </c>
      <c r="J6" s="51">
        <v>2.9825233202599701</v>
      </c>
      <c r="K6" s="249">
        <f>IFERROR(VLOOKUP(C6,Schedule!$T$3:$U$34,2,0),"FA")</f>
        <v>5</v>
      </c>
      <c r="L6" s="10" t="str">
        <f>D6&amp;COUNTIF(D$2:$D6,D6)</f>
        <v>RB4</v>
      </c>
      <c r="M6" s="51">
        <f t="array" ref="M6">IFERROR(F6-AVERAGE(VLOOKUP(D6,$D7:$F$885,3,0),INDEX($F7:$F$885,SMALL(IF(D6=$D7:$D$885,ROW($D7:$D$885)-ROW(D6)),2))),0)</f>
        <v>15.619390789503484</v>
      </c>
      <c r="N6" s="51">
        <f>IFERROR(IF(VLOOKUP($B6,Input!$AC$2:$AC$162,1,0)=$B6,0),F6)</f>
        <v>269.13786673307499</v>
      </c>
      <c r="O6" s="51">
        <f>IFERROR(IF(VLOOKUP($B6,Input!$AC$2:$AC$162,1,0)=$B6,0,G6),G6)</f>
        <v>284.96895349920101</v>
      </c>
      <c r="P6" s="51">
        <f>IF(N6=0,0,F6-AVERAGE(INDEX(F:F,MATCH(VLOOKUP(D6,Input!$A$14:$L$22,10,0),L:L,0)),INDEX(F:F,MATCH(VLOOKUP(D6,Input!$A$14:$L$22,11,0),L:L,0)),INDEX(F:F,MATCH(VLOOKUP(D6,Input!$A$14:$L$22,12,0),L:L,0)))+(0.01-ROW()*0.01))</f>
        <v>99.98546870712299</v>
      </c>
      <c r="Q6" s="107">
        <f t="shared" si="0"/>
        <v>3.4494280899455901E-2</v>
      </c>
      <c r="R6" s="11">
        <f>IF(VLOOKUP($D6,$X$14:$Y$19,2,0)&lt;=0,1,IF(Q6&lt;0,1,ROUNDUP(IF(Q6*('Draft Center'!$L$28+'Draft Center'!$L$78-'Draft Center'!$L$82)&lt;1,1,Q6*('Draft Center'!$L$28+'Draft Center'!$L$78-'Draft Center'!$L$82)),0)))</f>
        <v>67</v>
      </c>
      <c r="S6" s="11">
        <f>IF(A6&lt;Input!$B$10+0.1,IF(ROUNDUP(R6*Input!$C$10,0)=0,1,ROUNDUP(R6*Input!$C$10,0)),IF(A6&gt;Input!$B$11,IF(ROUNDUP(R6*Input!$C$11,0)=0,1,ROUNDUP(R6*Input!$C$11,0)),IF(ROUNDUP(R6,0)=0,1,ROUNDUP(R6,0))))</f>
        <v>74</v>
      </c>
      <c r="T6" s="11">
        <f t="shared" si="1"/>
        <v>67</v>
      </c>
      <c r="U6" s="11">
        <f>IFERROR(VLOOKUP($B6,Input!$AC$2:$AE$161,3,0),0)</f>
        <v>0</v>
      </c>
      <c r="V6" s="257">
        <f t="shared" si="8"/>
        <v>0.50906900900900898</v>
      </c>
      <c r="W6" s="264">
        <f t="shared" si="9"/>
        <v>22.600060000000003</v>
      </c>
      <c r="X6" s="27" t="s">
        <v>19</v>
      </c>
      <c r="Y6" s="23">
        <f>Input!$Q3-COUNTIF('Draft Center'!$B$14:$B$15,"*?")</f>
        <v>2</v>
      </c>
      <c r="Z6" s="84">
        <f>SUM(AC:AC)</f>
        <v>2</v>
      </c>
      <c r="AA6" s="23">
        <v>1</v>
      </c>
      <c r="AB6" s="23" t="str">
        <f t="shared" si="2"/>
        <v/>
      </c>
      <c r="AC6" s="23">
        <f t="shared" si="2"/>
        <v>1</v>
      </c>
      <c r="AD6" s="23" t="str">
        <f t="shared" si="2"/>
        <v/>
      </c>
      <c r="AE6" s="23" t="str">
        <f t="shared" si="2"/>
        <v/>
      </c>
      <c r="AF6" s="23" t="str">
        <f t="shared" si="2"/>
        <v/>
      </c>
      <c r="AG6" s="23" t="str">
        <f t="shared" si="2"/>
        <v/>
      </c>
      <c r="AH6" s="23">
        <f t="shared" si="3"/>
        <v>1</v>
      </c>
      <c r="AI6" s="23" t="str">
        <f t="shared" si="4"/>
        <v>Devonta Freeman</v>
      </c>
      <c r="AJ6" s="69">
        <v>67</v>
      </c>
      <c r="AK6" s="225">
        <v>2327.0337</v>
      </c>
      <c r="AL6" s="33">
        <v>67</v>
      </c>
      <c r="AM6" s="204">
        <v>2327.0337</v>
      </c>
      <c r="AN6" s="196"/>
      <c r="AO6" s="23" t="s">
        <v>19</v>
      </c>
      <c r="AP6" s="84">
        <f>SUM(BM:BM)</f>
        <v>0</v>
      </c>
      <c r="AQ6" s="23">
        <f>Input!$Q3-COUNTIF('Draft Center'!C$14:C$15,"*?")</f>
        <v>2</v>
      </c>
      <c r="AR6" s="23">
        <f>Input!$Q3-COUNTIF('Draft Center'!D$14:D$15,"*?")</f>
        <v>2</v>
      </c>
      <c r="AS6" s="23">
        <f>Input!$Q3-COUNTIF('Draft Center'!E$14:E$15,"*?")</f>
        <v>2</v>
      </c>
      <c r="AT6" s="23">
        <f>Input!$Q3-COUNTIF('Draft Center'!F$14:F$15,"*?")</f>
        <v>2</v>
      </c>
      <c r="AU6" s="23">
        <f>Input!$Q3-COUNTIF('Draft Center'!G$14:G$15,"*?")</f>
        <v>2</v>
      </c>
      <c r="AV6" s="23">
        <f>Input!$Q3-COUNTIF('Draft Center'!H$14:H$15,"*?")</f>
        <v>2</v>
      </c>
      <c r="AW6" s="23">
        <f>Input!$Q3-COUNTIF('Draft Center'!I$14:I$15,"*?")</f>
        <v>2</v>
      </c>
      <c r="AX6" s="23">
        <f>Input!$Q3-COUNTIF('Draft Center'!J$14:J$15,"*?")</f>
        <v>2</v>
      </c>
      <c r="AY6" s="23">
        <f>Input!$Q3-COUNTIF('Draft Center'!K$14:K$15,"*?")</f>
        <v>2</v>
      </c>
      <c r="AZ6" s="196"/>
      <c r="BA6" s="69">
        <f>IF(VLOOKUP($D6,$AO$14:AQ$19,COLUMN()-50,0)&lt;=0,1,IF($Q6&lt;0,1,ROUNDUP(IF($Q6*('Draft Center'!$L$28+'Draft Center'!$L$78-'Draft Center'!$L$82)&lt;1,1,$Q6*('Draft Center'!$L$28+'Draft Center'!$L$78-'Draft Center'!$L$82)),0)))</f>
        <v>67</v>
      </c>
      <c r="BB6" s="69">
        <f>IF(VLOOKUP($D6,$AO$14:AR$19,COLUMN()-50,0)&lt;=0,1,IF($Q6&lt;0,1,ROUNDUP(IF($Q6*('Draft Center'!$L$28+'Draft Center'!$L$78-'Draft Center'!$L$82)&lt;1,1,$Q6*('Draft Center'!$L$28+'Draft Center'!$L$78-'Draft Center'!$L$82)),0)))</f>
        <v>67</v>
      </c>
      <c r="BC6" s="69">
        <f>IF(VLOOKUP($D6,$AO$14:AS$19,COLUMN()-50,0)&lt;=0,1,IF($Q6&lt;0,1,ROUNDUP(IF($Q6*('Draft Center'!$L$28+'Draft Center'!$L$78-'Draft Center'!$L$82)&lt;1,1,$Q6*('Draft Center'!$L$28+'Draft Center'!$L$78-'Draft Center'!$L$82)),0)))</f>
        <v>67</v>
      </c>
      <c r="BD6" s="69">
        <f>IF(VLOOKUP($D6,$AO$14:AT$19,COLUMN()-50,0)&lt;=0,1,IF($Q6&lt;0,1,ROUNDUP(IF($Q6*('Draft Center'!$L$28+'Draft Center'!$L$78-'Draft Center'!$L$82)&lt;1,1,$Q6*('Draft Center'!$L$28+'Draft Center'!$L$78-'Draft Center'!$L$82)),0)))</f>
        <v>67</v>
      </c>
      <c r="BE6" s="69">
        <f>IF(VLOOKUP($D6,$AO$14:AU$19,COLUMN()-50,0)&lt;=0,1,IF($Q6&lt;0,1,ROUNDUP(IF($Q6*('Draft Center'!$L$28+'Draft Center'!$L$78-'Draft Center'!$L$82)&lt;1,1,$Q6*('Draft Center'!$L$28+'Draft Center'!$L$78-'Draft Center'!$L$82)),0)))</f>
        <v>67</v>
      </c>
      <c r="BF6" s="69">
        <f>IF(VLOOKUP($D6,$AO$14:AV$19,COLUMN()-50,0)&lt;=0,1,IF($Q6&lt;0,1,ROUNDUP(IF($Q6*('Draft Center'!$L$28+'Draft Center'!$L$78-'Draft Center'!$L$82)&lt;1,1,$Q6*('Draft Center'!$L$28+'Draft Center'!$L$78-'Draft Center'!$L$82)),0)))</f>
        <v>67</v>
      </c>
      <c r="BG6" s="69">
        <f>IF(VLOOKUP($D6,$AO$14:AW$19,COLUMN()-50,0)&lt;=0,1,IF($Q6&lt;0,1,ROUNDUP(IF($Q6*('Draft Center'!$L$28+'Draft Center'!$L$78-'Draft Center'!$L$82)&lt;1,1,$Q6*('Draft Center'!$L$28+'Draft Center'!$L$78-'Draft Center'!$L$82)),0)))</f>
        <v>67</v>
      </c>
      <c r="BH6" s="69">
        <f>IF(VLOOKUP($D6,$AO$14:AX$19,COLUMN()-50,0)&lt;=0,1,IF($Q6&lt;0,1,ROUNDUP(IF($Q6*('Draft Center'!$L$28+'Draft Center'!$L$78-'Draft Center'!$L$82)&lt;1,1,$Q6*('Draft Center'!$L$28+'Draft Center'!$L$78-'Draft Center'!$L$82)),0)))</f>
        <v>67</v>
      </c>
      <c r="BI6" s="69">
        <f>IF(VLOOKUP($D6,$AO$14:AY$19,COLUMN()-50,0)&lt;=0,1,IF($Q6&lt;0,1,ROUNDUP(IF($Q6*('Draft Center'!$L$28+'Draft Center'!$L$78-'Draft Center'!$L$82)&lt;1,1,$Q6*('Draft Center'!$L$28+'Draft Center'!$L$78-'Draft Center'!$L$82)),0)))</f>
        <v>67</v>
      </c>
      <c r="BJ6" s="196"/>
      <c r="BK6" s="23">
        <v>1</v>
      </c>
      <c r="BL6" s="23" t="str">
        <f t="shared" si="5"/>
        <v/>
      </c>
      <c r="BM6" s="23">
        <v>0</v>
      </c>
      <c r="BN6" s="23" t="str">
        <f t="shared" si="5"/>
        <v/>
      </c>
      <c r="BO6" s="23" t="str">
        <f t="shared" si="5"/>
        <v/>
      </c>
      <c r="BP6" s="23" t="str">
        <f t="shared" si="5"/>
        <v/>
      </c>
      <c r="BQ6" s="23" t="str">
        <f t="shared" si="5"/>
        <v/>
      </c>
      <c r="BR6" s="23">
        <f t="shared" si="6"/>
        <v>1</v>
      </c>
      <c r="BS6" s="23" t="str">
        <f t="shared" si="7"/>
        <v>Devonta Freeman</v>
      </c>
      <c r="BT6" s="69">
        <v>67</v>
      </c>
      <c r="BU6" s="58">
        <v>2327.0337</v>
      </c>
      <c r="BV6" s="33">
        <v>67</v>
      </c>
      <c r="BW6" s="204">
        <v>2327.0337</v>
      </c>
      <c r="BX6" s="23"/>
      <c r="BY6" s="69">
        <v>67</v>
      </c>
      <c r="BZ6" s="69">
        <v>44.4</v>
      </c>
      <c r="CA6" s="69">
        <v>44.4</v>
      </c>
      <c r="CB6" s="69">
        <v>44.4</v>
      </c>
      <c r="CC6" s="69">
        <f t="shared" si="10"/>
        <v>44.4</v>
      </c>
      <c r="CD6" s="69">
        <f t="shared" si="11"/>
        <v>44.4</v>
      </c>
    </row>
    <row r="7" spans="1:82" ht="15.75" customHeight="1" thickBot="1" x14ac:dyDescent="0.3">
      <c r="A7" s="6">
        <v>6</v>
      </c>
      <c r="B7" s="7" t="s">
        <v>49</v>
      </c>
      <c r="C7" s="7" t="s">
        <v>50</v>
      </c>
      <c r="D7" s="7" t="s">
        <v>19</v>
      </c>
      <c r="E7" s="50">
        <v>92.616629858468599</v>
      </c>
      <c r="F7" s="50">
        <v>261.71902788441997</v>
      </c>
      <c r="G7" s="50">
        <v>281.874793333274</v>
      </c>
      <c r="H7" s="50">
        <v>232.10499314128899</v>
      </c>
      <c r="I7" s="8">
        <v>48.4</v>
      </c>
      <c r="J7" s="50">
        <v>3.4834896944676701</v>
      </c>
      <c r="K7" s="248">
        <f>IFERROR(VLOOKUP(C7,Schedule!$T$3:$U$34,2,0),"FA")</f>
        <v>6</v>
      </c>
      <c r="L7" s="7" t="str">
        <f>D7&amp;COUNTIF(D$2:$D7,D7)</f>
        <v>RB5</v>
      </c>
      <c r="M7" s="50">
        <f t="array" ref="M7">IFERROR(F7-AVERAGE(VLOOKUP(D7,$D8:$F$885,3,0),INDEX($F8:$F$885,SMALL(IF(D7=$D8:$D$885,ROW($D8:$D$885)-ROW(D7)),2))),0)</f>
        <v>16.658570719018968</v>
      </c>
      <c r="N7" s="50">
        <f>IFERROR(IF(VLOOKUP($B7,Input!$AC$2:$AC$162,1,0)=$B7,0),F7)</f>
        <v>261.71902788441997</v>
      </c>
      <c r="O7" s="50">
        <f>IFERROR(IF(VLOOKUP($B7,Input!$AC$2:$AC$162,1,0)=$B7,0,G7),G7)</f>
        <v>281.874793333274</v>
      </c>
      <c r="P7" s="50">
        <f>IF(N7=0,0,F7-AVERAGE(INDEX(F:F,MATCH(VLOOKUP(D7,Input!$A$14:$L$22,10,0),L:L,0)),INDEX(F:F,MATCH(VLOOKUP(D7,Input!$A$14:$L$22,11,0),L:L,0)),INDEX(F:F,MATCH(VLOOKUP(D7,Input!$A$14:$L$22,12,0),L:L,0)))+(0.01-ROW()*0.01))</f>
        <v>92.556629858467971</v>
      </c>
      <c r="Q7" s="106">
        <f t="shared" si="0"/>
        <v>3.1931383937369232E-2</v>
      </c>
      <c r="R7" s="8">
        <f>IF(VLOOKUP($D7,$X$14:$Y$19,2,0)&lt;=0,1,IF(Q7&lt;0,1,ROUNDUP(IF(Q7*('Draft Center'!$L$28+'Draft Center'!$L$78-'Draft Center'!$L$82)&lt;1,1,Q7*('Draft Center'!$L$28+'Draft Center'!$L$78-'Draft Center'!$L$82)),0)))</f>
        <v>62</v>
      </c>
      <c r="S7" s="8">
        <f>IF(A7&lt;Input!$B$10+0.1,IF(ROUNDUP(R7*Input!$C$10,0)=0,1,ROUNDUP(R7*Input!$C$10,0)),IF(A7&gt;Input!$B$11,IF(ROUNDUP(R7*Input!$C$11,0)=0,1,ROUNDUP(R7*Input!$C$11,0)),IF(ROUNDUP(R7,0)=0,1,ROUNDUP(R7,0))))</f>
        <v>69</v>
      </c>
      <c r="T7" s="8">
        <f t="shared" si="1"/>
        <v>62</v>
      </c>
      <c r="U7" s="8">
        <f>IFERROR(VLOOKUP($B7,Input!$AC$2:$AE$161,3,0),0)</f>
        <v>0</v>
      </c>
      <c r="V7" s="256">
        <f t="shared" si="8"/>
        <v>0.28106173553719016</v>
      </c>
      <c r="W7" s="263">
        <f t="shared" si="9"/>
        <v>13.600070000000001</v>
      </c>
      <c r="X7" s="27" t="s">
        <v>17</v>
      </c>
      <c r="Y7" s="23">
        <f>Input!$Q4-COUNTIF('Draft Center'!$B$16:$B$17,"*?")</f>
        <v>2</v>
      </c>
      <c r="Z7" s="84">
        <f>SUM(AD:AD)</f>
        <v>3</v>
      </c>
      <c r="AA7" s="23">
        <v>1</v>
      </c>
      <c r="AB7" s="23" t="str">
        <f t="shared" si="2"/>
        <v/>
      </c>
      <c r="AC7" s="23">
        <f t="shared" si="2"/>
        <v>1</v>
      </c>
      <c r="AD7" s="23" t="str">
        <f t="shared" si="2"/>
        <v/>
      </c>
      <c r="AE7" s="23" t="str">
        <f t="shared" si="2"/>
        <v/>
      </c>
      <c r="AF7" s="23" t="str">
        <f t="shared" si="2"/>
        <v/>
      </c>
      <c r="AG7" s="23" t="str">
        <f t="shared" si="2"/>
        <v/>
      </c>
      <c r="AH7" s="23">
        <f t="shared" si="3"/>
        <v>1</v>
      </c>
      <c r="AI7" s="23" t="str">
        <f t="shared" si="4"/>
        <v>LeSean McCoy</v>
      </c>
      <c r="AJ7" s="70">
        <v>62</v>
      </c>
      <c r="AK7" s="225">
        <v>2327.0337</v>
      </c>
      <c r="AL7" s="33">
        <v>62</v>
      </c>
      <c r="AM7" s="204">
        <v>2327.0337</v>
      </c>
      <c r="AN7" s="196"/>
      <c r="AO7" s="23" t="s">
        <v>17</v>
      </c>
      <c r="AP7" s="84">
        <f>SUM(BN:BN)</f>
        <v>3</v>
      </c>
      <c r="AQ7" s="23">
        <f>Input!$Q4-COUNTIF('Draft Center'!C$16:C$17,"*?")</f>
        <v>2</v>
      </c>
      <c r="AR7" s="23">
        <f>Input!$Q4-COUNTIF('Draft Center'!D$16:D$17,"*?")</f>
        <v>2</v>
      </c>
      <c r="AS7" s="23">
        <f>Input!$Q4-COUNTIF('Draft Center'!E$16:E$17,"*?")</f>
        <v>2</v>
      </c>
      <c r="AT7" s="23">
        <f>Input!$Q4-COUNTIF('Draft Center'!F$16:F$17,"*?")</f>
        <v>2</v>
      </c>
      <c r="AU7" s="23">
        <f>Input!$Q4-COUNTIF('Draft Center'!G$16:G$17,"*?")</f>
        <v>2</v>
      </c>
      <c r="AV7" s="23">
        <f>Input!$Q4-COUNTIF('Draft Center'!H$16:H$17,"*?")</f>
        <v>2</v>
      </c>
      <c r="AW7" s="23">
        <f>Input!$Q4-COUNTIF('Draft Center'!I$16:I$17,"*?")</f>
        <v>2</v>
      </c>
      <c r="AX7" s="23">
        <f>Input!$Q4-COUNTIF('Draft Center'!J$16:J$17,"*?")</f>
        <v>2</v>
      </c>
      <c r="AY7" s="23">
        <f>Input!$Q4-COUNTIF('Draft Center'!K$16:K$17,"*?")</f>
        <v>2</v>
      </c>
      <c r="AZ7" s="196"/>
      <c r="BA7" s="70">
        <f>IF(VLOOKUP($D7,$AO$14:AQ$19,COLUMN()-50,0)&lt;=0,1,IF($Q7&lt;0,1,ROUNDUP(IF($Q7*('Draft Center'!$L$28+'Draft Center'!$L$78-'Draft Center'!$L$82)&lt;1,1,$Q7*('Draft Center'!$L$28+'Draft Center'!$L$78-'Draft Center'!$L$82)),0)))</f>
        <v>62</v>
      </c>
      <c r="BB7" s="70">
        <f>IF(VLOOKUP($D7,$AO$14:AR$19,COLUMN()-50,0)&lt;=0,1,IF($Q7&lt;0,1,ROUNDUP(IF($Q7*('Draft Center'!$L$28+'Draft Center'!$L$78-'Draft Center'!$L$82)&lt;1,1,$Q7*('Draft Center'!$L$28+'Draft Center'!$L$78-'Draft Center'!$L$82)),0)))</f>
        <v>62</v>
      </c>
      <c r="BC7" s="70">
        <f>IF(VLOOKUP($D7,$AO$14:AS$19,COLUMN()-50,0)&lt;=0,1,IF($Q7&lt;0,1,ROUNDUP(IF($Q7*('Draft Center'!$L$28+'Draft Center'!$L$78-'Draft Center'!$L$82)&lt;1,1,$Q7*('Draft Center'!$L$28+'Draft Center'!$L$78-'Draft Center'!$L$82)),0)))</f>
        <v>62</v>
      </c>
      <c r="BD7" s="70">
        <f>IF(VLOOKUP($D7,$AO$14:AT$19,COLUMN()-50,0)&lt;=0,1,IF($Q7&lt;0,1,ROUNDUP(IF($Q7*('Draft Center'!$L$28+'Draft Center'!$L$78-'Draft Center'!$L$82)&lt;1,1,$Q7*('Draft Center'!$L$28+'Draft Center'!$L$78-'Draft Center'!$L$82)),0)))</f>
        <v>62</v>
      </c>
      <c r="BE7" s="70">
        <f>IF(VLOOKUP($D7,$AO$14:AU$19,COLUMN()-50,0)&lt;=0,1,IF($Q7&lt;0,1,ROUNDUP(IF($Q7*('Draft Center'!$L$28+'Draft Center'!$L$78-'Draft Center'!$L$82)&lt;1,1,$Q7*('Draft Center'!$L$28+'Draft Center'!$L$78-'Draft Center'!$L$82)),0)))</f>
        <v>62</v>
      </c>
      <c r="BF7" s="70">
        <f>IF(VLOOKUP($D7,$AO$14:AV$19,COLUMN()-50,0)&lt;=0,1,IF($Q7&lt;0,1,ROUNDUP(IF($Q7*('Draft Center'!$L$28+'Draft Center'!$L$78-'Draft Center'!$L$82)&lt;1,1,$Q7*('Draft Center'!$L$28+'Draft Center'!$L$78-'Draft Center'!$L$82)),0)))</f>
        <v>62</v>
      </c>
      <c r="BG7" s="70">
        <f>IF(VLOOKUP($D7,$AO$14:AW$19,COLUMN()-50,0)&lt;=0,1,IF($Q7&lt;0,1,ROUNDUP(IF($Q7*('Draft Center'!$L$28+'Draft Center'!$L$78-'Draft Center'!$L$82)&lt;1,1,$Q7*('Draft Center'!$L$28+'Draft Center'!$L$78-'Draft Center'!$L$82)),0)))</f>
        <v>62</v>
      </c>
      <c r="BH7" s="70">
        <f>IF(VLOOKUP($D7,$AO$14:AX$19,COLUMN()-50,0)&lt;=0,1,IF($Q7&lt;0,1,ROUNDUP(IF($Q7*('Draft Center'!$L$28+'Draft Center'!$L$78-'Draft Center'!$L$82)&lt;1,1,$Q7*('Draft Center'!$L$28+'Draft Center'!$L$78-'Draft Center'!$L$82)),0)))</f>
        <v>62</v>
      </c>
      <c r="BI7" s="70">
        <f>IF(VLOOKUP($D7,$AO$14:AY$19,COLUMN()-50,0)&lt;=0,1,IF($Q7&lt;0,1,ROUNDUP(IF($Q7*('Draft Center'!$L$28+'Draft Center'!$L$78-'Draft Center'!$L$82)&lt;1,1,$Q7*('Draft Center'!$L$28+'Draft Center'!$L$78-'Draft Center'!$L$82)),0)))</f>
        <v>62</v>
      </c>
      <c r="BJ7" s="196"/>
      <c r="BK7" s="23">
        <v>0</v>
      </c>
      <c r="BL7" s="23" t="str">
        <f t="shared" si="5"/>
        <v/>
      </c>
      <c r="BM7" s="23">
        <v>0</v>
      </c>
      <c r="BN7" s="23" t="str">
        <f t="shared" si="5"/>
        <v/>
      </c>
      <c r="BO7" s="23" t="str">
        <f t="shared" si="5"/>
        <v/>
      </c>
      <c r="BP7" s="23" t="str">
        <f t="shared" si="5"/>
        <v/>
      </c>
      <c r="BQ7" s="23" t="str">
        <f t="shared" si="5"/>
        <v/>
      </c>
      <c r="BR7" s="23">
        <f t="shared" si="6"/>
        <v>0</v>
      </c>
      <c r="BS7" s="23">
        <f t="shared" si="7"/>
        <v>0</v>
      </c>
      <c r="BT7" s="70">
        <v>62</v>
      </c>
      <c r="BU7" s="58">
        <v>2327.0337</v>
      </c>
      <c r="BV7" s="33">
        <v>62</v>
      </c>
      <c r="BW7" s="204">
        <v>2327.0337</v>
      </c>
      <c r="BX7" s="23"/>
      <c r="BY7" s="70">
        <v>62</v>
      </c>
      <c r="BZ7" s="70">
        <v>48.4</v>
      </c>
      <c r="CA7" s="70">
        <v>48.4</v>
      </c>
      <c r="CB7" s="70">
        <v>48.4</v>
      </c>
      <c r="CC7" s="70">
        <f t="shared" si="10"/>
        <v>48.4</v>
      </c>
      <c r="CD7" s="70">
        <f t="shared" si="11"/>
        <v>48.4</v>
      </c>
    </row>
    <row r="8" spans="1:82" ht="15.75" customHeight="1" thickBot="1" x14ac:dyDescent="0.3">
      <c r="A8" s="9">
        <v>7</v>
      </c>
      <c r="B8" s="10" t="s">
        <v>22</v>
      </c>
      <c r="C8" s="10" t="s">
        <v>23</v>
      </c>
      <c r="D8" s="10" t="s">
        <v>17</v>
      </c>
      <c r="E8" s="51">
        <v>83.930712722772796</v>
      </c>
      <c r="F8" s="51">
        <v>296.70862899212199</v>
      </c>
      <c r="G8" s="51">
        <v>322.32075779710999</v>
      </c>
      <c r="H8" s="51">
        <v>268.19739368998597</v>
      </c>
      <c r="I8" s="11">
        <v>54.6</v>
      </c>
      <c r="J8" s="51">
        <v>3.7927840339860999</v>
      </c>
      <c r="K8" s="249">
        <f>IFERROR(VLOOKUP(C8,Schedule!$T$3:$U$34,2,0),"FA")</f>
        <v>5</v>
      </c>
      <c r="L8" s="10" t="str">
        <f>D8&amp;COUNTIF(D$2:$D8,D8)</f>
        <v>WR2</v>
      </c>
      <c r="M8" s="51">
        <f t="array" ref="M8">IFERROR(F8-AVERAGE(VLOOKUP(D8,$D9:$F$885,3,0),INDEX($F9:$F$885,SMALL(IF(D8=$D9:$D$885,ROW($D9:$D$885)-ROW(D8)),2))),0)</f>
        <v>7.4457463527405139</v>
      </c>
      <c r="N8" s="51">
        <f>IFERROR(IF(VLOOKUP($B8,Input!$AC$2:$AC$162,1,0)=$B8,0),F8)</f>
        <v>296.70862899212199</v>
      </c>
      <c r="O8" s="51">
        <f>IFERROR(IF(VLOOKUP($B8,Input!$AC$2:$AC$162,1,0)=$B8,0,G8),G8)</f>
        <v>322.32075779710999</v>
      </c>
      <c r="P8" s="51">
        <f>IF(N8=0,0,F8-AVERAGE(INDEX(F:F,MATCH(VLOOKUP(D8,Input!$A$14:$L$22,10,0),L:L,0)),INDEX(F:F,MATCH(VLOOKUP(D8,Input!$A$14:$L$22,11,0),L:L,0)),INDEX(F:F,MATCH(VLOOKUP(D8,Input!$A$14:$L$22,12,0),L:L,0)))+(0.01-ROW()*0.01))</f>
        <v>83.860712722772973</v>
      </c>
      <c r="Q8" s="107">
        <f t="shared" si="0"/>
        <v>2.8931353910649101E-2</v>
      </c>
      <c r="R8" s="11">
        <f>IF(VLOOKUP($D8,$X$14:$Y$19,2,0)&lt;=0,1,IF(Q8&lt;0,1,ROUNDUP(IF(Q8*('Draft Center'!$L$28+'Draft Center'!$L$78-'Draft Center'!$L$82)&lt;1,1,Q8*('Draft Center'!$L$28+'Draft Center'!$L$78-'Draft Center'!$L$82)),0)))</f>
        <v>57</v>
      </c>
      <c r="S8" s="11">
        <f>IF(A8&lt;Input!$B$10+0.1,IF(ROUNDUP(R8*Input!$C$10,0)=0,1,ROUNDUP(R8*Input!$C$10,0)),IF(A8&gt;Input!$B$11,IF(ROUNDUP(R8*Input!$C$11,0)=0,1,ROUNDUP(R8*Input!$C$11,0)),IF(ROUNDUP(R8,0)=0,1,ROUNDUP(R8,0))))</f>
        <v>63</v>
      </c>
      <c r="T8" s="11">
        <f t="shared" si="1"/>
        <v>57</v>
      </c>
      <c r="U8" s="11">
        <f>IFERROR(VLOOKUP($B8,Input!$AC$2:$AE$161,3,0),0)</f>
        <v>0</v>
      </c>
      <c r="V8" s="257">
        <f t="shared" si="8"/>
        <v>4.4036043956043928E-2</v>
      </c>
      <c r="W8" s="264">
        <f t="shared" si="9"/>
        <v>2.4000799999999987</v>
      </c>
      <c r="X8" s="27" t="s">
        <v>43</v>
      </c>
      <c r="Y8" s="23">
        <f>Input!$Q5-COUNTIF('Draft Center'!$B$18:$B$18,"*?")</f>
        <v>1</v>
      </c>
      <c r="Z8" s="84">
        <f>SUM(AE:AE)</f>
        <v>1</v>
      </c>
      <c r="AA8" s="23">
        <v>0</v>
      </c>
      <c r="AB8" s="23" t="str">
        <f t="shared" si="2"/>
        <v/>
      </c>
      <c r="AC8" s="23" t="str">
        <f t="shared" si="2"/>
        <v/>
      </c>
      <c r="AD8" s="23">
        <f t="shared" si="2"/>
        <v>0</v>
      </c>
      <c r="AE8" s="23" t="str">
        <f t="shared" si="2"/>
        <v/>
      </c>
      <c r="AF8" s="23" t="str">
        <f t="shared" si="2"/>
        <v/>
      </c>
      <c r="AG8" s="23" t="str">
        <f t="shared" si="2"/>
        <v/>
      </c>
      <c r="AH8" s="23">
        <f t="shared" si="3"/>
        <v>0</v>
      </c>
      <c r="AI8" s="23">
        <f t="shared" si="4"/>
        <v>0</v>
      </c>
      <c r="AJ8" s="69">
        <v>57</v>
      </c>
      <c r="AK8" s="225">
        <v>1400.0900573922938</v>
      </c>
      <c r="AL8" s="33">
        <v>57</v>
      </c>
      <c r="AM8" s="204">
        <v>1401.6364322298268</v>
      </c>
      <c r="AN8" s="196"/>
      <c r="AO8" s="23" t="s">
        <v>43</v>
      </c>
      <c r="AP8" s="84">
        <f>SUM(BO:BO)</f>
        <v>1</v>
      </c>
      <c r="AQ8" s="23">
        <f>Input!$Q5-COUNTIF('Draft Center'!C$18:C$18,"*?")</f>
        <v>1</v>
      </c>
      <c r="AR8" s="23">
        <f>Input!$Q5-COUNTIF('Draft Center'!D$18:D$18,"*?")</f>
        <v>1</v>
      </c>
      <c r="AS8" s="23">
        <f>Input!$Q5-COUNTIF('Draft Center'!E$18:E$18,"*?")</f>
        <v>1</v>
      </c>
      <c r="AT8" s="23">
        <f>Input!$Q5-COUNTIF('Draft Center'!F$18:F$18,"*?")</f>
        <v>1</v>
      </c>
      <c r="AU8" s="23">
        <f>Input!$Q5-COUNTIF('Draft Center'!G$18:G$18,"*?")</f>
        <v>1</v>
      </c>
      <c r="AV8" s="23">
        <f>Input!$Q5-COUNTIF('Draft Center'!H$18:H$18,"*?")</f>
        <v>1</v>
      </c>
      <c r="AW8" s="23">
        <f>Input!$Q5-COUNTIF('Draft Center'!I$18:I$18,"*?")</f>
        <v>1</v>
      </c>
      <c r="AX8" s="23">
        <f>Input!$Q5-COUNTIF('Draft Center'!J$18:J$18,"*?")</f>
        <v>1</v>
      </c>
      <c r="AY8" s="23">
        <f>Input!$Q5-COUNTIF('Draft Center'!K$18:K$18,"*?")</f>
        <v>1</v>
      </c>
      <c r="AZ8" s="196"/>
      <c r="BA8" s="69">
        <f>IF(VLOOKUP($D8,$AO$14:AQ$19,COLUMN()-50,0)&lt;=0,1,IF($Q8&lt;0,1,ROUNDUP(IF($Q8*('Draft Center'!$L$28+'Draft Center'!$L$78-'Draft Center'!$L$82)&lt;1,1,$Q8*('Draft Center'!$L$28+'Draft Center'!$L$78-'Draft Center'!$L$82)),0)))</f>
        <v>57</v>
      </c>
      <c r="BB8" s="69">
        <f>IF(VLOOKUP($D8,$AO$14:AR$19,COLUMN()-50,0)&lt;=0,1,IF($Q8&lt;0,1,ROUNDUP(IF($Q8*('Draft Center'!$L$28+'Draft Center'!$L$78-'Draft Center'!$L$82)&lt;1,1,$Q8*('Draft Center'!$L$28+'Draft Center'!$L$78-'Draft Center'!$L$82)),0)))</f>
        <v>57</v>
      </c>
      <c r="BC8" s="69">
        <f>IF(VLOOKUP($D8,$AO$14:AS$19,COLUMN()-50,0)&lt;=0,1,IF($Q8&lt;0,1,ROUNDUP(IF($Q8*('Draft Center'!$L$28+'Draft Center'!$L$78-'Draft Center'!$L$82)&lt;1,1,$Q8*('Draft Center'!$L$28+'Draft Center'!$L$78-'Draft Center'!$L$82)),0)))</f>
        <v>57</v>
      </c>
      <c r="BD8" s="69">
        <f>IF(VLOOKUP($D8,$AO$14:AT$19,COLUMN()-50,0)&lt;=0,1,IF($Q8&lt;0,1,ROUNDUP(IF($Q8*('Draft Center'!$L$28+'Draft Center'!$L$78-'Draft Center'!$L$82)&lt;1,1,$Q8*('Draft Center'!$L$28+'Draft Center'!$L$78-'Draft Center'!$L$82)),0)))</f>
        <v>57</v>
      </c>
      <c r="BE8" s="69">
        <f>IF(VLOOKUP($D8,$AO$14:AU$19,COLUMN()-50,0)&lt;=0,1,IF($Q8&lt;0,1,ROUNDUP(IF($Q8*('Draft Center'!$L$28+'Draft Center'!$L$78-'Draft Center'!$L$82)&lt;1,1,$Q8*('Draft Center'!$L$28+'Draft Center'!$L$78-'Draft Center'!$L$82)),0)))</f>
        <v>57</v>
      </c>
      <c r="BF8" s="69">
        <f>IF(VLOOKUP($D8,$AO$14:AV$19,COLUMN()-50,0)&lt;=0,1,IF($Q8&lt;0,1,ROUNDUP(IF($Q8*('Draft Center'!$L$28+'Draft Center'!$L$78-'Draft Center'!$L$82)&lt;1,1,$Q8*('Draft Center'!$L$28+'Draft Center'!$L$78-'Draft Center'!$L$82)),0)))</f>
        <v>57</v>
      </c>
      <c r="BG8" s="69">
        <f>IF(VLOOKUP($D8,$AO$14:AW$19,COLUMN()-50,0)&lt;=0,1,IF($Q8&lt;0,1,ROUNDUP(IF($Q8*('Draft Center'!$L$28+'Draft Center'!$L$78-'Draft Center'!$L$82)&lt;1,1,$Q8*('Draft Center'!$L$28+'Draft Center'!$L$78-'Draft Center'!$L$82)),0)))</f>
        <v>57</v>
      </c>
      <c r="BH8" s="69">
        <f>IF(VLOOKUP($D8,$AO$14:AX$19,COLUMN()-50,0)&lt;=0,1,IF($Q8&lt;0,1,ROUNDUP(IF($Q8*('Draft Center'!$L$28+'Draft Center'!$L$78-'Draft Center'!$L$82)&lt;1,1,$Q8*('Draft Center'!$L$28+'Draft Center'!$L$78-'Draft Center'!$L$82)),0)))</f>
        <v>57</v>
      </c>
      <c r="BI8" s="69">
        <f>IF(VLOOKUP($D8,$AO$14:AY$19,COLUMN()-50,0)&lt;=0,1,IF($Q8&lt;0,1,ROUNDUP(IF($Q8*('Draft Center'!$L$28+'Draft Center'!$L$78-'Draft Center'!$L$82)&lt;1,1,$Q8*('Draft Center'!$L$28+'Draft Center'!$L$78-'Draft Center'!$L$82)),0)))</f>
        <v>57</v>
      </c>
      <c r="BJ8" s="196"/>
      <c r="BK8" s="23">
        <v>0</v>
      </c>
      <c r="BL8" s="23" t="str">
        <f t="shared" si="5"/>
        <v/>
      </c>
      <c r="BM8" s="23">
        <v>0</v>
      </c>
      <c r="BN8" s="23">
        <f t="shared" si="5"/>
        <v>0</v>
      </c>
      <c r="BO8" s="23" t="str">
        <f t="shared" si="5"/>
        <v/>
      </c>
      <c r="BP8" s="23" t="str">
        <f t="shared" si="5"/>
        <v/>
      </c>
      <c r="BQ8" s="23" t="str">
        <f t="shared" si="5"/>
        <v/>
      </c>
      <c r="BR8" s="23">
        <f t="shared" si="6"/>
        <v>0</v>
      </c>
      <c r="BS8" s="23">
        <f t="shared" si="7"/>
        <v>0</v>
      </c>
      <c r="BT8" s="69">
        <v>57</v>
      </c>
      <c r="BU8" s="58">
        <v>2327.0337</v>
      </c>
      <c r="BV8" s="33">
        <v>57</v>
      </c>
      <c r="BW8" s="204">
        <v>2327.0337</v>
      </c>
      <c r="BX8" s="23"/>
      <c r="BY8" s="69">
        <v>57</v>
      </c>
      <c r="BZ8" s="69">
        <v>54.6</v>
      </c>
      <c r="CA8" s="69">
        <v>54.6</v>
      </c>
      <c r="CB8" s="69">
        <v>54.6</v>
      </c>
      <c r="CC8" s="69">
        <f t="shared" si="10"/>
        <v>54.6</v>
      </c>
      <c r="CD8" s="69">
        <f t="shared" si="11"/>
        <v>54.6</v>
      </c>
    </row>
    <row r="9" spans="1:82" ht="15.75" customHeight="1" thickBot="1" x14ac:dyDescent="0.3">
      <c r="A9" s="6">
        <v>8</v>
      </c>
      <c r="B9" s="7" t="s">
        <v>26</v>
      </c>
      <c r="C9" s="7" t="s">
        <v>27</v>
      </c>
      <c r="D9" s="7" t="s">
        <v>17</v>
      </c>
      <c r="E9" s="50">
        <v>80.9062548063647</v>
      </c>
      <c r="F9" s="50">
        <v>293.684171075714</v>
      </c>
      <c r="G9" s="50">
        <v>309.23447985156599</v>
      </c>
      <c r="H9" s="50">
        <v>253.77683762057899</v>
      </c>
      <c r="I9" s="8">
        <v>52.6</v>
      </c>
      <c r="J9" s="50">
        <v>3.8356711474172198</v>
      </c>
      <c r="K9" s="248">
        <f>IFERROR(VLOOKUP(C9,Schedule!$T$3:$U$34,2,0),"FA")</f>
        <v>8</v>
      </c>
      <c r="L9" s="7" t="str">
        <f>D9&amp;COUNTIF(D$2:$D9,D9)</f>
        <v>WR3</v>
      </c>
      <c r="M9" s="50">
        <f t="array" ref="M9">IFERROR(F9-AVERAGE(VLOOKUP(D9,$D10:$F$885,3,0),INDEX($F10:$F$885,SMALL(IF(D9=$D10:$D$885,ROW($D10:$D$885)-ROW(D9)),2))),0)</f>
        <v>11.273566256581546</v>
      </c>
      <c r="N9" s="50">
        <f>IFERROR(IF(VLOOKUP($B9,Input!$AC$2:$AC$162,1,0)=$B9,0),F9)</f>
        <v>293.684171075714</v>
      </c>
      <c r="O9" s="50">
        <f>IFERROR(IF(VLOOKUP($B9,Input!$AC$2:$AC$162,1,0)=$B9,0,G9),G9)</f>
        <v>309.23447985156599</v>
      </c>
      <c r="P9" s="50">
        <f>IF(N9=0,0,F9-AVERAGE(INDEX(F:F,MATCH(VLOOKUP(D9,Input!$A$14:$L$22,10,0),L:L,0)),INDEX(F:F,MATCH(VLOOKUP(D9,Input!$A$14:$L$22,11,0),L:L,0)),INDEX(F:F,MATCH(VLOOKUP(D9,Input!$A$14:$L$22,12,0),L:L,0)))+(0.01-ROW()*0.01))</f>
        <v>80.826254806364986</v>
      </c>
      <c r="Q9" s="106">
        <f t="shared" si="0"/>
        <v>2.7884487349941586E-2</v>
      </c>
      <c r="R9" s="8">
        <f>IF(VLOOKUP($D9,$X$14:$Y$19,2,0)&lt;=0,1,IF(Q9&lt;0,1,ROUNDUP(IF(Q9*('Draft Center'!$L$28+'Draft Center'!$L$78-'Draft Center'!$L$82)&lt;1,1,Q9*('Draft Center'!$L$28+'Draft Center'!$L$78-'Draft Center'!$L$82)),0)))</f>
        <v>55</v>
      </c>
      <c r="S9" s="8">
        <f>IF(A9&lt;Input!$B$10+0.1,IF(ROUNDUP(R9*Input!$C$10,0)=0,1,ROUNDUP(R9*Input!$C$10,0)),IF(A9&gt;Input!$B$11,IF(ROUNDUP(R9*Input!$C$11,0)=0,1,ROUNDUP(R9*Input!$C$11,0)),IF(ROUNDUP(R9,0)=0,1,ROUNDUP(R9,0))))</f>
        <v>61</v>
      </c>
      <c r="T9" s="8">
        <f t="shared" si="1"/>
        <v>55</v>
      </c>
      <c r="U9" s="8">
        <f>IFERROR(VLOOKUP($B9,Input!$AC$2:$AE$161,3,0),0)</f>
        <v>0</v>
      </c>
      <c r="V9" s="256">
        <f t="shared" si="8"/>
        <v>4.5717376425855487E-2</v>
      </c>
      <c r="W9" s="263">
        <f t="shared" si="9"/>
        <v>2.4000899999999987</v>
      </c>
      <c r="X9" s="27" t="s">
        <v>135</v>
      </c>
      <c r="Y9" s="23">
        <f>Input!$Q7-COUNTIF('Draft Center'!$B$20:$B$20,"*?")</f>
        <v>1</v>
      </c>
      <c r="Z9" s="84">
        <f>SUM(AF:AF)</f>
        <v>1</v>
      </c>
      <c r="AA9" s="23">
        <v>0</v>
      </c>
      <c r="AB9" s="23" t="str">
        <f t="shared" si="2"/>
        <v/>
      </c>
      <c r="AC9" s="23" t="str">
        <f t="shared" si="2"/>
        <v/>
      </c>
      <c r="AD9" s="23">
        <f t="shared" si="2"/>
        <v>0</v>
      </c>
      <c r="AE9" s="23" t="str">
        <f t="shared" si="2"/>
        <v/>
      </c>
      <c r="AF9" s="23" t="str">
        <f t="shared" si="2"/>
        <v/>
      </c>
      <c r="AG9" s="23" t="str">
        <f t="shared" si="2"/>
        <v/>
      </c>
      <c r="AH9" s="23">
        <f t="shared" si="3"/>
        <v>0</v>
      </c>
      <c r="AI9" s="23">
        <f t="shared" si="4"/>
        <v>0</v>
      </c>
      <c r="AJ9" s="70">
        <v>55</v>
      </c>
      <c r="AK9" s="225">
        <v>2327.0337</v>
      </c>
      <c r="AL9" s="33">
        <v>55</v>
      </c>
      <c r="AM9" s="204">
        <v>2327.0337</v>
      </c>
      <c r="AN9" s="196"/>
      <c r="AO9" s="23" t="s">
        <v>135</v>
      </c>
      <c r="AP9" s="84">
        <f>SUM(BP:BP)</f>
        <v>0</v>
      </c>
      <c r="AQ9" s="23">
        <f>Input!$Q7-COUNTIF('Draft Center'!C$20:C$20,"*?")</f>
        <v>1</v>
      </c>
      <c r="AR9" s="23">
        <f>Input!$Q7-COUNTIF('Draft Center'!D$20:D$20,"*?")</f>
        <v>1</v>
      </c>
      <c r="AS9" s="23">
        <f>Input!$Q7-COUNTIF('Draft Center'!E$20:E$20,"*?")</f>
        <v>1</v>
      </c>
      <c r="AT9" s="23">
        <f>Input!$Q7-COUNTIF('Draft Center'!F$20:F$20,"*?")</f>
        <v>1</v>
      </c>
      <c r="AU9" s="23">
        <f>Input!$Q7-COUNTIF('Draft Center'!G$20:G$20,"*?")</f>
        <v>1</v>
      </c>
      <c r="AV9" s="23">
        <f>Input!$Q7-COUNTIF('Draft Center'!H$20:H$20,"*?")</f>
        <v>1</v>
      </c>
      <c r="AW9" s="23">
        <f>Input!$Q7-COUNTIF('Draft Center'!I$20:I$20,"*?")</f>
        <v>1</v>
      </c>
      <c r="AX9" s="23">
        <f>Input!$Q7-COUNTIF('Draft Center'!J$20:J$20,"*?")</f>
        <v>1</v>
      </c>
      <c r="AY9" s="23">
        <f>Input!$Q7-COUNTIF('Draft Center'!K$20:K$20,"*?")</f>
        <v>1</v>
      </c>
      <c r="AZ9" s="196"/>
      <c r="BA9" s="70">
        <f>IF(VLOOKUP($D9,$AO$14:AQ$19,COLUMN()-50,0)&lt;=0,1,IF($Q9&lt;0,1,ROUNDUP(IF($Q9*('Draft Center'!$L$28+'Draft Center'!$L$78-'Draft Center'!$L$82)&lt;1,1,$Q9*('Draft Center'!$L$28+'Draft Center'!$L$78-'Draft Center'!$L$82)),0)))</f>
        <v>55</v>
      </c>
      <c r="BB9" s="70">
        <f>IF(VLOOKUP($D9,$AO$14:AR$19,COLUMN()-50,0)&lt;=0,1,IF($Q9&lt;0,1,ROUNDUP(IF($Q9*('Draft Center'!$L$28+'Draft Center'!$L$78-'Draft Center'!$L$82)&lt;1,1,$Q9*('Draft Center'!$L$28+'Draft Center'!$L$78-'Draft Center'!$L$82)),0)))</f>
        <v>55</v>
      </c>
      <c r="BC9" s="70">
        <f>IF(VLOOKUP($D9,$AO$14:AS$19,COLUMN()-50,0)&lt;=0,1,IF($Q9&lt;0,1,ROUNDUP(IF($Q9*('Draft Center'!$L$28+'Draft Center'!$L$78-'Draft Center'!$L$82)&lt;1,1,$Q9*('Draft Center'!$L$28+'Draft Center'!$L$78-'Draft Center'!$L$82)),0)))</f>
        <v>55</v>
      </c>
      <c r="BD9" s="70">
        <f>IF(VLOOKUP($D9,$AO$14:AT$19,COLUMN()-50,0)&lt;=0,1,IF($Q9&lt;0,1,ROUNDUP(IF($Q9*('Draft Center'!$L$28+'Draft Center'!$L$78-'Draft Center'!$L$82)&lt;1,1,$Q9*('Draft Center'!$L$28+'Draft Center'!$L$78-'Draft Center'!$L$82)),0)))</f>
        <v>55</v>
      </c>
      <c r="BE9" s="70">
        <f>IF(VLOOKUP($D9,$AO$14:AU$19,COLUMN()-50,0)&lt;=0,1,IF($Q9&lt;0,1,ROUNDUP(IF($Q9*('Draft Center'!$L$28+'Draft Center'!$L$78-'Draft Center'!$L$82)&lt;1,1,$Q9*('Draft Center'!$L$28+'Draft Center'!$L$78-'Draft Center'!$L$82)),0)))</f>
        <v>55</v>
      </c>
      <c r="BF9" s="70">
        <f>IF(VLOOKUP($D9,$AO$14:AV$19,COLUMN()-50,0)&lt;=0,1,IF($Q9&lt;0,1,ROUNDUP(IF($Q9*('Draft Center'!$L$28+'Draft Center'!$L$78-'Draft Center'!$L$82)&lt;1,1,$Q9*('Draft Center'!$L$28+'Draft Center'!$L$78-'Draft Center'!$L$82)),0)))</f>
        <v>55</v>
      </c>
      <c r="BG9" s="70">
        <f>IF(VLOOKUP($D9,$AO$14:AW$19,COLUMN()-50,0)&lt;=0,1,IF($Q9&lt;0,1,ROUNDUP(IF($Q9*('Draft Center'!$L$28+'Draft Center'!$L$78-'Draft Center'!$L$82)&lt;1,1,$Q9*('Draft Center'!$L$28+'Draft Center'!$L$78-'Draft Center'!$L$82)),0)))</f>
        <v>55</v>
      </c>
      <c r="BH9" s="70">
        <f>IF(VLOOKUP($D9,$AO$14:AX$19,COLUMN()-50,0)&lt;=0,1,IF($Q9&lt;0,1,ROUNDUP(IF($Q9*('Draft Center'!$L$28+'Draft Center'!$L$78-'Draft Center'!$L$82)&lt;1,1,$Q9*('Draft Center'!$L$28+'Draft Center'!$L$78-'Draft Center'!$L$82)),0)))</f>
        <v>55</v>
      </c>
      <c r="BI9" s="70">
        <f>IF(VLOOKUP($D9,$AO$14:AY$19,COLUMN()-50,0)&lt;=0,1,IF($Q9&lt;0,1,ROUNDUP(IF($Q9*('Draft Center'!$L$28+'Draft Center'!$L$78-'Draft Center'!$L$82)&lt;1,1,$Q9*('Draft Center'!$L$28+'Draft Center'!$L$78-'Draft Center'!$L$82)),0)))</f>
        <v>55</v>
      </c>
      <c r="BJ9" s="196"/>
      <c r="BK9" s="23">
        <v>0</v>
      </c>
      <c r="BL9" s="23" t="str">
        <f t="shared" si="5"/>
        <v/>
      </c>
      <c r="BM9" s="23">
        <v>0</v>
      </c>
      <c r="BN9" s="23">
        <f t="shared" si="5"/>
        <v>0</v>
      </c>
      <c r="BO9" s="23" t="str">
        <f t="shared" si="5"/>
        <v/>
      </c>
      <c r="BP9" s="23" t="str">
        <f t="shared" si="5"/>
        <v/>
      </c>
      <c r="BQ9" s="23" t="str">
        <f t="shared" si="5"/>
        <v/>
      </c>
      <c r="BR9" s="23">
        <f t="shared" si="6"/>
        <v>0</v>
      </c>
      <c r="BS9" s="23">
        <f t="shared" si="7"/>
        <v>0</v>
      </c>
      <c r="BT9" s="70">
        <v>55</v>
      </c>
      <c r="BU9" s="58">
        <v>2327.0337</v>
      </c>
      <c r="BV9" s="33">
        <v>55</v>
      </c>
      <c r="BW9" s="204">
        <v>2327.0337</v>
      </c>
      <c r="BX9" s="23"/>
      <c r="BY9" s="70">
        <v>55</v>
      </c>
      <c r="BZ9" s="70">
        <v>52.6</v>
      </c>
      <c r="CA9" s="70">
        <v>52.6</v>
      </c>
      <c r="CB9" s="70">
        <v>52.6</v>
      </c>
      <c r="CC9" s="70">
        <f t="shared" si="10"/>
        <v>52.6</v>
      </c>
      <c r="CD9" s="70">
        <f t="shared" si="11"/>
        <v>52.6</v>
      </c>
    </row>
    <row r="10" spans="1:82" ht="15.75" customHeight="1" thickBot="1" x14ac:dyDescent="0.3">
      <c r="A10" s="9">
        <v>9</v>
      </c>
      <c r="B10" s="10" t="s">
        <v>768</v>
      </c>
      <c r="C10" s="10" t="s">
        <v>31</v>
      </c>
      <c r="D10" s="10" t="s">
        <v>19</v>
      </c>
      <c r="E10" s="51">
        <v>76.215525976771005</v>
      </c>
      <c r="F10" s="51">
        <v>245.317924002723</v>
      </c>
      <c r="G10" s="51">
        <v>257.16488685044197</v>
      </c>
      <c r="H10" s="51">
        <v>234.97220850480099</v>
      </c>
      <c r="I10" s="11">
        <v>40.4</v>
      </c>
      <c r="J10" s="51">
        <v>3.0338406200491299</v>
      </c>
      <c r="K10" s="249">
        <f>IFERROR(VLOOKUP(C10,Schedule!$T$3:$U$34,2,0),"FA")</f>
        <v>9</v>
      </c>
      <c r="L10" s="10" t="str">
        <f>D10&amp;COUNTIF(D$2:$D10,D10)</f>
        <v>RB6</v>
      </c>
      <c r="M10" s="51">
        <f t="array" ref="M10">IFERROR(F10-AVERAGE(VLOOKUP(D10,$D11:$F$885,3,0),INDEX($F11:$F$885,SMALL(IF(D10=$D11:$D$885,ROW($D11:$D$885)-ROW(D10)),2))),0)</f>
        <v>5.3466716184339873</v>
      </c>
      <c r="N10" s="51">
        <f>IFERROR(IF(VLOOKUP($B10,Input!$AC$2:$AC$162,1,0)=$B10,0),F10)</f>
        <v>245.317924002723</v>
      </c>
      <c r="O10" s="51">
        <f>IFERROR(IF(VLOOKUP($B10,Input!$AC$2:$AC$162,1,0)=$B10,0,G10),G10)</f>
        <v>257.16488685044197</v>
      </c>
      <c r="P10" s="51">
        <f>IF(N10=0,0,F10-AVERAGE(INDEX(F:F,MATCH(VLOOKUP(D10,Input!$A$14:$L$22,10,0),L:L,0)),INDEX(F:F,MATCH(VLOOKUP(D10,Input!$A$14:$L$22,11,0),L:L,0)),INDEX(F:F,MATCH(VLOOKUP(D10,Input!$A$14:$L$22,12,0),L:L,0)))+(0.01-ROW()*0.01))</f>
        <v>76.125525976771002</v>
      </c>
      <c r="Q10" s="107">
        <f t="shared" si="0"/>
        <v>2.6262769086509232E-2</v>
      </c>
      <c r="R10" s="11">
        <f>IF(VLOOKUP($D10,$X$14:$Y$19,2,0)&lt;=0,1,IF(Q10&lt;0,1,ROUNDUP(IF(Q10*('Draft Center'!$L$28+'Draft Center'!$L$78-'Draft Center'!$L$82)&lt;1,1,Q10*('Draft Center'!$L$28+'Draft Center'!$L$78-'Draft Center'!$L$82)),0)))</f>
        <v>51</v>
      </c>
      <c r="S10" s="11">
        <f>IF(A10&lt;Input!$B$10+0.1,IF(ROUNDUP(R10*Input!$C$10,0)=0,1,ROUNDUP(R10*Input!$C$10,0)),IF(A10&gt;Input!$B$11,IF(ROUNDUP(R10*Input!$C$11,0)=0,1,ROUNDUP(R10*Input!$C$11,0)),IF(ROUNDUP(R10,0)=0,1,ROUNDUP(R10,0))))</f>
        <v>57</v>
      </c>
      <c r="T10" s="11">
        <f t="shared" si="1"/>
        <v>51</v>
      </c>
      <c r="U10" s="11">
        <f>IFERROR(VLOOKUP($B10,Input!$AC$2:$AE$161,3,0),0)</f>
        <v>0</v>
      </c>
      <c r="V10" s="257">
        <f t="shared" si="8"/>
        <v>0.26247623762376243</v>
      </c>
      <c r="W10" s="264">
        <f t="shared" si="9"/>
        <v>10.600100000000001</v>
      </c>
      <c r="X10" s="27" t="s">
        <v>147</v>
      </c>
      <c r="Y10" s="23">
        <f>Input!$Q6-COUNTIF('Draft Center'!$B$21:$B$21,"*?")</f>
        <v>1</v>
      </c>
      <c r="Z10" s="84">
        <f>SUM(AG:AG)</f>
        <v>1</v>
      </c>
      <c r="AA10" s="23">
        <v>0</v>
      </c>
      <c r="AB10" s="23" t="str">
        <f t="shared" si="2"/>
        <v/>
      </c>
      <c r="AC10" s="23">
        <f t="shared" si="2"/>
        <v>0</v>
      </c>
      <c r="AD10" s="23" t="str">
        <f t="shared" si="2"/>
        <v/>
      </c>
      <c r="AE10" s="23" t="str">
        <f t="shared" si="2"/>
        <v/>
      </c>
      <c r="AF10" s="23" t="str">
        <f t="shared" si="2"/>
        <v/>
      </c>
      <c r="AG10" s="23" t="str">
        <f t="shared" si="2"/>
        <v/>
      </c>
      <c r="AH10" s="23">
        <f t="shared" si="3"/>
        <v>0</v>
      </c>
      <c r="AI10" s="23">
        <f t="shared" si="4"/>
        <v>0</v>
      </c>
      <c r="AJ10" s="69">
        <v>51</v>
      </c>
      <c r="AK10" s="225">
        <v>2327.0337</v>
      </c>
      <c r="AL10" s="33">
        <v>51</v>
      </c>
      <c r="AM10" s="204">
        <v>2327.0337</v>
      </c>
      <c r="AN10" s="196"/>
      <c r="AO10" s="23" t="s">
        <v>147</v>
      </c>
      <c r="AP10" s="84">
        <f>SUM(BQ:BQ)</f>
        <v>1</v>
      </c>
      <c r="AQ10" s="23">
        <f>Input!$Q6-COUNTIF('Draft Center'!C$21:C$21,"*?")</f>
        <v>1</v>
      </c>
      <c r="AR10" s="23">
        <f>Input!$Q6-COUNTIF('Draft Center'!D$21:D$21,"*?")</f>
        <v>1</v>
      </c>
      <c r="AS10" s="23">
        <f>Input!$Q6-COUNTIF('Draft Center'!E$21:E$21,"*?")</f>
        <v>1</v>
      </c>
      <c r="AT10" s="23">
        <f>Input!$Q6-COUNTIF('Draft Center'!F$21:F$21,"*?")</f>
        <v>1</v>
      </c>
      <c r="AU10" s="23">
        <f>Input!$Q6-COUNTIF('Draft Center'!G$21:G$21,"*?")</f>
        <v>1</v>
      </c>
      <c r="AV10" s="23">
        <f>Input!$Q6-COUNTIF('Draft Center'!H$21:H$21,"*?")</f>
        <v>1</v>
      </c>
      <c r="AW10" s="23">
        <f>Input!$Q6-COUNTIF('Draft Center'!I$21:I$21,"*?")</f>
        <v>1</v>
      </c>
      <c r="AX10" s="23">
        <f>Input!$Q6-COUNTIF('Draft Center'!J$21:J$21,"*?")</f>
        <v>1</v>
      </c>
      <c r="AY10" s="23">
        <f>Input!$Q6-COUNTIF('Draft Center'!K$21:K$21,"*?")</f>
        <v>1</v>
      </c>
      <c r="AZ10" s="196"/>
      <c r="BA10" s="69">
        <f>IF(VLOOKUP($D10,$AO$14:AQ$19,COLUMN()-50,0)&lt;=0,1,IF($Q10&lt;0,1,ROUNDUP(IF($Q10*('Draft Center'!$L$28+'Draft Center'!$L$78-'Draft Center'!$L$82)&lt;1,1,$Q10*('Draft Center'!$L$28+'Draft Center'!$L$78-'Draft Center'!$L$82)),0)))</f>
        <v>51</v>
      </c>
      <c r="BB10" s="69">
        <f>IF(VLOOKUP($D10,$AO$14:AR$19,COLUMN()-50,0)&lt;=0,1,IF($Q10&lt;0,1,ROUNDUP(IF($Q10*('Draft Center'!$L$28+'Draft Center'!$L$78-'Draft Center'!$L$82)&lt;1,1,$Q10*('Draft Center'!$L$28+'Draft Center'!$L$78-'Draft Center'!$L$82)),0)))</f>
        <v>51</v>
      </c>
      <c r="BC10" s="69">
        <f>IF(VLOOKUP($D10,$AO$14:AS$19,COLUMN()-50,0)&lt;=0,1,IF($Q10&lt;0,1,ROUNDUP(IF($Q10*('Draft Center'!$L$28+'Draft Center'!$L$78-'Draft Center'!$L$82)&lt;1,1,$Q10*('Draft Center'!$L$28+'Draft Center'!$L$78-'Draft Center'!$L$82)),0)))</f>
        <v>51</v>
      </c>
      <c r="BD10" s="69">
        <f>IF(VLOOKUP($D10,$AO$14:AT$19,COLUMN()-50,0)&lt;=0,1,IF($Q10&lt;0,1,ROUNDUP(IF($Q10*('Draft Center'!$L$28+'Draft Center'!$L$78-'Draft Center'!$L$82)&lt;1,1,$Q10*('Draft Center'!$L$28+'Draft Center'!$L$78-'Draft Center'!$L$82)),0)))</f>
        <v>51</v>
      </c>
      <c r="BE10" s="69">
        <f>IF(VLOOKUP($D10,$AO$14:AU$19,COLUMN()-50,0)&lt;=0,1,IF($Q10&lt;0,1,ROUNDUP(IF($Q10*('Draft Center'!$L$28+'Draft Center'!$L$78-'Draft Center'!$L$82)&lt;1,1,$Q10*('Draft Center'!$L$28+'Draft Center'!$L$78-'Draft Center'!$L$82)),0)))</f>
        <v>51</v>
      </c>
      <c r="BF10" s="69">
        <f>IF(VLOOKUP($D10,$AO$14:AV$19,COLUMN()-50,0)&lt;=0,1,IF($Q10&lt;0,1,ROUNDUP(IF($Q10*('Draft Center'!$L$28+'Draft Center'!$L$78-'Draft Center'!$L$82)&lt;1,1,$Q10*('Draft Center'!$L$28+'Draft Center'!$L$78-'Draft Center'!$L$82)),0)))</f>
        <v>51</v>
      </c>
      <c r="BG10" s="69">
        <f>IF(VLOOKUP($D10,$AO$14:AW$19,COLUMN()-50,0)&lt;=0,1,IF($Q10&lt;0,1,ROUNDUP(IF($Q10*('Draft Center'!$L$28+'Draft Center'!$L$78-'Draft Center'!$L$82)&lt;1,1,$Q10*('Draft Center'!$L$28+'Draft Center'!$L$78-'Draft Center'!$L$82)),0)))</f>
        <v>51</v>
      </c>
      <c r="BH10" s="69">
        <f>IF(VLOOKUP($D10,$AO$14:AX$19,COLUMN()-50,0)&lt;=0,1,IF($Q10&lt;0,1,ROUNDUP(IF($Q10*('Draft Center'!$L$28+'Draft Center'!$L$78-'Draft Center'!$L$82)&lt;1,1,$Q10*('Draft Center'!$L$28+'Draft Center'!$L$78-'Draft Center'!$L$82)),0)))</f>
        <v>51</v>
      </c>
      <c r="BI10" s="69">
        <f>IF(VLOOKUP($D10,$AO$14:AY$19,COLUMN()-50,0)&lt;=0,1,IF($Q10&lt;0,1,ROUNDUP(IF($Q10*('Draft Center'!$L$28+'Draft Center'!$L$78-'Draft Center'!$L$82)&lt;1,1,$Q10*('Draft Center'!$L$28+'Draft Center'!$L$78-'Draft Center'!$L$82)),0)))</f>
        <v>51</v>
      </c>
      <c r="BJ10" s="196"/>
      <c r="BK10" s="23">
        <v>0</v>
      </c>
      <c r="BL10" s="23" t="str">
        <f t="shared" si="5"/>
        <v/>
      </c>
      <c r="BM10" s="23">
        <v>0</v>
      </c>
      <c r="BN10" s="23" t="str">
        <f t="shared" si="5"/>
        <v/>
      </c>
      <c r="BO10" s="23" t="str">
        <f t="shared" si="5"/>
        <v/>
      </c>
      <c r="BP10" s="23" t="str">
        <f t="shared" si="5"/>
        <v/>
      </c>
      <c r="BQ10" s="23" t="str">
        <f t="shared" si="5"/>
        <v/>
      </c>
      <c r="BR10" s="23">
        <f t="shared" si="6"/>
        <v>0</v>
      </c>
      <c r="BS10" s="23">
        <f t="shared" si="7"/>
        <v>0</v>
      </c>
      <c r="BT10" s="69">
        <v>51</v>
      </c>
      <c r="BU10" s="58">
        <v>2327.0337</v>
      </c>
      <c r="BV10" s="33">
        <v>51</v>
      </c>
      <c r="BW10" s="204">
        <v>2327.0337</v>
      </c>
      <c r="BX10" s="23"/>
      <c r="BY10" s="69">
        <v>51</v>
      </c>
      <c r="BZ10" s="69">
        <v>40.4</v>
      </c>
      <c r="CA10" s="69">
        <v>40.4</v>
      </c>
      <c r="CB10" s="69">
        <v>40.4</v>
      </c>
      <c r="CC10" s="69">
        <f t="shared" si="10"/>
        <v>40.4</v>
      </c>
      <c r="CD10" s="69">
        <f t="shared" si="11"/>
        <v>40.4</v>
      </c>
    </row>
    <row r="11" spans="1:82" ht="15.75" customHeight="1" thickBot="1" x14ac:dyDescent="0.3">
      <c r="A11" s="6">
        <v>10</v>
      </c>
      <c r="B11" s="7" t="s">
        <v>76</v>
      </c>
      <c r="C11" s="7" t="s">
        <v>927</v>
      </c>
      <c r="D11" s="7" t="s">
        <v>19</v>
      </c>
      <c r="E11" s="50">
        <v>75.700592302127305</v>
      </c>
      <c r="F11" s="50">
        <v>244.80299032807901</v>
      </c>
      <c r="G11" s="50">
        <v>248.07612350893999</v>
      </c>
      <c r="H11" s="50">
        <v>237.637918894427</v>
      </c>
      <c r="I11" s="8">
        <v>42.3</v>
      </c>
      <c r="J11" s="50">
        <v>2.2743176442964601</v>
      </c>
      <c r="K11" s="248">
        <f>IFERROR(VLOOKUP(C11,Schedule!$T$3:$U$34,2,0),"FA")</f>
        <v>9</v>
      </c>
      <c r="L11" s="7" t="str">
        <f>D11&amp;COUNTIF(D$2:$D11,D11)</f>
        <v>RB7</v>
      </c>
      <c r="M11" s="50">
        <f t="array" ref="M11">IFERROR(F11-AVERAGE(VLOOKUP(D11,$D12:$F$885,3,0),INDEX($F12:$F$885,SMALL(IF(D11=$D12:$D$885,ROW($D12:$D$885)-ROW(D11)),2))),0)</f>
        <v>13.627661489415999</v>
      </c>
      <c r="N11" s="50">
        <f>IFERROR(IF(VLOOKUP($B11,Input!$AC$2:$AC$162,1,0)=$B11,0),F11)</f>
        <v>244.80299032807901</v>
      </c>
      <c r="O11" s="50">
        <f>IFERROR(IF(VLOOKUP($B11,Input!$AC$2:$AC$162,1,0)=$B11,0,G11),G11)</f>
        <v>248.07612350893999</v>
      </c>
      <c r="P11" s="50">
        <f>IF(N11=0,0,F11-AVERAGE(INDEX(F:F,MATCH(VLOOKUP(D11,Input!$A$14:$L$22,10,0),L:L,0)),INDEX(F:F,MATCH(VLOOKUP(D11,Input!$A$14:$L$22,11,0),L:L,0)),INDEX(F:F,MATCH(VLOOKUP(D11,Input!$A$14:$L$22,12,0),L:L,0)))+(0.01-ROW()*0.01))</f>
        <v>75.600592302127012</v>
      </c>
      <c r="Q11" s="106">
        <f t="shared" si="0"/>
        <v>2.6081670674301026E-2</v>
      </c>
      <c r="R11" s="8">
        <f>IF(VLOOKUP($D11,$X$14:$Y$19,2,0)&lt;=0,1,IF(Q11&lt;0,1,ROUNDUP(IF(Q11*('Draft Center'!$L$28+'Draft Center'!$L$78-'Draft Center'!$L$82)&lt;1,1,Q11*('Draft Center'!$L$28+'Draft Center'!$L$78-'Draft Center'!$L$82)),0)))</f>
        <v>51</v>
      </c>
      <c r="S11" s="8">
        <f>IF(A11&lt;Input!$B$10+0.1,IF(ROUNDUP(R11*Input!$C$10,0)=0,1,ROUNDUP(R11*Input!$C$10,0)),IF(A11&gt;Input!$B$11,IF(ROUNDUP(R11*Input!$C$11,0)=0,1,ROUNDUP(R11*Input!$C$11,0)),IF(ROUNDUP(R11,0)=0,1,ROUNDUP(R11,0))))</f>
        <v>57</v>
      </c>
      <c r="T11" s="8">
        <f t="shared" si="1"/>
        <v>51</v>
      </c>
      <c r="U11" s="8">
        <f>IFERROR(VLOOKUP($B11,Input!$AC$2:$AE$161,3,0),0)</f>
        <v>0</v>
      </c>
      <c r="V11" s="256">
        <f t="shared" si="8"/>
        <v>0.2057837588652483</v>
      </c>
      <c r="W11" s="263">
        <f t="shared" si="9"/>
        <v>8.7001100000000022</v>
      </c>
      <c r="X11" s="27" t="s">
        <v>590</v>
      </c>
      <c r="Y11" s="23">
        <f>Input!$Q$16</f>
        <v>7</v>
      </c>
      <c r="Z11" s="84">
        <f>SUM(AH:AH)</f>
        <v>9</v>
      </c>
      <c r="AA11" s="23">
        <v>0</v>
      </c>
      <c r="AB11" s="23" t="str">
        <f t="shared" si="2"/>
        <v/>
      </c>
      <c r="AC11" s="23">
        <f t="shared" si="2"/>
        <v>0</v>
      </c>
      <c r="AD11" s="23" t="str">
        <f t="shared" si="2"/>
        <v/>
      </c>
      <c r="AE11" s="23" t="str">
        <f t="shared" si="2"/>
        <v/>
      </c>
      <c r="AF11" s="23" t="str">
        <f t="shared" si="2"/>
        <v/>
      </c>
      <c r="AG11" s="23" t="str">
        <f t="shared" si="2"/>
        <v/>
      </c>
      <c r="AH11" s="23">
        <f t="shared" si="3"/>
        <v>0</v>
      </c>
      <c r="AI11" s="23">
        <f t="shared" si="4"/>
        <v>0</v>
      </c>
      <c r="AJ11" s="70">
        <v>51</v>
      </c>
      <c r="AK11" s="225">
        <v>1215.2554071984589</v>
      </c>
      <c r="AL11" s="33">
        <v>51</v>
      </c>
      <c r="AM11" s="204">
        <v>1216.355205505025</v>
      </c>
      <c r="AN11" s="196"/>
      <c r="AO11" s="23" t="s">
        <v>590</v>
      </c>
      <c r="AP11" s="84">
        <f>SUM(BR:BR)</f>
        <v>10</v>
      </c>
      <c r="AQ11" s="23">
        <f>Input!$Q$16</f>
        <v>7</v>
      </c>
      <c r="AR11" s="23">
        <f>Input!$Q$16</f>
        <v>7</v>
      </c>
      <c r="AS11" s="23">
        <f>Input!$Q$16</f>
        <v>7</v>
      </c>
      <c r="AT11" s="23">
        <f>Input!$Q$16</f>
        <v>7</v>
      </c>
      <c r="AU11" s="23">
        <f>Input!$Q$16</f>
        <v>7</v>
      </c>
      <c r="AV11" s="23">
        <f>Input!$Q$16</f>
        <v>7</v>
      </c>
      <c r="AW11" s="23">
        <f>Input!$Q$16</f>
        <v>7</v>
      </c>
      <c r="AX11" s="23">
        <f>Input!$Q$16</f>
        <v>7</v>
      </c>
      <c r="AY11" s="23">
        <f>Input!$Q$16</f>
        <v>7</v>
      </c>
      <c r="AZ11" s="196"/>
      <c r="BA11" s="70">
        <f>IF(VLOOKUP($D11,$AO$14:AQ$19,COLUMN()-50,0)&lt;=0,1,IF($Q11&lt;0,1,ROUNDUP(IF($Q11*('Draft Center'!$L$28+'Draft Center'!$L$78-'Draft Center'!$L$82)&lt;1,1,$Q11*('Draft Center'!$L$28+'Draft Center'!$L$78-'Draft Center'!$L$82)),0)))</f>
        <v>51</v>
      </c>
      <c r="BB11" s="70">
        <f>IF(VLOOKUP($D11,$AO$14:AR$19,COLUMN()-50,0)&lt;=0,1,IF($Q11&lt;0,1,ROUNDUP(IF($Q11*('Draft Center'!$L$28+'Draft Center'!$L$78-'Draft Center'!$L$82)&lt;1,1,$Q11*('Draft Center'!$L$28+'Draft Center'!$L$78-'Draft Center'!$L$82)),0)))</f>
        <v>51</v>
      </c>
      <c r="BC11" s="70">
        <f>IF(VLOOKUP($D11,$AO$14:AS$19,COLUMN()-50,0)&lt;=0,1,IF($Q11&lt;0,1,ROUNDUP(IF($Q11*('Draft Center'!$L$28+'Draft Center'!$L$78-'Draft Center'!$L$82)&lt;1,1,$Q11*('Draft Center'!$L$28+'Draft Center'!$L$78-'Draft Center'!$L$82)),0)))</f>
        <v>51</v>
      </c>
      <c r="BD11" s="70">
        <f>IF(VLOOKUP($D11,$AO$14:AT$19,COLUMN()-50,0)&lt;=0,1,IF($Q11&lt;0,1,ROUNDUP(IF($Q11*('Draft Center'!$L$28+'Draft Center'!$L$78-'Draft Center'!$L$82)&lt;1,1,$Q11*('Draft Center'!$L$28+'Draft Center'!$L$78-'Draft Center'!$L$82)),0)))</f>
        <v>51</v>
      </c>
      <c r="BE11" s="70">
        <f>IF(VLOOKUP($D11,$AO$14:AU$19,COLUMN()-50,0)&lt;=0,1,IF($Q11&lt;0,1,ROUNDUP(IF($Q11*('Draft Center'!$L$28+'Draft Center'!$L$78-'Draft Center'!$L$82)&lt;1,1,$Q11*('Draft Center'!$L$28+'Draft Center'!$L$78-'Draft Center'!$L$82)),0)))</f>
        <v>51</v>
      </c>
      <c r="BF11" s="70">
        <f>IF(VLOOKUP($D11,$AO$14:AV$19,COLUMN()-50,0)&lt;=0,1,IF($Q11&lt;0,1,ROUNDUP(IF($Q11*('Draft Center'!$L$28+'Draft Center'!$L$78-'Draft Center'!$L$82)&lt;1,1,$Q11*('Draft Center'!$L$28+'Draft Center'!$L$78-'Draft Center'!$L$82)),0)))</f>
        <v>51</v>
      </c>
      <c r="BG11" s="70">
        <f>IF(VLOOKUP($D11,$AO$14:AW$19,COLUMN()-50,0)&lt;=0,1,IF($Q11&lt;0,1,ROUNDUP(IF($Q11*('Draft Center'!$L$28+'Draft Center'!$L$78-'Draft Center'!$L$82)&lt;1,1,$Q11*('Draft Center'!$L$28+'Draft Center'!$L$78-'Draft Center'!$L$82)),0)))</f>
        <v>51</v>
      </c>
      <c r="BH11" s="70">
        <f>IF(VLOOKUP($D11,$AO$14:AX$19,COLUMN()-50,0)&lt;=0,1,IF($Q11&lt;0,1,ROUNDUP(IF($Q11*('Draft Center'!$L$28+'Draft Center'!$L$78-'Draft Center'!$L$82)&lt;1,1,$Q11*('Draft Center'!$L$28+'Draft Center'!$L$78-'Draft Center'!$L$82)),0)))</f>
        <v>51</v>
      </c>
      <c r="BI11" s="70">
        <f>IF(VLOOKUP($D11,$AO$14:AY$19,COLUMN()-50,0)&lt;=0,1,IF($Q11&lt;0,1,ROUNDUP(IF($Q11*('Draft Center'!$L$28+'Draft Center'!$L$78-'Draft Center'!$L$82)&lt;1,1,$Q11*('Draft Center'!$L$28+'Draft Center'!$L$78-'Draft Center'!$L$82)),0)))</f>
        <v>51</v>
      </c>
      <c r="BJ11" s="196"/>
      <c r="BK11" s="23">
        <v>0</v>
      </c>
      <c r="BL11" s="23" t="str">
        <f t="shared" si="5"/>
        <v/>
      </c>
      <c r="BM11" s="23">
        <v>0</v>
      </c>
      <c r="BN11" s="23" t="str">
        <f t="shared" si="5"/>
        <v/>
      </c>
      <c r="BO11" s="23" t="str">
        <f t="shared" si="5"/>
        <v/>
      </c>
      <c r="BP11" s="23" t="str">
        <f t="shared" si="5"/>
        <v/>
      </c>
      <c r="BQ11" s="23" t="str">
        <f t="shared" si="5"/>
        <v/>
      </c>
      <c r="BR11" s="23">
        <f t="shared" si="6"/>
        <v>0</v>
      </c>
      <c r="BS11" s="23">
        <f t="shared" si="7"/>
        <v>0</v>
      </c>
      <c r="BT11" s="70">
        <v>51</v>
      </c>
      <c r="BU11" s="58">
        <v>2327.0337</v>
      </c>
      <c r="BV11" s="33">
        <v>51</v>
      </c>
      <c r="BW11" s="204">
        <v>2327.0337</v>
      </c>
      <c r="BX11" s="23"/>
      <c r="BY11" s="70">
        <v>51</v>
      </c>
      <c r="BZ11" s="70">
        <v>42.3</v>
      </c>
      <c r="CA11" s="70">
        <v>42.3</v>
      </c>
      <c r="CB11" s="70">
        <v>42.3</v>
      </c>
      <c r="CC11" s="70">
        <f t="shared" si="10"/>
        <v>42.3</v>
      </c>
      <c r="CD11" s="70">
        <f t="shared" si="11"/>
        <v>42.3</v>
      </c>
    </row>
    <row r="12" spans="1:82" ht="15.75" customHeight="1" thickBot="1" x14ac:dyDescent="0.3">
      <c r="A12" s="9">
        <v>11</v>
      </c>
      <c r="B12" s="10" t="s">
        <v>56</v>
      </c>
      <c r="C12" s="10" t="s">
        <v>57</v>
      </c>
      <c r="D12" s="10" t="s">
        <v>17</v>
      </c>
      <c r="E12" s="51">
        <v>72.063677933699694</v>
      </c>
      <c r="F12" s="51">
        <v>284.841594203049</v>
      </c>
      <c r="G12" s="51">
        <v>318.75930482492601</v>
      </c>
      <c r="H12" s="51">
        <v>260.63929230713802</v>
      </c>
      <c r="I12" s="11">
        <v>48.8</v>
      </c>
      <c r="J12" s="51">
        <v>4.0889565100765903</v>
      </c>
      <c r="K12" s="249">
        <f>IFERROR(VLOOKUP(C12,Schedule!$T$3:$U$34,2,0),"FA")</f>
        <v>11</v>
      </c>
      <c r="L12" s="10" t="str">
        <f>D12&amp;COUNTIF(D$2:$D12,D12)</f>
        <v>WR4</v>
      </c>
      <c r="M12" s="51">
        <f t="array" ref="M12">IFERROR(F12-AVERAGE(VLOOKUP(D12,$D13:$F$885,3,0),INDEX($F13:$F$885,SMALL(IF(D12=$D13:$D$885,ROW($D13:$D$885)-ROW(D12)),2))),0)</f>
        <v>9.5025944451759869</v>
      </c>
      <c r="N12" s="51">
        <f>IFERROR(IF(VLOOKUP($B12,Input!$AC$2:$AC$162,1,0)=$B12,0),F12)</f>
        <v>284.841594203049</v>
      </c>
      <c r="O12" s="51">
        <f>IFERROR(IF(VLOOKUP($B12,Input!$AC$2:$AC$162,1,0)=$B12,0,G12),G12)</f>
        <v>318.75930482492601</v>
      </c>
      <c r="P12" s="51">
        <f>IF(N12=0,0,F12-AVERAGE(INDEX(F:F,MATCH(VLOOKUP(D12,Input!$A$14:$L$22,10,0),L:L,0)),INDEX(F:F,MATCH(VLOOKUP(D12,Input!$A$14:$L$22,11,0),L:L,0)),INDEX(F:F,MATCH(VLOOKUP(D12,Input!$A$14:$L$22,12,0),L:L,0)))+(0.01-ROW()*0.01))</f>
        <v>71.953677933699979</v>
      </c>
      <c r="Q12" s="107">
        <f t="shared" si="0"/>
        <v>2.4823510961020388E-2</v>
      </c>
      <c r="R12" s="11">
        <f>IF(VLOOKUP($D12,$X$14:$Y$19,2,0)&lt;=0,1,IF(Q12&lt;0,1,ROUNDUP(IF(Q12*('Draft Center'!$L$28+'Draft Center'!$L$78-'Draft Center'!$L$82)&lt;1,1,Q12*('Draft Center'!$L$28+'Draft Center'!$L$78-'Draft Center'!$L$82)),0)))</f>
        <v>49</v>
      </c>
      <c r="S12" s="11">
        <f>IF(A12&lt;Input!$B$10+0.1,IF(ROUNDUP(R12*Input!$C$10,0)=0,1,ROUNDUP(R12*Input!$C$10,0)),IF(A12&gt;Input!$B$11,IF(ROUNDUP(R12*Input!$C$11,0)=0,1,ROUNDUP(R12*Input!$C$11,0)),IF(ROUNDUP(R12,0)=0,1,ROUNDUP(R12,0))))</f>
        <v>54</v>
      </c>
      <c r="T12" s="11">
        <f t="shared" si="1"/>
        <v>49</v>
      </c>
      <c r="U12" s="11">
        <f>IFERROR(VLOOKUP($B12,Input!$AC$2:$AE$161,3,0),0)</f>
        <v>0</v>
      </c>
      <c r="V12" s="257">
        <f t="shared" si="8"/>
        <v>4.2183606557377636E-3</v>
      </c>
      <c r="W12" s="264">
        <f t="shared" si="9"/>
        <v>0.20012000000000285</v>
      </c>
      <c r="X12" s="199" t="s">
        <v>682</v>
      </c>
      <c r="Y12" s="85">
        <f>Input!$Q$16</f>
        <v>7</v>
      </c>
      <c r="Z12" s="86"/>
      <c r="AA12" s="23">
        <v>0</v>
      </c>
      <c r="AB12" s="23" t="str">
        <f t="shared" ref="AB12:AG21" si="12">IF($D12=AB$1,1*$AA12,"")</f>
        <v/>
      </c>
      <c r="AC12" s="23" t="str">
        <f t="shared" si="12"/>
        <v/>
      </c>
      <c r="AD12" s="23">
        <f t="shared" si="12"/>
        <v>0</v>
      </c>
      <c r="AE12" s="23" t="str">
        <f t="shared" si="12"/>
        <v/>
      </c>
      <c r="AF12" s="23" t="str">
        <f t="shared" si="12"/>
        <v/>
      </c>
      <c r="AG12" s="23" t="str">
        <f t="shared" si="12"/>
        <v/>
      </c>
      <c r="AH12" s="23">
        <f t="shared" si="3"/>
        <v>0</v>
      </c>
      <c r="AI12" s="23">
        <f t="shared" si="4"/>
        <v>0</v>
      </c>
      <c r="AJ12" s="69">
        <v>49</v>
      </c>
      <c r="AK12" s="225">
        <v>2327.0337</v>
      </c>
      <c r="AL12" s="33">
        <v>49</v>
      </c>
      <c r="AM12" s="204">
        <v>2327.0337</v>
      </c>
      <c r="AN12" s="196"/>
      <c r="AO12" s="85" t="s">
        <v>682</v>
      </c>
      <c r="AP12" s="86"/>
      <c r="AQ12" s="85">
        <f>Input!$Q$16</f>
        <v>7</v>
      </c>
      <c r="AR12" s="85">
        <f>Input!$B$4</f>
        <v>7</v>
      </c>
      <c r="AS12" s="85">
        <f>Input!$B$4</f>
        <v>7</v>
      </c>
      <c r="AT12" s="85">
        <f>Input!$B$4</f>
        <v>7</v>
      </c>
      <c r="AU12" s="85">
        <f>Input!$B$4</f>
        <v>7</v>
      </c>
      <c r="AV12" s="85">
        <f>Input!$B$4</f>
        <v>7</v>
      </c>
      <c r="AW12" s="85">
        <f>Input!$B$4</f>
        <v>7</v>
      </c>
      <c r="AX12" s="85">
        <f>Input!$B$4</f>
        <v>7</v>
      </c>
      <c r="AY12" s="85">
        <f>Input!$B$4</f>
        <v>7</v>
      </c>
      <c r="AZ12" s="196"/>
      <c r="BA12" s="69">
        <f>IF(VLOOKUP($D12,$AO$14:AQ$19,COLUMN()-50,0)&lt;=0,1,IF($Q12&lt;0,1,ROUNDUP(IF($Q12*('Draft Center'!$L$28+'Draft Center'!$L$78-'Draft Center'!$L$82)&lt;1,1,$Q12*('Draft Center'!$L$28+'Draft Center'!$L$78-'Draft Center'!$L$82)),0)))</f>
        <v>49</v>
      </c>
      <c r="BB12" s="69">
        <f>IF(VLOOKUP($D12,$AO$14:AR$19,COLUMN()-50,0)&lt;=0,1,IF($Q12&lt;0,1,ROUNDUP(IF($Q12*('Draft Center'!$L$28+'Draft Center'!$L$78-'Draft Center'!$L$82)&lt;1,1,$Q12*('Draft Center'!$L$28+'Draft Center'!$L$78-'Draft Center'!$L$82)),0)))</f>
        <v>49</v>
      </c>
      <c r="BC12" s="69">
        <f>IF(VLOOKUP($D12,$AO$14:AS$19,COLUMN()-50,0)&lt;=0,1,IF($Q12&lt;0,1,ROUNDUP(IF($Q12*('Draft Center'!$L$28+'Draft Center'!$L$78-'Draft Center'!$L$82)&lt;1,1,$Q12*('Draft Center'!$L$28+'Draft Center'!$L$78-'Draft Center'!$L$82)),0)))</f>
        <v>49</v>
      </c>
      <c r="BD12" s="69">
        <f>IF(VLOOKUP($D12,$AO$14:AT$19,COLUMN()-50,0)&lt;=0,1,IF($Q12&lt;0,1,ROUNDUP(IF($Q12*('Draft Center'!$L$28+'Draft Center'!$L$78-'Draft Center'!$L$82)&lt;1,1,$Q12*('Draft Center'!$L$28+'Draft Center'!$L$78-'Draft Center'!$L$82)),0)))</f>
        <v>49</v>
      </c>
      <c r="BE12" s="69">
        <f>IF(VLOOKUP($D12,$AO$14:AU$19,COLUMN()-50,0)&lt;=0,1,IF($Q12&lt;0,1,ROUNDUP(IF($Q12*('Draft Center'!$L$28+'Draft Center'!$L$78-'Draft Center'!$L$82)&lt;1,1,$Q12*('Draft Center'!$L$28+'Draft Center'!$L$78-'Draft Center'!$L$82)),0)))</f>
        <v>49</v>
      </c>
      <c r="BF12" s="69">
        <f>IF(VLOOKUP($D12,$AO$14:AV$19,COLUMN()-50,0)&lt;=0,1,IF($Q12&lt;0,1,ROUNDUP(IF($Q12*('Draft Center'!$L$28+'Draft Center'!$L$78-'Draft Center'!$L$82)&lt;1,1,$Q12*('Draft Center'!$L$28+'Draft Center'!$L$78-'Draft Center'!$L$82)),0)))</f>
        <v>49</v>
      </c>
      <c r="BG12" s="69">
        <f>IF(VLOOKUP($D12,$AO$14:AW$19,COLUMN()-50,0)&lt;=0,1,IF($Q12&lt;0,1,ROUNDUP(IF($Q12*('Draft Center'!$L$28+'Draft Center'!$L$78-'Draft Center'!$L$82)&lt;1,1,$Q12*('Draft Center'!$L$28+'Draft Center'!$L$78-'Draft Center'!$L$82)),0)))</f>
        <v>49</v>
      </c>
      <c r="BH12" s="69">
        <f>IF(VLOOKUP($D12,$AO$14:AX$19,COLUMN()-50,0)&lt;=0,1,IF($Q12&lt;0,1,ROUNDUP(IF($Q12*('Draft Center'!$L$28+'Draft Center'!$L$78-'Draft Center'!$L$82)&lt;1,1,$Q12*('Draft Center'!$L$28+'Draft Center'!$L$78-'Draft Center'!$L$82)),0)))</f>
        <v>49</v>
      </c>
      <c r="BI12" s="69">
        <f>IF(VLOOKUP($D12,$AO$14:AY$19,COLUMN()-50,0)&lt;=0,1,IF($Q12&lt;0,1,ROUNDUP(IF($Q12*('Draft Center'!$L$28+'Draft Center'!$L$78-'Draft Center'!$L$82)&lt;1,1,$Q12*('Draft Center'!$L$28+'Draft Center'!$L$78-'Draft Center'!$L$82)),0)))</f>
        <v>49</v>
      </c>
      <c r="BJ12" s="196"/>
      <c r="BK12" s="23">
        <v>0</v>
      </c>
      <c r="BL12" s="23" t="str">
        <f t="shared" ref="BL12:BQ21" si="13">IF($D12=BL$1,1*$BK12,"")</f>
        <v/>
      </c>
      <c r="BM12" s="23">
        <v>0</v>
      </c>
      <c r="BN12" s="23">
        <f t="shared" si="13"/>
        <v>0</v>
      </c>
      <c r="BO12" s="23" t="str">
        <f t="shared" si="13"/>
        <v/>
      </c>
      <c r="BP12" s="23" t="str">
        <f t="shared" si="13"/>
        <v/>
      </c>
      <c r="BQ12" s="23" t="str">
        <f t="shared" si="13"/>
        <v/>
      </c>
      <c r="BR12" s="23">
        <f t="shared" si="6"/>
        <v>0</v>
      </c>
      <c r="BS12" s="23">
        <f t="shared" si="7"/>
        <v>0</v>
      </c>
      <c r="BT12" s="69">
        <v>49</v>
      </c>
      <c r="BU12" s="58">
        <v>2327.0337</v>
      </c>
      <c r="BV12" s="33">
        <v>49</v>
      </c>
      <c r="BW12" s="204">
        <v>2327.0337</v>
      </c>
      <c r="BX12" s="23"/>
      <c r="BY12" s="69">
        <v>49</v>
      </c>
      <c r="BZ12" s="69">
        <v>48.8</v>
      </c>
      <c r="CA12" s="69">
        <v>48.8</v>
      </c>
      <c r="CB12" s="69">
        <v>48.8</v>
      </c>
      <c r="CC12" s="69">
        <f t="shared" si="10"/>
        <v>48.79999999999999</v>
      </c>
      <c r="CD12" s="69">
        <f t="shared" si="11"/>
        <v>48.8</v>
      </c>
    </row>
    <row r="13" spans="1:82" ht="15.75" customHeight="1" thickBot="1" x14ac:dyDescent="0.3">
      <c r="A13" s="6">
        <v>12</v>
      </c>
      <c r="B13" s="7" t="s">
        <v>59</v>
      </c>
      <c r="C13" s="7" t="s">
        <v>29</v>
      </c>
      <c r="D13" s="7" t="s">
        <v>53</v>
      </c>
      <c r="E13" s="50">
        <v>69.991668029038394</v>
      </c>
      <c r="F13" s="50">
        <v>342.33931166187398</v>
      </c>
      <c r="G13" s="50">
        <v>359.55437125402801</v>
      </c>
      <c r="H13" s="50">
        <v>310.5204</v>
      </c>
      <c r="I13" s="8">
        <v>26.1</v>
      </c>
      <c r="J13" s="50">
        <v>4.1590011429765603</v>
      </c>
      <c r="K13" s="248">
        <f>IFERROR(VLOOKUP(C13,Schedule!$T$3:$U$34,2,0),"FA")</f>
        <v>8</v>
      </c>
      <c r="L13" s="7" t="str">
        <f>D13&amp;COUNTIF(D$2:$D13,D13)</f>
        <v>QB1</v>
      </c>
      <c r="M13" s="50">
        <f t="array" ref="M13">IFERROR(F13-AVERAGE(VLOOKUP(D13,$D14:$F$885,3,0),INDEX($F14:$F$885,SMALL(IF(D13=$D14:$D$885,ROW($D14:$D$885)-ROW(D13)),2))),0)</f>
        <v>29.269800837601508</v>
      </c>
      <c r="N13" s="50">
        <f>IFERROR(IF(VLOOKUP($B13,Input!$AC$2:$AC$162,1,0)=$B13,0),F13)</f>
        <v>342.33931166187398</v>
      </c>
      <c r="O13" s="50">
        <f>IFERROR(IF(VLOOKUP($B13,Input!$AC$2:$AC$162,1,0)=$B13,0,G13),G13)</f>
        <v>359.55437125402801</v>
      </c>
      <c r="P13" s="50">
        <f>IF(N13=0,0,F13-AVERAGE(INDEX(F:F,MATCH(VLOOKUP(D13,Input!$A$14:$L$22,10,0),L:L,0)),INDEX(F:F,MATCH(VLOOKUP(D13,Input!$A$14:$L$22,11,0),L:L,0)),INDEX(F:F,MATCH(VLOOKUP(D13,Input!$A$14:$L$22,12,0),L:L,0)))+(0.01-ROW()*0.01))</f>
        <v>69.871668029038347</v>
      </c>
      <c r="Q13" s="106">
        <f t="shared" si="0"/>
        <v>2.4105232240967427E-2</v>
      </c>
      <c r="R13" s="8">
        <f>IF(VLOOKUP($D13,$X$14:$Y$19,2,0)&lt;=0,1,IF(Q13&lt;0,1,ROUNDUP(IF(Q13*('Draft Center'!$L$28+'Draft Center'!$L$78-'Draft Center'!$L$82)&lt;1,1,Q13*('Draft Center'!$L$28+'Draft Center'!$L$78-'Draft Center'!$L$82)),0)))</f>
        <v>47</v>
      </c>
      <c r="S13" s="8">
        <f>IF(A13&lt;Input!$B$10+0.1,IF(ROUNDUP(R13*Input!$C$10,0)=0,1,ROUNDUP(R13*Input!$C$10,0)),IF(A13&gt;Input!$B$11,IF(ROUNDUP(R13*Input!$C$11,0)=0,1,ROUNDUP(R13*Input!$C$11,0)),IF(ROUNDUP(R13,0)=0,1,ROUNDUP(R13,0))))</f>
        <v>52</v>
      </c>
      <c r="T13" s="8">
        <f t="shared" si="1"/>
        <v>47</v>
      </c>
      <c r="U13" s="8">
        <f>IFERROR(VLOOKUP($B13,Input!$AC$2:$AE$161,3,0),0)</f>
        <v>0</v>
      </c>
      <c r="V13" s="256">
        <f t="shared" si="8"/>
        <v>0.80089628352490405</v>
      </c>
      <c r="W13" s="263">
        <f t="shared" si="9"/>
        <v>20.900129999999997</v>
      </c>
      <c r="X13" s="27"/>
      <c r="Y13" s="23"/>
      <c r="Z13" s="23"/>
      <c r="AA13" s="23">
        <v>0</v>
      </c>
      <c r="AB13" s="23">
        <f t="shared" si="12"/>
        <v>0</v>
      </c>
      <c r="AC13" s="23" t="str">
        <f t="shared" si="12"/>
        <v/>
      </c>
      <c r="AD13" s="23" t="str">
        <f t="shared" si="12"/>
        <v/>
      </c>
      <c r="AE13" s="23" t="str">
        <f t="shared" si="12"/>
        <v/>
      </c>
      <c r="AF13" s="23" t="str">
        <f t="shared" si="12"/>
        <v/>
      </c>
      <c r="AG13" s="23" t="str">
        <f t="shared" si="12"/>
        <v/>
      </c>
      <c r="AH13" s="23">
        <f t="shared" si="3"/>
        <v>0</v>
      </c>
      <c r="AI13" s="23">
        <f t="shared" si="4"/>
        <v>0</v>
      </c>
      <c r="AJ13" s="70">
        <v>47</v>
      </c>
      <c r="AK13" s="225">
        <v>2327.0337</v>
      </c>
      <c r="AL13" s="33">
        <v>47</v>
      </c>
      <c r="AM13" s="204">
        <v>2327.0337</v>
      </c>
      <c r="AN13" s="196"/>
      <c r="AO13" s="68"/>
      <c r="AP13" s="23"/>
      <c r="AQ13" s="68"/>
      <c r="AR13" s="68"/>
      <c r="AS13" s="68"/>
      <c r="AT13" s="68"/>
      <c r="AU13" s="68"/>
      <c r="AV13" s="68"/>
      <c r="AW13" s="68"/>
      <c r="AX13" s="68"/>
      <c r="AY13" s="68"/>
      <c r="AZ13" s="196"/>
      <c r="BA13" s="70">
        <f>IF(VLOOKUP($D13,$AO$14:AQ$19,COLUMN()-50,0)&lt;=0,1,IF($Q13&lt;0,1,ROUNDUP(IF($Q13*('Draft Center'!$L$28+'Draft Center'!$L$78-'Draft Center'!$L$82)&lt;1,1,$Q13*('Draft Center'!$L$28+'Draft Center'!$L$78-'Draft Center'!$L$82)),0)))</f>
        <v>47</v>
      </c>
      <c r="BB13" s="70">
        <f>IF(VLOOKUP($D13,$AO$14:AR$19,COLUMN()-50,0)&lt;=0,1,IF($Q13&lt;0,1,ROUNDUP(IF($Q13*('Draft Center'!$L$28+'Draft Center'!$L$78-'Draft Center'!$L$82)&lt;1,1,$Q13*('Draft Center'!$L$28+'Draft Center'!$L$78-'Draft Center'!$L$82)),0)))</f>
        <v>47</v>
      </c>
      <c r="BC13" s="70">
        <f>IF(VLOOKUP($D13,$AO$14:AS$19,COLUMN()-50,0)&lt;=0,1,IF($Q13&lt;0,1,ROUNDUP(IF($Q13*('Draft Center'!$L$28+'Draft Center'!$L$78-'Draft Center'!$L$82)&lt;1,1,$Q13*('Draft Center'!$L$28+'Draft Center'!$L$78-'Draft Center'!$L$82)),0)))</f>
        <v>47</v>
      </c>
      <c r="BD13" s="70">
        <f>IF(VLOOKUP($D13,$AO$14:AT$19,COLUMN()-50,0)&lt;=0,1,IF($Q13&lt;0,1,ROUNDUP(IF($Q13*('Draft Center'!$L$28+'Draft Center'!$L$78-'Draft Center'!$L$82)&lt;1,1,$Q13*('Draft Center'!$L$28+'Draft Center'!$L$78-'Draft Center'!$L$82)),0)))</f>
        <v>47</v>
      </c>
      <c r="BE13" s="70">
        <f>IF(VLOOKUP($D13,$AO$14:AU$19,COLUMN()-50,0)&lt;=0,1,IF($Q13&lt;0,1,ROUNDUP(IF($Q13*('Draft Center'!$L$28+'Draft Center'!$L$78-'Draft Center'!$L$82)&lt;1,1,$Q13*('Draft Center'!$L$28+'Draft Center'!$L$78-'Draft Center'!$L$82)),0)))</f>
        <v>47</v>
      </c>
      <c r="BF13" s="70">
        <f>IF(VLOOKUP($D13,$AO$14:AV$19,COLUMN()-50,0)&lt;=0,1,IF($Q13&lt;0,1,ROUNDUP(IF($Q13*('Draft Center'!$L$28+'Draft Center'!$L$78-'Draft Center'!$L$82)&lt;1,1,$Q13*('Draft Center'!$L$28+'Draft Center'!$L$78-'Draft Center'!$L$82)),0)))</f>
        <v>47</v>
      </c>
      <c r="BG13" s="70">
        <f>IF(VLOOKUP($D13,$AO$14:AW$19,COLUMN()-50,0)&lt;=0,1,IF($Q13&lt;0,1,ROUNDUP(IF($Q13*('Draft Center'!$L$28+'Draft Center'!$L$78-'Draft Center'!$L$82)&lt;1,1,$Q13*('Draft Center'!$L$28+'Draft Center'!$L$78-'Draft Center'!$L$82)),0)))</f>
        <v>47</v>
      </c>
      <c r="BH13" s="70">
        <f>IF(VLOOKUP($D13,$AO$14:AX$19,COLUMN()-50,0)&lt;=0,1,IF($Q13&lt;0,1,ROUNDUP(IF($Q13*('Draft Center'!$L$28+'Draft Center'!$L$78-'Draft Center'!$L$82)&lt;1,1,$Q13*('Draft Center'!$L$28+'Draft Center'!$L$78-'Draft Center'!$L$82)),0)))</f>
        <v>47</v>
      </c>
      <c r="BI13" s="70">
        <f>IF(VLOOKUP($D13,$AO$14:AY$19,COLUMN()-50,0)&lt;=0,1,IF($Q13&lt;0,1,ROUNDUP(IF($Q13*('Draft Center'!$L$28+'Draft Center'!$L$78-'Draft Center'!$L$82)&lt;1,1,$Q13*('Draft Center'!$L$28+'Draft Center'!$L$78-'Draft Center'!$L$82)),0)))</f>
        <v>47</v>
      </c>
      <c r="BJ13" s="196"/>
      <c r="BK13" s="23">
        <v>0</v>
      </c>
      <c r="BL13" s="23">
        <f t="shared" si="13"/>
        <v>0</v>
      </c>
      <c r="BM13" s="23">
        <v>0</v>
      </c>
      <c r="BN13" s="23" t="str">
        <f t="shared" si="13"/>
        <v/>
      </c>
      <c r="BO13" s="23" t="str">
        <f t="shared" si="13"/>
        <v/>
      </c>
      <c r="BP13" s="23" t="str">
        <f t="shared" si="13"/>
        <v/>
      </c>
      <c r="BQ13" s="23" t="str">
        <f t="shared" si="13"/>
        <v/>
      </c>
      <c r="BR13" s="23">
        <f t="shared" si="6"/>
        <v>0</v>
      </c>
      <c r="BS13" s="23">
        <f t="shared" si="7"/>
        <v>0</v>
      </c>
      <c r="BT13" s="70">
        <v>47</v>
      </c>
      <c r="BU13" s="58">
        <v>2327.0337</v>
      </c>
      <c r="BV13" s="33">
        <v>47</v>
      </c>
      <c r="BW13" s="204">
        <v>2327.0337</v>
      </c>
      <c r="BX13" s="23"/>
      <c r="BY13" s="70">
        <v>47</v>
      </c>
      <c r="BZ13" s="70">
        <v>26.1</v>
      </c>
      <c r="CA13" s="70">
        <v>26.1</v>
      </c>
      <c r="CB13" s="70">
        <v>26.1</v>
      </c>
      <c r="CC13" s="70">
        <f t="shared" si="10"/>
        <v>26.100000000000005</v>
      </c>
      <c r="CD13" s="70">
        <f t="shared" si="11"/>
        <v>26.1</v>
      </c>
    </row>
    <row r="14" spans="1:82" ht="15.75" customHeight="1" thickBot="1" x14ac:dyDescent="0.3">
      <c r="A14" s="9">
        <v>13</v>
      </c>
      <c r="B14" s="10" t="s">
        <v>348</v>
      </c>
      <c r="C14" s="10" t="s">
        <v>29</v>
      </c>
      <c r="D14" s="10" t="s">
        <v>17</v>
      </c>
      <c r="E14" s="51">
        <v>67.2016991658666</v>
      </c>
      <c r="F14" s="51">
        <v>279.97961543521598</v>
      </c>
      <c r="G14" s="51">
        <v>290.047941863679</v>
      </c>
      <c r="H14" s="51">
        <v>256.16338585209002</v>
      </c>
      <c r="I14" s="11">
        <v>45.2</v>
      </c>
      <c r="J14" s="51">
        <v>3.2242952673182499</v>
      </c>
      <c r="K14" s="249">
        <f>IFERROR(VLOOKUP(C14,Schedule!$T$3:$U$34,2,0),"FA")</f>
        <v>8</v>
      </c>
      <c r="L14" s="10" t="str">
        <f>D14&amp;COUNTIF(D$2:$D14,D14)</f>
        <v>WR5</v>
      </c>
      <c r="M14" s="51">
        <f t="array" ref="M14">IFERROR(F14-AVERAGE(VLOOKUP(D14,$D15:$F$885,3,0),INDEX($F15:$F$885,SMALL(IF(D14=$D15:$D$885,ROW($D15:$D$885)-ROW(D14)),2))),0)</f>
        <v>11.742625313185442</v>
      </c>
      <c r="N14" s="51">
        <f>IFERROR(IF(VLOOKUP($B14,Input!$AC$2:$AC$162,1,0)=$B14,0),F14)</f>
        <v>279.97961543521598</v>
      </c>
      <c r="O14" s="51">
        <f>IFERROR(IF(VLOOKUP($B14,Input!$AC$2:$AC$162,1,0)=$B14,0,G14),G14)</f>
        <v>290.047941863679</v>
      </c>
      <c r="P14" s="51">
        <f>IF(N14=0,0,F14-AVERAGE(INDEX(F:F,MATCH(VLOOKUP(D14,Input!$A$14:$L$22,10,0),L:L,0)),INDEX(F:F,MATCH(VLOOKUP(D14,Input!$A$14:$L$22,11,0),L:L,0)),INDEX(F:F,MATCH(VLOOKUP(D14,Input!$A$14:$L$22,12,0),L:L,0)))+(0.01-ROW()*0.01))</f>
        <v>67.07169916586696</v>
      </c>
      <c r="Q14" s="107">
        <f t="shared" si="0"/>
        <v>2.3139262748351711E-2</v>
      </c>
      <c r="R14" s="11">
        <f>IF(VLOOKUP($D14,$X$14:$Y$19,2,0)&lt;=0,1,IF(Q14&lt;0,1,ROUNDUP(IF(Q14*('Draft Center'!$L$28+'Draft Center'!$L$78-'Draft Center'!$L$82)&lt;1,1,Q14*('Draft Center'!$L$28+'Draft Center'!$L$78-'Draft Center'!$L$82)),0)))</f>
        <v>45</v>
      </c>
      <c r="S14" s="11">
        <f>IF(A14&lt;Input!$B$10+0.1,IF(ROUNDUP(R14*Input!$C$10,0)=0,1,ROUNDUP(R14*Input!$C$10,0)),IF(A14&gt;Input!$B$11,IF(ROUNDUP(R14*Input!$C$11,0)=0,1,ROUNDUP(R14*Input!$C$11,0)),IF(ROUNDUP(R14,0)=0,1,ROUNDUP(R14,0))))</f>
        <v>50</v>
      </c>
      <c r="T14" s="11">
        <f t="shared" si="1"/>
        <v>45</v>
      </c>
      <c r="U14" s="11">
        <f>IFERROR(VLOOKUP($B14,Input!$AC$2:$AE$161,3,0),0)</f>
        <v>0</v>
      </c>
      <c r="V14" s="257">
        <f t="shared" si="8"/>
        <v>-4.2847787610620089E-3</v>
      </c>
      <c r="W14" s="264">
        <f t="shared" si="9"/>
        <v>-0.19986000000000284</v>
      </c>
      <c r="X14" s="198" t="s">
        <v>53</v>
      </c>
      <c r="Y14" s="83">
        <f>Input!$Q$2-COUNTIFS(Input!$AD$2:$AD$161,Y$1,Input!$AF$2:$AF$161,X14)</f>
        <v>1</v>
      </c>
      <c r="Z14" s="23"/>
      <c r="AA14" s="23">
        <v>0</v>
      </c>
      <c r="AB14" s="23" t="str">
        <f t="shared" si="12"/>
        <v/>
      </c>
      <c r="AC14" s="23" t="str">
        <f t="shared" si="12"/>
        <v/>
      </c>
      <c r="AD14" s="23">
        <f t="shared" si="12"/>
        <v>0</v>
      </c>
      <c r="AE14" s="23" t="str">
        <f t="shared" si="12"/>
        <v/>
      </c>
      <c r="AF14" s="23" t="str">
        <f t="shared" si="12"/>
        <v/>
      </c>
      <c r="AG14" s="23" t="str">
        <f t="shared" si="12"/>
        <v/>
      </c>
      <c r="AH14" s="23">
        <f t="shared" si="3"/>
        <v>0</v>
      </c>
      <c r="AI14" s="23">
        <f t="shared" si="4"/>
        <v>0</v>
      </c>
      <c r="AJ14" s="69">
        <v>45</v>
      </c>
      <c r="AK14" s="225">
        <v>2327.0337</v>
      </c>
      <c r="AL14" s="33">
        <v>45</v>
      </c>
      <c r="AM14" s="204">
        <v>2327.0337</v>
      </c>
      <c r="AN14" s="196"/>
      <c r="AO14" s="353" t="s">
        <v>53</v>
      </c>
      <c r="AP14" s="354"/>
      <c r="AQ14" s="82">
        <f>2-COUNTIFS(Input!$AD$2:$AD$161,AQ$1,Input!$AF$2:$AF$161,AO14)</f>
        <v>2</v>
      </c>
      <c r="AR14" s="82">
        <f>2-COUNTIFS(Input!$AD$2:$AD$161,AR$1,Input!$AF$2:$AF$161,AP14)</f>
        <v>2</v>
      </c>
      <c r="AS14" s="82">
        <f>2-COUNTIFS(Input!$AD$2:$AD$161,AS$1,Input!$AF$2:$AF$161,AQ14)</f>
        <v>2</v>
      </c>
      <c r="AT14" s="82">
        <f>2-COUNTIFS(Input!$AD$2:$AD$161,AT$1,Input!$AF$2:$AF$161,AR14)</f>
        <v>2</v>
      </c>
      <c r="AU14" s="82">
        <f>2-COUNTIFS(Input!$AD$2:$AD$161,AU$1,Input!$AF$2:$AF$161,AS14)</f>
        <v>2</v>
      </c>
      <c r="AV14" s="82">
        <f>2-COUNTIFS(Input!$AD$2:$AD$161,AV$1,Input!$AF$2:$AF$161,AT14)</f>
        <v>2</v>
      </c>
      <c r="AW14" s="82">
        <f>2-COUNTIFS(Input!$AD$2:$AD$161,AW$1,Input!$AF$2:$AF$161,AU14)</f>
        <v>2</v>
      </c>
      <c r="AX14" s="82">
        <f>2-COUNTIFS(Input!$AD$2:$AD$161,AX$1,Input!$AF$2:$AF$161,AV14)</f>
        <v>2</v>
      </c>
      <c r="AY14" s="206">
        <f>2-COUNTIFS(Input!$AD$2:$AD$161,AY$1,Input!$AF$2:$AF$161,AW14)</f>
        <v>2</v>
      </c>
      <c r="AZ14" s="196"/>
      <c r="BA14" s="69">
        <f>IF(VLOOKUP($D14,$AO$14:AQ$19,COLUMN()-50,0)&lt;=0,1,IF($Q14&lt;0,1,ROUNDUP(IF($Q14*('Draft Center'!$L$28+'Draft Center'!$L$78-'Draft Center'!$L$82)&lt;1,1,$Q14*('Draft Center'!$L$28+'Draft Center'!$L$78-'Draft Center'!$L$82)),0)))</f>
        <v>45</v>
      </c>
      <c r="BB14" s="69">
        <f>IF(VLOOKUP($D14,$AO$14:AR$19,COLUMN()-50,0)&lt;=0,1,IF($Q14&lt;0,1,ROUNDUP(IF($Q14*('Draft Center'!$L$28+'Draft Center'!$L$78-'Draft Center'!$L$82)&lt;1,1,$Q14*('Draft Center'!$L$28+'Draft Center'!$L$78-'Draft Center'!$L$82)),0)))</f>
        <v>45</v>
      </c>
      <c r="BC14" s="69">
        <f>IF(VLOOKUP($D14,$AO$14:AS$19,COLUMN()-50,0)&lt;=0,1,IF($Q14&lt;0,1,ROUNDUP(IF($Q14*('Draft Center'!$L$28+'Draft Center'!$L$78-'Draft Center'!$L$82)&lt;1,1,$Q14*('Draft Center'!$L$28+'Draft Center'!$L$78-'Draft Center'!$L$82)),0)))</f>
        <v>45</v>
      </c>
      <c r="BD14" s="69">
        <f>IF(VLOOKUP($D14,$AO$14:AT$19,COLUMN()-50,0)&lt;=0,1,IF($Q14&lt;0,1,ROUNDUP(IF($Q14*('Draft Center'!$L$28+'Draft Center'!$L$78-'Draft Center'!$L$82)&lt;1,1,$Q14*('Draft Center'!$L$28+'Draft Center'!$L$78-'Draft Center'!$L$82)),0)))</f>
        <v>45</v>
      </c>
      <c r="BE14" s="69">
        <f>IF(VLOOKUP($D14,$AO$14:AU$19,COLUMN()-50,0)&lt;=0,1,IF($Q14&lt;0,1,ROUNDUP(IF($Q14*('Draft Center'!$L$28+'Draft Center'!$L$78-'Draft Center'!$L$82)&lt;1,1,$Q14*('Draft Center'!$L$28+'Draft Center'!$L$78-'Draft Center'!$L$82)),0)))</f>
        <v>45</v>
      </c>
      <c r="BF14" s="69">
        <f>IF(VLOOKUP($D14,$AO$14:AV$19,COLUMN()-50,0)&lt;=0,1,IF($Q14&lt;0,1,ROUNDUP(IF($Q14*('Draft Center'!$L$28+'Draft Center'!$L$78-'Draft Center'!$L$82)&lt;1,1,$Q14*('Draft Center'!$L$28+'Draft Center'!$L$78-'Draft Center'!$L$82)),0)))</f>
        <v>45</v>
      </c>
      <c r="BG14" s="69">
        <f>IF(VLOOKUP($D14,$AO$14:AW$19,COLUMN()-50,0)&lt;=0,1,IF($Q14&lt;0,1,ROUNDUP(IF($Q14*('Draft Center'!$L$28+'Draft Center'!$L$78-'Draft Center'!$L$82)&lt;1,1,$Q14*('Draft Center'!$L$28+'Draft Center'!$L$78-'Draft Center'!$L$82)),0)))</f>
        <v>45</v>
      </c>
      <c r="BH14" s="69">
        <f>IF(VLOOKUP($D14,$AO$14:AX$19,COLUMN()-50,0)&lt;=0,1,IF($Q14&lt;0,1,ROUNDUP(IF($Q14*('Draft Center'!$L$28+'Draft Center'!$L$78-'Draft Center'!$L$82)&lt;1,1,$Q14*('Draft Center'!$L$28+'Draft Center'!$L$78-'Draft Center'!$L$82)),0)))</f>
        <v>45</v>
      </c>
      <c r="BI14" s="69">
        <f>IF(VLOOKUP($D14,$AO$14:AY$19,COLUMN()-50,0)&lt;=0,1,IF($Q14&lt;0,1,ROUNDUP(IF($Q14*('Draft Center'!$L$28+'Draft Center'!$L$78-'Draft Center'!$L$82)&lt;1,1,$Q14*('Draft Center'!$L$28+'Draft Center'!$L$78-'Draft Center'!$L$82)),0)))</f>
        <v>45</v>
      </c>
      <c r="BJ14" s="196"/>
      <c r="BK14" s="23">
        <v>0</v>
      </c>
      <c r="BL14" s="23" t="str">
        <f t="shared" si="13"/>
        <v/>
      </c>
      <c r="BM14" s="23">
        <v>0</v>
      </c>
      <c r="BN14" s="23">
        <f t="shared" si="13"/>
        <v>0</v>
      </c>
      <c r="BO14" s="23" t="str">
        <f t="shared" si="13"/>
        <v/>
      </c>
      <c r="BP14" s="23" t="str">
        <f t="shared" si="13"/>
        <v/>
      </c>
      <c r="BQ14" s="23" t="str">
        <f t="shared" si="13"/>
        <v/>
      </c>
      <c r="BR14" s="23">
        <f t="shared" si="6"/>
        <v>0</v>
      </c>
      <c r="BS14" s="23">
        <f t="shared" si="7"/>
        <v>0</v>
      </c>
      <c r="BT14" s="69">
        <v>45</v>
      </c>
      <c r="BU14" s="58">
        <v>2327.0337</v>
      </c>
      <c r="BV14" s="33">
        <v>45</v>
      </c>
      <c r="BW14" s="204">
        <v>2327.0337</v>
      </c>
      <c r="BX14" s="23"/>
      <c r="BY14" s="69">
        <v>45</v>
      </c>
      <c r="BZ14" s="69">
        <v>45.2</v>
      </c>
      <c r="CA14" s="69">
        <v>45.2</v>
      </c>
      <c r="CB14" s="69">
        <v>45.2</v>
      </c>
      <c r="CC14" s="69">
        <f t="shared" si="10"/>
        <v>45.20000000000001</v>
      </c>
      <c r="CD14" s="69">
        <f t="shared" si="11"/>
        <v>45.2</v>
      </c>
    </row>
    <row r="15" spans="1:82" ht="15.75" customHeight="1" thickBot="1" x14ac:dyDescent="0.3">
      <c r="A15" s="6">
        <v>14</v>
      </c>
      <c r="B15" s="7" t="s">
        <v>46</v>
      </c>
      <c r="C15" s="7" t="s">
        <v>117</v>
      </c>
      <c r="D15" s="7" t="s">
        <v>19</v>
      </c>
      <c r="E15" s="50">
        <v>66.0371164145471</v>
      </c>
      <c r="F15" s="50">
        <v>235.139514440499</v>
      </c>
      <c r="G15" s="50">
        <v>244.51661387749101</v>
      </c>
      <c r="H15" s="50">
        <v>195.44220850480099</v>
      </c>
      <c r="I15" s="8">
        <v>41</v>
      </c>
      <c r="J15" s="50">
        <v>3.62146176932221</v>
      </c>
      <c r="K15" s="248">
        <f>IFERROR(VLOOKUP(C15,Schedule!$T$3:$U$34,2,0),"FA")</f>
        <v>8</v>
      </c>
      <c r="L15" s="7" t="str">
        <f>D15&amp;COUNTIF(D$2:$D15,D15)</f>
        <v>RB8</v>
      </c>
      <c r="M15" s="50">
        <f t="array" ref="M15">IFERROR(F15-AVERAGE(VLOOKUP(D15,$D16:$F$885,3,0),INDEX($F16:$F$885,SMALL(IF(D15=$D16:$D$885,ROW($D16:$D$885)-ROW(D15)),2))),0)</f>
        <v>10.561597688786492</v>
      </c>
      <c r="N15" s="50">
        <f>IFERROR(IF(VLOOKUP($B15,Input!$AC$2:$AC$162,1,0)=$B15,0),F15)</f>
        <v>235.139514440499</v>
      </c>
      <c r="O15" s="50">
        <f>IFERROR(IF(VLOOKUP($B15,Input!$AC$2:$AC$162,1,0)=$B15,0,G15),G15)</f>
        <v>244.51661387749101</v>
      </c>
      <c r="P15" s="50">
        <f>IF(N15=0,0,F15-AVERAGE(INDEX(F:F,MATCH(VLOOKUP(D15,Input!$A$14:$L$22,10,0),L:L,0)),INDEX(F:F,MATCH(VLOOKUP(D15,Input!$A$14:$L$22,11,0),L:L,0)),INDEX(F:F,MATCH(VLOOKUP(D15,Input!$A$14:$L$22,12,0),L:L,0)))+(0.01-ROW()*0.01))</f>
        <v>65.897116414547</v>
      </c>
      <c r="Q15" s="106">
        <f t="shared" si="0"/>
        <v>2.2734039990609117E-2</v>
      </c>
      <c r="R15" s="8">
        <f>IF(VLOOKUP($D15,$X$14:$Y$19,2,0)&lt;=0,1,IF(Q15&lt;0,1,ROUNDUP(IF(Q15*('Draft Center'!$L$28+'Draft Center'!$L$78-'Draft Center'!$L$82)&lt;1,1,Q15*('Draft Center'!$L$28+'Draft Center'!$L$78-'Draft Center'!$L$82)),0)))</f>
        <v>45</v>
      </c>
      <c r="S15" s="8">
        <f>IF(A15&lt;Input!$B$10+0.1,IF(ROUNDUP(R15*Input!$C$10,0)=0,1,ROUNDUP(R15*Input!$C$10,0)),IF(A15&gt;Input!$B$11,IF(ROUNDUP(R15*Input!$C$11,0)=0,1,ROUNDUP(R15*Input!$C$11,0)),IF(ROUNDUP(R15,0)=0,1,ROUNDUP(R15,0))))</f>
        <v>50</v>
      </c>
      <c r="T15" s="8">
        <f t="shared" si="1"/>
        <v>45</v>
      </c>
      <c r="U15" s="8">
        <f>IFERROR(VLOOKUP($B15,Input!$AC$2:$AE$161,3,0),0)</f>
        <v>0</v>
      </c>
      <c r="V15" s="256">
        <f t="shared" si="8"/>
        <v>9.7710975609756098E-2</v>
      </c>
      <c r="W15" s="263">
        <f t="shared" si="9"/>
        <v>4.0001499999999997</v>
      </c>
      <c r="X15" s="27" t="s">
        <v>19</v>
      </c>
      <c r="Y15" s="84">
        <f>IF(2-COUNTIFS(Input!$AD$2:$AD$161,Y$1,Input!$AF$2:$AF$161,$AO15)&lt;0,2-COUNTIFS(Input!$AD$2:$AD$161,Y$1,Input!$AF$2:$AF$161,$AO15),IF(2-COUNTIFS(Input!$AD$2:$AD$161,Y$1,Input!$AF$2:$AF$161,$AO16)&lt;0,2-COUNTIFS(Input!$AD$2:$AD$161,Y$1,Input!$AF$2:$AF$161,$AO15),IF(2-COUNTIFS(Input!$AD$2:$AD$161,Y$1,Input!$AF$2:$AF$161,$AO17)&lt;0,2-COUNTIFS(Input!$AD$2:$AD$161,Y$1,Input!$AF$2:$AF$161,$AO15),IF(2-COUNTIFS(Input!$AD$2:$AD$161,Y$1,Input!$AF$2:$AF$161,$AO15)&gt;1,2-COUNTIFS(Input!$AD$2:$AD$161,Y$1,Input!$AF$2:$AF$161,$AO15),1))))</f>
        <v>2</v>
      </c>
      <c r="Z15" s="23"/>
      <c r="AA15" s="23">
        <v>0</v>
      </c>
      <c r="AB15" s="23" t="str">
        <f t="shared" si="12"/>
        <v/>
      </c>
      <c r="AC15" s="23">
        <f t="shared" si="12"/>
        <v>0</v>
      </c>
      <c r="AD15" s="23" t="str">
        <f t="shared" si="12"/>
        <v/>
      </c>
      <c r="AE15" s="23" t="str">
        <f t="shared" si="12"/>
        <v/>
      </c>
      <c r="AF15" s="23" t="str">
        <f t="shared" si="12"/>
        <v/>
      </c>
      <c r="AG15" s="23" t="str">
        <f t="shared" si="12"/>
        <v/>
      </c>
      <c r="AH15" s="23">
        <f t="shared" si="3"/>
        <v>0</v>
      </c>
      <c r="AI15" s="23">
        <f t="shared" si="4"/>
        <v>0</v>
      </c>
      <c r="AJ15" s="70">
        <v>45</v>
      </c>
      <c r="AK15" s="225">
        <v>2327.0337</v>
      </c>
      <c r="AL15" s="33">
        <v>45</v>
      </c>
      <c r="AM15" s="204">
        <v>2327.0337</v>
      </c>
      <c r="AN15" s="196"/>
      <c r="AO15" s="332" t="s">
        <v>19</v>
      </c>
      <c r="AP15" s="355"/>
      <c r="AQ15" s="23">
        <f>IF(2-COUNTIFS(Input!$AD$2:$AD$161,AQ$1,Input!$AF$2:$AF$161,$AO15)&lt;0,2-COUNTIFS(Input!$AD$2:$AD$161,AQ$1,Input!$AF$2:$AF$161,$AO15),IF(2-COUNTIFS(Input!$AD$2:$AD$161,AQ$1,Input!$AF$2:$AF$161,$AO16)&lt;0,2-COUNTIFS(Input!$AD$2:$AD$161,AQ$1,Input!$AF$2:$AF$161,$AO15),IF(2-COUNTIFS(Input!$AD$2:$AD$161,AQ$1,Input!$AF$2:$AF$161,$AO17)&lt;0,2-COUNTIFS(Input!$AD$2:$AD$161,AQ$1,Input!$AF$2:$AF$161,$AO15),IF(2-COUNTIFS(Input!$AD$2:$AD$161,AQ$1,Input!$AF$2:$AF$161,$AO15)&gt;1,2-COUNTIFS(Input!$AD$2:$AD$161,AQ$1,Input!$AF$2:$AF$161,$AO15),1))))</f>
        <v>2</v>
      </c>
      <c r="AR15" s="23">
        <f>IF(2-COUNTIFS(Input!$AD$2:$AD$161,AR$1,Input!$AF$2:$AF$161,$AO15)&lt;0,2-COUNTIFS(Input!$AD$2:$AD$161,AR$1,Input!$AF$2:$AF$161,$AO15),IF(2-COUNTIFS(Input!$AD$2:$AD$161,AR$1,Input!$AF$2:$AF$161,$AO16)&lt;0,2-COUNTIFS(Input!$AD$2:$AD$161,AR$1,Input!$AF$2:$AF$161,$AO15),IF(2-COUNTIFS(Input!$AD$2:$AD$161,AR$1,Input!$AF$2:$AF$161,$AO17)&lt;0,2-COUNTIFS(Input!$AD$2:$AD$161,AR$1,Input!$AF$2:$AF$161,$AO15),IF(2-COUNTIFS(Input!$AD$2:$AD$161,AR$1,Input!$AF$2:$AF$161,$AO15)&gt;1,2-COUNTIFS(Input!$AD$2:$AD$161,AR$1,Input!$AF$2:$AF$161,$AO15),1))))</f>
        <v>2</v>
      </c>
      <c r="AS15" s="23">
        <f>IF(2-COUNTIFS(Input!$AD$2:$AD$161,AS$1,Input!$AF$2:$AF$161,$AO15)&lt;0,2-COUNTIFS(Input!$AD$2:$AD$161,AS$1,Input!$AF$2:$AF$161,$AO15),IF(2-COUNTIFS(Input!$AD$2:$AD$161,AS$1,Input!$AF$2:$AF$161,$AO16)&lt;0,2-COUNTIFS(Input!$AD$2:$AD$161,AS$1,Input!$AF$2:$AF$161,$AO15),IF(2-COUNTIFS(Input!$AD$2:$AD$161,AS$1,Input!$AF$2:$AF$161,$AO17)&lt;0,2-COUNTIFS(Input!$AD$2:$AD$161,AS$1,Input!$AF$2:$AF$161,$AO15),IF(2-COUNTIFS(Input!$AD$2:$AD$161,AS$1,Input!$AF$2:$AF$161,$AO15)&gt;1,2-COUNTIFS(Input!$AD$2:$AD$161,AS$1,Input!$AF$2:$AF$161,$AO15),1))))</f>
        <v>2</v>
      </c>
      <c r="AT15" s="23">
        <f>IF(2-COUNTIFS(Input!$AD$2:$AD$161,AT$1,Input!$AF$2:$AF$161,$AO15)&lt;0,2-COUNTIFS(Input!$AD$2:$AD$161,AT$1,Input!$AF$2:$AF$161,$AO15),IF(2-COUNTIFS(Input!$AD$2:$AD$161,AT$1,Input!$AF$2:$AF$161,$AO16)&lt;0,2-COUNTIFS(Input!$AD$2:$AD$161,AT$1,Input!$AF$2:$AF$161,$AO15),IF(2-COUNTIFS(Input!$AD$2:$AD$161,AT$1,Input!$AF$2:$AF$161,$AO17)&lt;0,2-COUNTIFS(Input!$AD$2:$AD$161,AT$1,Input!$AF$2:$AF$161,$AO15),IF(2-COUNTIFS(Input!$AD$2:$AD$161,AT$1,Input!$AF$2:$AF$161,$AO15)&gt;1,2-COUNTIFS(Input!$AD$2:$AD$161,AT$1,Input!$AF$2:$AF$161,$AO15),1))))</f>
        <v>2</v>
      </c>
      <c r="AU15" s="23">
        <f>IF(2-COUNTIFS(Input!$AD$2:$AD$161,AU$1,Input!$AF$2:$AF$161,$AO15)&lt;0,2-COUNTIFS(Input!$AD$2:$AD$161,AU$1,Input!$AF$2:$AF$161,$AO15),IF(2-COUNTIFS(Input!$AD$2:$AD$161,AU$1,Input!$AF$2:$AF$161,$AO16)&lt;0,2-COUNTIFS(Input!$AD$2:$AD$161,AU$1,Input!$AF$2:$AF$161,$AO15),IF(2-COUNTIFS(Input!$AD$2:$AD$161,AU$1,Input!$AF$2:$AF$161,$AO17)&lt;0,2-COUNTIFS(Input!$AD$2:$AD$161,AU$1,Input!$AF$2:$AF$161,$AO15),IF(2-COUNTIFS(Input!$AD$2:$AD$161,AU$1,Input!$AF$2:$AF$161,$AO15)&gt;1,2-COUNTIFS(Input!$AD$2:$AD$161,AU$1,Input!$AF$2:$AF$161,$AO15),1))))</f>
        <v>2</v>
      </c>
      <c r="AV15" s="23">
        <f>IF(2-COUNTIFS(Input!$AD$2:$AD$161,AV$1,Input!$AF$2:$AF$161,$AO15)&lt;0,2-COUNTIFS(Input!$AD$2:$AD$161,AV$1,Input!$AF$2:$AF$161,$AO15),IF(2-COUNTIFS(Input!$AD$2:$AD$161,AV$1,Input!$AF$2:$AF$161,$AO16)&lt;0,2-COUNTIFS(Input!$AD$2:$AD$161,AV$1,Input!$AF$2:$AF$161,$AO15),IF(2-COUNTIFS(Input!$AD$2:$AD$161,AV$1,Input!$AF$2:$AF$161,$AO17)&lt;0,2-COUNTIFS(Input!$AD$2:$AD$161,AV$1,Input!$AF$2:$AF$161,$AO15),IF(2-COUNTIFS(Input!$AD$2:$AD$161,AV$1,Input!$AF$2:$AF$161,$AO15)&gt;1,2-COUNTIFS(Input!$AD$2:$AD$161,AV$1,Input!$AF$2:$AF$161,$AO15),1))))</f>
        <v>2</v>
      </c>
      <c r="AW15" s="23">
        <f>IF(2-COUNTIFS(Input!$AD$2:$AD$161,AW$1,Input!$AF$2:$AF$161,$AO15)&lt;0,2-COUNTIFS(Input!$AD$2:$AD$161,AW$1,Input!$AF$2:$AF$161,$AO15),IF(2-COUNTIFS(Input!$AD$2:$AD$161,AW$1,Input!$AF$2:$AF$161,$AO16)&lt;0,2-COUNTIFS(Input!$AD$2:$AD$161,AW$1,Input!$AF$2:$AF$161,$AO15),IF(2-COUNTIFS(Input!$AD$2:$AD$161,AW$1,Input!$AF$2:$AF$161,$AO17)&lt;0,2-COUNTIFS(Input!$AD$2:$AD$161,AW$1,Input!$AF$2:$AF$161,$AO15),IF(2-COUNTIFS(Input!$AD$2:$AD$161,AW$1,Input!$AF$2:$AF$161,$AO15)&gt;1,2-COUNTIFS(Input!$AD$2:$AD$161,AW$1,Input!$AF$2:$AF$161,$AO15),1))))</f>
        <v>2</v>
      </c>
      <c r="AX15" s="23">
        <f>IF(2-COUNTIFS(Input!$AD$2:$AD$161,AX$1,Input!$AF$2:$AF$161,$AO15)&lt;0,2-COUNTIFS(Input!$AD$2:$AD$161,AX$1,Input!$AF$2:$AF$161,$AO15),IF(2-COUNTIFS(Input!$AD$2:$AD$161,AX$1,Input!$AF$2:$AF$161,$AO16)&lt;0,2-COUNTIFS(Input!$AD$2:$AD$161,AX$1,Input!$AF$2:$AF$161,$AO15),IF(2-COUNTIFS(Input!$AD$2:$AD$161,AX$1,Input!$AF$2:$AF$161,$AO17)&lt;0,2-COUNTIFS(Input!$AD$2:$AD$161,AX$1,Input!$AF$2:$AF$161,$AO15),IF(2-COUNTIFS(Input!$AD$2:$AD$161,AX$1,Input!$AF$2:$AF$161,$AO15)&gt;1,2-COUNTIFS(Input!$AD$2:$AD$161,AX$1,Input!$AF$2:$AF$161,$AO15),1))))</f>
        <v>2</v>
      </c>
      <c r="AY15" s="28">
        <f>IF(2-COUNTIFS(Input!$AD$2:$AD$161,AY$1,Input!$AF$2:$AF$161,$AO15)&lt;0,2-COUNTIFS(Input!$AD$2:$AD$161,AY$1,Input!$AF$2:$AF$161,$AO15),IF(2-COUNTIFS(Input!$AD$2:$AD$161,AY$1,Input!$AF$2:$AF$161,$AO16)&lt;0,2-COUNTIFS(Input!$AD$2:$AD$161,AY$1,Input!$AF$2:$AF$161,$AO15),IF(2-COUNTIFS(Input!$AD$2:$AD$161,AY$1,Input!$AF$2:$AF$161,$AO17)&lt;0,2-COUNTIFS(Input!$AD$2:$AD$161,AY$1,Input!$AF$2:$AF$161,$AO15),IF(2-COUNTIFS(Input!$AD$2:$AD$161,AY$1,Input!$AF$2:$AF$161,$AO15)&gt;1,2-COUNTIFS(Input!$AD$2:$AD$161,AY$1,Input!$AF$2:$AF$161,$AO15),1))))</f>
        <v>2</v>
      </c>
      <c r="AZ15" s="196"/>
      <c r="BA15" s="70">
        <f>IF(VLOOKUP($D15,$AO$14:AQ$19,COLUMN()-50,0)&lt;=0,1,IF($Q15&lt;0,1,ROUNDUP(IF($Q15*('Draft Center'!$L$28+'Draft Center'!$L$78-'Draft Center'!$L$82)&lt;1,1,$Q15*('Draft Center'!$L$28+'Draft Center'!$L$78-'Draft Center'!$L$82)),0)))</f>
        <v>45</v>
      </c>
      <c r="BB15" s="70">
        <f>IF(VLOOKUP($D15,$AO$14:AR$19,COLUMN()-50,0)&lt;=0,1,IF($Q15&lt;0,1,ROUNDUP(IF($Q15*('Draft Center'!$L$28+'Draft Center'!$L$78-'Draft Center'!$L$82)&lt;1,1,$Q15*('Draft Center'!$L$28+'Draft Center'!$L$78-'Draft Center'!$L$82)),0)))</f>
        <v>45</v>
      </c>
      <c r="BC15" s="70">
        <f>IF(VLOOKUP($D15,$AO$14:AS$19,COLUMN()-50,0)&lt;=0,1,IF($Q15&lt;0,1,ROUNDUP(IF($Q15*('Draft Center'!$L$28+'Draft Center'!$L$78-'Draft Center'!$L$82)&lt;1,1,$Q15*('Draft Center'!$L$28+'Draft Center'!$L$78-'Draft Center'!$L$82)),0)))</f>
        <v>45</v>
      </c>
      <c r="BD15" s="70">
        <f>IF(VLOOKUP($D15,$AO$14:AT$19,COLUMN()-50,0)&lt;=0,1,IF($Q15&lt;0,1,ROUNDUP(IF($Q15*('Draft Center'!$L$28+'Draft Center'!$L$78-'Draft Center'!$L$82)&lt;1,1,$Q15*('Draft Center'!$L$28+'Draft Center'!$L$78-'Draft Center'!$L$82)),0)))</f>
        <v>45</v>
      </c>
      <c r="BE15" s="70">
        <f>IF(VLOOKUP($D15,$AO$14:AU$19,COLUMN()-50,0)&lt;=0,1,IF($Q15&lt;0,1,ROUNDUP(IF($Q15*('Draft Center'!$L$28+'Draft Center'!$L$78-'Draft Center'!$L$82)&lt;1,1,$Q15*('Draft Center'!$L$28+'Draft Center'!$L$78-'Draft Center'!$L$82)),0)))</f>
        <v>45</v>
      </c>
      <c r="BF15" s="70">
        <f>IF(VLOOKUP($D15,$AO$14:AV$19,COLUMN()-50,0)&lt;=0,1,IF($Q15&lt;0,1,ROUNDUP(IF($Q15*('Draft Center'!$L$28+'Draft Center'!$L$78-'Draft Center'!$L$82)&lt;1,1,$Q15*('Draft Center'!$L$28+'Draft Center'!$L$78-'Draft Center'!$L$82)),0)))</f>
        <v>45</v>
      </c>
      <c r="BG15" s="70">
        <f>IF(VLOOKUP($D15,$AO$14:AW$19,COLUMN()-50,0)&lt;=0,1,IF($Q15&lt;0,1,ROUNDUP(IF($Q15*('Draft Center'!$L$28+'Draft Center'!$L$78-'Draft Center'!$L$82)&lt;1,1,$Q15*('Draft Center'!$L$28+'Draft Center'!$L$78-'Draft Center'!$L$82)),0)))</f>
        <v>45</v>
      </c>
      <c r="BH15" s="70">
        <f>IF(VLOOKUP($D15,$AO$14:AX$19,COLUMN()-50,0)&lt;=0,1,IF($Q15&lt;0,1,ROUNDUP(IF($Q15*('Draft Center'!$L$28+'Draft Center'!$L$78-'Draft Center'!$L$82)&lt;1,1,$Q15*('Draft Center'!$L$28+'Draft Center'!$L$78-'Draft Center'!$L$82)),0)))</f>
        <v>45</v>
      </c>
      <c r="BI15" s="70">
        <f>IF(VLOOKUP($D15,$AO$14:AY$19,COLUMN()-50,0)&lt;=0,1,IF($Q15&lt;0,1,ROUNDUP(IF($Q15*('Draft Center'!$L$28+'Draft Center'!$L$78-'Draft Center'!$L$82)&lt;1,1,$Q15*('Draft Center'!$L$28+'Draft Center'!$L$78-'Draft Center'!$L$82)),0)))</f>
        <v>45</v>
      </c>
      <c r="BJ15" s="196"/>
      <c r="BK15" s="23">
        <v>0</v>
      </c>
      <c r="BL15" s="23" t="str">
        <f t="shared" si="13"/>
        <v/>
      </c>
      <c r="BM15" s="23">
        <v>0</v>
      </c>
      <c r="BN15" s="23" t="str">
        <f t="shared" si="13"/>
        <v/>
      </c>
      <c r="BO15" s="23" t="str">
        <f t="shared" si="13"/>
        <v/>
      </c>
      <c r="BP15" s="23" t="str">
        <f t="shared" si="13"/>
        <v/>
      </c>
      <c r="BQ15" s="23" t="str">
        <f t="shared" si="13"/>
        <v/>
      </c>
      <c r="BR15" s="23">
        <f t="shared" si="6"/>
        <v>0</v>
      </c>
      <c r="BS15" s="23">
        <f t="shared" si="7"/>
        <v>0</v>
      </c>
      <c r="BT15" s="70">
        <v>45</v>
      </c>
      <c r="BU15" s="58">
        <v>2327.0337</v>
      </c>
      <c r="BV15" s="33">
        <v>45</v>
      </c>
      <c r="BW15" s="204">
        <v>2327.0337</v>
      </c>
      <c r="BX15" s="23"/>
      <c r="BY15" s="70">
        <v>45</v>
      </c>
      <c r="BZ15" s="70">
        <v>41</v>
      </c>
      <c r="CA15" s="70">
        <v>41</v>
      </c>
      <c r="CB15" s="70">
        <v>41</v>
      </c>
      <c r="CC15" s="70">
        <f t="shared" si="10"/>
        <v>41</v>
      </c>
      <c r="CD15" s="70">
        <f t="shared" si="11"/>
        <v>41</v>
      </c>
    </row>
    <row r="16" spans="1:82" ht="15.75" customHeight="1" thickBot="1" x14ac:dyDescent="0.3">
      <c r="A16" s="9">
        <v>15</v>
      </c>
      <c r="B16" s="10" t="s">
        <v>89</v>
      </c>
      <c r="C16" s="10" t="s">
        <v>25</v>
      </c>
      <c r="D16" s="10" t="s">
        <v>43</v>
      </c>
      <c r="E16" s="51">
        <v>62.588491551108802</v>
      </c>
      <c r="F16" s="51">
        <v>216.04941090331801</v>
      </c>
      <c r="G16" s="51">
        <v>222.79297266810499</v>
      </c>
      <c r="H16" s="51">
        <v>206.26220850480101</v>
      </c>
      <c r="I16" s="11">
        <v>14.6</v>
      </c>
      <c r="J16" s="51">
        <v>2.1917441193007101</v>
      </c>
      <c r="K16" s="249">
        <f>IFERROR(VLOOKUP(C16,Schedule!$T$3:$U$34,2,0),"FA")</f>
        <v>10</v>
      </c>
      <c r="L16" s="10" t="str">
        <f>D16&amp;COUNTIF(D$2:$D16,D16)</f>
        <v>TE1</v>
      </c>
      <c r="M16" s="51">
        <f t="array" ref="M16">IFERROR(F16-AVERAGE(VLOOKUP(D16,$D17:$F$885,3,0),INDEX($F17:$F$885,SMALL(IF(D16=$D17:$D$885,ROW($D17:$D$885)-ROW(D16)),2))),0)</f>
        <v>1.7159619310085077</v>
      </c>
      <c r="N16" s="51">
        <f>IFERROR(IF(VLOOKUP($B16,Input!$AC$2:$AC$162,1,0)=$B16,0),F16)</f>
        <v>216.04941090331801</v>
      </c>
      <c r="O16" s="51">
        <f>IFERROR(IF(VLOOKUP($B16,Input!$AC$2:$AC$162,1,0)=$B16,0,G16),G16)</f>
        <v>222.79297266810499</v>
      </c>
      <c r="P16" s="51">
        <f>IF(N16=0,0,F16-AVERAGE(INDEX(F:F,MATCH(VLOOKUP(D16,Input!$A$14:$L$22,10,0),L:L,0)),INDEX(F:F,MATCH(VLOOKUP(D16,Input!$A$14:$L$22,11,0),L:L,0)),INDEX(F:F,MATCH(VLOOKUP(D16,Input!$A$14:$L$22,12,0),L:L,0)))+(0.01-ROW()*0.01))</f>
        <v>62.43849155110869</v>
      </c>
      <c r="Q16" s="107">
        <f t="shared" si="0"/>
        <v>2.1540838827400644E-2</v>
      </c>
      <c r="R16" s="11">
        <f>IF(VLOOKUP($D16,$X$14:$Y$19,2,0)&lt;=0,1,IF(Q16&lt;0,1,ROUNDUP(IF(Q16*('Draft Center'!$L$28+'Draft Center'!$L$78-'Draft Center'!$L$82)&lt;1,1,Q16*('Draft Center'!$L$28+'Draft Center'!$L$78-'Draft Center'!$L$82)),0)))</f>
        <v>42</v>
      </c>
      <c r="S16" s="11">
        <f>IF(A16&lt;Input!$B$10+0.1,IF(ROUNDUP(R16*Input!$C$10,0)=0,1,ROUNDUP(R16*Input!$C$10,0)),IF(A16&gt;Input!$B$11,IF(ROUNDUP(R16*Input!$C$11,0)=0,1,ROUNDUP(R16*Input!$C$11,0)),IF(ROUNDUP(R16,0)=0,1,ROUNDUP(R16,0))))</f>
        <v>47</v>
      </c>
      <c r="T16" s="11">
        <f t="shared" si="1"/>
        <v>42</v>
      </c>
      <c r="U16" s="11">
        <f>IFERROR(VLOOKUP($B16,Input!$AC$2:$AE$161,3,0),0)</f>
        <v>0</v>
      </c>
      <c r="V16" s="257">
        <f t="shared" si="8"/>
        <v>1.8768723287671232</v>
      </c>
      <c r="W16" s="264">
        <f t="shared" si="9"/>
        <v>27.40016</v>
      </c>
      <c r="X16" s="27" t="s">
        <v>17</v>
      </c>
      <c r="Y16" s="84">
        <f>IF(2-COUNTIFS(Input!$AD$2:$AD$161,Y$1,Input!$AF$2:$AF$161,$AO16)&lt;0,2-COUNTIFS(Input!$AD$2:$AD$161,Y$1,Input!$AF$2:$AF$161,$AO16),IF(2-COUNTIFS(Input!$AD$2:$AD$161,Y$1,Input!$AF$2:$AF$161,$AO15)&lt;0,2-COUNTIFS(Input!$AD$2:$AD$161,Y$1,Input!$AF$2:$AF$161,$AO16),IF(2-COUNTIFS(Input!$AD$2:$AD$161,Y$1,Input!$AF$2:$AF$161,$AO17)&lt;0,2-COUNTIFS(Input!$AD$2:$AD$161,Y$1,Input!$AF$2:$AF$161,$AO16),IF(2-COUNTIFS(Input!$AD$2:$AD$161,Y$1,Input!$AF$2:$AF$161,$AO16)&gt;1,2-COUNTIFS(Input!$AD$2:$AD$161,Y$1,Input!$AF$2:$AF$161,$AO16),1))))</f>
        <v>2</v>
      </c>
      <c r="Z16" s="23"/>
      <c r="AA16" s="23">
        <v>0</v>
      </c>
      <c r="AB16" s="23" t="str">
        <f t="shared" si="12"/>
        <v/>
      </c>
      <c r="AC16" s="23" t="str">
        <f t="shared" si="12"/>
        <v/>
      </c>
      <c r="AD16" s="23" t="str">
        <f t="shared" si="12"/>
        <v/>
      </c>
      <c r="AE16" s="23">
        <f t="shared" si="12"/>
        <v>0</v>
      </c>
      <c r="AF16" s="23" t="str">
        <f t="shared" si="12"/>
        <v/>
      </c>
      <c r="AG16" s="23" t="str">
        <f t="shared" si="12"/>
        <v/>
      </c>
      <c r="AH16" s="23">
        <f t="shared" si="3"/>
        <v>0</v>
      </c>
      <c r="AI16" s="23">
        <f t="shared" si="4"/>
        <v>0</v>
      </c>
      <c r="AJ16" s="69">
        <v>42</v>
      </c>
      <c r="AK16" s="225">
        <v>2327.0337</v>
      </c>
      <c r="AL16" s="33">
        <v>42</v>
      </c>
      <c r="AM16" s="204">
        <v>2327.0337</v>
      </c>
      <c r="AN16" s="196"/>
      <c r="AO16" s="332" t="s">
        <v>17</v>
      </c>
      <c r="AP16" s="355"/>
      <c r="AQ16" s="23">
        <f>IF(2-COUNTIFS(Input!$AD$2:$AD$161,AQ$1,Input!$AF$2:$AF$161,$AO16)&lt;0,2-COUNTIFS(Input!$AD$2:$AD$161,AQ$1,Input!$AF$2:$AF$161,$AO16),IF(2-COUNTIFS(Input!$AD$2:$AD$161,AQ$1,Input!$AF$2:$AF$161,$AO15)&lt;0,2-COUNTIFS(Input!$AD$2:$AD$161,AQ$1,Input!$AF$2:$AF$161,$AO16),IF(2-COUNTIFS(Input!$AD$2:$AD$161,AQ$1,Input!$AF$2:$AF$161,$AO17)&lt;0,2-COUNTIFS(Input!$AD$2:$AD$161,AQ$1,Input!$AF$2:$AF$161,$AO16),IF(2-COUNTIFS(Input!$AD$2:$AD$161,AQ$1,Input!$AF$2:$AF$161,$AO16)&gt;1,2-COUNTIFS(Input!$AD$2:$AD$161,AQ$1,Input!$AF$2:$AF$161,$AO16),1))))</f>
        <v>2</v>
      </c>
      <c r="AR16" s="23">
        <f>IF(2-COUNTIFS(Input!$AD$2:$AD$161,AR$1,Input!$AF$2:$AF$161,$AO16)&lt;0,2-COUNTIFS(Input!$AD$2:$AD$161,AR$1,Input!$AF$2:$AF$161,$AO16),IF(2-COUNTIFS(Input!$AD$2:$AD$161,AR$1,Input!$AF$2:$AF$161,$AO15)&lt;0,2-COUNTIFS(Input!$AD$2:$AD$161,AR$1,Input!$AF$2:$AF$161,$AO16),IF(2-COUNTIFS(Input!$AD$2:$AD$161,AR$1,Input!$AF$2:$AF$161,$AO17)&lt;0,2-COUNTIFS(Input!$AD$2:$AD$161,AR$1,Input!$AF$2:$AF$161,$AO16),IF(2-COUNTIFS(Input!$AD$2:$AD$161,AR$1,Input!$AF$2:$AF$161,$AO16)&gt;1,2-COUNTIFS(Input!$AD$2:$AD$161,AR$1,Input!$AF$2:$AF$161,$AO16),1))))</f>
        <v>2</v>
      </c>
      <c r="AS16" s="23">
        <f>IF(2-COUNTIFS(Input!$AD$2:$AD$161,AS$1,Input!$AF$2:$AF$161,$AO16)&lt;0,2-COUNTIFS(Input!$AD$2:$AD$161,AS$1,Input!$AF$2:$AF$161,$AO16),IF(2-COUNTIFS(Input!$AD$2:$AD$161,AS$1,Input!$AF$2:$AF$161,$AO15)&lt;0,2-COUNTIFS(Input!$AD$2:$AD$161,AS$1,Input!$AF$2:$AF$161,$AO16),IF(2-COUNTIFS(Input!$AD$2:$AD$161,AS$1,Input!$AF$2:$AF$161,$AO17)&lt;0,2-COUNTIFS(Input!$AD$2:$AD$161,AS$1,Input!$AF$2:$AF$161,$AO16),IF(2-COUNTIFS(Input!$AD$2:$AD$161,AS$1,Input!$AF$2:$AF$161,$AO16)&gt;1,2-COUNTIFS(Input!$AD$2:$AD$161,AS$1,Input!$AF$2:$AF$161,$AO16),1))))</f>
        <v>2</v>
      </c>
      <c r="AT16" s="23">
        <f>IF(2-COUNTIFS(Input!$AD$2:$AD$161,AT$1,Input!$AF$2:$AF$161,$AO16)&lt;0,2-COUNTIFS(Input!$AD$2:$AD$161,AT$1,Input!$AF$2:$AF$161,$AO16),IF(2-COUNTIFS(Input!$AD$2:$AD$161,AT$1,Input!$AF$2:$AF$161,$AO15)&lt;0,2-COUNTIFS(Input!$AD$2:$AD$161,AT$1,Input!$AF$2:$AF$161,$AO16),IF(2-COUNTIFS(Input!$AD$2:$AD$161,AT$1,Input!$AF$2:$AF$161,$AO17)&lt;0,2-COUNTIFS(Input!$AD$2:$AD$161,AT$1,Input!$AF$2:$AF$161,$AO16),IF(2-COUNTIFS(Input!$AD$2:$AD$161,AT$1,Input!$AF$2:$AF$161,$AO16)&gt;1,2-COUNTIFS(Input!$AD$2:$AD$161,AT$1,Input!$AF$2:$AF$161,$AO16),1))))</f>
        <v>2</v>
      </c>
      <c r="AU16" s="23">
        <f>IF(2-COUNTIFS(Input!$AD$2:$AD$161,AU$1,Input!$AF$2:$AF$161,$AO16)&lt;0,2-COUNTIFS(Input!$AD$2:$AD$161,AU$1,Input!$AF$2:$AF$161,$AO16),IF(2-COUNTIFS(Input!$AD$2:$AD$161,AU$1,Input!$AF$2:$AF$161,$AO15)&lt;0,2-COUNTIFS(Input!$AD$2:$AD$161,AU$1,Input!$AF$2:$AF$161,$AO16),IF(2-COUNTIFS(Input!$AD$2:$AD$161,AU$1,Input!$AF$2:$AF$161,$AO17)&lt;0,2-COUNTIFS(Input!$AD$2:$AD$161,AU$1,Input!$AF$2:$AF$161,$AO16),IF(2-COUNTIFS(Input!$AD$2:$AD$161,AU$1,Input!$AF$2:$AF$161,$AO16)&gt;1,2-COUNTIFS(Input!$AD$2:$AD$161,AU$1,Input!$AF$2:$AF$161,$AO16),1))))</f>
        <v>2</v>
      </c>
      <c r="AV16" s="23">
        <f>IF(2-COUNTIFS(Input!$AD$2:$AD$161,AV$1,Input!$AF$2:$AF$161,$AO16)&lt;0,2-COUNTIFS(Input!$AD$2:$AD$161,AV$1,Input!$AF$2:$AF$161,$AO16),IF(2-COUNTIFS(Input!$AD$2:$AD$161,AV$1,Input!$AF$2:$AF$161,$AO15)&lt;0,2-COUNTIFS(Input!$AD$2:$AD$161,AV$1,Input!$AF$2:$AF$161,$AO16),IF(2-COUNTIFS(Input!$AD$2:$AD$161,AV$1,Input!$AF$2:$AF$161,$AO17)&lt;0,2-COUNTIFS(Input!$AD$2:$AD$161,AV$1,Input!$AF$2:$AF$161,$AO16),IF(2-COUNTIFS(Input!$AD$2:$AD$161,AV$1,Input!$AF$2:$AF$161,$AO16)&gt;1,2-COUNTIFS(Input!$AD$2:$AD$161,AV$1,Input!$AF$2:$AF$161,$AO16),1))))</f>
        <v>2</v>
      </c>
      <c r="AW16" s="23">
        <f>IF(2-COUNTIFS(Input!$AD$2:$AD$161,AW$1,Input!$AF$2:$AF$161,$AO16)&lt;0,2-COUNTIFS(Input!$AD$2:$AD$161,AW$1,Input!$AF$2:$AF$161,$AO16),IF(2-COUNTIFS(Input!$AD$2:$AD$161,AW$1,Input!$AF$2:$AF$161,$AO15)&lt;0,2-COUNTIFS(Input!$AD$2:$AD$161,AW$1,Input!$AF$2:$AF$161,$AO16),IF(2-COUNTIFS(Input!$AD$2:$AD$161,AW$1,Input!$AF$2:$AF$161,$AO17)&lt;0,2-COUNTIFS(Input!$AD$2:$AD$161,AW$1,Input!$AF$2:$AF$161,$AO16),IF(2-COUNTIFS(Input!$AD$2:$AD$161,AW$1,Input!$AF$2:$AF$161,$AO16)&gt;1,2-COUNTIFS(Input!$AD$2:$AD$161,AW$1,Input!$AF$2:$AF$161,$AO16),1))))</f>
        <v>2</v>
      </c>
      <c r="AX16" s="23">
        <f>IF(2-COUNTIFS(Input!$AD$2:$AD$161,AX$1,Input!$AF$2:$AF$161,$AO16)&lt;0,2-COUNTIFS(Input!$AD$2:$AD$161,AX$1,Input!$AF$2:$AF$161,$AO16),IF(2-COUNTIFS(Input!$AD$2:$AD$161,AX$1,Input!$AF$2:$AF$161,$AO15)&lt;0,2-COUNTIFS(Input!$AD$2:$AD$161,AX$1,Input!$AF$2:$AF$161,$AO16),IF(2-COUNTIFS(Input!$AD$2:$AD$161,AX$1,Input!$AF$2:$AF$161,$AO17)&lt;0,2-COUNTIFS(Input!$AD$2:$AD$161,AX$1,Input!$AF$2:$AF$161,$AO16),IF(2-COUNTIFS(Input!$AD$2:$AD$161,AX$1,Input!$AF$2:$AF$161,$AO16)&gt;1,2-COUNTIFS(Input!$AD$2:$AD$161,AX$1,Input!$AF$2:$AF$161,$AO16),1))))</f>
        <v>2</v>
      </c>
      <c r="AY16" s="28">
        <f>IF(2-COUNTIFS(Input!$AD$2:$AD$161,AY$1,Input!$AF$2:$AF$161,$AO16)&lt;0,2-COUNTIFS(Input!$AD$2:$AD$161,AY$1,Input!$AF$2:$AF$161,$AO16),IF(2-COUNTIFS(Input!$AD$2:$AD$161,AY$1,Input!$AF$2:$AF$161,$AO15)&lt;0,2-COUNTIFS(Input!$AD$2:$AD$161,AY$1,Input!$AF$2:$AF$161,$AO16),IF(2-COUNTIFS(Input!$AD$2:$AD$161,AY$1,Input!$AF$2:$AF$161,$AO17)&lt;0,2-COUNTIFS(Input!$AD$2:$AD$161,AY$1,Input!$AF$2:$AF$161,$AO16),IF(2-COUNTIFS(Input!$AD$2:$AD$161,AY$1,Input!$AF$2:$AF$161,$AO16)&gt;1,2-COUNTIFS(Input!$AD$2:$AD$161,AY$1,Input!$AF$2:$AF$161,$AO16),1))))</f>
        <v>2</v>
      </c>
      <c r="AZ16" s="196"/>
      <c r="BA16" s="69">
        <f>IF(VLOOKUP($D16,$AO$14:AQ$19,COLUMN()-50,0)&lt;=0,1,IF($Q16&lt;0,1,ROUNDUP(IF($Q16*('Draft Center'!$L$28+'Draft Center'!$L$78-'Draft Center'!$L$82)&lt;1,1,$Q16*('Draft Center'!$L$28+'Draft Center'!$L$78-'Draft Center'!$L$82)),0)))</f>
        <v>42</v>
      </c>
      <c r="BB16" s="69">
        <f>IF(VLOOKUP($D16,$AO$14:AR$19,COLUMN()-50,0)&lt;=0,1,IF($Q16&lt;0,1,ROUNDUP(IF($Q16*('Draft Center'!$L$28+'Draft Center'!$L$78-'Draft Center'!$L$82)&lt;1,1,$Q16*('Draft Center'!$L$28+'Draft Center'!$L$78-'Draft Center'!$L$82)),0)))</f>
        <v>42</v>
      </c>
      <c r="BC16" s="69">
        <f>IF(VLOOKUP($D16,$AO$14:AS$19,COLUMN()-50,0)&lt;=0,1,IF($Q16&lt;0,1,ROUNDUP(IF($Q16*('Draft Center'!$L$28+'Draft Center'!$L$78-'Draft Center'!$L$82)&lt;1,1,$Q16*('Draft Center'!$L$28+'Draft Center'!$L$78-'Draft Center'!$L$82)),0)))</f>
        <v>42</v>
      </c>
      <c r="BD16" s="69">
        <f>IF(VLOOKUP($D16,$AO$14:AT$19,COLUMN()-50,0)&lt;=0,1,IF($Q16&lt;0,1,ROUNDUP(IF($Q16*('Draft Center'!$L$28+'Draft Center'!$L$78-'Draft Center'!$L$82)&lt;1,1,$Q16*('Draft Center'!$L$28+'Draft Center'!$L$78-'Draft Center'!$L$82)),0)))</f>
        <v>42</v>
      </c>
      <c r="BE16" s="69">
        <f>IF(VLOOKUP($D16,$AO$14:AU$19,COLUMN()-50,0)&lt;=0,1,IF($Q16&lt;0,1,ROUNDUP(IF($Q16*('Draft Center'!$L$28+'Draft Center'!$L$78-'Draft Center'!$L$82)&lt;1,1,$Q16*('Draft Center'!$L$28+'Draft Center'!$L$78-'Draft Center'!$L$82)),0)))</f>
        <v>42</v>
      </c>
      <c r="BF16" s="69">
        <f>IF(VLOOKUP($D16,$AO$14:AV$19,COLUMN()-50,0)&lt;=0,1,IF($Q16&lt;0,1,ROUNDUP(IF($Q16*('Draft Center'!$L$28+'Draft Center'!$L$78-'Draft Center'!$L$82)&lt;1,1,$Q16*('Draft Center'!$L$28+'Draft Center'!$L$78-'Draft Center'!$L$82)),0)))</f>
        <v>42</v>
      </c>
      <c r="BG16" s="69">
        <f>IF(VLOOKUP($D16,$AO$14:AW$19,COLUMN()-50,0)&lt;=0,1,IF($Q16&lt;0,1,ROUNDUP(IF($Q16*('Draft Center'!$L$28+'Draft Center'!$L$78-'Draft Center'!$L$82)&lt;1,1,$Q16*('Draft Center'!$L$28+'Draft Center'!$L$78-'Draft Center'!$L$82)),0)))</f>
        <v>42</v>
      </c>
      <c r="BH16" s="69">
        <f>IF(VLOOKUP($D16,$AO$14:AX$19,COLUMN()-50,0)&lt;=0,1,IF($Q16&lt;0,1,ROUNDUP(IF($Q16*('Draft Center'!$L$28+'Draft Center'!$L$78-'Draft Center'!$L$82)&lt;1,1,$Q16*('Draft Center'!$L$28+'Draft Center'!$L$78-'Draft Center'!$L$82)),0)))</f>
        <v>42</v>
      </c>
      <c r="BI16" s="69">
        <f>IF(VLOOKUP($D16,$AO$14:AY$19,COLUMN()-50,0)&lt;=0,1,IF($Q16&lt;0,1,ROUNDUP(IF($Q16*('Draft Center'!$L$28+'Draft Center'!$L$78-'Draft Center'!$L$82)&lt;1,1,$Q16*('Draft Center'!$L$28+'Draft Center'!$L$78-'Draft Center'!$L$82)),0)))</f>
        <v>42</v>
      </c>
      <c r="BJ16" s="196"/>
      <c r="BK16" s="23">
        <v>0</v>
      </c>
      <c r="BL16" s="23" t="str">
        <f t="shared" si="13"/>
        <v/>
      </c>
      <c r="BM16" s="23">
        <v>0</v>
      </c>
      <c r="BN16" s="23" t="str">
        <f t="shared" si="13"/>
        <v/>
      </c>
      <c r="BO16" s="23">
        <f t="shared" si="13"/>
        <v>0</v>
      </c>
      <c r="BP16" s="23" t="str">
        <f t="shared" si="13"/>
        <v/>
      </c>
      <c r="BQ16" s="23" t="str">
        <f t="shared" si="13"/>
        <v/>
      </c>
      <c r="BR16" s="23">
        <f t="shared" si="6"/>
        <v>0</v>
      </c>
      <c r="BS16" s="23">
        <f t="shared" si="7"/>
        <v>0</v>
      </c>
      <c r="BT16" s="69">
        <v>42</v>
      </c>
      <c r="BU16" s="58">
        <v>2327.0337</v>
      </c>
      <c r="BV16" s="33">
        <v>42</v>
      </c>
      <c r="BW16" s="204">
        <v>2327.0337</v>
      </c>
      <c r="BX16" s="23"/>
      <c r="BY16" s="69">
        <v>42</v>
      </c>
      <c r="BZ16" s="69">
        <v>14.6</v>
      </c>
      <c r="CA16" s="69">
        <v>14.6</v>
      </c>
      <c r="CB16" s="69">
        <v>14.6</v>
      </c>
      <c r="CC16" s="69">
        <f t="shared" si="10"/>
        <v>14.6</v>
      </c>
      <c r="CD16" s="69">
        <f t="shared" si="11"/>
        <v>14.6</v>
      </c>
    </row>
    <row r="17" spans="1:82" ht="15.75" customHeight="1" thickBot="1" x14ac:dyDescent="0.3">
      <c r="A17" s="6">
        <v>16</v>
      </c>
      <c r="B17" s="7" t="s">
        <v>41</v>
      </c>
      <c r="C17" s="7" t="s">
        <v>42</v>
      </c>
      <c r="D17" s="7" t="s">
        <v>43</v>
      </c>
      <c r="E17" s="50">
        <v>62.129957768646101</v>
      </c>
      <c r="F17" s="50">
        <v>215.590877120855</v>
      </c>
      <c r="G17" s="50">
        <v>224.83248258750999</v>
      </c>
      <c r="H17" s="50">
        <v>196.71739368998601</v>
      </c>
      <c r="I17" s="8">
        <v>36.799999999999997</v>
      </c>
      <c r="J17" s="50">
        <v>2.2851418551562901</v>
      </c>
      <c r="K17" s="248">
        <f>IFERROR(VLOOKUP(C17,Schedule!$T$3:$U$34,2,0),"FA")</f>
        <v>9</v>
      </c>
      <c r="L17" s="7" t="str">
        <f>D17&amp;COUNTIF(D$2:$D17,D17)</f>
        <v>TE2</v>
      </c>
      <c r="M17" s="50">
        <f t="array" ref="M17">IFERROR(F17-AVERAGE(VLOOKUP(D17,$D18:$F$885,3,0),INDEX($F18:$F$885,SMALL(IF(D17=$D18:$D$885,ROW($D18:$D$885)-ROW(D17)),2))),0)</f>
        <v>3.2475121070499995</v>
      </c>
      <c r="N17" s="50">
        <f>IFERROR(IF(VLOOKUP($B17,Input!$AC$2:$AC$162,1,0)=$B17,0),F17)</f>
        <v>215.590877120855</v>
      </c>
      <c r="O17" s="50">
        <f>IFERROR(IF(VLOOKUP($B17,Input!$AC$2:$AC$162,1,0)=$B17,0,G17),G17)</f>
        <v>224.83248258750999</v>
      </c>
      <c r="P17" s="50">
        <f>IF(N17=0,0,F17-AVERAGE(INDEX(F:F,MATCH(VLOOKUP(D17,Input!$A$14:$L$22,10,0),L:L,0)),INDEX(F:F,MATCH(VLOOKUP(D17,Input!$A$14:$L$22,11,0),L:L,0)),INDEX(F:F,MATCH(VLOOKUP(D17,Input!$A$14:$L$22,12,0),L:L,0)))+(0.01-ROW()*0.01))</f>
        <v>61.969957768645685</v>
      </c>
      <c r="Q17" s="106">
        <f t="shared" si="0"/>
        <v>2.1379197979864047E-2</v>
      </c>
      <c r="R17" s="8">
        <f>IF(VLOOKUP($D17,$X$14:$Y$19,2,0)&lt;=0,1,IF(Q17&lt;0,1,ROUNDUP(IF(Q17*('Draft Center'!$L$28+'Draft Center'!$L$78-'Draft Center'!$L$82)&lt;1,1,Q17*('Draft Center'!$L$28+'Draft Center'!$L$78-'Draft Center'!$L$82)),0)))</f>
        <v>42</v>
      </c>
      <c r="S17" s="8">
        <f>IF(A17&lt;Input!$B$10+0.1,IF(ROUNDUP(R17*Input!$C$10,0)=0,1,ROUNDUP(R17*Input!$C$10,0)),IF(A17&gt;Input!$B$11,IF(ROUNDUP(R17*Input!$C$11,0)=0,1,ROUNDUP(R17*Input!$C$11,0)),IF(ROUNDUP(R17,0)=0,1,ROUNDUP(R17,0))))</f>
        <v>47</v>
      </c>
      <c r="T17" s="8">
        <f t="shared" si="1"/>
        <v>42</v>
      </c>
      <c r="U17" s="8">
        <f>IFERROR(VLOOKUP($B17,Input!$AC$2:$AE$161,3,0),0)</f>
        <v>0</v>
      </c>
      <c r="V17" s="256">
        <f t="shared" si="8"/>
        <v>0.14147434782608706</v>
      </c>
      <c r="W17" s="263">
        <f t="shared" si="9"/>
        <v>5.2001700000000026</v>
      </c>
      <c r="X17" s="27" t="s">
        <v>43</v>
      </c>
      <c r="Y17" s="84">
        <f>IF(2-COUNTIFS(Input!$AD$2:$AD$161,Y$1,Input!$AF$2:$AF$161,$AO17)&lt;0,2-COUNTIFS(Input!$AD$2:$AD$161,Y$1,Input!$AF$2:$AF$161,$AO17),IF(2-COUNTIFS(Input!$AD$2:$AD$161,Y$1,Input!$AF$2:$AF$161,$AO15)&lt;0,2-COUNTIFS(Input!$AD$2:$AD$161,Y$1,Input!$AF$2:$AF$161,$AO17),IF(2-COUNTIFS(Input!$AD$2:$AD$161,Y$1,Input!$AF$2:$AF$161,$AO16)&lt;0,2-COUNTIFS(Input!$AD$2:$AD$161,Y$1,Input!$AF$2:$AF$161,$AO17),IF(2-COUNTIFS(Input!$AD$2:$AD$161,Y$1,Input!$AF$2:$AF$161,$AO17)&gt;1,2-COUNTIFS(Input!$AD$2:$AD$161,Y$1,Input!$AF$2:$AF$161,$AO17),1))))</f>
        <v>2</v>
      </c>
      <c r="Z17" s="23"/>
      <c r="AA17" s="23">
        <v>0</v>
      </c>
      <c r="AB17" s="23" t="str">
        <f t="shared" si="12"/>
        <v/>
      </c>
      <c r="AC17" s="23" t="str">
        <f t="shared" si="12"/>
        <v/>
      </c>
      <c r="AD17" s="23" t="str">
        <f t="shared" si="12"/>
        <v/>
      </c>
      <c r="AE17" s="23">
        <f t="shared" si="12"/>
        <v>0</v>
      </c>
      <c r="AF17" s="23" t="str">
        <f t="shared" si="12"/>
        <v/>
      </c>
      <c r="AG17" s="23" t="str">
        <f t="shared" si="12"/>
        <v/>
      </c>
      <c r="AH17" s="23">
        <f t="shared" si="3"/>
        <v>0</v>
      </c>
      <c r="AI17" s="23">
        <f t="shared" si="4"/>
        <v>0</v>
      </c>
      <c r="AJ17" s="70">
        <v>42</v>
      </c>
      <c r="AK17" s="225">
        <v>1398.0116855707142</v>
      </c>
      <c r="AL17" s="33">
        <v>42</v>
      </c>
      <c r="AM17" s="204">
        <v>1398.580791042195</v>
      </c>
      <c r="AN17" s="196"/>
      <c r="AO17" s="332" t="s">
        <v>43</v>
      </c>
      <c r="AP17" s="355"/>
      <c r="AQ17" s="23">
        <f>IF(2-COUNTIFS(Input!$AD$2:$AD$161,AQ$1,Input!$AF$2:$AF$161,$AO17)&lt;0,2-COUNTIFS(Input!$AD$2:$AD$161,AQ$1,Input!$AF$2:$AF$161,$AO17),IF(2-COUNTIFS(Input!$AD$2:$AD$161,AQ$1,Input!$AF$2:$AF$161,$AO15)&lt;0,2-COUNTIFS(Input!$AD$2:$AD$161,AQ$1,Input!$AF$2:$AF$161,$AO17),IF(2-COUNTIFS(Input!$AD$2:$AD$161,AQ$1,Input!$AF$2:$AF$161,$AO16)&lt;0,2-COUNTIFS(Input!$AD$2:$AD$161,AQ$1,Input!$AF$2:$AF$161,$AO17),IF(2-COUNTIFS(Input!$AD$2:$AD$161,AQ$1,Input!$AF$2:$AF$161,$AO17)&gt;1,2-COUNTIFS(Input!$AD$2:$AD$161,AQ$1,Input!$AF$2:$AF$161,$AO17),1))))</f>
        <v>2</v>
      </c>
      <c r="AR17" s="23">
        <f>IF(2-COUNTIFS(Input!$AD$2:$AD$161,AR$1,Input!$AF$2:$AF$161,$AO17)&lt;0,2-COUNTIFS(Input!$AD$2:$AD$161,AR$1,Input!$AF$2:$AF$161,$AO17),IF(2-COUNTIFS(Input!$AD$2:$AD$161,AR$1,Input!$AF$2:$AF$161,$AO15)&lt;0,2-COUNTIFS(Input!$AD$2:$AD$161,AR$1,Input!$AF$2:$AF$161,$AO17),IF(2-COUNTIFS(Input!$AD$2:$AD$161,AR$1,Input!$AF$2:$AF$161,$AO16)&lt;0,2-COUNTIFS(Input!$AD$2:$AD$161,AR$1,Input!$AF$2:$AF$161,$AO17),IF(2-COUNTIFS(Input!$AD$2:$AD$161,AR$1,Input!$AF$2:$AF$161,$AO17)&gt;1,2-COUNTIFS(Input!$AD$2:$AD$161,AR$1,Input!$AF$2:$AF$161,$AO17),1))))</f>
        <v>2</v>
      </c>
      <c r="AS17" s="23">
        <f>IF(2-COUNTIFS(Input!$AD$2:$AD$161,AS$1,Input!$AF$2:$AF$161,$AO17)&lt;0,2-COUNTIFS(Input!$AD$2:$AD$161,AS$1,Input!$AF$2:$AF$161,$AO17),IF(2-COUNTIFS(Input!$AD$2:$AD$161,AS$1,Input!$AF$2:$AF$161,$AO15)&lt;0,2-COUNTIFS(Input!$AD$2:$AD$161,AS$1,Input!$AF$2:$AF$161,$AO17),IF(2-COUNTIFS(Input!$AD$2:$AD$161,AS$1,Input!$AF$2:$AF$161,$AO16)&lt;0,2-COUNTIFS(Input!$AD$2:$AD$161,AS$1,Input!$AF$2:$AF$161,$AO17),IF(2-COUNTIFS(Input!$AD$2:$AD$161,AS$1,Input!$AF$2:$AF$161,$AO17)&gt;1,2-COUNTIFS(Input!$AD$2:$AD$161,AS$1,Input!$AF$2:$AF$161,$AO17),1))))</f>
        <v>2</v>
      </c>
      <c r="AT17" s="23">
        <f>IF(2-COUNTIFS(Input!$AD$2:$AD$161,AT$1,Input!$AF$2:$AF$161,$AO17)&lt;0,2-COUNTIFS(Input!$AD$2:$AD$161,AT$1,Input!$AF$2:$AF$161,$AO17),IF(2-COUNTIFS(Input!$AD$2:$AD$161,AT$1,Input!$AF$2:$AF$161,$AO15)&lt;0,2-COUNTIFS(Input!$AD$2:$AD$161,AT$1,Input!$AF$2:$AF$161,$AO17),IF(2-COUNTIFS(Input!$AD$2:$AD$161,AT$1,Input!$AF$2:$AF$161,$AO16)&lt;0,2-COUNTIFS(Input!$AD$2:$AD$161,AT$1,Input!$AF$2:$AF$161,$AO17),IF(2-COUNTIFS(Input!$AD$2:$AD$161,AT$1,Input!$AF$2:$AF$161,$AO17)&gt;1,2-COUNTIFS(Input!$AD$2:$AD$161,AT$1,Input!$AF$2:$AF$161,$AO17),1))))</f>
        <v>2</v>
      </c>
      <c r="AU17" s="23">
        <f>IF(2-COUNTIFS(Input!$AD$2:$AD$161,AU$1,Input!$AF$2:$AF$161,$AO17)&lt;0,2-COUNTIFS(Input!$AD$2:$AD$161,AU$1,Input!$AF$2:$AF$161,$AO17),IF(2-COUNTIFS(Input!$AD$2:$AD$161,AU$1,Input!$AF$2:$AF$161,$AO15)&lt;0,2-COUNTIFS(Input!$AD$2:$AD$161,AU$1,Input!$AF$2:$AF$161,$AO17),IF(2-COUNTIFS(Input!$AD$2:$AD$161,AU$1,Input!$AF$2:$AF$161,$AO16)&lt;0,2-COUNTIFS(Input!$AD$2:$AD$161,AU$1,Input!$AF$2:$AF$161,$AO17),IF(2-COUNTIFS(Input!$AD$2:$AD$161,AU$1,Input!$AF$2:$AF$161,$AO17)&gt;1,2-COUNTIFS(Input!$AD$2:$AD$161,AU$1,Input!$AF$2:$AF$161,$AO17),1))))</f>
        <v>2</v>
      </c>
      <c r="AV17" s="23">
        <f>IF(2-COUNTIFS(Input!$AD$2:$AD$161,AV$1,Input!$AF$2:$AF$161,$AO17)&lt;0,2-COUNTIFS(Input!$AD$2:$AD$161,AV$1,Input!$AF$2:$AF$161,$AO17),IF(2-COUNTIFS(Input!$AD$2:$AD$161,AV$1,Input!$AF$2:$AF$161,$AO15)&lt;0,2-COUNTIFS(Input!$AD$2:$AD$161,AV$1,Input!$AF$2:$AF$161,$AO17),IF(2-COUNTIFS(Input!$AD$2:$AD$161,AV$1,Input!$AF$2:$AF$161,$AO16)&lt;0,2-COUNTIFS(Input!$AD$2:$AD$161,AV$1,Input!$AF$2:$AF$161,$AO17),IF(2-COUNTIFS(Input!$AD$2:$AD$161,AV$1,Input!$AF$2:$AF$161,$AO17)&gt;1,2-COUNTIFS(Input!$AD$2:$AD$161,AV$1,Input!$AF$2:$AF$161,$AO17),1))))</f>
        <v>2</v>
      </c>
      <c r="AW17" s="23">
        <f>IF(2-COUNTIFS(Input!$AD$2:$AD$161,AW$1,Input!$AF$2:$AF$161,$AO17)&lt;0,2-COUNTIFS(Input!$AD$2:$AD$161,AW$1,Input!$AF$2:$AF$161,$AO17),IF(2-COUNTIFS(Input!$AD$2:$AD$161,AW$1,Input!$AF$2:$AF$161,$AO15)&lt;0,2-COUNTIFS(Input!$AD$2:$AD$161,AW$1,Input!$AF$2:$AF$161,$AO17),IF(2-COUNTIFS(Input!$AD$2:$AD$161,AW$1,Input!$AF$2:$AF$161,$AO16)&lt;0,2-COUNTIFS(Input!$AD$2:$AD$161,AW$1,Input!$AF$2:$AF$161,$AO17),IF(2-COUNTIFS(Input!$AD$2:$AD$161,AW$1,Input!$AF$2:$AF$161,$AO17)&gt;1,2-COUNTIFS(Input!$AD$2:$AD$161,AW$1,Input!$AF$2:$AF$161,$AO17),1))))</f>
        <v>2</v>
      </c>
      <c r="AX17" s="23">
        <f>IF(2-COUNTIFS(Input!$AD$2:$AD$161,AX$1,Input!$AF$2:$AF$161,$AO17)&lt;0,2-COUNTIFS(Input!$AD$2:$AD$161,AX$1,Input!$AF$2:$AF$161,$AO17),IF(2-COUNTIFS(Input!$AD$2:$AD$161,AX$1,Input!$AF$2:$AF$161,$AO15)&lt;0,2-COUNTIFS(Input!$AD$2:$AD$161,AX$1,Input!$AF$2:$AF$161,$AO17),IF(2-COUNTIFS(Input!$AD$2:$AD$161,AX$1,Input!$AF$2:$AF$161,$AO16)&lt;0,2-COUNTIFS(Input!$AD$2:$AD$161,AX$1,Input!$AF$2:$AF$161,$AO17),IF(2-COUNTIFS(Input!$AD$2:$AD$161,AX$1,Input!$AF$2:$AF$161,$AO17)&gt;1,2-COUNTIFS(Input!$AD$2:$AD$161,AX$1,Input!$AF$2:$AF$161,$AO17),1))))</f>
        <v>2</v>
      </c>
      <c r="AY17" s="28">
        <f>IF(2-COUNTIFS(Input!$AD$2:$AD$161,AY$1,Input!$AF$2:$AF$161,$AO17)&lt;0,2-COUNTIFS(Input!$AD$2:$AD$161,AY$1,Input!$AF$2:$AF$161,$AO17),IF(2-COUNTIFS(Input!$AD$2:$AD$161,AY$1,Input!$AF$2:$AF$161,$AO15)&lt;0,2-COUNTIFS(Input!$AD$2:$AD$161,AY$1,Input!$AF$2:$AF$161,$AO17),IF(2-COUNTIFS(Input!$AD$2:$AD$161,AY$1,Input!$AF$2:$AF$161,$AO16)&lt;0,2-COUNTIFS(Input!$AD$2:$AD$161,AY$1,Input!$AF$2:$AF$161,$AO17),IF(2-COUNTIFS(Input!$AD$2:$AD$161,AY$1,Input!$AF$2:$AF$161,$AO17)&gt;1,2-COUNTIFS(Input!$AD$2:$AD$161,AY$1,Input!$AF$2:$AF$161,$AO17),1))))</f>
        <v>2</v>
      </c>
      <c r="AZ17" s="196"/>
      <c r="BA17" s="70">
        <f>IF(VLOOKUP($D17,$AO$14:AQ$19,COLUMN()-50,0)&lt;=0,1,IF($Q17&lt;0,1,ROUNDUP(IF($Q17*('Draft Center'!$L$28+'Draft Center'!$L$78-'Draft Center'!$L$82)&lt;1,1,$Q17*('Draft Center'!$L$28+'Draft Center'!$L$78-'Draft Center'!$L$82)),0)))</f>
        <v>42</v>
      </c>
      <c r="BB17" s="70">
        <f>IF(VLOOKUP($D17,$AO$14:AR$19,COLUMN()-50,0)&lt;=0,1,IF($Q17&lt;0,1,ROUNDUP(IF($Q17*('Draft Center'!$L$28+'Draft Center'!$L$78-'Draft Center'!$L$82)&lt;1,1,$Q17*('Draft Center'!$L$28+'Draft Center'!$L$78-'Draft Center'!$L$82)),0)))</f>
        <v>42</v>
      </c>
      <c r="BC17" s="70">
        <f>IF(VLOOKUP($D17,$AO$14:AS$19,COLUMN()-50,0)&lt;=0,1,IF($Q17&lt;0,1,ROUNDUP(IF($Q17*('Draft Center'!$L$28+'Draft Center'!$L$78-'Draft Center'!$L$82)&lt;1,1,$Q17*('Draft Center'!$L$28+'Draft Center'!$L$78-'Draft Center'!$L$82)),0)))</f>
        <v>42</v>
      </c>
      <c r="BD17" s="70">
        <f>IF(VLOOKUP($D17,$AO$14:AT$19,COLUMN()-50,0)&lt;=0,1,IF($Q17&lt;0,1,ROUNDUP(IF($Q17*('Draft Center'!$L$28+'Draft Center'!$L$78-'Draft Center'!$L$82)&lt;1,1,$Q17*('Draft Center'!$L$28+'Draft Center'!$L$78-'Draft Center'!$L$82)),0)))</f>
        <v>42</v>
      </c>
      <c r="BE17" s="70">
        <f>IF(VLOOKUP($D17,$AO$14:AU$19,COLUMN()-50,0)&lt;=0,1,IF($Q17&lt;0,1,ROUNDUP(IF($Q17*('Draft Center'!$L$28+'Draft Center'!$L$78-'Draft Center'!$L$82)&lt;1,1,$Q17*('Draft Center'!$L$28+'Draft Center'!$L$78-'Draft Center'!$L$82)),0)))</f>
        <v>42</v>
      </c>
      <c r="BF17" s="70">
        <f>IF(VLOOKUP($D17,$AO$14:AV$19,COLUMN()-50,0)&lt;=0,1,IF($Q17&lt;0,1,ROUNDUP(IF($Q17*('Draft Center'!$L$28+'Draft Center'!$L$78-'Draft Center'!$L$82)&lt;1,1,$Q17*('Draft Center'!$L$28+'Draft Center'!$L$78-'Draft Center'!$L$82)),0)))</f>
        <v>42</v>
      </c>
      <c r="BG17" s="70">
        <f>IF(VLOOKUP($D17,$AO$14:AW$19,COLUMN()-50,0)&lt;=0,1,IF($Q17&lt;0,1,ROUNDUP(IF($Q17*('Draft Center'!$L$28+'Draft Center'!$L$78-'Draft Center'!$L$82)&lt;1,1,$Q17*('Draft Center'!$L$28+'Draft Center'!$L$78-'Draft Center'!$L$82)),0)))</f>
        <v>42</v>
      </c>
      <c r="BH17" s="70">
        <f>IF(VLOOKUP($D17,$AO$14:AX$19,COLUMN()-50,0)&lt;=0,1,IF($Q17&lt;0,1,ROUNDUP(IF($Q17*('Draft Center'!$L$28+'Draft Center'!$L$78-'Draft Center'!$L$82)&lt;1,1,$Q17*('Draft Center'!$L$28+'Draft Center'!$L$78-'Draft Center'!$L$82)),0)))</f>
        <v>42</v>
      </c>
      <c r="BI17" s="70">
        <f>IF(VLOOKUP($D17,$AO$14:AY$19,COLUMN()-50,0)&lt;=0,1,IF($Q17&lt;0,1,ROUNDUP(IF($Q17*('Draft Center'!$L$28+'Draft Center'!$L$78-'Draft Center'!$L$82)&lt;1,1,$Q17*('Draft Center'!$L$28+'Draft Center'!$L$78-'Draft Center'!$L$82)),0)))</f>
        <v>42</v>
      </c>
      <c r="BJ17" s="196"/>
      <c r="BK17" s="23">
        <v>0</v>
      </c>
      <c r="BL17" s="23" t="str">
        <f t="shared" si="13"/>
        <v/>
      </c>
      <c r="BM17" s="23">
        <v>0</v>
      </c>
      <c r="BN17" s="23" t="str">
        <f t="shared" si="13"/>
        <v/>
      </c>
      <c r="BO17" s="23">
        <f t="shared" si="13"/>
        <v>0</v>
      </c>
      <c r="BP17" s="23" t="str">
        <f t="shared" si="13"/>
        <v/>
      </c>
      <c r="BQ17" s="23" t="str">
        <f t="shared" si="13"/>
        <v/>
      </c>
      <c r="BR17" s="23">
        <f t="shared" si="6"/>
        <v>0</v>
      </c>
      <c r="BS17" s="23">
        <f t="shared" si="7"/>
        <v>0</v>
      </c>
      <c r="BT17" s="70">
        <v>42</v>
      </c>
      <c r="BU17" s="58">
        <v>2327.0337</v>
      </c>
      <c r="BV17" s="33">
        <v>42</v>
      </c>
      <c r="BW17" s="204">
        <v>2327.0337</v>
      </c>
      <c r="BX17" s="23"/>
      <c r="BY17" s="70">
        <v>42</v>
      </c>
      <c r="BZ17" s="70">
        <v>36.799999999999997</v>
      </c>
      <c r="CA17" s="70">
        <v>36.799999999999997</v>
      </c>
      <c r="CB17" s="70">
        <v>36.799999999999997</v>
      </c>
      <c r="CC17" s="70">
        <f t="shared" si="10"/>
        <v>36.799999999999997</v>
      </c>
      <c r="CD17" s="70">
        <f t="shared" si="11"/>
        <v>36.799999999999997</v>
      </c>
    </row>
    <row r="18" spans="1:82" ht="15.75" customHeight="1" thickBot="1" x14ac:dyDescent="0.3">
      <c r="A18" s="9">
        <v>17</v>
      </c>
      <c r="B18" s="10" t="s">
        <v>149</v>
      </c>
      <c r="C18" s="10" t="s">
        <v>83</v>
      </c>
      <c r="D18" s="10" t="s">
        <v>43</v>
      </c>
      <c r="E18" s="51">
        <v>59.615101471554503</v>
      </c>
      <c r="F18" s="51">
        <v>213.076020823764</v>
      </c>
      <c r="G18" s="51">
        <v>223.429374057714</v>
      </c>
      <c r="H18" s="51">
        <v>194.311110057147</v>
      </c>
      <c r="I18" s="11">
        <v>25.9</v>
      </c>
      <c r="J18" s="51">
        <v>2.7988294023619802</v>
      </c>
      <c r="K18" s="249">
        <f>IFERROR(VLOOKUP(C18,Schedule!$T$3:$U$34,2,0),"FA")</f>
        <v>5</v>
      </c>
      <c r="L18" s="10" t="str">
        <f>D18&amp;COUNTIF(D$2:$D18,D18)</f>
        <v>TE3</v>
      </c>
      <c r="M18" s="51">
        <f t="array" ref="M18">IFERROR(F18-AVERAGE(VLOOKUP(D18,$D19:$F$885,3,0),INDEX($F19:$F$885,SMALL(IF(D18=$D19:$D$885,ROW($D19:$D$885)-ROW(D18)),2))),0)</f>
        <v>13.010081919767515</v>
      </c>
      <c r="N18" s="51">
        <f>IFERROR(IF(VLOOKUP($B18,Input!$AC$2:$AC$162,1,0)=$B18,0),F18)</f>
        <v>213.076020823764</v>
      </c>
      <c r="O18" s="51">
        <f>IFERROR(IF(VLOOKUP($B18,Input!$AC$2:$AC$162,1,0)=$B18,0,G18),G18)</f>
        <v>223.429374057714</v>
      </c>
      <c r="P18" s="51">
        <f>IF(N18=0,0,F18-AVERAGE(INDEX(F:F,MATCH(VLOOKUP(D18,Input!$A$14:$L$22,10,0),L:L,0)),INDEX(F:F,MATCH(VLOOKUP(D18,Input!$A$14:$L$22,11,0),L:L,0)),INDEX(F:F,MATCH(VLOOKUP(D18,Input!$A$14:$L$22,12,0),L:L,0)))+(0.01-ROW()*0.01))</f>
        <v>59.445101471554679</v>
      </c>
      <c r="Q18" s="107">
        <f t="shared" si="0"/>
        <v>2.0508140380506985E-2</v>
      </c>
      <c r="R18" s="11">
        <f>IF(VLOOKUP($D18,$X$14:$Y$19,2,0)&lt;=0,1,IF(Q18&lt;0,1,ROUNDUP(IF(Q18*('Draft Center'!$L$28+'Draft Center'!$L$78-'Draft Center'!$L$82)&lt;1,1,Q18*('Draft Center'!$L$28+'Draft Center'!$L$78-'Draft Center'!$L$82)),0)))</f>
        <v>40</v>
      </c>
      <c r="S18" s="11">
        <f>IF(A18&lt;Input!$B$10+0.1,IF(ROUNDUP(R18*Input!$C$10,0)=0,1,ROUNDUP(R18*Input!$C$10,0)),IF(A18&gt;Input!$B$11,IF(ROUNDUP(R18*Input!$C$11,0)=0,1,ROUNDUP(R18*Input!$C$11,0)),IF(ROUNDUP(R18,0)=0,1,ROUNDUP(R18,0))))</f>
        <v>44</v>
      </c>
      <c r="T18" s="11">
        <f t="shared" si="1"/>
        <v>40</v>
      </c>
      <c r="U18" s="11">
        <f>IFERROR(VLOOKUP($B18,Input!$AC$2:$AE$161,3,0),0)</f>
        <v>0</v>
      </c>
      <c r="V18" s="257">
        <f t="shared" si="8"/>
        <v>0.54458154440154449</v>
      </c>
      <c r="W18" s="264">
        <f t="shared" si="9"/>
        <v>14.100180000000002</v>
      </c>
      <c r="X18" s="27" t="s">
        <v>135</v>
      </c>
      <c r="Y18" s="84">
        <f>1-COUNTIFS(Input!$AD$2:$AD$161,Y$1,Input!$AF$2:$AF$161,X18)</f>
        <v>1</v>
      </c>
      <c r="Z18" s="23"/>
      <c r="AA18" s="23">
        <v>0</v>
      </c>
      <c r="AB18" s="23" t="str">
        <f t="shared" si="12"/>
        <v/>
      </c>
      <c r="AC18" s="23" t="str">
        <f t="shared" si="12"/>
        <v/>
      </c>
      <c r="AD18" s="23" t="str">
        <f t="shared" si="12"/>
        <v/>
      </c>
      <c r="AE18" s="23">
        <f t="shared" si="12"/>
        <v>0</v>
      </c>
      <c r="AF18" s="23" t="str">
        <f t="shared" si="12"/>
        <v/>
      </c>
      <c r="AG18" s="23" t="str">
        <f t="shared" si="12"/>
        <v/>
      </c>
      <c r="AH18" s="23">
        <f t="shared" si="3"/>
        <v>0</v>
      </c>
      <c r="AI18" s="23">
        <f t="shared" si="4"/>
        <v>0</v>
      </c>
      <c r="AJ18" s="69">
        <v>40</v>
      </c>
      <c r="AK18" s="225">
        <v>2327.0337</v>
      </c>
      <c r="AL18" s="33">
        <v>40</v>
      </c>
      <c r="AM18" s="204">
        <v>2327.0337</v>
      </c>
      <c r="AN18" s="196"/>
      <c r="AO18" s="332" t="s">
        <v>135</v>
      </c>
      <c r="AP18" s="355"/>
      <c r="AQ18" s="23">
        <f>1-COUNTIFS(Input!$AD$2:$AD$161,AQ$1,Input!$AF$2:$AF$161,AO18)</f>
        <v>1</v>
      </c>
      <c r="AR18" s="23">
        <f>1-COUNTIFS(Input!$AD$2:$AD$161,AR$1,Input!$AF$2:$AF$161,AP18)</f>
        <v>1</v>
      </c>
      <c r="AS18" s="23">
        <f>1-COUNTIFS(Input!$AD$2:$AD$161,AS$1,Input!$AF$2:$AF$161,AQ18)</f>
        <v>1</v>
      </c>
      <c r="AT18" s="23">
        <f>1-COUNTIFS(Input!$AD$2:$AD$161,AT$1,Input!$AF$2:$AF$161,AR18)</f>
        <v>1</v>
      </c>
      <c r="AU18" s="23">
        <f>1-COUNTIFS(Input!$AD$2:$AD$161,AU$1,Input!$AF$2:$AF$161,AS18)</f>
        <v>1</v>
      </c>
      <c r="AV18" s="23">
        <f>1-COUNTIFS(Input!$AD$2:$AD$161,AV$1,Input!$AF$2:$AF$161,AT18)</f>
        <v>1</v>
      </c>
      <c r="AW18" s="23">
        <f>1-COUNTIFS(Input!$AD$2:$AD$161,AW$1,Input!$AF$2:$AF$161,AU18)</f>
        <v>1</v>
      </c>
      <c r="AX18" s="23">
        <f>1-COUNTIFS(Input!$AD$2:$AD$161,AX$1,Input!$AF$2:$AF$161,AV18)</f>
        <v>1</v>
      </c>
      <c r="AY18" s="28">
        <f>1-COUNTIFS(Input!$AD$2:$AD$161,AY$1,Input!$AF$2:$AF$161,AW18)</f>
        <v>1</v>
      </c>
      <c r="AZ18" s="196"/>
      <c r="BA18" s="69">
        <f>IF(VLOOKUP($D18,$AO$14:AQ$19,COLUMN()-50,0)&lt;=0,1,IF($Q18&lt;0,1,ROUNDUP(IF($Q18*('Draft Center'!$L$28+'Draft Center'!$L$78-'Draft Center'!$L$82)&lt;1,1,$Q18*('Draft Center'!$L$28+'Draft Center'!$L$78-'Draft Center'!$L$82)),0)))</f>
        <v>40</v>
      </c>
      <c r="BB18" s="69">
        <f>IF(VLOOKUP($D18,$AO$14:AR$19,COLUMN()-50,0)&lt;=0,1,IF($Q18&lt;0,1,ROUNDUP(IF($Q18*('Draft Center'!$L$28+'Draft Center'!$L$78-'Draft Center'!$L$82)&lt;1,1,$Q18*('Draft Center'!$L$28+'Draft Center'!$L$78-'Draft Center'!$L$82)),0)))</f>
        <v>40</v>
      </c>
      <c r="BC18" s="69">
        <f>IF(VLOOKUP($D18,$AO$14:AS$19,COLUMN()-50,0)&lt;=0,1,IF($Q18&lt;0,1,ROUNDUP(IF($Q18*('Draft Center'!$L$28+'Draft Center'!$L$78-'Draft Center'!$L$82)&lt;1,1,$Q18*('Draft Center'!$L$28+'Draft Center'!$L$78-'Draft Center'!$L$82)),0)))</f>
        <v>40</v>
      </c>
      <c r="BD18" s="69">
        <f>IF(VLOOKUP($D18,$AO$14:AT$19,COLUMN()-50,0)&lt;=0,1,IF($Q18&lt;0,1,ROUNDUP(IF($Q18*('Draft Center'!$L$28+'Draft Center'!$L$78-'Draft Center'!$L$82)&lt;1,1,$Q18*('Draft Center'!$L$28+'Draft Center'!$L$78-'Draft Center'!$L$82)),0)))</f>
        <v>40</v>
      </c>
      <c r="BE18" s="69">
        <f>IF(VLOOKUP($D18,$AO$14:AU$19,COLUMN()-50,0)&lt;=0,1,IF($Q18&lt;0,1,ROUNDUP(IF($Q18*('Draft Center'!$L$28+'Draft Center'!$L$78-'Draft Center'!$L$82)&lt;1,1,$Q18*('Draft Center'!$L$28+'Draft Center'!$L$78-'Draft Center'!$L$82)),0)))</f>
        <v>40</v>
      </c>
      <c r="BF18" s="69">
        <f>IF(VLOOKUP($D18,$AO$14:AV$19,COLUMN()-50,0)&lt;=0,1,IF($Q18&lt;0,1,ROUNDUP(IF($Q18*('Draft Center'!$L$28+'Draft Center'!$L$78-'Draft Center'!$L$82)&lt;1,1,$Q18*('Draft Center'!$L$28+'Draft Center'!$L$78-'Draft Center'!$L$82)),0)))</f>
        <v>40</v>
      </c>
      <c r="BG18" s="69">
        <f>IF(VLOOKUP($D18,$AO$14:AW$19,COLUMN()-50,0)&lt;=0,1,IF($Q18&lt;0,1,ROUNDUP(IF($Q18*('Draft Center'!$L$28+'Draft Center'!$L$78-'Draft Center'!$L$82)&lt;1,1,$Q18*('Draft Center'!$L$28+'Draft Center'!$L$78-'Draft Center'!$L$82)),0)))</f>
        <v>40</v>
      </c>
      <c r="BH18" s="69">
        <f>IF(VLOOKUP($D18,$AO$14:AX$19,COLUMN()-50,0)&lt;=0,1,IF($Q18&lt;0,1,ROUNDUP(IF($Q18*('Draft Center'!$L$28+'Draft Center'!$L$78-'Draft Center'!$L$82)&lt;1,1,$Q18*('Draft Center'!$L$28+'Draft Center'!$L$78-'Draft Center'!$L$82)),0)))</f>
        <v>40</v>
      </c>
      <c r="BI18" s="69">
        <f>IF(VLOOKUP($D18,$AO$14:AY$19,COLUMN()-50,0)&lt;=0,1,IF($Q18&lt;0,1,ROUNDUP(IF($Q18*('Draft Center'!$L$28+'Draft Center'!$L$78-'Draft Center'!$L$82)&lt;1,1,$Q18*('Draft Center'!$L$28+'Draft Center'!$L$78-'Draft Center'!$L$82)),0)))</f>
        <v>40</v>
      </c>
      <c r="BJ18" s="196"/>
      <c r="BK18" s="23">
        <v>0</v>
      </c>
      <c r="BL18" s="23" t="str">
        <f t="shared" si="13"/>
        <v/>
      </c>
      <c r="BM18" s="23">
        <v>0</v>
      </c>
      <c r="BN18" s="23" t="str">
        <f t="shared" si="13"/>
        <v/>
      </c>
      <c r="BO18" s="23">
        <f t="shared" si="13"/>
        <v>0</v>
      </c>
      <c r="BP18" s="23" t="str">
        <f t="shared" si="13"/>
        <v/>
      </c>
      <c r="BQ18" s="23" t="str">
        <f t="shared" si="13"/>
        <v/>
      </c>
      <c r="BR18" s="23">
        <f t="shared" si="6"/>
        <v>0</v>
      </c>
      <c r="BS18" s="23">
        <f t="shared" si="7"/>
        <v>0</v>
      </c>
      <c r="BT18" s="69">
        <v>40</v>
      </c>
      <c r="BU18" s="58">
        <v>2327.0337</v>
      </c>
      <c r="BV18" s="33">
        <v>40</v>
      </c>
      <c r="BW18" s="204">
        <v>2327.0337</v>
      </c>
      <c r="BX18" s="23"/>
      <c r="BY18" s="69">
        <v>40</v>
      </c>
      <c r="BZ18" s="69">
        <v>25.9</v>
      </c>
      <c r="CA18" s="69">
        <v>25.9</v>
      </c>
      <c r="CB18" s="69">
        <v>25.9</v>
      </c>
      <c r="CC18" s="69">
        <f t="shared" si="10"/>
        <v>25.899999999999995</v>
      </c>
      <c r="CD18" s="69">
        <f t="shared" si="11"/>
        <v>25.9</v>
      </c>
    </row>
    <row r="19" spans="1:82" ht="15.75" customHeight="1" thickBot="1" x14ac:dyDescent="0.3">
      <c r="A19" s="6">
        <v>18</v>
      </c>
      <c r="B19" s="7" t="s">
        <v>84</v>
      </c>
      <c r="C19" s="7" t="s">
        <v>85</v>
      </c>
      <c r="D19" s="7" t="s">
        <v>43</v>
      </c>
      <c r="E19" s="50">
        <v>58.149789851637102</v>
      </c>
      <c r="F19" s="50">
        <v>211.610709203846</v>
      </c>
      <c r="G19" s="50">
        <v>222.869186653855</v>
      </c>
      <c r="H19" s="50">
        <v>193.71662551440301</v>
      </c>
      <c r="I19" s="8">
        <v>13.8</v>
      </c>
      <c r="J19" s="50">
        <v>2.7054316665064002</v>
      </c>
      <c r="K19" s="248">
        <f>IFERROR(VLOOKUP(C19,Schedule!$T$3:$U$34,2,0),"FA")</f>
        <v>11</v>
      </c>
      <c r="L19" s="7" t="str">
        <f>D19&amp;COUNTIF(D$2:$D19,D19)</f>
        <v>TE4</v>
      </c>
      <c r="M19" s="50">
        <f t="array" ref="M19">IFERROR(F19-AVERAGE(VLOOKUP(D19,$D20:$F$885,3,0),INDEX($F20:$F$885,SMALL(IF(D19=$D20:$D$885,ROW($D20:$D$885)-ROW(D19)),2))),0)</f>
        <v>27.556019021565021</v>
      </c>
      <c r="N19" s="50">
        <f>IFERROR(IF(VLOOKUP($B19,Input!$AC$2:$AC$162,1,0)=$B19,0),F19)</f>
        <v>211.610709203846</v>
      </c>
      <c r="O19" s="50">
        <f>IFERROR(IF(VLOOKUP($B19,Input!$AC$2:$AC$162,1,0)=$B19,0,G19),G19)</f>
        <v>222.869186653855</v>
      </c>
      <c r="P19" s="50">
        <f>IF(N19=0,0,F19-AVERAGE(INDEX(F:F,MATCH(VLOOKUP(D19,Input!$A$14:$L$22,10,0),L:L,0)),INDEX(F:F,MATCH(VLOOKUP(D19,Input!$A$14:$L$22,11,0),L:L,0)),INDEX(F:F,MATCH(VLOOKUP(D19,Input!$A$14:$L$22,12,0),L:L,0)))+(0.01-ROW()*0.01))</f>
        <v>57.969789851636683</v>
      </c>
      <c r="Q19" s="106">
        <f t="shared" si="0"/>
        <v>1.9999168285964437E-2</v>
      </c>
      <c r="R19" s="8">
        <f>IF(VLOOKUP($D19,$X$14:$Y$19,2,0)&lt;=0,1,IF(Q19&lt;0,1,ROUNDUP(IF(Q19*('Draft Center'!$L$28+'Draft Center'!$L$78-'Draft Center'!$L$82)&lt;1,1,Q19*('Draft Center'!$L$28+'Draft Center'!$L$78-'Draft Center'!$L$82)),0)))</f>
        <v>39</v>
      </c>
      <c r="S19" s="8">
        <f>IF(A19&lt;Input!$B$10+0.1,IF(ROUNDUP(R19*Input!$C$10,0)=0,1,ROUNDUP(R19*Input!$C$10,0)),IF(A19&gt;Input!$B$11,IF(ROUNDUP(R19*Input!$C$11,0)=0,1,ROUNDUP(R19*Input!$C$11,0)),IF(ROUNDUP(R19,0)=0,1,ROUNDUP(R19,0))))</f>
        <v>43</v>
      </c>
      <c r="T19" s="8">
        <f t="shared" si="1"/>
        <v>39</v>
      </c>
      <c r="U19" s="8">
        <f>IFERROR(VLOOKUP($B19,Input!$AC$2:$AE$161,3,0),0)</f>
        <v>0</v>
      </c>
      <c r="V19" s="256">
        <f t="shared" si="8"/>
        <v>1.8262769565217389</v>
      </c>
      <c r="W19" s="263">
        <f t="shared" si="9"/>
        <v>25.200189999999999</v>
      </c>
      <c r="X19" s="199" t="s">
        <v>147</v>
      </c>
      <c r="Y19" s="86">
        <f>1-COUNTIFS(Input!$AD$2:$AD$161,Y$1,Input!$AF$2:$AF$161,X19)</f>
        <v>1</v>
      </c>
      <c r="Z19" s="23"/>
      <c r="AA19" s="23">
        <v>0</v>
      </c>
      <c r="AB19" s="23" t="str">
        <f t="shared" si="12"/>
        <v/>
      </c>
      <c r="AC19" s="23" t="str">
        <f t="shared" si="12"/>
        <v/>
      </c>
      <c r="AD19" s="23" t="str">
        <f t="shared" si="12"/>
        <v/>
      </c>
      <c r="AE19" s="23">
        <f t="shared" si="12"/>
        <v>0</v>
      </c>
      <c r="AF19" s="23" t="str">
        <f t="shared" si="12"/>
        <v/>
      </c>
      <c r="AG19" s="23" t="str">
        <f t="shared" si="12"/>
        <v/>
      </c>
      <c r="AH19" s="23">
        <f t="shared" si="3"/>
        <v>0</v>
      </c>
      <c r="AI19" s="23">
        <f t="shared" si="4"/>
        <v>0</v>
      </c>
      <c r="AJ19" s="70">
        <v>39</v>
      </c>
      <c r="AK19" s="225">
        <v>983.69851109928391</v>
      </c>
      <c r="AL19" s="33">
        <v>39</v>
      </c>
      <c r="AM19" s="204">
        <v>1018.1040177883349</v>
      </c>
      <c r="AN19" s="196"/>
      <c r="AO19" s="351" t="s">
        <v>147</v>
      </c>
      <c r="AP19" s="352"/>
      <c r="AQ19" s="85">
        <f>1-COUNTIFS(Input!$AD$2:$AD$161,AQ$1,Input!$AF$2:$AF$161,AO19)</f>
        <v>1</v>
      </c>
      <c r="AR19" s="85">
        <f>1-COUNTIFS(Input!$AD$2:$AD$161,AR$1,Input!$AF$2:$AF$161,AP19)</f>
        <v>1</v>
      </c>
      <c r="AS19" s="85">
        <f>1-COUNTIFS(Input!$AD$2:$AD$161,AS$1,Input!$AF$2:$AF$161,AQ19)</f>
        <v>1</v>
      </c>
      <c r="AT19" s="85">
        <f>1-COUNTIFS(Input!$AD$2:$AD$161,AT$1,Input!$AF$2:$AF$161,AR19)</f>
        <v>1</v>
      </c>
      <c r="AU19" s="85">
        <f>1-COUNTIFS(Input!$AD$2:$AD$161,AU$1,Input!$AF$2:$AF$161,AS19)</f>
        <v>1</v>
      </c>
      <c r="AV19" s="85">
        <f>1-COUNTIFS(Input!$AD$2:$AD$161,AV$1,Input!$AF$2:$AF$161,AT19)</f>
        <v>1</v>
      </c>
      <c r="AW19" s="85">
        <f>1-COUNTIFS(Input!$AD$2:$AD$161,AW$1,Input!$AF$2:$AF$161,AU19)</f>
        <v>1</v>
      </c>
      <c r="AX19" s="85">
        <f>1-COUNTIFS(Input!$AD$2:$AD$161,AX$1,Input!$AF$2:$AF$161,AV19)</f>
        <v>1</v>
      </c>
      <c r="AY19" s="207">
        <f>1-COUNTIFS(Input!$AD$2:$AD$161,AY$1,Input!$AF$2:$AF$161,AW19)</f>
        <v>1</v>
      </c>
      <c r="AZ19" s="196"/>
      <c r="BA19" s="70">
        <f>IF(VLOOKUP($D19,$AO$14:AQ$19,COLUMN()-50,0)&lt;=0,1,IF($Q19&lt;0,1,ROUNDUP(IF($Q19*('Draft Center'!$L$28+'Draft Center'!$L$78-'Draft Center'!$L$82)&lt;1,1,$Q19*('Draft Center'!$L$28+'Draft Center'!$L$78-'Draft Center'!$L$82)),0)))</f>
        <v>39</v>
      </c>
      <c r="BB19" s="70">
        <f>IF(VLOOKUP($D19,$AO$14:AR$19,COLUMN()-50,0)&lt;=0,1,IF($Q19&lt;0,1,ROUNDUP(IF($Q19*('Draft Center'!$L$28+'Draft Center'!$L$78-'Draft Center'!$L$82)&lt;1,1,$Q19*('Draft Center'!$L$28+'Draft Center'!$L$78-'Draft Center'!$L$82)),0)))</f>
        <v>39</v>
      </c>
      <c r="BC19" s="70">
        <f>IF(VLOOKUP($D19,$AO$14:AS$19,COLUMN()-50,0)&lt;=0,1,IF($Q19&lt;0,1,ROUNDUP(IF($Q19*('Draft Center'!$L$28+'Draft Center'!$L$78-'Draft Center'!$L$82)&lt;1,1,$Q19*('Draft Center'!$L$28+'Draft Center'!$L$78-'Draft Center'!$L$82)),0)))</f>
        <v>39</v>
      </c>
      <c r="BD19" s="70">
        <f>IF(VLOOKUP($D19,$AO$14:AT$19,COLUMN()-50,0)&lt;=0,1,IF($Q19&lt;0,1,ROUNDUP(IF($Q19*('Draft Center'!$L$28+'Draft Center'!$L$78-'Draft Center'!$L$82)&lt;1,1,$Q19*('Draft Center'!$L$28+'Draft Center'!$L$78-'Draft Center'!$L$82)),0)))</f>
        <v>39</v>
      </c>
      <c r="BE19" s="70">
        <f>IF(VLOOKUP($D19,$AO$14:AU$19,COLUMN()-50,0)&lt;=0,1,IF($Q19&lt;0,1,ROUNDUP(IF($Q19*('Draft Center'!$L$28+'Draft Center'!$L$78-'Draft Center'!$L$82)&lt;1,1,$Q19*('Draft Center'!$L$28+'Draft Center'!$L$78-'Draft Center'!$L$82)),0)))</f>
        <v>39</v>
      </c>
      <c r="BF19" s="70">
        <f>IF(VLOOKUP($D19,$AO$14:AV$19,COLUMN()-50,0)&lt;=0,1,IF($Q19&lt;0,1,ROUNDUP(IF($Q19*('Draft Center'!$L$28+'Draft Center'!$L$78-'Draft Center'!$L$82)&lt;1,1,$Q19*('Draft Center'!$L$28+'Draft Center'!$L$78-'Draft Center'!$L$82)),0)))</f>
        <v>39</v>
      </c>
      <c r="BG19" s="70">
        <f>IF(VLOOKUP($D19,$AO$14:AW$19,COLUMN()-50,0)&lt;=0,1,IF($Q19&lt;0,1,ROUNDUP(IF($Q19*('Draft Center'!$L$28+'Draft Center'!$L$78-'Draft Center'!$L$82)&lt;1,1,$Q19*('Draft Center'!$L$28+'Draft Center'!$L$78-'Draft Center'!$L$82)),0)))</f>
        <v>39</v>
      </c>
      <c r="BH19" s="70">
        <f>IF(VLOOKUP($D19,$AO$14:AX$19,COLUMN()-50,0)&lt;=0,1,IF($Q19&lt;0,1,ROUNDUP(IF($Q19*('Draft Center'!$L$28+'Draft Center'!$L$78-'Draft Center'!$L$82)&lt;1,1,$Q19*('Draft Center'!$L$28+'Draft Center'!$L$78-'Draft Center'!$L$82)),0)))</f>
        <v>39</v>
      </c>
      <c r="BI19" s="70">
        <f>IF(VLOOKUP($D19,$AO$14:AY$19,COLUMN()-50,0)&lt;=0,1,IF($Q19&lt;0,1,ROUNDUP(IF($Q19*('Draft Center'!$L$28+'Draft Center'!$L$78-'Draft Center'!$L$82)&lt;1,1,$Q19*('Draft Center'!$L$28+'Draft Center'!$L$78-'Draft Center'!$L$82)),0)))</f>
        <v>39</v>
      </c>
      <c r="BJ19" s="196"/>
      <c r="BK19" s="23">
        <v>0</v>
      </c>
      <c r="BL19" s="23" t="str">
        <f t="shared" si="13"/>
        <v/>
      </c>
      <c r="BM19" s="23">
        <v>0</v>
      </c>
      <c r="BN19" s="23" t="str">
        <f t="shared" si="13"/>
        <v/>
      </c>
      <c r="BO19" s="23">
        <f t="shared" si="13"/>
        <v>0</v>
      </c>
      <c r="BP19" s="23" t="str">
        <f t="shared" si="13"/>
        <v/>
      </c>
      <c r="BQ19" s="23" t="str">
        <f t="shared" si="13"/>
        <v/>
      </c>
      <c r="BR19" s="23">
        <f t="shared" si="6"/>
        <v>0</v>
      </c>
      <c r="BS19" s="23">
        <f t="shared" si="7"/>
        <v>0</v>
      </c>
      <c r="BT19" s="70">
        <v>39</v>
      </c>
      <c r="BU19" s="58">
        <v>2327.0337</v>
      </c>
      <c r="BV19" s="33">
        <v>39</v>
      </c>
      <c r="BW19" s="204">
        <v>2327.0337</v>
      </c>
      <c r="BX19" s="23"/>
      <c r="BY19" s="70">
        <v>39</v>
      </c>
      <c r="BZ19" s="70">
        <v>13.8</v>
      </c>
      <c r="CA19" s="70">
        <v>13.8</v>
      </c>
      <c r="CB19" s="70">
        <v>13.8</v>
      </c>
      <c r="CC19" s="70">
        <f t="shared" si="10"/>
        <v>13.800000000000002</v>
      </c>
      <c r="CD19" s="70">
        <f t="shared" si="11"/>
        <v>13.8</v>
      </c>
    </row>
    <row r="20" spans="1:82" ht="15.75" customHeight="1" thickBot="1" x14ac:dyDescent="0.3">
      <c r="A20" s="9">
        <v>19</v>
      </c>
      <c r="B20" s="10" t="s">
        <v>317</v>
      </c>
      <c r="C20" s="10" t="s">
        <v>64</v>
      </c>
      <c r="D20" s="10" t="s">
        <v>19</v>
      </c>
      <c r="E20" s="51">
        <v>58.108745210874801</v>
      </c>
      <c r="F20" s="51">
        <v>227.21114323682701</v>
      </c>
      <c r="G20" s="51">
        <v>244.082191698923</v>
      </c>
      <c r="H20" s="51">
        <v>204.843182441701</v>
      </c>
      <c r="I20" s="11">
        <v>38.1</v>
      </c>
      <c r="J20" s="51">
        <v>3.4025335459594102</v>
      </c>
      <c r="K20" s="249">
        <f>IFERROR(VLOOKUP(C20,Schedule!$T$3:$U$34,2,0),"FA")</f>
        <v>11</v>
      </c>
      <c r="L20" s="10" t="str">
        <f>D20&amp;COUNTIF(D$2:$D20,D20)</f>
        <v>RB9</v>
      </c>
      <c r="M20" s="51">
        <f t="array" ref="M20">IFERROR(F20-AVERAGE(VLOOKUP(D20,$D21:$F$885,3,0),INDEX($F21:$F$885,SMALL(IF(D20=$D21:$D$885,ROW($D21:$D$885)-ROW(D20)),2))),0)</f>
        <v>9.2196777363095066</v>
      </c>
      <c r="N20" s="51">
        <f>IFERROR(IF(VLOOKUP($B20,Input!$AC$2:$AC$162,1,0)=$B20,0),F20)</f>
        <v>227.21114323682701</v>
      </c>
      <c r="O20" s="51">
        <f>IFERROR(IF(VLOOKUP($B20,Input!$AC$2:$AC$162,1,0)=$B20,0,G20),G20)</f>
        <v>244.082191698923</v>
      </c>
      <c r="P20" s="51">
        <f>IF(N20=0,0,F20-AVERAGE(INDEX(F:F,MATCH(VLOOKUP(D20,Input!$A$14:$L$22,10,0),L:L,0)),INDEX(F:F,MATCH(VLOOKUP(D20,Input!$A$14:$L$22,11,0),L:L,0)),INDEX(F:F,MATCH(VLOOKUP(D20,Input!$A$14:$L$22,12,0),L:L,0)))+(0.01-ROW()*0.01))</f>
        <v>57.918745210875016</v>
      </c>
      <c r="Q20" s="107">
        <f t="shared" si="0"/>
        <v>1.9981558245229392E-2</v>
      </c>
      <c r="R20" s="11">
        <f>IF(VLOOKUP($D20,$X$14:$Y$19,2,0)&lt;=0,1,IF(Q20&lt;0,1,ROUNDUP(IF(Q20*('Draft Center'!$L$28+'Draft Center'!$L$78-'Draft Center'!$L$82)&lt;1,1,Q20*('Draft Center'!$L$28+'Draft Center'!$L$78-'Draft Center'!$L$82)),0)))</f>
        <v>39</v>
      </c>
      <c r="S20" s="11">
        <f>IF(A20&lt;Input!$B$10+0.1,IF(ROUNDUP(R20*Input!$C$10,0)=0,1,ROUNDUP(R20*Input!$C$10,0)),IF(A20&gt;Input!$B$11,IF(ROUNDUP(R20*Input!$C$11,0)=0,1,ROUNDUP(R20*Input!$C$11,0)),IF(ROUNDUP(R20,0)=0,1,ROUNDUP(R20,0))))</f>
        <v>43</v>
      </c>
      <c r="T20" s="11">
        <f t="shared" si="1"/>
        <v>39</v>
      </c>
      <c r="U20" s="11">
        <f>IFERROR(VLOOKUP($B20,Input!$AC$2:$AE$161,3,0),0)</f>
        <v>0</v>
      </c>
      <c r="V20" s="257">
        <f t="shared" si="8"/>
        <v>2.3822047244094448E-2</v>
      </c>
      <c r="W20" s="264">
        <f t="shared" si="9"/>
        <v>0.90019999999999856</v>
      </c>
      <c r="X20" s="27"/>
      <c r="Y20" s="23"/>
      <c r="Z20" s="23"/>
      <c r="AA20" s="23">
        <v>0</v>
      </c>
      <c r="AB20" s="23" t="str">
        <f t="shared" si="12"/>
        <v/>
      </c>
      <c r="AC20" s="23">
        <f t="shared" si="12"/>
        <v>0</v>
      </c>
      <c r="AD20" s="23" t="str">
        <f t="shared" si="12"/>
        <v/>
      </c>
      <c r="AE20" s="23" t="str">
        <f t="shared" si="12"/>
        <v/>
      </c>
      <c r="AF20" s="23" t="str">
        <f t="shared" si="12"/>
        <v/>
      </c>
      <c r="AG20" s="23" t="str">
        <f t="shared" si="12"/>
        <v/>
      </c>
      <c r="AH20" s="23">
        <f t="shared" si="3"/>
        <v>0</v>
      </c>
      <c r="AI20" s="23">
        <f t="shared" si="4"/>
        <v>0</v>
      </c>
      <c r="AJ20" s="69">
        <v>39</v>
      </c>
      <c r="AK20" s="225">
        <v>2327.0337</v>
      </c>
      <c r="AL20" s="33">
        <v>39</v>
      </c>
      <c r="AM20" s="204">
        <v>2327.0337</v>
      </c>
      <c r="AN20" s="196"/>
      <c r="AO20" s="23"/>
      <c r="AP20" s="23"/>
      <c r="AQ20" s="23"/>
      <c r="AR20" s="23"/>
      <c r="AS20" s="23"/>
      <c r="AT20" s="23"/>
      <c r="AU20" s="23"/>
      <c r="AV20" s="23"/>
      <c r="AW20" s="23"/>
      <c r="AX20" s="23"/>
      <c r="AY20" s="23"/>
      <c r="AZ20" s="196"/>
      <c r="BA20" s="69">
        <f>IF(VLOOKUP($D20,$AO$14:AQ$19,COLUMN()-50,0)&lt;=0,1,IF($Q20&lt;0,1,ROUNDUP(IF($Q20*('Draft Center'!$L$28+'Draft Center'!$L$78-'Draft Center'!$L$82)&lt;1,1,$Q20*('Draft Center'!$L$28+'Draft Center'!$L$78-'Draft Center'!$L$82)),0)))</f>
        <v>39</v>
      </c>
      <c r="BB20" s="69">
        <f>IF(VLOOKUP($D20,$AO$14:AR$19,COLUMN()-50,0)&lt;=0,1,IF($Q20&lt;0,1,ROUNDUP(IF($Q20*('Draft Center'!$L$28+'Draft Center'!$L$78-'Draft Center'!$L$82)&lt;1,1,$Q20*('Draft Center'!$L$28+'Draft Center'!$L$78-'Draft Center'!$L$82)),0)))</f>
        <v>39</v>
      </c>
      <c r="BC20" s="69">
        <f>IF(VLOOKUP($D20,$AO$14:AS$19,COLUMN()-50,0)&lt;=0,1,IF($Q20&lt;0,1,ROUNDUP(IF($Q20*('Draft Center'!$L$28+'Draft Center'!$L$78-'Draft Center'!$L$82)&lt;1,1,$Q20*('Draft Center'!$L$28+'Draft Center'!$L$78-'Draft Center'!$L$82)),0)))</f>
        <v>39</v>
      </c>
      <c r="BD20" s="69">
        <f>IF(VLOOKUP($D20,$AO$14:AT$19,COLUMN()-50,0)&lt;=0,1,IF($Q20&lt;0,1,ROUNDUP(IF($Q20*('Draft Center'!$L$28+'Draft Center'!$L$78-'Draft Center'!$L$82)&lt;1,1,$Q20*('Draft Center'!$L$28+'Draft Center'!$L$78-'Draft Center'!$L$82)),0)))</f>
        <v>39</v>
      </c>
      <c r="BE20" s="69">
        <f>IF(VLOOKUP($D20,$AO$14:AU$19,COLUMN()-50,0)&lt;=0,1,IF($Q20&lt;0,1,ROUNDUP(IF($Q20*('Draft Center'!$L$28+'Draft Center'!$L$78-'Draft Center'!$L$82)&lt;1,1,$Q20*('Draft Center'!$L$28+'Draft Center'!$L$78-'Draft Center'!$L$82)),0)))</f>
        <v>39</v>
      </c>
      <c r="BF20" s="69">
        <f>IF(VLOOKUP($D20,$AO$14:AV$19,COLUMN()-50,0)&lt;=0,1,IF($Q20&lt;0,1,ROUNDUP(IF($Q20*('Draft Center'!$L$28+'Draft Center'!$L$78-'Draft Center'!$L$82)&lt;1,1,$Q20*('Draft Center'!$L$28+'Draft Center'!$L$78-'Draft Center'!$L$82)),0)))</f>
        <v>39</v>
      </c>
      <c r="BG20" s="69">
        <f>IF(VLOOKUP($D20,$AO$14:AW$19,COLUMN()-50,0)&lt;=0,1,IF($Q20&lt;0,1,ROUNDUP(IF($Q20*('Draft Center'!$L$28+'Draft Center'!$L$78-'Draft Center'!$L$82)&lt;1,1,$Q20*('Draft Center'!$L$28+'Draft Center'!$L$78-'Draft Center'!$L$82)),0)))</f>
        <v>39</v>
      </c>
      <c r="BH20" s="69">
        <f>IF(VLOOKUP($D20,$AO$14:AX$19,COLUMN()-50,0)&lt;=0,1,IF($Q20&lt;0,1,ROUNDUP(IF($Q20*('Draft Center'!$L$28+'Draft Center'!$L$78-'Draft Center'!$L$82)&lt;1,1,$Q20*('Draft Center'!$L$28+'Draft Center'!$L$78-'Draft Center'!$L$82)),0)))</f>
        <v>39</v>
      </c>
      <c r="BI20" s="69">
        <f>IF(VLOOKUP($D20,$AO$14:AY$19,COLUMN()-50,0)&lt;=0,1,IF($Q20&lt;0,1,ROUNDUP(IF($Q20*('Draft Center'!$L$28+'Draft Center'!$L$78-'Draft Center'!$L$82)&lt;1,1,$Q20*('Draft Center'!$L$28+'Draft Center'!$L$78-'Draft Center'!$L$82)),0)))</f>
        <v>39</v>
      </c>
      <c r="BJ20" s="196"/>
      <c r="BK20" s="23">
        <v>0</v>
      </c>
      <c r="BL20" s="23" t="str">
        <f t="shared" si="13"/>
        <v/>
      </c>
      <c r="BM20" s="23">
        <v>0</v>
      </c>
      <c r="BN20" s="23" t="str">
        <f t="shared" si="13"/>
        <v/>
      </c>
      <c r="BO20" s="23" t="str">
        <f t="shared" si="13"/>
        <v/>
      </c>
      <c r="BP20" s="23" t="str">
        <f t="shared" si="13"/>
        <v/>
      </c>
      <c r="BQ20" s="23" t="str">
        <f t="shared" si="13"/>
        <v/>
      </c>
      <c r="BR20" s="23">
        <f t="shared" si="6"/>
        <v>0</v>
      </c>
      <c r="BS20" s="23">
        <f t="shared" si="7"/>
        <v>0</v>
      </c>
      <c r="BT20" s="69">
        <v>39</v>
      </c>
      <c r="BU20" s="58">
        <v>2327.0337</v>
      </c>
      <c r="BV20" s="33">
        <v>39</v>
      </c>
      <c r="BW20" s="204">
        <v>2327.0337</v>
      </c>
      <c r="BX20" s="23"/>
      <c r="BY20" s="69">
        <v>39</v>
      </c>
      <c r="BZ20" s="69">
        <v>38.1</v>
      </c>
      <c r="CA20" s="69">
        <v>38.1</v>
      </c>
      <c r="CB20" s="69">
        <v>38.1</v>
      </c>
      <c r="CC20" s="69">
        <f t="shared" si="10"/>
        <v>38.1</v>
      </c>
      <c r="CD20" s="69">
        <f t="shared" si="11"/>
        <v>38.1</v>
      </c>
    </row>
    <row r="21" spans="1:82" ht="15.75" customHeight="1" thickBot="1" x14ac:dyDescent="0.3">
      <c r="A21" s="6">
        <v>20</v>
      </c>
      <c r="B21" s="7" t="s">
        <v>44</v>
      </c>
      <c r="C21" s="7" t="s">
        <v>45</v>
      </c>
      <c r="D21" s="7" t="s">
        <v>17</v>
      </c>
      <c r="E21" s="50">
        <v>57.920467811180998</v>
      </c>
      <c r="F21" s="50">
        <v>270.69838408052999</v>
      </c>
      <c r="G21" s="50">
        <v>293.56309993140701</v>
      </c>
      <c r="H21" s="50">
        <v>245.82084128013301</v>
      </c>
      <c r="I21" s="8">
        <v>47.3</v>
      </c>
      <c r="J21" s="50">
        <v>3.6586788330110198</v>
      </c>
      <c r="K21" s="248">
        <f>IFERROR(VLOOKUP(C21,Schedule!$T$3:$U$34,2,0),"FA")</f>
        <v>6</v>
      </c>
      <c r="L21" s="7" t="str">
        <f>D21&amp;COUNTIF(D$2:$D21,D21)</f>
        <v>WR6</v>
      </c>
      <c r="M21" s="50">
        <f t="array" ref="M21">IFERROR(F21-AVERAGE(VLOOKUP(D21,$D22:$F$885,3,0),INDEX($F22:$F$885,SMALL(IF(D21=$D22:$D$885,ROW($D22:$D$885)-ROW(D21)),2))),0)</f>
        <v>12.021789889486513</v>
      </c>
      <c r="N21" s="50">
        <f>IFERROR(IF(VLOOKUP($B21,Input!$AC$2:$AC$162,1,0)=$B21,0),F21)</f>
        <v>270.69838408052999</v>
      </c>
      <c r="O21" s="50">
        <f>IFERROR(IF(VLOOKUP($B21,Input!$AC$2:$AC$162,1,0)=$B21,0,G21),G21)</f>
        <v>293.56309993140701</v>
      </c>
      <c r="P21" s="50">
        <f>IF(N21=0,0,F21-AVERAGE(INDEX(F:F,MATCH(VLOOKUP(D21,Input!$A$14:$L$22,10,0),L:L,0)),INDEX(F:F,MATCH(VLOOKUP(D21,Input!$A$14:$L$22,11,0),L:L,0)),INDEX(F:F,MATCH(VLOOKUP(D21,Input!$A$14:$L$22,12,0),L:L,0)))+(0.01-ROW()*0.01))</f>
        <v>57.720467811180967</v>
      </c>
      <c r="Q21" s="106">
        <f t="shared" si="0"/>
        <v>1.9913153941989146E-2</v>
      </c>
      <c r="R21" s="8">
        <f>IF(VLOOKUP($D21,$X$14:$Y$19,2,0)&lt;=0,1,IF(Q21&lt;0,1,ROUNDUP(IF(Q21*('Draft Center'!$L$28+'Draft Center'!$L$78-'Draft Center'!$L$82)&lt;1,1,Q21*('Draft Center'!$L$28+'Draft Center'!$L$78-'Draft Center'!$L$82)),0)))</f>
        <v>39</v>
      </c>
      <c r="S21" s="8">
        <f>IF(A21&lt;Input!$B$10+0.1,IF(ROUNDUP(R21*Input!$C$10,0)=0,1,ROUNDUP(R21*Input!$C$10,0)),IF(A21&gt;Input!$B$11,IF(ROUNDUP(R21*Input!$C$11,0)=0,1,ROUNDUP(R21*Input!$C$11,0)),IF(ROUNDUP(R21,0)=0,1,ROUNDUP(R21,0))))</f>
        <v>43</v>
      </c>
      <c r="T21" s="8">
        <f t="shared" si="1"/>
        <v>39</v>
      </c>
      <c r="U21" s="8">
        <f>IFERROR(VLOOKUP($B21,Input!$AC$2:$AE$161,3,0),0)</f>
        <v>0</v>
      </c>
      <c r="V21" s="256">
        <f t="shared" si="8"/>
        <v>-0.17526568710359405</v>
      </c>
      <c r="W21" s="263">
        <f t="shared" si="9"/>
        <v>-8.299789999999998</v>
      </c>
      <c r="X21" s="96">
        <f>MAX($Y$4)</f>
        <v>1932.5158367073211</v>
      </c>
      <c r="Y21" s="23"/>
      <c r="Z21" s="23"/>
      <c r="AA21" s="23">
        <v>0</v>
      </c>
      <c r="AB21" s="23" t="str">
        <f t="shared" si="12"/>
        <v/>
      </c>
      <c r="AC21" s="23" t="str">
        <f t="shared" si="12"/>
        <v/>
      </c>
      <c r="AD21" s="23">
        <f t="shared" si="12"/>
        <v>0</v>
      </c>
      <c r="AE21" s="23" t="str">
        <f t="shared" si="12"/>
        <v/>
      </c>
      <c r="AF21" s="23" t="str">
        <f t="shared" si="12"/>
        <v/>
      </c>
      <c r="AG21" s="23" t="str">
        <f t="shared" si="12"/>
        <v/>
      </c>
      <c r="AH21" s="23">
        <f t="shared" si="3"/>
        <v>0</v>
      </c>
      <c r="AI21" s="23">
        <f t="shared" si="4"/>
        <v>0</v>
      </c>
      <c r="AJ21" s="70">
        <v>39</v>
      </c>
      <c r="AK21" s="225">
        <v>2327.0337</v>
      </c>
      <c r="AL21" s="33">
        <v>39</v>
      </c>
      <c r="AM21" s="204">
        <v>2327.0337</v>
      </c>
      <c r="AN21" s="196"/>
      <c r="AO21" s="23"/>
      <c r="AP21" s="23"/>
      <c r="AQ21" s="209">
        <f t="shared" ref="AQ21:AY21" si="14">MAX($AP$4)</f>
        <v>2182.4082119090044</v>
      </c>
      <c r="AR21" s="209">
        <f t="shared" si="14"/>
        <v>2182.4082119090044</v>
      </c>
      <c r="AS21" s="209">
        <f t="shared" si="14"/>
        <v>2182.4082119090044</v>
      </c>
      <c r="AT21" s="209">
        <f t="shared" si="14"/>
        <v>2182.4082119090044</v>
      </c>
      <c r="AU21" s="209">
        <f t="shared" si="14"/>
        <v>2182.4082119090044</v>
      </c>
      <c r="AV21" s="209">
        <f t="shared" si="14"/>
        <v>2182.4082119090044</v>
      </c>
      <c r="AW21" s="209">
        <f t="shared" si="14"/>
        <v>2182.4082119090044</v>
      </c>
      <c r="AX21" s="209">
        <f t="shared" si="14"/>
        <v>2182.4082119090044</v>
      </c>
      <c r="AY21" s="209">
        <f t="shared" si="14"/>
        <v>2182.4082119090044</v>
      </c>
      <c r="AZ21" s="196"/>
      <c r="BA21" s="70">
        <f>IF(VLOOKUP($D21,$AO$14:AQ$19,COLUMN()-50,0)&lt;=0,1,IF($Q21&lt;0,1,ROUNDUP(IF($Q21*('Draft Center'!$L$28+'Draft Center'!$L$78-'Draft Center'!$L$82)&lt;1,1,$Q21*('Draft Center'!$L$28+'Draft Center'!$L$78-'Draft Center'!$L$82)),0)))</f>
        <v>39</v>
      </c>
      <c r="BB21" s="70">
        <f>IF(VLOOKUP($D21,$AO$14:AR$19,COLUMN()-50,0)&lt;=0,1,IF($Q21&lt;0,1,ROUNDUP(IF($Q21*('Draft Center'!$L$28+'Draft Center'!$L$78-'Draft Center'!$L$82)&lt;1,1,$Q21*('Draft Center'!$L$28+'Draft Center'!$L$78-'Draft Center'!$L$82)),0)))</f>
        <v>39</v>
      </c>
      <c r="BC21" s="70">
        <f>IF(VLOOKUP($D21,$AO$14:AS$19,COLUMN()-50,0)&lt;=0,1,IF($Q21&lt;0,1,ROUNDUP(IF($Q21*('Draft Center'!$L$28+'Draft Center'!$L$78-'Draft Center'!$L$82)&lt;1,1,$Q21*('Draft Center'!$L$28+'Draft Center'!$L$78-'Draft Center'!$L$82)),0)))</f>
        <v>39</v>
      </c>
      <c r="BD21" s="70">
        <f>IF(VLOOKUP($D21,$AO$14:AT$19,COLUMN()-50,0)&lt;=0,1,IF($Q21&lt;0,1,ROUNDUP(IF($Q21*('Draft Center'!$L$28+'Draft Center'!$L$78-'Draft Center'!$L$82)&lt;1,1,$Q21*('Draft Center'!$L$28+'Draft Center'!$L$78-'Draft Center'!$L$82)),0)))</f>
        <v>39</v>
      </c>
      <c r="BE21" s="70">
        <f>IF(VLOOKUP($D21,$AO$14:AU$19,COLUMN()-50,0)&lt;=0,1,IF($Q21&lt;0,1,ROUNDUP(IF($Q21*('Draft Center'!$L$28+'Draft Center'!$L$78-'Draft Center'!$L$82)&lt;1,1,$Q21*('Draft Center'!$L$28+'Draft Center'!$L$78-'Draft Center'!$L$82)),0)))</f>
        <v>39</v>
      </c>
      <c r="BF21" s="70">
        <f>IF(VLOOKUP($D21,$AO$14:AV$19,COLUMN()-50,0)&lt;=0,1,IF($Q21&lt;0,1,ROUNDUP(IF($Q21*('Draft Center'!$L$28+'Draft Center'!$L$78-'Draft Center'!$L$82)&lt;1,1,$Q21*('Draft Center'!$L$28+'Draft Center'!$L$78-'Draft Center'!$L$82)),0)))</f>
        <v>39</v>
      </c>
      <c r="BG21" s="70">
        <f>IF(VLOOKUP($D21,$AO$14:AW$19,COLUMN()-50,0)&lt;=0,1,IF($Q21&lt;0,1,ROUNDUP(IF($Q21*('Draft Center'!$L$28+'Draft Center'!$L$78-'Draft Center'!$L$82)&lt;1,1,$Q21*('Draft Center'!$L$28+'Draft Center'!$L$78-'Draft Center'!$L$82)),0)))</f>
        <v>39</v>
      </c>
      <c r="BH21" s="70">
        <f>IF(VLOOKUP($D21,$AO$14:AX$19,COLUMN()-50,0)&lt;=0,1,IF($Q21&lt;0,1,ROUNDUP(IF($Q21*('Draft Center'!$L$28+'Draft Center'!$L$78-'Draft Center'!$L$82)&lt;1,1,$Q21*('Draft Center'!$L$28+'Draft Center'!$L$78-'Draft Center'!$L$82)),0)))</f>
        <v>39</v>
      </c>
      <c r="BI21" s="70">
        <f>IF(VLOOKUP($D21,$AO$14:AY$19,COLUMN()-50,0)&lt;=0,1,IF($Q21&lt;0,1,ROUNDUP(IF($Q21*('Draft Center'!$L$28+'Draft Center'!$L$78-'Draft Center'!$L$82)&lt;1,1,$Q21*('Draft Center'!$L$28+'Draft Center'!$L$78-'Draft Center'!$L$82)),0)))</f>
        <v>39</v>
      </c>
      <c r="BJ21" s="196"/>
      <c r="BK21" s="23">
        <v>0</v>
      </c>
      <c r="BL21" s="23" t="str">
        <f t="shared" si="13"/>
        <v/>
      </c>
      <c r="BM21" s="23">
        <v>0</v>
      </c>
      <c r="BN21" s="23">
        <f t="shared" si="13"/>
        <v>0</v>
      </c>
      <c r="BO21" s="23" t="str">
        <f t="shared" si="13"/>
        <v/>
      </c>
      <c r="BP21" s="23" t="str">
        <f t="shared" si="13"/>
        <v/>
      </c>
      <c r="BQ21" s="23" t="str">
        <f t="shared" si="13"/>
        <v/>
      </c>
      <c r="BR21" s="23">
        <f t="shared" si="6"/>
        <v>0</v>
      </c>
      <c r="BS21" s="23">
        <f t="shared" si="7"/>
        <v>0</v>
      </c>
      <c r="BT21" s="70">
        <v>39</v>
      </c>
      <c r="BU21" s="58">
        <v>2327.0337</v>
      </c>
      <c r="BV21" s="33">
        <v>39</v>
      </c>
      <c r="BW21" s="204">
        <v>2327.0337</v>
      </c>
      <c r="BX21" s="23"/>
      <c r="BY21" s="70">
        <v>39</v>
      </c>
      <c r="BZ21" s="70">
        <v>47.3</v>
      </c>
      <c r="CA21" s="70">
        <v>47.3</v>
      </c>
      <c r="CB21" s="70">
        <v>47.3</v>
      </c>
      <c r="CC21" s="70">
        <f t="shared" si="10"/>
        <v>47.29999999999999</v>
      </c>
      <c r="CD21" s="70">
        <f t="shared" si="11"/>
        <v>47.3</v>
      </c>
    </row>
    <row r="22" spans="1:82" ht="15.75" customHeight="1" thickBot="1" x14ac:dyDescent="0.3">
      <c r="A22" s="9">
        <v>21</v>
      </c>
      <c r="B22" s="10" t="s">
        <v>761</v>
      </c>
      <c r="C22" s="10" t="s">
        <v>61</v>
      </c>
      <c r="D22" s="10" t="s">
        <v>17</v>
      </c>
      <c r="E22" s="51">
        <v>52.997679894181502</v>
      </c>
      <c r="F22" s="51">
        <v>265.77559616353102</v>
      </c>
      <c r="G22" s="51">
        <v>271.25667003689</v>
      </c>
      <c r="H22" s="51">
        <v>256.19554662379397</v>
      </c>
      <c r="I22" s="11">
        <v>39.9</v>
      </c>
      <c r="J22" s="51">
        <v>2.71843753486921</v>
      </c>
      <c r="K22" s="249">
        <f>IFERROR(VLOOKUP(C22,Schedule!$T$3:$U$34,2,0),"FA")</f>
        <v>5</v>
      </c>
      <c r="L22" s="10" t="str">
        <f>D22&amp;COUNTIF(D$2:$D22,D22)</f>
        <v>WR7</v>
      </c>
      <c r="M22" s="51">
        <f t="array" ref="M22">IFERROR(F22-AVERAGE(VLOOKUP(D22,$D23:$F$885,3,0),INDEX($F23:$F$885,SMALL(IF(D22=$D23:$D$885,ROW($D23:$D$885)-ROW(D22)),2))),0)</f>
        <v>15.308539222488037</v>
      </c>
      <c r="N22" s="51">
        <f>IFERROR(IF(VLOOKUP($B22,Input!$AC$2:$AC$162,1,0)=$B22,0),F22)</f>
        <v>265.77559616353102</v>
      </c>
      <c r="O22" s="51">
        <f>IFERROR(IF(VLOOKUP($B22,Input!$AC$2:$AC$162,1,0)=$B22,0,G22),G22)</f>
        <v>271.25667003689</v>
      </c>
      <c r="P22" s="51">
        <f>IF(N22=0,0,F22-AVERAGE(INDEX(F:F,MATCH(VLOOKUP(D22,Input!$A$14:$L$22,10,0),L:L,0)),INDEX(F:F,MATCH(VLOOKUP(D22,Input!$A$14:$L$22,11,0),L:L,0)),INDEX(F:F,MATCH(VLOOKUP(D22,Input!$A$14:$L$22,12,0),L:L,0)))+(0.01-ROW()*0.01))</f>
        <v>52.787679894181998</v>
      </c>
      <c r="Q22" s="107">
        <f t="shared" si="0"/>
        <v>1.8211376931523599E-2</v>
      </c>
      <c r="R22" s="11">
        <f>IF(VLOOKUP($D22,$X$14:$Y$19,2,0)&lt;=0,1,IF(Q22&lt;0,1,ROUNDUP(IF(Q22*('Draft Center'!$L$28+'Draft Center'!$L$78-'Draft Center'!$L$82)&lt;1,1,Q22*('Draft Center'!$L$28+'Draft Center'!$L$78-'Draft Center'!$L$82)),0)))</f>
        <v>36</v>
      </c>
      <c r="S22" s="11">
        <f>IF(A22&lt;Input!$B$10+0.1,IF(ROUNDUP(R22*Input!$C$10,0)=0,1,ROUNDUP(R22*Input!$C$10,0)),IF(A22&gt;Input!$B$11,IF(ROUNDUP(R22*Input!$C$11,0)=0,1,ROUNDUP(R22*Input!$C$11,0)),IF(ROUNDUP(R22,0)=0,1,ROUNDUP(R22,0))))</f>
        <v>40</v>
      </c>
      <c r="T22" s="11">
        <f t="shared" si="1"/>
        <v>36</v>
      </c>
      <c r="U22" s="11">
        <f>IFERROR(VLOOKUP($B22,Input!$AC$2:$AE$161,3,0),0)</f>
        <v>0</v>
      </c>
      <c r="V22" s="257">
        <f t="shared" si="8"/>
        <v>-9.7524360902255608E-2</v>
      </c>
      <c r="W22" s="264">
        <f t="shared" si="9"/>
        <v>-3.8997799999999985</v>
      </c>
      <c r="X22" s="27">
        <f>COUNT($AA$2:$AA$201)</f>
        <v>200</v>
      </c>
      <c r="Y22" s="23"/>
      <c r="Z22" s="23"/>
      <c r="AA22" s="23">
        <v>0</v>
      </c>
      <c r="AB22" s="23" t="str">
        <f t="shared" ref="AB22:AG31" si="15">IF($D22=AB$1,1*$AA22,"")</f>
        <v/>
      </c>
      <c r="AC22" s="23" t="str">
        <f t="shared" si="15"/>
        <v/>
      </c>
      <c r="AD22" s="23">
        <f t="shared" si="15"/>
        <v>0</v>
      </c>
      <c r="AE22" s="23" t="str">
        <f t="shared" si="15"/>
        <v/>
      </c>
      <c r="AF22" s="23" t="str">
        <f t="shared" si="15"/>
        <v/>
      </c>
      <c r="AG22" s="23" t="str">
        <f t="shared" si="15"/>
        <v/>
      </c>
      <c r="AH22" s="23">
        <f t="shared" si="3"/>
        <v>0</v>
      </c>
      <c r="AI22" s="23">
        <f t="shared" si="4"/>
        <v>0</v>
      </c>
      <c r="AJ22" s="69">
        <v>36</v>
      </c>
      <c r="AK22" s="225">
        <v>2327.0337</v>
      </c>
      <c r="AL22" s="33">
        <v>36</v>
      </c>
      <c r="AM22" s="204">
        <v>2327.0337</v>
      </c>
      <c r="AN22" s="196"/>
      <c r="AO22" s="23"/>
      <c r="AP22" s="23"/>
      <c r="AQ22" s="68">
        <f t="shared" ref="AQ22:AY22" si="16">COUNT($BK$2:$BK$201)</f>
        <v>200</v>
      </c>
      <c r="AR22" s="68">
        <f t="shared" si="16"/>
        <v>200</v>
      </c>
      <c r="AS22" s="68">
        <f t="shared" si="16"/>
        <v>200</v>
      </c>
      <c r="AT22" s="68">
        <f t="shared" si="16"/>
        <v>200</v>
      </c>
      <c r="AU22" s="68">
        <f t="shared" si="16"/>
        <v>200</v>
      </c>
      <c r="AV22" s="68">
        <f t="shared" si="16"/>
        <v>200</v>
      </c>
      <c r="AW22" s="68">
        <f t="shared" si="16"/>
        <v>200</v>
      </c>
      <c r="AX22" s="68">
        <f t="shared" si="16"/>
        <v>200</v>
      </c>
      <c r="AY22" s="68">
        <f t="shared" si="16"/>
        <v>200</v>
      </c>
      <c r="AZ22" s="196"/>
      <c r="BA22" s="69">
        <f>IF(VLOOKUP($D22,$AO$14:AQ$19,COLUMN()-50,0)&lt;=0,1,IF($Q22&lt;0,1,ROUNDUP(IF($Q22*('Draft Center'!$L$28+'Draft Center'!$L$78-'Draft Center'!$L$82)&lt;1,1,$Q22*('Draft Center'!$L$28+'Draft Center'!$L$78-'Draft Center'!$L$82)),0)))</f>
        <v>36</v>
      </c>
      <c r="BB22" s="69">
        <f>IF(VLOOKUP($D22,$AO$14:AR$19,COLUMN()-50,0)&lt;=0,1,IF($Q22&lt;0,1,ROUNDUP(IF($Q22*('Draft Center'!$L$28+'Draft Center'!$L$78-'Draft Center'!$L$82)&lt;1,1,$Q22*('Draft Center'!$L$28+'Draft Center'!$L$78-'Draft Center'!$L$82)),0)))</f>
        <v>36</v>
      </c>
      <c r="BC22" s="69">
        <f>IF(VLOOKUP($D22,$AO$14:AS$19,COLUMN()-50,0)&lt;=0,1,IF($Q22&lt;0,1,ROUNDUP(IF($Q22*('Draft Center'!$L$28+'Draft Center'!$L$78-'Draft Center'!$L$82)&lt;1,1,$Q22*('Draft Center'!$L$28+'Draft Center'!$L$78-'Draft Center'!$L$82)),0)))</f>
        <v>36</v>
      </c>
      <c r="BD22" s="69">
        <f>IF(VLOOKUP($D22,$AO$14:AT$19,COLUMN()-50,0)&lt;=0,1,IF($Q22&lt;0,1,ROUNDUP(IF($Q22*('Draft Center'!$L$28+'Draft Center'!$L$78-'Draft Center'!$L$82)&lt;1,1,$Q22*('Draft Center'!$L$28+'Draft Center'!$L$78-'Draft Center'!$L$82)),0)))</f>
        <v>36</v>
      </c>
      <c r="BE22" s="69">
        <f>IF(VLOOKUP($D22,$AO$14:AU$19,COLUMN()-50,0)&lt;=0,1,IF($Q22&lt;0,1,ROUNDUP(IF($Q22*('Draft Center'!$L$28+'Draft Center'!$L$78-'Draft Center'!$L$82)&lt;1,1,$Q22*('Draft Center'!$L$28+'Draft Center'!$L$78-'Draft Center'!$L$82)),0)))</f>
        <v>36</v>
      </c>
      <c r="BF22" s="69">
        <f>IF(VLOOKUP($D22,$AO$14:AV$19,COLUMN()-50,0)&lt;=0,1,IF($Q22&lt;0,1,ROUNDUP(IF($Q22*('Draft Center'!$L$28+'Draft Center'!$L$78-'Draft Center'!$L$82)&lt;1,1,$Q22*('Draft Center'!$L$28+'Draft Center'!$L$78-'Draft Center'!$L$82)),0)))</f>
        <v>36</v>
      </c>
      <c r="BG22" s="69">
        <f>IF(VLOOKUP($D22,$AO$14:AW$19,COLUMN()-50,0)&lt;=0,1,IF($Q22&lt;0,1,ROUNDUP(IF($Q22*('Draft Center'!$L$28+'Draft Center'!$L$78-'Draft Center'!$L$82)&lt;1,1,$Q22*('Draft Center'!$L$28+'Draft Center'!$L$78-'Draft Center'!$L$82)),0)))</f>
        <v>36</v>
      </c>
      <c r="BH22" s="69">
        <f>IF(VLOOKUP($D22,$AO$14:AX$19,COLUMN()-50,0)&lt;=0,1,IF($Q22&lt;0,1,ROUNDUP(IF($Q22*('Draft Center'!$L$28+'Draft Center'!$L$78-'Draft Center'!$L$82)&lt;1,1,$Q22*('Draft Center'!$L$28+'Draft Center'!$L$78-'Draft Center'!$L$82)),0)))</f>
        <v>36</v>
      </c>
      <c r="BI22" s="69">
        <f>IF(VLOOKUP($D22,$AO$14:AY$19,COLUMN()-50,0)&lt;=0,1,IF($Q22&lt;0,1,ROUNDUP(IF($Q22*('Draft Center'!$L$28+'Draft Center'!$L$78-'Draft Center'!$L$82)&lt;1,1,$Q22*('Draft Center'!$L$28+'Draft Center'!$L$78-'Draft Center'!$L$82)),0)))</f>
        <v>36</v>
      </c>
      <c r="BJ22" s="196"/>
      <c r="BK22" s="23">
        <v>0</v>
      </c>
      <c r="BL22" s="23" t="str">
        <f t="shared" ref="BL22:BQ31" si="17">IF($D22=BL$1,1*$BK22,"")</f>
        <v/>
      </c>
      <c r="BM22" s="23">
        <v>0</v>
      </c>
      <c r="BN22" s="23">
        <f t="shared" si="17"/>
        <v>0</v>
      </c>
      <c r="BO22" s="23" t="str">
        <f t="shared" si="17"/>
        <v/>
      </c>
      <c r="BP22" s="23" t="str">
        <f t="shared" si="17"/>
        <v/>
      </c>
      <c r="BQ22" s="23" t="str">
        <f t="shared" si="17"/>
        <v/>
      </c>
      <c r="BR22" s="23">
        <f t="shared" si="6"/>
        <v>0</v>
      </c>
      <c r="BS22" s="23">
        <f t="shared" si="7"/>
        <v>0</v>
      </c>
      <c r="BT22" s="69">
        <v>36</v>
      </c>
      <c r="BU22" s="58">
        <v>2327.0337</v>
      </c>
      <c r="BV22" s="33">
        <v>36</v>
      </c>
      <c r="BW22" s="204">
        <v>2327.0337</v>
      </c>
      <c r="BX22" s="23"/>
      <c r="BY22" s="69">
        <v>36</v>
      </c>
      <c r="BZ22" s="69">
        <v>39.9</v>
      </c>
      <c r="CA22" s="69">
        <v>39.9</v>
      </c>
      <c r="CB22" s="69">
        <v>39.9</v>
      </c>
      <c r="CC22" s="69">
        <f t="shared" si="10"/>
        <v>39.9</v>
      </c>
      <c r="CD22" s="69">
        <f t="shared" si="11"/>
        <v>39.9</v>
      </c>
    </row>
    <row r="23" spans="1:82" ht="15.75" customHeight="1" thickBot="1" x14ac:dyDescent="0.3">
      <c r="A23" s="6">
        <v>22</v>
      </c>
      <c r="B23" s="7" t="s">
        <v>118</v>
      </c>
      <c r="C23" s="7" t="s">
        <v>925</v>
      </c>
      <c r="D23" s="7" t="s">
        <v>19</v>
      </c>
      <c r="E23" s="50">
        <v>52.842292240646401</v>
      </c>
      <c r="F23" s="50">
        <v>221.944690266598</v>
      </c>
      <c r="G23" s="50">
        <v>229.99483091504499</v>
      </c>
      <c r="H23" s="50">
        <v>214.14380199365701</v>
      </c>
      <c r="I23" s="8">
        <v>32.4</v>
      </c>
      <c r="J23" s="50">
        <v>2.7371159710296</v>
      </c>
      <c r="K23" s="248">
        <f>IFERROR(VLOOKUP(C23,Schedule!$T$3:$U$34,2,0),"FA")</f>
        <v>8</v>
      </c>
      <c r="L23" s="7" t="str">
        <f>D23&amp;COUNTIF(D$2:$D23,D23)</f>
        <v>RB10</v>
      </c>
      <c r="M23" s="50">
        <f t="array" ref="M23">IFERROR(F23-AVERAGE(VLOOKUP(D23,$D24:$F$885,3,0),INDEX($F24:$F$885,SMALL(IF(D23=$D24:$D$885,ROW($D24:$D$885)-ROW(D23)),2))),0)</f>
        <v>11.857624524752993</v>
      </c>
      <c r="N23" s="50">
        <f>IFERROR(IF(VLOOKUP($B23,Input!$AC$2:$AC$162,1,0)=$B23,0),F23)</f>
        <v>221.944690266598</v>
      </c>
      <c r="O23" s="50">
        <f>IFERROR(IF(VLOOKUP($B23,Input!$AC$2:$AC$162,1,0)=$B23,0,G23),G23)</f>
        <v>229.99483091504499</v>
      </c>
      <c r="P23" s="50">
        <f>IF(N23=0,0,F23-AVERAGE(INDEX(F:F,MATCH(VLOOKUP(D23,Input!$A$14:$L$22,10,0),L:L,0)),INDEX(F:F,MATCH(VLOOKUP(D23,Input!$A$14:$L$22,11,0),L:L,0)),INDEX(F:F,MATCH(VLOOKUP(D23,Input!$A$14:$L$22,12,0),L:L,0)))+(0.01-ROW()*0.01))</f>
        <v>52.622292240646004</v>
      </c>
      <c r="Q23" s="106">
        <f t="shared" si="0"/>
        <v>1.8154319358536834E-2</v>
      </c>
      <c r="R23" s="8">
        <f>IF(VLOOKUP($D23,$X$14:$Y$19,2,0)&lt;=0,1,IF(Q23&lt;0,1,ROUNDUP(IF(Q23*('Draft Center'!$L$28+'Draft Center'!$L$78-'Draft Center'!$L$82)&lt;1,1,Q23*('Draft Center'!$L$28+'Draft Center'!$L$78-'Draft Center'!$L$82)),0)))</f>
        <v>36</v>
      </c>
      <c r="S23" s="8">
        <f>IF(A23&lt;Input!$B$10+0.1,IF(ROUNDUP(R23*Input!$C$10,0)=0,1,ROUNDUP(R23*Input!$C$10,0)),IF(A23&gt;Input!$B$11,IF(ROUNDUP(R23*Input!$C$11,0)=0,1,ROUNDUP(R23*Input!$C$11,0)),IF(ROUNDUP(R23,0)=0,1,ROUNDUP(R23,0))))</f>
        <v>40</v>
      </c>
      <c r="T23" s="8">
        <f t="shared" si="1"/>
        <v>36</v>
      </c>
      <c r="U23" s="8">
        <f>IFERROR(VLOOKUP($B23,Input!$AC$2:$AE$161,3,0),0)</f>
        <v>0</v>
      </c>
      <c r="V23" s="256">
        <f t="shared" si="8"/>
        <v>0.11134111111111115</v>
      </c>
      <c r="W23" s="263">
        <f t="shared" si="9"/>
        <v>3.6002300000000016</v>
      </c>
      <c r="X23" s="27" t="b">
        <f>$Z$9=$Y$9</f>
        <v>1</v>
      </c>
      <c r="Y23" s="23"/>
      <c r="Z23" s="23"/>
      <c r="AA23" s="23">
        <v>0</v>
      </c>
      <c r="AB23" s="23" t="str">
        <f t="shared" si="15"/>
        <v/>
      </c>
      <c r="AC23" s="23">
        <f t="shared" si="15"/>
        <v>0</v>
      </c>
      <c r="AD23" s="23" t="str">
        <f t="shared" si="15"/>
        <v/>
      </c>
      <c r="AE23" s="23" t="str">
        <f t="shared" si="15"/>
        <v/>
      </c>
      <c r="AF23" s="23" t="str">
        <f t="shared" si="15"/>
        <v/>
      </c>
      <c r="AG23" s="23" t="str">
        <f t="shared" si="15"/>
        <v/>
      </c>
      <c r="AH23" s="23">
        <f t="shared" si="3"/>
        <v>0</v>
      </c>
      <c r="AI23" s="23">
        <f t="shared" si="4"/>
        <v>0</v>
      </c>
      <c r="AJ23" s="70">
        <v>36</v>
      </c>
      <c r="AK23" s="225">
        <v>2327.0337</v>
      </c>
      <c r="AL23" s="33">
        <v>36</v>
      </c>
      <c r="AM23" s="204">
        <v>2327.0337</v>
      </c>
      <c r="AN23" s="196"/>
      <c r="AO23" s="23"/>
      <c r="AP23" s="23"/>
      <c r="AQ23" s="68" t="b">
        <f t="shared" ref="AQ23:AY23" si="18">$AP$10=AQ$10</f>
        <v>1</v>
      </c>
      <c r="AR23" s="68" t="b">
        <f t="shared" si="18"/>
        <v>1</v>
      </c>
      <c r="AS23" s="68" t="b">
        <f t="shared" si="18"/>
        <v>1</v>
      </c>
      <c r="AT23" s="68" t="b">
        <f t="shared" si="18"/>
        <v>1</v>
      </c>
      <c r="AU23" s="68" t="b">
        <f t="shared" si="18"/>
        <v>1</v>
      </c>
      <c r="AV23" s="68" t="b">
        <f t="shared" si="18"/>
        <v>1</v>
      </c>
      <c r="AW23" s="68" t="b">
        <f t="shared" si="18"/>
        <v>1</v>
      </c>
      <c r="AX23" s="68" t="b">
        <f t="shared" si="18"/>
        <v>1</v>
      </c>
      <c r="AY23" s="68" t="b">
        <f t="shared" si="18"/>
        <v>1</v>
      </c>
      <c r="AZ23" s="196"/>
      <c r="BA23" s="70">
        <f>IF(VLOOKUP($D23,$AO$14:AQ$19,COLUMN()-50,0)&lt;=0,1,IF($Q23&lt;0,1,ROUNDUP(IF($Q23*('Draft Center'!$L$28+'Draft Center'!$L$78-'Draft Center'!$L$82)&lt;1,1,$Q23*('Draft Center'!$L$28+'Draft Center'!$L$78-'Draft Center'!$L$82)),0)))</f>
        <v>36</v>
      </c>
      <c r="BB23" s="70">
        <f>IF(VLOOKUP($D23,$AO$14:AR$19,COLUMN()-50,0)&lt;=0,1,IF($Q23&lt;0,1,ROUNDUP(IF($Q23*('Draft Center'!$L$28+'Draft Center'!$L$78-'Draft Center'!$L$82)&lt;1,1,$Q23*('Draft Center'!$L$28+'Draft Center'!$L$78-'Draft Center'!$L$82)),0)))</f>
        <v>36</v>
      </c>
      <c r="BC23" s="70">
        <f>IF(VLOOKUP($D23,$AO$14:AS$19,COLUMN()-50,0)&lt;=0,1,IF($Q23&lt;0,1,ROUNDUP(IF($Q23*('Draft Center'!$L$28+'Draft Center'!$L$78-'Draft Center'!$L$82)&lt;1,1,$Q23*('Draft Center'!$L$28+'Draft Center'!$L$78-'Draft Center'!$L$82)),0)))</f>
        <v>36</v>
      </c>
      <c r="BD23" s="70">
        <f>IF(VLOOKUP($D23,$AO$14:AT$19,COLUMN()-50,0)&lt;=0,1,IF($Q23&lt;0,1,ROUNDUP(IF($Q23*('Draft Center'!$L$28+'Draft Center'!$L$78-'Draft Center'!$L$82)&lt;1,1,$Q23*('Draft Center'!$L$28+'Draft Center'!$L$78-'Draft Center'!$L$82)),0)))</f>
        <v>36</v>
      </c>
      <c r="BE23" s="70">
        <f>IF(VLOOKUP($D23,$AO$14:AU$19,COLUMN()-50,0)&lt;=0,1,IF($Q23&lt;0,1,ROUNDUP(IF($Q23*('Draft Center'!$L$28+'Draft Center'!$L$78-'Draft Center'!$L$82)&lt;1,1,$Q23*('Draft Center'!$L$28+'Draft Center'!$L$78-'Draft Center'!$L$82)),0)))</f>
        <v>36</v>
      </c>
      <c r="BF23" s="70">
        <f>IF(VLOOKUP($D23,$AO$14:AV$19,COLUMN()-50,0)&lt;=0,1,IF($Q23&lt;0,1,ROUNDUP(IF($Q23*('Draft Center'!$L$28+'Draft Center'!$L$78-'Draft Center'!$L$82)&lt;1,1,$Q23*('Draft Center'!$L$28+'Draft Center'!$L$78-'Draft Center'!$L$82)),0)))</f>
        <v>36</v>
      </c>
      <c r="BG23" s="70">
        <f>IF(VLOOKUP($D23,$AO$14:AW$19,COLUMN()-50,0)&lt;=0,1,IF($Q23&lt;0,1,ROUNDUP(IF($Q23*('Draft Center'!$L$28+'Draft Center'!$L$78-'Draft Center'!$L$82)&lt;1,1,$Q23*('Draft Center'!$L$28+'Draft Center'!$L$78-'Draft Center'!$L$82)),0)))</f>
        <v>36</v>
      </c>
      <c r="BH23" s="70">
        <f>IF(VLOOKUP($D23,$AO$14:AX$19,COLUMN()-50,0)&lt;=0,1,IF($Q23&lt;0,1,ROUNDUP(IF($Q23*('Draft Center'!$L$28+'Draft Center'!$L$78-'Draft Center'!$L$82)&lt;1,1,$Q23*('Draft Center'!$L$28+'Draft Center'!$L$78-'Draft Center'!$L$82)),0)))</f>
        <v>36</v>
      </c>
      <c r="BI23" s="70">
        <f>IF(VLOOKUP($D23,$AO$14:AY$19,COLUMN()-50,0)&lt;=0,1,IF($Q23&lt;0,1,ROUNDUP(IF($Q23*('Draft Center'!$L$28+'Draft Center'!$L$78-'Draft Center'!$L$82)&lt;1,1,$Q23*('Draft Center'!$L$28+'Draft Center'!$L$78-'Draft Center'!$L$82)),0)))</f>
        <v>36</v>
      </c>
      <c r="BJ23" s="196"/>
      <c r="BK23" s="23">
        <v>0</v>
      </c>
      <c r="BL23" s="23" t="str">
        <f t="shared" si="17"/>
        <v/>
      </c>
      <c r="BM23" s="23">
        <v>0</v>
      </c>
      <c r="BN23" s="23" t="str">
        <f t="shared" si="17"/>
        <v/>
      </c>
      <c r="BO23" s="23" t="str">
        <f t="shared" si="17"/>
        <v/>
      </c>
      <c r="BP23" s="23" t="str">
        <f t="shared" si="17"/>
        <v/>
      </c>
      <c r="BQ23" s="23" t="str">
        <f t="shared" si="17"/>
        <v/>
      </c>
      <c r="BR23" s="23">
        <f t="shared" si="6"/>
        <v>0</v>
      </c>
      <c r="BS23" s="23">
        <f t="shared" si="7"/>
        <v>0</v>
      </c>
      <c r="BT23" s="70">
        <v>36</v>
      </c>
      <c r="BU23" s="58">
        <v>2327.0337</v>
      </c>
      <c r="BV23" s="33">
        <v>36</v>
      </c>
      <c r="BW23" s="204">
        <v>2327.0337</v>
      </c>
      <c r="BX23" s="23"/>
      <c r="BY23" s="70">
        <v>36</v>
      </c>
      <c r="BZ23" s="70">
        <v>32.4</v>
      </c>
      <c r="CA23" s="70">
        <v>32.4</v>
      </c>
      <c r="CB23" s="70">
        <v>32.4</v>
      </c>
      <c r="CC23" s="70">
        <f t="shared" si="10"/>
        <v>32.4</v>
      </c>
      <c r="CD23" s="70">
        <f t="shared" si="11"/>
        <v>32.4</v>
      </c>
    </row>
    <row r="24" spans="1:82" ht="15.75" customHeight="1" thickBot="1" x14ac:dyDescent="0.3">
      <c r="A24" s="9">
        <v>23</v>
      </c>
      <c r="B24" s="10" t="s">
        <v>195</v>
      </c>
      <c r="C24" s="10" t="s">
        <v>42</v>
      </c>
      <c r="D24" s="10" t="s">
        <v>53</v>
      </c>
      <c r="E24" s="51">
        <v>50.680001073373099</v>
      </c>
      <c r="F24" s="51">
        <v>323.027644706209</v>
      </c>
      <c r="G24" s="51">
        <v>337.157278448547</v>
      </c>
      <c r="H24" s="51">
        <v>280.74779999999998</v>
      </c>
      <c r="I24" s="11">
        <v>23.4</v>
      </c>
      <c r="J24" s="51">
        <v>4.4172039320849601</v>
      </c>
      <c r="K24" s="249">
        <f>IFERROR(VLOOKUP(C24,Schedule!$T$3:$U$34,2,0),"FA")</f>
        <v>9</v>
      </c>
      <c r="L24" s="10" t="str">
        <f>D24&amp;COUNTIF(D$2:$D24,D24)</f>
        <v>QB2</v>
      </c>
      <c r="M24" s="51">
        <f t="array" ref="M24">IFERROR(F24-AVERAGE(VLOOKUP(D24,$D25:$F$885,3,0),INDEX($F25:$F$885,SMALL(IF(D24=$D25:$D$885,ROW($D25:$D$885)-ROW(D24)),2))),0)</f>
        <v>23.280220339316998</v>
      </c>
      <c r="N24" s="51">
        <f>IFERROR(IF(VLOOKUP($B24,Input!$AC$2:$AC$162,1,0)=$B24,0),F24)</f>
        <v>323.027644706209</v>
      </c>
      <c r="O24" s="51">
        <f>IFERROR(IF(VLOOKUP($B24,Input!$AC$2:$AC$162,1,0)=$B24,0,G24),G24)</f>
        <v>337.157278448547</v>
      </c>
      <c r="P24" s="51">
        <f>IF(N24=0,0,F24-AVERAGE(INDEX(F:F,MATCH(VLOOKUP(D24,Input!$A$14:$L$22,10,0),L:L,0)),INDEX(F:F,MATCH(VLOOKUP(D24,Input!$A$14:$L$22,11,0),L:L,0)),INDEX(F:F,MATCH(VLOOKUP(D24,Input!$A$14:$L$22,12,0),L:L,0)))+(0.01-ROW()*0.01))</f>
        <v>50.450001073373379</v>
      </c>
      <c r="Q24" s="107">
        <f t="shared" si="0"/>
        <v>1.7404894240184904E-2</v>
      </c>
      <c r="R24" s="11">
        <f>IF(VLOOKUP($D24,$X$14:$Y$19,2,0)&lt;=0,1,IF(Q24&lt;0,1,ROUNDUP(IF(Q24*('Draft Center'!$L$28+'Draft Center'!$L$78-'Draft Center'!$L$82)&lt;1,1,Q24*('Draft Center'!$L$28+'Draft Center'!$L$78-'Draft Center'!$L$82)),0)))</f>
        <v>34</v>
      </c>
      <c r="S24" s="11">
        <f>IF(A24&lt;Input!$B$10+0.1,IF(ROUNDUP(R24*Input!$C$10,0)=0,1,ROUNDUP(R24*Input!$C$10,0)),IF(A24&gt;Input!$B$11,IF(ROUNDUP(R24*Input!$C$11,0)=0,1,ROUNDUP(R24*Input!$C$11,0)),IF(ROUNDUP(R24,0)=0,1,ROUNDUP(R24,0))))</f>
        <v>38</v>
      </c>
      <c r="T24" s="11">
        <f t="shared" si="1"/>
        <v>34</v>
      </c>
      <c r="U24" s="11">
        <f>IFERROR(VLOOKUP($B24,Input!$AC$2:$AE$161,3,0),0)</f>
        <v>0</v>
      </c>
      <c r="V24" s="257">
        <f t="shared" si="8"/>
        <v>0.45323145299145312</v>
      </c>
      <c r="W24" s="264">
        <f t="shared" si="9"/>
        <v>10.600240000000001</v>
      </c>
      <c r="X24" s="27" t="b">
        <f>$Z$8&gt;=$Y$8</f>
        <v>1</v>
      </c>
      <c r="Y24" s="23"/>
      <c r="Z24" s="23"/>
      <c r="AA24" s="23">
        <v>0</v>
      </c>
      <c r="AB24" s="23">
        <f t="shared" si="15"/>
        <v>0</v>
      </c>
      <c r="AC24" s="23" t="str">
        <f t="shared" si="15"/>
        <v/>
      </c>
      <c r="AD24" s="23" t="str">
        <f t="shared" si="15"/>
        <v/>
      </c>
      <c r="AE24" s="23" t="str">
        <f t="shared" si="15"/>
        <v/>
      </c>
      <c r="AF24" s="23" t="str">
        <f t="shared" si="15"/>
        <v/>
      </c>
      <c r="AG24" s="23" t="str">
        <f t="shared" si="15"/>
        <v/>
      </c>
      <c r="AH24" s="23">
        <f t="shared" si="3"/>
        <v>0</v>
      </c>
      <c r="AI24" s="23">
        <f t="shared" si="4"/>
        <v>0</v>
      </c>
      <c r="AJ24" s="69">
        <v>34</v>
      </c>
      <c r="AK24" s="225">
        <v>2327.0337</v>
      </c>
      <c r="AL24" s="33">
        <v>34</v>
      </c>
      <c r="AM24" s="204">
        <v>2327.0337</v>
      </c>
      <c r="AN24" s="196"/>
      <c r="AO24" s="23"/>
      <c r="AP24" s="23"/>
      <c r="AQ24" s="68" t="b">
        <f t="shared" ref="AQ24:AY24" si="19">$AP$2=AQ$2</f>
        <v>0</v>
      </c>
      <c r="AR24" s="68" t="b">
        <f t="shared" si="19"/>
        <v>0</v>
      </c>
      <c r="AS24" s="68" t="b">
        <f t="shared" si="19"/>
        <v>0</v>
      </c>
      <c r="AT24" s="68" t="b">
        <f t="shared" si="19"/>
        <v>0</v>
      </c>
      <c r="AU24" s="68" t="b">
        <f t="shared" si="19"/>
        <v>0</v>
      </c>
      <c r="AV24" s="68" t="b">
        <f t="shared" si="19"/>
        <v>0</v>
      </c>
      <c r="AW24" s="68" t="b">
        <f t="shared" si="19"/>
        <v>0</v>
      </c>
      <c r="AX24" s="68" t="b">
        <f t="shared" si="19"/>
        <v>0</v>
      </c>
      <c r="AY24" s="68" t="b">
        <f t="shared" si="19"/>
        <v>0</v>
      </c>
      <c r="AZ24" s="196"/>
      <c r="BA24" s="69">
        <f>IF(VLOOKUP($D24,$AO$14:AQ$19,COLUMN()-50,0)&lt;=0,1,IF($Q24&lt;0,1,ROUNDUP(IF($Q24*('Draft Center'!$L$28+'Draft Center'!$L$78-'Draft Center'!$L$82)&lt;1,1,$Q24*('Draft Center'!$L$28+'Draft Center'!$L$78-'Draft Center'!$L$82)),0)))</f>
        <v>34</v>
      </c>
      <c r="BB24" s="69">
        <f>IF(VLOOKUP($D24,$AO$14:AR$19,COLUMN()-50,0)&lt;=0,1,IF($Q24&lt;0,1,ROUNDUP(IF($Q24*('Draft Center'!$L$28+'Draft Center'!$L$78-'Draft Center'!$L$82)&lt;1,1,$Q24*('Draft Center'!$L$28+'Draft Center'!$L$78-'Draft Center'!$L$82)),0)))</f>
        <v>34</v>
      </c>
      <c r="BC24" s="69">
        <f>IF(VLOOKUP($D24,$AO$14:AS$19,COLUMN()-50,0)&lt;=0,1,IF($Q24&lt;0,1,ROUNDUP(IF($Q24*('Draft Center'!$L$28+'Draft Center'!$L$78-'Draft Center'!$L$82)&lt;1,1,$Q24*('Draft Center'!$L$28+'Draft Center'!$L$78-'Draft Center'!$L$82)),0)))</f>
        <v>34</v>
      </c>
      <c r="BD24" s="69">
        <f>IF(VLOOKUP($D24,$AO$14:AT$19,COLUMN()-50,0)&lt;=0,1,IF($Q24&lt;0,1,ROUNDUP(IF($Q24*('Draft Center'!$L$28+'Draft Center'!$L$78-'Draft Center'!$L$82)&lt;1,1,$Q24*('Draft Center'!$L$28+'Draft Center'!$L$78-'Draft Center'!$L$82)),0)))</f>
        <v>34</v>
      </c>
      <c r="BE24" s="69">
        <f>IF(VLOOKUP($D24,$AO$14:AU$19,COLUMN()-50,0)&lt;=0,1,IF($Q24&lt;0,1,ROUNDUP(IF($Q24*('Draft Center'!$L$28+'Draft Center'!$L$78-'Draft Center'!$L$82)&lt;1,1,$Q24*('Draft Center'!$L$28+'Draft Center'!$L$78-'Draft Center'!$L$82)),0)))</f>
        <v>34</v>
      </c>
      <c r="BF24" s="69">
        <f>IF(VLOOKUP($D24,$AO$14:AV$19,COLUMN()-50,0)&lt;=0,1,IF($Q24&lt;0,1,ROUNDUP(IF($Q24*('Draft Center'!$L$28+'Draft Center'!$L$78-'Draft Center'!$L$82)&lt;1,1,$Q24*('Draft Center'!$L$28+'Draft Center'!$L$78-'Draft Center'!$L$82)),0)))</f>
        <v>34</v>
      </c>
      <c r="BG24" s="69">
        <f>IF(VLOOKUP($D24,$AO$14:AW$19,COLUMN()-50,0)&lt;=0,1,IF($Q24&lt;0,1,ROUNDUP(IF($Q24*('Draft Center'!$L$28+'Draft Center'!$L$78-'Draft Center'!$L$82)&lt;1,1,$Q24*('Draft Center'!$L$28+'Draft Center'!$L$78-'Draft Center'!$L$82)),0)))</f>
        <v>34</v>
      </c>
      <c r="BH24" s="69">
        <f>IF(VLOOKUP($D24,$AO$14:AX$19,COLUMN()-50,0)&lt;=0,1,IF($Q24&lt;0,1,ROUNDUP(IF($Q24*('Draft Center'!$L$28+'Draft Center'!$L$78-'Draft Center'!$L$82)&lt;1,1,$Q24*('Draft Center'!$L$28+'Draft Center'!$L$78-'Draft Center'!$L$82)),0)))</f>
        <v>34</v>
      </c>
      <c r="BI24" s="69">
        <f>IF(VLOOKUP($D24,$AO$14:AY$19,COLUMN()-50,0)&lt;=0,1,IF($Q24&lt;0,1,ROUNDUP(IF($Q24*('Draft Center'!$L$28+'Draft Center'!$L$78-'Draft Center'!$L$82)&lt;1,1,$Q24*('Draft Center'!$L$28+'Draft Center'!$L$78-'Draft Center'!$L$82)),0)))</f>
        <v>34</v>
      </c>
      <c r="BJ24" s="196"/>
      <c r="BK24" s="23">
        <v>0</v>
      </c>
      <c r="BL24" s="23">
        <f t="shared" si="17"/>
        <v>0</v>
      </c>
      <c r="BM24" s="23">
        <v>0</v>
      </c>
      <c r="BN24" s="23" t="str">
        <f t="shared" si="17"/>
        <v/>
      </c>
      <c r="BO24" s="23" t="str">
        <f t="shared" si="17"/>
        <v/>
      </c>
      <c r="BP24" s="23" t="str">
        <f t="shared" si="17"/>
        <v/>
      </c>
      <c r="BQ24" s="23" t="str">
        <f t="shared" si="17"/>
        <v/>
      </c>
      <c r="BR24" s="23">
        <f t="shared" si="6"/>
        <v>0</v>
      </c>
      <c r="BS24" s="23">
        <f t="shared" si="7"/>
        <v>0</v>
      </c>
      <c r="BT24" s="69">
        <v>34</v>
      </c>
      <c r="BU24" s="58">
        <v>2327.0337</v>
      </c>
      <c r="BV24" s="33">
        <v>34</v>
      </c>
      <c r="BW24" s="204">
        <v>2327.0337</v>
      </c>
      <c r="BX24" s="23"/>
      <c r="BY24" s="69">
        <v>34</v>
      </c>
      <c r="BZ24" s="69">
        <v>23.4</v>
      </c>
      <c r="CA24" s="69">
        <v>23.4</v>
      </c>
      <c r="CB24" s="69">
        <v>23.4</v>
      </c>
      <c r="CC24" s="69">
        <f t="shared" si="10"/>
        <v>23.399999999999995</v>
      </c>
      <c r="CD24" s="69">
        <f t="shared" si="11"/>
        <v>23.4</v>
      </c>
    </row>
    <row r="25" spans="1:82" ht="15.75" customHeight="1" thickBot="1" x14ac:dyDescent="0.3">
      <c r="A25" s="6">
        <v>24</v>
      </c>
      <c r="B25" s="7" t="s">
        <v>360</v>
      </c>
      <c r="C25" s="7" t="s">
        <v>83</v>
      </c>
      <c r="D25" s="7" t="s">
        <v>135</v>
      </c>
      <c r="E25" s="50">
        <v>44.976757311539401</v>
      </c>
      <c r="F25" s="50">
        <v>153.70831598847599</v>
      </c>
      <c r="G25" s="50">
        <v>173.15896181417199</v>
      </c>
      <c r="H25" s="50">
        <v>11.1496984097971</v>
      </c>
      <c r="I25" s="8">
        <v>0</v>
      </c>
      <c r="J25" s="50">
        <v>8.6438003518057407</v>
      </c>
      <c r="K25" s="248">
        <f>IFERROR(VLOOKUP(C25,Schedule!$T$3:$U$34,2,0),"FA")</f>
        <v>5</v>
      </c>
      <c r="L25" s="7" t="str">
        <f>D25&amp;COUNTIF(D$2:$D25,D25)</f>
        <v>DST1</v>
      </c>
      <c r="M25" s="50">
        <f t="array" ref="M25">IFERROR(F25-AVERAGE(VLOOKUP(D25,$D26:$F$885,3,0),INDEX($F26:$F$885,SMALL(IF(D25=$D26:$D$885,ROW($D26:$D$885)-ROW(D25)),2))),0)</f>
        <v>22.482873445075995</v>
      </c>
      <c r="N25" s="50">
        <f>IFERROR(IF(VLOOKUP($B25,Input!$AC$2:$AC$162,1,0)=$B25,0),F25)</f>
        <v>153.70831598847599</v>
      </c>
      <c r="O25" s="50">
        <f>IFERROR(IF(VLOOKUP($B25,Input!$AC$2:$AC$162,1,0)=$B25,0,G25),G25)</f>
        <v>173.15896181417199</v>
      </c>
      <c r="P25" s="50">
        <f>IF(N25=0,0,F25-AVERAGE(INDEX(F:F,MATCH(VLOOKUP(D25,Input!$A$14:$L$22,10,0),L:L,0)),INDEX(F:F,MATCH(VLOOKUP(D25,Input!$A$14:$L$22,11,0),L:L,0)),INDEX(F:F,MATCH(VLOOKUP(D25,Input!$A$14:$L$22,12,0),L:L,0)))+(0.01-ROW()*0.01))</f>
        <v>45.779929037863972</v>
      </c>
      <c r="Q25" s="106">
        <f t="shared" si="0"/>
        <v>1.5793752354303251E-2</v>
      </c>
      <c r="R25" s="8">
        <f>IF(VLOOKUP($D25,$X$14:$Y$19,2,0)&lt;=0,1,IF(Q25&lt;0,1,ROUNDUP(IF(Q25*('Draft Center'!$L$28+'Draft Center'!$L$78-'Draft Center'!$L$82)&lt;1,1,Q25*('Draft Center'!$L$28+'Draft Center'!$L$78-'Draft Center'!$L$82)),0)))</f>
        <v>31</v>
      </c>
      <c r="S25" s="8">
        <f>IF(A25&lt;Input!$B$10+0.1,IF(ROUNDUP(R25*Input!$C$10,0)=0,1,ROUNDUP(R25*Input!$C$10,0)),IF(A25&gt;Input!$B$11,IF(ROUNDUP(R25*Input!$C$11,0)=0,1,ROUNDUP(R25*Input!$C$11,0)),IF(ROUNDUP(R25,0)=0,1,ROUNDUP(R25,0))))</f>
        <v>35</v>
      </c>
      <c r="T25" s="8">
        <f t="shared" si="1"/>
        <v>31</v>
      </c>
      <c r="U25" s="8">
        <f>IFERROR(VLOOKUP($B25,Input!$AC$2:$AE$161,3,0),0)</f>
        <v>0</v>
      </c>
      <c r="V25" s="256">
        <f t="shared" si="8"/>
        <v>0</v>
      </c>
      <c r="W25" s="263">
        <f t="shared" si="9"/>
        <v>31.000250000000001</v>
      </c>
      <c r="X25" s="27" t="b">
        <f>$Z$8&lt;=1+$Y$8</f>
        <v>1</v>
      </c>
      <c r="Y25" s="23"/>
      <c r="Z25" s="23"/>
      <c r="AA25" s="23">
        <v>0</v>
      </c>
      <c r="AB25" s="23" t="str">
        <f t="shared" si="15"/>
        <v/>
      </c>
      <c r="AC25" s="23" t="str">
        <f t="shared" si="15"/>
        <v/>
      </c>
      <c r="AD25" s="23" t="str">
        <f t="shared" si="15"/>
        <v/>
      </c>
      <c r="AE25" s="23" t="str">
        <f t="shared" si="15"/>
        <v/>
      </c>
      <c r="AF25" s="23">
        <f t="shared" si="15"/>
        <v>0</v>
      </c>
      <c r="AG25" s="23" t="str">
        <f t="shared" si="15"/>
        <v/>
      </c>
      <c r="AH25" s="23">
        <f t="shared" si="3"/>
        <v>0</v>
      </c>
      <c r="AI25" s="23">
        <f t="shared" si="4"/>
        <v>0</v>
      </c>
      <c r="AJ25" s="70">
        <v>31</v>
      </c>
      <c r="AK25" s="225">
        <v>2327.0337</v>
      </c>
      <c r="AL25" s="33">
        <v>31</v>
      </c>
      <c r="AM25" s="204">
        <v>2327.0337</v>
      </c>
      <c r="AN25" s="196"/>
      <c r="AO25" s="23"/>
      <c r="AP25" s="23"/>
      <c r="AQ25" s="68" t="b">
        <f t="shared" ref="AQ25:AY25" si="20">($BK$2:$BK$201=0)+($BK$2:$BK$201=1)=1</f>
        <v>1</v>
      </c>
      <c r="AR25" s="68" t="b">
        <f t="shared" si="20"/>
        <v>1</v>
      </c>
      <c r="AS25" s="68" t="b">
        <f t="shared" si="20"/>
        <v>1</v>
      </c>
      <c r="AT25" s="68" t="b">
        <f t="shared" si="20"/>
        <v>1</v>
      </c>
      <c r="AU25" s="68" t="b">
        <f t="shared" si="20"/>
        <v>1</v>
      </c>
      <c r="AV25" s="68" t="b">
        <f t="shared" si="20"/>
        <v>1</v>
      </c>
      <c r="AW25" s="68" t="b">
        <f t="shared" si="20"/>
        <v>1</v>
      </c>
      <c r="AX25" s="68" t="b">
        <f t="shared" si="20"/>
        <v>1</v>
      </c>
      <c r="AY25" s="68" t="b">
        <f t="shared" si="20"/>
        <v>1</v>
      </c>
      <c r="AZ25" s="196"/>
      <c r="BA25" s="70">
        <f>IF(VLOOKUP($D25,$AO$14:AQ$19,COLUMN()-50,0)&lt;=0,1,IF($Q25&lt;0,1,ROUNDUP(IF($Q25*('Draft Center'!$L$28+'Draft Center'!$L$78-'Draft Center'!$L$82)&lt;1,1,$Q25*('Draft Center'!$L$28+'Draft Center'!$L$78-'Draft Center'!$L$82)),0)))</f>
        <v>31</v>
      </c>
      <c r="BB25" s="70">
        <f>IF(VLOOKUP($D25,$AO$14:AR$19,COLUMN()-50,0)&lt;=0,1,IF($Q25&lt;0,1,ROUNDUP(IF($Q25*('Draft Center'!$L$28+'Draft Center'!$L$78-'Draft Center'!$L$82)&lt;1,1,$Q25*('Draft Center'!$L$28+'Draft Center'!$L$78-'Draft Center'!$L$82)),0)))</f>
        <v>31</v>
      </c>
      <c r="BC25" s="70">
        <f>IF(VLOOKUP($D25,$AO$14:AS$19,COLUMN()-50,0)&lt;=0,1,IF($Q25&lt;0,1,ROUNDUP(IF($Q25*('Draft Center'!$L$28+'Draft Center'!$L$78-'Draft Center'!$L$82)&lt;1,1,$Q25*('Draft Center'!$L$28+'Draft Center'!$L$78-'Draft Center'!$L$82)),0)))</f>
        <v>31</v>
      </c>
      <c r="BD25" s="70">
        <f>IF(VLOOKUP($D25,$AO$14:AT$19,COLUMN()-50,0)&lt;=0,1,IF($Q25&lt;0,1,ROUNDUP(IF($Q25*('Draft Center'!$L$28+'Draft Center'!$L$78-'Draft Center'!$L$82)&lt;1,1,$Q25*('Draft Center'!$L$28+'Draft Center'!$L$78-'Draft Center'!$L$82)),0)))</f>
        <v>31</v>
      </c>
      <c r="BE25" s="70">
        <f>IF(VLOOKUP($D25,$AO$14:AU$19,COLUMN()-50,0)&lt;=0,1,IF($Q25&lt;0,1,ROUNDUP(IF($Q25*('Draft Center'!$L$28+'Draft Center'!$L$78-'Draft Center'!$L$82)&lt;1,1,$Q25*('Draft Center'!$L$28+'Draft Center'!$L$78-'Draft Center'!$L$82)),0)))</f>
        <v>31</v>
      </c>
      <c r="BF25" s="70">
        <f>IF(VLOOKUP($D25,$AO$14:AV$19,COLUMN()-50,0)&lt;=0,1,IF($Q25&lt;0,1,ROUNDUP(IF($Q25*('Draft Center'!$L$28+'Draft Center'!$L$78-'Draft Center'!$L$82)&lt;1,1,$Q25*('Draft Center'!$L$28+'Draft Center'!$L$78-'Draft Center'!$L$82)),0)))</f>
        <v>31</v>
      </c>
      <c r="BG25" s="70">
        <f>IF(VLOOKUP($D25,$AO$14:AW$19,COLUMN()-50,0)&lt;=0,1,IF($Q25&lt;0,1,ROUNDUP(IF($Q25*('Draft Center'!$L$28+'Draft Center'!$L$78-'Draft Center'!$L$82)&lt;1,1,$Q25*('Draft Center'!$L$28+'Draft Center'!$L$78-'Draft Center'!$L$82)),0)))</f>
        <v>31</v>
      </c>
      <c r="BH25" s="70">
        <f>IF(VLOOKUP($D25,$AO$14:AX$19,COLUMN()-50,0)&lt;=0,1,IF($Q25&lt;0,1,ROUNDUP(IF($Q25*('Draft Center'!$L$28+'Draft Center'!$L$78-'Draft Center'!$L$82)&lt;1,1,$Q25*('Draft Center'!$L$28+'Draft Center'!$L$78-'Draft Center'!$L$82)),0)))</f>
        <v>31</v>
      </c>
      <c r="BI25" s="70">
        <f>IF(VLOOKUP($D25,$AO$14:AY$19,COLUMN()-50,0)&lt;=0,1,IF($Q25&lt;0,1,ROUNDUP(IF($Q25*('Draft Center'!$L$28+'Draft Center'!$L$78-'Draft Center'!$L$82)&lt;1,1,$Q25*('Draft Center'!$L$28+'Draft Center'!$L$78-'Draft Center'!$L$82)),0)))</f>
        <v>31</v>
      </c>
      <c r="BJ25" s="196"/>
      <c r="BK25" s="23">
        <v>0</v>
      </c>
      <c r="BL25" s="23" t="str">
        <f t="shared" si="17"/>
        <v/>
      </c>
      <c r="BM25" s="23">
        <v>0</v>
      </c>
      <c r="BN25" s="23" t="str">
        <f t="shared" si="17"/>
        <v/>
      </c>
      <c r="BO25" s="23" t="str">
        <f t="shared" si="17"/>
        <v/>
      </c>
      <c r="BP25" s="23">
        <f t="shared" si="17"/>
        <v>0</v>
      </c>
      <c r="BQ25" s="23" t="str">
        <f t="shared" si="17"/>
        <v/>
      </c>
      <c r="BR25" s="23">
        <f t="shared" si="6"/>
        <v>0</v>
      </c>
      <c r="BS25" s="23">
        <f t="shared" si="7"/>
        <v>0</v>
      </c>
      <c r="BT25" s="70">
        <v>31</v>
      </c>
      <c r="BU25" s="58">
        <v>2327.0337</v>
      </c>
      <c r="BV25" s="33">
        <v>31</v>
      </c>
      <c r="BW25" s="204">
        <v>2327.0337</v>
      </c>
      <c r="BX25" s="23"/>
      <c r="BY25" s="70">
        <v>31</v>
      </c>
      <c r="BZ25" s="70">
        <v>0</v>
      </c>
      <c r="CA25" s="70">
        <v>0</v>
      </c>
      <c r="CB25" s="70">
        <v>0</v>
      </c>
      <c r="CC25" s="70">
        <f t="shared" si="10"/>
        <v>0</v>
      </c>
      <c r="CD25" s="70">
        <f t="shared" si="11"/>
        <v>0</v>
      </c>
    </row>
    <row r="26" spans="1:82" ht="15.75" customHeight="1" thickBot="1" x14ac:dyDescent="0.3">
      <c r="A26" s="9">
        <v>25</v>
      </c>
      <c r="B26" s="10" t="s">
        <v>63</v>
      </c>
      <c r="C26" s="10" t="s">
        <v>66</v>
      </c>
      <c r="D26" s="10" t="s">
        <v>19</v>
      </c>
      <c r="E26" s="51">
        <v>44.935842708485097</v>
      </c>
      <c r="F26" s="51">
        <v>214.03824073443701</v>
      </c>
      <c r="G26" s="51">
        <v>219.70557272155301</v>
      </c>
      <c r="H26" s="51">
        <v>203.1</v>
      </c>
      <c r="I26" s="11">
        <v>31.9</v>
      </c>
      <c r="J26" s="51">
        <v>3.4612492358175202</v>
      </c>
      <c r="K26" s="249">
        <f>IFERROR(VLOOKUP(C26,Schedule!$T$3:$U$34,2,0),"FA")</f>
        <v>7</v>
      </c>
      <c r="L26" s="10" t="str">
        <f>D26&amp;COUNTIF(D$2:$D26,D26)</f>
        <v>RB11</v>
      </c>
      <c r="M26" s="51">
        <f t="array" ref="M26">IFERROR(F26-AVERAGE(VLOOKUP(D26,$D27:$F$885,3,0),INDEX($F27:$F$885,SMALL(IF(D26=$D27:$D$885,ROW($D27:$D$885)-ROW(D26)),2))),0)</f>
        <v>10.189891403016986</v>
      </c>
      <c r="N26" s="51">
        <f>IFERROR(IF(VLOOKUP($B26,Input!$AC$2:$AC$162,1,0)=$B26,0),F26)</f>
        <v>214.03824073443701</v>
      </c>
      <c r="O26" s="51">
        <f>IFERROR(IF(VLOOKUP($B26,Input!$AC$2:$AC$162,1,0)=$B26,0,G26),G26)</f>
        <v>219.70557272155301</v>
      </c>
      <c r="P26" s="51">
        <f>IF(N26=0,0,F26-AVERAGE(INDEX(F:F,MATCH(VLOOKUP(D26,Input!$A$14:$L$22,10,0),L:L,0)),INDEX(F:F,MATCH(VLOOKUP(D26,Input!$A$14:$L$22,11,0),L:L,0)),INDEX(F:F,MATCH(VLOOKUP(D26,Input!$A$14:$L$22,12,0),L:L,0)))+(0.01-ROW()*0.01))</f>
        <v>44.685842708485012</v>
      </c>
      <c r="Q26" s="107">
        <f t="shared" si="0"/>
        <v>1.5416300293900358E-2</v>
      </c>
      <c r="R26" s="11">
        <f>IF(VLOOKUP($D26,$X$14:$Y$19,2,0)&lt;=0,1,IF(Q26&lt;0,1,ROUNDUP(IF(Q26*('Draft Center'!$L$28+'Draft Center'!$L$78-'Draft Center'!$L$82)&lt;1,1,Q26*('Draft Center'!$L$28+'Draft Center'!$L$78-'Draft Center'!$L$82)),0)))</f>
        <v>30</v>
      </c>
      <c r="S26" s="11">
        <f>IF(A26&lt;Input!$B$10+0.1,IF(ROUNDUP(R26*Input!$C$10,0)=0,1,ROUNDUP(R26*Input!$C$10,0)),IF(A26&gt;Input!$B$11,IF(ROUNDUP(R26*Input!$C$11,0)=0,1,ROUNDUP(R26*Input!$C$11,0)),IF(ROUNDUP(R26,0)=0,1,ROUNDUP(R26,0))))</f>
        <v>33</v>
      </c>
      <c r="T26" s="11">
        <f t="shared" si="1"/>
        <v>30</v>
      </c>
      <c r="U26" s="11">
        <f>IFERROR(VLOOKUP($B26,Input!$AC$2:$AE$161,3,0),0)</f>
        <v>0</v>
      </c>
      <c r="V26" s="257">
        <f t="shared" si="8"/>
        <v>-5.9301128526645722E-2</v>
      </c>
      <c r="W26" s="264">
        <f t="shared" si="9"/>
        <v>-1.8997399999999987</v>
      </c>
      <c r="X26" s="27" t="b">
        <f>$Z$7&gt;=$Y$7</f>
        <v>1</v>
      </c>
      <c r="Y26" s="23"/>
      <c r="Z26" s="23"/>
      <c r="AA26" s="23">
        <v>0</v>
      </c>
      <c r="AB26" s="23" t="str">
        <f t="shared" si="15"/>
        <v/>
      </c>
      <c r="AC26" s="23">
        <f t="shared" si="15"/>
        <v>0</v>
      </c>
      <c r="AD26" s="23" t="str">
        <f t="shared" si="15"/>
        <v/>
      </c>
      <c r="AE26" s="23" t="str">
        <f t="shared" si="15"/>
        <v/>
      </c>
      <c r="AF26" s="23" t="str">
        <f t="shared" si="15"/>
        <v/>
      </c>
      <c r="AG26" s="23" t="str">
        <f t="shared" si="15"/>
        <v/>
      </c>
      <c r="AH26" s="23">
        <f t="shared" si="3"/>
        <v>0</v>
      </c>
      <c r="AI26" s="23">
        <f t="shared" si="4"/>
        <v>0</v>
      </c>
      <c r="AJ26" s="69">
        <v>30</v>
      </c>
      <c r="AK26" s="225">
        <v>2327.0337</v>
      </c>
      <c r="AL26" s="33">
        <v>30</v>
      </c>
      <c r="AM26" s="204">
        <v>2327.0337</v>
      </c>
      <c r="AN26" s="196"/>
      <c r="AO26" s="23"/>
      <c r="AP26" s="23"/>
      <c r="AQ26" s="68" t="b">
        <f>$AP$3&lt;=AQ$3</f>
        <v>0</v>
      </c>
      <c r="AR26" s="68" t="b">
        <f t="shared" ref="AR26:AY26" si="21">$AP$3&lt;=AR$3</f>
        <v>0</v>
      </c>
      <c r="AS26" s="68" t="b">
        <f t="shared" si="21"/>
        <v>0</v>
      </c>
      <c r="AT26" s="68" t="b">
        <f t="shared" si="21"/>
        <v>0</v>
      </c>
      <c r="AU26" s="68" t="b">
        <f t="shared" si="21"/>
        <v>0</v>
      </c>
      <c r="AV26" s="68" t="b">
        <f t="shared" si="21"/>
        <v>0</v>
      </c>
      <c r="AW26" s="68" t="b">
        <f t="shared" si="21"/>
        <v>0</v>
      </c>
      <c r="AX26" s="68" t="b">
        <f t="shared" si="21"/>
        <v>0</v>
      </c>
      <c r="AY26" s="68" t="b">
        <f t="shared" si="21"/>
        <v>0</v>
      </c>
      <c r="AZ26" s="196"/>
      <c r="BA26" s="69">
        <f>IF(VLOOKUP($D26,$AO$14:AQ$19,COLUMN()-50,0)&lt;=0,1,IF($Q26&lt;0,1,ROUNDUP(IF($Q26*('Draft Center'!$L$28+'Draft Center'!$L$78-'Draft Center'!$L$82)&lt;1,1,$Q26*('Draft Center'!$L$28+'Draft Center'!$L$78-'Draft Center'!$L$82)),0)))</f>
        <v>30</v>
      </c>
      <c r="BB26" s="69">
        <f>IF(VLOOKUP($D26,$AO$14:AR$19,COLUMN()-50,0)&lt;=0,1,IF($Q26&lt;0,1,ROUNDUP(IF($Q26*('Draft Center'!$L$28+'Draft Center'!$L$78-'Draft Center'!$L$82)&lt;1,1,$Q26*('Draft Center'!$L$28+'Draft Center'!$L$78-'Draft Center'!$L$82)),0)))</f>
        <v>30</v>
      </c>
      <c r="BC26" s="69">
        <f>IF(VLOOKUP($D26,$AO$14:AS$19,COLUMN()-50,0)&lt;=0,1,IF($Q26&lt;0,1,ROUNDUP(IF($Q26*('Draft Center'!$L$28+'Draft Center'!$L$78-'Draft Center'!$L$82)&lt;1,1,$Q26*('Draft Center'!$L$28+'Draft Center'!$L$78-'Draft Center'!$L$82)),0)))</f>
        <v>30</v>
      </c>
      <c r="BD26" s="69">
        <f>IF(VLOOKUP($D26,$AO$14:AT$19,COLUMN()-50,0)&lt;=0,1,IF($Q26&lt;0,1,ROUNDUP(IF($Q26*('Draft Center'!$L$28+'Draft Center'!$L$78-'Draft Center'!$L$82)&lt;1,1,$Q26*('Draft Center'!$L$28+'Draft Center'!$L$78-'Draft Center'!$L$82)),0)))</f>
        <v>30</v>
      </c>
      <c r="BE26" s="69">
        <f>IF(VLOOKUP($D26,$AO$14:AU$19,COLUMN()-50,0)&lt;=0,1,IF($Q26&lt;0,1,ROUNDUP(IF($Q26*('Draft Center'!$L$28+'Draft Center'!$L$78-'Draft Center'!$L$82)&lt;1,1,$Q26*('Draft Center'!$L$28+'Draft Center'!$L$78-'Draft Center'!$L$82)),0)))</f>
        <v>30</v>
      </c>
      <c r="BF26" s="69">
        <f>IF(VLOOKUP($D26,$AO$14:AV$19,COLUMN()-50,0)&lt;=0,1,IF($Q26&lt;0,1,ROUNDUP(IF($Q26*('Draft Center'!$L$28+'Draft Center'!$L$78-'Draft Center'!$L$82)&lt;1,1,$Q26*('Draft Center'!$L$28+'Draft Center'!$L$78-'Draft Center'!$L$82)),0)))</f>
        <v>30</v>
      </c>
      <c r="BG26" s="69">
        <f>IF(VLOOKUP($D26,$AO$14:AW$19,COLUMN()-50,0)&lt;=0,1,IF($Q26&lt;0,1,ROUNDUP(IF($Q26*('Draft Center'!$L$28+'Draft Center'!$L$78-'Draft Center'!$L$82)&lt;1,1,$Q26*('Draft Center'!$L$28+'Draft Center'!$L$78-'Draft Center'!$L$82)),0)))</f>
        <v>30</v>
      </c>
      <c r="BH26" s="69">
        <f>IF(VLOOKUP($D26,$AO$14:AX$19,COLUMN()-50,0)&lt;=0,1,IF($Q26&lt;0,1,ROUNDUP(IF($Q26*('Draft Center'!$L$28+'Draft Center'!$L$78-'Draft Center'!$L$82)&lt;1,1,$Q26*('Draft Center'!$L$28+'Draft Center'!$L$78-'Draft Center'!$L$82)),0)))</f>
        <v>30</v>
      </c>
      <c r="BI26" s="69">
        <f>IF(VLOOKUP($D26,$AO$14:AY$19,COLUMN()-50,0)&lt;=0,1,IF($Q26&lt;0,1,ROUNDUP(IF($Q26*('Draft Center'!$L$28+'Draft Center'!$L$78-'Draft Center'!$L$82)&lt;1,1,$Q26*('Draft Center'!$L$28+'Draft Center'!$L$78-'Draft Center'!$L$82)),0)))</f>
        <v>30</v>
      </c>
      <c r="BJ26" s="196"/>
      <c r="BK26" s="23">
        <v>0</v>
      </c>
      <c r="BL26" s="23" t="str">
        <f t="shared" si="17"/>
        <v/>
      </c>
      <c r="BM26" s="23">
        <v>0</v>
      </c>
      <c r="BN26" s="23" t="str">
        <f t="shared" si="17"/>
        <v/>
      </c>
      <c r="BO26" s="23" t="str">
        <f t="shared" si="17"/>
        <v/>
      </c>
      <c r="BP26" s="23" t="str">
        <f t="shared" si="17"/>
        <v/>
      </c>
      <c r="BQ26" s="23" t="str">
        <f t="shared" si="17"/>
        <v/>
      </c>
      <c r="BR26" s="23">
        <f t="shared" si="6"/>
        <v>0</v>
      </c>
      <c r="BS26" s="23">
        <f t="shared" si="7"/>
        <v>0</v>
      </c>
      <c r="BT26" s="69">
        <v>30</v>
      </c>
      <c r="BU26" s="58">
        <v>2327.0337</v>
      </c>
      <c r="BV26" s="33">
        <v>30</v>
      </c>
      <c r="BW26" s="204">
        <v>2327.0337</v>
      </c>
      <c r="BX26" s="23"/>
      <c r="BY26" s="69">
        <v>30</v>
      </c>
      <c r="BZ26" s="69">
        <v>31.9</v>
      </c>
      <c r="CA26" s="69">
        <v>31.9</v>
      </c>
      <c r="CB26" s="69">
        <v>31.9</v>
      </c>
      <c r="CC26" s="69">
        <f t="shared" si="10"/>
        <v>31.899999999999995</v>
      </c>
      <c r="CD26" s="69">
        <f t="shared" si="11"/>
        <v>31.9</v>
      </c>
    </row>
    <row r="27" spans="1:82" ht="15.75" customHeight="1" thickBot="1" x14ac:dyDescent="0.3">
      <c r="A27" s="6">
        <v>26</v>
      </c>
      <c r="B27" s="7" t="s">
        <v>58</v>
      </c>
      <c r="C27" s="7" t="s">
        <v>52</v>
      </c>
      <c r="D27" s="7" t="s">
        <v>17</v>
      </c>
      <c r="E27" s="50">
        <v>38.799675949206602</v>
      </c>
      <c r="F27" s="50">
        <v>251.57759221855599</v>
      </c>
      <c r="G27" s="50">
        <v>264.42233658086099</v>
      </c>
      <c r="H27" s="50">
        <v>226.43307526550001</v>
      </c>
      <c r="I27" s="8">
        <v>41.4</v>
      </c>
      <c r="J27" s="50">
        <v>3.4295344279923698</v>
      </c>
      <c r="K27" s="248">
        <f>IFERROR(VLOOKUP(C27,Schedule!$T$3:$U$34,2,0),"FA")</f>
        <v>11</v>
      </c>
      <c r="L27" s="7" t="str">
        <f>D27&amp;COUNTIF(D$2:$D27,D27)</f>
        <v>WR8</v>
      </c>
      <c r="M27" s="50">
        <f t="array" ref="M27">IFERROR(F27-AVERAGE(VLOOKUP(D27,$D28:$F$885,3,0),INDEX($F28:$F$885,SMALL(IF(D27=$D28:$D$885,ROW($D28:$D$885)-ROW(D27)),2))),0)</f>
        <v>6.1009333831744925</v>
      </c>
      <c r="N27" s="50">
        <f>IFERROR(IF(VLOOKUP($B27,Input!$AC$2:$AC$162,1,0)=$B27,0),F27)</f>
        <v>251.57759221855599</v>
      </c>
      <c r="O27" s="50">
        <f>IFERROR(IF(VLOOKUP($B27,Input!$AC$2:$AC$162,1,0)=$B27,0,G27),G27)</f>
        <v>264.42233658086099</v>
      </c>
      <c r="P27" s="50">
        <f>IF(N27=0,0,F27-AVERAGE(INDEX(F:F,MATCH(VLOOKUP(D27,Input!$A$14:$L$22,10,0),L:L,0)),INDEX(F:F,MATCH(VLOOKUP(D27,Input!$A$14:$L$22,11,0),L:L,0)),INDEX(F:F,MATCH(VLOOKUP(D27,Input!$A$14:$L$22,12,0),L:L,0)))+(0.01-ROW()*0.01))</f>
        <v>38.539675949206973</v>
      </c>
      <c r="Q27" s="106">
        <f t="shared" si="0"/>
        <v>1.3295916148175673E-2</v>
      </c>
      <c r="R27" s="8">
        <f>IF(VLOOKUP($D27,$X$14:$Y$19,2,0)&lt;=0,1,IF(Q27&lt;0,1,ROUNDUP(IF(Q27*('Draft Center'!$L$28+'Draft Center'!$L$78-'Draft Center'!$L$82)&lt;1,1,Q27*('Draft Center'!$L$28+'Draft Center'!$L$78-'Draft Center'!$L$82)),0)))</f>
        <v>26</v>
      </c>
      <c r="S27" s="8">
        <f>IF(A27&lt;Input!$B$10+0.1,IF(ROUNDUP(R27*Input!$C$10,0)=0,1,ROUNDUP(R27*Input!$C$10,0)),IF(A27&gt;Input!$B$11,IF(ROUNDUP(R27*Input!$C$11,0)=0,1,ROUNDUP(R27*Input!$C$11,0)),IF(ROUNDUP(R27,0)=0,1,ROUNDUP(R27,0))))</f>
        <v>29</v>
      </c>
      <c r="T27" s="8">
        <f t="shared" si="1"/>
        <v>26</v>
      </c>
      <c r="U27" s="8">
        <f>IFERROR(VLOOKUP($B27,Input!$AC$2:$AE$161,3,0),0)</f>
        <v>0</v>
      </c>
      <c r="V27" s="256">
        <f t="shared" si="8"/>
        <v>-0.37171067632850241</v>
      </c>
      <c r="W27" s="263">
        <f t="shared" si="9"/>
        <v>-15.399729999999998</v>
      </c>
      <c r="X27" s="27" t="b">
        <f>$Z$7&lt;=1+$Y$7</f>
        <v>1</v>
      </c>
      <c r="Y27" s="23"/>
      <c r="Z27" s="23"/>
      <c r="AA27" s="23">
        <v>0</v>
      </c>
      <c r="AB27" s="23" t="str">
        <f t="shared" si="15"/>
        <v/>
      </c>
      <c r="AC27" s="23" t="str">
        <f t="shared" si="15"/>
        <v/>
      </c>
      <c r="AD27" s="23">
        <f t="shared" si="15"/>
        <v>0</v>
      </c>
      <c r="AE27" s="23" t="str">
        <f t="shared" si="15"/>
        <v/>
      </c>
      <c r="AF27" s="23" t="str">
        <f t="shared" si="15"/>
        <v/>
      </c>
      <c r="AG27" s="23" t="str">
        <f t="shared" si="15"/>
        <v/>
      </c>
      <c r="AH27" s="23">
        <f t="shared" si="3"/>
        <v>0</v>
      </c>
      <c r="AI27" s="23">
        <f t="shared" si="4"/>
        <v>0</v>
      </c>
      <c r="AJ27" s="70">
        <v>26</v>
      </c>
      <c r="AK27" s="225">
        <v>2327.0337</v>
      </c>
      <c r="AL27" s="33">
        <v>26</v>
      </c>
      <c r="AM27" s="204">
        <v>2327.0337</v>
      </c>
      <c r="AN27" s="196"/>
      <c r="AO27" s="23"/>
      <c r="AP27" s="23"/>
      <c r="AQ27" s="68" t="b">
        <f>$AP$5=AQ$5</f>
        <v>1</v>
      </c>
      <c r="AR27" s="68" t="b">
        <f t="shared" ref="AR27:AY27" si="22">$AP$5=AR$5</f>
        <v>1</v>
      </c>
      <c r="AS27" s="68" t="b">
        <f t="shared" si="22"/>
        <v>1</v>
      </c>
      <c r="AT27" s="68" t="b">
        <f t="shared" si="22"/>
        <v>1</v>
      </c>
      <c r="AU27" s="68" t="b">
        <f t="shared" si="22"/>
        <v>1</v>
      </c>
      <c r="AV27" s="68" t="b">
        <f t="shared" si="22"/>
        <v>1</v>
      </c>
      <c r="AW27" s="68" t="b">
        <f t="shared" si="22"/>
        <v>1</v>
      </c>
      <c r="AX27" s="68" t="b">
        <f t="shared" si="22"/>
        <v>1</v>
      </c>
      <c r="AY27" s="68" t="b">
        <f t="shared" si="22"/>
        <v>1</v>
      </c>
      <c r="AZ27" s="196"/>
      <c r="BA27" s="70">
        <f>IF(VLOOKUP($D27,$AO$14:AQ$19,COLUMN()-50,0)&lt;=0,1,IF($Q27&lt;0,1,ROUNDUP(IF($Q27*('Draft Center'!$L$28+'Draft Center'!$L$78-'Draft Center'!$L$82)&lt;1,1,$Q27*('Draft Center'!$L$28+'Draft Center'!$L$78-'Draft Center'!$L$82)),0)))</f>
        <v>26</v>
      </c>
      <c r="BB27" s="70">
        <f>IF(VLOOKUP($D27,$AO$14:AR$19,COLUMN()-50,0)&lt;=0,1,IF($Q27&lt;0,1,ROUNDUP(IF($Q27*('Draft Center'!$L$28+'Draft Center'!$L$78-'Draft Center'!$L$82)&lt;1,1,$Q27*('Draft Center'!$L$28+'Draft Center'!$L$78-'Draft Center'!$L$82)),0)))</f>
        <v>26</v>
      </c>
      <c r="BC27" s="70">
        <f>IF(VLOOKUP($D27,$AO$14:AS$19,COLUMN()-50,0)&lt;=0,1,IF($Q27&lt;0,1,ROUNDUP(IF($Q27*('Draft Center'!$L$28+'Draft Center'!$L$78-'Draft Center'!$L$82)&lt;1,1,$Q27*('Draft Center'!$L$28+'Draft Center'!$L$78-'Draft Center'!$L$82)),0)))</f>
        <v>26</v>
      </c>
      <c r="BD27" s="70">
        <f>IF(VLOOKUP($D27,$AO$14:AT$19,COLUMN()-50,0)&lt;=0,1,IF($Q27&lt;0,1,ROUNDUP(IF($Q27*('Draft Center'!$L$28+'Draft Center'!$L$78-'Draft Center'!$L$82)&lt;1,1,$Q27*('Draft Center'!$L$28+'Draft Center'!$L$78-'Draft Center'!$L$82)),0)))</f>
        <v>26</v>
      </c>
      <c r="BE27" s="70">
        <f>IF(VLOOKUP($D27,$AO$14:AU$19,COLUMN()-50,0)&lt;=0,1,IF($Q27&lt;0,1,ROUNDUP(IF($Q27*('Draft Center'!$L$28+'Draft Center'!$L$78-'Draft Center'!$L$82)&lt;1,1,$Q27*('Draft Center'!$L$28+'Draft Center'!$L$78-'Draft Center'!$L$82)),0)))</f>
        <v>26</v>
      </c>
      <c r="BF27" s="70">
        <f>IF(VLOOKUP($D27,$AO$14:AV$19,COLUMN()-50,0)&lt;=0,1,IF($Q27&lt;0,1,ROUNDUP(IF($Q27*('Draft Center'!$L$28+'Draft Center'!$L$78-'Draft Center'!$L$82)&lt;1,1,$Q27*('Draft Center'!$L$28+'Draft Center'!$L$78-'Draft Center'!$L$82)),0)))</f>
        <v>26</v>
      </c>
      <c r="BG27" s="70">
        <f>IF(VLOOKUP($D27,$AO$14:AW$19,COLUMN()-50,0)&lt;=0,1,IF($Q27&lt;0,1,ROUNDUP(IF($Q27*('Draft Center'!$L$28+'Draft Center'!$L$78-'Draft Center'!$L$82)&lt;1,1,$Q27*('Draft Center'!$L$28+'Draft Center'!$L$78-'Draft Center'!$L$82)),0)))</f>
        <v>26</v>
      </c>
      <c r="BH27" s="70">
        <f>IF(VLOOKUP($D27,$AO$14:AX$19,COLUMN()-50,0)&lt;=0,1,IF($Q27&lt;0,1,ROUNDUP(IF($Q27*('Draft Center'!$L$28+'Draft Center'!$L$78-'Draft Center'!$L$82)&lt;1,1,$Q27*('Draft Center'!$L$28+'Draft Center'!$L$78-'Draft Center'!$L$82)),0)))</f>
        <v>26</v>
      </c>
      <c r="BI27" s="70">
        <f>IF(VLOOKUP($D27,$AO$14:AY$19,COLUMN()-50,0)&lt;=0,1,IF($Q27&lt;0,1,ROUNDUP(IF($Q27*('Draft Center'!$L$28+'Draft Center'!$L$78-'Draft Center'!$L$82)&lt;1,1,$Q27*('Draft Center'!$L$28+'Draft Center'!$L$78-'Draft Center'!$L$82)),0)))</f>
        <v>26</v>
      </c>
      <c r="BJ27" s="196"/>
      <c r="BK27" s="23">
        <v>0</v>
      </c>
      <c r="BL27" s="23" t="str">
        <f t="shared" si="17"/>
        <v/>
      </c>
      <c r="BM27" s="23">
        <v>0</v>
      </c>
      <c r="BN27" s="23">
        <f t="shared" si="17"/>
        <v>0</v>
      </c>
      <c r="BO27" s="23" t="str">
        <f t="shared" si="17"/>
        <v/>
      </c>
      <c r="BP27" s="23" t="str">
        <f t="shared" si="17"/>
        <v/>
      </c>
      <c r="BQ27" s="23" t="str">
        <f t="shared" si="17"/>
        <v/>
      </c>
      <c r="BR27" s="23">
        <f t="shared" si="6"/>
        <v>0</v>
      </c>
      <c r="BS27" s="23">
        <f t="shared" si="7"/>
        <v>0</v>
      </c>
      <c r="BT27" s="70">
        <v>26</v>
      </c>
      <c r="BU27" s="58">
        <v>2327.0337</v>
      </c>
      <c r="BV27" s="33">
        <v>26</v>
      </c>
      <c r="BW27" s="204">
        <v>2327.0337</v>
      </c>
      <c r="BX27" s="23"/>
      <c r="BY27" s="70">
        <v>26</v>
      </c>
      <c r="BZ27" s="70">
        <v>41.4</v>
      </c>
      <c r="CA27" s="70">
        <v>41.4</v>
      </c>
      <c r="CB27" s="70">
        <v>41.4</v>
      </c>
      <c r="CC27" s="70">
        <f t="shared" si="10"/>
        <v>41.4</v>
      </c>
      <c r="CD27" s="70">
        <f t="shared" si="11"/>
        <v>41.4</v>
      </c>
    </row>
    <row r="28" spans="1:82" ht="15.75" customHeight="1" thickBot="1" x14ac:dyDescent="0.3">
      <c r="A28" s="9">
        <v>27</v>
      </c>
      <c r="B28" s="10" t="s">
        <v>1058</v>
      </c>
      <c r="C28" s="10" t="s">
        <v>95</v>
      </c>
      <c r="D28" s="10" t="s">
        <v>19</v>
      </c>
      <c r="E28" s="51">
        <v>37.033492723301102</v>
      </c>
      <c r="F28" s="51">
        <v>206.13589074925301</v>
      </c>
      <c r="G28" s="51">
        <v>228.16811727924201</v>
      </c>
      <c r="H28" s="51">
        <v>170.551610932476</v>
      </c>
      <c r="I28" s="11">
        <v>31.3</v>
      </c>
      <c r="J28" s="51">
        <v>4.2167356315122397</v>
      </c>
      <c r="K28" s="249">
        <f>IFERROR(VLOOKUP(C28,Schedule!$T$3:$U$34,2,0),"FA")</f>
        <v>8</v>
      </c>
      <c r="L28" s="10" t="str">
        <f>D28&amp;COUNTIF(D$2:$D28,D28)</f>
        <v>RB12</v>
      </c>
      <c r="M28" s="51">
        <f t="array" ref="M28">IFERROR(F28-AVERAGE(VLOOKUP(D28,$D29:$F$885,3,0),INDEX($F29:$F$885,SMALL(IF(D28=$D29:$D$885,ROW($D29:$D$885)-ROW(D28)),2))),0)</f>
        <v>5.4363141774920223</v>
      </c>
      <c r="N28" s="51">
        <f>IFERROR(IF(VLOOKUP($B28,Input!$AC$2:$AC$162,1,0)=$B28,0),F28)</f>
        <v>206.13589074925301</v>
      </c>
      <c r="O28" s="51">
        <f>IFERROR(IF(VLOOKUP($B28,Input!$AC$2:$AC$162,1,0)=$B28,0,G28),G28)</f>
        <v>228.16811727924201</v>
      </c>
      <c r="P28" s="51">
        <f>IF(N28=0,0,F28-AVERAGE(INDEX(F:F,MATCH(VLOOKUP(D28,Input!$A$14:$L$22,10,0),L:L,0)),INDEX(F:F,MATCH(VLOOKUP(D28,Input!$A$14:$L$22,11,0),L:L,0)),INDEX(F:F,MATCH(VLOOKUP(D28,Input!$A$14:$L$22,12,0),L:L,0)))+(0.01-ROW()*0.01))</f>
        <v>36.763492723301006</v>
      </c>
      <c r="Q28" s="107">
        <f t="shared" si="0"/>
        <v>1.2683145473441241E-2</v>
      </c>
      <c r="R28" s="11">
        <f>IF(VLOOKUP($D28,$X$14:$Y$19,2,0)&lt;=0,1,IF(Q28&lt;0,1,ROUNDUP(IF(Q28*('Draft Center'!$L$28+'Draft Center'!$L$78-'Draft Center'!$L$82)&lt;1,1,Q28*('Draft Center'!$L$28+'Draft Center'!$L$78-'Draft Center'!$L$82)),0)))</f>
        <v>25</v>
      </c>
      <c r="S28" s="11">
        <f>IF(A28&lt;Input!$B$10+0.1,IF(ROUNDUP(R28*Input!$C$10,0)=0,1,ROUNDUP(R28*Input!$C$10,0)),IF(A28&gt;Input!$B$11,IF(ROUNDUP(R28*Input!$C$11,0)=0,1,ROUNDUP(R28*Input!$C$11,0)),IF(ROUNDUP(R28,0)=0,1,ROUNDUP(R28,0))))</f>
        <v>28</v>
      </c>
      <c r="T28" s="11">
        <f t="shared" si="1"/>
        <v>25</v>
      </c>
      <c r="U28" s="11">
        <f>IFERROR(VLOOKUP($B28,Input!$AC$2:$AE$161,3,0),0)</f>
        <v>0</v>
      </c>
      <c r="V28" s="257">
        <f t="shared" si="8"/>
        <v>-0.2009979552715655</v>
      </c>
      <c r="W28" s="264">
        <f t="shared" si="9"/>
        <v>-6.2997200000000007</v>
      </c>
      <c r="X28" s="27" t="b">
        <f>$Z$6&gt;=$Y$6</f>
        <v>1</v>
      </c>
      <c r="Y28" s="23"/>
      <c r="Z28" s="23"/>
      <c r="AA28" s="23">
        <v>0</v>
      </c>
      <c r="AB28" s="23" t="str">
        <f t="shared" si="15"/>
        <v/>
      </c>
      <c r="AC28" s="23">
        <f t="shared" si="15"/>
        <v>0</v>
      </c>
      <c r="AD28" s="23" t="str">
        <f t="shared" si="15"/>
        <v/>
      </c>
      <c r="AE28" s="23" t="str">
        <f t="shared" si="15"/>
        <v/>
      </c>
      <c r="AF28" s="23" t="str">
        <f t="shared" si="15"/>
        <v/>
      </c>
      <c r="AG28" s="23" t="str">
        <f t="shared" si="15"/>
        <v/>
      </c>
      <c r="AH28" s="23">
        <f t="shared" si="3"/>
        <v>0</v>
      </c>
      <c r="AI28" s="23">
        <f t="shared" si="4"/>
        <v>0</v>
      </c>
      <c r="AJ28" s="69">
        <v>25</v>
      </c>
      <c r="AK28" s="225">
        <v>2327.0337</v>
      </c>
      <c r="AL28" s="33">
        <v>25</v>
      </c>
      <c r="AM28" s="204">
        <v>2327.0337</v>
      </c>
      <c r="AN28" s="196"/>
      <c r="AO28" s="23"/>
      <c r="AP28" s="23"/>
      <c r="AQ28" s="68" t="b">
        <f>$AP$6&lt;=1+AQ$6</f>
        <v>1</v>
      </c>
      <c r="AR28" s="68" t="b">
        <f t="shared" ref="AR28:AY28" si="23">$AP$6&lt;=1+AR$6</f>
        <v>1</v>
      </c>
      <c r="AS28" s="68" t="b">
        <f t="shared" si="23"/>
        <v>1</v>
      </c>
      <c r="AT28" s="68" t="b">
        <f t="shared" si="23"/>
        <v>1</v>
      </c>
      <c r="AU28" s="68" t="b">
        <f t="shared" si="23"/>
        <v>1</v>
      </c>
      <c r="AV28" s="68" t="b">
        <f t="shared" si="23"/>
        <v>1</v>
      </c>
      <c r="AW28" s="68" t="b">
        <f t="shared" si="23"/>
        <v>1</v>
      </c>
      <c r="AX28" s="68" t="b">
        <f t="shared" si="23"/>
        <v>1</v>
      </c>
      <c r="AY28" s="68" t="b">
        <f t="shared" si="23"/>
        <v>1</v>
      </c>
      <c r="AZ28" s="196"/>
      <c r="BA28" s="69">
        <f>IF(VLOOKUP($D28,$AO$14:AQ$19,COLUMN()-50,0)&lt;=0,1,IF($Q28&lt;0,1,ROUNDUP(IF($Q28*('Draft Center'!$L$28+'Draft Center'!$L$78-'Draft Center'!$L$82)&lt;1,1,$Q28*('Draft Center'!$L$28+'Draft Center'!$L$78-'Draft Center'!$L$82)),0)))</f>
        <v>25</v>
      </c>
      <c r="BB28" s="69">
        <f>IF(VLOOKUP($D28,$AO$14:AR$19,COLUMN()-50,0)&lt;=0,1,IF($Q28&lt;0,1,ROUNDUP(IF($Q28*('Draft Center'!$L$28+'Draft Center'!$L$78-'Draft Center'!$L$82)&lt;1,1,$Q28*('Draft Center'!$L$28+'Draft Center'!$L$78-'Draft Center'!$L$82)),0)))</f>
        <v>25</v>
      </c>
      <c r="BC28" s="69">
        <f>IF(VLOOKUP($D28,$AO$14:AS$19,COLUMN()-50,0)&lt;=0,1,IF($Q28&lt;0,1,ROUNDUP(IF($Q28*('Draft Center'!$L$28+'Draft Center'!$L$78-'Draft Center'!$L$82)&lt;1,1,$Q28*('Draft Center'!$L$28+'Draft Center'!$L$78-'Draft Center'!$L$82)),0)))</f>
        <v>25</v>
      </c>
      <c r="BD28" s="69">
        <f>IF(VLOOKUP($D28,$AO$14:AT$19,COLUMN()-50,0)&lt;=0,1,IF($Q28&lt;0,1,ROUNDUP(IF($Q28*('Draft Center'!$L$28+'Draft Center'!$L$78-'Draft Center'!$L$82)&lt;1,1,$Q28*('Draft Center'!$L$28+'Draft Center'!$L$78-'Draft Center'!$L$82)),0)))</f>
        <v>25</v>
      </c>
      <c r="BE28" s="69">
        <f>IF(VLOOKUP($D28,$AO$14:AU$19,COLUMN()-50,0)&lt;=0,1,IF($Q28&lt;0,1,ROUNDUP(IF($Q28*('Draft Center'!$L$28+'Draft Center'!$L$78-'Draft Center'!$L$82)&lt;1,1,$Q28*('Draft Center'!$L$28+'Draft Center'!$L$78-'Draft Center'!$L$82)),0)))</f>
        <v>25</v>
      </c>
      <c r="BF28" s="69">
        <f>IF(VLOOKUP($D28,$AO$14:AV$19,COLUMN()-50,0)&lt;=0,1,IF($Q28&lt;0,1,ROUNDUP(IF($Q28*('Draft Center'!$L$28+'Draft Center'!$L$78-'Draft Center'!$L$82)&lt;1,1,$Q28*('Draft Center'!$L$28+'Draft Center'!$L$78-'Draft Center'!$L$82)),0)))</f>
        <v>25</v>
      </c>
      <c r="BG28" s="69">
        <f>IF(VLOOKUP($D28,$AO$14:AW$19,COLUMN()-50,0)&lt;=0,1,IF($Q28&lt;0,1,ROUNDUP(IF($Q28*('Draft Center'!$L$28+'Draft Center'!$L$78-'Draft Center'!$L$82)&lt;1,1,$Q28*('Draft Center'!$L$28+'Draft Center'!$L$78-'Draft Center'!$L$82)),0)))</f>
        <v>25</v>
      </c>
      <c r="BH28" s="69">
        <f>IF(VLOOKUP($D28,$AO$14:AX$19,COLUMN()-50,0)&lt;=0,1,IF($Q28&lt;0,1,ROUNDUP(IF($Q28*('Draft Center'!$L$28+'Draft Center'!$L$78-'Draft Center'!$L$82)&lt;1,1,$Q28*('Draft Center'!$L$28+'Draft Center'!$L$78-'Draft Center'!$L$82)),0)))</f>
        <v>25</v>
      </c>
      <c r="BI28" s="69">
        <f>IF(VLOOKUP($D28,$AO$14:AY$19,COLUMN()-50,0)&lt;=0,1,IF($Q28&lt;0,1,ROUNDUP(IF($Q28*('Draft Center'!$L$28+'Draft Center'!$L$78-'Draft Center'!$L$82)&lt;1,1,$Q28*('Draft Center'!$L$28+'Draft Center'!$L$78-'Draft Center'!$L$82)),0)))</f>
        <v>25</v>
      </c>
      <c r="BJ28" s="196"/>
      <c r="BK28" s="23">
        <v>0</v>
      </c>
      <c r="BL28" s="23" t="str">
        <f t="shared" si="17"/>
        <v/>
      </c>
      <c r="BM28" s="23">
        <v>0</v>
      </c>
      <c r="BN28" s="23" t="str">
        <f t="shared" si="17"/>
        <v/>
      </c>
      <c r="BO28" s="23" t="str">
        <f t="shared" si="17"/>
        <v/>
      </c>
      <c r="BP28" s="23" t="str">
        <f t="shared" si="17"/>
        <v/>
      </c>
      <c r="BQ28" s="23" t="str">
        <f t="shared" si="17"/>
        <v/>
      </c>
      <c r="BR28" s="23">
        <f t="shared" si="6"/>
        <v>0</v>
      </c>
      <c r="BS28" s="23">
        <f t="shared" si="7"/>
        <v>0</v>
      </c>
      <c r="BT28" s="69">
        <v>25</v>
      </c>
      <c r="BU28" s="58">
        <v>2327.0337</v>
      </c>
      <c r="BV28" s="33">
        <v>25</v>
      </c>
      <c r="BW28" s="204">
        <v>2327.0337</v>
      </c>
      <c r="BX28" s="23"/>
      <c r="BY28" s="69">
        <v>25</v>
      </c>
      <c r="BZ28" s="69">
        <v>31.3</v>
      </c>
      <c r="CA28" s="69">
        <v>31.3</v>
      </c>
      <c r="CB28" s="69">
        <v>31.3</v>
      </c>
      <c r="CC28" s="69">
        <f t="shared" si="10"/>
        <v>31.3</v>
      </c>
      <c r="CD28" s="69">
        <f t="shared" si="11"/>
        <v>31.3</v>
      </c>
    </row>
    <row r="29" spans="1:82" ht="15.75" customHeight="1" thickBot="1" x14ac:dyDescent="0.3">
      <c r="A29" s="6">
        <v>28</v>
      </c>
      <c r="B29" s="7" t="s">
        <v>144</v>
      </c>
      <c r="C29" s="7" t="s">
        <v>38</v>
      </c>
      <c r="D29" s="7" t="s">
        <v>17</v>
      </c>
      <c r="E29" s="50">
        <v>36.578605394180599</v>
      </c>
      <c r="F29" s="50">
        <v>249.35652166353</v>
      </c>
      <c r="G29" s="50">
        <v>268.01125176246302</v>
      </c>
      <c r="H29" s="50">
        <v>230.478628257888</v>
      </c>
      <c r="I29" s="8">
        <v>24.5</v>
      </c>
      <c r="J29" s="50">
        <v>3.4763439570119998</v>
      </c>
      <c r="K29" s="248">
        <f>IFERROR(VLOOKUP(C29,Schedule!$T$3:$U$34,2,0),"FA")</f>
        <v>6</v>
      </c>
      <c r="L29" s="7" t="str">
        <f>D29&amp;COUNTIF(D$2:$D29,D29)</f>
        <v>WR9</v>
      </c>
      <c r="M29" s="50">
        <f t="array" ref="M29">IFERROR(F29-AVERAGE(VLOOKUP(D29,$D30:$F$885,3,0),INDEX($F30:$F$885,SMALL(IF(D29=$D30:$D$885,ROW($D30:$D$885)-ROW(D29)),2))),0)</f>
        <v>9.033008095585501</v>
      </c>
      <c r="N29" s="50">
        <f>IFERROR(IF(VLOOKUP($B29,Input!$AC$2:$AC$162,1,0)=$B29,0),F29)</f>
        <v>249.35652166353</v>
      </c>
      <c r="O29" s="50">
        <f>IFERROR(IF(VLOOKUP($B29,Input!$AC$2:$AC$162,1,0)=$B29,0,G29),G29)</f>
        <v>268.01125176246302</v>
      </c>
      <c r="P29" s="50">
        <f>IF(N29=0,0,F29-AVERAGE(INDEX(F:F,MATCH(VLOOKUP(D29,Input!$A$14:$L$22,10,0),L:L,0)),INDEX(F:F,MATCH(VLOOKUP(D29,Input!$A$14:$L$22,11,0),L:L,0)),INDEX(F:F,MATCH(VLOOKUP(D29,Input!$A$14:$L$22,12,0),L:L,0)))+(0.01-ROW()*0.01))</f>
        <v>36.298605394180981</v>
      </c>
      <c r="Q29" s="106">
        <f t="shared" si="0"/>
        <v>1.2522762626567398E-2</v>
      </c>
      <c r="R29" s="8">
        <f>IF(VLOOKUP($D29,$X$14:$Y$19,2,0)&lt;=0,1,IF(Q29&lt;0,1,ROUNDUP(IF(Q29*('Draft Center'!$L$28+'Draft Center'!$L$78-'Draft Center'!$L$82)&lt;1,1,Q29*('Draft Center'!$L$28+'Draft Center'!$L$78-'Draft Center'!$L$82)),0)))</f>
        <v>25</v>
      </c>
      <c r="S29" s="8">
        <f>IF(A29&lt;Input!$B$10+0.1,IF(ROUNDUP(R29*Input!$C$10,0)=0,1,ROUNDUP(R29*Input!$C$10,0)),IF(A29&gt;Input!$B$11,IF(ROUNDUP(R29*Input!$C$11,0)=0,1,ROUNDUP(R29*Input!$C$11,0)),IF(ROUNDUP(R29,0)=0,1,ROUNDUP(R29,0))))</f>
        <v>28</v>
      </c>
      <c r="T29" s="8">
        <f t="shared" si="1"/>
        <v>25</v>
      </c>
      <c r="U29" s="8">
        <f>IFERROR(VLOOKUP($B29,Input!$AC$2:$AE$161,3,0),0)</f>
        <v>0</v>
      </c>
      <c r="V29" s="256">
        <f t="shared" si="8"/>
        <v>2.0698163265306119E-2</v>
      </c>
      <c r="W29" s="263">
        <f t="shared" si="9"/>
        <v>0.50029000000000001</v>
      </c>
      <c r="X29" s="27" t="b">
        <f>$Z$6&lt;=1+$Y$6</f>
        <v>1</v>
      </c>
      <c r="Y29" s="23"/>
      <c r="Z29" s="23"/>
      <c r="AA29" s="23">
        <v>0</v>
      </c>
      <c r="AB29" s="23" t="str">
        <f t="shared" si="15"/>
        <v/>
      </c>
      <c r="AC29" s="23" t="str">
        <f t="shared" si="15"/>
        <v/>
      </c>
      <c r="AD29" s="23">
        <f t="shared" si="15"/>
        <v>0</v>
      </c>
      <c r="AE29" s="23" t="str">
        <f t="shared" si="15"/>
        <v/>
      </c>
      <c r="AF29" s="23" t="str">
        <f t="shared" si="15"/>
        <v/>
      </c>
      <c r="AG29" s="23" t="str">
        <f t="shared" si="15"/>
        <v/>
      </c>
      <c r="AH29" s="23">
        <f t="shared" si="3"/>
        <v>0</v>
      </c>
      <c r="AI29" s="23">
        <f t="shared" si="4"/>
        <v>0</v>
      </c>
      <c r="AJ29" s="70">
        <v>25</v>
      </c>
      <c r="AK29" s="225">
        <v>2327.0337</v>
      </c>
      <c r="AL29" s="33">
        <v>25</v>
      </c>
      <c r="AM29" s="204">
        <v>2327.0337</v>
      </c>
      <c r="AN29" s="196"/>
      <c r="AO29" s="23"/>
      <c r="AP29" s="23"/>
      <c r="AQ29" s="68" t="b">
        <f>$AP$6&gt;=AQ$6</f>
        <v>0</v>
      </c>
      <c r="AR29" s="68" t="b">
        <f t="shared" ref="AR29:AY29" si="24">$AP$6&gt;=AR$6</f>
        <v>0</v>
      </c>
      <c r="AS29" s="68" t="b">
        <f t="shared" si="24"/>
        <v>0</v>
      </c>
      <c r="AT29" s="68" t="b">
        <f t="shared" si="24"/>
        <v>0</v>
      </c>
      <c r="AU29" s="68" t="b">
        <f t="shared" si="24"/>
        <v>0</v>
      </c>
      <c r="AV29" s="68" t="b">
        <f t="shared" si="24"/>
        <v>0</v>
      </c>
      <c r="AW29" s="68" t="b">
        <f t="shared" si="24"/>
        <v>0</v>
      </c>
      <c r="AX29" s="68" t="b">
        <f t="shared" si="24"/>
        <v>0</v>
      </c>
      <c r="AY29" s="68" t="b">
        <f t="shared" si="24"/>
        <v>0</v>
      </c>
      <c r="AZ29" s="196"/>
      <c r="BA29" s="70">
        <f>IF(VLOOKUP($D29,$AO$14:AQ$19,COLUMN()-50,0)&lt;=0,1,IF($Q29&lt;0,1,ROUNDUP(IF($Q29*('Draft Center'!$L$28+'Draft Center'!$L$78-'Draft Center'!$L$82)&lt;1,1,$Q29*('Draft Center'!$L$28+'Draft Center'!$L$78-'Draft Center'!$L$82)),0)))</f>
        <v>25</v>
      </c>
      <c r="BB29" s="70">
        <f>IF(VLOOKUP($D29,$AO$14:AR$19,COLUMN()-50,0)&lt;=0,1,IF($Q29&lt;0,1,ROUNDUP(IF($Q29*('Draft Center'!$L$28+'Draft Center'!$L$78-'Draft Center'!$L$82)&lt;1,1,$Q29*('Draft Center'!$L$28+'Draft Center'!$L$78-'Draft Center'!$L$82)),0)))</f>
        <v>25</v>
      </c>
      <c r="BC29" s="70">
        <f>IF(VLOOKUP($D29,$AO$14:AS$19,COLUMN()-50,0)&lt;=0,1,IF($Q29&lt;0,1,ROUNDUP(IF($Q29*('Draft Center'!$L$28+'Draft Center'!$L$78-'Draft Center'!$L$82)&lt;1,1,$Q29*('Draft Center'!$L$28+'Draft Center'!$L$78-'Draft Center'!$L$82)),0)))</f>
        <v>25</v>
      </c>
      <c r="BD29" s="70">
        <f>IF(VLOOKUP($D29,$AO$14:AT$19,COLUMN()-50,0)&lt;=0,1,IF($Q29&lt;0,1,ROUNDUP(IF($Q29*('Draft Center'!$L$28+'Draft Center'!$L$78-'Draft Center'!$L$82)&lt;1,1,$Q29*('Draft Center'!$L$28+'Draft Center'!$L$78-'Draft Center'!$L$82)),0)))</f>
        <v>25</v>
      </c>
      <c r="BE29" s="70">
        <f>IF(VLOOKUP($D29,$AO$14:AU$19,COLUMN()-50,0)&lt;=0,1,IF($Q29&lt;0,1,ROUNDUP(IF($Q29*('Draft Center'!$L$28+'Draft Center'!$L$78-'Draft Center'!$L$82)&lt;1,1,$Q29*('Draft Center'!$L$28+'Draft Center'!$L$78-'Draft Center'!$L$82)),0)))</f>
        <v>25</v>
      </c>
      <c r="BF29" s="70">
        <f>IF(VLOOKUP($D29,$AO$14:AV$19,COLUMN()-50,0)&lt;=0,1,IF($Q29&lt;0,1,ROUNDUP(IF($Q29*('Draft Center'!$L$28+'Draft Center'!$L$78-'Draft Center'!$L$82)&lt;1,1,$Q29*('Draft Center'!$L$28+'Draft Center'!$L$78-'Draft Center'!$L$82)),0)))</f>
        <v>25</v>
      </c>
      <c r="BG29" s="70">
        <f>IF(VLOOKUP($D29,$AO$14:AW$19,COLUMN()-50,0)&lt;=0,1,IF($Q29&lt;0,1,ROUNDUP(IF($Q29*('Draft Center'!$L$28+'Draft Center'!$L$78-'Draft Center'!$L$82)&lt;1,1,$Q29*('Draft Center'!$L$28+'Draft Center'!$L$78-'Draft Center'!$L$82)),0)))</f>
        <v>25</v>
      </c>
      <c r="BH29" s="70">
        <f>IF(VLOOKUP($D29,$AO$14:AX$19,COLUMN()-50,0)&lt;=0,1,IF($Q29&lt;0,1,ROUNDUP(IF($Q29*('Draft Center'!$L$28+'Draft Center'!$L$78-'Draft Center'!$L$82)&lt;1,1,$Q29*('Draft Center'!$L$28+'Draft Center'!$L$78-'Draft Center'!$L$82)),0)))</f>
        <v>25</v>
      </c>
      <c r="BI29" s="70">
        <f>IF(VLOOKUP($D29,$AO$14:AY$19,COLUMN()-50,0)&lt;=0,1,IF($Q29&lt;0,1,ROUNDUP(IF($Q29*('Draft Center'!$L$28+'Draft Center'!$L$78-'Draft Center'!$L$82)&lt;1,1,$Q29*('Draft Center'!$L$28+'Draft Center'!$L$78-'Draft Center'!$L$82)),0)))</f>
        <v>25</v>
      </c>
      <c r="BJ29" s="196"/>
      <c r="BK29" s="23">
        <v>0</v>
      </c>
      <c r="BL29" s="23" t="str">
        <f t="shared" si="17"/>
        <v/>
      </c>
      <c r="BM29" s="23">
        <v>0</v>
      </c>
      <c r="BN29" s="23">
        <f t="shared" si="17"/>
        <v>0</v>
      </c>
      <c r="BO29" s="23" t="str">
        <f t="shared" si="17"/>
        <v/>
      </c>
      <c r="BP29" s="23" t="str">
        <f t="shared" si="17"/>
        <v/>
      </c>
      <c r="BQ29" s="23" t="str">
        <f t="shared" si="17"/>
        <v/>
      </c>
      <c r="BR29" s="23">
        <f t="shared" si="6"/>
        <v>0</v>
      </c>
      <c r="BS29" s="23">
        <f t="shared" si="7"/>
        <v>0</v>
      </c>
      <c r="BT29" s="70">
        <v>25</v>
      </c>
      <c r="BU29" s="58">
        <v>2327.0337</v>
      </c>
      <c r="BV29" s="33">
        <v>25</v>
      </c>
      <c r="BW29" s="204">
        <v>2327.0337</v>
      </c>
      <c r="BX29" s="23"/>
      <c r="BY29" s="70">
        <v>25</v>
      </c>
      <c r="BZ29" s="70">
        <v>24.5</v>
      </c>
      <c r="CA29" s="70">
        <v>24.5</v>
      </c>
      <c r="CB29" s="70">
        <v>24.5</v>
      </c>
      <c r="CC29" s="70">
        <f t="shared" si="10"/>
        <v>24.5</v>
      </c>
      <c r="CD29" s="70">
        <f t="shared" si="11"/>
        <v>24.5</v>
      </c>
    </row>
    <row r="30" spans="1:82" ht="15.75" customHeight="1" thickBot="1" x14ac:dyDescent="0.3">
      <c r="A30" s="9">
        <v>29</v>
      </c>
      <c r="B30" s="10" t="s">
        <v>151</v>
      </c>
      <c r="C30" s="10" t="s">
        <v>33</v>
      </c>
      <c r="D30" s="10" t="s">
        <v>43</v>
      </c>
      <c r="E30" s="51">
        <v>35.060249251937599</v>
      </c>
      <c r="F30" s="51">
        <v>188.52116860414699</v>
      </c>
      <c r="G30" s="51">
        <v>198.85379083931599</v>
      </c>
      <c r="H30" s="51">
        <v>171.93874036470299</v>
      </c>
      <c r="I30" s="11">
        <v>3.8</v>
      </c>
      <c r="J30" s="51">
        <v>2.7988294023619802</v>
      </c>
      <c r="K30" s="249">
        <f>IFERROR(VLOOKUP(C30,Schedule!$T$3:$U$34,2,0),"FA")</f>
        <v>9</v>
      </c>
      <c r="L30" s="10" t="str">
        <f>D30&amp;COUNTIF(D$2:$D30,D30)</f>
        <v>TE5</v>
      </c>
      <c r="M30" s="51">
        <f t="array" ref="M30">IFERROR(F30-AVERAGE(VLOOKUP(D30,$D31:$F$885,3,0),INDEX($F31:$F$885,SMALL(IF(D30=$D31:$D$885,ROW($D31:$D$885)-ROW(D30)),2))),0)</f>
        <v>10.086680234358511</v>
      </c>
      <c r="N30" s="51">
        <f>IFERROR(IF(VLOOKUP($B30,Input!$AC$2:$AC$162,1,0)=$B30,0),F30)</f>
        <v>188.52116860414699</v>
      </c>
      <c r="O30" s="51">
        <f>IFERROR(IF(VLOOKUP($B30,Input!$AC$2:$AC$162,1,0)=$B30,0,G30),G30)</f>
        <v>198.85379083931599</v>
      </c>
      <c r="P30" s="51">
        <f>IF(N30=0,0,F30-AVERAGE(INDEX(F:F,MATCH(VLOOKUP(D30,Input!$A$14:$L$22,10,0),L:L,0)),INDEX(F:F,MATCH(VLOOKUP(D30,Input!$A$14:$L$22,11,0),L:L,0)),INDEX(F:F,MATCH(VLOOKUP(D30,Input!$A$14:$L$22,12,0),L:L,0)))+(0.01-ROW()*0.01))</f>
        <v>34.770249251937678</v>
      </c>
      <c r="Q30" s="107">
        <f t="shared" si="0"/>
        <v>1.1995490546267659E-2</v>
      </c>
      <c r="R30" s="11">
        <f>IF(VLOOKUP($D30,$X$14:$Y$19,2,0)&lt;=0,1,IF(Q30&lt;0,1,ROUNDUP(IF(Q30*('Draft Center'!$L$28+'Draft Center'!$L$78-'Draft Center'!$L$82)&lt;1,1,Q30*('Draft Center'!$L$28+'Draft Center'!$L$78-'Draft Center'!$L$82)),0)))</f>
        <v>24</v>
      </c>
      <c r="S30" s="11">
        <f>IF(A30&lt;Input!$B$10+0.1,IF(ROUNDUP(R30*Input!$C$10,0)=0,1,ROUNDUP(R30*Input!$C$10,0)),IF(A30&gt;Input!$B$11,IF(ROUNDUP(R30*Input!$C$11,0)=0,1,ROUNDUP(R30*Input!$C$11,0)),IF(ROUNDUP(R30,0)=0,1,ROUNDUP(R30,0))))</f>
        <v>27</v>
      </c>
      <c r="T30" s="11">
        <f t="shared" si="1"/>
        <v>24</v>
      </c>
      <c r="U30" s="11">
        <f>IFERROR(VLOOKUP($B30,Input!$AC$2:$AE$161,3,0),0)</f>
        <v>0</v>
      </c>
      <c r="V30" s="257">
        <f t="shared" si="8"/>
        <v>5.3160894736842108</v>
      </c>
      <c r="W30" s="264">
        <f t="shared" si="9"/>
        <v>20.200299999999999</v>
      </c>
      <c r="X30" s="27" t="b">
        <f>$Z$5=$Y$5</f>
        <v>1</v>
      </c>
      <c r="Y30" s="23"/>
      <c r="Z30" s="23"/>
      <c r="AA30" s="23">
        <v>0</v>
      </c>
      <c r="AB30" s="23" t="str">
        <f t="shared" si="15"/>
        <v/>
      </c>
      <c r="AC30" s="23" t="str">
        <f t="shared" si="15"/>
        <v/>
      </c>
      <c r="AD30" s="23" t="str">
        <f t="shared" si="15"/>
        <v/>
      </c>
      <c r="AE30" s="23">
        <f t="shared" si="15"/>
        <v>0</v>
      </c>
      <c r="AF30" s="23" t="str">
        <f t="shared" si="15"/>
        <v/>
      </c>
      <c r="AG30" s="23" t="str">
        <f t="shared" si="15"/>
        <v/>
      </c>
      <c r="AH30" s="23">
        <f t="shared" si="3"/>
        <v>0</v>
      </c>
      <c r="AI30" s="23">
        <f t="shared" si="4"/>
        <v>0</v>
      </c>
      <c r="AJ30" s="69">
        <v>24</v>
      </c>
      <c r="AK30" s="225">
        <v>2327.0337</v>
      </c>
      <c r="AL30" s="33">
        <v>24</v>
      </c>
      <c r="AM30" s="204">
        <v>2327.0337</v>
      </c>
      <c r="AN30" s="196"/>
      <c r="AO30" s="23"/>
      <c r="AP30" s="23"/>
      <c r="AQ30" s="68" t="b">
        <f>$AP$7&lt;=1+AQ$7</f>
        <v>1</v>
      </c>
      <c r="AR30" s="68" t="b">
        <f t="shared" ref="AR30:AY30" si="25">$AP$7&lt;=1+AR$7</f>
        <v>1</v>
      </c>
      <c r="AS30" s="68" t="b">
        <f t="shared" si="25"/>
        <v>1</v>
      </c>
      <c r="AT30" s="68" t="b">
        <f t="shared" si="25"/>
        <v>1</v>
      </c>
      <c r="AU30" s="68" t="b">
        <f t="shared" si="25"/>
        <v>1</v>
      </c>
      <c r="AV30" s="68" t="b">
        <f t="shared" si="25"/>
        <v>1</v>
      </c>
      <c r="AW30" s="68" t="b">
        <f t="shared" si="25"/>
        <v>1</v>
      </c>
      <c r="AX30" s="68" t="b">
        <f t="shared" si="25"/>
        <v>1</v>
      </c>
      <c r="AY30" s="68" t="b">
        <f t="shared" si="25"/>
        <v>1</v>
      </c>
      <c r="AZ30" s="196"/>
      <c r="BA30" s="69">
        <f>IF(VLOOKUP($D30,$AO$14:AQ$19,COLUMN()-50,0)&lt;=0,1,IF($Q30&lt;0,1,ROUNDUP(IF($Q30*('Draft Center'!$L$28+'Draft Center'!$L$78-'Draft Center'!$L$82)&lt;1,1,$Q30*('Draft Center'!$L$28+'Draft Center'!$L$78-'Draft Center'!$L$82)),0)))</f>
        <v>24</v>
      </c>
      <c r="BB30" s="69">
        <f>IF(VLOOKUP($D30,$AO$14:AR$19,COLUMN()-50,0)&lt;=0,1,IF($Q30&lt;0,1,ROUNDUP(IF($Q30*('Draft Center'!$L$28+'Draft Center'!$L$78-'Draft Center'!$L$82)&lt;1,1,$Q30*('Draft Center'!$L$28+'Draft Center'!$L$78-'Draft Center'!$L$82)),0)))</f>
        <v>24</v>
      </c>
      <c r="BC30" s="69">
        <f>IF(VLOOKUP($D30,$AO$14:AS$19,COLUMN()-50,0)&lt;=0,1,IF($Q30&lt;0,1,ROUNDUP(IF($Q30*('Draft Center'!$L$28+'Draft Center'!$L$78-'Draft Center'!$L$82)&lt;1,1,$Q30*('Draft Center'!$L$28+'Draft Center'!$L$78-'Draft Center'!$L$82)),0)))</f>
        <v>24</v>
      </c>
      <c r="BD30" s="69">
        <f>IF(VLOOKUP($D30,$AO$14:AT$19,COLUMN()-50,0)&lt;=0,1,IF($Q30&lt;0,1,ROUNDUP(IF($Q30*('Draft Center'!$L$28+'Draft Center'!$L$78-'Draft Center'!$L$82)&lt;1,1,$Q30*('Draft Center'!$L$28+'Draft Center'!$L$78-'Draft Center'!$L$82)),0)))</f>
        <v>24</v>
      </c>
      <c r="BE30" s="69">
        <f>IF(VLOOKUP($D30,$AO$14:AU$19,COLUMN()-50,0)&lt;=0,1,IF($Q30&lt;0,1,ROUNDUP(IF($Q30*('Draft Center'!$L$28+'Draft Center'!$L$78-'Draft Center'!$L$82)&lt;1,1,$Q30*('Draft Center'!$L$28+'Draft Center'!$L$78-'Draft Center'!$L$82)),0)))</f>
        <v>24</v>
      </c>
      <c r="BF30" s="69">
        <f>IF(VLOOKUP($D30,$AO$14:AV$19,COLUMN()-50,0)&lt;=0,1,IF($Q30&lt;0,1,ROUNDUP(IF($Q30*('Draft Center'!$L$28+'Draft Center'!$L$78-'Draft Center'!$L$82)&lt;1,1,$Q30*('Draft Center'!$L$28+'Draft Center'!$L$78-'Draft Center'!$L$82)),0)))</f>
        <v>24</v>
      </c>
      <c r="BG30" s="69">
        <f>IF(VLOOKUP($D30,$AO$14:AW$19,COLUMN()-50,0)&lt;=0,1,IF($Q30&lt;0,1,ROUNDUP(IF($Q30*('Draft Center'!$L$28+'Draft Center'!$L$78-'Draft Center'!$L$82)&lt;1,1,$Q30*('Draft Center'!$L$28+'Draft Center'!$L$78-'Draft Center'!$L$82)),0)))</f>
        <v>24</v>
      </c>
      <c r="BH30" s="69">
        <f>IF(VLOOKUP($D30,$AO$14:AX$19,COLUMN()-50,0)&lt;=0,1,IF($Q30&lt;0,1,ROUNDUP(IF($Q30*('Draft Center'!$L$28+'Draft Center'!$L$78-'Draft Center'!$L$82)&lt;1,1,$Q30*('Draft Center'!$L$28+'Draft Center'!$L$78-'Draft Center'!$L$82)),0)))</f>
        <v>24</v>
      </c>
      <c r="BI30" s="69">
        <f>IF(VLOOKUP($D30,$AO$14:AY$19,COLUMN()-50,0)&lt;=0,1,IF($Q30&lt;0,1,ROUNDUP(IF($Q30*('Draft Center'!$L$28+'Draft Center'!$L$78-'Draft Center'!$L$82)&lt;1,1,$Q30*('Draft Center'!$L$28+'Draft Center'!$L$78-'Draft Center'!$L$82)),0)))</f>
        <v>24</v>
      </c>
      <c r="BJ30" s="196"/>
      <c r="BK30" s="23">
        <v>0</v>
      </c>
      <c r="BL30" s="23" t="str">
        <f t="shared" si="17"/>
        <v/>
      </c>
      <c r="BM30" s="23">
        <v>0</v>
      </c>
      <c r="BN30" s="23" t="str">
        <f t="shared" si="17"/>
        <v/>
      </c>
      <c r="BO30" s="23">
        <f t="shared" si="17"/>
        <v>0</v>
      </c>
      <c r="BP30" s="23" t="str">
        <f t="shared" si="17"/>
        <v/>
      </c>
      <c r="BQ30" s="23" t="str">
        <f t="shared" si="17"/>
        <v/>
      </c>
      <c r="BR30" s="23">
        <f t="shared" si="6"/>
        <v>0</v>
      </c>
      <c r="BS30" s="23">
        <f t="shared" si="7"/>
        <v>0</v>
      </c>
      <c r="BT30" s="69">
        <v>24</v>
      </c>
      <c r="BU30" s="58">
        <v>2327.0337</v>
      </c>
      <c r="BV30" s="33">
        <v>24</v>
      </c>
      <c r="BW30" s="204">
        <v>2327.0337</v>
      </c>
      <c r="BX30" s="23"/>
      <c r="BY30" s="69">
        <v>24</v>
      </c>
      <c r="BZ30" s="69">
        <v>3.8</v>
      </c>
      <c r="CA30" s="69">
        <v>3.8</v>
      </c>
      <c r="CB30" s="69">
        <v>3.8</v>
      </c>
      <c r="CC30" s="69">
        <f t="shared" si="10"/>
        <v>3.7999999999999994</v>
      </c>
      <c r="CD30" s="69">
        <f t="shared" si="11"/>
        <v>3.8</v>
      </c>
    </row>
    <row r="31" spans="1:82" ht="15.75" customHeight="1" thickBot="1" x14ac:dyDescent="0.3">
      <c r="A31" s="77">
        <v>30</v>
      </c>
      <c r="B31" s="78" t="s">
        <v>319</v>
      </c>
      <c r="C31" s="78" t="s">
        <v>29</v>
      </c>
      <c r="D31" s="78" t="s">
        <v>19</v>
      </c>
      <c r="E31" s="79">
        <v>32.458409887634701</v>
      </c>
      <c r="F31" s="79">
        <v>201.56080791358701</v>
      </c>
      <c r="G31" s="79">
        <v>213.80447581425901</v>
      </c>
      <c r="H31" s="79">
        <v>185.1</v>
      </c>
      <c r="I31" s="80">
        <v>26.65</v>
      </c>
      <c r="J31" s="79">
        <v>5.3375341391467401</v>
      </c>
      <c r="K31" s="250">
        <f>IFERROR(VLOOKUP(C31,Schedule!$T$3:$U$34,2,0),"FA")</f>
        <v>8</v>
      </c>
      <c r="L31" s="78" t="str">
        <f>D31&amp;COUNTIF(D$2:$D31,D31)</f>
        <v>RB13</v>
      </c>
      <c r="M31" s="79">
        <f t="array" ref="M31">IFERROR(F31-AVERAGE(VLOOKUP(D31,$D32:$F$885,3,0),INDEX($F32:$F$885,SMALL(IF(D31=$D32:$D$885,ROW($D32:$D$885)-ROW(D31)),2))),0)</f>
        <v>1.7333212093355144</v>
      </c>
      <c r="N31" s="79">
        <f>IFERROR(IF(VLOOKUP($B31,Input!$AC$2:$AC$162,1,0)=$B31,0),F31)</f>
        <v>201.56080791358701</v>
      </c>
      <c r="O31" s="79">
        <f>IFERROR(IF(VLOOKUP($B31,Input!$AC$2:$AC$162,1,0)=$B31,0,G31),G31)</f>
        <v>213.80447581425901</v>
      </c>
      <c r="P31" s="79">
        <f>IF(N31=0,0,F31-AVERAGE(INDEX(F:F,MATCH(VLOOKUP(D31,Input!$A$14:$L$22,10,0),L:L,0)),INDEX(F:F,MATCH(VLOOKUP(D31,Input!$A$14:$L$22,11,0),L:L,0)),INDEX(F:F,MATCH(VLOOKUP(D31,Input!$A$14:$L$22,12,0),L:L,0)))+(0.01-ROW()*0.01))</f>
        <v>32.158409887635017</v>
      </c>
      <c r="Q31" s="108">
        <f t="shared" si="0"/>
        <v>1.1094424402742204E-2</v>
      </c>
      <c r="R31" s="80">
        <f>IF(VLOOKUP($D31,$X$14:$Y$19,2,0)&lt;=0,1,IF(Q31&lt;0,1,ROUNDUP(IF(Q31*('Draft Center'!$L$28+'Draft Center'!$L$78-'Draft Center'!$L$82)&lt;1,1,Q31*('Draft Center'!$L$28+'Draft Center'!$L$78-'Draft Center'!$L$82)),0)))</f>
        <v>22</v>
      </c>
      <c r="S31" s="80">
        <f>IF(A31&lt;Input!$B$10+0.1,IF(ROUNDUP(R31*Input!$C$10,0)=0,1,ROUNDUP(R31*Input!$C$10,0)),IF(A31&gt;Input!$B$11,IF(ROUNDUP(R31*Input!$C$11,0)=0,1,ROUNDUP(R31*Input!$C$11,0)),IF(ROUNDUP(R31,0)=0,1,ROUNDUP(R31,0))))</f>
        <v>25</v>
      </c>
      <c r="T31" s="80">
        <f t="shared" si="1"/>
        <v>22</v>
      </c>
      <c r="U31" s="80">
        <f>IFERROR(VLOOKUP($B31,Input!$AC$2:$AE$161,3,0),0)</f>
        <v>0</v>
      </c>
      <c r="V31" s="258">
        <f t="shared" si="8"/>
        <v>-0.17417405253283297</v>
      </c>
      <c r="W31" s="265">
        <f t="shared" si="9"/>
        <v>-4.6496899999999988</v>
      </c>
      <c r="X31" s="27" t="b">
        <f>$Z$3&lt;=$Y$3</f>
        <v>1</v>
      </c>
      <c r="Y31" s="23"/>
      <c r="Z31" s="23"/>
      <c r="AA31" s="23">
        <v>0</v>
      </c>
      <c r="AB31" s="23" t="str">
        <f t="shared" si="15"/>
        <v/>
      </c>
      <c r="AC31" s="23">
        <f t="shared" si="15"/>
        <v>0</v>
      </c>
      <c r="AD31" s="23" t="str">
        <f t="shared" si="15"/>
        <v/>
      </c>
      <c r="AE31" s="23" t="str">
        <f t="shared" si="15"/>
        <v/>
      </c>
      <c r="AF31" s="23" t="str">
        <f t="shared" si="15"/>
        <v/>
      </c>
      <c r="AG31" s="23" t="str">
        <f t="shared" si="15"/>
        <v/>
      </c>
      <c r="AH31" s="23">
        <f t="shared" si="3"/>
        <v>0</v>
      </c>
      <c r="AI31" s="23">
        <f t="shared" si="4"/>
        <v>0</v>
      </c>
      <c r="AJ31" s="71">
        <v>22</v>
      </c>
      <c r="AK31" s="225">
        <v>2327.0337</v>
      </c>
      <c r="AL31" s="33">
        <v>22</v>
      </c>
      <c r="AM31" s="204">
        <v>2327.0337</v>
      </c>
      <c r="AN31" s="196"/>
      <c r="AO31" s="23"/>
      <c r="AP31" s="23"/>
      <c r="AQ31" s="68" t="b">
        <f>$AP$7&gt;=AQ$7</f>
        <v>1</v>
      </c>
      <c r="AR31" s="68" t="b">
        <f t="shared" ref="AR31:AY31" si="26">$AP$7&gt;=AR$7</f>
        <v>1</v>
      </c>
      <c r="AS31" s="68" t="b">
        <f t="shared" si="26"/>
        <v>1</v>
      </c>
      <c r="AT31" s="68" t="b">
        <f t="shared" si="26"/>
        <v>1</v>
      </c>
      <c r="AU31" s="68" t="b">
        <f t="shared" si="26"/>
        <v>1</v>
      </c>
      <c r="AV31" s="68" t="b">
        <f t="shared" si="26"/>
        <v>1</v>
      </c>
      <c r="AW31" s="68" t="b">
        <f t="shared" si="26"/>
        <v>1</v>
      </c>
      <c r="AX31" s="68" t="b">
        <f t="shared" si="26"/>
        <v>1</v>
      </c>
      <c r="AY31" s="68" t="b">
        <f t="shared" si="26"/>
        <v>1</v>
      </c>
      <c r="AZ31" s="196"/>
      <c r="BA31" s="71">
        <f>IF(VLOOKUP($D31,$AO$14:AQ$19,COLUMN()-50,0)&lt;=0,1,IF($Q31&lt;0,1,ROUNDUP(IF($Q31*('Draft Center'!$L$28+'Draft Center'!$L$78-'Draft Center'!$L$82)&lt;1,1,$Q31*('Draft Center'!$L$28+'Draft Center'!$L$78-'Draft Center'!$L$82)),0)))</f>
        <v>22</v>
      </c>
      <c r="BB31" s="71">
        <f>IF(VLOOKUP($D31,$AO$14:AR$19,COLUMN()-50,0)&lt;=0,1,IF($Q31&lt;0,1,ROUNDUP(IF($Q31*('Draft Center'!$L$28+'Draft Center'!$L$78-'Draft Center'!$L$82)&lt;1,1,$Q31*('Draft Center'!$L$28+'Draft Center'!$L$78-'Draft Center'!$L$82)),0)))</f>
        <v>22</v>
      </c>
      <c r="BC31" s="71">
        <f>IF(VLOOKUP($D31,$AO$14:AS$19,COLUMN()-50,0)&lt;=0,1,IF($Q31&lt;0,1,ROUNDUP(IF($Q31*('Draft Center'!$L$28+'Draft Center'!$L$78-'Draft Center'!$L$82)&lt;1,1,$Q31*('Draft Center'!$L$28+'Draft Center'!$L$78-'Draft Center'!$L$82)),0)))</f>
        <v>22</v>
      </c>
      <c r="BD31" s="71">
        <f>IF(VLOOKUP($D31,$AO$14:AT$19,COLUMN()-50,0)&lt;=0,1,IF($Q31&lt;0,1,ROUNDUP(IF($Q31*('Draft Center'!$L$28+'Draft Center'!$L$78-'Draft Center'!$L$82)&lt;1,1,$Q31*('Draft Center'!$L$28+'Draft Center'!$L$78-'Draft Center'!$L$82)),0)))</f>
        <v>22</v>
      </c>
      <c r="BE31" s="71">
        <f>IF(VLOOKUP($D31,$AO$14:AU$19,COLUMN()-50,0)&lt;=0,1,IF($Q31&lt;0,1,ROUNDUP(IF($Q31*('Draft Center'!$L$28+'Draft Center'!$L$78-'Draft Center'!$L$82)&lt;1,1,$Q31*('Draft Center'!$L$28+'Draft Center'!$L$78-'Draft Center'!$L$82)),0)))</f>
        <v>22</v>
      </c>
      <c r="BF31" s="71">
        <f>IF(VLOOKUP($D31,$AO$14:AV$19,COLUMN()-50,0)&lt;=0,1,IF($Q31&lt;0,1,ROUNDUP(IF($Q31*('Draft Center'!$L$28+'Draft Center'!$L$78-'Draft Center'!$L$82)&lt;1,1,$Q31*('Draft Center'!$L$28+'Draft Center'!$L$78-'Draft Center'!$L$82)),0)))</f>
        <v>22</v>
      </c>
      <c r="BG31" s="71">
        <f>IF(VLOOKUP($D31,$AO$14:AW$19,COLUMN()-50,0)&lt;=0,1,IF($Q31&lt;0,1,ROUNDUP(IF($Q31*('Draft Center'!$L$28+'Draft Center'!$L$78-'Draft Center'!$L$82)&lt;1,1,$Q31*('Draft Center'!$L$28+'Draft Center'!$L$78-'Draft Center'!$L$82)),0)))</f>
        <v>22</v>
      </c>
      <c r="BH31" s="71">
        <f>IF(VLOOKUP($D31,$AO$14:AX$19,COLUMN()-50,0)&lt;=0,1,IF($Q31&lt;0,1,ROUNDUP(IF($Q31*('Draft Center'!$L$28+'Draft Center'!$L$78-'Draft Center'!$L$82)&lt;1,1,$Q31*('Draft Center'!$L$28+'Draft Center'!$L$78-'Draft Center'!$L$82)),0)))</f>
        <v>22</v>
      </c>
      <c r="BI31" s="71">
        <f>IF(VLOOKUP($D31,$AO$14:AY$19,COLUMN()-50,0)&lt;=0,1,IF($Q31&lt;0,1,ROUNDUP(IF($Q31*('Draft Center'!$L$28+'Draft Center'!$L$78-'Draft Center'!$L$82)&lt;1,1,$Q31*('Draft Center'!$L$28+'Draft Center'!$L$78-'Draft Center'!$L$82)),0)))</f>
        <v>22</v>
      </c>
      <c r="BJ31" s="196"/>
      <c r="BK31" s="23">
        <v>0</v>
      </c>
      <c r="BL31" s="23" t="str">
        <f t="shared" si="17"/>
        <v/>
      </c>
      <c r="BM31" s="23">
        <v>0</v>
      </c>
      <c r="BN31" s="23" t="str">
        <f t="shared" si="17"/>
        <v/>
      </c>
      <c r="BO31" s="23" t="str">
        <f t="shared" si="17"/>
        <v/>
      </c>
      <c r="BP31" s="23" t="str">
        <f t="shared" si="17"/>
        <v/>
      </c>
      <c r="BQ31" s="23" t="str">
        <f t="shared" si="17"/>
        <v/>
      </c>
      <c r="BR31" s="23">
        <f t="shared" si="6"/>
        <v>0</v>
      </c>
      <c r="BS31" s="23">
        <f t="shared" si="7"/>
        <v>0</v>
      </c>
      <c r="BT31" s="71">
        <v>22</v>
      </c>
      <c r="BU31" s="58">
        <v>2327.0337</v>
      </c>
      <c r="BV31" s="33">
        <v>22</v>
      </c>
      <c r="BW31" s="204">
        <v>2327.0337</v>
      </c>
      <c r="BX31" s="23"/>
      <c r="BY31" s="174">
        <v>22</v>
      </c>
      <c r="BZ31" s="174">
        <v>26.65</v>
      </c>
      <c r="CA31" s="174">
        <v>26.65</v>
      </c>
      <c r="CB31" s="174">
        <v>26.65</v>
      </c>
      <c r="CC31" s="174">
        <f t="shared" si="10"/>
        <v>26.649999999999995</v>
      </c>
      <c r="CD31" s="174">
        <f t="shared" si="11"/>
        <v>26.65</v>
      </c>
    </row>
    <row r="32" spans="1:82" ht="15.75" customHeight="1" thickBot="1" x14ac:dyDescent="0.3">
      <c r="A32" s="2">
        <v>31</v>
      </c>
      <c r="B32" s="3" t="s">
        <v>87</v>
      </c>
      <c r="C32" s="3" t="s">
        <v>61</v>
      </c>
      <c r="D32" s="3" t="s">
        <v>53</v>
      </c>
      <c r="E32" s="49">
        <v>30.763733309500601</v>
      </c>
      <c r="F32" s="49">
        <v>303.11137694233599</v>
      </c>
      <c r="G32" s="49">
        <v>317.44069692592598</v>
      </c>
      <c r="H32" s="49">
        <v>250.70580000000001</v>
      </c>
      <c r="I32" s="4">
        <v>14.1</v>
      </c>
      <c r="J32" s="49">
        <v>4.5492976966683996</v>
      </c>
      <c r="K32" s="247">
        <f>IFERROR(VLOOKUP(C32,Schedule!$T$3:$U$34,2,0),"FA")</f>
        <v>5</v>
      </c>
      <c r="L32" s="3" t="str">
        <f>D32&amp;COUNTIF(D$2:$D32,D32)</f>
        <v>QB3</v>
      </c>
      <c r="M32" s="49">
        <f t="array" ref="M32">IFERROR(F32-AVERAGE(VLOOKUP(D32,$D33:$F$885,3,0),INDEX($F33:$F$885,SMALL(IF(D32=$D33:$D$885,ROW($D33:$D$885)-ROW(D32)),2))),0)</f>
        <v>7.2552789849229953</v>
      </c>
      <c r="N32" s="49">
        <f>IFERROR(IF(VLOOKUP($B32,Input!$AC$2:$AC$162,1,0)=$B32,0),F32)</f>
        <v>303.11137694233599</v>
      </c>
      <c r="O32" s="49">
        <f>IFERROR(IF(VLOOKUP($B32,Input!$AC$2:$AC$162,1,0)=$B32,0,G32),G32)</f>
        <v>317.44069692592598</v>
      </c>
      <c r="P32" s="49">
        <f>IF(N32=0,0,F32-AVERAGE(INDEX(F:F,MATCH(VLOOKUP(D32,Input!$A$14:$L$22,10,0),L:L,0)),INDEX(F:F,MATCH(VLOOKUP(D32,Input!$A$14:$L$22,11,0),L:L,0)),INDEX(F:F,MATCH(VLOOKUP(D32,Input!$A$14:$L$22,12,0),L:L,0)))+(0.01-ROW()*0.01))</f>
        <v>30.453733309500368</v>
      </c>
      <c r="Q32" s="105">
        <f t="shared" si="0"/>
        <v>1.0506323016718389E-2</v>
      </c>
      <c r="R32" s="4">
        <f>IF(VLOOKUP($D32,$X$14:$Y$19,2,0)&lt;=0,1,IF(Q32&lt;0,1,ROUNDUP(IF(Q32*('Draft Center'!$L$28+'Draft Center'!$L$78-'Draft Center'!$L$82)&lt;1,1,Q32*('Draft Center'!$L$28+'Draft Center'!$L$78-'Draft Center'!$L$82)),0)))</f>
        <v>21</v>
      </c>
      <c r="S32" s="4">
        <f>IF(A32&lt;Input!$B$10+0.1,IF(ROUNDUP(R32*Input!$C$10,0)=0,1,ROUNDUP(R32*Input!$C$10,0)),IF(A32&gt;Input!$B$11,IF(ROUNDUP(R32*Input!$C$11,0)=0,1,ROUNDUP(R32*Input!$C$11,0)),IF(ROUNDUP(R32,0)=0,1,ROUNDUP(R32,0))))</f>
        <v>21</v>
      </c>
      <c r="T32" s="4">
        <f t="shared" si="1"/>
        <v>21</v>
      </c>
      <c r="U32" s="4">
        <f>IFERROR(VLOOKUP($B32,Input!$AC$2:$AE$161,3,0),0)</f>
        <v>0</v>
      </c>
      <c r="V32" s="255">
        <f t="shared" si="8"/>
        <v>0.4896817021276596</v>
      </c>
      <c r="W32" s="266">
        <f t="shared" si="9"/>
        <v>6.9003200000000007</v>
      </c>
      <c r="X32" s="27" t="b">
        <f t="array" ref="X32">($AA$2:$AA$201=0)+($AA$2:$AA$201=1)=1</f>
        <v>1</v>
      </c>
      <c r="Y32" s="23"/>
      <c r="Z32" s="23"/>
      <c r="AA32" s="23">
        <v>0</v>
      </c>
      <c r="AB32" s="23">
        <f t="shared" ref="AB32:AG41" si="27">IF($D32=AB$1,1*$AA32,"")</f>
        <v>0</v>
      </c>
      <c r="AC32" s="23" t="str">
        <f t="shared" si="27"/>
        <v/>
      </c>
      <c r="AD32" s="23" t="str">
        <f t="shared" si="27"/>
        <v/>
      </c>
      <c r="AE32" s="23" t="str">
        <f t="shared" si="27"/>
        <v/>
      </c>
      <c r="AF32" s="23" t="str">
        <f t="shared" si="27"/>
        <v/>
      </c>
      <c r="AG32" s="23" t="str">
        <f t="shared" si="27"/>
        <v/>
      </c>
      <c r="AH32" s="23">
        <f t="shared" si="3"/>
        <v>0</v>
      </c>
      <c r="AI32" s="23">
        <f t="shared" si="4"/>
        <v>0</v>
      </c>
      <c r="AJ32" s="72">
        <v>21</v>
      </c>
      <c r="AK32" s="225">
        <v>2327.0337</v>
      </c>
      <c r="AL32" s="33">
        <v>21</v>
      </c>
      <c r="AM32" s="204">
        <v>2327.0337</v>
      </c>
      <c r="AN32" s="196"/>
      <c r="AO32" s="23"/>
      <c r="AP32" s="23"/>
      <c r="AQ32" s="68" t="b">
        <f>$AP$8&lt;=1+AQ$8</f>
        <v>1</v>
      </c>
      <c r="AR32" s="68" t="b">
        <f t="shared" ref="AR32:AY32" si="28">$AP$8&lt;=1+AR$8</f>
        <v>1</v>
      </c>
      <c r="AS32" s="68" t="b">
        <f t="shared" si="28"/>
        <v>1</v>
      </c>
      <c r="AT32" s="68" t="b">
        <f t="shared" si="28"/>
        <v>1</v>
      </c>
      <c r="AU32" s="68" t="b">
        <f t="shared" si="28"/>
        <v>1</v>
      </c>
      <c r="AV32" s="68" t="b">
        <f t="shared" si="28"/>
        <v>1</v>
      </c>
      <c r="AW32" s="68" t="b">
        <f t="shared" si="28"/>
        <v>1</v>
      </c>
      <c r="AX32" s="68" t="b">
        <f t="shared" si="28"/>
        <v>1</v>
      </c>
      <c r="AY32" s="68" t="b">
        <f t="shared" si="28"/>
        <v>1</v>
      </c>
      <c r="AZ32" s="196"/>
      <c r="BA32" s="72">
        <f>IF(VLOOKUP($D32,$AO$14:AQ$19,COLUMN()-50,0)&lt;=0,1,IF($Q32&lt;0,1,ROUNDUP(IF($Q32*('Draft Center'!$L$28+'Draft Center'!$L$78-'Draft Center'!$L$82)&lt;1,1,$Q32*('Draft Center'!$L$28+'Draft Center'!$L$78-'Draft Center'!$L$82)),0)))</f>
        <v>21</v>
      </c>
      <c r="BB32" s="72">
        <f>IF(VLOOKUP($D32,$AO$14:AR$19,COLUMN()-50,0)&lt;=0,1,IF($Q32&lt;0,1,ROUNDUP(IF($Q32*('Draft Center'!$L$28+'Draft Center'!$L$78-'Draft Center'!$L$82)&lt;1,1,$Q32*('Draft Center'!$L$28+'Draft Center'!$L$78-'Draft Center'!$L$82)),0)))</f>
        <v>21</v>
      </c>
      <c r="BC32" s="72">
        <f>IF(VLOOKUP($D32,$AO$14:AS$19,COLUMN()-50,0)&lt;=0,1,IF($Q32&lt;0,1,ROUNDUP(IF($Q32*('Draft Center'!$L$28+'Draft Center'!$L$78-'Draft Center'!$L$82)&lt;1,1,$Q32*('Draft Center'!$L$28+'Draft Center'!$L$78-'Draft Center'!$L$82)),0)))</f>
        <v>21</v>
      </c>
      <c r="BD32" s="72">
        <f>IF(VLOOKUP($D32,$AO$14:AT$19,COLUMN()-50,0)&lt;=0,1,IF($Q32&lt;0,1,ROUNDUP(IF($Q32*('Draft Center'!$L$28+'Draft Center'!$L$78-'Draft Center'!$L$82)&lt;1,1,$Q32*('Draft Center'!$L$28+'Draft Center'!$L$78-'Draft Center'!$L$82)),0)))</f>
        <v>21</v>
      </c>
      <c r="BE32" s="72">
        <f>IF(VLOOKUP($D32,$AO$14:AU$19,COLUMN()-50,0)&lt;=0,1,IF($Q32&lt;0,1,ROUNDUP(IF($Q32*('Draft Center'!$L$28+'Draft Center'!$L$78-'Draft Center'!$L$82)&lt;1,1,$Q32*('Draft Center'!$L$28+'Draft Center'!$L$78-'Draft Center'!$L$82)),0)))</f>
        <v>21</v>
      </c>
      <c r="BF32" s="72">
        <f>IF(VLOOKUP($D32,$AO$14:AV$19,COLUMN()-50,0)&lt;=0,1,IF($Q32&lt;0,1,ROUNDUP(IF($Q32*('Draft Center'!$L$28+'Draft Center'!$L$78-'Draft Center'!$L$82)&lt;1,1,$Q32*('Draft Center'!$L$28+'Draft Center'!$L$78-'Draft Center'!$L$82)),0)))</f>
        <v>21</v>
      </c>
      <c r="BG32" s="72">
        <f>IF(VLOOKUP($D32,$AO$14:AW$19,COLUMN()-50,0)&lt;=0,1,IF($Q32&lt;0,1,ROUNDUP(IF($Q32*('Draft Center'!$L$28+'Draft Center'!$L$78-'Draft Center'!$L$82)&lt;1,1,$Q32*('Draft Center'!$L$28+'Draft Center'!$L$78-'Draft Center'!$L$82)),0)))</f>
        <v>21</v>
      </c>
      <c r="BH32" s="72">
        <f>IF(VLOOKUP($D32,$AO$14:AX$19,COLUMN()-50,0)&lt;=0,1,IF($Q32&lt;0,1,ROUNDUP(IF($Q32*('Draft Center'!$L$28+'Draft Center'!$L$78-'Draft Center'!$L$82)&lt;1,1,$Q32*('Draft Center'!$L$28+'Draft Center'!$L$78-'Draft Center'!$L$82)),0)))</f>
        <v>21</v>
      </c>
      <c r="BI32" s="72">
        <f>IF(VLOOKUP($D32,$AO$14:AY$19,COLUMN()-50,0)&lt;=0,1,IF($Q32&lt;0,1,ROUNDUP(IF($Q32*('Draft Center'!$L$28+'Draft Center'!$L$78-'Draft Center'!$L$82)&lt;1,1,$Q32*('Draft Center'!$L$28+'Draft Center'!$L$78-'Draft Center'!$L$82)),0)))</f>
        <v>21</v>
      </c>
      <c r="BJ32" s="196"/>
      <c r="BK32" s="23">
        <v>0</v>
      </c>
      <c r="BL32" s="23">
        <f t="shared" ref="BL32:BQ41" si="29">IF($D32=BL$1,1*$BK32,"")</f>
        <v>0</v>
      </c>
      <c r="BM32" s="23">
        <v>0</v>
      </c>
      <c r="BN32" s="23" t="str">
        <f t="shared" si="29"/>
        <v/>
      </c>
      <c r="BO32" s="23" t="str">
        <f t="shared" si="29"/>
        <v/>
      </c>
      <c r="BP32" s="23" t="str">
        <f t="shared" si="29"/>
        <v/>
      </c>
      <c r="BQ32" s="23" t="str">
        <f t="shared" si="29"/>
        <v/>
      </c>
      <c r="BR32" s="23">
        <f t="shared" si="6"/>
        <v>0</v>
      </c>
      <c r="BS32" s="23">
        <f t="shared" si="7"/>
        <v>0</v>
      </c>
      <c r="BT32" s="72">
        <v>21</v>
      </c>
      <c r="BU32" s="58">
        <v>2327.0337</v>
      </c>
      <c r="BV32" s="33">
        <v>21</v>
      </c>
      <c r="BW32" s="204">
        <v>2327.0337</v>
      </c>
      <c r="BX32" s="23"/>
      <c r="BY32" s="72">
        <v>21</v>
      </c>
      <c r="BZ32" s="72">
        <v>14.1</v>
      </c>
      <c r="CA32" s="72">
        <v>14.1</v>
      </c>
      <c r="CB32" s="72">
        <v>14.1</v>
      </c>
      <c r="CC32" s="72">
        <f t="shared" si="10"/>
        <v>14.1</v>
      </c>
      <c r="CD32" s="72">
        <f t="shared" si="11"/>
        <v>14.1</v>
      </c>
    </row>
    <row r="33" spans="1:82" ht="15.75" customHeight="1" thickBot="1" x14ac:dyDescent="0.3">
      <c r="A33" s="6">
        <v>32</v>
      </c>
      <c r="B33" s="7" t="s">
        <v>73</v>
      </c>
      <c r="C33" s="7" t="s">
        <v>61</v>
      </c>
      <c r="D33" s="7" t="s">
        <v>19</v>
      </c>
      <c r="E33" s="50">
        <v>30.735947203982601</v>
      </c>
      <c r="F33" s="50">
        <v>199.83834522993499</v>
      </c>
      <c r="G33" s="50">
        <v>218.06548447121099</v>
      </c>
      <c r="H33" s="50">
        <v>137.25283388234899</v>
      </c>
      <c r="I33" s="8">
        <v>15.3</v>
      </c>
      <c r="J33" s="50">
        <v>5.1898023803544104</v>
      </c>
      <c r="K33" s="248">
        <f>IFERROR(VLOOKUP(C33,Schedule!$T$3:$U$34,2,0),"FA")</f>
        <v>5</v>
      </c>
      <c r="L33" s="7" t="str">
        <f>D33&amp;COUNTIF(D$2:$D33,D33)</f>
        <v>RB14</v>
      </c>
      <c r="M33" s="50">
        <f t="array" ref="M33">IFERROR(F33-AVERAGE(VLOOKUP(D33,$D34:$F$885,3,0),INDEX($F34:$F$885,SMALL(IF(D33=$D34:$D$885,ROW($D34:$D$885)-ROW(D33)),2))),0)</f>
        <v>0.39703763244347101</v>
      </c>
      <c r="N33" s="50">
        <f>IFERROR(IF(VLOOKUP($B33,Input!$AC$2:$AC$162,1,0)=$B33,0),F33)</f>
        <v>199.83834522993499</v>
      </c>
      <c r="O33" s="50">
        <f>IFERROR(IF(VLOOKUP($B33,Input!$AC$2:$AC$162,1,0)=$B33,0,G33),G33)</f>
        <v>218.06548447121099</v>
      </c>
      <c r="P33" s="50">
        <f>IF(N33=0,0,F33-AVERAGE(INDEX(F:F,MATCH(VLOOKUP(D33,Input!$A$14:$L$22,10,0),L:L,0)),INDEX(F:F,MATCH(VLOOKUP(D33,Input!$A$14:$L$22,11,0),L:L,0)),INDEX(F:F,MATCH(VLOOKUP(D33,Input!$A$14:$L$22,12,0),L:L,0)))+(0.01-ROW()*0.01))</f>
        <v>30.415947203982988</v>
      </c>
      <c r="Q33" s="106">
        <f t="shared" si="0"/>
        <v>1.0493287077049687E-2</v>
      </c>
      <c r="R33" s="8">
        <f>IF(VLOOKUP($D33,$X$14:$Y$19,2,0)&lt;=0,1,IF(Q33&lt;0,1,ROUNDUP(IF(Q33*('Draft Center'!$L$28+'Draft Center'!$L$78-'Draft Center'!$L$82)&lt;1,1,Q33*('Draft Center'!$L$28+'Draft Center'!$L$78-'Draft Center'!$L$82)),0)))</f>
        <v>21</v>
      </c>
      <c r="S33" s="8">
        <f>IF(A33&lt;Input!$B$10+0.1,IF(ROUNDUP(R33*Input!$C$10,0)=0,1,ROUNDUP(R33*Input!$C$10,0)),IF(A33&gt;Input!$B$11,IF(ROUNDUP(R33*Input!$C$11,0)=0,1,ROUNDUP(R33*Input!$C$11,0)),IF(ROUNDUP(R33,0)=0,1,ROUNDUP(R33,0))))</f>
        <v>21</v>
      </c>
      <c r="T33" s="8">
        <f t="shared" si="1"/>
        <v>21</v>
      </c>
      <c r="U33" s="8">
        <f>IFERROR(VLOOKUP($B33,Input!$AC$2:$AE$161,3,0),0)</f>
        <v>0</v>
      </c>
      <c r="V33" s="256">
        <f t="shared" si="8"/>
        <v>0.37287901960784309</v>
      </c>
      <c r="W33" s="263">
        <f t="shared" si="9"/>
        <v>5.7003299999999992</v>
      </c>
      <c r="X33" s="27" t="b">
        <f>$Z$10=$Y$10</f>
        <v>1</v>
      </c>
      <c r="Y33" s="23"/>
      <c r="Z33" s="23"/>
      <c r="AA33" s="23">
        <v>0</v>
      </c>
      <c r="AB33" s="23" t="str">
        <f t="shared" si="27"/>
        <v/>
      </c>
      <c r="AC33" s="23">
        <f t="shared" si="27"/>
        <v>0</v>
      </c>
      <c r="AD33" s="23" t="str">
        <f t="shared" si="27"/>
        <v/>
      </c>
      <c r="AE33" s="23" t="str">
        <f t="shared" si="27"/>
        <v/>
      </c>
      <c r="AF33" s="23" t="str">
        <f t="shared" si="27"/>
        <v/>
      </c>
      <c r="AG33" s="23" t="str">
        <f t="shared" si="27"/>
        <v/>
      </c>
      <c r="AH33" s="23">
        <f t="shared" si="3"/>
        <v>0</v>
      </c>
      <c r="AI33" s="23">
        <f t="shared" si="4"/>
        <v>0</v>
      </c>
      <c r="AJ33" s="70">
        <v>21</v>
      </c>
      <c r="AK33" s="225">
        <v>2327.0337</v>
      </c>
      <c r="AL33" s="33">
        <v>21</v>
      </c>
      <c r="AM33" s="204">
        <v>2327.0337</v>
      </c>
      <c r="AN33" s="196"/>
      <c r="AO33" s="23"/>
      <c r="AP33" s="23"/>
      <c r="AQ33" s="68" t="b">
        <f>$AP$9=AQ$9</f>
        <v>0</v>
      </c>
      <c r="AR33" s="68" t="b">
        <f t="shared" ref="AR33:AY33" si="30">$AP$9=AR$9</f>
        <v>0</v>
      </c>
      <c r="AS33" s="68" t="b">
        <f t="shared" si="30"/>
        <v>0</v>
      </c>
      <c r="AT33" s="68" t="b">
        <f t="shared" si="30"/>
        <v>0</v>
      </c>
      <c r="AU33" s="68" t="b">
        <f t="shared" si="30"/>
        <v>0</v>
      </c>
      <c r="AV33" s="68" t="b">
        <f t="shared" si="30"/>
        <v>0</v>
      </c>
      <c r="AW33" s="68" t="b">
        <f t="shared" si="30"/>
        <v>0</v>
      </c>
      <c r="AX33" s="68" t="b">
        <f t="shared" si="30"/>
        <v>0</v>
      </c>
      <c r="AY33" s="68" t="b">
        <f t="shared" si="30"/>
        <v>0</v>
      </c>
      <c r="AZ33" s="196"/>
      <c r="BA33" s="70">
        <f>IF(VLOOKUP($D33,$AO$14:AQ$19,COLUMN()-50,0)&lt;=0,1,IF($Q33&lt;0,1,ROUNDUP(IF($Q33*('Draft Center'!$L$28+'Draft Center'!$L$78-'Draft Center'!$L$82)&lt;1,1,$Q33*('Draft Center'!$L$28+'Draft Center'!$L$78-'Draft Center'!$L$82)),0)))</f>
        <v>21</v>
      </c>
      <c r="BB33" s="70">
        <f>IF(VLOOKUP($D33,$AO$14:AR$19,COLUMN()-50,0)&lt;=0,1,IF($Q33&lt;0,1,ROUNDUP(IF($Q33*('Draft Center'!$L$28+'Draft Center'!$L$78-'Draft Center'!$L$82)&lt;1,1,$Q33*('Draft Center'!$L$28+'Draft Center'!$L$78-'Draft Center'!$L$82)),0)))</f>
        <v>21</v>
      </c>
      <c r="BC33" s="70">
        <f>IF(VLOOKUP($D33,$AO$14:AS$19,COLUMN()-50,0)&lt;=0,1,IF($Q33&lt;0,1,ROUNDUP(IF($Q33*('Draft Center'!$L$28+'Draft Center'!$L$78-'Draft Center'!$L$82)&lt;1,1,$Q33*('Draft Center'!$L$28+'Draft Center'!$L$78-'Draft Center'!$L$82)),0)))</f>
        <v>21</v>
      </c>
      <c r="BD33" s="70">
        <f>IF(VLOOKUP($D33,$AO$14:AT$19,COLUMN()-50,0)&lt;=0,1,IF($Q33&lt;0,1,ROUNDUP(IF($Q33*('Draft Center'!$L$28+'Draft Center'!$L$78-'Draft Center'!$L$82)&lt;1,1,$Q33*('Draft Center'!$L$28+'Draft Center'!$L$78-'Draft Center'!$L$82)),0)))</f>
        <v>21</v>
      </c>
      <c r="BE33" s="70">
        <f>IF(VLOOKUP($D33,$AO$14:AU$19,COLUMN()-50,0)&lt;=0,1,IF($Q33&lt;0,1,ROUNDUP(IF($Q33*('Draft Center'!$L$28+'Draft Center'!$L$78-'Draft Center'!$L$82)&lt;1,1,$Q33*('Draft Center'!$L$28+'Draft Center'!$L$78-'Draft Center'!$L$82)),0)))</f>
        <v>21</v>
      </c>
      <c r="BF33" s="70">
        <f>IF(VLOOKUP($D33,$AO$14:AV$19,COLUMN()-50,0)&lt;=0,1,IF($Q33&lt;0,1,ROUNDUP(IF($Q33*('Draft Center'!$L$28+'Draft Center'!$L$78-'Draft Center'!$L$82)&lt;1,1,$Q33*('Draft Center'!$L$28+'Draft Center'!$L$78-'Draft Center'!$L$82)),0)))</f>
        <v>21</v>
      </c>
      <c r="BG33" s="70">
        <f>IF(VLOOKUP($D33,$AO$14:AW$19,COLUMN()-50,0)&lt;=0,1,IF($Q33&lt;0,1,ROUNDUP(IF($Q33*('Draft Center'!$L$28+'Draft Center'!$L$78-'Draft Center'!$L$82)&lt;1,1,$Q33*('Draft Center'!$L$28+'Draft Center'!$L$78-'Draft Center'!$L$82)),0)))</f>
        <v>21</v>
      </c>
      <c r="BH33" s="70">
        <f>IF(VLOOKUP($D33,$AO$14:AX$19,COLUMN()-50,0)&lt;=0,1,IF($Q33&lt;0,1,ROUNDUP(IF($Q33*('Draft Center'!$L$28+'Draft Center'!$L$78-'Draft Center'!$L$82)&lt;1,1,$Q33*('Draft Center'!$L$28+'Draft Center'!$L$78-'Draft Center'!$L$82)),0)))</f>
        <v>21</v>
      </c>
      <c r="BI33" s="70">
        <f>IF(VLOOKUP($D33,$AO$14:AY$19,COLUMN()-50,0)&lt;=0,1,IF($Q33&lt;0,1,ROUNDUP(IF($Q33*('Draft Center'!$L$28+'Draft Center'!$L$78-'Draft Center'!$L$82)&lt;1,1,$Q33*('Draft Center'!$L$28+'Draft Center'!$L$78-'Draft Center'!$L$82)),0)))</f>
        <v>21</v>
      </c>
      <c r="BJ33" s="196"/>
      <c r="BK33" s="23">
        <v>0</v>
      </c>
      <c r="BL33" s="23" t="str">
        <f t="shared" si="29"/>
        <v/>
      </c>
      <c r="BM33" s="23">
        <v>0</v>
      </c>
      <c r="BN33" s="23" t="str">
        <f t="shared" si="29"/>
        <v/>
      </c>
      <c r="BO33" s="23" t="str">
        <f t="shared" si="29"/>
        <v/>
      </c>
      <c r="BP33" s="23" t="str">
        <f t="shared" si="29"/>
        <v/>
      </c>
      <c r="BQ33" s="23" t="str">
        <f t="shared" si="29"/>
        <v/>
      </c>
      <c r="BR33" s="23">
        <f t="shared" si="6"/>
        <v>0</v>
      </c>
      <c r="BS33" s="23">
        <f t="shared" si="7"/>
        <v>0</v>
      </c>
      <c r="BT33" s="70">
        <v>21</v>
      </c>
      <c r="BU33" s="58">
        <v>2327.0337</v>
      </c>
      <c r="BV33" s="33">
        <v>21</v>
      </c>
      <c r="BW33" s="204">
        <v>2327.0337</v>
      </c>
      <c r="BX33" s="23"/>
      <c r="BY33" s="70">
        <v>21</v>
      </c>
      <c r="BZ33" s="70">
        <v>15.3</v>
      </c>
      <c r="CA33" s="70">
        <v>15.3</v>
      </c>
      <c r="CB33" s="70">
        <v>15.3</v>
      </c>
      <c r="CC33" s="70">
        <f t="shared" si="10"/>
        <v>15.300000000000002</v>
      </c>
      <c r="CD33" s="70">
        <f t="shared" si="11"/>
        <v>15.3</v>
      </c>
    </row>
    <row r="34" spans="1:82" ht="15.75" customHeight="1" thickBot="1" x14ac:dyDescent="0.3">
      <c r="A34" s="9">
        <v>33</v>
      </c>
      <c r="B34" s="10" t="s">
        <v>142</v>
      </c>
      <c r="C34" s="10" t="s">
        <v>143</v>
      </c>
      <c r="D34" s="10" t="s">
        <v>19</v>
      </c>
      <c r="E34" s="51">
        <v>30.7142301526161</v>
      </c>
      <c r="F34" s="51">
        <v>199.81662817856801</v>
      </c>
      <c r="G34" s="51">
        <v>214.86084050858801</v>
      </c>
      <c r="H34" s="51">
        <v>170.899133911446</v>
      </c>
      <c r="I34" s="11">
        <v>15.4</v>
      </c>
      <c r="J34" s="51">
        <v>3.9155368774677202</v>
      </c>
      <c r="K34" s="249">
        <f>IFERROR(VLOOKUP(C34,Schedule!$T$3:$U$34,2,0),"FA")</f>
        <v>9</v>
      </c>
      <c r="L34" s="10" t="str">
        <f>D34&amp;COUNTIF(D$2:$D34,D34)</f>
        <v>RB15</v>
      </c>
      <c r="M34" s="51">
        <f t="array" ref="M34">IFERROR(F34-AVERAGE(VLOOKUP(D34,$D35:$F$885,3,0),INDEX($F35:$F$885,SMALL(IF(D34=$D35:$D$885,ROW($D35:$D$885)-ROW(D34)),2))),0)</f>
        <v>1.2358147839425158</v>
      </c>
      <c r="N34" s="51">
        <f>IFERROR(IF(VLOOKUP($B34,Input!$AC$2:$AC$162,1,0)=$B34,0),F34)</f>
        <v>199.81662817856801</v>
      </c>
      <c r="O34" s="51">
        <f>IFERROR(IF(VLOOKUP($B34,Input!$AC$2:$AC$162,1,0)=$B34,0,G34),G34)</f>
        <v>214.86084050858801</v>
      </c>
      <c r="P34" s="51">
        <f>IF(N34=0,0,F34-AVERAGE(INDEX(F:F,MATCH(VLOOKUP(D34,Input!$A$14:$L$22,10,0),L:L,0)),INDEX(F:F,MATCH(VLOOKUP(D34,Input!$A$14:$L$22,11,0),L:L,0)),INDEX(F:F,MATCH(VLOOKUP(D34,Input!$A$14:$L$22,12,0),L:L,0)))+(0.01-ROW()*0.01))</f>
        <v>30.384230152616013</v>
      </c>
      <c r="Q34" s="107">
        <f t="shared" si="0"/>
        <v>1.048234491822099E-2</v>
      </c>
      <c r="R34" s="11">
        <f>IF(VLOOKUP($D34,$X$14:$Y$19,2,0)&lt;=0,1,IF(Q34&lt;0,1,ROUNDUP(IF(Q34*('Draft Center'!$L$28+'Draft Center'!$L$78-'Draft Center'!$L$82)&lt;1,1,Q34*('Draft Center'!$L$28+'Draft Center'!$L$78-'Draft Center'!$L$82)),0)))</f>
        <v>21</v>
      </c>
      <c r="S34" s="11">
        <f>IF(A34&lt;Input!$B$10+0.1,IF(ROUNDUP(R34*Input!$C$10,0)=0,1,ROUNDUP(R34*Input!$C$10,0)),IF(A34&gt;Input!$B$11,IF(ROUNDUP(R34*Input!$C$11,0)=0,1,ROUNDUP(R34*Input!$C$11,0)),IF(ROUNDUP(R34,0)=0,1,ROUNDUP(R34,0))))</f>
        <v>21</v>
      </c>
      <c r="T34" s="11">
        <f t="shared" si="1"/>
        <v>21</v>
      </c>
      <c r="U34" s="11">
        <f>IFERROR(VLOOKUP($B34,Input!$AC$2:$AE$161,3,0),0)</f>
        <v>0</v>
      </c>
      <c r="V34" s="257">
        <f t="shared" si="8"/>
        <v>0.3639763636363636</v>
      </c>
      <c r="W34" s="264">
        <f t="shared" si="9"/>
        <v>5.6003399999999992</v>
      </c>
      <c r="X34" s="27" t="b">
        <f>$Z$2=$Y$2</f>
        <v>1</v>
      </c>
      <c r="Y34" s="23"/>
      <c r="Z34" s="23"/>
      <c r="AA34" s="23">
        <v>0</v>
      </c>
      <c r="AB34" s="23" t="str">
        <f t="shared" si="27"/>
        <v/>
      </c>
      <c r="AC34" s="23">
        <f t="shared" si="27"/>
        <v>0</v>
      </c>
      <c r="AD34" s="23" t="str">
        <f t="shared" si="27"/>
        <v/>
      </c>
      <c r="AE34" s="23" t="str">
        <f t="shared" si="27"/>
        <v/>
      </c>
      <c r="AF34" s="23" t="str">
        <f t="shared" si="27"/>
        <v/>
      </c>
      <c r="AG34" s="23" t="str">
        <f t="shared" si="27"/>
        <v/>
      </c>
      <c r="AH34" s="23">
        <f t="shared" si="3"/>
        <v>0</v>
      </c>
      <c r="AI34" s="23">
        <f t="shared" si="4"/>
        <v>0</v>
      </c>
      <c r="AJ34" s="69">
        <v>21</v>
      </c>
      <c r="AK34" s="225">
        <v>2327.0337</v>
      </c>
      <c r="AL34" s="33">
        <v>21</v>
      </c>
      <c r="AM34" s="204">
        <v>2327.0337</v>
      </c>
      <c r="AN34" s="196"/>
      <c r="AO34" s="23"/>
      <c r="AP34" s="23"/>
      <c r="AQ34" s="68" t="b">
        <f>$AP$8&gt;=AQ$8</f>
        <v>1</v>
      </c>
      <c r="AR34" s="68" t="b">
        <f t="shared" ref="AR34:AY34" si="31">$AP$8&gt;=AR$8</f>
        <v>1</v>
      </c>
      <c r="AS34" s="68" t="b">
        <f t="shared" si="31"/>
        <v>1</v>
      </c>
      <c r="AT34" s="68" t="b">
        <f t="shared" si="31"/>
        <v>1</v>
      </c>
      <c r="AU34" s="68" t="b">
        <f t="shared" si="31"/>
        <v>1</v>
      </c>
      <c r="AV34" s="68" t="b">
        <f t="shared" si="31"/>
        <v>1</v>
      </c>
      <c r="AW34" s="68" t="b">
        <f t="shared" si="31"/>
        <v>1</v>
      </c>
      <c r="AX34" s="68" t="b">
        <f t="shared" si="31"/>
        <v>1</v>
      </c>
      <c r="AY34" s="68" t="b">
        <f t="shared" si="31"/>
        <v>1</v>
      </c>
      <c r="AZ34" s="196"/>
      <c r="BA34" s="69">
        <f>IF(VLOOKUP($D34,$AO$14:AQ$19,COLUMN()-50,0)&lt;=0,1,IF($Q34&lt;0,1,ROUNDUP(IF($Q34*('Draft Center'!$L$28+'Draft Center'!$L$78-'Draft Center'!$L$82)&lt;1,1,$Q34*('Draft Center'!$L$28+'Draft Center'!$L$78-'Draft Center'!$L$82)),0)))</f>
        <v>21</v>
      </c>
      <c r="BB34" s="69">
        <f>IF(VLOOKUP($D34,$AO$14:AR$19,COLUMN()-50,0)&lt;=0,1,IF($Q34&lt;0,1,ROUNDUP(IF($Q34*('Draft Center'!$L$28+'Draft Center'!$L$78-'Draft Center'!$L$82)&lt;1,1,$Q34*('Draft Center'!$L$28+'Draft Center'!$L$78-'Draft Center'!$L$82)),0)))</f>
        <v>21</v>
      </c>
      <c r="BC34" s="69">
        <f>IF(VLOOKUP($D34,$AO$14:AS$19,COLUMN()-50,0)&lt;=0,1,IF($Q34&lt;0,1,ROUNDUP(IF($Q34*('Draft Center'!$L$28+'Draft Center'!$L$78-'Draft Center'!$L$82)&lt;1,1,$Q34*('Draft Center'!$L$28+'Draft Center'!$L$78-'Draft Center'!$L$82)),0)))</f>
        <v>21</v>
      </c>
      <c r="BD34" s="69">
        <f>IF(VLOOKUP($D34,$AO$14:AT$19,COLUMN()-50,0)&lt;=0,1,IF($Q34&lt;0,1,ROUNDUP(IF($Q34*('Draft Center'!$L$28+'Draft Center'!$L$78-'Draft Center'!$L$82)&lt;1,1,$Q34*('Draft Center'!$L$28+'Draft Center'!$L$78-'Draft Center'!$L$82)),0)))</f>
        <v>21</v>
      </c>
      <c r="BE34" s="69">
        <f>IF(VLOOKUP($D34,$AO$14:AU$19,COLUMN()-50,0)&lt;=0,1,IF($Q34&lt;0,1,ROUNDUP(IF($Q34*('Draft Center'!$L$28+'Draft Center'!$L$78-'Draft Center'!$L$82)&lt;1,1,$Q34*('Draft Center'!$L$28+'Draft Center'!$L$78-'Draft Center'!$L$82)),0)))</f>
        <v>21</v>
      </c>
      <c r="BF34" s="69">
        <f>IF(VLOOKUP($D34,$AO$14:AV$19,COLUMN()-50,0)&lt;=0,1,IF($Q34&lt;0,1,ROUNDUP(IF($Q34*('Draft Center'!$L$28+'Draft Center'!$L$78-'Draft Center'!$L$82)&lt;1,1,$Q34*('Draft Center'!$L$28+'Draft Center'!$L$78-'Draft Center'!$L$82)),0)))</f>
        <v>21</v>
      </c>
      <c r="BG34" s="69">
        <f>IF(VLOOKUP($D34,$AO$14:AW$19,COLUMN()-50,0)&lt;=0,1,IF($Q34&lt;0,1,ROUNDUP(IF($Q34*('Draft Center'!$L$28+'Draft Center'!$L$78-'Draft Center'!$L$82)&lt;1,1,$Q34*('Draft Center'!$L$28+'Draft Center'!$L$78-'Draft Center'!$L$82)),0)))</f>
        <v>21</v>
      </c>
      <c r="BH34" s="69">
        <f>IF(VLOOKUP($D34,$AO$14:AX$19,COLUMN()-50,0)&lt;=0,1,IF($Q34&lt;0,1,ROUNDUP(IF($Q34*('Draft Center'!$L$28+'Draft Center'!$L$78-'Draft Center'!$L$82)&lt;1,1,$Q34*('Draft Center'!$L$28+'Draft Center'!$L$78-'Draft Center'!$L$82)),0)))</f>
        <v>21</v>
      </c>
      <c r="BI34" s="69">
        <f>IF(VLOOKUP($D34,$AO$14:AY$19,COLUMN()-50,0)&lt;=0,1,IF($Q34&lt;0,1,ROUNDUP(IF($Q34*('Draft Center'!$L$28+'Draft Center'!$L$78-'Draft Center'!$L$82)&lt;1,1,$Q34*('Draft Center'!$L$28+'Draft Center'!$L$78-'Draft Center'!$L$82)),0)))</f>
        <v>21</v>
      </c>
      <c r="BJ34" s="196"/>
      <c r="BK34" s="23">
        <v>0</v>
      </c>
      <c r="BL34" s="23" t="str">
        <f t="shared" si="29"/>
        <v/>
      </c>
      <c r="BM34" s="23">
        <v>0</v>
      </c>
      <c r="BN34" s="23" t="str">
        <f t="shared" si="29"/>
        <v/>
      </c>
      <c r="BO34" s="23" t="str">
        <f t="shared" si="29"/>
        <v/>
      </c>
      <c r="BP34" s="23" t="str">
        <f t="shared" si="29"/>
        <v/>
      </c>
      <c r="BQ34" s="23" t="str">
        <f t="shared" si="29"/>
        <v/>
      </c>
      <c r="BR34" s="23">
        <f t="shared" si="6"/>
        <v>0</v>
      </c>
      <c r="BS34" s="23">
        <f t="shared" si="7"/>
        <v>0</v>
      </c>
      <c r="BT34" s="69">
        <v>21</v>
      </c>
      <c r="BU34" s="58">
        <v>2327.0337</v>
      </c>
      <c r="BV34" s="33">
        <v>21</v>
      </c>
      <c r="BW34" s="204">
        <v>2327.0337</v>
      </c>
      <c r="BX34" s="23"/>
      <c r="BY34" s="69">
        <v>21</v>
      </c>
      <c r="BZ34" s="69">
        <v>15.4</v>
      </c>
      <c r="CA34" s="69">
        <v>15.4</v>
      </c>
      <c r="CB34" s="69">
        <v>15.4</v>
      </c>
      <c r="CC34" s="69">
        <f t="shared" si="10"/>
        <v>15.4</v>
      </c>
      <c r="CD34" s="69">
        <f t="shared" si="11"/>
        <v>15.4</v>
      </c>
    </row>
    <row r="35" spans="1:82" ht="15.75" customHeight="1" thickBot="1" x14ac:dyDescent="0.3">
      <c r="A35" s="6">
        <v>34</v>
      </c>
      <c r="B35" s="7" t="s">
        <v>268</v>
      </c>
      <c r="C35" s="7" t="s">
        <v>93</v>
      </c>
      <c r="D35" s="7" t="s">
        <v>19</v>
      </c>
      <c r="E35" s="50">
        <v>29.963588990463101</v>
      </c>
      <c r="F35" s="50">
        <v>199.06598701641499</v>
      </c>
      <c r="G35" s="50">
        <v>209.87646507677499</v>
      </c>
      <c r="H35" s="50">
        <v>185.517338820302</v>
      </c>
      <c r="I35" s="8">
        <v>11.3</v>
      </c>
      <c r="J35" s="50">
        <v>3.3738711684683902</v>
      </c>
      <c r="K35" s="248">
        <f>IFERROR(VLOOKUP(C35,Schedule!$T$3:$U$34,2,0),"FA")</f>
        <v>11</v>
      </c>
      <c r="L35" s="7" t="str">
        <f>D35&amp;COUNTIF(D$2:$D35,D35)</f>
        <v>RB16</v>
      </c>
      <c r="M35" s="50">
        <f t="array" ref="M35">IFERROR(F35-AVERAGE(VLOOKUP(D35,$D36:$F$885,3,0),INDEX($F36:$F$885,SMALL(IF(D35=$D36:$D$885,ROW($D36:$D$885)-ROW(D35)),2))),0)</f>
        <v>7.6095806288765004</v>
      </c>
      <c r="N35" s="50">
        <f>IFERROR(IF(VLOOKUP($B35,Input!$AC$2:$AC$162,1,0)=$B35,0),F35)</f>
        <v>199.06598701641499</v>
      </c>
      <c r="O35" s="50">
        <f>IFERROR(IF(VLOOKUP($B35,Input!$AC$2:$AC$162,1,0)=$B35,0,G35),G35)</f>
        <v>209.87646507677499</v>
      </c>
      <c r="P35" s="50">
        <f>IF(N35=0,0,F35-AVERAGE(INDEX(F:F,MATCH(VLOOKUP(D35,Input!$A$14:$L$22,10,0),L:L,0)),INDEX(F:F,MATCH(VLOOKUP(D35,Input!$A$14:$L$22,11,0),L:L,0)),INDEX(F:F,MATCH(VLOOKUP(D35,Input!$A$14:$L$22,12,0),L:L,0)))+(0.01-ROW()*0.01))</f>
        <v>29.623588990462995</v>
      </c>
      <c r="Q35" s="106">
        <f t="shared" si="0"/>
        <v>1.0219929086698009E-2</v>
      </c>
      <c r="R35" s="8">
        <f>IF(VLOOKUP($D35,$X$14:$Y$19,2,0)&lt;=0,1,IF(Q35&lt;0,1,ROUNDUP(IF(Q35*('Draft Center'!$L$28+'Draft Center'!$L$78-'Draft Center'!$L$82)&lt;1,1,Q35*('Draft Center'!$L$28+'Draft Center'!$L$78-'Draft Center'!$L$82)),0)))</f>
        <v>20</v>
      </c>
      <c r="S35" s="8">
        <f>IF(A35&lt;Input!$B$10+0.1,IF(ROUNDUP(R35*Input!$C$10,0)=0,1,ROUNDUP(R35*Input!$C$10,0)),IF(A35&gt;Input!$B$11,IF(ROUNDUP(R35*Input!$C$11,0)=0,1,ROUNDUP(R35*Input!$C$11,0)),IF(ROUNDUP(R35,0)=0,1,ROUNDUP(R35,0))))</f>
        <v>20</v>
      </c>
      <c r="T35" s="8">
        <f t="shared" si="1"/>
        <v>20</v>
      </c>
      <c r="U35" s="8">
        <f>IFERROR(VLOOKUP($B35,Input!$AC$2:$AE$161,3,0),0)</f>
        <v>0</v>
      </c>
      <c r="V35" s="256">
        <f t="shared" si="8"/>
        <v>0.77026150442477859</v>
      </c>
      <c r="W35" s="263">
        <f t="shared" si="9"/>
        <v>8.7003499999999985</v>
      </c>
      <c r="X35" s="27">
        <f>{32767,32767,0.000001,0,TRUE,FALSE,TRUE,1,1,1,0.000001,TRUE}</f>
        <v>32767</v>
      </c>
      <c r="Y35" s="23"/>
      <c r="Z35" s="23"/>
      <c r="AA35" s="23">
        <v>0</v>
      </c>
      <c r="AB35" s="23" t="str">
        <f t="shared" si="27"/>
        <v/>
      </c>
      <c r="AC35" s="23">
        <f t="shared" si="27"/>
        <v>0</v>
      </c>
      <c r="AD35" s="23" t="str">
        <f t="shared" si="27"/>
        <v/>
      </c>
      <c r="AE35" s="23" t="str">
        <f t="shared" si="27"/>
        <v/>
      </c>
      <c r="AF35" s="23" t="str">
        <f t="shared" si="27"/>
        <v/>
      </c>
      <c r="AG35" s="23" t="str">
        <f t="shared" si="27"/>
        <v/>
      </c>
      <c r="AH35" s="23">
        <f t="shared" si="3"/>
        <v>0</v>
      </c>
      <c r="AI35" s="23">
        <f t="shared" si="4"/>
        <v>0</v>
      </c>
      <c r="AJ35" s="70">
        <v>20</v>
      </c>
      <c r="AK35" s="225">
        <v>2327.0337</v>
      </c>
      <c r="AL35" s="33">
        <v>20</v>
      </c>
      <c r="AM35" s="204">
        <v>2327.0337</v>
      </c>
      <c r="AN35" s="196"/>
      <c r="AO35" s="23"/>
      <c r="AP35" s="23"/>
      <c r="AQ35" s="68">
        <f>{32767,32767,0.000001,0,TRUE,FALSE,TRUE,1,1,1,0.000001,TRUE}</f>
        <v>32767</v>
      </c>
      <c r="AR35" s="68">
        <f>{32767,32767,0.000001,0,TRUE,FALSE,TRUE,1,1,1,0.000001,TRUE}</f>
        <v>32767</v>
      </c>
      <c r="AS35" s="68">
        <f>{32767,32767,0.000001,0,TRUE,FALSE,TRUE,1,1,1,0.000001,TRUE}</f>
        <v>32767</v>
      </c>
      <c r="AT35" s="68">
        <f>{32767,32767,0.000001,0,TRUE,FALSE,TRUE,1,1,1,0.000001,TRUE}</f>
        <v>32767</v>
      </c>
      <c r="AU35" s="68">
        <f>{32767,32767,0.000001,0,TRUE,FALSE,TRUE,1,1,1,0.000001,TRUE}</f>
        <v>32767</v>
      </c>
      <c r="AV35" s="68">
        <f>{32767,32767,0.000001,0,TRUE,FALSE,TRUE,1,1,1,0.000001,TRUE}</f>
        <v>32767</v>
      </c>
      <c r="AW35" s="68">
        <f>{32767,32767,0.000001,0,TRUE,FALSE,TRUE,1,1,1,0.000001,TRUE}</f>
        <v>32767</v>
      </c>
      <c r="AX35" s="68">
        <f>{32767,32767,0.000001,0,TRUE,FALSE,TRUE,1,1,1,0.000001,TRUE}</f>
        <v>32767</v>
      </c>
      <c r="AY35" s="68">
        <f>{32767,32767,0.000001,0,TRUE,FALSE,TRUE,1,1,1,0.000001,TRUE}</f>
        <v>32767</v>
      </c>
      <c r="AZ35" s="196"/>
      <c r="BA35" s="70">
        <f>IF(VLOOKUP($D35,$AO$14:AQ$19,COLUMN()-50,0)&lt;=0,1,IF($Q35&lt;0,1,ROUNDUP(IF($Q35*('Draft Center'!$L$28+'Draft Center'!$L$78-'Draft Center'!$L$82)&lt;1,1,$Q35*('Draft Center'!$L$28+'Draft Center'!$L$78-'Draft Center'!$L$82)),0)))</f>
        <v>20</v>
      </c>
      <c r="BB35" s="70">
        <f>IF(VLOOKUP($D35,$AO$14:AR$19,COLUMN()-50,0)&lt;=0,1,IF($Q35&lt;0,1,ROUNDUP(IF($Q35*('Draft Center'!$L$28+'Draft Center'!$L$78-'Draft Center'!$L$82)&lt;1,1,$Q35*('Draft Center'!$L$28+'Draft Center'!$L$78-'Draft Center'!$L$82)),0)))</f>
        <v>20</v>
      </c>
      <c r="BC35" s="70">
        <f>IF(VLOOKUP($D35,$AO$14:AS$19,COLUMN()-50,0)&lt;=0,1,IF($Q35&lt;0,1,ROUNDUP(IF($Q35*('Draft Center'!$L$28+'Draft Center'!$L$78-'Draft Center'!$L$82)&lt;1,1,$Q35*('Draft Center'!$L$28+'Draft Center'!$L$78-'Draft Center'!$L$82)),0)))</f>
        <v>20</v>
      </c>
      <c r="BD35" s="70">
        <f>IF(VLOOKUP($D35,$AO$14:AT$19,COLUMN()-50,0)&lt;=0,1,IF($Q35&lt;0,1,ROUNDUP(IF($Q35*('Draft Center'!$L$28+'Draft Center'!$L$78-'Draft Center'!$L$82)&lt;1,1,$Q35*('Draft Center'!$L$28+'Draft Center'!$L$78-'Draft Center'!$L$82)),0)))</f>
        <v>20</v>
      </c>
      <c r="BE35" s="70">
        <f>IF(VLOOKUP($D35,$AO$14:AU$19,COLUMN()-50,0)&lt;=0,1,IF($Q35&lt;0,1,ROUNDUP(IF($Q35*('Draft Center'!$L$28+'Draft Center'!$L$78-'Draft Center'!$L$82)&lt;1,1,$Q35*('Draft Center'!$L$28+'Draft Center'!$L$78-'Draft Center'!$L$82)),0)))</f>
        <v>20</v>
      </c>
      <c r="BF35" s="70">
        <f>IF(VLOOKUP($D35,$AO$14:AV$19,COLUMN()-50,0)&lt;=0,1,IF($Q35&lt;0,1,ROUNDUP(IF($Q35*('Draft Center'!$L$28+'Draft Center'!$L$78-'Draft Center'!$L$82)&lt;1,1,$Q35*('Draft Center'!$L$28+'Draft Center'!$L$78-'Draft Center'!$L$82)),0)))</f>
        <v>20</v>
      </c>
      <c r="BG35" s="70">
        <f>IF(VLOOKUP($D35,$AO$14:AW$19,COLUMN()-50,0)&lt;=0,1,IF($Q35&lt;0,1,ROUNDUP(IF($Q35*('Draft Center'!$L$28+'Draft Center'!$L$78-'Draft Center'!$L$82)&lt;1,1,$Q35*('Draft Center'!$L$28+'Draft Center'!$L$78-'Draft Center'!$L$82)),0)))</f>
        <v>20</v>
      </c>
      <c r="BH35" s="70">
        <f>IF(VLOOKUP($D35,$AO$14:AX$19,COLUMN()-50,0)&lt;=0,1,IF($Q35&lt;0,1,ROUNDUP(IF($Q35*('Draft Center'!$L$28+'Draft Center'!$L$78-'Draft Center'!$L$82)&lt;1,1,$Q35*('Draft Center'!$L$28+'Draft Center'!$L$78-'Draft Center'!$L$82)),0)))</f>
        <v>20</v>
      </c>
      <c r="BI35" s="70">
        <f>IF(VLOOKUP($D35,$AO$14:AY$19,COLUMN()-50,0)&lt;=0,1,IF($Q35&lt;0,1,ROUNDUP(IF($Q35*('Draft Center'!$L$28+'Draft Center'!$L$78-'Draft Center'!$L$82)&lt;1,1,$Q35*('Draft Center'!$L$28+'Draft Center'!$L$78-'Draft Center'!$L$82)),0)))</f>
        <v>20</v>
      </c>
      <c r="BJ35" s="196"/>
      <c r="BK35" s="23">
        <v>0</v>
      </c>
      <c r="BL35" s="23" t="str">
        <f t="shared" si="29"/>
        <v/>
      </c>
      <c r="BM35" s="23">
        <v>0</v>
      </c>
      <c r="BN35" s="23" t="str">
        <f t="shared" si="29"/>
        <v/>
      </c>
      <c r="BO35" s="23" t="str">
        <f t="shared" si="29"/>
        <v/>
      </c>
      <c r="BP35" s="23" t="str">
        <f t="shared" si="29"/>
        <v/>
      </c>
      <c r="BQ35" s="23" t="str">
        <f t="shared" si="29"/>
        <v/>
      </c>
      <c r="BR35" s="23">
        <f t="shared" si="6"/>
        <v>0</v>
      </c>
      <c r="BS35" s="23">
        <f t="shared" si="7"/>
        <v>0</v>
      </c>
      <c r="BT35" s="70">
        <v>20</v>
      </c>
      <c r="BU35" s="58">
        <v>2327.0337</v>
      </c>
      <c r="BV35" s="33">
        <v>20</v>
      </c>
      <c r="BW35" s="204">
        <v>2327.0337</v>
      </c>
      <c r="BX35" s="23"/>
      <c r="BY35" s="70">
        <v>20</v>
      </c>
      <c r="BZ35" s="70">
        <v>11.3</v>
      </c>
      <c r="CA35" s="70">
        <v>11.3</v>
      </c>
      <c r="CB35" s="70">
        <v>11.3</v>
      </c>
      <c r="CC35" s="70">
        <f t="shared" si="10"/>
        <v>11.300000000000002</v>
      </c>
      <c r="CD35" s="70">
        <f t="shared" si="11"/>
        <v>11.3</v>
      </c>
    </row>
    <row r="36" spans="1:82" ht="15.75" customHeight="1" thickBot="1" x14ac:dyDescent="0.3">
      <c r="A36" s="9">
        <v>35</v>
      </c>
      <c r="B36" s="10" t="s">
        <v>37</v>
      </c>
      <c r="C36" s="10" t="s">
        <v>75</v>
      </c>
      <c r="D36" s="10" t="s">
        <v>19</v>
      </c>
      <c r="E36" s="51">
        <v>28.993241746884099</v>
      </c>
      <c r="F36" s="51">
        <v>198.09563977283599</v>
      </c>
      <c r="G36" s="51">
        <v>223.121803429187</v>
      </c>
      <c r="H36" s="51">
        <v>180.560503908935</v>
      </c>
      <c r="I36" s="11">
        <v>27.5</v>
      </c>
      <c r="J36" s="51">
        <v>4.5823162058598301</v>
      </c>
      <c r="K36" s="249">
        <f>IFERROR(VLOOKUP(C36,Schedule!$T$3:$U$34,2,0),"FA")</f>
        <v>10</v>
      </c>
      <c r="L36" s="10" t="str">
        <f>D36&amp;COUNTIF(D$2:$D36,D36)</f>
        <v>RB17</v>
      </c>
      <c r="M36" s="51">
        <f t="array" ref="M36">IFERROR(F36-AVERAGE(VLOOKUP(D36,$D37:$F$885,3,0),INDEX($F37:$F$885,SMALL(IF(D36=$D37:$D$885,ROW($D37:$D$885)-ROW(D36)),2))),0)</f>
        <v>16.471469482508496</v>
      </c>
      <c r="N36" s="51">
        <f>IFERROR(IF(VLOOKUP($B36,Input!$AC$2:$AC$162,1,0)=$B36,0),F36)</f>
        <v>198.09563977283599</v>
      </c>
      <c r="O36" s="51">
        <f>IFERROR(IF(VLOOKUP($B36,Input!$AC$2:$AC$162,1,0)=$B36,0,G36),G36)</f>
        <v>223.121803429187</v>
      </c>
      <c r="P36" s="51">
        <f>IF(N36=0,0,F36-AVERAGE(INDEX(F:F,MATCH(VLOOKUP(D36,Input!$A$14:$L$22,10,0),L:L,0)),INDEX(F:F,MATCH(VLOOKUP(D36,Input!$A$14:$L$22,11,0),L:L,0)),INDEX(F:F,MATCH(VLOOKUP(D36,Input!$A$14:$L$22,12,0),L:L,0)))+(0.01-ROW()*0.01))</f>
        <v>28.643241746883994</v>
      </c>
      <c r="Q36" s="107">
        <f t="shared" si="0"/>
        <v>9.8817162080038438E-3</v>
      </c>
      <c r="R36" s="11">
        <f>IF(VLOOKUP($D36,$X$14:$Y$19,2,0)&lt;=0,1,IF(Q36&lt;0,1,ROUNDUP(IF(Q36*('Draft Center'!$L$28+'Draft Center'!$L$78-'Draft Center'!$L$82)&lt;1,1,Q36*('Draft Center'!$L$28+'Draft Center'!$L$78-'Draft Center'!$L$82)),0)))</f>
        <v>20</v>
      </c>
      <c r="S36" s="11">
        <f>IF(A36&lt;Input!$B$10+0.1,IF(ROUNDUP(R36*Input!$C$10,0)=0,1,ROUNDUP(R36*Input!$C$10,0)),IF(A36&gt;Input!$B$11,IF(ROUNDUP(R36*Input!$C$11,0)=0,1,ROUNDUP(R36*Input!$C$11,0)),IF(ROUNDUP(R36,0)=0,1,ROUNDUP(R36,0))))</f>
        <v>20</v>
      </c>
      <c r="T36" s="11">
        <f t="shared" si="1"/>
        <v>20</v>
      </c>
      <c r="U36" s="11">
        <f>IFERROR(VLOOKUP($B36,Input!$AC$2:$AE$161,3,0),0)</f>
        <v>0</v>
      </c>
      <c r="V36" s="257">
        <f t="shared" si="8"/>
        <v>-0.27236727272727268</v>
      </c>
      <c r="W36" s="264">
        <f t="shared" si="9"/>
        <v>-7.4996400000000003</v>
      </c>
      <c r="X36" s="27">
        <f>{0,0,2,100,0,FALSE,TRUE,0.075,0,0,FALSE,30}</f>
        <v>0</v>
      </c>
      <c r="Y36" s="23"/>
      <c r="Z36" s="23"/>
      <c r="AA36" s="23">
        <v>0</v>
      </c>
      <c r="AB36" s="23" t="str">
        <f t="shared" si="27"/>
        <v/>
      </c>
      <c r="AC36" s="23">
        <f t="shared" si="27"/>
        <v>0</v>
      </c>
      <c r="AD36" s="23" t="str">
        <f t="shared" si="27"/>
        <v/>
      </c>
      <c r="AE36" s="23" t="str">
        <f t="shared" si="27"/>
        <v/>
      </c>
      <c r="AF36" s="23" t="str">
        <f t="shared" si="27"/>
        <v/>
      </c>
      <c r="AG36" s="23" t="str">
        <f t="shared" si="27"/>
        <v/>
      </c>
      <c r="AH36" s="23">
        <f t="shared" si="3"/>
        <v>0</v>
      </c>
      <c r="AI36" s="23">
        <f t="shared" si="4"/>
        <v>0</v>
      </c>
      <c r="AJ36" s="69">
        <v>20</v>
      </c>
      <c r="AK36" s="225">
        <v>2327.0337</v>
      </c>
      <c r="AL36" s="33">
        <v>20</v>
      </c>
      <c r="AM36" s="204">
        <v>2327.0337</v>
      </c>
      <c r="AN36" s="196"/>
      <c r="AO36" s="23"/>
      <c r="AP36" s="23"/>
      <c r="AQ36" s="68">
        <f>{0,0,2,100,0,FALSE,TRUE,0.075,0,0,FALSE,30}</f>
        <v>0</v>
      </c>
      <c r="AR36" s="68">
        <f>{0,0,2,100,0,FALSE,TRUE,0.075,0,0,FALSE,30}</f>
        <v>0</v>
      </c>
      <c r="AS36" s="68">
        <f>{0,0,2,100,0,FALSE,TRUE,0.075,0,0,FALSE,30}</f>
        <v>0</v>
      </c>
      <c r="AT36" s="68">
        <f>{0,0,2,100,0,FALSE,TRUE,0.075,0,0,FALSE,30}</f>
        <v>0</v>
      </c>
      <c r="AU36" s="68">
        <f>{0,0,2,100,0,FALSE,TRUE,0.075,0,0,FALSE,30}</f>
        <v>0</v>
      </c>
      <c r="AV36" s="68">
        <f>{0,0,2,100,0,FALSE,TRUE,0.075,0,0,FALSE,30}</f>
        <v>0</v>
      </c>
      <c r="AW36" s="68">
        <f>{0,0,2,100,0,FALSE,TRUE,0.075,0,0,FALSE,30}</f>
        <v>0</v>
      </c>
      <c r="AX36" s="68">
        <f>{0,0,2,100,0,FALSE,TRUE,0.075,0,0,FALSE,30}</f>
        <v>0</v>
      </c>
      <c r="AY36" s="68">
        <f>{0,0,2,100,0,FALSE,TRUE,0.075,0,0,FALSE,30}</f>
        <v>0</v>
      </c>
      <c r="AZ36" s="196"/>
      <c r="BA36" s="69">
        <f>IF(VLOOKUP($D36,$AO$14:AQ$19,COLUMN()-50,0)&lt;=0,1,IF($Q36&lt;0,1,ROUNDUP(IF($Q36*('Draft Center'!$L$28+'Draft Center'!$L$78-'Draft Center'!$L$82)&lt;1,1,$Q36*('Draft Center'!$L$28+'Draft Center'!$L$78-'Draft Center'!$L$82)),0)))</f>
        <v>20</v>
      </c>
      <c r="BB36" s="69">
        <f>IF(VLOOKUP($D36,$AO$14:AR$19,COLUMN()-50,0)&lt;=0,1,IF($Q36&lt;0,1,ROUNDUP(IF($Q36*('Draft Center'!$L$28+'Draft Center'!$L$78-'Draft Center'!$L$82)&lt;1,1,$Q36*('Draft Center'!$L$28+'Draft Center'!$L$78-'Draft Center'!$L$82)),0)))</f>
        <v>20</v>
      </c>
      <c r="BC36" s="69">
        <f>IF(VLOOKUP($D36,$AO$14:AS$19,COLUMN()-50,0)&lt;=0,1,IF($Q36&lt;0,1,ROUNDUP(IF($Q36*('Draft Center'!$L$28+'Draft Center'!$L$78-'Draft Center'!$L$82)&lt;1,1,$Q36*('Draft Center'!$L$28+'Draft Center'!$L$78-'Draft Center'!$L$82)),0)))</f>
        <v>20</v>
      </c>
      <c r="BD36" s="69">
        <f>IF(VLOOKUP($D36,$AO$14:AT$19,COLUMN()-50,0)&lt;=0,1,IF($Q36&lt;0,1,ROUNDUP(IF($Q36*('Draft Center'!$L$28+'Draft Center'!$L$78-'Draft Center'!$L$82)&lt;1,1,$Q36*('Draft Center'!$L$28+'Draft Center'!$L$78-'Draft Center'!$L$82)),0)))</f>
        <v>20</v>
      </c>
      <c r="BE36" s="69">
        <f>IF(VLOOKUP($D36,$AO$14:AU$19,COLUMN()-50,0)&lt;=0,1,IF($Q36&lt;0,1,ROUNDUP(IF($Q36*('Draft Center'!$L$28+'Draft Center'!$L$78-'Draft Center'!$L$82)&lt;1,1,$Q36*('Draft Center'!$L$28+'Draft Center'!$L$78-'Draft Center'!$L$82)),0)))</f>
        <v>20</v>
      </c>
      <c r="BF36" s="69">
        <f>IF(VLOOKUP($D36,$AO$14:AV$19,COLUMN()-50,0)&lt;=0,1,IF($Q36&lt;0,1,ROUNDUP(IF($Q36*('Draft Center'!$L$28+'Draft Center'!$L$78-'Draft Center'!$L$82)&lt;1,1,$Q36*('Draft Center'!$L$28+'Draft Center'!$L$78-'Draft Center'!$L$82)),0)))</f>
        <v>20</v>
      </c>
      <c r="BG36" s="69">
        <f>IF(VLOOKUP($D36,$AO$14:AW$19,COLUMN()-50,0)&lt;=0,1,IF($Q36&lt;0,1,ROUNDUP(IF($Q36*('Draft Center'!$L$28+'Draft Center'!$L$78-'Draft Center'!$L$82)&lt;1,1,$Q36*('Draft Center'!$L$28+'Draft Center'!$L$78-'Draft Center'!$L$82)),0)))</f>
        <v>20</v>
      </c>
      <c r="BH36" s="69">
        <f>IF(VLOOKUP($D36,$AO$14:AX$19,COLUMN()-50,0)&lt;=0,1,IF($Q36&lt;0,1,ROUNDUP(IF($Q36*('Draft Center'!$L$28+'Draft Center'!$L$78-'Draft Center'!$L$82)&lt;1,1,$Q36*('Draft Center'!$L$28+'Draft Center'!$L$78-'Draft Center'!$L$82)),0)))</f>
        <v>20</v>
      </c>
      <c r="BI36" s="69">
        <f>IF(VLOOKUP($D36,$AO$14:AY$19,COLUMN()-50,0)&lt;=0,1,IF($Q36&lt;0,1,ROUNDUP(IF($Q36*('Draft Center'!$L$28+'Draft Center'!$L$78-'Draft Center'!$L$82)&lt;1,1,$Q36*('Draft Center'!$L$28+'Draft Center'!$L$78-'Draft Center'!$L$82)),0)))</f>
        <v>20</v>
      </c>
      <c r="BJ36" s="196"/>
      <c r="BK36" s="23">
        <v>0</v>
      </c>
      <c r="BL36" s="23" t="str">
        <f t="shared" si="29"/>
        <v/>
      </c>
      <c r="BM36" s="23">
        <v>0</v>
      </c>
      <c r="BN36" s="23" t="str">
        <f t="shared" si="29"/>
        <v/>
      </c>
      <c r="BO36" s="23" t="str">
        <f t="shared" si="29"/>
        <v/>
      </c>
      <c r="BP36" s="23" t="str">
        <f t="shared" si="29"/>
        <v/>
      </c>
      <c r="BQ36" s="23" t="str">
        <f t="shared" si="29"/>
        <v/>
      </c>
      <c r="BR36" s="23">
        <f t="shared" si="6"/>
        <v>0</v>
      </c>
      <c r="BS36" s="23">
        <f t="shared" si="7"/>
        <v>0</v>
      </c>
      <c r="BT36" s="69">
        <v>20</v>
      </c>
      <c r="BU36" s="58">
        <v>2327.0337</v>
      </c>
      <c r="BV36" s="33">
        <v>20</v>
      </c>
      <c r="BW36" s="204">
        <v>2327.0337</v>
      </c>
      <c r="BX36" s="23"/>
      <c r="BY36" s="69">
        <v>20</v>
      </c>
      <c r="BZ36" s="69">
        <v>27.5</v>
      </c>
      <c r="CA36" s="69">
        <v>27.5</v>
      </c>
      <c r="CB36" s="69">
        <v>27.5</v>
      </c>
      <c r="CC36" s="69">
        <f t="shared" si="10"/>
        <v>27.5</v>
      </c>
      <c r="CD36" s="69">
        <f t="shared" si="11"/>
        <v>27.5</v>
      </c>
    </row>
    <row r="37" spans="1:82" ht="15.75" customHeight="1" thickBot="1" x14ac:dyDescent="0.3">
      <c r="A37" s="6">
        <v>36</v>
      </c>
      <c r="B37" s="7" t="s">
        <v>34</v>
      </c>
      <c r="C37" s="7" t="s">
        <v>35</v>
      </c>
      <c r="D37" s="7" t="s">
        <v>17</v>
      </c>
      <c r="E37" s="50">
        <v>28.818879737883702</v>
      </c>
      <c r="F37" s="50">
        <v>241.596796007233</v>
      </c>
      <c r="G37" s="50">
        <v>277.208452314314</v>
      </c>
      <c r="H37" s="50">
        <v>212.22753556173899</v>
      </c>
      <c r="I37" s="8">
        <v>37.9</v>
      </c>
      <c r="J37" s="50">
        <v>4.3347979862369996</v>
      </c>
      <c r="K37" s="248">
        <f>IFERROR(VLOOKUP(C37,Schedule!$T$3:$U$34,2,0),"FA")</f>
        <v>6</v>
      </c>
      <c r="L37" s="7" t="str">
        <f>D37&amp;COUNTIF(D$2:$D37,D37)</f>
        <v>WR10</v>
      </c>
      <c r="M37" s="50">
        <f t="array" ref="M37">IFERROR(F37-AVERAGE(VLOOKUP(D37,$D38:$F$885,3,0),INDEX($F38:$F$885,SMALL(IF(D37=$D38:$D$885,ROW($D38:$D$885)-ROW(D37)),2))),0)</f>
        <v>4.488959319279985</v>
      </c>
      <c r="N37" s="50">
        <f>IFERROR(IF(VLOOKUP($B37,Input!$AC$2:$AC$162,1,0)=$B37,0),F37)</f>
        <v>241.596796007233</v>
      </c>
      <c r="O37" s="50">
        <f>IFERROR(IF(VLOOKUP($B37,Input!$AC$2:$AC$162,1,0)=$B37,0,G37),G37)</f>
        <v>277.208452314314</v>
      </c>
      <c r="P37" s="50">
        <f>IF(N37=0,0,F37-AVERAGE(INDEX(F:F,MATCH(VLOOKUP(D37,Input!$A$14:$L$22,10,0),L:L,0)),INDEX(F:F,MATCH(VLOOKUP(D37,Input!$A$14:$L$22,11,0),L:L,0)),INDEX(F:F,MATCH(VLOOKUP(D37,Input!$A$14:$L$22,12,0),L:L,0)))+(0.01-ROW()*0.01))</f>
        <v>28.458879737883976</v>
      </c>
      <c r="Q37" s="106">
        <f t="shared" si="0"/>
        <v>9.8181126163233105E-3</v>
      </c>
      <c r="R37" s="8">
        <f>IF(VLOOKUP($D37,$X$14:$Y$19,2,0)&lt;=0,1,IF(Q37&lt;0,1,ROUNDUP(IF(Q37*('Draft Center'!$L$28+'Draft Center'!$L$78-'Draft Center'!$L$82)&lt;1,1,Q37*('Draft Center'!$L$28+'Draft Center'!$L$78-'Draft Center'!$L$82)),0)))</f>
        <v>20</v>
      </c>
      <c r="S37" s="8">
        <f>IF(A37&lt;Input!$B$10+0.1,IF(ROUNDUP(R37*Input!$C$10,0)=0,1,ROUNDUP(R37*Input!$C$10,0)),IF(A37&gt;Input!$B$11,IF(ROUNDUP(R37*Input!$C$11,0)=0,1,ROUNDUP(R37*Input!$C$11,0)),IF(ROUNDUP(R37,0)=0,1,ROUNDUP(R37,0))))</f>
        <v>20</v>
      </c>
      <c r="T37" s="8">
        <f t="shared" si="1"/>
        <v>20</v>
      </c>
      <c r="U37" s="8">
        <f>IFERROR(VLOOKUP($B37,Input!$AC$2:$AE$161,3,0),0)</f>
        <v>0</v>
      </c>
      <c r="V37" s="256">
        <f t="shared" si="8"/>
        <v>-0.47192551451187337</v>
      </c>
      <c r="W37" s="263">
        <f t="shared" si="9"/>
        <v>-17.899629999999998</v>
      </c>
      <c r="Z37" s="23"/>
      <c r="AA37" s="23">
        <v>0</v>
      </c>
      <c r="AB37" s="23" t="str">
        <f t="shared" si="27"/>
        <v/>
      </c>
      <c r="AC37" s="23" t="str">
        <f t="shared" si="27"/>
        <v/>
      </c>
      <c r="AD37" s="23">
        <f t="shared" si="27"/>
        <v>0</v>
      </c>
      <c r="AE37" s="23" t="str">
        <f t="shared" si="27"/>
        <v/>
      </c>
      <c r="AF37" s="23" t="str">
        <f t="shared" si="27"/>
        <v/>
      </c>
      <c r="AG37" s="23" t="str">
        <f t="shared" si="27"/>
        <v/>
      </c>
      <c r="AH37" s="23">
        <f t="shared" si="3"/>
        <v>0</v>
      </c>
      <c r="AI37" s="23">
        <f t="shared" si="4"/>
        <v>0</v>
      </c>
      <c r="AJ37" s="70">
        <v>20</v>
      </c>
      <c r="AK37" s="225">
        <v>2327.0337</v>
      </c>
      <c r="AL37" s="33">
        <v>20</v>
      </c>
      <c r="AM37" s="204">
        <v>2327.0337</v>
      </c>
      <c r="AN37" s="196"/>
      <c r="AO37" s="23"/>
      <c r="AP37" s="23"/>
      <c r="AQ37" s="23"/>
      <c r="AR37" s="23"/>
      <c r="AS37" s="23"/>
      <c r="AT37" s="23"/>
      <c r="AU37" s="23"/>
      <c r="AV37" s="23"/>
      <c r="AW37" s="23"/>
      <c r="AX37" s="23"/>
      <c r="AY37" s="23"/>
      <c r="AZ37" s="196"/>
      <c r="BA37" s="70">
        <f>IF(VLOOKUP($D37,$AO$14:AQ$19,COLUMN()-50,0)&lt;=0,1,IF($Q37&lt;0,1,ROUNDUP(IF($Q37*('Draft Center'!$L$28+'Draft Center'!$L$78-'Draft Center'!$L$82)&lt;1,1,$Q37*('Draft Center'!$L$28+'Draft Center'!$L$78-'Draft Center'!$L$82)),0)))</f>
        <v>20</v>
      </c>
      <c r="BB37" s="70">
        <f>IF(VLOOKUP($D37,$AO$14:AR$19,COLUMN()-50,0)&lt;=0,1,IF($Q37&lt;0,1,ROUNDUP(IF($Q37*('Draft Center'!$L$28+'Draft Center'!$L$78-'Draft Center'!$L$82)&lt;1,1,$Q37*('Draft Center'!$L$28+'Draft Center'!$L$78-'Draft Center'!$L$82)),0)))</f>
        <v>20</v>
      </c>
      <c r="BC37" s="70">
        <f>IF(VLOOKUP($D37,$AO$14:AS$19,COLUMN()-50,0)&lt;=0,1,IF($Q37&lt;0,1,ROUNDUP(IF($Q37*('Draft Center'!$L$28+'Draft Center'!$L$78-'Draft Center'!$L$82)&lt;1,1,$Q37*('Draft Center'!$L$28+'Draft Center'!$L$78-'Draft Center'!$L$82)),0)))</f>
        <v>20</v>
      </c>
      <c r="BD37" s="70">
        <f>IF(VLOOKUP($D37,$AO$14:AT$19,COLUMN()-50,0)&lt;=0,1,IF($Q37&lt;0,1,ROUNDUP(IF($Q37*('Draft Center'!$L$28+'Draft Center'!$L$78-'Draft Center'!$L$82)&lt;1,1,$Q37*('Draft Center'!$L$28+'Draft Center'!$L$78-'Draft Center'!$L$82)),0)))</f>
        <v>20</v>
      </c>
      <c r="BE37" s="70">
        <f>IF(VLOOKUP($D37,$AO$14:AU$19,COLUMN()-50,0)&lt;=0,1,IF($Q37&lt;0,1,ROUNDUP(IF($Q37*('Draft Center'!$L$28+'Draft Center'!$L$78-'Draft Center'!$L$82)&lt;1,1,$Q37*('Draft Center'!$L$28+'Draft Center'!$L$78-'Draft Center'!$L$82)),0)))</f>
        <v>20</v>
      </c>
      <c r="BF37" s="70">
        <f>IF(VLOOKUP($D37,$AO$14:AV$19,COLUMN()-50,0)&lt;=0,1,IF($Q37&lt;0,1,ROUNDUP(IF($Q37*('Draft Center'!$L$28+'Draft Center'!$L$78-'Draft Center'!$L$82)&lt;1,1,$Q37*('Draft Center'!$L$28+'Draft Center'!$L$78-'Draft Center'!$L$82)),0)))</f>
        <v>20</v>
      </c>
      <c r="BG37" s="70">
        <f>IF(VLOOKUP($D37,$AO$14:AW$19,COLUMN()-50,0)&lt;=0,1,IF($Q37&lt;0,1,ROUNDUP(IF($Q37*('Draft Center'!$L$28+'Draft Center'!$L$78-'Draft Center'!$L$82)&lt;1,1,$Q37*('Draft Center'!$L$28+'Draft Center'!$L$78-'Draft Center'!$L$82)),0)))</f>
        <v>20</v>
      </c>
      <c r="BH37" s="70">
        <f>IF(VLOOKUP($D37,$AO$14:AX$19,COLUMN()-50,0)&lt;=0,1,IF($Q37&lt;0,1,ROUNDUP(IF($Q37*('Draft Center'!$L$28+'Draft Center'!$L$78-'Draft Center'!$L$82)&lt;1,1,$Q37*('Draft Center'!$L$28+'Draft Center'!$L$78-'Draft Center'!$L$82)),0)))</f>
        <v>20</v>
      </c>
      <c r="BI37" s="70">
        <f>IF(VLOOKUP($D37,$AO$14:AY$19,COLUMN()-50,0)&lt;=0,1,IF($Q37&lt;0,1,ROUNDUP(IF($Q37*('Draft Center'!$L$28+'Draft Center'!$L$78-'Draft Center'!$L$82)&lt;1,1,$Q37*('Draft Center'!$L$28+'Draft Center'!$L$78-'Draft Center'!$L$82)),0)))</f>
        <v>20</v>
      </c>
      <c r="BJ37" s="196"/>
      <c r="BK37" s="23">
        <v>0</v>
      </c>
      <c r="BL37" s="23" t="str">
        <f t="shared" si="29"/>
        <v/>
      </c>
      <c r="BM37" s="23">
        <v>0</v>
      </c>
      <c r="BN37" s="23">
        <f t="shared" si="29"/>
        <v>0</v>
      </c>
      <c r="BO37" s="23" t="str">
        <f t="shared" si="29"/>
        <v/>
      </c>
      <c r="BP37" s="23" t="str">
        <f t="shared" si="29"/>
        <v/>
      </c>
      <c r="BQ37" s="23" t="str">
        <f t="shared" si="29"/>
        <v/>
      </c>
      <c r="BR37" s="23">
        <f t="shared" si="6"/>
        <v>0</v>
      </c>
      <c r="BS37" s="23">
        <f t="shared" si="7"/>
        <v>0</v>
      </c>
      <c r="BT37" s="70">
        <v>20</v>
      </c>
      <c r="BU37" s="58">
        <v>2327.0337</v>
      </c>
      <c r="BV37" s="33">
        <v>20</v>
      </c>
      <c r="BW37" s="204">
        <v>2327.0337</v>
      </c>
      <c r="BX37" s="23"/>
      <c r="BY37" s="70">
        <v>20</v>
      </c>
      <c r="BZ37" s="70">
        <v>37.9</v>
      </c>
      <c r="CA37" s="70">
        <v>37.9</v>
      </c>
      <c r="CB37" s="70">
        <v>37.9</v>
      </c>
      <c r="CC37" s="70">
        <f t="shared" si="10"/>
        <v>37.9</v>
      </c>
      <c r="CD37" s="70">
        <f t="shared" si="11"/>
        <v>37.9</v>
      </c>
    </row>
    <row r="38" spans="1:82" ht="15.75" customHeight="1" thickBot="1" x14ac:dyDescent="0.3">
      <c r="A38" s="9">
        <v>37</v>
      </c>
      <c r="B38" s="10" t="s">
        <v>100</v>
      </c>
      <c r="C38" s="10" t="s">
        <v>75</v>
      </c>
      <c r="D38" s="10" t="s">
        <v>17</v>
      </c>
      <c r="E38" s="51">
        <v>26.2723148593068</v>
      </c>
      <c r="F38" s="51">
        <v>239.05023112865601</v>
      </c>
      <c r="G38" s="51">
        <v>263.87186642814203</v>
      </c>
      <c r="H38" s="51">
        <v>190.64726045016101</v>
      </c>
      <c r="I38" s="11">
        <v>34</v>
      </c>
      <c r="J38" s="51">
        <v>4.3359723484602304</v>
      </c>
      <c r="K38" s="249">
        <f>IFERROR(VLOOKUP(C38,Schedule!$T$3:$U$34,2,0),"FA")</f>
        <v>10</v>
      </c>
      <c r="L38" s="10" t="str">
        <f>D38&amp;COUNTIF(D$2:$D38,D38)</f>
        <v>WR11</v>
      </c>
      <c r="M38" s="51">
        <f t="array" ref="M38">IFERROR(F38-AVERAGE(VLOOKUP(D38,$D39:$F$885,3,0),INDEX($F39:$F$885,SMALL(IF(D38=$D39:$D$885,ROW($D39:$D$885)-ROW(D38)),2))),0)</f>
        <v>4.4533595756675197</v>
      </c>
      <c r="N38" s="51">
        <f>IFERROR(IF(VLOOKUP($B38,Input!$AC$2:$AC$162,1,0)=$B38,0),F38)</f>
        <v>239.05023112865601</v>
      </c>
      <c r="O38" s="51">
        <f>IFERROR(IF(VLOOKUP($B38,Input!$AC$2:$AC$162,1,0)=$B38,0,G38),G38)</f>
        <v>263.87186642814203</v>
      </c>
      <c r="P38" s="51">
        <f>IF(N38=0,0,F38-AVERAGE(INDEX(F:F,MATCH(VLOOKUP(D38,Input!$A$14:$L$22,10,0),L:L,0)),INDEX(F:F,MATCH(VLOOKUP(D38,Input!$A$14:$L$22,11,0),L:L,0)),INDEX(F:F,MATCH(VLOOKUP(D38,Input!$A$14:$L$22,12,0),L:L,0)))+(0.01-ROW()*0.01))</f>
        <v>25.902314859306987</v>
      </c>
      <c r="Q38" s="107">
        <f t="shared" si="0"/>
        <v>8.9361157801867049E-3</v>
      </c>
      <c r="R38" s="11">
        <f>IF(VLOOKUP($D38,$X$14:$Y$19,2,0)&lt;=0,1,IF(Q38&lt;0,1,ROUNDUP(IF(Q38*('Draft Center'!$L$28+'Draft Center'!$L$78-'Draft Center'!$L$82)&lt;1,1,Q38*('Draft Center'!$L$28+'Draft Center'!$L$78-'Draft Center'!$L$82)),0)))</f>
        <v>18</v>
      </c>
      <c r="S38" s="11">
        <f>IF(A38&lt;Input!$B$10+0.1,IF(ROUNDUP(R38*Input!$C$10,0)=0,1,ROUNDUP(R38*Input!$C$10,0)),IF(A38&gt;Input!$B$11,IF(ROUNDUP(R38*Input!$C$11,0)=0,1,ROUNDUP(R38*Input!$C$11,0)),IF(ROUNDUP(R38,0)=0,1,ROUNDUP(R38,0))))</f>
        <v>18</v>
      </c>
      <c r="T38" s="11">
        <f t="shared" si="1"/>
        <v>18</v>
      </c>
      <c r="U38" s="11">
        <f>IFERROR(VLOOKUP($B38,Input!$AC$2:$AE$161,3,0),0)</f>
        <v>0</v>
      </c>
      <c r="V38" s="257">
        <f t="shared" si="8"/>
        <v>-0.47020823529411765</v>
      </c>
      <c r="W38" s="264">
        <f t="shared" si="9"/>
        <v>-15.99962</v>
      </c>
      <c r="Z38" s="23"/>
      <c r="AA38" s="23">
        <v>0</v>
      </c>
      <c r="AB38" s="23" t="str">
        <f t="shared" si="27"/>
        <v/>
      </c>
      <c r="AC38" s="23" t="str">
        <f t="shared" si="27"/>
        <v/>
      </c>
      <c r="AD38" s="23">
        <f t="shared" si="27"/>
        <v>0</v>
      </c>
      <c r="AE38" s="23" t="str">
        <f t="shared" si="27"/>
        <v/>
      </c>
      <c r="AF38" s="23" t="str">
        <f t="shared" si="27"/>
        <v/>
      </c>
      <c r="AG38" s="23" t="str">
        <f t="shared" si="27"/>
        <v/>
      </c>
      <c r="AH38" s="23">
        <f t="shared" si="3"/>
        <v>0</v>
      </c>
      <c r="AI38" s="23">
        <f t="shared" si="4"/>
        <v>0</v>
      </c>
      <c r="AJ38" s="69">
        <v>18</v>
      </c>
      <c r="AK38" s="225">
        <v>2327.0337</v>
      </c>
      <c r="AL38" s="33">
        <v>18</v>
      </c>
      <c r="AM38" s="204">
        <v>2327.0337</v>
      </c>
      <c r="AN38" s="196"/>
      <c r="AO38" s="23"/>
      <c r="AP38" s="23"/>
      <c r="AQ38" s="23"/>
      <c r="AR38" s="23"/>
      <c r="AS38" s="23"/>
      <c r="AT38" s="23"/>
      <c r="AU38" s="23"/>
      <c r="AV38" s="23"/>
      <c r="AW38" s="23"/>
      <c r="AX38" s="23"/>
      <c r="AY38" s="23"/>
      <c r="AZ38" s="196"/>
      <c r="BA38" s="69">
        <f>IF(VLOOKUP($D38,$AO$14:AQ$19,COLUMN()-50,0)&lt;=0,1,IF($Q38&lt;0,1,ROUNDUP(IF($Q38*('Draft Center'!$L$28+'Draft Center'!$L$78-'Draft Center'!$L$82)&lt;1,1,$Q38*('Draft Center'!$L$28+'Draft Center'!$L$78-'Draft Center'!$L$82)),0)))</f>
        <v>18</v>
      </c>
      <c r="BB38" s="69">
        <f>IF(VLOOKUP($D38,$AO$14:AR$19,COLUMN()-50,0)&lt;=0,1,IF($Q38&lt;0,1,ROUNDUP(IF($Q38*('Draft Center'!$L$28+'Draft Center'!$L$78-'Draft Center'!$L$82)&lt;1,1,$Q38*('Draft Center'!$L$28+'Draft Center'!$L$78-'Draft Center'!$L$82)),0)))</f>
        <v>18</v>
      </c>
      <c r="BC38" s="69">
        <f>IF(VLOOKUP($D38,$AO$14:AS$19,COLUMN()-50,0)&lt;=0,1,IF($Q38&lt;0,1,ROUNDUP(IF($Q38*('Draft Center'!$L$28+'Draft Center'!$L$78-'Draft Center'!$L$82)&lt;1,1,$Q38*('Draft Center'!$L$28+'Draft Center'!$L$78-'Draft Center'!$L$82)),0)))</f>
        <v>18</v>
      </c>
      <c r="BD38" s="69">
        <f>IF(VLOOKUP($D38,$AO$14:AT$19,COLUMN()-50,0)&lt;=0,1,IF($Q38&lt;0,1,ROUNDUP(IF($Q38*('Draft Center'!$L$28+'Draft Center'!$L$78-'Draft Center'!$L$82)&lt;1,1,$Q38*('Draft Center'!$L$28+'Draft Center'!$L$78-'Draft Center'!$L$82)),0)))</f>
        <v>18</v>
      </c>
      <c r="BE38" s="69">
        <f>IF(VLOOKUP($D38,$AO$14:AU$19,COLUMN()-50,0)&lt;=0,1,IF($Q38&lt;0,1,ROUNDUP(IF($Q38*('Draft Center'!$L$28+'Draft Center'!$L$78-'Draft Center'!$L$82)&lt;1,1,$Q38*('Draft Center'!$L$28+'Draft Center'!$L$78-'Draft Center'!$L$82)),0)))</f>
        <v>18</v>
      </c>
      <c r="BF38" s="69">
        <f>IF(VLOOKUP($D38,$AO$14:AV$19,COLUMN()-50,0)&lt;=0,1,IF($Q38&lt;0,1,ROUNDUP(IF($Q38*('Draft Center'!$L$28+'Draft Center'!$L$78-'Draft Center'!$L$82)&lt;1,1,$Q38*('Draft Center'!$L$28+'Draft Center'!$L$78-'Draft Center'!$L$82)),0)))</f>
        <v>18</v>
      </c>
      <c r="BG38" s="69">
        <f>IF(VLOOKUP($D38,$AO$14:AW$19,COLUMN()-50,0)&lt;=0,1,IF($Q38&lt;0,1,ROUNDUP(IF($Q38*('Draft Center'!$L$28+'Draft Center'!$L$78-'Draft Center'!$L$82)&lt;1,1,$Q38*('Draft Center'!$L$28+'Draft Center'!$L$78-'Draft Center'!$L$82)),0)))</f>
        <v>18</v>
      </c>
      <c r="BH38" s="69">
        <f>IF(VLOOKUP($D38,$AO$14:AX$19,COLUMN()-50,0)&lt;=0,1,IF($Q38&lt;0,1,ROUNDUP(IF($Q38*('Draft Center'!$L$28+'Draft Center'!$L$78-'Draft Center'!$L$82)&lt;1,1,$Q38*('Draft Center'!$L$28+'Draft Center'!$L$78-'Draft Center'!$L$82)),0)))</f>
        <v>18</v>
      </c>
      <c r="BI38" s="69">
        <f>IF(VLOOKUP($D38,$AO$14:AY$19,COLUMN()-50,0)&lt;=0,1,IF($Q38&lt;0,1,ROUNDUP(IF($Q38*('Draft Center'!$L$28+'Draft Center'!$L$78-'Draft Center'!$L$82)&lt;1,1,$Q38*('Draft Center'!$L$28+'Draft Center'!$L$78-'Draft Center'!$L$82)),0)))</f>
        <v>18</v>
      </c>
      <c r="BJ38" s="196"/>
      <c r="BK38" s="23">
        <v>0</v>
      </c>
      <c r="BL38" s="23" t="str">
        <f t="shared" si="29"/>
        <v/>
      </c>
      <c r="BM38" s="23">
        <v>0</v>
      </c>
      <c r="BN38" s="23">
        <f t="shared" si="29"/>
        <v>0</v>
      </c>
      <c r="BO38" s="23" t="str">
        <f t="shared" si="29"/>
        <v/>
      </c>
      <c r="BP38" s="23" t="str">
        <f t="shared" si="29"/>
        <v/>
      </c>
      <c r="BQ38" s="23" t="str">
        <f t="shared" si="29"/>
        <v/>
      </c>
      <c r="BR38" s="23">
        <f t="shared" si="6"/>
        <v>0</v>
      </c>
      <c r="BS38" s="23">
        <f t="shared" si="7"/>
        <v>0</v>
      </c>
      <c r="BT38" s="69">
        <v>18</v>
      </c>
      <c r="BU38" s="58">
        <v>2327.0337</v>
      </c>
      <c r="BV38" s="33">
        <v>18</v>
      </c>
      <c r="BW38" s="204">
        <v>2327.0337</v>
      </c>
      <c r="BX38" s="23"/>
      <c r="BY38" s="69">
        <v>18</v>
      </c>
      <c r="BZ38" s="69">
        <v>34</v>
      </c>
      <c r="CA38" s="69">
        <v>34</v>
      </c>
      <c r="CB38" s="69">
        <v>34</v>
      </c>
      <c r="CC38" s="69">
        <f t="shared" si="10"/>
        <v>34</v>
      </c>
      <c r="CD38" s="69">
        <f t="shared" si="11"/>
        <v>34</v>
      </c>
    </row>
    <row r="39" spans="1:82" ht="15.75" customHeight="1" thickBot="1" x14ac:dyDescent="0.3">
      <c r="A39" s="6">
        <v>38</v>
      </c>
      <c r="B39" s="7" t="s">
        <v>218</v>
      </c>
      <c r="C39" s="7" t="s">
        <v>80</v>
      </c>
      <c r="D39" s="7" t="s">
        <v>135</v>
      </c>
      <c r="E39" s="50">
        <v>26.1470246427582</v>
      </c>
      <c r="F39" s="50">
        <v>134.878583319695</v>
      </c>
      <c r="G39" s="50">
        <v>172.77147344207901</v>
      </c>
      <c r="H39" s="50">
        <v>8.7735331749223207</v>
      </c>
      <c r="I39" s="8">
        <v>0</v>
      </c>
      <c r="J39" s="50">
        <v>8.88183108030813</v>
      </c>
      <c r="K39" s="248">
        <f>IFERROR(VLOOKUP(C39,Schedule!$T$3:$U$34,2,0),"FA")</f>
        <v>11</v>
      </c>
      <c r="L39" s="7" t="str">
        <f>D39&amp;COUNTIF(D$2:$D39,D39)</f>
        <v>DST2</v>
      </c>
      <c r="M39" s="50">
        <f t="array" ref="M39">IFERROR(F39-AVERAGE(VLOOKUP(D39,$D40:$F$885,3,0),INDEX($F40:$F$885,SMALL(IF(D39=$D40:$D$885,ROW($D40:$D$885)-ROW(D39)),2))),0)</f>
        <v>8.7764763872074951</v>
      </c>
      <c r="N39" s="50">
        <f>IFERROR(IF(VLOOKUP($B39,Input!$AC$2:$AC$162,1,0)=$B39,0),F39)</f>
        <v>134.878583319695</v>
      </c>
      <c r="O39" s="50">
        <f>IFERROR(IF(VLOOKUP($B39,Input!$AC$2:$AC$162,1,0)=$B39,0,G39),G39)</f>
        <v>172.77147344207901</v>
      </c>
      <c r="P39" s="50">
        <f>IF(N39=0,0,F39-AVERAGE(INDEX(F:F,MATCH(VLOOKUP(D39,Input!$A$14:$L$22,10,0),L:L,0)),INDEX(F:F,MATCH(VLOOKUP(D39,Input!$A$14:$L$22,11,0),L:L,0)),INDEX(F:F,MATCH(VLOOKUP(D39,Input!$A$14:$L$22,12,0),L:L,0)))+(0.01-ROW()*0.01))</f>
        <v>26.810196369082984</v>
      </c>
      <c r="Q39" s="106">
        <f t="shared" si="0"/>
        <v>9.249328492259578E-3</v>
      </c>
      <c r="R39" s="8">
        <f>IF(VLOOKUP($D39,$X$14:$Y$19,2,0)&lt;=0,1,IF(Q39&lt;0,1,ROUNDUP(IF(Q39*('Draft Center'!$L$28+'Draft Center'!$L$78-'Draft Center'!$L$82)&lt;1,1,Q39*('Draft Center'!$L$28+'Draft Center'!$L$78-'Draft Center'!$L$82)),0)))</f>
        <v>18</v>
      </c>
      <c r="S39" s="8">
        <f>IF(A39&lt;Input!$B$10+0.1,IF(ROUNDUP(R39*Input!$C$10,0)=0,1,ROUNDUP(R39*Input!$C$10,0)),IF(A39&gt;Input!$B$11,IF(ROUNDUP(R39*Input!$C$11,0)=0,1,ROUNDUP(R39*Input!$C$11,0)),IF(ROUNDUP(R39,0)=0,1,ROUNDUP(R39,0))))</f>
        <v>18</v>
      </c>
      <c r="T39" s="8">
        <f t="shared" si="1"/>
        <v>18</v>
      </c>
      <c r="U39" s="8">
        <f>IFERROR(VLOOKUP($B39,Input!$AC$2:$AE$161,3,0),0)</f>
        <v>0</v>
      </c>
      <c r="V39" s="256">
        <f t="shared" si="8"/>
        <v>0</v>
      </c>
      <c r="W39" s="263">
        <f t="shared" si="9"/>
        <v>18.000389999999999</v>
      </c>
      <c r="Z39" s="23"/>
      <c r="AA39" s="23">
        <v>0</v>
      </c>
      <c r="AB39" s="23" t="str">
        <f t="shared" si="27"/>
        <v/>
      </c>
      <c r="AC39" s="23" t="str">
        <f t="shared" si="27"/>
        <v/>
      </c>
      <c r="AD39" s="23" t="str">
        <f t="shared" si="27"/>
        <v/>
      </c>
      <c r="AE39" s="23" t="str">
        <f t="shared" si="27"/>
        <v/>
      </c>
      <c r="AF39" s="23">
        <f t="shared" si="27"/>
        <v>0</v>
      </c>
      <c r="AG39" s="23" t="str">
        <f t="shared" si="27"/>
        <v/>
      </c>
      <c r="AH39" s="23">
        <f t="shared" si="3"/>
        <v>0</v>
      </c>
      <c r="AI39" s="23">
        <f t="shared" si="4"/>
        <v>0</v>
      </c>
      <c r="AJ39" s="70">
        <v>18</v>
      </c>
      <c r="AK39" s="225">
        <v>2327.0337</v>
      </c>
      <c r="AL39" s="33">
        <v>18</v>
      </c>
      <c r="AM39" s="204">
        <v>2327.0337</v>
      </c>
      <c r="AN39" s="196"/>
      <c r="AO39" s="23"/>
      <c r="AP39" s="23"/>
      <c r="AQ39" s="23"/>
      <c r="AR39" s="23"/>
      <c r="AS39" s="23"/>
      <c r="AT39" s="23"/>
      <c r="AU39" s="23"/>
      <c r="AV39" s="23"/>
      <c r="AW39" s="23"/>
      <c r="AX39" s="23"/>
      <c r="AY39" s="23"/>
      <c r="AZ39" s="196"/>
      <c r="BA39" s="70">
        <f>IF(VLOOKUP($D39,$AO$14:AQ$19,COLUMN()-50,0)&lt;=0,1,IF($Q39&lt;0,1,ROUNDUP(IF($Q39*('Draft Center'!$L$28+'Draft Center'!$L$78-'Draft Center'!$L$82)&lt;1,1,$Q39*('Draft Center'!$L$28+'Draft Center'!$L$78-'Draft Center'!$L$82)),0)))</f>
        <v>18</v>
      </c>
      <c r="BB39" s="70">
        <f>IF(VLOOKUP($D39,$AO$14:AR$19,COLUMN()-50,0)&lt;=0,1,IF($Q39&lt;0,1,ROUNDUP(IF($Q39*('Draft Center'!$L$28+'Draft Center'!$L$78-'Draft Center'!$L$82)&lt;1,1,$Q39*('Draft Center'!$L$28+'Draft Center'!$L$78-'Draft Center'!$L$82)),0)))</f>
        <v>18</v>
      </c>
      <c r="BC39" s="70">
        <f>IF(VLOOKUP($D39,$AO$14:AS$19,COLUMN()-50,0)&lt;=0,1,IF($Q39&lt;0,1,ROUNDUP(IF($Q39*('Draft Center'!$L$28+'Draft Center'!$L$78-'Draft Center'!$L$82)&lt;1,1,$Q39*('Draft Center'!$L$28+'Draft Center'!$L$78-'Draft Center'!$L$82)),0)))</f>
        <v>18</v>
      </c>
      <c r="BD39" s="70">
        <f>IF(VLOOKUP($D39,$AO$14:AT$19,COLUMN()-50,0)&lt;=0,1,IF($Q39&lt;0,1,ROUNDUP(IF($Q39*('Draft Center'!$L$28+'Draft Center'!$L$78-'Draft Center'!$L$82)&lt;1,1,$Q39*('Draft Center'!$L$28+'Draft Center'!$L$78-'Draft Center'!$L$82)),0)))</f>
        <v>18</v>
      </c>
      <c r="BE39" s="70">
        <f>IF(VLOOKUP($D39,$AO$14:AU$19,COLUMN()-50,0)&lt;=0,1,IF($Q39&lt;0,1,ROUNDUP(IF($Q39*('Draft Center'!$L$28+'Draft Center'!$L$78-'Draft Center'!$L$82)&lt;1,1,$Q39*('Draft Center'!$L$28+'Draft Center'!$L$78-'Draft Center'!$L$82)),0)))</f>
        <v>18</v>
      </c>
      <c r="BF39" s="70">
        <f>IF(VLOOKUP($D39,$AO$14:AV$19,COLUMN()-50,0)&lt;=0,1,IF($Q39&lt;0,1,ROUNDUP(IF($Q39*('Draft Center'!$L$28+'Draft Center'!$L$78-'Draft Center'!$L$82)&lt;1,1,$Q39*('Draft Center'!$L$28+'Draft Center'!$L$78-'Draft Center'!$L$82)),0)))</f>
        <v>18</v>
      </c>
      <c r="BG39" s="70">
        <f>IF(VLOOKUP($D39,$AO$14:AW$19,COLUMN()-50,0)&lt;=0,1,IF($Q39&lt;0,1,ROUNDUP(IF($Q39*('Draft Center'!$L$28+'Draft Center'!$L$78-'Draft Center'!$L$82)&lt;1,1,$Q39*('Draft Center'!$L$28+'Draft Center'!$L$78-'Draft Center'!$L$82)),0)))</f>
        <v>18</v>
      </c>
      <c r="BH39" s="70">
        <f>IF(VLOOKUP($D39,$AO$14:AX$19,COLUMN()-50,0)&lt;=0,1,IF($Q39&lt;0,1,ROUNDUP(IF($Q39*('Draft Center'!$L$28+'Draft Center'!$L$78-'Draft Center'!$L$82)&lt;1,1,$Q39*('Draft Center'!$L$28+'Draft Center'!$L$78-'Draft Center'!$L$82)),0)))</f>
        <v>18</v>
      </c>
      <c r="BI39" s="70">
        <f>IF(VLOOKUP($D39,$AO$14:AY$19,COLUMN()-50,0)&lt;=0,1,IF($Q39&lt;0,1,ROUNDUP(IF($Q39*('Draft Center'!$L$28+'Draft Center'!$L$78-'Draft Center'!$L$82)&lt;1,1,$Q39*('Draft Center'!$L$28+'Draft Center'!$L$78-'Draft Center'!$L$82)),0)))</f>
        <v>18</v>
      </c>
      <c r="BJ39" s="196"/>
      <c r="BK39" s="23">
        <v>0</v>
      </c>
      <c r="BL39" s="23" t="str">
        <f t="shared" si="29"/>
        <v/>
      </c>
      <c r="BM39" s="23">
        <v>0</v>
      </c>
      <c r="BN39" s="23" t="str">
        <f t="shared" si="29"/>
        <v/>
      </c>
      <c r="BO39" s="23" t="str">
        <f t="shared" si="29"/>
        <v/>
      </c>
      <c r="BP39" s="23">
        <f t="shared" si="29"/>
        <v>0</v>
      </c>
      <c r="BQ39" s="23" t="str">
        <f t="shared" si="29"/>
        <v/>
      </c>
      <c r="BR39" s="23">
        <f t="shared" si="6"/>
        <v>0</v>
      </c>
      <c r="BS39" s="23">
        <f t="shared" si="7"/>
        <v>0</v>
      </c>
      <c r="BT39" s="70">
        <v>18</v>
      </c>
      <c r="BU39" s="58">
        <v>2327.0337</v>
      </c>
      <c r="BV39" s="33">
        <v>18</v>
      </c>
      <c r="BW39" s="204">
        <v>2327.0337</v>
      </c>
      <c r="BX39" s="23"/>
      <c r="BY39" s="70">
        <v>18</v>
      </c>
      <c r="BZ39" s="70">
        <v>0</v>
      </c>
      <c r="CA39" s="70">
        <v>0</v>
      </c>
      <c r="CB39" s="70">
        <v>0</v>
      </c>
      <c r="CC39" s="70">
        <f t="shared" si="10"/>
        <v>0</v>
      </c>
      <c r="CD39" s="70">
        <f t="shared" si="11"/>
        <v>0</v>
      </c>
    </row>
    <row r="40" spans="1:82" ht="15.75" customHeight="1" thickBot="1" x14ac:dyDescent="0.3">
      <c r="A40" s="9">
        <v>39</v>
      </c>
      <c r="B40" s="10" t="s">
        <v>70</v>
      </c>
      <c r="C40" s="10" t="s">
        <v>38</v>
      </c>
      <c r="D40" s="10" t="s">
        <v>43</v>
      </c>
      <c r="E40" s="51">
        <v>26.1272924082059</v>
      </c>
      <c r="F40" s="51">
        <v>179.58821176041499</v>
      </c>
      <c r="G40" s="51">
        <v>203.82624891389699</v>
      </c>
      <c r="H40" s="51">
        <v>148.48147959070201</v>
      </c>
      <c r="I40" s="11">
        <v>4.8</v>
      </c>
      <c r="J40" s="51">
        <v>2.7054316665064002</v>
      </c>
      <c r="K40" s="249">
        <f>IFERROR(VLOOKUP(C40,Schedule!$T$3:$U$34,2,0),"FA")</f>
        <v>6</v>
      </c>
      <c r="L40" s="10" t="str">
        <f>D40&amp;COUNTIF(D$2:$D40,D40)</f>
        <v>TE6</v>
      </c>
      <c r="M40" s="51">
        <f t="array" ref="M40">IFERROR(F40-AVERAGE(VLOOKUP(D40,$D41:$F$885,3,0),INDEX($F41:$F$885,SMALL(IF(D40=$D41:$D$885,ROW($D41:$D$885)-ROW(D40)),2))),0)</f>
        <v>4.4412542579149772</v>
      </c>
      <c r="N40" s="51">
        <f>IFERROR(IF(VLOOKUP($B40,Input!$AC$2:$AC$162,1,0)=$B40,0),F40)</f>
        <v>179.58821176041499</v>
      </c>
      <c r="O40" s="51">
        <f>IFERROR(IF(VLOOKUP($B40,Input!$AC$2:$AC$162,1,0)=$B40,0,G40),G40)</f>
        <v>203.82624891389699</v>
      </c>
      <c r="P40" s="51">
        <f>IF(N40=0,0,F40-AVERAGE(INDEX(F:F,MATCH(VLOOKUP(D40,Input!$A$14:$L$22,10,0),L:L,0)),INDEX(F:F,MATCH(VLOOKUP(D40,Input!$A$14:$L$22,11,0),L:L,0)),INDEX(F:F,MATCH(VLOOKUP(D40,Input!$A$14:$L$22,12,0),L:L,0)))+(0.01-ROW()*0.01))</f>
        <v>25.737292408205676</v>
      </c>
      <c r="Q40" s="107">
        <f t="shared" si="0"/>
        <v>8.8791841994619158E-3</v>
      </c>
      <c r="R40" s="11">
        <f>IF(VLOOKUP($D40,$X$14:$Y$19,2,0)&lt;=0,1,IF(Q40&lt;0,1,ROUNDUP(IF(Q40*('Draft Center'!$L$28+'Draft Center'!$L$78-'Draft Center'!$L$82)&lt;1,1,Q40*('Draft Center'!$L$28+'Draft Center'!$L$78-'Draft Center'!$L$82)),0)))</f>
        <v>18</v>
      </c>
      <c r="S40" s="11">
        <f>IF(A40&lt;Input!$B$10+0.1,IF(ROUNDUP(R40*Input!$C$10,0)=0,1,ROUNDUP(R40*Input!$C$10,0)),IF(A40&gt;Input!$B$11,IF(ROUNDUP(R40*Input!$C$11,0)=0,1,ROUNDUP(R40*Input!$C$11,0)),IF(ROUNDUP(R40,0)=0,1,ROUNDUP(R40,0))))</f>
        <v>18</v>
      </c>
      <c r="T40" s="11">
        <f t="shared" si="1"/>
        <v>18</v>
      </c>
      <c r="U40" s="11">
        <f>IFERROR(VLOOKUP($B40,Input!$AC$2:$AE$161,3,0),0)</f>
        <v>0</v>
      </c>
      <c r="V40" s="257">
        <f t="shared" si="8"/>
        <v>2.7504</v>
      </c>
      <c r="W40" s="264">
        <f t="shared" si="9"/>
        <v>13.2004</v>
      </c>
      <c r="Z40" s="23"/>
      <c r="AA40" s="23">
        <v>0</v>
      </c>
      <c r="AB40" s="23" t="str">
        <f t="shared" si="27"/>
        <v/>
      </c>
      <c r="AC40" s="23" t="str">
        <f t="shared" si="27"/>
        <v/>
      </c>
      <c r="AD40" s="23" t="str">
        <f t="shared" si="27"/>
        <v/>
      </c>
      <c r="AE40" s="23">
        <f t="shared" si="27"/>
        <v>0</v>
      </c>
      <c r="AF40" s="23" t="str">
        <f t="shared" si="27"/>
        <v/>
      </c>
      <c r="AG40" s="23" t="str">
        <f t="shared" si="27"/>
        <v/>
      </c>
      <c r="AH40" s="23">
        <f t="shared" si="3"/>
        <v>0</v>
      </c>
      <c r="AI40" s="23">
        <f t="shared" si="4"/>
        <v>0</v>
      </c>
      <c r="AJ40" s="69">
        <v>18</v>
      </c>
      <c r="AK40" s="225">
        <v>2327.0337</v>
      </c>
      <c r="AL40" s="33">
        <v>18</v>
      </c>
      <c r="AM40" s="204">
        <v>2327.0337</v>
      </c>
      <c r="AN40" s="196"/>
      <c r="AO40" s="23"/>
      <c r="AP40" s="23"/>
      <c r="AQ40" s="23"/>
      <c r="AR40" s="23"/>
      <c r="AS40" s="23"/>
      <c r="AT40" s="23"/>
      <c r="AU40" s="23"/>
      <c r="AV40" s="23"/>
      <c r="AW40" s="23"/>
      <c r="AX40" s="23"/>
      <c r="AY40" s="23"/>
      <c r="AZ40" s="196"/>
      <c r="BA40" s="69">
        <f>IF(VLOOKUP($D40,$AO$14:AQ$19,COLUMN()-50,0)&lt;=0,1,IF($Q40&lt;0,1,ROUNDUP(IF($Q40*('Draft Center'!$L$28+'Draft Center'!$L$78-'Draft Center'!$L$82)&lt;1,1,$Q40*('Draft Center'!$L$28+'Draft Center'!$L$78-'Draft Center'!$L$82)),0)))</f>
        <v>18</v>
      </c>
      <c r="BB40" s="69">
        <f>IF(VLOOKUP($D40,$AO$14:AR$19,COLUMN()-50,0)&lt;=0,1,IF($Q40&lt;0,1,ROUNDUP(IF($Q40*('Draft Center'!$L$28+'Draft Center'!$L$78-'Draft Center'!$L$82)&lt;1,1,$Q40*('Draft Center'!$L$28+'Draft Center'!$L$78-'Draft Center'!$L$82)),0)))</f>
        <v>18</v>
      </c>
      <c r="BC40" s="69">
        <f>IF(VLOOKUP($D40,$AO$14:AS$19,COLUMN()-50,0)&lt;=0,1,IF($Q40&lt;0,1,ROUNDUP(IF($Q40*('Draft Center'!$L$28+'Draft Center'!$L$78-'Draft Center'!$L$82)&lt;1,1,$Q40*('Draft Center'!$L$28+'Draft Center'!$L$78-'Draft Center'!$L$82)),0)))</f>
        <v>18</v>
      </c>
      <c r="BD40" s="69">
        <f>IF(VLOOKUP($D40,$AO$14:AT$19,COLUMN()-50,0)&lt;=0,1,IF($Q40&lt;0,1,ROUNDUP(IF($Q40*('Draft Center'!$L$28+'Draft Center'!$L$78-'Draft Center'!$L$82)&lt;1,1,$Q40*('Draft Center'!$L$28+'Draft Center'!$L$78-'Draft Center'!$L$82)),0)))</f>
        <v>18</v>
      </c>
      <c r="BE40" s="69">
        <f>IF(VLOOKUP($D40,$AO$14:AU$19,COLUMN()-50,0)&lt;=0,1,IF($Q40&lt;0,1,ROUNDUP(IF($Q40*('Draft Center'!$L$28+'Draft Center'!$L$78-'Draft Center'!$L$82)&lt;1,1,$Q40*('Draft Center'!$L$28+'Draft Center'!$L$78-'Draft Center'!$L$82)),0)))</f>
        <v>18</v>
      </c>
      <c r="BF40" s="69">
        <f>IF(VLOOKUP($D40,$AO$14:AV$19,COLUMN()-50,0)&lt;=0,1,IF($Q40&lt;0,1,ROUNDUP(IF($Q40*('Draft Center'!$L$28+'Draft Center'!$L$78-'Draft Center'!$L$82)&lt;1,1,$Q40*('Draft Center'!$L$28+'Draft Center'!$L$78-'Draft Center'!$L$82)),0)))</f>
        <v>18</v>
      </c>
      <c r="BG40" s="69">
        <f>IF(VLOOKUP($D40,$AO$14:AW$19,COLUMN()-50,0)&lt;=0,1,IF($Q40&lt;0,1,ROUNDUP(IF($Q40*('Draft Center'!$L$28+'Draft Center'!$L$78-'Draft Center'!$L$82)&lt;1,1,$Q40*('Draft Center'!$L$28+'Draft Center'!$L$78-'Draft Center'!$L$82)),0)))</f>
        <v>18</v>
      </c>
      <c r="BH40" s="69">
        <f>IF(VLOOKUP($D40,$AO$14:AX$19,COLUMN()-50,0)&lt;=0,1,IF($Q40&lt;0,1,ROUNDUP(IF($Q40*('Draft Center'!$L$28+'Draft Center'!$L$78-'Draft Center'!$L$82)&lt;1,1,$Q40*('Draft Center'!$L$28+'Draft Center'!$L$78-'Draft Center'!$L$82)),0)))</f>
        <v>18</v>
      </c>
      <c r="BI40" s="69">
        <f>IF(VLOOKUP($D40,$AO$14:AY$19,COLUMN()-50,0)&lt;=0,1,IF($Q40&lt;0,1,ROUNDUP(IF($Q40*('Draft Center'!$L$28+'Draft Center'!$L$78-'Draft Center'!$L$82)&lt;1,1,$Q40*('Draft Center'!$L$28+'Draft Center'!$L$78-'Draft Center'!$L$82)),0)))</f>
        <v>18</v>
      </c>
      <c r="BJ40" s="196"/>
      <c r="BK40" s="23">
        <v>0</v>
      </c>
      <c r="BL40" s="23" t="str">
        <f t="shared" si="29"/>
        <v/>
      </c>
      <c r="BM40" s="23">
        <v>0</v>
      </c>
      <c r="BN40" s="23" t="str">
        <f t="shared" si="29"/>
        <v/>
      </c>
      <c r="BO40" s="23">
        <f t="shared" si="29"/>
        <v>0</v>
      </c>
      <c r="BP40" s="23" t="str">
        <f t="shared" si="29"/>
        <v/>
      </c>
      <c r="BQ40" s="23" t="str">
        <f t="shared" si="29"/>
        <v/>
      </c>
      <c r="BR40" s="23">
        <f t="shared" si="6"/>
        <v>0</v>
      </c>
      <c r="BS40" s="23">
        <f t="shared" si="7"/>
        <v>0</v>
      </c>
      <c r="BT40" s="69">
        <v>18</v>
      </c>
      <c r="BU40" s="58">
        <v>2327.0337</v>
      </c>
      <c r="BV40" s="33">
        <v>18</v>
      </c>
      <c r="BW40" s="204">
        <v>2327.0337</v>
      </c>
      <c r="BX40" s="23"/>
      <c r="BY40" s="69">
        <v>18</v>
      </c>
      <c r="BZ40" s="69">
        <v>4.8</v>
      </c>
      <c r="CA40" s="69">
        <v>4.8</v>
      </c>
      <c r="CB40" s="69">
        <v>4.8</v>
      </c>
      <c r="CC40" s="69">
        <f t="shared" si="10"/>
        <v>4.8</v>
      </c>
      <c r="CD40" s="69">
        <f t="shared" si="11"/>
        <v>4.8</v>
      </c>
    </row>
    <row r="41" spans="1:82" ht="15.75" customHeight="1" thickBot="1" x14ac:dyDescent="0.3">
      <c r="A41" s="6">
        <v>40</v>
      </c>
      <c r="B41" s="7" t="s">
        <v>99</v>
      </c>
      <c r="C41" s="7" t="s">
        <v>23</v>
      </c>
      <c r="D41" s="7" t="s">
        <v>53</v>
      </c>
      <c r="E41" s="50">
        <v>24.035828158611999</v>
      </c>
      <c r="F41" s="50">
        <v>296.38347179144802</v>
      </c>
      <c r="G41" s="50">
        <v>319.321572990238</v>
      </c>
      <c r="H41" s="50">
        <v>257.65440000000001</v>
      </c>
      <c r="I41" s="8">
        <v>10.199999999999999</v>
      </c>
      <c r="J41" s="50">
        <v>5.1402924481665</v>
      </c>
      <c r="K41" s="248">
        <f>IFERROR(VLOOKUP(C41,Schedule!$T$3:$U$34,2,0),"FA")</f>
        <v>5</v>
      </c>
      <c r="L41" s="7" t="str">
        <f>D41&amp;COUNTIF(D$2:$D41,D41)</f>
        <v>QB4</v>
      </c>
      <c r="M41" s="50">
        <f t="array" ref="M41">IFERROR(F41-AVERAGE(VLOOKUP(D41,$D42:$F$885,3,0),INDEX($F42:$F$885,SMALL(IF(D41=$D42:$D$885,ROW($D42:$D$885)-ROW(D41)),2))),0)</f>
        <v>4.0912467994150461</v>
      </c>
      <c r="N41" s="50">
        <f>IFERROR(IF(VLOOKUP($B41,Input!$AC$2:$AC$162,1,0)=$B41,0),F41)</f>
        <v>296.38347179144802</v>
      </c>
      <c r="O41" s="50">
        <f>IFERROR(IF(VLOOKUP($B41,Input!$AC$2:$AC$162,1,0)=$B41,0,G41),G41)</f>
        <v>319.321572990238</v>
      </c>
      <c r="P41" s="50">
        <f>IF(N41=0,0,F41-AVERAGE(INDEX(F:F,MATCH(VLOOKUP(D41,Input!$A$14:$L$22,10,0),L:L,0)),INDEX(F:F,MATCH(VLOOKUP(D41,Input!$A$14:$L$22,11,0),L:L,0)),INDEX(F:F,MATCH(VLOOKUP(D41,Input!$A$14:$L$22,12,0),L:L,0)))+(0.01-ROW()*0.01))</f>
        <v>23.635828158612391</v>
      </c>
      <c r="Q41" s="106">
        <f t="shared" si="0"/>
        <v>8.1541938677371327E-3</v>
      </c>
      <c r="R41" s="8">
        <f>IF(VLOOKUP($D41,$X$14:$Y$19,2,0)&lt;=0,1,IF(Q41&lt;0,1,ROUNDUP(IF(Q41*('Draft Center'!$L$28+'Draft Center'!$L$78-'Draft Center'!$L$82)&lt;1,1,Q41*('Draft Center'!$L$28+'Draft Center'!$L$78-'Draft Center'!$L$82)),0)))</f>
        <v>16</v>
      </c>
      <c r="S41" s="8">
        <f>IF(A41&lt;Input!$B$10+0.1,IF(ROUNDUP(R41*Input!$C$10,0)=0,1,ROUNDUP(R41*Input!$C$10,0)),IF(A41&gt;Input!$B$11,IF(ROUNDUP(R41*Input!$C$11,0)=0,1,ROUNDUP(R41*Input!$C$11,0)),IF(ROUNDUP(R41,0)=0,1,ROUNDUP(R41,0))))</f>
        <v>16</v>
      </c>
      <c r="T41" s="8">
        <f t="shared" si="1"/>
        <v>16</v>
      </c>
      <c r="U41" s="8">
        <f>IFERROR(VLOOKUP($B41,Input!$AC$2:$AE$161,3,0),0)</f>
        <v>0</v>
      </c>
      <c r="V41" s="256">
        <f t="shared" si="8"/>
        <v>0.56903745098039227</v>
      </c>
      <c r="W41" s="263">
        <f t="shared" si="9"/>
        <v>5.8004100000000003</v>
      </c>
      <c r="Z41" s="23"/>
      <c r="AA41" s="23">
        <v>0</v>
      </c>
      <c r="AB41" s="23">
        <f t="shared" si="27"/>
        <v>0</v>
      </c>
      <c r="AC41" s="23" t="str">
        <f t="shared" si="27"/>
        <v/>
      </c>
      <c r="AD41" s="23" t="str">
        <f t="shared" si="27"/>
        <v/>
      </c>
      <c r="AE41" s="23" t="str">
        <f t="shared" si="27"/>
        <v/>
      </c>
      <c r="AF41" s="23" t="str">
        <f t="shared" si="27"/>
        <v/>
      </c>
      <c r="AG41" s="23" t="str">
        <f t="shared" si="27"/>
        <v/>
      </c>
      <c r="AH41" s="23">
        <f t="shared" si="3"/>
        <v>0</v>
      </c>
      <c r="AI41" s="23">
        <f t="shared" si="4"/>
        <v>0</v>
      </c>
      <c r="AJ41" s="70">
        <v>16</v>
      </c>
      <c r="AK41" s="225">
        <v>2327.0337</v>
      </c>
      <c r="AL41" s="33">
        <v>16</v>
      </c>
      <c r="AM41" s="204">
        <v>2327.0337</v>
      </c>
      <c r="AN41" s="196"/>
      <c r="AO41" s="23"/>
      <c r="AP41" s="23"/>
      <c r="AQ41" s="23"/>
      <c r="AR41" s="23"/>
      <c r="AS41" s="23"/>
      <c r="AT41" s="23"/>
      <c r="AU41" s="23"/>
      <c r="AV41" s="23"/>
      <c r="AW41" s="23"/>
      <c r="AX41" s="23"/>
      <c r="AY41" s="23"/>
      <c r="AZ41" s="196"/>
      <c r="BA41" s="70">
        <f>IF(VLOOKUP($D41,$AO$14:AQ$19,COLUMN()-50,0)&lt;=0,1,IF($Q41&lt;0,1,ROUNDUP(IF($Q41*('Draft Center'!$L$28+'Draft Center'!$L$78-'Draft Center'!$L$82)&lt;1,1,$Q41*('Draft Center'!$L$28+'Draft Center'!$L$78-'Draft Center'!$L$82)),0)))</f>
        <v>16</v>
      </c>
      <c r="BB41" s="70">
        <f>IF(VLOOKUP($D41,$AO$14:AR$19,COLUMN()-50,0)&lt;=0,1,IF($Q41&lt;0,1,ROUNDUP(IF($Q41*('Draft Center'!$L$28+'Draft Center'!$L$78-'Draft Center'!$L$82)&lt;1,1,$Q41*('Draft Center'!$L$28+'Draft Center'!$L$78-'Draft Center'!$L$82)),0)))</f>
        <v>16</v>
      </c>
      <c r="BC41" s="70">
        <f>IF(VLOOKUP($D41,$AO$14:AS$19,COLUMN()-50,0)&lt;=0,1,IF($Q41&lt;0,1,ROUNDUP(IF($Q41*('Draft Center'!$L$28+'Draft Center'!$L$78-'Draft Center'!$L$82)&lt;1,1,$Q41*('Draft Center'!$L$28+'Draft Center'!$L$78-'Draft Center'!$L$82)),0)))</f>
        <v>16</v>
      </c>
      <c r="BD41" s="70">
        <f>IF(VLOOKUP($D41,$AO$14:AT$19,COLUMN()-50,0)&lt;=0,1,IF($Q41&lt;0,1,ROUNDUP(IF($Q41*('Draft Center'!$L$28+'Draft Center'!$L$78-'Draft Center'!$L$82)&lt;1,1,$Q41*('Draft Center'!$L$28+'Draft Center'!$L$78-'Draft Center'!$L$82)),0)))</f>
        <v>16</v>
      </c>
      <c r="BE41" s="70">
        <f>IF(VLOOKUP($D41,$AO$14:AU$19,COLUMN()-50,0)&lt;=0,1,IF($Q41&lt;0,1,ROUNDUP(IF($Q41*('Draft Center'!$L$28+'Draft Center'!$L$78-'Draft Center'!$L$82)&lt;1,1,$Q41*('Draft Center'!$L$28+'Draft Center'!$L$78-'Draft Center'!$L$82)),0)))</f>
        <v>16</v>
      </c>
      <c r="BF41" s="70">
        <f>IF(VLOOKUP($D41,$AO$14:AV$19,COLUMN()-50,0)&lt;=0,1,IF($Q41&lt;0,1,ROUNDUP(IF($Q41*('Draft Center'!$L$28+'Draft Center'!$L$78-'Draft Center'!$L$82)&lt;1,1,$Q41*('Draft Center'!$L$28+'Draft Center'!$L$78-'Draft Center'!$L$82)),0)))</f>
        <v>16</v>
      </c>
      <c r="BG41" s="70">
        <f>IF(VLOOKUP($D41,$AO$14:AW$19,COLUMN()-50,0)&lt;=0,1,IF($Q41&lt;0,1,ROUNDUP(IF($Q41*('Draft Center'!$L$28+'Draft Center'!$L$78-'Draft Center'!$L$82)&lt;1,1,$Q41*('Draft Center'!$L$28+'Draft Center'!$L$78-'Draft Center'!$L$82)),0)))</f>
        <v>16</v>
      </c>
      <c r="BH41" s="70">
        <f>IF(VLOOKUP($D41,$AO$14:AX$19,COLUMN()-50,0)&lt;=0,1,IF($Q41&lt;0,1,ROUNDUP(IF($Q41*('Draft Center'!$L$28+'Draft Center'!$L$78-'Draft Center'!$L$82)&lt;1,1,$Q41*('Draft Center'!$L$28+'Draft Center'!$L$78-'Draft Center'!$L$82)),0)))</f>
        <v>16</v>
      </c>
      <c r="BI41" s="70">
        <f>IF(VLOOKUP($D41,$AO$14:AY$19,COLUMN()-50,0)&lt;=0,1,IF($Q41&lt;0,1,ROUNDUP(IF($Q41*('Draft Center'!$L$28+'Draft Center'!$L$78-'Draft Center'!$L$82)&lt;1,1,$Q41*('Draft Center'!$L$28+'Draft Center'!$L$78-'Draft Center'!$L$82)),0)))</f>
        <v>16</v>
      </c>
      <c r="BJ41" s="196"/>
      <c r="BK41" s="23">
        <v>0</v>
      </c>
      <c r="BL41" s="23">
        <f t="shared" si="29"/>
        <v>0</v>
      </c>
      <c r="BM41" s="23">
        <v>0</v>
      </c>
      <c r="BN41" s="23" t="str">
        <f t="shared" si="29"/>
        <v/>
      </c>
      <c r="BO41" s="23" t="str">
        <f t="shared" si="29"/>
        <v/>
      </c>
      <c r="BP41" s="23" t="str">
        <f t="shared" si="29"/>
        <v/>
      </c>
      <c r="BQ41" s="23" t="str">
        <f t="shared" si="29"/>
        <v/>
      </c>
      <c r="BR41" s="23">
        <f t="shared" si="6"/>
        <v>0</v>
      </c>
      <c r="BS41" s="23">
        <f t="shared" si="7"/>
        <v>0</v>
      </c>
      <c r="BT41" s="70">
        <v>16</v>
      </c>
      <c r="BU41" s="58">
        <v>2327.0337</v>
      </c>
      <c r="BV41" s="33">
        <v>16</v>
      </c>
      <c r="BW41" s="204">
        <v>2327.0337</v>
      </c>
      <c r="BX41" s="23"/>
      <c r="BY41" s="70">
        <v>16</v>
      </c>
      <c r="BZ41" s="70">
        <v>10.199999999999999</v>
      </c>
      <c r="CA41" s="70">
        <v>10.199999999999999</v>
      </c>
      <c r="CB41" s="70">
        <v>10.199999999999999</v>
      </c>
      <c r="CC41" s="70">
        <f t="shared" si="10"/>
        <v>10.199999999999999</v>
      </c>
      <c r="CD41" s="70">
        <f t="shared" si="11"/>
        <v>10.199999999999999</v>
      </c>
    </row>
    <row r="42" spans="1:82" ht="15.75" customHeight="1" thickBot="1" x14ac:dyDescent="0.3">
      <c r="A42" s="9">
        <v>41</v>
      </c>
      <c r="B42" s="10" t="s">
        <v>138</v>
      </c>
      <c r="C42" s="10" t="s">
        <v>47</v>
      </c>
      <c r="D42" s="10" t="s">
        <v>43</v>
      </c>
      <c r="E42" s="51">
        <v>23.819845626952599</v>
      </c>
      <c r="F42" s="51">
        <v>177.280764979162</v>
      </c>
      <c r="G42" s="51">
        <v>189.45639132327</v>
      </c>
      <c r="H42" s="51">
        <v>163.82944087061099</v>
      </c>
      <c r="I42" s="11">
        <v>1.6</v>
      </c>
      <c r="J42" s="51">
        <v>2.9389260061453499</v>
      </c>
      <c r="K42" s="249">
        <f>IFERROR(VLOOKUP(C42,Schedule!$T$3:$U$34,2,0),"FA")</f>
        <v>10</v>
      </c>
      <c r="L42" s="10" t="str">
        <f>D42&amp;COUNTIF(D$2:$D42,D42)</f>
        <v>TE7</v>
      </c>
      <c r="M42" s="51">
        <f t="array" ref="M42">IFERROR(F42-AVERAGE(VLOOKUP(D42,$D43:$F$885,3,0),INDEX($F43:$F$885,SMALL(IF(D42=$D43:$D$885,ROW($D43:$D$885)-ROW(D42)),2))),0)</f>
        <v>11.092198911789495</v>
      </c>
      <c r="N42" s="51">
        <f>IFERROR(IF(VLOOKUP($B42,Input!$AC$2:$AC$162,1,0)=$B42,0),F42)</f>
        <v>177.280764979162</v>
      </c>
      <c r="O42" s="51">
        <f>IFERROR(IF(VLOOKUP($B42,Input!$AC$2:$AC$162,1,0)=$B42,0,G42),G42)</f>
        <v>189.45639132327</v>
      </c>
      <c r="P42" s="51">
        <f>IF(N42=0,0,F42-AVERAGE(INDEX(F:F,MATCH(VLOOKUP(D42,Input!$A$14:$L$22,10,0),L:L,0)),INDEX(F:F,MATCH(VLOOKUP(D42,Input!$A$14:$L$22,11,0),L:L,0)),INDEX(F:F,MATCH(VLOOKUP(D42,Input!$A$14:$L$22,12,0),L:L,0)))+(0.01-ROW()*0.01))</f>
        <v>23.409845626952684</v>
      </c>
      <c r="Q42" s="107">
        <f t="shared" si="0"/>
        <v>8.0762314895412232E-3</v>
      </c>
      <c r="R42" s="11">
        <f>IF(VLOOKUP($D42,$X$14:$Y$19,2,0)&lt;=0,1,IF(Q42&lt;0,1,ROUNDUP(IF(Q42*('Draft Center'!$L$28+'Draft Center'!$L$78-'Draft Center'!$L$82)&lt;1,1,Q42*('Draft Center'!$L$28+'Draft Center'!$L$78-'Draft Center'!$L$82)),0)))</f>
        <v>16</v>
      </c>
      <c r="S42" s="11">
        <f>IF(A42&lt;Input!$B$10+0.1,IF(ROUNDUP(R42*Input!$C$10,0)=0,1,ROUNDUP(R42*Input!$C$10,0)),IF(A42&gt;Input!$B$11,IF(ROUNDUP(R42*Input!$C$11,0)=0,1,ROUNDUP(R42*Input!$C$11,0)),IF(ROUNDUP(R42,0)=0,1,ROUNDUP(R42,0))))</f>
        <v>16</v>
      </c>
      <c r="T42" s="11">
        <f t="shared" si="1"/>
        <v>16</v>
      </c>
      <c r="U42" s="11">
        <f>IFERROR(VLOOKUP($B42,Input!$AC$2:$AE$161,3,0),0)</f>
        <v>0</v>
      </c>
      <c r="V42" s="257">
        <f t="shared" si="8"/>
        <v>9.0004200000000001</v>
      </c>
      <c r="W42" s="264">
        <f t="shared" si="9"/>
        <v>14.40042</v>
      </c>
      <c r="Z42" s="23"/>
      <c r="AA42" s="23">
        <v>0</v>
      </c>
      <c r="AB42" s="23" t="str">
        <f t="shared" ref="AB42:AG51" si="32">IF($D42=AB$1,1*$AA42,"")</f>
        <v/>
      </c>
      <c r="AC42" s="23" t="str">
        <f t="shared" si="32"/>
        <v/>
      </c>
      <c r="AD42" s="23" t="str">
        <f t="shared" si="32"/>
        <v/>
      </c>
      <c r="AE42" s="23">
        <f t="shared" si="32"/>
        <v>0</v>
      </c>
      <c r="AF42" s="23" t="str">
        <f t="shared" si="32"/>
        <v/>
      </c>
      <c r="AG42" s="23" t="str">
        <f t="shared" si="32"/>
        <v/>
      </c>
      <c r="AH42" s="23">
        <f t="shared" si="3"/>
        <v>0</v>
      </c>
      <c r="AI42" s="23">
        <f t="shared" si="4"/>
        <v>0</v>
      </c>
      <c r="AJ42" s="69">
        <v>16</v>
      </c>
      <c r="AK42" s="225">
        <v>2327.0337</v>
      </c>
      <c r="AL42" s="33">
        <v>16</v>
      </c>
      <c r="AM42" s="204">
        <v>2327.0337</v>
      </c>
      <c r="AN42" s="196"/>
      <c r="AO42" s="23"/>
      <c r="AP42" s="23"/>
      <c r="AQ42" s="23"/>
      <c r="AR42" s="23"/>
      <c r="AS42" s="23"/>
      <c r="AT42" s="23"/>
      <c r="AU42" s="23"/>
      <c r="AV42" s="23"/>
      <c r="AW42" s="23"/>
      <c r="AX42" s="23"/>
      <c r="AY42" s="23"/>
      <c r="AZ42" s="196"/>
      <c r="BA42" s="69">
        <f>IF(VLOOKUP($D42,$AO$14:AQ$19,COLUMN()-50,0)&lt;=0,1,IF($Q42&lt;0,1,ROUNDUP(IF($Q42*('Draft Center'!$L$28+'Draft Center'!$L$78-'Draft Center'!$L$82)&lt;1,1,$Q42*('Draft Center'!$L$28+'Draft Center'!$L$78-'Draft Center'!$L$82)),0)))</f>
        <v>16</v>
      </c>
      <c r="BB42" s="69">
        <f>IF(VLOOKUP($D42,$AO$14:AR$19,COLUMN()-50,0)&lt;=0,1,IF($Q42&lt;0,1,ROUNDUP(IF($Q42*('Draft Center'!$L$28+'Draft Center'!$L$78-'Draft Center'!$L$82)&lt;1,1,$Q42*('Draft Center'!$L$28+'Draft Center'!$L$78-'Draft Center'!$L$82)),0)))</f>
        <v>16</v>
      </c>
      <c r="BC42" s="69">
        <f>IF(VLOOKUP($D42,$AO$14:AS$19,COLUMN()-50,0)&lt;=0,1,IF($Q42&lt;0,1,ROUNDUP(IF($Q42*('Draft Center'!$L$28+'Draft Center'!$L$78-'Draft Center'!$L$82)&lt;1,1,$Q42*('Draft Center'!$L$28+'Draft Center'!$L$78-'Draft Center'!$L$82)),0)))</f>
        <v>16</v>
      </c>
      <c r="BD42" s="69">
        <f>IF(VLOOKUP($D42,$AO$14:AT$19,COLUMN()-50,0)&lt;=0,1,IF($Q42&lt;0,1,ROUNDUP(IF($Q42*('Draft Center'!$L$28+'Draft Center'!$L$78-'Draft Center'!$L$82)&lt;1,1,$Q42*('Draft Center'!$L$28+'Draft Center'!$L$78-'Draft Center'!$L$82)),0)))</f>
        <v>16</v>
      </c>
      <c r="BE42" s="69">
        <f>IF(VLOOKUP($D42,$AO$14:AU$19,COLUMN()-50,0)&lt;=0,1,IF($Q42&lt;0,1,ROUNDUP(IF($Q42*('Draft Center'!$L$28+'Draft Center'!$L$78-'Draft Center'!$L$82)&lt;1,1,$Q42*('Draft Center'!$L$28+'Draft Center'!$L$78-'Draft Center'!$L$82)),0)))</f>
        <v>16</v>
      </c>
      <c r="BF42" s="69">
        <f>IF(VLOOKUP($D42,$AO$14:AV$19,COLUMN()-50,0)&lt;=0,1,IF($Q42&lt;0,1,ROUNDUP(IF($Q42*('Draft Center'!$L$28+'Draft Center'!$L$78-'Draft Center'!$L$82)&lt;1,1,$Q42*('Draft Center'!$L$28+'Draft Center'!$L$78-'Draft Center'!$L$82)),0)))</f>
        <v>16</v>
      </c>
      <c r="BG42" s="69">
        <f>IF(VLOOKUP($D42,$AO$14:AW$19,COLUMN()-50,0)&lt;=0,1,IF($Q42&lt;0,1,ROUNDUP(IF($Q42*('Draft Center'!$L$28+'Draft Center'!$L$78-'Draft Center'!$L$82)&lt;1,1,$Q42*('Draft Center'!$L$28+'Draft Center'!$L$78-'Draft Center'!$L$82)),0)))</f>
        <v>16</v>
      </c>
      <c r="BH42" s="69">
        <f>IF(VLOOKUP($D42,$AO$14:AX$19,COLUMN()-50,0)&lt;=0,1,IF($Q42&lt;0,1,ROUNDUP(IF($Q42*('Draft Center'!$L$28+'Draft Center'!$L$78-'Draft Center'!$L$82)&lt;1,1,$Q42*('Draft Center'!$L$28+'Draft Center'!$L$78-'Draft Center'!$L$82)),0)))</f>
        <v>16</v>
      </c>
      <c r="BI42" s="69">
        <f>IF(VLOOKUP($D42,$AO$14:AY$19,COLUMN()-50,0)&lt;=0,1,IF($Q42&lt;0,1,ROUNDUP(IF($Q42*('Draft Center'!$L$28+'Draft Center'!$L$78-'Draft Center'!$L$82)&lt;1,1,$Q42*('Draft Center'!$L$28+'Draft Center'!$L$78-'Draft Center'!$L$82)),0)))</f>
        <v>16</v>
      </c>
      <c r="BJ42" s="196"/>
      <c r="BK42" s="23">
        <v>0</v>
      </c>
      <c r="BL42" s="23" t="str">
        <f t="shared" ref="BL42:BQ51" si="33">IF($D42=BL$1,1*$BK42,"")</f>
        <v/>
      </c>
      <c r="BM42" s="23">
        <v>0</v>
      </c>
      <c r="BN42" s="23" t="str">
        <f t="shared" si="33"/>
        <v/>
      </c>
      <c r="BO42" s="23">
        <f t="shared" si="33"/>
        <v>0</v>
      </c>
      <c r="BP42" s="23" t="str">
        <f t="shared" si="33"/>
        <v/>
      </c>
      <c r="BQ42" s="23" t="str">
        <f t="shared" si="33"/>
        <v/>
      </c>
      <c r="BR42" s="23">
        <f t="shared" si="6"/>
        <v>0</v>
      </c>
      <c r="BS42" s="23">
        <f t="shared" si="7"/>
        <v>0</v>
      </c>
      <c r="BT42" s="69">
        <v>16</v>
      </c>
      <c r="BU42" s="58">
        <v>2327.0337</v>
      </c>
      <c r="BV42" s="33">
        <v>16</v>
      </c>
      <c r="BW42" s="204">
        <v>2327.0337</v>
      </c>
      <c r="BX42" s="23"/>
      <c r="BY42" s="69">
        <v>16</v>
      </c>
      <c r="BZ42" s="69">
        <v>1.6</v>
      </c>
      <c r="CA42" s="69">
        <v>1.6</v>
      </c>
      <c r="CB42" s="69">
        <v>1.6</v>
      </c>
      <c r="CC42" s="69">
        <f t="shared" si="10"/>
        <v>1.6000000000000003</v>
      </c>
      <c r="CD42" s="69">
        <f t="shared" si="11"/>
        <v>1.6</v>
      </c>
    </row>
    <row r="43" spans="1:82" ht="15.75" customHeight="1" thickBot="1" x14ac:dyDescent="0.3">
      <c r="A43" s="6">
        <v>42</v>
      </c>
      <c r="B43" s="7" t="s">
        <v>158</v>
      </c>
      <c r="C43" s="7" t="s">
        <v>48</v>
      </c>
      <c r="D43" s="7" t="s">
        <v>147</v>
      </c>
      <c r="E43" s="50">
        <v>23.3424764254618</v>
      </c>
      <c r="F43" s="50">
        <v>154.71146485643499</v>
      </c>
      <c r="G43" s="50">
        <v>159.84181975642801</v>
      </c>
      <c r="H43" s="50">
        <v>148.963461776586</v>
      </c>
      <c r="I43" s="8">
        <v>3.5</v>
      </c>
      <c r="J43" s="50">
        <v>1.85483329851584</v>
      </c>
      <c r="K43" s="248">
        <f>IFERROR(VLOOKUP(C43,Schedule!$T$3:$U$34,2,0),"FA")</f>
        <v>10</v>
      </c>
      <c r="L43" s="7" t="str">
        <f>D43&amp;COUNTIF(D$2:$D43,D43)</f>
        <v>K1</v>
      </c>
      <c r="M43" s="50">
        <f t="array" ref="M43">IFERROR(F43-AVERAGE(VLOOKUP(D43,$D44:$F$885,3,0),INDEX($F44:$F$885,SMALL(IF(D43=$D44:$D$885,ROW($D44:$D$885)-ROW(D43)),2))),0)</f>
        <v>3.8596738979239831</v>
      </c>
      <c r="N43" s="50">
        <f>IFERROR(IF(VLOOKUP($B43,Input!$AC$2:$AC$162,1,0)=$B43,0),F43)</f>
        <v>154.71146485643499</v>
      </c>
      <c r="O43" s="50">
        <f>IFERROR(IF(VLOOKUP($B43,Input!$AC$2:$AC$162,1,0)=$B43,0,G43),G43)</f>
        <v>159.84181975642801</v>
      </c>
      <c r="P43" s="50">
        <f>IF(N43=0,0,F43-AVERAGE(INDEX(F:F,MATCH(VLOOKUP(D43,Input!$A$14:$L$22,10,0),L:L,0)),INDEX(F:F,MATCH(VLOOKUP(D43,Input!$A$14:$L$22,11,0),L:L,0)),INDEX(F:F,MATCH(VLOOKUP(D43,Input!$A$14:$L$22,12,0),L:L,0)))+(0.01-ROW()*0.01))</f>
        <v>22.748483274306992</v>
      </c>
      <c r="Q43" s="106">
        <f t="shared" si="0"/>
        <v>7.8480661464821241E-3</v>
      </c>
      <c r="R43" s="8">
        <f>IF(VLOOKUP($D43,$X$14:$Y$19,2,0)&lt;=0,1,IF(Q43&lt;0,1,ROUNDUP(IF(Q43*('Draft Center'!$L$28+'Draft Center'!$L$78-'Draft Center'!$L$82)&lt;1,1,Q43*('Draft Center'!$L$28+'Draft Center'!$L$78-'Draft Center'!$L$82)),0)))</f>
        <v>16</v>
      </c>
      <c r="S43" s="8">
        <f>IF(A43&lt;Input!$B$10+0.1,IF(ROUNDUP(R43*Input!$C$10,0)=0,1,ROUNDUP(R43*Input!$C$10,0)),IF(A43&gt;Input!$B$11,IF(ROUNDUP(R43*Input!$C$11,0)=0,1,ROUNDUP(R43*Input!$C$11,0)),IF(ROUNDUP(R43,0)=0,1,ROUNDUP(R43,0))))</f>
        <v>16</v>
      </c>
      <c r="T43" s="8">
        <f t="shared" si="1"/>
        <v>16</v>
      </c>
      <c r="U43" s="8">
        <f>IFERROR(VLOOKUP($B43,Input!$AC$2:$AE$161,3,0),0)</f>
        <v>0</v>
      </c>
      <c r="V43" s="256">
        <f t="shared" si="8"/>
        <v>3.5718585714285718</v>
      </c>
      <c r="W43" s="263">
        <f t="shared" si="9"/>
        <v>12.50043</v>
      </c>
      <c r="Z43" s="23"/>
      <c r="AA43" s="23">
        <v>0</v>
      </c>
      <c r="AB43" s="23" t="str">
        <f t="shared" si="32"/>
        <v/>
      </c>
      <c r="AC43" s="23" t="str">
        <f t="shared" si="32"/>
        <v/>
      </c>
      <c r="AD43" s="23" t="str">
        <f t="shared" si="32"/>
        <v/>
      </c>
      <c r="AE43" s="23" t="str">
        <f t="shared" si="32"/>
        <v/>
      </c>
      <c r="AF43" s="23" t="str">
        <f t="shared" si="32"/>
        <v/>
      </c>
      <c r="AG43" s="23">
        <f t="shared" si="32"/>
        <v>0</v>
      </c>
      <c r="AH43" s="23">
        <f t="shared" si="3"/>
        <v>0</v>
      </c>
      <c r="AI43" s="23">
        <f t="shared" si="4"/>
        <v>0</v>
      </c>
      <c r="AJ43" s="70">
        <v>16</v>
      </c>
      <c r="AK43" s="225">
        <v>2327.0337</v>
      </c>
      <c r="AL43" s="33">
        <v>16</v>
      </c>
      <c r="AM43" s="204">
        <v>2327.0337</v>
      </c>
      <c r="AN43" s="196"/>
      <c r="AO43" s="23"/>
      <c r="AP43" s="23"/>
      <c r="AQ43" s="23"/>
      <c r="AR43" s="23"/>
      <c r="AS43" s="23"/>
      <c r="AT43" s="23"/>
      <c r="AU43" s="23"/>
      <c r="AV43" s="23"/>
      <c r="AW43" s="23"/>
      <c r="AX43" s="23"/>
      <c r="AY43" s="23"/>
      <c r="AZ43" s="196"/>
      <c r="BA43" s="70">
        <f>IF(VLOOKUP($D43,$AO$14:AQ$19,COLUMN()-50,0)&lt;=0,1,IF($Q43&lt;0,1,ROUNDUP(IF($Q43*('Draft Center'!$L$28+'Draft Center'!$L$78-'Draft Center'!$L$82)&lt;1,1,$Q43*('Draft Center'!$L$28+'Draft Center'!$L$78-'Draft Center'!$L$82)),0)))</f>
        <v>16</v>
      </c>
      <c r="BB43" s="70">
        <f>IF(VLOOKUP($D43,$AO$14:AR$19,COLUMN()-50,0)&lt;=0,1,IF($Q43&lt;0,1,ROUNDUP(IF($Q43*('Draft Center'!$L$28+'Draft Center'!$L$78-'Draft Center'!$L$82)&lt;1,1,$Q43*('Draft Center'!$L$28+'Draft Center'!$L$78-'Draft Center'!$L$82)),0)))</f>
        <v>16</v>
      </c>
      <c r="BC43" s="70">
        <f>IF(VLOOKUP($D43,$AO$14:AS$19,COLUMN()-50,0)&lt;=0,1,IF($Q43&lt;0,1,ROUNDUP(IF($Q43*('Draft Center'!$L$28+'Draft Center'!$L$78-'Draft Center'!$L$82)&lt;1,1,$Q43*('Draft Center'!$L$28+'Draft Center'!$L$78-'Draft Center'!$L$82)),0)))</f>
        <v>16</v>
      </c>
      <c r="BD43" s="70">
        <f>IF(VLOOKUP($D43,$AO$14:AT$19,COLUMN()-50,0)&lt;=0,1,IF($Q43&lt;0,1,ROUNDUP(IF($Q43*('Draft Center'!$L$28+'Draft Center'!$L$78-'Draft Center'!$L$82)&lt;1,1,$Q43*('Draft Center'!$L$28+'Draft Center'!$L$78-'Draft Center'!$L$82)),0)))</f>
        <v>16</v>
      </c>
      <c r="BE43" s="70">
        <f>IF(VLOOKUP($D43,$AO$14:AU$19,COLUMN()-50,0)&lt;=0,1,IF($Q43&lt;0,1,ROUNDUP(IF($Q43*('Draft Center'!$L$28+'Draft Center'!$L$78-'Draft Center'!$L$82)&lt;1,1,$Q43*('Draft Center'!$L$28+'Draft Center'!$L$78-'Draft Center'!$L$82)),0)))</f>
        <v>16</v>
      </c>
      <c r="BF43" s="70">
        <f>IF(VLOOKUP($D43,$AO$14:AV$19,COLUMN()-50,0)&lt;=0,1,IF($Q43&lt;0,1,ROUNDUP(IF($Q43*('Draft Center'!$L$28+'Draft Center'!$L$78-'Draft Center'!$L$82)&lt;1,1,$Q43*('Draft Center'!$L$28+'Draft Center'!$L$78-'Draft Center'!$L$82)),0)))</f>
        <v>16</v>
      </c>
      <c r="BG43" s="70">
        <f>IF(VLOOKUP($D43,$AO$14:AW$19,COLUMN()-50,0)&lt;=0,1,IF($Q43&lt;0,1,ROUNDUP(IF($Q43*('Draft Center'!$L$28+'Draft Center'!$L$78-'Draft Center'!$L$82)&lt;1,1,$Q43*('Draft Center'!$L$28+'Draft Center'!$L$78-'Draft Center'!$L$82)),0)))</f>
        <v>16</v>
      </c>
      <c r="BH43" s="70">
        <f>IF(VLOOKUP($D43,$AO$14:AX$19,COLUMN()-50,0)&lt;=0,1,IF($Q43&lt;0,1,ROUNDUP(IF($Q43*('Draft Center'!$L$28+'Draft Center'!$L$78-'Draft Center'!$L$82)&lt;1,1,$Q43*('Draft Center'!$L$28+'Draft Center'!$L$78-'Draft Center'!$L$82)),0)))</f>
        <v>16</v>
      </c>
      <c r="BI43" s="70">
        <f>IF(VLOOKUP($D43,$AO$14:AY$19,COLUMN()-50,0)&lt;=0,1,IF($Q43&lt;0,1,ROUNDUP(IF($Q43*('Draft Center'!$L$28+'Draft Center'!$L$78-'Draft Center'!$L$82)&lt;1,1,$Q43*('Draft Center'!$L$28+'Draft Center'!$L$78-'Draft Center'!$L$82)),0)))</f>
        <v>16</v>
      </c>
      <c r="BJ43" s="196"/>
      <c r="BK43" s="23">
        <v>0</v>
      </c>
      <c r="BL43" s="23" t="str">
        <f t="shared" si="33"/>
        <v/>
      </c>
      <c r="BM43" s="23">
        <v>0</v>
      </c>
      <c r="BN43" s="23" t="str">
        <f t="shared" si="33"/>
        <v/>
      </c>
      <c r="BO43" s="23" t="str">
        <f t="shared" si="33"/>
        <v/>
      </c>
      <c r="BP43" s="23" t="str">
        <f t="shared" si="33"/>
        <v/>
      </c>
      <c r="BQ43" s="23">
        <f t="shared" si="33"/>
        <v>0</v>
      </c>
      <c r="BR43" s="23">
        <f t="shared" si="6"/>
        <v>0</v>
      </c>
      <c r="BS43" s="23">
        <f t="shared" si="7"/>
        <v>0</v>
      </c>
      <c r="BT43" s="70">
        <v>16</v>
      </c>
      <c r="BU43" s="58">
        <v>2327.0337</v>
      </c>
      <c r="BV43" s="33">
        <v>16</v>
      </c>
      <c r="BW43" s="204">
        <v>2327.0337</v>
      </c>
      <c r="BX43" s="23"/>
      <c r="BY43" s="70">
        <v>16</v>
      </c>
      <c r="BZ43" s="70">
        <v>3.5</v>
      </c>
      <c r="CA43" s="70">
        <v>3.5</v>
      </c>
      <c r="CB43" s="70">
        <v>3.5</v>
      </c>
      <c r="CC43" s="70">
        <f t="shared" si="10"/>
        <v>3.5</v>
      </c>
      <c r="CD43" s="70">
        <f t="shared" si="11"/>
        <v>3.5</v>
      </c>
    </row>
    <row r="44" spans="1:82" ht="15.75" customHeight="1" thickBot="1" x14ac:dyDescent="0.3">
      <c r="A44" s="9">
        <v>43</v>
      </c>
      <c r="B44" s="10" t="s">
        <v>90</v>
      </c>
      <c r="C44" s="10" t="s">
        <v>38</v>
      </c>
      <c r="D44" s="10" t="s">
        <v>53</v>
      </c>
      <c r="E44" s="51">
        <v>22.981080490542301</v>
      </c>
      <c r="F44" s="51">
        <v>295.32872412337798</v>
      </c>
      <c r="G44" s="51">
        <v>312.677170663889</v>
      </c>
      <c r="H44" s="51">
        <v>248.01679999999999</v>
      </c>
      <c r="I44" s="11">
        <v>5.3</v>
      </c>
      <c r="J44" s="51">
        <v>4.9995469426413104</v>
      </c>
      <c r="K44" s="249">
        <f>IFERROR(VLOOKUP(C44,Schedule!$T$3:$U$34,2,0),"FA")</f>
        <v>6</v>
      </c>
      <c r="L44" s="10" t="str">
        <f>D44&amp;COUNTIF(D$2:$D44,D44)</f>
        <v>QB5</v>
      </c>
      <c r="M44" s="51">
        <f t="array" ref="M44">IFERROR(F44-AVERAGE(VLOOKUP(D44,$D45:$F$885,3,0),INDEX($F45:$F$885,SMALL(IF(D44=$D45:$D$885,ROW($D45:$D$885)-ROW(D44)),2))),0)</f>
        <v>9.4628742648099546</v>
      </c>
      <c r="N44" s="51">
        <f>IFERROR(IF(VLOOKUP($B44,Input!$AC$2:$AC$162,1,0)=$B44,0),F44)</f>
        <v>295.32872412337798</v>
      </c>
      <c r="O44" s="51">
        <f>IFERROR(IF(VLOOKUP($B44,Input!$AC$2:$AC$162,1,0)=$B44,0,G44),G44)</f>
        <v>312.677170663889</v>
      </c>
      <c r="P44" s="51">
        <f>IF(N44=0,0,F44-AVERAGE(INDEX(F:F,MATCH(VLOOKUP(D44,Input!$A$14:$L$22,10,0),L:L,0)),INDEX(F:F,MATCH(VLOOKUP(D44,Input!$A$14:$L$22,11,0),L:L,0)),INDEX(F:F,MATCH(VLOOKUP(D44,Input!$A$14:$L$22,12,0),L:L,0)))+(0.01-ROW()*0.01))</f>
        <v>22.551080490542354</v>
      </c>
      <c r="Q44" s="107">
        <f t="shared" si="0"/>
        <v>7.7799635795635482E-3</v>
      </c>
      <c r="R44" s="11">
        <f>IF(VLOOKUP($D44,$X$14:$Y$19,2,0)&lt;=0,1,IF(Q44&lt;0,1,ROUNDUP(IF(Q44*('Draft Center'!$L$28+'Draft Center'!$L$78-'Draft Center'!$L$82)&lt;1,1,Q44*('Draft Center'!$L$28+'Draft Center'!$L$78-'Draft Center'!$L$82)),0)))</f>
        <v>16</v>
      </c>
      <c r="S44" s="11">
        <f>IF(A44&lt;Input!$B$10+0.1,IF(ROUNDUP(R44*Input!$C$10,0)=0,1,ROUNDUP(R44*Input!$C$10,0)),IF(A44&gt;Input!$B$11,IF(ROUNDUP(R44*Input!$C$11,0)=0,1,ROUNDUP(R44*Input!$C$11,0)),IF(ROUNDUP(R44,0)=0,1,ROUNDUP(R44,0))))</f>
        <v>16</v>
      </c>
      <c r="T44" s="11">
        <f t="shared" si="1"/>
        <v>16</v>
      </c>
      <c r="U44" s="11">
        <f>IFERROR(VLOOKUP($B44,Input!$AC$2:$AE$161,3,0),0)</f>
        <v>0</v>
      </c>
      <c r="V44" s="257">
        <f t="shared" si="8"/>
        <v>2.0193079245283019</v>
      </c>
      <c r="W44" s="264">
        <f t="shared" si="9"/>
        <v>10.700439999999999</v>
      </c>
      <c r="Z44" s="23"/>
      <c r="AA44" s="23">
        <v>0</v>
      </c>
      <c r="AB44" s="23">
        <f t="shared" si="32"/>
        <v>0</v>
      </c>
      <c r="AC44" s="23" t="str">
        <f t="shared" si="32"/>
        <v/>
      </c>
      <c r="AD44" s="23" t="str">
        <f t="shared" si="32"/>
        <v/>
      </c>
      <c r="AE44" s="23" t="str">
        <f t="shared" si="32"/>
        <v/>
      </c>
      <c r="AF44" s="23" t="str">
        <f t="shared" si="32"/>
        <v/>
      </c>
      <c r="AG44" s="23" t="str">
        <f t="shared" si="32"/>
        <v/>
      </c>
      <c r="AH44" s="23">
        <f t="shared" si="3"/>
        <v>0</v>
      </c>
      <c r="AI44" s="23">
        <f t="shared" si="4"/>
        <v>0</v>
      </c>
      <c r="AJ44" s="69">
        <v>16</v>
      </c>
      <c r="AK44" s="225">
        <v>2327.0337</v>
      </c>
      <c r="AL44" s="33">
        <v>16</v>
      </c>
      <c r="AM44" s="204">
        <v>2327.0337</v>
      </c>
      <c r="AN44" s="196"/>
      <c r="AO44" s="23"/>
      <c r="AP44" s="23"/>
      <c r="AQ44" s="23"/>
      <c r="AR44" s="23"/>
      <c r="AS44" s="23"/>
      <c r="AT44" s="23"/>
      <c r="AU44" s="23"/>
      <c r="AV44" s="23"/>
      <c r="AW44" s="23"/>
      <c r="AX44" s="23"/>
      <c r="AY44" s="23"/>
      <c r="AZ44" s="196"/>
      <c r="BA44" s="69">
        <f>IF(VLOOKUP($D44,$AO$14:AQ$19,COLUMN()-50,0)&lt;=0,1,IF($Q44&lt;0,1,ROUNDUP(IF($Q44*('Draft Center'!$L$28+'Draft Center'!$L$78-'Draft Center'!$L$82)&lt;1,1,$Q44*('Draft Center'!$L$28+'Draft Center'!$L$78-'Draft Center'!$L$82)),0)))</f>
        <v>16</v>
      </c>
      <c r="BB44" s="69">
        <f>IF(VLOOKUP($D44,$AO$14:AR$19,COLUMN()-50,0)&lt;=0,1,IF($Q44&lt;0,1,ROUNDUP(IF($Q44*('Draft Center'!$L$28+'Draft Center'!$L$78-'Draft Center'!$L$82)&lt;1,1,$Q44*('Draft Center'!$L$28+'Draft Center'!$L$78-'Draft Center'!$L$82)),0)))</f>
        <v>16</v>
      </c>
      <c r="BC44" s="69">
        <f>IF(VLOOKUP($D44,$AO$14:AS$19,COLUMN()-50,0)&lt;=0,1,IF($Q44&lt;0,1,ROUNDUP(IF($Q44*('Draft Center'!$L$28+'Draft Center'!$L$78-'Draft Center'!$L$82)&lt;1,1,$Q44*('Draft Center'!$L$28+'Draft Center'!$L$78-'Draft Center'!$L$82)),0)))</f>
        <v>16</v>
      </c>
      <c r="BD44" s="69">
        <f>IF(VLOOKUP($D44,$AO$14:AT$19,COLUMN()-50,0)&lt;=0,1,IF($Q44&lt;0,1,ROUNDUP(IF($Q44*('Draft Center'!$L$28+'Draft Center'!$L$78-'Draft Center'!$L$82)&lt;1,1,$Q44*('Draft Center'!$L$28+'Draft Center'!$L$78-'Draft Center'!$L$82)),0)))</f>
        <v>16</v>
      </c>
      <c r="BE44" s="69">
        <f>IF(VLOOKUP($D44,$AO$14:AU$19,COLUMN()-50,0)&lt;=0,1,IF($Q44&lt;0,1,ROUNDUP(IF($Q44*('Draft Center'!$L$28+'Draft Center'!$L$78-'Draft Center'!$L$82)&lt;1,1,$Q44*('Draft Center'!$L$28+'Draft Center'!$L$78-'Draft Center'!$L$82)),0)))</f>
        <v>16</v>
      </c>
      <c r="BF44" s="69">
        <f>IF(VLOOKUP($D44,$AO$14:AV$19,COLUMN()-50,0)&lt;=0,1,IF($Q44&lt;0,1,ROUNDUP(IF($Q44*('Draft Center'!$L$28+'Draft Center'!$L$78-'Draft Center'!$L$82)&lt;1,1,$Q44*('Draft Center'!$L$28+'Draft Center'!$L$78-'Draft Center'!$L$82)),0)))</f>
        <v>16</v>
      </c>
      <c r="BG44" s="69">
        <f>IF(VLOOKUP($D44,$AO$14:AW$19,COLUMN()-50,0)&lt;=0,1,IF($Q44&lt;0,1,ROUNDUP(IF($Q44*('Draft Center'!$L$28+'Draft Center'!$L$78-'Draft Center'!$L$82)&lt;1,1,$Q44*('Draft Center'!$L$28+'Draft Center'!$L$78-'Draft Center'!$L$82)),0)))</f>
        <v>16</v>
      </c>
      <c r="BH44" s="69">
        <f>IF(VLOOKUP($D44,$AO$14:AX$19,COLUMN()-50,0)&lt;=0,1,IF($Q44&lt;0,1,ROUNDUP(IF($Q44*('Draft Center'!$L$28+'Draft Center'!$L$78-'Draft Center'!$L$82)&lt;1,1,$Q44*('Draft Center'!$L$28+'Draft Center'!$L$78-'Draft Center'!$L$82)),0)))</f>
        <v>16</v>
      </c>
      <c r="BI44" s="69">
        <f>IF(VLOOKUP($D44,$AO$14:AY$19,COLUMN()-50,0)&lt;=0,1,IF($Q44&lt;0,1,ROUNDUP(IF($Q44*('Draft Center'!$L$28+'Draft Center'!$L$78-'Draft Center'!$L$82)&lt;1,1,$Q44*('Draft Center'!$L$28+'Draft Center'!$L$78-'Draft Center'!$L$82)),0)))</f>
        <v>16</v>
      </c>
      <c r="BJ44" s="196"/>
      <c r="BK44" s="23">
        <v>0</v>
      </c>
      <c r="BL44" s="23">
        <f t="shared" si="33"/>
        <v>0</v>
      </c>
      <c r="BM44" s="23">
        <v>0</v>
      </c>
      <c r="BN44" s="23" t="str">
        <f t="shared" si="33"/>
        <v/>
      </c>
      <c r="BO44" s="23" t="str">
        <f t="shared" si="33"/>
        <v/>
      </c>
      <c r="BP44" s="23" t="str">
        <f t="shared" si="33"/>
        <v/>
      </c>
      <c r="BQ44" s="23" t="str">
        <f t="shared" si="33"/>
        <v/>
      </c>
      <c r="BR44" s="23">
        <f t="shared" si="6"/>
        <v>0</v>
      </c>
      <c r="BS44" s="23">
        <f t="shared" si="7"/>
        <v>0</v>
      </c>
      <c r="BT44" s="69">
        <v>16</v>
      </c>
      <c r="BU44" s="58">
        <v>2327.0337</v>
      </c>
      <c r="BV44" s="33">
        <v>16</v>
      </c>
      <c r="BW44" s="204">
        <v>2327.0337</v>
      </c>
      <c r="BX44" s="23"/>
      <c r="BY44" s="69">
        <v>16</v>
      </c>
      <c r="BZ44" s="69">
        <v>5.3</v>
      </c>
      <c r="CA44" s="69">
        <v>5.3</v>
      </c>
      <c r="CB44" s="69">
        <v>5.3</v>
      </c>
      <c r="CC44" s="69">
        <f t="shared" si="10"/>
        <v>5.3</v>
      </c>
      <c r="CD44" s="69">
        <f t="shared" si="11"/>
        <v>5.3</v>
      </c>
    </row>
    <row r="45" spans="1:82" ht="15.75" customHeight="1" thickBot="1" x14ac:dyDescent="0.3">
      <c r="A45" s="6">
        <v>44</v>
      </c>
      <c r="B45" s="7" t="s">
        <v>86</v>
      </c>
      <c r="C45" s="7" t="s">
        <v>64</v>
      </c>
      <c r="D45" s="7" t="s">
        <v>17</v>
      </c>
      <c r="E45" s="50">
        <v>22.387525977900999</v>
      </c>
      <c r="F45" s="50">
        <v>235.16544224725001</v>
      </c>
      <c r="G45" s="50">
        <v>244.36415637393301</v>
      </c>
      <c r="H45" s="50">
        <v>216.66101045165399</v>
      </c>
      <c r="I45" s="8">
        <v>23.1</v>
      </c>
      <c r="J45" s="50">
        <v>3.5523441218385599</v>
      </c>
      <c r="K45" s="248">
        <f>IFERROR(VLOOKUP(C45,Schedule!$T$3:$U$34,2,0),"FA")</f>
        <v>11</v>
      </c>
      <c r="L45" s="7" t="str">
        <f>D45&amp;COUNTIF(D$2:$D45,D45)</f>
        <v>WR12</v>
      </c>
      <c r="M45" s="50">
        <f t="array" ref="M45">IFERROR(F45-AVERAGE(VLOOKUP(D45,$D46:$F$885,3,0),INDEX($F46:$F$885,SMALL(IF(D45=$D46:$D$885,ROW($D46:$D$885)-ROW(D45)),2))),0)</f>
        <v>1.950024937041519</v>
      </c>
      <c r="N45" s="50">
        <f>IFERROR(IF(VLOOKUP($B45,Input!$AC$2:$AC$162,1,0)=$B45,0),F45)</f>
        <v>235.16544224725001</v>
      </c>
      <c r="O45" s="50">
        <f>IFERROR(IF(VLOOKUP($B45,Input!$AC$2:$AC$162,1,0)=$B45,0,G45),G45)</f>
        <v>244.36415637393301</v>
      </c>
      <c r="P45" s="50">
        <f>IF(N45=0,0,F45-AVERAGE(INDEX(F:F,MATCH(VLOOKUP(D45,Input!$A$14:$L$22,10,0),L:L,0)),INDEX(F:F,MATCH(VLOOKUP(D45,Input!$A$14:$L$22,11,0),L:L,0)),INDEX(F:F,MATCH(VLOOKUP(D45,Input!$A$14:$L$22,12,0),L:L,0)))+(0.01-ROW()*0.01))</f>
        <v>21.947525977900991</v>
      </c>
      <c r="Q45" s="106">
        <f t="shared" si="0"/>
        <v>7.5717415332363083E-3</v>
      </c>
      <c r="R45" s="8">
        <f>IF(VLOOKUP($D45,$X$14:$Y$19,2,0)&lt;=0,1,IF(Q45&lt;0,1,ROUNDUP(IF(Q45*('Draft Center'!$L$28+'Draft Center'!$L$78-'Draft Center'!$L$82)&lt;1,1,Q45*('Draft Center'!$L$28+'Draft Center'!$L$78-'Draft Center'!$L$82)),0)))</f>
        <v>15</v>
      </c>
      <c r="S45" s="8">
        <f>IF(A45&lt;Input!$B$10+0.1,IF(ROUNDUP(R45*Input!$C$10,0)=0,1,ROUNDUP(R45*Input!$C$10,0)),IF(A45&gt;Input!$B$11,IF(ROUNDUP(R45*Input!$C$11,0)=0,1,ROUNDUP(R45*Input!$C$11,0)),IF(ROUNDUP(R45,0)=0,1,ROUNDUP(R45,0))))</f>
        <v>15</v>
      </c>
      <c r="T45" s="8">
        <f t="shared" si="1"/>
        <v>15</v>
      </c>
      <c r="U45" s="8">
        <f>IFERROR(VLOOKUP($B45,Input!$AC$2:$AE$161,3,0),0)</f>
        <v>0</v>
      </c>
      <c r="V45" s="256">
        <f t="shared" si="8"/>
        <v>-0.3501993506493507</v>
      </c>
      <c r="W45" s="263">
        <f t="shared" si="9"/>
        <v>-8.0995500000000007</v>
      </c>
      <c r="Z45" s="23"/>
      <c r="AA45" s="23">
        <v>0</v>
      </c>
      <c r="AB45" s="23" t="str">
        <f t="shared" si="32"/>
        <v/>
      </c>
      <c r="AC45" s="23" t="str">
        <f t="shared" si="32"/>
        <v/>
      </c>
      <c r="AD45" s="23">
        <f t="shared" si="32"/>
        <v>0</v>
      </c>
      <c r="AE45" s="23" t="str">
        <f t="shared" si="32"/>
        <v/>
      </c>
      <c r="AF45" s="23" t="str">
        <f t="shared" si="32"/>
        <v/>
      </c>
      <c r="AG45" s="23" t="str">
        <f t="shared" si="32"/>
        <v/>
      </c>
      <c r="AH45" s="23">
        <f t="shared" si="3"/>
        <v>0</v>
      </c>
      <c r="AI45" s="23">
        <f t="shared" si="4"/>
        <v>0</v>
      </c>
      <c r="AJ45" s="70">
        <v>15</v>
      </c>
      <c r="AK45" s="225">
        <v>2327.0337</v>
      </c>
      <c r="AL45" s="33">
        <v>15</v>
      </c>
      <c r="AM45" s="204">
        <v>2327.0337</v>
      </c>
      <c r="AN45" s="196"/>
      <c r="AO45" s="23"/>
      <c r="AP45" s="23"/>
      <c r="AQ45" s="23"/>
      <c r="AR45" s="23"/>
      <c r="AS45" s="23"/>
      <c r="AT45" s="23"/>
      <c r="AU45" s="23"/>
      <c r="AV45" s="23"/>
      <c r="AW45" s="23"/>
      <c r="AX45" s="23"/>
      <c r="AY45" s="23"/>
      <c r="AZ45" s="196"/>
      <c r="BA45" s="70">
        <f>IF(VLOOKUP($D45,$AO$14:AQ$19,COLUMN()-50,0)&lt;=0,1,IF($Q45&lt;0,1,ROUNDUP(IF($Q45*('Draft Center'!$L$28+'Draft Center'!$L$78-'Draft Center'!$L$82)&lt;1,1,$Q45*('Draft Center'!$L$28+'Draft Center'!$L$78-'Draft Center'!$L$82)),0)))</f>
        <v>15</v>
      </c>
      <c r="BB45" s="70">
        <f>IF(VLOOKUP($D45,$AO$14:AR$19,COLUMN()-50,0)&lt;=0,1,IF($Q45&lt;0,1,ROUNDUP(IF($Q45*('Draft Center'!$L$28+'Draft Center'!$L$78-'Draft Center'!$L$82)&lt;1,1,$Q45*('Draft Center'!$L$28+'Draft Center'!$L$78-'Draft Center'!$L$82)),0)))</f>
        <v>15</v>
      </c>
      <c r="BC45" s="70">
        <f>IF(VLOOKUP($D45,$AO$14:AS$19,COLUMN()-50,0)&lt;=0,1,IF($Q45&lt;0,1,ROUNDUP(IF($Q45*('Draft Center'!$L$28+'Draft Center'!$L$78-'Draft Center'!$L$82)&lt;1,1,$Q45*('Draft Center'!$L$28+'Draft Center'!$L$78-'Draft Center'!$L$82)),0)))</f>
        <v>15</v>
      </c>
      <c r="BD45" s="70">
        <f>IF(VLOOKUP($D45,$AO$14:AT$19,COLUMN()-50,0)&lt;=0,1,IF($Q45&lt;0,1,ROUNDUP(IF($Q45*('Draft Center'!$L$28+'Draft Center'!$L$78-'Draft Center'!$L$82)&lt;1,1,$Q45*('Draft Center'!$L$28+'Draft Center'!$L$78-'Draft Center'!$L$82)),0)))</f>
        <v>15</v>
      </c>
      <c r="BE45" s="70">
        <f>IF(VLOOKUP($D45,$AO$14:AU$19,COLUMN()-50,0)&lt;=0,1,IF($Q45&lt;0,1,ROUNDUP(IF($Q45*('Draft Center'!$L$28+'Draft Center'!$L$78-'Draft Center'!$L$82)&lt;1,1,$Q45*('Draft Center'!$L$28+'Draft Center'!$L$78-'Draft Center'!$L$82)),0)))</f>
        <v>15</v>
      </c>
      <c r="BF45" s="70">
        <f>IF(VLOOKUP($D45,$AO$14:AV$19,COLUMN()-50,0)&lt;=0,1,IF($Q45&lt;0,1,ROUNDUP(IF($Q45*('Draft Center'!$L$28+'Draft Center'!$L$78-'Draft Center'!$L$82)&lt;1,1,$Q45*('Draft Center'!$L$28+'Draft Center'!$L$78-'Draft Center'!$L$82)),0)))</f>
        <v>15</v>
      </c>
      <c r="BG45" s="70">
        <f>IF(VLOOKUP($D45,$AO$14:AW$19,COLUMN()-50,0)&lt;=0,1,IF($Q45&lt;0,1,ROUNDUP(IF($Q45*('Draft Center'!$L$28+'Draft Center'!$L$78-'Draft Center'!$L$82)&lt;1,1,$Q45*('Draft Center'!$L$28+'Draft Center'!$L$78-'Draft Center'!$L$82)),0)))</f>
        <v>15</v>
      </c>
      <c r="BH45" s="70">
        <f>IF(VLOOKUP($D45,$AO$14:AX$19,COLUMN()-50,0)&lt;=0,1,IF($Q45&lt;0,1,ROUNDUP(IF($Q45*('Draft Center'!$L$28+'Draft Center'!$L$78-'Draft Center'!$L$82)&lt;1,1,$Q45*('Draft Center'!$L$28+'Draft Center'!$L$78-'Draft Center'!$L$82)),0)))</f>
        <v>15</v>
      </c>
      <c r="BI45" s="70">
        <f>IF(VLOOKUP($D45,$AO$14:AY$19,COLUMN()-50,0)&lt;=0,1,IF($Q45&lt;0,1,ROUNDUP(IF($Q45*('Draft Center'!$L$28+'Draft Center'!$L$78-'Draft Center'!$L$82)&lt;1,1,$Q45*('Draft Center'!$L$28+'Draft Center'!$L$78-'Draft Center'!$L$82)),0)))</f>
        <v>15</v>
      </c>
      <c r="BJ45" s="196"/>
      <c r="BK45" s="23">
        <v>0</v>
      </c>
      <c r="BL45" s="23" t="str">
        <f t="shared" si="33"/>
        <v/>
      </c>
      <c r="BM45" s="23">
        <v>0</v>
      </c>
      <c r="BN45" s="23">
        <f t="shared" si="33"/>
        <v>0</v>
      </c>
      <c r="BO45" s="23" t="str">
        <f t="shared" si="33"/>
        <v/>
      </c>
      <c r="BP45" s="23" t="str">
        <f t="shared" si="33"/>
        <v/>
      </c>
      <c r="BQ45" s="23" t="str">
        <f t="shared" si="33"/>
        <v/>
      </c>
      <c r="BR45" s="23">
        <f t="shared" si="6"/>
        <v>0</v>
      </c>
      <c r="BS45" s="23">
        <f t="shared" si="7"/>
        <v>0</v>
      </c>
      <c r="BT45" s="70">
        <v>15</v>
      </c>
      <c r="BU45" s="58">
        <v>2327.0337</v>
      </c>
      <c r="BV45" s="33">
        <v>15</v>
      </c>
      <c r="BW45" s="204">
        <v>2327.0337</v>
      </c>
      <c r="BX45" s="23"/>
      <c r="BY45" s="70">
        <v>15</v>
      </c>
      <c r="BZ45" s="70">
        <v>23.1</v>
      </c>
      <c r="CA45" s="70">
        <v>23.1</v>
      </c>
      <c r="CB45" s="70">
        <v>23.1</v>
      </c>
      <c r="CC45" s="70">
        <f t="shared" si="10"/>
        <v>23.100000000000005</v>
      </c>
      <c r="CD45" s="70">
        <f t="shared" si="11"/>
        <v>23.1</v>
      </c>
    </row>
    <row r="46" spans="1:82" ht="15.75" customHeight="1" thickBot="1" x14ac:dyDescent="0.3">
      <c r="A46" s="9">
        <v>45</v>
      </c>
      <c r="B46" s="10" t="s">
        <v>20</v>
      </c>
      <c r="C46" s="10" t="s">
        <v>21</v>
      </c>
      <c r="D46" s="10" t="s">
        <v>17</v>
      </c>
      <c r="E46" s="51">
        <v>21.2503845893776</v>
      </c>
      <c r="F46" s="51">
        <v>234.02830085872699</v>
      </c>
      <c r="G46" s="51">
        <v>250.40713869033101</v>
      </c>
      <c r="H46" s="51">
        <v>209.16831275720199</v>
      </c>
      <c r="I46" s="11">
        <v>28.2</v>
      </c>
      <c r="J46" s="51">
        <v>3.68280486877434</v>
      </c>
      <c r="K46" s="249">
        <f>IFERROR(VLOOKUP(C46,Schedule!$T$3:$U$34,2,0),"FA")</f>
        <v>5</v>
      </c>
      <c r="L46" s="10" t="str">
        <f>D46&amp;COUNTIF(D$2:$D46,D46)</f>
        <v>WR13</v>
      </c>
      <c r="M46" s="51">
        <f t="array" ref="M46">IFERROR(F46-AVERAGE(VLOOKUP(D46,$D47:$F$885,3,0),INDEX($F47:$F$885,SMALL(IF(D46=$D47:$D$885,ROW($D47:$D$885)-ROW(D46)),2))),0)</f>
        <v>2.4197410241084754</v>
      </c>
      <c r="N46" s="51">
        <f>IFERROR(IF(VLOOKUP($B46,Input!$AC$2:$AC$162,1,0)=$B46,0),F46)</f>
        <v>234.02830085872699</v>
      </c>
      <c r="O46" s="51">
        <f>IFERROR(IF(VLOOKUP($B46,Input!$AC$2:$AC$162,1,0)=$B46,0,G46),G46)</f>
        <v>250.40713869033101</v>
      </c>
      <c r="P46" s="51">
        <f>IF(N46=0,0,F46-AVERAGE(INDEX(F:F,MATCH(VLOOKUP(D46,Input!$A$14:$L$22,10,0),L:L,0)),INDEX(F:F,MATCH(VLOOKUP(D46,Input!$A$14:$L$22,11,0),L:L,0)),INDEX(F:F,MATCH(VLOOKUP(D46,Input!$A$14:$L$22,12,0),L:L,0)))+(0.01-ROW()*0.01))</f>
        <v>20.800384589377973</v>
      </c>
      <c r="Q46" s="107">
        <f t="shared" si="0"/>
        <v>7.1759858519481337E-3</v>
      </c>
      <c r="R46" s="11">
        <f>IF(VLOOKUP($D46,$X$14:$Y$19,2,0)&lt;=0,1,IF(Q46&lt;0,1,ROUNDUP(IF(Q46*('Draft Center'!$L$28+'Draft Center'!$L$78-'Draft Center'!$L$82)&lt;1,1,Q46*('Draft Center'!$L$28+'Draft Center'!$L$78-'Draft Center'!$L$82)),0)))</f>
        <v>14</v>
      </c>
      <c r="S46" s="11">
        <f>IF(A46&lt;Input!$B$10+0.1,IF(ROUNDUP(R46*Input!$C$10,0)=0,1,ROUNDUP(R46*Input!$C$10,0)),IF(A46&gt;Input!$B$11,IF(ROUNDUP(R46*Input!$C$11,0)=0,1,ROUNDUP(R46*Input!$C$11,0)),IF(ROUNDUP(R46,0)=0,1,ROUNDUP(R46,0))))</f>
        <v>14</v>
      </c>
      <c r="T46" s="11">
        <f t="shared" si="1"/>
        <v>14</v>
      </c>
      <c r="U46" s="11">
        <f>IFERROR(VLOOKUP($B46,Input!$AC$2:$AE$161,3,0),0)</f>
        <v>0</v>
      </c>
      <c r="V46" s="257">
        <f t="shared" si="8"/>
        <v>-0.50308609929078008</v>
      </c>
      <c r="W46" s="264">
        <f t="shared" si="9"/>
        <v>-14.199539999999999</v>
      </c>
      <c r="Z46" s="23"/>
      <c r="AA46" s="23">
        <v>0</v>
      </c>
      <c r="AB46" s="23" t="str">
        <f t="shared" si="32"/>
        <v/>
      </c>
      <c r="AC46" s="23" t="str">
        <f t="shared" si="32"/>
        <v/>
      </c>
      <c r="AD46" s="23">
        <f t="shared" si="32"/>
        <v>0</v>
      </c>
      <c r="AE46" s="23" t="str">
        <f t="shared" si="32"/>
        <v/>
      </c>
      <c r="AF46" s="23" t="str">
        <f t="shared" si="32"/>
        <v/>
      </c>
      <c r="AG46" s="23" t="str">
        <f t="shared" si="32"/>
        <v/>
      </c>
      <c r="AH46" s="23">
        <f t="shared" si="3"/>
        <v>0</v>
      </c>
      <c r="AI46" s="23">
        <f t="shared" si="4"/>
        <v>0</v>
      </c>
      <c r="AJ46" s="69">
        <v>14</v>
      </c>
      <c r="AK46" s="225">
        <v>2327.0337</v>
      </c>
      <c r="AL46" s="33">
        <v>14</v>
      </c>
      <c r="AM46" s="204">
        <v>2327.0337</v>
      </c>
      <c r="AN46" s="196"/>
      <c r="AO46" s="23"/>
      <c r="AP46" s="23"/>
      <c r="AQ46" s="23"/>
      <c r="AR46" s="23"/>
      <c r="AS46" s="23"/>
      <c r="AT46" s="23"/>
      <c r="AU46" s="23"/>
      <c r="AV46" s="23"/>
      <c r="AW46" s="23"/>
      <c r="AX46" s="23"/>
      <c r="AY46" s="23"/>
      <c r="AZ46" s="196"/>
      <c r="BA46" s="69">
        <f>IF(VLOOKUP($D46,$AO$14:AQ$19,COLUMN()-50,0)&lt;=0,1,IF($Q46&lt;0,1,ROUNDUP(IF($Q46*('Draft Center'!$L$28+'Draft Center'!$L$78-'Draft Center'!$L$82)&lt;1,1,$Q46*('Draft Center'!$L$28+'Draft Center'!$L$78-'Draft Center'!$L$82)),0)))</f>
        <v>14</v>
      </c>
      <c r="BB46" s="69">
        <f>IF(VLOOKUP($D46,$AO$14:AR$19,COLUMN()-50,0)&lt;=0,1,IF($Q46&lt;0,1,ROUNDUP(IF($Q46*('Draft Center'!$L$28+'Draft Center'!$L$78-'Draft Center'!$L$82)&lt;1,1,$Q46*('Draft Center'!$L$28+'Draft Center'!$L$78-'Draft Center'!$L$82)),0)))</f>
        <v>14</v>
      </c>
      <c r="BC46" s="69">
        <f>IF(VLOOKUP($D46,$AO$14:AS$19,COLUMN()-50,0)&lt;=0,1,IF($Q46&lt;0,1,ROUNDUP(IF($Q46*('Draft Center'!$L$28+'Draft Center'!$L$78-'Draft Center'!$L$82)&lt;1,1,$Q46*('Draft Center'!$L$28+'Draft Center'!$L$78-'Draft Center'!$L$82)),0)))</f>
        <v>14</v>
      </c>
      <c r="BD46" s="69">
        <f>IF(VLOOKUP($D46,$AO$14:AT$19,COLUMN()-50,0)&lt;=0,1,IF($Q46&lt;0,1,ROUNDUP(IF($Q46*('Draft Center'!$L$28+'Draft Center'!$L$78-'Draft Center'!$L$82)&lt;1,1,$Q46*('Draft Center'!$L$28+'Draft Center'!$L$78-'Draft Center'!$L$82)),0)))</f>
        <v>14</v>
      </c>
      <c r="BE46" s="69">
        <f>IF(VLOOKUP($D46,$AO$14:AU$19,COLUMN()-50,0)&lt;=0,1,IF($Q46&lt;0,1,ROUNDUP(IF($Q46*('Draft Center'!$L$28+'Draft Center'!$L$78-'Draft Center'!$L$82)&lt;1,1,$Q46*('Draft Center'!$L$28+'Draft Center'!$L$78-'Draft Center'!$L$82)),0)))</f>
        <v>14</v>
      </c>
      <c r="BF46" s="69">
        <f>IF(VLOOKUP($D46,$AO$14:AV$19,COLUMN()-50,0)&lt;=0,1,IF($Q46&lt;0,1,ROUNDUP(IF($Q46*('Draft Center'!$L$28+'Draft Center'!$L$78-'Draft Center'!$L$82)&lt;1,1,$Q46*('Draft Center'!$L$28+'Draft Center'!$L$78-'Draft Center'!$L$82)),0)))</f>
        <v>14</v>
      </c>
      <c r="BG46" s="69">
        <f>IF(VLOOKUP($D46,$AO$14:AW$19,COLUMN()-50,0)&lt;=0,1,IF($Q46&lt;0,1,ROUNDUP(IF($Q46*('Draft Center'!$L$28+'Draft Center'!$L$78-'Draft Center'!$L$82)&lt;1,1,$Q46*('Draft Center'!$L$28+'Draft Center'!$L$78-'Draft Center'!$L$82)),0)))</f>
        <v>14</v>
      </c>
      <c r="BH46" s="69">
        <f>IF(VLOOKUP($D46,$AO$14:AX$19,COLUMN()-50,0)&lt;=0,1,IF($Q46&lt;0,1,ROUNDUP(IF($Q46*('Draft Center'!$L$28+'Draft Center'!$L$78-'Draft Center'!$L$82)&lt;1,1,$Q46*('Draft Center'!$L$28+'Draft Center'!$L$78-'Draft Center'!$L$82)),0)))</f>
        <v>14</v>
      </c>
      <c r="BI46" s="69">
        <f>IF(VLOOKUP($D46,$AO$14:AY$19,COLUMN()-50,0)&lt;=0,1,IF($Q46&lt;0,1,ROUNDUP(IF($Q46*('Draft Center'!$L$28+'Draft Center'!$L$78-'Draft Center'!$L$82)&lt;1,1,$Q46*('Draft Center'!$L$28+'Draft Center'!$L$78-'Draft Center'!$L$82)),0)))</f>
        <v>14</v>
      </c>
      <c r="BJ46" s="196"/>
      <c r="BK46" s="23">
        <v>0</v>
      </c>
      <c r="BL46" s="23" t="str">
        <f t="shared" si="33"/>
        <v/>
      </c>
      <c r="BM46" s="23">
        <v>0</v>
      </c>
      <c r="BN46" s="23">
        <f t="shared" si="33"/>
        <v>0</v>
      </c>
      <c r="BO46" s="23" t="str">
        <f t="shared" si="33"/>
        <v/>
      </c>
      <c r="BP46" s="23" t="str">
        <f t="shared" si="33"/>
        <v/>
      </c>
      <c r="BQ46" s="23" t="str">
        <f t="shared" si="33"/>
        <v/>
      </c>
      <c r="BR46" s="23">
        <f t="shared" si="6"/>
        <v>0</v>
      </c>
      <c r="BS46" s="23">
        <f t="shared" si="7"/>
        <v>0</v>
      </c>
      <c r="BT46" s="69">
        <v>14</v>
      </c>
      <c r="BU46" s="58">
        <v>2327.0337</v>
      </c>
      <c r="BV46" s="33">
        <v>14</v>
      </c>
      <c r="BW46" s="204">
        <v>2327.0337</v>
      </c>
      <c r="BX46" s="23"/>
      <c r="BY46" s="69">
        <v>14</v>
      </c>
      <c r="BZ46" s="69">
        <v>28.2</v>
      </c>
      <c r="CA46" s="69">
        <v>28.2</v>
      </c>
      <c r="CB46" s="69">
        <v>28.2</v>
      </c>
      <c r="CC46" s="69">
        <f t="shared" si="10"/>
        <v>28.2</v>
      </c>
      <c r="CD46" s="69">
        <f t="shared" si="11"/>
        <v>28.2</v>
      </c>
    </row>
    <row r="47" spans="1:82" ht="15.75" customHeight="1" thickBot="1" x14ac:dyDescent="0.3">
      <c r="A47" s="6">
        <v>46</v>
      </c>
      <c r="B47" s="7" t="s">
        <v>177</v>
      </c>
      <c r="C47" s="7" t="s">
        <v>23</v>
      </c>
      <c r="D47" s="7" t="s">
        <v>147</v>
      </c>
      <c r="E47" s="50">
        <v>19.789625283732001</v>
      </c>
      <c r="F47" s="50">
        <v>151.15861371470501</v>
      </c>
      <c r="G47" s="50">
        <v>159.89079818419199</v>
      </c>
      <c r="H47" s="50">
        <v>144.362043301759</v>
      </c>
      <c r="I47" s="8">
        <v>2.4</v>
      </c>
      <c r="J47" s="50">
        <v>4.6884816783903496</v>
      </c>
      <c r="K47" s="248">
        <f>IFERROR(VLOOKUP(C47,Schedule!$T$3:$U$34,2,0),"FA")</f>
        <v>5</v>
      </c>
      <c r="L47" s="7" t="str">
        <f>D47&amp;COUNTIF(D$2:$D47,D47)</f>
        <v>K2</v>
      </c>
      <c r="M47" s="50">
        <f t="array" ref="M47">IFERROR(F47-AVERAGE(VLOOKUP(D47,$D48:$F$885,3,0),INDEX($F48:$F$885,SMALL(IF(D47=$D48:$D$885,ROW($D48:$D$885)-ROW(D47)),2))),0)</f>
        <v>6.1862217583225174</v>
      </c>
      <c r="N47" s="50">
        <f>IFERROR(IF(VLOOKUP($B47,Input!$AC$2:$AC$162,1,0)=$B47,0),F47)</f>
        <v>151.15861371470501</v>
      </c>
      <c r="O47" s="50">
        <f>IFERROR(IF(VLOOKUP($B47,Input!$AC$2:$AC$162,1,0)=$B47,0,G47),G47)</f>
        <v>159.89079818419199</v>
      </c>
      <c r="P47" s="50">
        <f>IF(N47=0,0,F47-AVERAGE(INDEX(F:F,MATCH(VLOOKUP(D47,Input!$A$14:$L$22,10,0),L:L,0)),INDEX(F:F,MATCH(VLOOKUP(D47,Input!$A$14:$L$22,11,0),L:L,0)),INDEX(F:F,MATCH(VLOOKUP(D47,Input!$A$14:$L$22,12,0),L:L,0)))+(0.01-ROW()*0.01))</f>
        <v>19.155632132577018</v>
      </c>
      <c r="Q47" s="106">
        <f t="shared" si="0"/>
        <v>6.6085578647758283E-3</v>
      </c>
      <c r="R47" s="8">
        <f>IF(VLOOKUP($D47,$X$14:$Y$19,2,0)&lt;=0,1,IF(Q47&lt;0,1,ROUNDUP(IF(Q47*('Draft Center'!$L$28+'Draft Center'!$L$78-'Draft Center'!$L$82)&lt;1,1,Q47*('Draft Center'!$L$28+'Draft Center'!$L$78-'Draft Center'!$L$82)),0)))</f>
        <v>13</v>
      </c>
      <c r="S47" s="8">
        <f>IF(A47&lt;Input!$B$10+0.1,IF(ROUNDUP(R47*Input!$C$10,0)=0,1,ROUNDUP(R47*Input!$C$10,0)),IF(A47&gt;Input!$B$11,IF(ROUNDUP(R47*Input!$C$11,0)=0,1,ROUNDUP(R47*Input!$C$11,0)),IF(ROUNDUP(R47,0)=0,1,ROUNDUP(R47,0))))</f>
        <v>13</v>
      </c>
      <c r="T47" s="8">
        <f t="shared" si="1"/>
        <v>13</v>
      </c>
      <c r="U47" s="8">
        <f>IFERROR(VLOOKUP($B47,Input!$AC$2:$AE$161,3,0),0)</f>
        <v>0</v>
      </c>
      <c r="V47" s="256">
        <f t="shared" si="8"/>
        <v>4.4171366666666669</v>
      </c>
      <c r="W47" s="263">
        <f t="shared" si="9"/>
        <v>10.60047</v>
      </c>
      <c r="Z47" s="23"/>
      <c r="AA47" s="23">
        <v>1</v>
      </c>
      <c r="AB47" s="23" t="str">
        <f t="shared" si="32"/>
        <v/>
      </c>
      <c r="AC47" s="23" t="str">
        <f t="shared" si="32"/>
        <v/>
      </c>
      <c r="AD47" s="23" t="str">
        <f t="shared" si="32"/>
        <v/>
      </c>
      <c r="AE47" s="23" t="str">
        <f t="shared" si="32"/>
        <v/>
      </c>
      <c r="AF47" s="23" t="str">
        <f t="shared" si="32"/>
        <v/>
      </c>
      <c r="AG47" s="23">
        <f t="shared" si="32"/>
        <v>1</v>
      </c>
      <c r="AH47" s="23">
        <f t="shared" si="3"/>
        <v>1</v>
      </c>
      <c r="AI47" s="23" t="str">
        <f t="shared" si="4"/>
        <v>Matt Bryant</v>
      </c>
      <c r="AJ47" s="70">
        <v>13</v>
      </c>
      <c r="AK47" s="225">
        <v>2327.0337</v>
      </c>
      <c r="AL47" s="33">
        <v>13</v>
      </c>
      <c r="AM47" s="204">
        <v>2327.0337</v>
      </c>
      <c r="AN47" s="196"/>
      <c r="AO47" s="23"/>
      <c r="AP47" s="23"/>
      <c r="AQ47" s="23"/>
      <c r="AR47" s="23"/>
      <c r="AS47" s="23"/>
      <c r="AT47" s="23"/>
      <c r="AU47" s="23"/>
      <c r="AV47" s="23"/>
      <c r="AW47" s="23"/>
      <c r="AX47" s="23"/>
      <c r="AY47" s="23"/>
      <c r="AZ47" s="196"/>
      <c r="BA47" s="70">
        <f>IF(VLOOKUP($D47,$AO$14:AQ$19,COLUMN()-50,0)&lt;=0,1,IF($Q47&lt;0,1,ROUNDUP(IF($Q47*('Draft Center'!$L$28+'Draft Center'!$L$78-'Draft Center'!$L$82)&lt;1,1,$Q47*('Draft Center'!$L$28+'Draft Center'!$L$78-'Draft Center'!$L$82)),0)))</f>
        <v>13</v>
      </c>
      <c r="BB47" s="70">
        <f>IF(VLOOKUP($D47,$AO$14:AR$19,COLUMN()-50,0)&lt;=0,1,IF($Q47&lt;0,1,ROUNDUP(IF($Q47*('Draft Center'!$L$28+'Draft Center'!$L$78-'Draft Center'!$L$82)&lt;1,1,$Q47*('Draft Center'!$L$28+'Draft Center'!$L$78-'Draft Center'!$L$82)),0)))</f>
        <v>13</v>
      </c>
      <c r="BC47" s="70">
        <f>IF(VLOOKUP($D47,$AO$14:AS$19,COLUMN()-50,0)&lt;=0,1,IF($Q47&lt;0,1,ROUNDUP(IF($Q47*('Draft Center'!$L$28+'Draft Center'!$L$78-'Draft Center'!$L$82)&lt;1,1,$Q47*('Draft Center'!$L$28+'Draft Center'!$L$78-'Draft Center'!$L$82)),0)))</f>
        <v>13</v>
      </c>
      <c r="BD47" s="70">
        <f>IF(VLOOKUP($D47,$AO$14:AT$19,COLUMN()-50,0)&lt;=0,1,IF($Q47&lt;0,1,ROUNDUP(IF($Q47*('Draft Center'!$L$28+'Draft Center'!$L$78-'Draft Center'!$L$82)&lt;1,1,$Q47*('Draft Center'!$L$28+'Draft Center'!$L$78-'Draft Center'!$L$82)),0)))</f>
        <v>13</v>
      </c>
      <c r="BE47" s="70">
        <f>IF(VLOOKUP($D47,$AO$14:AU$19,COLUMN()-50,0)&lt;=0,1,IF($Q47&lt;0,1,ROUNDUP(IF($Q47*('Draft Center'!$L$28+'Draft Center'!$L$78-'Draft Center'!$L$82)&lt;1,1,$Q47*('Draft Center'!$L$28+'Draft Center'!$L$78-'Draft Center'!$L$82)),0)))</f>
        <v>13</v>
      </c>
      <c r="BF47" s="70">
        <f>IF(VLOOKUP($D47,$AO$14:AV$19,COLUMN()-50,0)&lt;=0,1,IF($Q47&lt;0,1,ROUNDUP(IF($Q47*('Draft Center'!$L$28+'Draft Center'!$L$78-'Draft Center'!$L$82)&lt;1,1,$Q47*('Draft Center'!$L$28+'Draft Center'!$L$78-'Draft Center'!$L$82)),0)))</f>
        <v>13</v>
      </c>
      <c r="BG47" s="70">
        <f>IF(VLOOKUP($D47,$AO$14:AW$19,COLUMN()-50,0)&lt;=0,1,IF($Q47&lt;0,1,ROUNDUP(IF($Q47*('Draft Center'!$L$28+'Draft Center'!$L$78-'Draft Center'!$L$82)&lt;1,1,$Q47*('Draft Center'!$L$28+'Draft Center'!$L$78-'Draft Center'!$L$82)),0)))</f>
        <v>13</v>
      </c>
      <c r="BH47" s="70">
        <f>IF(VLOOKUP($D47,$AO$14:AX$19,COLUMN()-50,0)&lt;=0,1,IF($Q47&lt;0,1,ROUNDUP(IF($Q47*('Draft Center'!$L$28+'Draft Center'!$L$78-'Draft Center'!$L$82)&lt;1,1,$Q47*('Draft Center'!$L$28+'Draft Center'!$L$78-'Draft Center'!$L$82)),0)))</f>
        <v>13</v>
      </c>
      <c r="BI47" s="70">
        <f>IF(VLOOKUP($D47,$AO$14:AY$19,COLUMN()-50,0)&lt;=0,1,IF($Q47&lt;0,1,ROUNDUP(IF($Q47*('Draft Center'!$L$28+'Draft Center'!$L$78-'Draft Center'!$L$82)&lt;1,1,$Q47*('Draft Center'!$L$28+'Draft Center'!$L$78-'Draft Center'!$L$82)),0)))</f>
        <v>13</v>
      </c>
      <c r="BJ47" s="196"/>
      <c r="BK47" s="23">
        <v>0</v>
      </c>
      <c r="BL47" s="23" t="str">
        <f t="shared" si="33"/>
        <v/>
      </c>
      <c r="BM47" s="23">
        <v>0</v>
      </c>
      <c r="BN47" s="23" t="str">
        <f t="shared" si="33"/>
        <v/>
      </c>
      <c r="BO47" s="23" t="str">
        <f t="shared" si="33"/>
        <v/>
      </c>
      <c r="BP47" s="23" t="str">
        <f t="shared" si="33"/>
        <v/>
      </c>
      <c r="BQ47" s="23">
        <f t="shared" si="33"/>
        <v>0</v>
      </c>
      <c r="BR47" s="23">
        <f t="shared" si="6"/>
        <v>0</v>
      </c>
      <c r="BS47" s="23">
        <f t="shared" si="7"/>
        <v>0</v>
      </c>
      <c r="BT47" s="70">
        <v>13</v>
      </c>
      <c r="BU47" s="58">
        <v>2327.0337</v>
      </c>
      <c r="BV47" s="33">
        <v>13</v>
      </c>
      <c r="BW47" s="204">
        <v>2327.0337</v>
      </c>
      <c r="BX47" s="23"/>
      <c r="BY47" s="70">
        <v>13</v>
      </c>
      <c r="BZ47" s="70">
        <v>2.4</v>
      </c>
      <c r="CA47" s="70">
        <v>2.4</v>
      </c>
      <c r="CB47" s="70">
        <v>2.4</v>
      </c>
      <c r="CC47" s="70">
        <f t="shared" si="10"/>
        <v>2.4</v>
      </c>
      <c r="CD47" s="70">
        <f t="shared" si="11"/>
        <v>2.4</v>
      </c>
    </row>
    <row r="48" spans="1:82" ht="15.75" customHeight="1" thickBot="1" x14ac:dyDescent="0.3">
      <c r="A48" s="9">
        <v>47</v>
      </c>
      <c r="B48" s="10" t="s">
        <v>65</v>
      </c>
      <c r="C48" s="10" t="s">
        <v>66</v>
      </c>
      <c r="D48" s="10" t="s">
        <v>17</v>
      </c>
      <c r="E48" s="51">
        <v>19.624617492340601</v>
      </c>
      <c r="F48" s="51">
        <v>232.40253376168999</v>
      </c>
      <c r="G48" s="51">
        <v>244.39889419127999</v>
      </c>
      <c r="H48" s="51">
        <v>212.21190514469501</v>
      </c>
      <c r="I48" s="11">
        <v>29.4</v>
      </c>
      <c r="J48" s="51">
        <v>3.7349926501794801</v>
      </c>
      <c r="K48" s="249">
        <f>IFERROR(VLOOKUP(C48,Schedule!$T$3:$U$34,2,0),"FA")</f>
        <v>7</v>
      </c>
      <c r="L48" s="10" t="str">
        <f>D48&amp;COUNTIF(D$2:$D48,D48)</f>
        <v>WR14</v>
      </c>
      <c r="M48" s="51">
        <f t="array" ref="M48">IFERROR(F48-AVERAGE(VLOOKUP(D48,$D49:$F$885,3,0),INDEX($F49:$F$885,SMALL(IF(D48=$D49:$D$885,ROW($D49:$D$885)-ROW(D48)),2))),0)</f>
        <v>2.9368630703884833</v>
      </c>
      <c r="N48" s="51">
        <f>IFERROR(IF(VLOOKUP($B48,Input!$AC$2:$AC$162,1,0)=$B48,0),F48)</f>
        <v>232.40253376168999</v>
      </c>
      <c r="O48" s="51">
        <f>IFERROR(IF(VLOOKUP($B48,Input!$AC$2:$AC$162,1,0)=$B48,0,G48),G48)</f>
        <v>244.39889419127999</v>
      </c>
      <c r="P48" s="51">
        <f>IF(N48=0,0,F48-AVERAGE(INDEX(F:F,MATCH(VLOOKUP(D48,Input!$A$14:$L$22,10,0),L:L,0)),INDEX(F:F,MATCH(VLOOKUP(D48,Input!$A$14:$L$22,11,0),L:L,0)),INDEX(F:F,MATCH(VLOOKUP(D48,Input!$A$14:$L$22,12,0),L:L,0)))+(0.01-ROW()*0.01))</f>
        <v>19.154617492340975</v>
      </c>
      <c r="Q48" s="107">
        <f t="shared" si="0"/>
        <v>6.6082078210568107E-3</v>
      </c>
      <c r="R48" s="11">
        <f>IF(VLOOKUP($D48,$X$14:$Y$19,2,0)&lt;=0,1,IF(Q48&lt;0,1,ROUNDUP(IF(Q48*('Draft Center'!$L$28+'Draft Center'!$L$78-'Draft Center'!$L$82)&lt;1,1,Q48*('Draft Center'!$L$28+'Draft Center'!$L$78-'Draft Center'!$L$82)),0)))</f>
        <v>13</v>
      </c>
      <c r="S48" s="11">
        <f>IF(A48&lt;Input!$B$10+0.1,IF(ROUNDUP(R48*Input!$C$10,0)=0,1,ROUNDUP(R48*Input!$C$10,0)),IF(A48&gt;Input!$B$11,IF(ROUNDUP(R48*Input!$C$11,0)=0,1,ROUNDUP(R48*Input!$C$11,0)),IF(ROUNDUP(R48,0)=0,1,ROUNDUP(R48,0))))</f>
        <v>13</v>
      </c>
      <c r="T48" s="11">
        <f t="shared" si="1"/>
        <v>13</v>
      </c>
      <c r="U48" s="11">
        <f>IFERROR(VLOOKUP($B48,Input!$AC$2:$AE$161,3,0),0)</f>
        <v>0</v>
      </c>
      <c r="V48" s="257">
        <f t="shared" si="8"/>
        <v>-0.5573431292517006</v>
      </c>
      <c r="W48" s="264">
        <f t="shared" si="9"/>
        <v>-16.399519999999999</v>
      </c>
      <c r="Z48" s="23"/>
      <c r="AA48" s="23">
        <v>0</v>
      </c>
      <c r="AB48" s="23" t="str">
        <f t="shared" si="32"/>
        <v/>
      </c>
      <c r="AC48" s="23" t="str">
        <f t="shared" si="32"/>
        <v/>
      </c>
      <c r="AD48" s="23">
        <f t="shared" si="32"/>
        <v>0</v>
      </c>
      <c r="AE48" s="23" t="str">
        <f t="shared" si="32"/>
        <v/>
      </c>
      <c r="AF48" s="23" t="str">
        <f t="shared" si="32"/>
        <v/>
      </c>
      <c r="AG48" s="23" t="str">
        <f t="shared" si="32"/>
        <v/>
      </c>
      <c r="AH48" s="23">
        <f t="shared" si="3"/>
        <v>0</v>
      </c>
      <c r="AI48" s="23">
        <f t="shared" si="4"/>
        <v>0</v>
      </c>
      <c r="AJ48" s="69">
        <v>13</v>
      </c>
      <c r="AK48" s="225">
        <v>2327.0337</v>
      </c>
      <c r="AL48" s="33">
        <v>13</v>
      </c>
      <c r="AM48" s="204">
        <v>2327.0337</v>
      </c>
      <c r="AN48" s="196"/>
      <c r="AO48" s="23"/>
      <c r="AP48" s="23"/>
      <c r="AQ48" s="23"/>
      <c r="AR48" s="23"/>
      <c r="AS48" s="23"/>
      <c r="AT48" s="23"/>
      <c r="AU48" s="23"/>
      <c r="AV48" s="23"/>
      <c r="AW48" s="23"/>
      <c r="AX48" s="23"/>
      <c r="AY48" s="23"/>
      <c r="AZ48" s="196"/>
      <c r="BA48" s="69">
        <f>IF(VLOOKUP($D48,$AO$14:AQ$19,COLUMN()-50,0)&lt;=0,1,IF($Q48&lt;0,1,ROUNDUP(IF($Q48*('Draft Center'!$L$28+'Draft Center'!$L$78-'Draft Center'!$L$82)&lt;1,1,$Q48*('Draft Center'!$L$28+'Draft Center'!$L$78-'Draft Center'!$L$82)),0)))</f>
        <v>13</v>
      </c>
      <c r="BB48" s="69">
        <f>IF(VLOOKUP($D48,$AO$14:AR$19,COLUMN()-50,0)&lt;=0,1,IF($Q48&lt;0,1,ROUNDUP(IF($Q48*('Draft Center'!$L$28+'Draft Center'!$L$78-'Draft Center'!$L$82)&lt;1,1,$Q48*('Draft Center'!$L$28+'Draft Center'!$L$78-'Draft Center'!$L$82)),0)))</f>
        <v>13</v>
      </c>
      <c r="BC48" s="69">
        <f>IF(VLOOKUP($D48,$AO$14:AS$19,COLUMN()-50,0)&lt;=0,1,IF($Q48&lt;0,1,ROUNDUP(IF($Q48*('Draft Center'!$L$28+'Draft Center'!$L$78-'Draft Center'!$L$82)&lt;1,1,$Q48*('Draft Center'!$L$28+'Draft Center'!$L$78-'Draft Center'!$L$82)),0)))</f>
        <v>13</v>
      </c>
      <c r="BD48" s="69">
        <f>IF(VLOOKUP($D48,$AO$14:AT$19,COLUMN()-50,0)&lt;=0,1,IF($Q48&lt;0,1,ROUNDUP(IF($Q48*('Draft Center'!$L$28+'Draft Center'!$L$78-'Draft Center'!$L$82)&lt;1,1,$Q48*('Draft Center'!$L$28+'Draft Center'!$L$78-'Draft Center'!$L$82)),0)))</f>
        <v>13</v>
      </c>
      <c r="BE48" s="69">
        <f>IF(VLOOKUP($D48,$AO$14:AU$19,COLUMN()-50,0)&lt;=0,1,IF($Q48&lt;0,1,ROUNDUP(IF($Q48*('Draft Center'!$L$28+'Draft Center'!$L$78-'Draft Center'!$L$82)&lt;1,1,$Q48*('Draft Center'!$L$28+'Draft Center'!$L$78-'Draft Center'!$L$82)),0)))</f>
        <v>13</v>
      </c>
      <c r="BF48" s="69">
        <f>IF(VLOOKUP($D48,$AO$14:AV$19,COLUMN()-50,0)&lt;=0,1,IF($Q48&lt;0,1,ROUNDUP(IF($Q48*('Draft Center'!$L$28+'Draft Center'!$L$78-'Draft Center'!$L$82)&lt;1,1,$Q48*('Draft Center'!$L$28+'Draft Center'!$L$78-'Draft Center'!$L$82)),0)))</f>
        <v>13</v>
      </c>
      <c r="BG48" s="69">
        <f>IF(VLOOKUP($D48,$AO$14:AW$19,COLUMN()-50,0)&lt;=0,1,IF($Q48&lt;0,1,ROUNDUP(IF($Q48*('Draft Center'!$L$28+'Draft Center'!$L$78-'Draft Center'!$L$82)&lt;1,1,$Q48*('Draft Center'!$L$28+'Draft Center'!$L$78-'Draft Center'!$L$82)),0)))</f>
        <v>13</v>
      </c>
      <c r="BH48" s="69">
        <f>IF(VLOOKUP($D48,$AO$14:AX$19,COLUMN()-50,0)&lt;=0,1,IF($Q48&lt;0,1,ROUNDUP(IF($Q48*('Draft Center'!$L$28+'Draft Center'!$L$78-'Draft Center'!$L$82)&lt;1,1,$Q48*('Draft Center'!$L$28+'Draft Center'!$L$78-'Draft Center'!$L$82)),0)))</f>
        <v>13</v>
      </c>
      <c r="BI48" s="69">
        <f>IF(VLOOKUP($D48,$AO$14:AY$19,COLUMN()-50,0)&lt;=0,1,IF($Q48&lt;0,1,ROUNDUP(IF($Q48*('Draft Center'!$L$28+'Draft Center'!$L$78-'Draft Center'!$L$82)&lt;1,1,$Q48*('Draft Center'!$L$28+'Draft Center'!$L$78-'Draft Center'!$L$82)),0)))</f>
        <v>13</v>
      </c>
      <c r="BJ48" s="196"/>
      <c r="BK48" s="23">
        <v>1</v>
      </c>
      <c r="BL48" s="23" t="str">
        <f t="shared" si="33"/>
        <v/>
      </c>
      <c r="BM48" s="23">
        <v>0</v>
      </c>
      <c r="BN48" s="23">
        <f t="shared" si="33"/>
        <v>1</v>
      </c>
      <c r="BO48" s="23" t="str">
        <f t="shared" si="33"/>
        <v/>
      </c>
      <c r="BP48" s="23" t="str">
        <f t="shared" si="33"/>
        <v/>
      </c>
      <c r="BQ48" s="23" t="str">
        <f t="shared" si="33"/>
        <v/>
      </c>
      <c r="BR48" s="23">
        <f t="shared" si="6"/>
        <v>1</v>
      </c>
      <c r="BS48" s="23" t="str">
        <f t="shared" si="7"/>
        <v>DeAndre Hopkins</v>
      </c>
      <c r="BT48" s="69">
        <v>13</v>
      </c>
      <c r="BU48" s="58">
        <v>2327.0337</v>
      </c>
      <c r="BV48" s="33">
        <v>13</v>
      </c>
      <c r="BW48" s="204">
        <v>2327.0337</v>
      </c>
      <c r="BX48" s="23"/>
      <c r="BY48" s="69">
        <v>13</v>
      </c>
      <c r="BZ48" s="69">
        <v>29.4</v>
      </c>
      <c r="CA48" s="69">
        <v>29.4</v>
      </c>
      <c r="CB48" s="69">
        <v>29.4</v>
      </c>
      <c r="CC48" s="69">
        <f t="shared" si="10"/>
        <v>29.399999999999995</v>
      </c>
      <c r="CD48" s="69">
        <f t="shared" si="11"/>
        <v>29.4</v>
      </c>
    </row>
    <row r="49" spans="1:82" ht="15.75" customHeight="1" thickBot="1" x14ac:dyDescent="0.3">
      <c r="A49" s="6">
        <v>48</v>
      </c>
      <c r="B49" s="7" t="s">
        <v>137</v>
      </c>
      <c r="C49" s="7" t="s">
        <v>117</v>
      </c>
      <c r="D49" s="7" t="s">
        <v>43</v>
      </c>
      <c r="E49" s="50">
        <v>19.5522306736285</v>
      </c>
      <c r="F49" s="50">
        <v>173.013150025838</v>
      </c>
      <c r="G49" s="50">
        <v>184.50796178665399</v>
      </c>
      <c r="H49" s="50">
        <v>160.57220850480101</v>
      </c>
      <c r="I49" s="8">
        <v>5.7</v>
      </c>
      <c r="J49" s="50">
        <v>2.9389260061453499</v>
      </c>
      <c r="K49" s="248">
        <f>IFERROR(VLOOKUP(C49,Schedule!$T$3:$U$34,2,0),"FA")</f>
        <v>8</v>
      </c>
      <c r="L49" s="7" t="str">
        <f>D49&amp;COUNTIF(D$2:$D49,D49)</f>
        <v>TE8</v>
      </c>
      <c r="M49" s="50">
        <f t="array" ref="M49">IFERROR(F49-AVERAGE(VLOOKUP(D49,$D50:$F$885,3,0),INDEX($F50:$F$885,SMALL(IF(D49=$D50:$D$885,ROW($D50:$D$885)-ROW(D49)),2))),0)</f>
        <v>13.855071929362992</v>
      </c>
      <c r="N49" s="50">
        <f>IFERROR(IF(VLOOKUP($B49,Input!$AC$2:$AC$162,1,0)=$B49,0),F49)</f>
        <v>173.013150025838</v>
      </c>
      <c r="O49" s="50">
        <f>IFERROR(IF(VLOOKUP($B49,Input!$AC$2:$AC$162,1,0)=$B49,0,G49),G49)</f>
        <v>184.50796178665399</v>
      </c>
      <c r="P49" s="50">
        <f>IF(N49=0,0,F49-AVERAGE(INDEX(F:F,MATCH(VLOOKUP(D49,Input!$A$14:$L$22,10,0),L:L,0)),INDEX(F:F,MATCH(VLOOKUP(D49,Input!$A$14:$L$22,11,0),L:L,0)),INDEX(F:F,MATCH(VLOOKUP(D49,Input!$A$14:$L$22,12,0),L:L,0)))+(0.01-ROW()*0.01))</f>
        <v>19.072230673628685</v>
      </c>
      <c r="Q49" s="106">
        <f t="shared" si="0"/>
        <v>6.5797849501754557E-3</v>
      </c>
      <c r="R49" s="8">
        <f>IF(VLOOKUP($D49,$X$14:$Y$19,2,0)&lt;=0,1,IF(Q49&lt;0,1,ROUNDUP(IF(Q49*('Draft Center'!$L$28+'Draft Center'!$L$78-'Draft Center'!$L$82)&lt;1,1,Q49*('Draft Center'!$L$28+'Draft Center'!$L$78-'Draft Center'!$L$82)),0)))</f>
        <v>13</v>
      </c>
      <c r="S49" s="8">
        <f>IF(A49&lt;Input!$B$10+0.1,IF(ROUNDUP(R49*Input!$C$10,0)=0,1,ROUNDUP(R49*Input!$C$10,0)),IF(A49&gt;Input!$B$11,IF(ROUNDUP(R49*Input!$C$11,0)=0,1,ROUNDUP(R49*Input!$C$11,0)),IF(ROUNDUP(R49,0)=0,1,ROUNDUP(R49,0))))</f>
        <v>13</v>
      </c>
      <c r="T49" s="8">
        <f t="shared" si="1"/>
        <v>13</v>
      </c>
      <c r="U49" s="8">
        <f>IFERROR(VLOOKUP($B49,Input!$AC$2:$AE$161,3,0),0)</f>
        <v>0</v>
      </c>
      <c r="V49" s="256">
        <f t="shared" si="8"/>
        <v>1.281191754385965</v>
      </c>
      <c r="W49" s="263">
        <f t="shared" si="9"/>
        <v>7.3004899999999999</v>
      </c>
      <c r="Z49" s="23"/>
      <c r="AA49" s="23">
        <v>1</v>
      </c>
      <c r="AB49" s="23" t="str">
        <f t="shared" si="32"/>
        <v/>
      </c>
      <c r="AC49" s="23" t="str">
        <f t="shared" si="32"/>
        <v/>
      </c>
      <c r="AD49" s="23" t="str">
        <f t="shared" si="32"/>
        <v/>
      </c>
      <c r="AE49" s="23">
        <f t="shared" si="32"/>
        <v>1</v>
      </c>
      <c r="AF49" s="23" t="str">
        <f t="shared" si="32"/>
        <v/>
      </c>
      <c r="AG49" s="23" t="str">
        <f t="shared" si="32"/>
        <v/>
      </c>
      <c r="AH49" s="23">
        <f t="shared" si="3"/>
        <v>1</v>
      </c>
      <c r="AI49" s="23" t="str">
        <f t="shared" si="4"/>
        <v>Delanie Walker</v>
      </c>
      <c r="AJ49" s="70">
        <v>13</v>
      </c>
      <c r="AK49" s="225">
        <v>2327.0337</v>
      </c>
      <c r="AL49" s="33">
        <v>13</v>
      </c>
      <c r="AM49" s="204">
        <v>2327.0337</v>
      </c>
      <c r="AN49" s="196"/>
      <c r="AO49" s="23"/>
      <c r="AP49" s="23"/>
      <c r="AQ49" s="23"/>
      <c r="AR49" s="23"/>
      <c r="AS49" s="23"/>
      <c r="AT49" s="23"/>
      <c r="AU49" s="23"/>
      <c r="AV49" s="23"/>
      <c r="AW49" s="23"/>
      <c r="AX49" s="23"/>
      <c r="AY49" s="23"/>
      <c r="AZ49" s="196"/>
      <c r="BA49" s="70">
        <f>IF(VLOOKUP($D49,$AO$14:AQ$19,COLUMN()-50,0)&lt;=0,1,IF($Q49&lt;0,1,ROUNDUP(IF($Q49*('Draft Center'!$L$28+'Draft Center'!$L$78-'Draft Center'!$L$82)&lt;1,1,$Q49*('Draft Center'!$L$28+'Draft Center'!$L$78-'Draft Center'!$L$82)),0)))</f>
        <v>13</v>
      </c>
      <c r="BB49" s="70">
        <f>IF(VLOOKUP($D49,$AO$14:AR$19,COLUMN()-50,0)&lt;=0,1,IF($Q49&lt;0,1,ROUNDUP(IF($Q49*('Draft Center'!$L$28+'Draft Center'!$L$78-'Draft Center'!$L$82)&lt;1,1,$Q49*('Draft Center'!$L$28+'Draft Center'!$L$78-'Draft Center'!$L$82)),0)))</f>
        <v>13</v>
      </c>
      <c r="BC49" s="70">
        <f>IF(VLOOKUP($D49,$AO$14:AS$19,COLUMN()-50,0)&lt;=0,1,IF($Q49&lt;0,1,ROUNDUP(IF($Q49*('Draft Center'!$L$28+'Draft Center'!$L$78-'Draft Center'!$L$82)&lt;1,1,$Q49*('Draft Center'!$L$28+'Draft Center'!$L$78-'Draft Center'!$L$82)),0)))</f>
        <v>13</v>
      </c>
      <c r="BD49" s="70">
        <f>IF(VLOOKUP($D49,$AO$14:AT$19,COLUMN()-50,0)&lt;=0,1,IF($Q49&lt;0,1,ROUNDUP(IF($Q49*('Draft Center'!$L$28+'Draft Center'!$L$78-'Draft Center'!$L$82)&lt;1,1,$Q49*('Draft Center'!$L$28+'Draft Center'!$L$78-'Draft Center'!$L$82)),0)))</f>
        <v>13</v>
      </c>
      <c r="BE49" s="70">
        <f>IF(VLOOKUP($D49,$AO$14:AU$19,COLUMN()-50,0)&lt;=0,1,IF($Q49&lt;0,1,ROUNDUP(IF($Q49*('Draft Center'!$L$28+'Draft Center'!$L$78-'Draft Center'!$L$82)&lt;1,1,$Q49*('Draft Center'!$L$28+'Draft Center'!$L$78-'Draft Center'!$L$82)),0)))</f>
        <v>13</v>
      </c>
      <c r="BF49" s="70">
        <f>IF(VLOOKUP($D49,$AO$14:AV$19,COLUMN()-50,0)&lt;=0,1,IF($Q49&lt;0,1,ROUNDUP(IF($Q49*('Draft Center'!$L$28+'Draft Center'!$L$78-'Draft Center'!$L$82)&lt;1,1,$Q49*('Draft Center'!$L$28+'Draft Center'!$L$78-'Draft Center'!$L$82)),0)))</f>
        <v>13</v>
      </c>
      <c r="BG49" s="70">
        <f>IF(VLOOKUP($D49,$AO$14:AW$19,COLUMN()-50,0)&lt;=0,1,IF($Q49&lt;0,1,ROUNDUP(IF($Q49*('Draft Center'!$L$28+'Draft Center'!$L$78-'Draft Center'!$L$82)&lt;1,1,$Q49*('Draft Center'!$L$28+'Draft Center'!$L$78-'Draft Center'!$L$82)),0)))</f>
        <v>13</v>
      </c>
      <c r="BH49" s="70">
        <f>IF(VLOOKUP($D49,$AO$14:AX$19,COLUMN()-50,0)&lt;=0,1,IF($Q49&lt;0,1,ROUNDUP(IF($Q49*('Draft Center'!$L$28+'Draft Center'!$L$78-'Draft Center'!$L$82)&lt;1,1,$Q49*('Draft Center'!$L$28+'Draft Center'!$L$78-'Draft Center'!$L$82)),0)))</f>
        <v>13</v>
      </c>
      <c r="BI49" s="70">
        <f>IF(VLOOKUP($D49,$AO$14:AY$19,COLUMN()-50,0)&lt;=0,1,IF($Q49&lt;0,1,ROUNDUP(IF($Q49*('Draft Center'!$L$28+'Draft Center'!$L$78-'Draft Center'!$L$82)&lt;1,1,$Q49*('Draft Center'!$L$28+'Draft Center'!$L$78-'Draft Center'!$L$82)),0)))</f>
        <v>13</v>
      </c>
      <c r="BJ49" s="196"/>
      <c r="BK49" s="23">
        <v>0</v>
      </c>
      <c r="BL49" s="23" t="str">
        <f t="shared" si="33"/>
        <v/>
      </c>
      <c r="BM49" s="23">
        <v>0</v>
      </c>
      <c r="BN49" s="23" t="str">
        <f t="shared" si="33"/>
        <v/>
      </c>
      <c r="BO49" s="23">
        <f t="shared" si="33"/>
        <v>0</v>
      </c>
      <c r="BP49" s="23" t="str">
        <f t="shared" si="33"/>
        <v/>
      </c>
      <c r="BQ49" s="23" t="str">
        <f t="shared" si="33"/>
        <v/>
      </c>
      <c r="BR49" s="23">
        <f t="shared" si="6"/>
        <v>0</v>
      </c>
      <c r="BS49" s="23">
        <f t="shared" si="7"/>
        <v>0</v>
      </c>
      <c r="BT49" s="70">
        <v>13</v>
      </c>
      <c r="BU49" s="58">
        <v>2327.0337</v>
      </c>
      <c r="BV49" s="33">
        <v>13</v>
      </c>
      <c r="BW49" s="204">
        <v>2327.0337</v>
      </c>
      <c r="BX49" s="23"/>
      <c r="BY49" s="70">
        <v>13</v>
      </c>
      <c r="BZ49" s="70">
        <v>5.7</v>
      </c>
      <c r="CA49" s="70">
        <v>5.7</v>
      </c>
      <c r="CB49" s="70">
        <v>5.7</v>
      </c>
      <c r="CC49" s="70">
        <f t="shared" si="10"/>
        <v>5.7</v>
      </c>
      <c r="CD49" s="70">
        <f t="shared" si="11"/>
        <v>5.7</v>
      </c>
    </row>
    <row r="50" spans="1:82" ht="15.75" customHeight="1" thickBot="1" x14ac:dyDescent="0.3">
      <c r="A50" s="9">
        <v>49</v>
      </c>
      <c r="B50" s="10" t="s">
        <v>146</v>
      </c>
      <c r="C50" s="10" t="s">
        <v>42</v>
      </c>
      <c r="D50" s="10" t="s">
        <v>147</v>
      </c>
      <c r="E50" s="51">
        <v>19.1759797713441</v>
      </c>
      <c r="F50" s="51">
        <v>150.54496820231699</v>
      </c>
      <c r="G50" s="51">
        <v>160.640119885404</v>
      </c>
      <c r="H50" s="51">
        <v>142.03734776725301</v>
      </c>
      <c r="I50" s="11">
        <v>3.4</v>
      </c>
      <c r="J50" s="51">
        <v>1.97263255283911</v>
      </c>
      <c r="K50" s="249">
        <f>IFERROR(VLOOKUP(C50,Schedule!$T$3:$U$34,2,0),"FA")</f>
        <v>9</v>
      </c>
      <c r="L50" s="10" t="str">
        <f>D50&amp;COUNTIF(D$2:$D50,D50)</f>
        <v>K3</v>
      </c>
      <c r="M50" s="51">
        <f t="array" ref="M50">IFERROR(F50-AVERAGE(VLOOKUP(D50,$D51:$F$885,3,0),INDEX($F51:$F$885,SMALL(IF(D50=$D51:$D$885,ROW($D51:$D$885)-ROW(D50)),2))),0)</f>
        <v>11.712904359937482</v>
      </c>
      <c r="N50" s="51">
        <f>IFERROR(IF(VLOOKUP($B50,Input!$AC$2:$AC$162,1,0)=$B50,0),F50)</f>
        <v>150.54496820231699</v>
      </c>
      <c r="O50" s="51">
        <f>IFERROR(IF(VLOOKUP($B50,Input!$AC$2:$AC$162,1,0)=$B50,0,G50),G50)</f>
        <v>160.640119885404</v>
      </c>
      <c r="P50" s="51">
        <f>IF(N50=0,0,F50-AVERAGE(INDEX(F:F,MATCH(VLOOKUP(D50,Input!$A$14:$L$22,10,0),L:L,0)),INDEX(F:F,MATCH(VLOOKUP(D50,Input!$A$14:$L$22,11,0),L:L,0)),INDEX(F:F,MATCH(VLOOKUP(D50,Input!$A$14:$L$22,12,0),L:L,0)))+(0.01-ROW()*0.01))</f>
        <v>18.511986620189003</v>
      </c>
      <c r="Q50" s="107">
        <f t="shared" si="0"/>
        <v>6.3865047065411983E-3</v>
      </c>
      <c r="R50" s="11">
        <f>IF(VLOOKUP($D50,$X$14:$Y$19,2,0)&lt;=0,1,IF(Q50&lt;0,1,ROUNDUP(IF(Q50*('Draft Center'!$L$28+'Draft Center'!$L$78-'Draft Center'!$L$82)&lt;1,1,Q50*('Draft Center'!$L$28+'Draft Center'!$L$78-'Draft Center'!$L$82)),0)))</f>
        <v>13</v>
      </c>
      <c r="S50" s="11">
        <f>IF(A50&lt;Input!$B$10+0.1,IF(ROUNDUP(R50*Input!$C$10,0)=0,1,ROUNDUP(R50*Input!$C$10,0)),IF(A50&gt;Input!$B$11,IF(ROUNDUP(R50*Input!$C$11,0)=0,1,ROUNDUP(R50*Input!$C$11,0)),IF(ROUNDUP(R50,0)=0,1,ROUNDUP(R50,0))))</f>
        <v>13</v>
      </c>
      <c r="T50" s="11">
        <f t="shared" si="1"/>
        <v>13</v>
      </c>
      <c r="U50" s="11">
        <f>IFERROR(VLOOKUP($B50,Input!$AC$2:$AE$161,3,0),0)</f>
        <v>0</v>
      </c>
      <c r="V50" s="257">
        <f t="shared" si="8"/>
        <v>2.8240294117647062</v>
      </c>
      <c r="W50" s="264">
        <f t="shared" si="9"/>
        <v>9.6005000000000003</v>
      </c>
      <c r="Z50" s="23"/>
      <c r="AA50" s="23">
        <v>0</v>
      </c>
      <c r="AB50" s="23" t="str">
        <f t="shared" si="32"/>
        <v/>
      </c>
      <c r="AC50" s="23" t="str">
        <f t="shared" si="32"/>
        <v/>
      </c>
      <c r="AD50" s="23" t="str">
        <f t="shared" si="32"/>
        <v/>
      </c>
      <c r="AE50" s="23" t="str">
        <f t="shared" si="32"/>
        <v/>
      </c>
      <c r="AF50" s="23" t="str">
        <f t="shared" si="32"/>
        <v/>
      </c>
      <c r="AG50" s="23">
        <f t="shared" si="32"/>
        <v>0</v>
      </c>
      <c r="AH50" s="23">
        <f t="shared" si="3"/>
        <v>0</v>
      </c>
      <c r="AI50" s="23">
        <f t="shared" si="4"/>
        <v>0</v>
      </c>
      <c r="AJ50" s="69">
        <v>13</v>
      </c>
      <c r="AK50" s="225">
        <v>2327.0337</v>
      </c>
      <c r="AL50" s="33">
        <v>13</v>
      </c>
      <c r="AM50" s="204">
        <v>2327.0337</v>
      </c>
      <c r="AN50" s="196"/>
      <c r="AO50" s="23"/>
      <c r="AP50" s="23"/>
      <c r="AQ50" s="23"/>
      <c r="AR50" s="23"/>
      <c r="AS50" s="23"/>
      <c r="AT50" s="23"/>
      <c r="AU50" s="23"/>
      <c r="AV50" s="23"/>
      <c r="AW50" s="23"/>
      <c r="AX50" s="23"/>
      <c r="AY50" s="23"/>
      <c r="AZ50" s="196"/>
      <c r="BA50" s="69">
        <f>IF(VLOOKUP($D50,$AO$14:AQ$19,COLUMN()-50,0)&lt;=0,1,IF($Q50&lt;0,1,ROUNDUP(IF($Q50*('Draft Center'!$L$28+'Draft Center'!$L$78-'Draft Center'!$L$82)&lt;1,1,$Q50*('Draft Center'!$L$28+'Draft Center'!$L$78-'Draft Center'!$L$82)),0)))</f>
        <v>13</v>
      </c>
      <c r="BB50" s="69">
        <f>IF(VLOOKUP($D50,$AO$14:AR$19,COLUMN()-50,0)&lt;=0,1,IF($Q50&lt;0,1,ROUNDUP(IF($Q50*('Draft Center'!$L$28+'Draft Center'!$L$78-'Draft Center'!$L$82)&lt;1,1,$Q50*('Draft Center'!$L$28+'Draft Center'!$L$78-'Draft Center'!$L$82)),0)))</f>
        <v>13</v>
      </c>
      <c r="BC50" s="69">
        <f>IF(VLOOKUP($D50,$AO$14:AS$19,COLUMN()-50,0)&lt;=0,1,IF($Q50&lt;0,1,ROUNDUP(IF($Q50*('Draft Center'!$L$28+'Draft Center'!$L$78-'Draft Center'!$L$82)&lt;1,1,$Q50*('Draft Center'!$L$28+'Draft Center'!$L$78-'Draft Center'!$L$82)),0)))</f>
        <v>13</v>
      </c>
      <c r="BD50" s="69">
        <f>IF(VLOOKUP($D50,$AO$14:AT$19,COLUMN()-50,0)&lt;=0,1,IF($Q50&lt;0,1,ROUNDUP(IF($Q50*('Draft Center'!$L$28+'Draft Center'!$L$78-'Draft Center'!$L$82)&lt;1,1,$Q50*('Draft Center'!$L$28+'Draft Center'!$L$78-'Draft Center'!$L$82)),0)))</f>
        <v>13</v>
      </c>
      <c r="BE50" s="69">
        <f>IF(VLOOKUP($D50,$AO$14:AU$19,COLUMN()-50,0)&lt;=0,1,IF($Q50&lt;0,1,ROUNDUP(IF($Q50*('Draft Center'!$L$28+'Draft Center'!$L$78-'Draft Center'!$L$82)&lt;1,1,$Q50*('Draft Center'!$L$28+'Draft Center'!$L$78-'Draft Center'!$L$82)),0)))</f>
        <v>13</v>
      </c>
      <c r="BF50" s="69">
        <f>IF(VLOOKUP($D50,$AO$14:AV$19,COLUMN()-50,0)&lt;=0,1,IF($Q50&lt;0,1,ROUNDUP(IF($Q50*('Draft Center'!$L$28+'Draft Center'!$L$78-'Draft Center'!$L$82)&lt;1,1,$Q50*('Draft Center'!$L$28+'Draft Center'!$L$78-'Draft Center'!$L$82)),0)))</f>
        <v>13</v>
      </c>
      <c r="BG50" s="69">
        <f>IF(VLOOKUP($D50,$AO$14:AW$19,COLUMN()-50,0)&lt;=0,1,IF($Q50&lt;0,1,ROUNDUP(IF($Q50*('Draft Center'!$L$28+'Draft Center'!$L$78-'Draft Center'!$L$82)&lt;1,1,$Q50*('Draft Center'!$L$28+'Draft Center'!$L$78-'Draft Center'!$L$82)),0)))</f>
        <v>13</v>
      </c>
      <c r="BH50" s="69">
        <f>IF(VLOOKUP($D50,$AO$14:AX$19,COLUMN()-50,0)&lt;=0,1,IF($Q50&lt;0,1,ROUNDUP(IF($Q50*('Draft Center'!$L$28+'Draft Center'!$L$78-'Draft Center'!$L$82)&lt;1,1,$Q50*('Draft Center'!$L$28+'Draft Center'!$L$78-'Draft Center'!$L$82)),0)))</f>
        <v>13</v>
      </c>
      <c r="BI50" s="69">
        <f>IF(VLOOKUP($D50,$AO$14:AY$19,COLUMN()-50,0)&lt;=0,1,IF($Q50&lt;0,1,ROUNDUP(IF($Q50*('Draft Center'!$L$28+'Draft Center'!$L$78-'Draft Center'!$L$82)&lt;1,1,$Q50*('Draft Center'!$L$28+'Draft Center'!$L$78-'Draft Center'!$L$82)),0)))</f>
        <v>13</v>
      </c>
      <c r="BJ50" s="196"/>
      <c r="BK50" s="23">
        <v>0</v>
      </c>
      <c r="BL50" s="23" t="str">
        <f t="shared" si="33"/>
        <v/>
      </c>
      <c r="BM50" s="23">
        <v>0</v>
      </c>
      <c r="BN50" s="23" t="str">
        <f t="shared" si="33"/>
        <v/>
      </c>
      <c r="BO50" s="23" t="str">
        <f t="shared" si="33"/>
        <v/>
      </c>
      <c r="BP50" s="23" t="str">
        <f t="shared" si="33"/>
        <v/>
      </c>
      <c r="BQ50" s="23">
        <f t="shared" si="33"/>
        <v>0</v>
      </c>
      <c r="BR50" s="23">
        <f t="shared" si="6"/>
        <v>0</v>
      </c>
      <c r="BS50" s="23">
        <f t="shared" si="7"/>
        <v>0</v>
      </c>
      <c r="BT50" s="69">
        <v>13</v>
      </c>
      <c r="BU50" s="58">
        <v>2327.0337</v>
      </c>
      <c r="BV50" s="33">
        <v>13</v>
      </c>
      <c r="BW50" s="204">
        <v>2327.0337</v>
      </c>
      <c r="BX50" s="23"/>
      <c r="BY50" s="69">
        <v>13</v>
      </c>
      <c r="BZ50" s="69">
        <v>3.4</v>
      </c>
      <c r="CA50" s="69">
        <v>3.4</v>
      </c>
      <c r="CB50" s="69">
        <v>3.4</v>
      </c>
      <c r="CC50" s="69">
        <f t="shared" si="10"/>
        <v>3.4</v>
      </c>
      <c r="CD50" s="69">
        <f t="shared" si="11"/>
        <v>3.4</v>
      </c>
    </row>
    <row r="51" spans="1:82" ht="15.75" customHeight="1" thickBot="1" x14ac:dyDescent="0.3">
      <c r="A51" s="6">
        <v>50</v>
      </c>
      <c r="B51" s="7" t="s">
        <v>204</v>
      </c>
      <c r="C51" s="7" t="s">
        <v>21</v>
      </c>
      <c r="D51" s="7" t="s">
        <v>135</v>
      </c>
      <c r="E51" s="50">
        <v>18.840743090167599</v>
      </c>
      <c r="F51" s="50">
        <v>127.572301767105</v>
      </c>
      <c r="G51" s="50">
        <v>127.716860465116</v>
      </c>
      <c r="H51" s="50">
        <v>77.400000000000006</v>
      </c>
      <c r="I51" s="8">
        <v>3.6</v>
      </c>
      <c r="J51" s="50">
        <v>2.90281268627681</v>
      </c>
      <c r="K51" s="248">
        <f>IFERROR(VLOOKUP(C51,Schedule!$T$3:$U$34,2,0),"FA")</f>
        <v>5</v>
      </c>
      <c r="L51" s="7" t="str">
        <f>D51&amp;COUNTIF(D$2:$D51,D51)</f>
        <v>DST3</v>
      </c>
      <c r="M51" s="50">
        <f t="array" ref="M51">IFERROR(F51-AVERAGE(VLOOKUP(D51,$D52:$F$885,3,0),INDEX($F52:$F$885,SMALL(IF(D51=$D52:$D$885,ROW($D52:$D$885)-ROW(D51)),2))),0)</f>
        <v>4.2194970548259931</v>
      </c>
      <c r="N51" s="50">
        <f>IFERROR(IF(VLOOKUP($B51,Input!$AC$2:$AC$162,1,0)=$B51,0),F51)</f>
        <v>127.572301767105</v>
      </c>
      <c r="O51" s="50">
        <f>IFERROR(IF(VLOOKUP($B51,Input!$AC$2:$AC$162,1,0)=$B51,0,G51),G51)</f>
        <v>127.716860465116</v>
      </c>
      <c r="P51" s="50">
        <f>IF(N51=0,0,F51-AVERAGE(INDEX(F:F,MATCH(VLOOKUP(D51,Input!$A$14:$L$22,10,0),L:L,0)),INDEX(F:F,MATCH(VLOOKUP(D51,Input!$A$14:$L$22,11,0),L:L,0)),INDEX(F:F,MATCH(VLOOKUP(D51,Input!$A$14:$L$22,12,0),L:L,0)))+(0.01-ROW()*0.01))</f>
        <v>19.38391481649299</v>
      </c>
      <c r="Q51" s="106">
        <f t="shared" si="0"/>
        <v>6.6873137792632124E-3</v>
      </c>
      <c r="R51" s="8">
        <f>IF(VLOOKUP($D51,$X$14:$Y$19,2,0)&lt;=0,1,IF(Q51&lt;0,1,ROUNDUP(IF(Q51*('Draft Center'!$L$28+'Draft Center'!$L$78-'Draft Center'!$L$82)&lt;1,1,Q51*('Draft Center'!$L$28+'Draft Center'!$L$78-'Draft Center'!$L$82)),0)))</f>
        <v>13</v>
      </c>
      <c r="S51" s="8">
        <f>IF(A51&lt;Input!$B$10+0.1,IF(ROUNDUP(R51*Input!$C$10,0)=0,1,ROUNDUP(R51*Input!$C$10,0)),IF(A51&gt;Input!$B$11,IF(ROUNDUP(R51*Input!$C$11,0)=0,1,ROUNDUP(R51*Input!$C$11,0)),IF(ROUNDUP(R51,0)=0,1,ROUNDUP(R51,0))))</f>
        <v>13</v>
      </c>
      <c r="T51" s="8">
        <f t="shared" si="1"/>
        <v>13</v>
      </c>
      <c r="U51" s="8">
        <f>IFERROR(VLOOKUP($B51,Input!$AC$2:$AE$161,3,0),0)</f>
        <v>0</v>
      </c>
      <c r="V51" s="256">
        <f t="shared" si="8"/>
        <v>2.6116211111111109</v>
      </c>
      <c r="W51" s="263">
        <f t="shared" si="9"/>
        <v>9.4005100000000006</v>
      </c>
      <c r="Z51" s="23"/>
      <c r="AA51" s="23">
        <v>0</v>
      </c>
      <c r="AB51" s="23" t="str">
        <f t="shared" si="32"/>
        <v/>
      </c>
      <c r="AC51" s="23" t="str">
        <f t="shared" si="32"/>
        <v/>
      </c>
      <c r="AD51" s="23" t="str">
        <f t="shared" si="32"/>
        <v/>
      </c>
      <c r="AE51" s="23" t="str">
        <f t="shared" si="32"/>
        <v/>
      </c>
      <c r="AF51" s="23">
        <f t="shared" si="32"/>
        <v>0</v>
      </c>
      <c r="AG51" s="23" t="str">
        <f t="shared" si="32"/>
        <v/>
      </c>
      <c r="AH51" s="23">
        <f t="shared" si="3"/>
        <v>0</v>
      </c>
      <c r="AI51" s="23">
        <f t="shared" si="4"/>
        <v>0</v>
      </c>
      <c r="AJ51" s="70">
        <v>13</v>
      </c>
      <c r="AK51" s="225">
        <v>2327.0337</v>
      </c>
      <c r="AL51" s="33">
        <v>13</v>
      </c>
      <c r="AM51" s="204">
        <v>2327.0337</v>
      </c>
      <c r="AN51" s="196"/>
      <c r="AO51" s="23"/>
      <c r="AP51" s="23"/>
      <c r="AQ51" s="23"/>
      <c r="AR51" s="23"/>
      <c r="AS51" s="23"/>
      <c r="AT51" s="23"/>
      <c r="AU51" s="23"/>
      <c r="AV51" s="23"/>
      <c r="AW51" s="23"/>
      <c r="AX51" s="23"/>
      <c r="AY51" s="23"/>
      <c r="AZ51" s="196"/>
      <c r="BA51" s="70">
        <f>IF(VLOOKUP($D51,$AO$14:AQ$19,COLUMN()-50,0)&lt;=0,1,IF($Q51&lt;0,1,ROUNDUP(IF($Q51*('Draft Center'!$L$28+'Draft Center'!$L$78-'Draft Center'!$L$82)&lt;1,1,$Q51*('Draft Center'!$L$28+'Draft Center'!$L$78-'Draft Center'!$L$82)),0)))</f>
        <v>13</v>
      </c>
      <c r="BB51" s="70">
        <f>IF(VLOOKUP($D51,$AO$14:AR$19,COLUMN()-50,0)&lt;=0,1,IF($Q51&lt;0,1,ROUNDUP(IF($Q51*('Draft Center'!$L$28+'Draft Center'!$L$78-'Draft Center'!$L$82)&lt;1,1,$Q51*('Draft Center'!$L$28+'Draft Center'!$L$78-'Draft Center'!$L$82)),0)))</f>
        <v>13</v>
      </c>
      <c r="BC51" s="70">
        <f>IF(VLOOKUP($D51,$AO$14:AS$19,COLUMN()-50,0)&lt;=0,1,IF($Q51&lt;0,1,ROUNDUP(IF($Q51*('Draft Center'!$L$28+'Draft Center'!$L$78-'Draft Center'!$L$82)&lt;1,1,$Q51*('Draft Center'!$L$28+'Draft Center'!$L$78-'Draft Center'!$L$82)),0)))</f>
        <v>13</v>
      </c>
      <c r="BD51" s="70">
        <f>IF(VLOOKUP($D51,$AO$14:AT$19,COLUMN()-50,0)&lt;=0,1,IF($Q51&lt;0,1,ROUNDUP(IF($Q51*('Draft Center'!$L$28+'Draft Center'!$L$78-'Draft Center'!$L$82)&lt;1,1,$Q51*('Draft Center'!$L$28+'Draft Center'!$L$78-'Draft Center'!$L$82)),0)))</f>
        <v>13</v>
      </c>
      <c r="BE51" s="70">
        <f>IF(VLOOKUP($D51,$AO$14:AU$19,COLUMN()-50,0)&lt;=0,1,IF($Q51&lt;0,1,ROUNDUP(IF($Q51*('Draft Center'!$L$28+'Draft Center'!$L$78-'Draft Center'!$L$82)&lt;1,1,$Q51*('Draft Center'!$L$28+'Draft Center'!$L$78-'Draft Center'!$L$82)),0)))</f>
        <v>13</v>
      </c>
      <c r="BF51" s="70">
        <f>IF(VLOOKUP($D51,$AO$14:AV$19,COLUMN()-50,0)&lt;=0,1,IF($Q51&lt;0,1,ROUNDUP(IF($Q51*('Draft Center'!$L$28+'Draft Center'!$L$78-'Draft Center'!$L$82)&lt;1,1,$Q51*('Draft Center'!$L$28+'Draft Center'!$L$78-'Draft Center'!$L$82)),0)))</f>
        <v>13</v>
      </c>
      <c r="BG51" s="70">
        <f>IF(VLOOKUP($D51,$AO$14:AW$19,COLUMN()-50,0)&lt;=0,1,IF($Q51&lt;0,1,ROUNDUP(IF($Q51*('Draft Center'!$L$28+'Draft Center'!$L$78-'Draft Center'!$L$82)&lt;1,1,$Q51*('Draft Center'!$L$28+'Draft Center'!$L$78-'Draft Center'!$L$82)),0)))</f>
        <v>13</v>
      </c>
      <c r="BH51" s="70">
        <f>IF(VLOOKUP($D51,$AO$14:AX$19,COLUMN()-50,0)&lt;=0,1,IF($Q51&lt;0,1,ROUNDUP(IF($Q51*('Draft Center'!$L$28+'Draft Center'!$L$78-'Draft Center'!$L$82)&lt;1,1,$Q51*('Draft Center'!$L$28+'Draft Center'!$L$78-'Draft Center'!$L$82)),0)))</f>
        <v>13</v>
      </c>
      <c r="BI51" s="70">
        <f>IF(VLOOKUP($D51,$AO$14:AY$19,COLUMN()-50,0)&lt;=0,1,IF($Q51&lt;0,1,ROUNDUP(IF($Q51*('Draft Center'!$L$28+'Draft Center'!$L$78-'Draft Center'!$L$82)&lt;1,1,$Q51*('Draft Center'!$L$28+'Draft Center'!$L$78-'Draft Center'!$L$82)),0)))</f>
        <v>13</v>
      </c>
      <c r="BJ51" s="196"/>
      <c r="BK51" s="23">
        <v>0</v>
      </c>
      <c r="BL51" s="23" t="str">
        <f t="shared" si="33"/>
        <v/>
      </c>
      <c r="BM51" s="23">
        <v>0</v>
      </c>
      <c r="BN51" s="23" t="str">
        <f t="shared" si="33"/>
        <v/>
      </c>
      <c r="BO51" s="23" t="str">
        <f t="shared" si="33"/>
        <v/>
      </c>
      <c r="BP51" s="23">
        <f t="shared" si="33"/>
        <v>0</v>
      </c>
      <c r="BQ51" s="23" t="str">
        <f t="shared" si="33"/>
        <v/>
      </c>
      <c r="BR51" s="23">
        <f t="shared" si="6"/>
        <v>0</v>
      </c>
      <c r="BS51" s="23">
        <f t="shared" si="7"/>
        <v>0</v>
      </c>
      <c r="BT51" s="70">
        <v>13</v>
      </c>
      <c r="BU51" s="58">
        <v>2327.0337</v>
      </c>
      <c r="BV51" s="33">
        <v>13</v>
      </c>
      <c r="BW51" s="204">
        <v>2327.0337</v>
      </c>
      <c r="BX51" s="23"/>
      <c r="BY51" s="70">
        <v>13</v>
      </c>
      <c r="BZ51" s="70">
        <v>3.6</v>
      </c>
      <c r="CA51" s="70">
        <v>3.6</v>
      </c>
      <c r="CB51" s="70">
        <v>3.6</v>
      </c>
      <c r="CC51" s="70">
        <f t="shared" si="10"/>
        <v>3.6</v>
      </c>
      <c r="CD51" s="70">
        <f t="shared" si="11"/>
        <v>3.6</v>
      </c>
    </row>
    <row r="52" spans="1:82" ht="15.75" customHeight="1" thickBot="1" x14ac:dyDescent="0.3">
      <c r="A52" s="9">
        <v>51</v>
      </c>
      <c r="B52" s="10" t="s">
        <v>60</v>
      </c>
      <c r="C52" s="10" t="s">
        <v>42</v>
      </c>
      <c r="D52" s="10" t="s">
        <v>17</v>
      </c>
      <c r="E52" s="51">
        <v>18.036669638197498</v>
      </c>
      <c r="F52" s="51">
        <v>230.81458590754701</v>
      </c>
      <c r="G52" s="51">
        <v>250.83744043700401</v>
      </c>
      <c r="H52" s="51">
        <v>209.160796736034</v>
      </c>
      <c r="I52" s="11">
        <v>25.6</v>
      </c>
      <c r="J52" s="51">
        <v>4.4018466848605398</v>
      </c>
      <c r="K52" s="249">
        <f>IFERROR(VLOOKUP(C52,Schedule!$T$3:$U$34,2,0),"FA")</f>
        <v>9</v>
      </c>
      <c r="L52" s="10" t="str">
        <f>D52&amp;COUNTIF(D$2:$D52,D52)</f>
        <v>WR15</v>
      </c>
      <c r="M52" s="51">
        <f t="array" ref="M52">IFERROR(F52-AVERAGE(VLOOKUP(D52,$D53:$F$885,3,0),INDEX($F53:$F$885,SMALL(IF(D52=$D53:$D$885,ROW($D53:$D$885)-ROW(D52)),2))),0)</f>
        <v>2.8026768474869925</v>
      </c>
      <c r="N52" s="51">
        <f>IFERROR(IF(VLOOKUP($B52,Input!$AC$2:$AC$162,1,0)=$B52,0),F52)</f>
        <v>230.81458590754701</v>
      </c>
      <c r="O52" s="51">
        <f>IFERROR(IF(VLOOKUP($B52,Input!$AC$2:$AC$162,1,0)=$B52,0,G52),G52)</f>
        <v>250.83744043700401</v>
      </c>
      <c r="P52" s="51">
        <f>IF(N52=0,0,F52-AVERAGE(INDEX(F:F,MATCH(VLOOKUP(D52,Input!$A$14:$L$22,10,0),L:L,0)),INDEX(F:F,MATCH(VLOOKUP(D52,Input!$A$14:$L$22,11,0),L:L,0)),INDEX(F:F,MATCH(VLOOKUP(D52,Input!$A$14:$L$22,12,0),L:L,0)))+(0.01-ROW()*0.01))</f>
        <v>17.526669638197991</v>
      </c>
      <c r="Q52" s="107">
        <f t="shared" si="0"/>
        <v>6.0465773031766253E-3</v>
      </c>
      <c r="R52" s="11">
        <f>IF(VLOOKUP($D52,$X$14:$Y$19,2,0)&lt;=0,1,IF(Q52&lt;0,1,ROUNDUP(IF(Q52*('Draft Center'!$L$28+'Draft Center'!$L$78-'Draft Center'!$L$82)&lt;1,1,Q52*('Draft Center'!$L$28+'Draft Center'!$L$78-'Draft Center'!$L$82)),0)))</f>
        <v>12</v>
      </c>
      <c r="S52" s="11">
        <f>IF(A52&lt;Input!$B$10+0.1,IF(ROUNDUP(R52*Input!$C$10,0)=0,1,ROUNDUP(R52*Input!$C$10,0)),IF(A52&gt;Input!$B$11,IF(ROUNDUP(R52*Input!$C$11,0)=0,1,ROUNDUP(R52*Input!$C$11,0)),IF(ROUNDUP(R52,0)=0,1,ROUNDUP(R52,0))))</f>
        <v>12</v>
      </c>
      <c r="T52" s="11">
        <f t="shared" si="1"/>
        <v>12</v>
      </c>
      <c r="U52" s="11">
        <f>IFERROR(VLOOKUP($B52,Input!$AC$2:$AE$161,3,0),0)</f>
        <v>0</v>
      </c>
      <c r="V52" s="257">
        <f t="shared" si="8"/>
        <v>-0.53073000000000004</v>
      </c>
      <c r="W52" s="264">
        <f t="shared" si="9"/>
        <v>-13.599480000000002</v>
      </c>
      <c r="Z52" s="23"/>
      <c r="AA52" s="23">
        <v>0</v>
      </c>
      <c r="AB52" s="23" t="str">
        <f t="shared" ref="AB52:AG61" si="34">IF($D52=AB$1,1*$AA52,"")</f>
        <v/>
      </c>
      <c r="AC52" s="23" t="str">
        <f t="shared" si="34"/>
        <v/>
      </c>
      <c r="AD52" s="23">
        <f t="shared" si="34"/>
        <v>0</v>
      </c>
      <c r="AE52" s="23" t="str">
        <f t="shared" si="34"/>
        <v/>
      </c>
      <c r="AF52" s="23" t="str">
        <f t="shared" si="34"/>
        <v/>
      </c>
      <c r="AG52" s="23" t="str">
        <f t="shared" si="34"/>
        <v/>
      </c>
      <c r="AH52" s="23">
        <f t="shared" si="3"/>
        <v>0</v>
      </c>
      <c r="AI52" s="23">
        <f t="shared" si="4"/>
        <v>0</v>
      </c>
      <c r="AJ52" s="69">
        <v>12</v>
      </c>
      <c r="AK52" s="225">
        <v>2327.0337</v>
      </c>
      <c r="AL52" s="33">
        <v>12</v>
      </c>
      <c r="AM52" s="204">
        <v>2327.0337</v>
      </c>
      <c r="AN52" s="196"/>
      <c r="AO52" s="23"/>
      <c r="AP52" s="23"/>
      <c r="AQ52" s="23"/>
      <c r="AR52" s="23"/>
      <c r="AS52" s="23"/>
      <c r="AT52" s="23"/>
      <c r="AU52" s="23"/>
      <c r="AV52" s="23"/>
      <c r="AW52" s="23"/>
      <c r="AX52" s="23"/>
      <c r="AY52" s="23"/>
      <c r="AZ52" s="196"/>
      <c r="BA52" s="69">
        <f>IF(VLOOKUP($D52,$AO$14:AQ$19,COLUMN()-50,0)&lt;=0,1,IF($Q52&lt;0,1,ROUNDUP(IF($Q52*('Draft Center'!$L$28+'Draft Center'!$L$78-'Draft Center'!$L$82)&lt;1,1,$Q52*('Draft Center'!$L$28+'Draft Center'!$L$78-'Draft Center'!$L$82)),0)))</f>
        <v>12</v>
      </c>
      <c r="BB52" s="69">
        <f>IF(VLOOKUP($D52,$AO$14:AR$19,COLUMN()-50,0)&lt;=0,1,IF($Q52&lt;0,1,ROUNDUP(IF($Q52*('Draft Center'!$L$28+'Draft Center'!$L$78-'Draft Center'!$L$82)&lt;1,1,$Q52*('Draft Center'!$L$28+'Draft Center'!$L$78-'Draft Center'!$L$82)),0)))</f>
        <v>12</v>
      </c>
      <c r="BC52" s="69">
        <f>IF(VLOOKUP($D52,$AO$14:AS$19,COLUMN()-50,0)&lt;=0,1,IF($Q52&lt;0,1,ROUNDUP(IF($Q52*('Draft Center'!$L$28+'Draft Center'!$L$78-'Draft Center'!$L$82)&lt;1,1,$Q52*('Draft Center'!$L$28+'Draft Center'!$L$78-'Draft Center'!$L$82)),0)))</f>
        <v>12</v>
      </c>
      <c r="BD52" s="69">
        <f>IF(VLOOKUP($D52,$AO$14:AT$19,COLUMN()-50,0)&lt;=0,1,IF($Q52&lt;0,1,ROUNDUP(IF($Q52*('Draft Center'!$L$28+'Draft Center'!$L$78-'Draft Center'!$L$82)&lt;1,1,$Q52*('Draft Center'!$L$28+'Draft Center'!$L$78-'Draft Center'!$L$82)),0)))</f>
        <v>12</v>
      </c>
      <c r="BE52" s="69">
        <f>IF(VLOOKUP($D52,$AO$14:AU$19,COLUMN()-50,0)&lt;=0,1,IF($Q52&lt;0,1,ROUNDUP(IF($Q52*('Draft Center'!$L$28+'Draft Center'!$L$78-'Draft Center'!$L$82)&lt;1,1,$Q52*('Draft Center'!$L$28+'Draft Center'!$L$78-'Draft Center'!$L$82)),0)))</f>
        <v>12</v>
      </c>
      <c r="BF52" s="69">
        <f>IF(VLOOKUP($D52,$AO$14:AV$19,COLUMN()-50,0)&lt;=0,1,IF($Q52&lt;0,1,ROUNDUP(IF($Q52*('Draft Center'!$L$28+'Draft Center'!$L$78-'Draft Center'!$L$82)&lt;1,1,$Q52*('Draft Center'!$L$28+'Draft Center'!$L$78-'Draft Center'!$L$82)),0)))</f>
        <v>12</v>
      </c>
      <c r="BG52" s="69">
        <f>IF(VLOOKUP($D52,$AO$14:AW$19,COLUMN()-50,0)&lt;=0,1,IF($Q52&lt;0,1,ROUNDUP(IF($Q52*('Draft Center'!$L$28+'Draft Center'!$L$78-'Draft Center'!$L$82)&lt;1,1,$Q52*('Draft Center'!$L$28+'Draft Center'!$L$78-'Draft Center'!$L$82)),0)))</f>
        <v>12</v>
      </c>
      <c r="BH52" s="69">
        <f>IF(VLOOKUP($D52,$AO$14:AX$19,COLUMN()-50,0)&lt;=0,1,IF($Q52&lt;0,1,ROUNDUP(IF($Q52*('Draft Center'!$L$28+'Draft Center'!$L$78-'Draft Center'!$L$82)&lt;1,1,$Q52*('Draft Center'!$L$28+'Draft Center'!$L$78-'Draft Center'!$L$82)),0)))</f>
        <v>12</v>
      </c>
      <c r="BI52" s="69">
        <f>IF(VLOOKUP($D52,$AO$14:AY$19,COLUMN()-50,0)&lt;=0,1,IF($Q52&lt;0,1,ROUNDUP(IF($Q52*('Draft Center'!$L$28+'Draft Center'!$L$78-'Draft Center'!$L$82)&lt;1,1,$Q52*('Draft Center'!$L$28+'Draft Center'!$L$78-'Draft Center'!$L$82)),0)))</f>
        <v>12</v>
      </c>
      <c r="BJ52" s="196"/>
      <c r="BK52" s="23">
        <v>0</v>
      </c>
      <c r="BL52" s="23" t="str">
        <f t="shared" ref="BL52:BQ61" si="35">IF($D52=BL$1,1*$BK52,"")</f>
        <v/>
      </c>
      <c r="BM52" s="23">
        <v>0</v>
      </c>
      <c r="BN52" s="23">
        <f t="shared" si="35"/>
        <v>0</v>
      </c>
      <c r="BO52" s="23" t="str">
        <f t="shared" si="35"/>
        <v/>
      </c>
      <c r="BP52" s="23" t="str">
        <f t="shared" si="35"/>
        <v/>
      </c>
      <c r="BQ52" s="23" t="str">
        <f t="shared" si="35"/>
        <v/>
      </c>
      <c r="BR52" s="23">
        <f t="shared" si="6"/>
        <v>0</v>
      </c>
      <c r="BS52" s="23">
        <f t="shared" si="7"/>
        <v>0</v>
      </c>
      <c r="BT52" s="69">
        <v>12</v>
      </c>
      <c r="BU52" s="58">
        <v>2327.0337</v>
      </c>
      <c r="BV52" s="33">
        <v>12</v>
      </c>
      <c r="BW52" s="204">
        <v>2327.0337</v>
      </c>
      <c r="BX52" s="23"/>
      <c r="BY52" s="69">
        <v>12</v>
      </c>
      <c r="BZ52" s="69">
        <v>25.6</v>
      </c>
      <c r="CA52" s="69">
        <v>25.6</v>
      </c>
      <c r="CB52" s="69">
        <v>25.6</v>
      </c>
      <c r="CC52" s="69">
        <f t="shared" si="10"/>
        <v>25.600000000000005</v>
      </c>
      <c r="CD52" s="69">
        <f t="shared" si="11"/>
        <v>25.6</v>
      </c>
    </row>
    <row r="53" spans="1:82" ht="15.75" customHeight="1" thickBot="1" x14ac:dyDescent="0.3">
      <c r="A53" s="6">
        <v>52</v>
      </c>
      <c r="B53" s="7" t="s">
        <v>51</v>
      </c>
      <c r="C53" s="7" t="s">
        <v>52</v>
      </c>
      <c r="D53" s="7" t="s">
        <v>53</v>
      </c>
      <c r="E53" s="50">
        <v>16.908082227852798</v>
      </c>
      <c r="F53" s="50">
        <v>289.25572586068802</v>
      </c>
      <c r="G53" s="50">
        <v>307.53696313738999</v>
      </c>
      <c r="H53" s="50">
        <v>237.9588</v>
      </c>
      <c r="I53" s="8">
        <v>7.8</v>
      </c>
      <c r="J53" s="50">
        <v>5.6444114511772998</v>
      </c>
      <c r="K53" s="248">
        <f>IFERROR(VLOOKUP(C53,Schedule!$T$3:$U$34,2,0),"FA")</f>
        <v>11</v>
      </c>
      <c r="L53" s="7" t="str">
        <f>D53&amp;COUNTIF(D$2:$D53,D53)</f>
        <v>QB6</v>
      </c>
      <c r="M53" s="50">
        <f t="array" ref="M53">IFERROR(F53-AVERAGE(VLOOKUP(D53,$D54:$F$885,3,0),INDEX($F54:$F$885,SMALL(IF(D53=$D54:$D$885,ROW($D54:$D$885)-ROW(D53)),2))),0)</f>
        <v>10.405017735511024</v>
      </c>
      <c r="N53" s="50">
        <f>IFERROR(IF(VLOOKUP($B53,Input!$AC$2:$AC$162,1,0)=$B53,0),F53)</f>
        <v>289.25572586068802</v>
      </c>
      <c r="O53" s="50">
        <f>IFERROR(IF(VLOOKUP($B53,Input!$AC$2:$AC$162,1,0)=$B53,0,G53),G53)</f>
        <v>307.53696313738999</v>
      </c>
      <c r="P53" s="50">
        <f>IF(N53=0,0,F53-AVERAGE(INDEX(F:F,MATCH(VLOOKUP(D53,Input!$A$14:$L$22,10,0),L:L,0)),INDEX(F:F,MATCH(VLOOKUP(D53,Input!$A$14:$L$22,11,0),L:L,0)),INDEX(F:F,MATCH(VLOOKUP(D53,Input!$A$14:$L$22,12,0),L:L,0)))+(0.01-ROW()*0.01))</f>
        <v>16.38808222785239</v>
      </c>
      <c r="Q53" s="106">
        <f t="shared" si="0"/>
        <v>5.6537726839765226E-3</v>
      </c>
      <c r="R53" s="8">
        <f>IF(VLOOKUP($D53,$X$14:$Y$19,2,0)&lt;=0,1,IF(Q53&lt;0,1,ROUNDUP(IF(Q53*('Draft Center'!$L$28+'Draft Center'!$L$78-'Draft Center'!$L$82)&lt;1,1,Q53*('Draft Center'!$L$28+'Draft Center'!$L$78-'Draft Center'!$L$82)),0)))</f>
        <v>11</v>
      </c>
      <c r="S53" s="8">
        <f>IF(A53&lt;Input!$B$10+0.1,IF(ROUNDUP(R53*Input!$C$10,0)=0,1,ROUNDUP(R53*Input!$C$10,0)),IF(A53&gt;Input!$B$11,IF(ROUNDUP(R53*Input!$C$11,0)=0,1,ROUNDUP(R53*Input!$C$11,0)),IF(ROUNDUP(R53,0)=0,1,ROUNDUP(R53,0))))</f>
        <v>11</v>
      </c>
      <c r="T53" s="8">
        <f t="shared" si="1"/>
        <v>11</v>
      </c>
      <c r="U53" s="8">
        <f>IFERROR(VLOOKUP($B53,Input!$AC$2:$AE$161,3,0),0)</f>
        <v>0</v>
      </c>
      <c r="V53" s="256">
        <f t="shared" si="8"/>
        <v>0.41078641025641027</v>
      </c>
      <c r="W53" s="263">
        <f t="shared" si="9"/>
        <v>3.2005300000000001</v>
      </c>
      <c r="Z53" s="23"/>
      <c r="AA53" s="23">
        <v>1</v>
      </c>
      <c r="AB53" s="23">
        <f t="shared" si="34"/>
        <v>1</v>
      </c>
      <c r="AC53" s="23" t="str">
        <f t="shared" si="34"/>
        <v/>
      </c>
      <c r="AD53" s="23" t="str">
        <f t="shared" si="34"/>
        <v/>
      </c>
      <c r="AE53" s="23" t="str">
        <f t="shared" si="34"/>
        <v/>
      </c>
      <c r="AF53" s="23" t="str">
        <f t="shared" si="34"/>
        <v/>
      </c>
      <c r="AG53" s="23" t="str">
        <f t="shared" si="34"/>
        <v/>
      </c>
      <c r="AH53" s="23">
        <f t="shared" si="3"/>
        <v>1</v>
      </c>
      <c r="AI53" s="23" t="str">
        <f t="shared" si="4"/>
        <v>Andrew Luck</v>
      </c>
      <c r="AJ53" s="70">
        <v>11</v>
      </c>
      <c r="AK53" s="225">
        <v>2327.0337</v>
      </c>
      <c r="AL53" s="33">
        <v>11</v>
      </c>
      <c r="AM53" s="204">
        <v>2327.0337</v>
      </c>
      <c r="AN53" s="196"/>
      <c r="AO53" s="23"/>
      <c r="AP53" s="23"/>
      <c r="AQ53" s="23"/>
      <c r="AR53" s="23"/>
      <c r="AS53" s="23"/>
      <c r="AT53" s="23"/>
      <c r="AU53" s="23"/>
      <c r="AV53" s="23"/>
      <c r="AW53" s="23"/>
      <c r="AX53" s="23"/>
      <c r="AY53" s="23"/>
      <c r="AZ53" s="196"/>
      <c r="BA53" s="70">
        <f>IF(VLOOKUP($D53,$AO$14:AQ$19,COLUMN()-50,0)&lt;=0,1,IF($Q53&lt;0,1,ROUNDUP(IF($Q53*('Draft Center'!$L$28+'Draft Center'!$L$78-'Draft Center'!$L$82)&lt;1,1,$Q53*('Draft Center'!$L$28+'Draft Center'!$L$78-'Draft Center'!$L$82)),0)))</f>
        <v>11</v>
      </c>
      <c r="BB53" s="70">
        <f>IF(VLOOKUP($D53,$AO$14:AR$19,COLUMN()-50,0)&lt;=0,1,IF($Q53&lt;0,1,ROUNDUP(IF($Q53*('Draft Center'!$L$28+'Draft Center'!$L$78-'Draft Center'!$L$82)&lt;1,1,$Q53*('Draft Center'!$L$28+'Draft Center'!$L$78-'Draft Center'!$L$82)),0)))</f>
        <v>11</v>
      </c>
      <c r="BC53" s="70">
        <f>IF(VLOOKUP($D53,$AO$14:AS$19,COLUMN()-50,0)&lt;=0,1,IF($Q53&lt;0,1,ROUNDUP(IF($Q53*('Draft Center'!$L$28+'Draft Center'!$L$78-'Draft Center'!$L$82)&lt;1,1,$Q53*('Draft Center'!$L$28+'Draft Center'!$L$78-'Draft Center'!$L$82)),0)))</f>
        <v>11</v>
      </c>
      <c r="BD53" s="70">
        <f>IF(VLOOKUP($D53,$AO$14:AT$19,COLUMN()-50,0)&lt;=0,1,IF($Q53&lt;0,1,ROUNDUP(IF($Q53*('Draft Center'!$L$28+'Draft Center'!$L$78-'Draft Center'!$L$82)&lt;1,1,$Q53*('Draft Center'!$L$28+'Draft Center'!$L$78-'Draft Center'!$L$82)),0)))</f>
        <v>11</v>
      </c>
      <c r="BE53" s="70">
        <f>IF(VLOOKUP($D53,$AO$14:AU$19,COLUMN()-50,0)&lt;=0,1,IF($Q53&lt;0,1,ROUNDUP(IF($Q53*('Draft Center'!$L$28+'Draft Center'!$L$78-'Draft Center'!$L$82)&lt;1,1,$Q53*('Draft Center'!$L$28+'Draft Center'!$L$78-'Draft Center'!$L$82)),0)))</f>
        <v>11</v>
      </c>
      <c r="BF53" s="70">
        <f>IF(VLOOKUP($D53,$AO$14:AV$19,COLUMN()-50,0)&lt;=0,1,IF($Q53&lt;0,1,ROUNDUP(IF($Q53*('Draft Center'!$L$28+'Draft Center'!$L$78-'Draft Center'!$L$82)&lt;1,1,$Q53*('Draft Center'!$L$28+'Draft Center'!$L$78-'Draft Center'!$L$82)),0)))</f>
        <v>11</v>
      </c>
      <c r="BG53" s="70">
        <f>IF(VLOOKUP($D53,$AO$14:AW$19,COLUMN()-50,0)&lt;=0,1,IF($Q53&lt;0,1,ROUNDUP(IF($Q53*('Draft Center'!$L$28+'Draft Center'!$L$78-'Draft Center'!$L$82)&lt;1,1,$Q53*('Draft Center'!$L$28+'Draft Center'!$L$78-'Draft Center'!$L$82)),0)))</f>
        <v>11</v>
      </c>
      <c r="BH53" s="70">
        <f>IF(VLOOKUP($D53,$AO$14:AX$19,COLUMN()-50,0)&lt;=0,1,IF($Q53&lt;0,1,ROUNDUP(IF($Q53*('Draft Center'!$L$28+'Draft Center'!$L$78-'Draft Center'!$L$82)&lt;1,1,$Q53*('Draft Center'!$L$28+'Draft Center'!$L$78-'Draft Center'!$L$82)),0)))</f>
        <v>11</v>
      </c>
      <c r="BI53" s="70">
        <f>IF(VLOOKUP($D53,$AO$14:AY$19,COLUMN()-50,0)&lt;=0,1,IF($Q53&lt;0,1,ROUNDUP(IF($Q53*('Draft Center'!$L$28+'Draft Center'!$L$78-'Draft Center'!$L$82)&lt;1,1,$Q53*('Draft Center'!$L$28+'Draft Center'!$L$78-'Draft Center'!$L$82)),0)))</f>
        <v>11</v>
      </c>
      <c r="BJ53" s="196"/>
      <c r="BK53" s="23">
        <v>0</v>
      </c>
      <c r="BL53" s="23">
        <f t="shared" si="35"/>
        <v>0</v>
      </c>
      <c r="BM53" s="23">
        <v>0</v>
      </c>
      <c r="BN53" s="23" t="str">
        <f t="shared" si="35"/>
        <v/>
      </c>
      <c r="BO53" s="23" t="str">
        <f t="shared" si="35"/>
        <v/>
      </c>
      <c r="BP53" s="23" t="str">
        <f t="shared" si="35"/>
        <v/>
      </c>
      <c r="BQ53" s="23" t="str">
        <f t="shared" si="35"/>
        <v/>
      </c>
      <c r="BR53" s="23">
        <f t="shared" si="6"/>
        <v>0</v>
      </c>
      <c r="BS53" s="23">
        <f t="shared" si="7"/>
        <v>0</v>
      </c>
      <c r="BT53" s="70">
        <v>11</v>
      </c>
      <c r="BU53" s="58">
        <v>2327.0337</v>
      </c>
      <c r="BV53" s="33">
        <v>11</v>
      </c>
      <c r="BW53" s="204">
        <v>2327.0337</v>
      </c>
      <c r="BX53" s="23"/>
      <c r="BY53" s="70">
        <v>11</v>
      </c>
      <c r="BZ53" s="70">
        <v>7.8</v>
      </c>
      <c r="CA53" s="70">
        <v>7.8</v>
      </c>
      <c r="CB53" s="70">
        <v>7.8</v>
      </c>
      <c r="CC53" s="70">
        <f t="shared" si="10"/>
        <v>7.8</v>
      </c>
      <c r="CD53" s="70">
        <f t="shared" si="11"/>
        <v>7.8</v>
      </c>
    </row>
    <row r="54" spans="1:82" ht="15.75" customHeight="1" thickBot="1" x14ac:dyDescent="0.3">
      <c r="A54" s="9">
        <v>53</v>
      </c>
      <c r="B54" s="10" t="s">
        <v>220</v>
      </c>
      <c r="C54" s="10" t="s">
        <v>42</v>
      </c>
      <c r="D54" s="10" t="s">
        <v>135</v>
      </c>
      <c r="E54" s="51">
        <v>15.900353420933399</v>
      </c>
      <c r="F54" s="51">
        <v>124.63191209787</v>
      </c>
      <c r="G54" s="51">
        <v>117.25238372093</v>
      </c>
      <c r="H54" s="51">
        <v>95.1</v>
      </c>
      <c r="I54" s="11">
        <v>1.3</v>
      </c>
      <c r="J54" s="51">
        <v>1.6166764402390501</v>
      </c>
      <c r="K54" s="249">
        <f>IFERROR(VLOOKUP(C54,Schedule!$T$3:$U$34,2,0),"FA")</f>
        <v>9</v>
      </c>
      <c r="L54" s="10" t="str">
        <f>D54&amp;COUNTIF(D$2:$D54,D54)</f>
        <v>DST4</v>
      </c>
      <c r="M54" s="51">
        <f t="array" ref="M54">IFERROR(F54-AVERAGE(VLOOKUP(D54,$D55:$F$885,3,0),INDEX($F55:$F$885,SMALL(IF(D54=$D55:$D$885,ROW($D55:$D$885)-ROW(D54)),2))),0)</f>
        <v>4.5245854100584921</v>
      </c>
      <c r="N54" s="51">
        <f>IFERROR(IF(VLOOKUP($B54,Input!$AC$2:$AC$162,1,0)=$B54,0),F54)</f>
        <v>124.63191209787</v>
      </c>
      <c r="O54" s="51">
        <f>IFERROR(IF(VLOOKUP($B54,Input!$AC$2:$AC$162,1,0)=$B54,0,G54),G54)</f>
        <v>117.25238372093</v>
      </c>
      <c r="P54" s="51">
        <f>IF(N54=0,0,F54-AVERAGE(INDEX(F:F,MATCH(VLOOKUP(D54,Input!$A$14:$L$22,10,0),L:L,0)),INDEX(F:F,MATCH(VLOOKUP(D54,Input!$A$14:$L$22,11,0),L:L,0)),INDEX(F:F,MATCH(VLOOKUP(D54,Input!$A$14:$L$22,12,0),L:L,0)))+(0.01-ROW()*0.01))</f>
        <v>16.413525147257985</v>
      </c>
      <c r="Q54" s="107">
        <f t="shared" si="0"/>
        <v>5.6625503115680844E-3</v>
      </c>
      <c r="R54" s="11">
        <f>IF(VLOOKUP($D54,$X$14:$Y$19,2,0)&lt;=0,1,IF(Q54&lt;0,1,ROUNDUP(IF(Q54*('Draft Center'!$L$28+'Draft Center'!$L$78-'Draft Center'!$L$82)&lt;1,1,Q54*('Draft Center'!$L$28+'Draft Center'!$L$78-'Draft Center'!$L$82)),0)))</f>
        <v>11</v>
      </c>
      <c r="S54" s="11">
        <f>IF(A54&lt;Input!$B$10+0.1,IF(ROUNDUP(R54*Input!$C$10,0)=0,1,ROUNDUP(R54*Input!$C$10,0)),IF(A54&gt;Input!$B$11,IF(ROUNDUP(R54*Input!$C$11,0)=0,1,ROUNDUP(R54*Input!$C$11,0)),IF(ROUNDUP(R54,0)=0,1,ROUNDUP(R54,0))))</f>
        <v>11</v>
      </c>
      <c r="T54" s="11">
        <f t="shared" si="1"/>
        <v>11</v>
      </c>
      <c r="U54" s="11">
        <f>IFERROR(VLOOKUP($B54,Input!$AC$2:$AE$161,3,0),0)</f>
        <v>0</v>
      </c>
      <c r="V54" s="257">
        <f t="shared" si="8"/>
        <v>7.4620784615384608</v>
      </c>
      <c r="W54" s="264">
        <f t="shared" si="9"/>
        <v>9.7005400000000002</v>
      </c>
      <c r="X54" s="27"/>
      <c r="Y54" s="23"/>
      <c r="Z54" s="23"/>
      <c r="AA54" s="23">
        <v>1</v>
      </c>
      <c r="AB54" s="23" t="str">
        <f t="shared" si="34"/>
        <v/>
      </c>
      <c r="AC54" s="23" t="str">
        <f t="shared" si="34"/>
        <v/>
      </c>
      <c r="AD54" s="23" t="str">
        <f t="shared" si="34"/>
        <v/>
      </c>
      <c r="AE54" s="23" t="str">
        <f t="shared" si="34"/>
        <v/>
      </c>
      <c r="AF54" s="23">
        <f t="shared" si="34"/>
        <v>1</v>
      </c>
      <c r="AG54" s="23" t="str">
        <f t="shared" si="34"/>
        <v/>
      </c>
      <c r="AH54" s="23">
        <f t="shared" si="3"/>
        <v>1</v>
      </c>
      <c r="AI54" s="23" t="str">
        <f t="shared" si="4"/>
        <v>Patriots</v>
      </c>
      <c r="AJ54" s="69">
        <v>11</v>
      </c>
      <c r="AK54" s="225">
        <v>2327.0337</v>
      </c>
      <c r="AL54" s="33">
        <v>11</v>
      </c>
      <c r="AM54" s="204">
        <v>2327.0337</v>
      </c>
      <c r="AN54" s="196"/>
      <c r="AO54" s="23"/>
      <c r="AP54" s="23"/>
      <c r="AQ54" s="23"/>
      <c r="AR54" s="23"/>
      <c r="AS54" s="23"/>
      <c r="AT54" s="23"/>
      <c r="AU54" s="23"/>
      <c r="AV54" s="23"/>
      <c r="AW54" s="23"/>
      <c r="AX54" s="23"/>
      <c r="AY54" s="23"/>
      <c r="AZ54" s="196"/>
      <c r="BA54" s="69">
        <f>IF(VLOOKUP($D54,$AO$14:AQ$19,COLUMN()-50,0)&lt;=0,1,IF($Q54&lt;0,1,ROUNDUP(IF($Q54*('Draft Center'!$L$28+'Draft Center'!$L$78-'Draft Center'!$L$82)&lt;1,1,$Q54*('Draft Center'!$L$28+'Draft Center'!$L$78-'Draft Center'!$L$82)),0)))</f>
        <v>11</v>
      </c>
      <c r="BB54" s="69">
        <f>IF(VLOOKUP($D54,$AO$14:AR$19,COLUMN()-50,0)&lt;=0,1,IF($Q54&lt;0,1,ROUNDUP(IF($Q54*('Draft Center'!$L$28+'Draft Center'!$L$78-'Draft Center'!$L$82)&lt;1,1,$Q54*('Draft Center'!$L$28+'Draft Center'!$L$78-'Draft Center'!$L$82)),0)))</f>
        <v>11</v>
      </c>
      <c r="BC54" s="69">
        <f>IF(VLOOKUP($D54,$AO$14:AS$19,COLUMN()-50,0)&lt;=0,1,IF($Q54&lt;0,1,ROUNDUP(IF($Q54*('Draft Center'!$L$28+'Draft Center'!$L$78-'Draft Center'!$L$82)&lt;1,1,$Q54*('Draft Center'!$L$28+'Draft Center'!$L$78-'Draft Center'!$L$82)),0)))</f>
        <v>11</v>
      </c>
      <c r="BD54" s="69">
        <f>IF(VLOOKUP($D54,$AO$14:AT$19,COLUMN()-50,0)&lt;=0,1,IF($Q54&lt;0,1,ROUNDUP(IF($Q54*('Draft Center'!$L$28+'Draft Center'!$L$78-'Draft Center'!$L$82)&lt;1,1,$Q54*('Draft Center'!$L$28+'Draft Center'!$L$78-'Draft Center'!$L$82)),0)))</f>
        <v>11</v>
      </c>
      <c r="BE54" s="69">
        <f>IF(VLOOKUP($D54,$AO$14:AU$19,COLUMN()-50,0)&lt;=0,1,IF($Q54&lt;0,1,ROUNDUP(IF($Q54*('Draft Center'!$L$28+'Draft Center'!$L$78-'Draft Center'!$L$82)&lt;1,1,$Q54*('Draft Center'!$L$28+'Draft Center'!$L$78-'Draft Center'!$L$82)),0)))</f>
        <v>11</v>
      </c>
      <c r="BF54" s="69">
        <f>IF(VLOOKUP($D54,$AO$14:AV$19,COLUMN()-50,0)&lt;=0,1,IF($Q54&lt;0,1,ROUNDUP(IF($Q54*('Draft Center'!$L$28+'Draft Center'!$L$78-'Draft Center'!$L$82)&lt;1,1,$Q54*('Draft Center'!$L$28+'Draft Center'!$L$78-'Draft Center'!$L$82)),0)))</f>
        <v>11</v>
      </c>
      <c r="BG54" s="69">
        <f>IF(VLOOKUP($D54,$AO$14:AW$19,COLUMN()-50,0)&lt;=0,1,IF($Q54&lt;0,1,ROUNDUP(IF($Q54*('Draft Center'!$L$28+'Draft Center'!$L$78-'Draft Center'!$L$82)&lt;1,1,$Q54*('Draft Center'!$L$28+'Draft Center'!$L$78-'Draft Center'!$L$82)),0)))</f>
        <v>11</v>
      </c>
      <c r="BH54" s="69">
        <f>IF(VLOOKUP($D54,$AO$14:AX$19,COLUMN()-50,0)&lt;=0,1,IF($Q54&lt;0,1,ROUNDUP(IF($Q54*('Draft Center'!$L$28+'Draft Center'!$L$78-'Draft Center'!$L$82)&lt;1,1,$Q54*('Draft Center'!$L$28+'Draft Center'!$L$78-'Draft Center'!$L$82)),0)))</f>
        <v>11</v>
      </c>
      <c r="BI54" s="69">
        <f>IF(VLOOKUP($D54,$AO$14:AY$19,COLUMN()-50,0)&lt;=0,1,IF($Q54&lt;0,1,ROUNDUP(IF($Q54*('Draft Center'!$L$28+'Draft Center'!$L$78-'Draft Center'!$L$82)&lt;1,1,$Q54*('Draft Center'!$L$28+'Draft Center'!$L$78-'Draft Center'!$L$82)),0)))</f>
        <v>11</v>
      </c>
      <c r="BJ54" s="196"/>
      <c r="BK54" s="23">
        <v>0</v>
      </c>
      <c r="BL54" s="23" t="str">
        <f t="shared" si="35"/>
        <v/>
      </c>
      <c r="BM54" s="23">
        <v>0</v>
      </c>
      <c r="BN54" s="23" t="str">
        <f t="shared" si="35"/>
        <v/>
      </c>
      <c r="BO54" s="23" t="str">
        <f t="shared" si="35"/>
        <v/>
      </c>
      <c r="BP54" s="23">
        <f t="shared" si="35"/>
        <v>0</v>
      </c>
      <c r="BQ54" s="23" t="str">
        <f t="shared" si="35"/>
        <v/>
      </c>
      <c r="BR54" s="23">
        <f t="shared" si="6"/>
        <v>0</v>
      </c>
      <c r="BS54" s="23">
        <f t="shared" si="7"/>
        <v>0</v>
      </c>
      <c r="BT54" s="69">
        <v>11</v>
      </c>
      <c r="BU54" s="58">
        <v>2327.0337</v>
      </c>
      <c r="BV54" s="33">
        <v>11</v>
      </c>
      <c r="BW54" s="204">
        <v>2327.0337</v>
      </c>
      <c r="BX54" s="23"/>
      <c r="BY54" s="69">
        <v>11</v>
      </c>
      <c r="BZ54" s="69">
        <v>1.3</v>
      </c>
      <c r="CA54" s="69">
        <v>1.3</v>
      </c>
      <c r="CB54" s="69">
        <v>1.3</v>
      </c>
      <c r="CC54" s="69">
        <f t="shared" si="10"/>
        <v>1.3</v>
      </c>
      <c r="CD54" s="69">
        <f t="shared" si="11"/>
        <v>1.3</v>
      </c>
    </row>
    <row r="55" spans="1:82" ht="15.75" customHeight="1" thickBot="1" x14ac:dyDescent="0.3">
      <c r="A55" s="6">
        <v>54</v>
      </c>
      <c r="B55" s="7" t="s">
        <v>928</v>
      </c>
      <c r="C55" s="7" t="s">
        <v>85</v>
      </c>
      <c r="D55" s="7" t="s">
        <v>19</v>
      </c>
      <c r="E55" s="50">
        <v>15.714774976289601</v>
      </c>
      <c r="F55" s="50">
        <v>184.81717300224099</v>
      </c>
      <c r="G55" s="50">
        <v>208.360951944444</v>
      </c>
      <c r="H55" s="50">
        <v>102.35806270096499</v>
      </c>
      <c r="I55" s="8">
        <v>22.3</v>
      </c>
      <c r="J55" s="50">
        <v>5.8547874869043603</v>
      </c>
      <c r="K55" s="248">
        <f>IFERROR(VLOOKUP(C55,Schedule!$T$3:$U$34,2,0),"FA")</f>
        <v>11</v>
      </c>
      <c r="L55" s="7" t="str">
        <f>D55&amp;COUNTIF(D$2:$D55,D55)</f>
        <v>RB18</v>
      </c>
      <c r="M55" s="50">
        <f t="array" ref="M55">IFERROR(F55-AVERAGE(VLOOKUP(D55,$D56:$F$885,3,0),INDEX($F56:$F$885,SMALL(IF(D55=$D56:$D$885,ROW($D56:$D$885)-ROW(D55)),2))),0)</f>
        <v>6.4851449921414712</v>
      </c>
      <c r="N55" s="50">
        <f>IFERROR(IF(VLOOKUP($B55,Input!$AC$2:$AC$162,1,0)=$B55,0),F55)</f>
        <v>184.81717300224099</v>
      </c>
      <c r="O55" s="50">
        <f>IFERROR(IF(VLOOKUP($B55,Input!$AC$2:$AC$162,1,0)=$B55,0,G55),G55)</f>
        <v>208.360951944444</v>
      </c>
      <c r="P55" s="50">
        <f>IF(N55=0,0,F55-AVERAGE(INDEX(F:F,MATCH(VLOOKUP(D55,Input!$A$14:$L$22,10,0),L:L,0)),INDEX(F:F,MATCH(VLOOKUP(D55,Input!$A$14:$L$22,11,0),L:L,0)),INDEX(F:F,MATCH(VLOOKUP(D55,Input!$A$14:$L$22,12,0),L:L,0)))+(0.01-ROW()*0.01))</f>
        <v>15.174774976288994</v>
      </c>
      <c r="Q55" s="106">
        <f t="shared" si="0"/>
        <v>5.2351902470089296E-3</v>
      </c>
      <c r="R55" s="8">
        <f>IF(VLOOKUP($D55,$X$14:$Y$19,2,0)&lt;=0,1,IF(Q55&lt;0,1,ROUNDUP(IF(Q55*('Draft Center'!$L$28+'Draft Center'!$L$78-'Draft Center'!$L$82)&lt;1,1,Q55*('Draft Center'!$L$28+'Draft Center'!$L$78-'Draft Center'!$L$82)),0)))</f>
        <v>11</v>
      </c>
      <c r="S55" s="8">
        <f>IF(A55&lt;Input!$B$10+0.1,IF(ROUNDUP(R55*Input!$C$10,0)=0,1,ROUNDUP(R55*Input!$C$10,0)),IF(A55&gt;Input!$B$11,IF(ROUNDUP(R55*Input!$C$11,0)=0,1,ROUNDUP(R55*Input!$C$11,0)),IF(ROUNDUP(R55,0)=0,1,ROUNDUP(R55,0))))</f>
        <v>11</v>
      </c>
      <c r="T55" s="8">
        <f t="shared" si="1"/>
        <v>11</v>
      </c>
      <c r="U55" s="8">
        <f>IFERROR(VLOOKUP($B55,Input!$AC$2:$AE$161,3,0),0)</f>
        <v>0</v>
      </c>
      <c r="V55" s="256">
        <f t="shared" si="8"/>
        <v>-0.50617645739910311</v>
      </c>
      <c r="W55" s="263">
        <f t="shared" si="9"/>
        <v>-11.29945</v>
      </c>
      <c r="X55" s="27"/>
      <c r="Y55" s="23"/>
      <c r="Z55" s="23"/>
      <c r="AA55" s="23">
        <v>0</v>
      </c>
      <c r="AB55" s="23" t="str">
        <f t="shared" si="34"/>
        <v/>
      </c>
      <c r="AC55" s="23">
        <f t="shared" si="34"/>
        <v>0</v>
      </c>
      <c r="AD55" s="23" t="str">
        <f t="shared" si="34"/>
        <v/>
      </c>
      <c r="AE55" s="23" t="str">
        <f t="shared" si="34"/>
        <v/>
      </c>
      <c r="AF55" s="23" t="str">
        <f t="shared" si="34"/>
        <v/>
      </c>
      <c r="AG55" s="23" t="str">
        <f t="shared" si="34"/>
        <v/>
      </c>
      <c r="AH55" s="23">
        <f t="shared" si="3"/>
        <v>0</v>
      </c>
      <c r="AI55" s="23">
        <f t="shared" si="4"/>
        <v>0</v>
      </c>
      <c r="AJ55" s="70">
        <v>11</v>
      </c>
      <c r="AK55" s="225">
        <v>2327.0337</v>
      </c>
      <c r="AL55" s="33">
        <v>11</v>
      </c>
      <c r="AM55" s="204">
        <v>2327.0337</v>
      </c>
      <c r="AN55" s="196"/>
      <c r="AO55" s="23"/>
      <c r="AP55" s="23"/>
      <c r="AQ55" s="23"/>
      <c r="AR55" s="23"/>
      <c r="AS55" s="23"/>
      <c r="AT55" s="23"/>
      <c r="AU55" s="23"/>
      <c r="AV55" s="23"/>
      <c r="AW55" s="23"/>
      <c r="AX55" s="23"/>
      <c r="AY55" s="23"/>
      <c r="AZ55" s="196"/>
      <c r="BA55" s="70">
        <f>IF(VLOOKUP($D55,$AO$14:AQ$19,COLUMN()-50,0)&lt;=0,1,IF($Q55&lt;0,1,ROUNDUP(IF($Q55*('Draft Center'!$L$28+'Draft Center'!$L$78-'Draft Center'!$L$82)&lt;1,1,$Q55*('Draft Center'!$L$28+'Draft Center'!$L$78-'Draft Center'!$L$82)),0)))</f>
        <v>11</v>
      </c>
      <c r="BB55" s="70">
        <f>IF(VLOOKUP($D55,$AO$14:AR$19,COLUMN()-50,0)&lt;=0,1,IF($Q55&lt;0,1,ROUNDUP(IF($Q55*('Draft Center'!$L$28+'Draft Center'!$L$78-'Draft Center'!$L$82)&lt;1,1,$Q55*('Draft Center'!$L$28+'Draft Center'!$L$78-'Draft Center'!$L$82)),0)))</f>
        <v>11</v>
      </c>
      <c r="BC55" s="70">
        <f>IF(VLOOKUP($D55,$AO$14:AS$19,COLUMN()-50,0)&lt;=0,1,IF($Q55&lt;0,1,ROUNDUP(IF($Q55*('Draft Center'!$L$28+'Draft Center'!$L$78-'Draft Center'!$L$82)&lt;1,1,$Q55*('Draft Center'!$L$28+'Draft Center'!$L$78-'Draft Center'!$L$82)),0)))</f>
        <v>11</v>
      </c>
      <c r="BD55" s="70">
        <f>IF(VLOOKUP($D55,$AO$14:AT$19,COLUMN()-50,0)&lt;=0,1,IF($Q55&lt;0,1,ROUNDUP(IF($Q55*('Draft Center'!$L$28+'Draft Center'!$L$78-'Draft Center'!$L$82)&lt;1,1,$Q55*('Draft Center'!$L$28+'Draft Center'!$L$78-'Draft Center'!$L$82)),0)))</f>
        <v>11</v>
      </c>
      <c r="BE55" s="70">
        <f>IF(VLOOKUP($D55,$AO$14:AU$19,COLUMN()-50,0)&lt;=0,1,IF($Q55&lt;0,1,ROUNDUP(IF($Q55*('Draft Center'!$L$28+'Draft Center'!$L$78-'Draft Center'!$L$82)&lt;1,1,$Q55*('Draft Center'!$L$28+'Draft Center'!$L$78-'Draft Center'!$L$82)),0)))</f>
        <v>11</v>
      </c>
      <c r="BF55" s="70">
        <f>IF(VLOOKUP($D55,$AO$14:AV$19,COLUMN()-50,0)&lt;=0,1,IF($Q55&lt;0,1,ROUNDUP(IF($Q55*('Draft Center'!$L$28+'Draft Center'!$L$78-'Draft Center'!$L$82)&lt;1,1,$Q55*('Draft Center'!$L$28+'Draft Center'!$L$78-'Draft Center'!$L$82)),0)))</f>
        <v>11</v>
      </c>
      <c r="BG55" s="70">
        <f>IF(VLOOKUP($D55,$AO$14:AW$19,COLUMN()-50,0)&lt;=0,1,IF($Q55&lt;0,1,ROUNDUP(IF($Q55*('Draft Center'!$L$28+'Draft Center'!$L$78-'Draft Center'!$L$82)&lt;1,1,$Q55*('Draft Center'!$L$28+'Draft Center'!$L$78-'Draft Center'!$L$82)),0)))</f>
        <v>11</v>
      </c>
      <c r="BH55" s="70">
        <f>IF(VLOOKUP($D55,$AO$14:AX$19,COLUMN()-50,0)&lt;=0,1,IF($Q55&lt;0,1,ROUNDUP(IF($Q55*('Draft Center'!$L$28+'Draft Center'!$L$78-'Draft Center'!$L$82)&lt;1,1,$Q55*('Draft Center'!$L$28+'Draft Center'!$L$78-'Draft Center'!$L$82)),0)))</f>
        <v>11</v>
      </c>
      <c r="BI55" s="70">
        <f>IF(VLOOKUP($D55,$AO$14:AY$19,COLUMN()-50,0)&lt;=0,1,IF($Q55&lt;0,1,ROUNDUP(IF($Q55*('Draft Center'!$L$28+'Draft Center'!$L$78-'Draft Center'!$L$82)&lt;1,1,$Q55*('Draft Center'!$L$28+'Draft Center'!$L$78-'Draft Center'!$L$82)),0)))</f>
        <v>11</v>
      </c>
      <c r="BJ55" s="196"/>
      <c r="BK55" s="23">
        <v>0</v>
      </c>
      <c r="BL55" s="23" t="str">
        <f t="shared" si="35"/>
        <v/>
      </c>
      <c r="BM55" s="23">
        <v>0</v>
      </c>
      <c r="BN55" s="23" t="str">
        <f t="shared" si="35"/>
        <v/>
      </c>
      <c r="BO55" s="23" t="str">
        <f t="shared" si="35"/>
        <v/>
      </c>
      <c r="BP55" s="23" t="str">
        <f t="shared" si="35"/>
        <v/>
      </c>
      <c r="BQ55" s="23" t="str">
        <f t="shared" si="35"/>
        <v/>
      </c>
      <c r="BR55" s="23">
        <f t="shared" si="6"/>
        <v>0</v>
      </c>
      <c r="BS55" s="23">
        <f t="shared" si="7"/>
        <v>0</v>
      </c>
      <c r="BT55" s="70">
        <v>11</v>
      </c>
      <c r="BU55" s="58">
        <v>2327.0337</v>
      </c>
      <c r="BV55" s="33">
        <v>11</v>
      </c>
      <c r="BW55" s="204">
        <v>2327.0337</v>
      </c>
      <c r="BX55" s="23"/>
      <c r="BY55" s="70">
        <v>11</v>
      </c>
      <c r="BZ55" s="70">
        <v>22.3</v>
      </c>
      <c r="CA55" s="70">
        <v>22.3</v>
      </c>
      <c r="CB55" s="70">
        <v>22.3</v>
      </c>
      <c r="CC55" s="70">
        <f t="shared" si="10"/>
        <v>22.3</v>
      </c>
      <c r="CD55" s="70">
        <f t="shared" si="11"/>
        <v>22.3</v>
      </c>
    </row>
    <row r="56" spans="1:82" ht="15.75" customHeight="1" thickBot="1" x14ac:dyDescent="0.3">
      <c r="A56" s="9">
        <v>55</v>
      </c>
      <c r="B56" s="10" t="s">
        <v>168</v>
      </c>
      <c r="C56" s="10" t="s">
        <v>75</v>
      </c>
      <c r="D56" s="10" t="s">
        <v>17</v>
      </c>
      <c r="E56" s="51">
        <v>15.3388392057073</v>
      </c>
      <c r="F56" s="51">
        <v>228.11675547505601</v>
      </c>
      <c r="G56" s="51">
        <v>232.998388847737</v>
      </c>
      <c r="H56" s="51">
        <v>201.498622186495</v>
      </c>
      <c r="I56" s="11">
        <v>15.7</v>
      </c>
      <c r="J56" s="51">
        <v>3.3740804823136998</v>
      </c>
      <c r="K56" s="249">
        <f>IFERROR(VLOOKUP(C56,Schedule!$T$3:$U$34,2,0),"FA")</f>
        <v>10</v>
      </c>
      <c r="L56" s="10" t="str">
        <f>D56&amp;COUNTIF(D$2:$D56,D56)</f>
        <v>WR16</v>
      </c>
      <c r="M56" s="51">
        <f t="array" ref="M56">IFERROR(F56-AVERAGE(VLOOKUP(D56,$D57:$F$885,3,0),INDEX($F57:$F$885,SMALL(IF(D56=$D57:$D$885,ROW($D57:$D$885)-ROW(D56)),2))),0)</f>
        <v>1.839724568061996</v>
      </c>
      <c r="N56" s="51">
        <f>IFERROR(IF(VLOOKUP($B56,Input!$AC$2:$AC$162,1,0)=$B56,0),F56)</f>
        <v>228.11675547505601</v>
      </c>
      <c r="O56" s="51">
        <f>IFERROR(IF(VLOOKUP($B56,Input!$AC$2:$AC$162,1,0)=$B56,0,G56),G56)</f>
        <v>232.998388847737</v>
      </c>
      <c r="P56" s="51">
        <f>IF(N56=0,0,F56-AVERAGE(INDEX(F:F,MATCH(VLOOKUP(D56,Input!$A$14:$L$22,10,0),L:L,0)),INDEX(F:F,MATCH(VLOOKUP(D56,Input!$A$14:$L$22,11,0),L:L,0)),INDEX(F:F,MATCH(VLOOKUP(D56,Input!$A$14:$L$22,12,0),L:L,0)))+(0.01-ROW()*0.01))</f>
        <v>14.788839205706989</v>
      </c>
      <c r="Q56" s="107">
        <f t="shared" si="0"/>
        <v>5.1020451305060621E-3</v>
      </c>
      <c r="R56" s="11">
        <f>IF(VLOOKUP($D56,$X$14:$Y$19,2,0)&lt;=0,1,IF(Q56&lt;0,1,ROUNDUP(IF(Q56*('Draft Center'!$L$28+'Draft Center'!$L$78-'Draft Center'!$L$82)&lt;1,1,Q56*('Draft Center'!$L$28+'Draft Center'!$L$78-'Draft Center'!$L$82)),0)))</f>
        <v>10</v>
      </c>
      <c r="S56" s="11">
        <f>IF(A56&lt;Input!$B$10+0.1,IF(ROUNDUP(R56*Input!$C$10,0)=0,1,ROUNDUP(R56*Input!$C$10,0)),IF(A56&gt;Input!$B$11,IF(ROUNDUP(R56*Input!$C$11,0)=0,1,ROUNDUP(R56*Input!$C$11,0)),IF(ROUNDUP(R56,0)=0,1,ROUNDUP(R56,0))))</f>
        <v>10</v>
      </c>
      <c r="T56" s="11">
        <f t="shared" si="1"/>
        <v>10</v>
      </c>
      <c r="U56" s="11">
        <f>IFERROR(VLOOKUP($B56,Input!$AC$2:$AE$161,3,0),0)</f>
        <v>0</v>
      </c>
      <c r="V56" s="257">
        <f t="shared" si="8"/>
        <v>-0.3624973248407643</v>
      </c>
      <c r="W56" s="264">
        <f t="shared" si="9"/>
        <v>-5.6994399999999992</v>
      </c>
      <c r="X56" s="27"/>
      <c r="Y56" s="23"/>
      <c r="Z56" s="23"/>
      <c r="AA56" s="23">
        <v>1</v>
      </c>
      <c r="AB56" s="23" t="str">
        <f t="shared" si="34"/>
        <v/>
      </c>
      <c r="AC56" s="23" t="str">
        <f t="shared" si="34"/>
        <v/>
      </c>
      <c r="AD56" s="23">
        <f t="shared" si="34"/>
        <v>1</v>
      </c>
      <c r="AE56" s="23" t="str">
        <f t="shared" si="34"/>
        <v/>
      </c>
      <c r="AF56" s="23" t="str">
        <f t="shared" si="34"/>
        <v/>
      </c>
      <c r="AG56" s="23" t="str">
        <f t="shared" si="34"/>
        <v/>
      </c>
      <c r="AH56" s="23">
        <f t="shared" si="3"/>
        <v>1</v>
      </c>
      <c r="AI56" s="23" t="str">
        <f t="shared" si="4"/>
        <v>Michael Crabtree</v>
      </c>
      <c r="AJ56" s="69">
        <v>10</v>
      </c>
      <c r="AK56" s="225">
        <v>2327.0337</v>
      </c>
      <c r="AL56" s="33">
        <v>10</v>
      </c>
      <c r="AM56" s="204">
        <v>2327.0337</v>
      </c>
      <c r="AN56" s="196"/>
      <c r="AO56" s="23"/>
      <c r="AP56" s="23"/>
      <c r="AQ56" s="23"/>
      <c r="AR56" s="23"/>
      <c r="AS56" s="23"/>
      <c r="AT56" s="23"/>
      <c r="AU56" s="23"/>
      <c r="AV56" s="23"/>
      <c r="AW56" s="23"/>
      <c r="AX56" s="23"/>
      <c r="AY56" s="23"/>
      <c r="AZ56" s="196"/>
      <c r="BA56" s="69">
        <f>IF(VLOOKUP($D56,$AO$14:AQ$19,COLUMN()-50,0)&lt;=0,1,IF($Q56&lt;0,1,ROUNDUP(IF($Q56*('Draft Center'!$L$28+'Draft Center'!$L$78-'Draft Center'!$L$82)&lt;1,1,$Q56*('Draft Center'!$L$28+'Draft Center'!$L$78-'Draft Center'!$L$82)),0)))</f>
        <v>10</v>
      </c>
      <c r="BB56" s="69">
        <f>IF(VLOOKUP($D56,$AO$14:AR$19,COLUMN()-50,0)&lt;=0,1,IF($Q56&lt;0,1,ROUNDUP(IF($Q56*('Draft Center'!$L$28+'Draft Center'!$L$78-'Draft Center'!$L$82)&lt;1,1,$Q56*('Draft Center'!$L$28+'Draft Center'!$L$78-'Draft Center'!$L$82)),0)))</f>
        <v>10</v>
      </c>
      <c r="BC56" s="69">
        <f>IF(VLOOKUP($D56,$AO$14:AS$19,COLUMN()-50,0)&lt;=0,1,IF($Q56&lt;0,1,ROUNDUP(IF($Q56*('Draft Center'!$L$28+'Draft Center'!$L$78-'Draft Center'!$L$82)&lt;1,1,$Q56*('Draft Center'!$L$28+'Draft Center'!$L$78-'Draft Center'!$L$82)),0)))</f>
        <v>10</v>
      </c>
      <c r="BD56" s="69">
        <f>IF(VLOOKUP($D56,$AO$14:AT$19,COLUMN()-50,0)&lt;=0,1,IF($Q56&lt;0,1,ROUNDUP(IF($Q56*('Draft Center'!$L$28+'Draft Center'!$L$78-'Draft Center'!$L$82)&lt;1,1,$Q56*('Draft Center'!$L$28+'Draft Center'!$L$78-'Draft Center'!$L$82)),0)))</f>
        <v>10</v>
      </c>
      <c r="BE56" s="69">
        <f>IF(VLOOKUP($D56,$AO$14:AU$19,COLUMN()-50,0)&lt;=0,1,IF($Q56&lt;0,1,ROUNDUP(IF($Q56*('Draft Center'!$L$28+'Draft Center'!$L$78-'Draft Center'!$L$82)&lt;1,1,$Q56*('Draft Center'!$L$28+'Draft Center'!$L$78-'Draft Center'!$L$82)),0)))</f>
        <v>10</v>
      </c>
      <c r="BF56" s="69">
        <f>IF(VLOOKUP($D56,$AO$14:AV$19,COLUMN()-50,0)&lt;=0,1,IF($Q56&lt;0,1,ROUNDUP(IF($Q56*('Draft Center'!$L$28+'Draft Center'!$L$78-'Draft Center'!$L$82)&lt;1,1,$Q56*('Draft Center'!$L$28+'Draft Center'!$L$78-'Draft Center'!$L$82)),0)))</f>
        <v>10</v>
      </c>
      <c r="BG56" s="69">
        <f>IF(VLOOKUP($D56,$AO$14:AW$19,COLUMN()-50,0)&lt;=0,1,IF($Q56&lt;0,1,ROUNDUP(IF($Q56*('Draft Center'!$L$28+'Draft Center'!$L$78-'Draft Center'!$L$82)&lt;1,1,$Q56*('Draft Center'!$L$28+'Draft Center'!$L$78-'Draft Center'!$L$82)),0)))</f>
        <v>10</v>
      </c>
      <c r="BH56" s="69">
        <f>IF(VLOOKUP($D56,$AO$14:AX$19,COLUMN()-50,0)&lt;=0,1,IF($Q56&lt;0,1,ROUNDUP(IF($Q56*('Draft Center'!$L$28+'Draft Center'!$L$78-'Draft Center'!$L$82)&lt;1,1,$Q56*('Draft Center'!$L$28+'Draft Center'!$L$78-'Draft Center'!$L$82)),0)))</f>
        <v>10</v>
      </c>
      <c r="BI56" s="69">
        <f>IF(VLOOKUP($D56,$AO$14:AY$19,COLUMN()-50,0)&lt;=0,1,IF($Q56&lt;0,1,ROUNDUP(IF($Q56*('Draft Center'!$L$28+'Draft Center'!$L$78-'Draft Center'!$L$82)&lt;1,1,$Q56*('Draft Center'!$L$28+'Draft Center'!$L$78-'Draft Center'!$L$82)),0)))</f>
        <v>10</v>
      </c>
      <c r="BJ56" s="196"/>
      <c r="BK56" s="23">
        <v>0</v>
      </c>
      <c r="BL56" s="23" t="str">
        <f t="shared" si="35"/>
        <v/>
      </c>
      <c r="BM56" s="23">
        <v>0</v>
      </c>
      <c r="BN56" s="23">
        <f t="shared" si="35"/>
        <v>0</v>
      </c>
      <c r="BO56" s="23" t="str">
        <f t="shared" si="35"/>
        <v/>
      </c>
      <c r="BP56" s="23" t="str">
        <f t="shared" si="35"/>
        <v/>
      </c>
      <c r="BQ56" s="23" t="str">
        <f t="shared" si="35"/>
        <v/>
      </c>
      <c r="BR56" s="23">
        <f t="shared" si="6"/>
        <v>0</v>
      </c>
      <c r="BS56" s="23">
        <f t="shared" si="7"/>
        <v>0</v>
      </c>
      <c r="BT56" s="69">
        <v>10</v>
      </c>
      <c r="BU56" s="58">
        <v>2327.0337</v>
      </c>
      <c r="BV56" s="33">
        <v>10</v>
      </c>
      <c r="BW56" s="204">
        <v>2327.0337</v>
      </c>
      <c r="BX56" s="23"/>
      <c r="BY56" s="69">
        <v>10</v>
      </c>
      <c r="BZ56" s="69">
        <v>15.7</v>
      </c>
      <c r="CA56" s="69">
        <v>15.7</v>
      </c>
      <c r="CB56" s="69">
        <v>15.7</v>
      </c>
      <c r="CC56" s="69">
        <f t="shared" si="10"/>
        <v>15.699999999999998</v>
      </c>
      <c r="CD56" s="69">
        <f t="shared" si="11"/>
        <v>15.7</v>
      </c>
    </row>
    <row r="57" spans="1:82" ht="15.75" customHeight="1" thickBot="1" x14ac:dyDescent="0.3">
      <c r="A57" s="6">
        <v>56</v>
      </c>
      <c r="B57" s="7" t="s">
        <v>77</v>
      </c>
      <c r="C57" s="7" t="s">
        <v>36</v>
      </c>
      <c r="D57" s="7" t="s">
        <v>17</v>
      </c>
      <c r="E57" s="50">
        <v>15.1291463757148</v>
      </c>
      <c r="F57" s="50">
        <v>227.907062645064</v>
      </c>
      <c r="G57" s="50">
        <v>234.996147047325</v>
      </c>
      <c r="H57" s="50">
        <v>209.65918174306</v>
      </c>
      <c r="I57" s="8">
        <v>20.100000000000001</v>
      </c>
      <c r="J57" s="50">
        <v>3.2849598694315301</v>
      </c>
      <c r="K57" s="248">
        <f>IFERROR(VLOOKUP(C57,Schedule!$T$3:$U$34,2,0),"FA")</f>
        <v>7</v>
      </c>
      <c r="L57" s="7" t="str">
        <f>D57&amp;COUNTIF(D$2:$D57,D57)</f>
        <v>WR17</v>
      </c>
      <c r="M57" s="50">
        <f t="array" ref="M57">IFERROR(F57-AVERAGE(VLOOKUP(D57,$D58:$F$885,3,0),INDEX($F58:$F$885,SMALL(IF(D57=$D58:$D$885,ROW($D58:$D$885)-ROW(D57)),2))),0)</f>
        <v>4.0480269229740031</v>
      </c>
      <c r="N57" s="50">
        <f>IFERROR(IF(VLOOKUP($B57,Input!$AC$2:$AC$162,1,0)=$B57,0),F57)</f>
        <v>227.907062645064</v>
      </c>
      <c r="O57" s="50">
        <f>IFERROR(IF(VLOOKUP($B57,Input!$AC$2:$AC$162,1,0)=$B57,0,G57),G57)</f>
        <v>234.996147047325</v>
      </c>
      <c r="P57" s="50">
        <f>IF(N57=0,0,F57-AVERAGE(INDEX(F:F,MATCH(VLOOKUP(D57,Input!$A$14:$L$22,10,0),L:L,0)),INDEX(F:F,MATCH(VLOOKUP(D57,Input!$A$14:$L$22,11,0),L:L,0)),INDEX(F:F,MATCH(VLOOKUP(D57,Input!$A$14:$L$22,12,0),L:L,0)))+(0.01-ROW()*0.01))</f>
        <v>14.569146375714981</v>
      </c>
      <c r="Q57" s="106">
        <f t="shared" si="0"/>
        <v>5.0262526549860586E-3</v>
      </c>
      <c r="R57" s="8">
        <f>IF(VLOOKUP($D57,$X$14:$Y$19,2,0)&lt;=0,1,IF(Q57&lt;0,1,ROUNDUP(IF(Q57*('Draft Center'!$L$28+'Draft Center'!$L$78-'Draft Center'!$L$82)&lt;1,1,Q57*('Draft Center'!$L$28+'Draft Center'!$L$78-'Draft Center'!$L$82)),0)))</f>
        <v>10</v>
      </c>
      <c r="S57" s="8">
        <f>IF(A57&lt;Input!$B$10+0.1,IF(ROUNDUP(R57*Input!$C$10,0)=0,1,ROUNDUP(R57*Input!$C$10,0)),IF(A57&gt;Input!$B$11,IF(ROUNDUP(R57*Input!$C$11,0)=0,1,ROUNDUP(R57*Input!$C$11,0)),IF(ROUNDUP(R57,0)=0,1,ROUNDUP(R57,0))))</f>
        <v>10</v>
      </c>
      <c r="T57" s="8">
        <f t="shared" si="1"/>
        <v>10</v>
      </c>
      <c r="U57" s="8">
        <f>IFERROR(VLOOKUP($B57,Input!$AC$2:$AE$161,3,0),0)</f>
        <v>0</v>
      </c>
      <c r="V57" s="256">
        <f t="shared" si="8"/>
        <v>-0.50191756218905481</v>
      </c>
      <c r="W57" s="263">
        <f t="shared" si="9"/>
        <v>-10.099430000000002</v>
      </c>
      <c r="X57" s="27"/>
      <c r="Y57" s="23"/>
      <c r="Z57" s="23"/>
      <c r="AA57" s="23">
        <v>0</v>
      </c>
      <c r="AB57" s="23" t="str">
        <f t="shared" si="34"/>
        <v/>
      </c>
      <c r="AC57" s="23" t="str">
        <f t="shared" si="34"/>
        <v/>
      </c>
      <c r="AD57" s="23">
        <f t="shared" si="34"/>
        <v>0</v>
      </c>
      <c r="AE57" s="23" t="str">
        <f t="shared" si="34"/>
        <v/>
      </c>
      <c r="AF57" s="23" t="str">
        <f t="shared" si="34"/>
        <v/>
      </c>
      <c r="AG57" s="23" t="str">
        <f t="shared" si="34"/>
        <v/>
      </c>
      <c r="AH57" s="23">
        <f t="shared" si="3"/>
        <v>0</v>
      </c>
      <c r="AI57" s="23">
        <f t="shared" si="4"/>
        <v>0</v>
      </c>
      <c r="AJ57" s="70">
        <v>10</v>
      </c>
      <c r="AK57" s="225">
        <v>2327.0337</v>
      </c>
      <c r="AL57" s="33">
        <v>10</v>
      </c>
      <c r="AM57" s="204">
        <v>2327.0337</v>
      </c>
      <c r="AN57" s="196"/>
      <c r="AO57" s="23"/>
      <c r="AP57" s="23"/>
      <c r="AQ57" s="23"/>
      <c r="AR57" s="23"/>
      <c r="AS57" s="23"/>
      <c r="AT57" s="23"/>
      <c r="AU57" s="23"/>
      <c r="AV57" s="23"/>
      <c r="AW57" s="23"/>
      <c r="AX57" s="23"/>
      <c r="AY57" s="23"/>
      <c r="AZ57" s="196"/>
      <c r="BA57" s="70">
        <f>IF(VLOOKUP($D57,$AO$14:AQ$19,COLUMN()-50,0)&lt;=0,1,IF($Q57&lt;0,1,ROUNDUP(IF($Q57*('Draft Center'!$L$28+'Draft Center'!$L$78-'Draft Center'!$L$82)&lt;1,1,$Q57*('Draft Center'!$L$28+'Draft Center'!$L$78-'Draft Center'!$L$82)),0)))</f>
        <v>10</v>
      </c>
      <c r="BB57" s="70">
        <f>IF(VLOOKUP($D57,$AO$14:AR$19,COLUMN()-50,0)&lt;=0,1,IF($Q57&lt;0,1,ROUNDUP(IF($Q57*('Draft Center'!$L$28+'Draft Center'!$L$78-'Draft Center'!$L$82)&lt;1,1,$Q57*('Draft Center'!$L$28+'Draft Center'!$L$78-'Draft Center'!$L$82)),0)))</f>
        <v>10</v>
      </c>
      <c r="BC57" s="70">
        <f>IF(VLOOKUP($D57,$AO$14:AS$19,COLUMN()-50,0)&lt;=0,1,IF($Q57&lt;0,1,ROUNDUP(IF($Q57*('Draft Center'!$L$28+'Draft Center'!$L$78-'Draft Center'!$L$82)&lt;1,1,$Q57*('Draft Center'!$L$28+'Draft Center'!$L$78-'Draft Center'!$L$82)),0)))</f>
        <v>10</v>
      </c>
      <c r="BD57" s="70">
        <f>IF(VLOOKUP($D57,$AO$14:AT$19,COLUMN()-50,0)&lt;=0,1,IF($Q57&lt;0,1,ROUNDUP(IF($Q57*('Draft Center'!$L$28+'Draft Center'!$L$78-'Draft Center'!$L$82)&lt;1,1,$Q57*('Draft Center'!$L$28+'Draft Center'!$L$78-'Draft Center'!$L$82)),0)))</f>
        <v>10</v>
      </c>
      <c r="BE57" s="70">
        <f>IF(VLOOKUP($D57,$AO$14:AU$19,COLUMN()-50,0)&lt;=0,1,IF($Q57&lt;0,1,ROUNDUP(IF($Q57*('Draft Center'!$L$28+'Draft Center'!$L$78-'Draft Center'!$L$82)&lt;1,1,$Q57*('Draft Center'!$L$28+'Draft Center'!$L$78-'Draft Center'!$L$82)),0)))</f>
        <v>10</v>
      </c>
      <c r="BF57" s="70">
        <f>IF(VLOOKUP($D57,$AO$14:AV$19,COLUMN()-50,0)&lt;=0,1,IF($Q57&lt;0,1,ROUNDUP(IF($Q57*('Draft Center'!$L$28+'Draft Center'!$L$78-'Draft Center'!$L$82)&lt;1,1,$Q57*('Draft Center'!$L$28+'Draft Center'!$L$78-'Draft Center'!$L$82)),0)))</f>
        <v>10</v>
      </c>
      <c r="BG57" s="70">
        <f>IF(VLOOKUP($D57,$AO$14:AW$19,COLUMN()-50,0)&lt;=0,1,IF($Q57&lt;0,1,ROUNDUP(IF($Q57*('Draft Center'!$L$28+'Draft Center'!$L$78-'Draft Center'!$L$82)&lt;1,1,$Q57*('Draft Center'!$L$28+'Draft Center'!$L$78-'Draft Center'!$L$82)),0)))</f>
        <v>10</v>
      </c>
      <c r="BH57" s="70">
        <f>IF(VLOOKUP($D57,$AO$14:AX$19,COLUMN()-50,0)&lt;=0,1,IF($Q57&lt;0,1,ROUNDUP(IF($Q57*('Draft Center'!$L$28+'Draft Center'!$L$78-'Draft Center'!$L$82)&lt;1,1,$Q57*('Draft Center'!$L$28+'Draft Center'!$L$78-'Draft Center'!$L$82)),0)))</f>
        <v>10</v>
      </c>
      <c r="BI57" s="70">
        <f>IF(VLOOKUP($D57,$AO$14:AY$19,COLUMN()-50,0)&lt;=0,1,IF($Q57&lt;0,1,ROUNDUP(IF($Q57*('Draft Center'!$L$28+'Draft Center'!$L$78-'Draft Center'!$L$82)&lt;1,1,$Q57*('Draft Center'!$L$28+'Draft Center'!$L$78-'Draft Center'!$L$82)),0)))</f>
        <v>10</v>
      </c>
      <c r="BJ57" s="196"/>
      <c r="BK57" s="23">
        <v>0</v>
      </c>
      <c r="BL57" s="23" t="str">
        <f t="shared" si="35"/>
        <v/>
      </c>
      <c r="BM57" s="23">
        <v>0</v>
      </c>
      <c r="BN57" s="23">
        <f t="shared" si="35"/>
        <v>0</v>
      </c>
      <c r="BO57" s="23" t="str">
        <f t="shared" si="35"/>
        <v/>
      </c>
      <c r="BP57" s="23" t="str">
        <f t="shared" si="35"/>
        <v/>
      </c>
      <c r="BQ57" s="23" t="str">
        <f t="shared" si="35"/>
        <v/>
      </c>
      <c r="BR57" s="23">
        <f t="shared" si="6"/>
        <v>0</v>
      </c>
      <c r="BS57" s="23">
        <f t="shared" si="7"/>
        <v>0</v>
      </c>
      <c r="BT57" s="70">
        <v>10</v>
      </c>
      <c r="BU57" s="58">
        <v>2327.0337</v>
      </c>
      <c r="BV57" s="33">
        <v>10</v>
      </c>
      <c r="BW57" s="204">
        <v>2327.0337</v>
      </c>
      <c r="BX57" s="23"/>
      <c r="BY57" s="70">
        <v>10</v>
      </c>
      <c r="BZ57" s="70">
        <v>20.100000000000001</v>
      </c>
      <c r="CA57" s="70">
        <v>20.100000000000001</v>
      </c>
      <c r="CB57" s="70">
        <v>20.100000000000001</v>
      </c>
      <c r="CC57" s="70">
        <f t="shared" si="10"/>
        <v>20.100000000000001</v>
      </c>
      <c r="CD57" s="70">
        <f t="shared" si="11"/>
        <v>20.100000000000001</v>
      </c>
    </row>
    <row r="58" spans="1:82" ht="15.75" customHeight="1" thickBot="1" x14ac:dyDescent="0.3">
      <c r="A58" s="9">
        <v>57</v>
      </c>
      <c r="B58" s="10" t="s">
        <v>223</v>
      </c>
      <c r="C58" s="10" t="s">
        <v>25</v>
      </c>
      <c r="D58" s="10" t="s">
        <v>135</v>
      </c>
      <c r="E58" s="51">
        <v>13.342138649750799</v>
      </c>
      <c r="F58" s="51">
        <v>122.07369732668801</v>
      </c>
      <c r="G58" s="51">
        <v>120.07529069767401</v>
      </c>
      <c r="H58" s="51">
        <v>77.099999999999994</v>
      </c>
      <c r="I58" s="11">
        <v>2.1</v>
      </c>
      <c r="J58" s="51">
        <v>2.6398031346609101</v>
      </c>
      <c r="K58" s="249">
        <f>IFERROR(VLOOKUP(C58,Schedule!$T$3:$U$34,2,0),"FA")</f>
        <v>10</v>
      </c>
      <c r="L58" s="10" t="str">
        <f>D58&amp;COUNTIF(D$2:$D58,D58)</f>
        <v>DST5</v>
      </c>
      <c r="M58" s="51">
        <f t="array" ref="M58">IFERROR(F58-AVERAGE(VLOOKUP(D58,$D59:$F$885,3,0),INDEX($F59:$F$885,SMALL(IF(D58=$D59:$D$885,ROW($D59:$D$885)-ROW(D58)),2))),0)</f>
        <v>4.2984284276960096</v>
      </c>
      <c r="N58" s="51">
        <f>IFERROR(IF(VLOOKUP($B58,Input!$AC$2:$AC$162,1,0)=$B58,0),F58)</f>
        <v>122.07369732668801</v>
      </c>
      <c r="O58" s="51">
        <f>IFERROR(IF(VLOOKUP($B58,Input!$AC$2:$AC$162,1,0)=$B58,0,G58),G58)</f>
        <v>120.07529069767401</v>
      </c>
      <c r="P58" s="51">
        <f>IF(N58=0,0,F58-AVERAGE(INDEX(F:F,MATCH(VLOOKUP(D58,Input!$A$14:$L$22,10,0),L:L,0)),INDEX(F:F,MATCH(VLOOKUP(D58,Input!$A$14:$L$22,11,0),L:L,0)),INDEX(F:F,MATCH(VLOOKUP(D58,Input!$A$14:$L$22,12,0),L:L,0)))+(0.01-ROW()*0.01))</f>
        <v>13.815310376075992</v>
      </c>
      <c r="Q58" s="107">
        <f t="shared" si="0"/>
        <v>4.7661845564922929E-3</v>
      </c>
      <c r="R58" s="11">
        <f>IF(VLOOKUP($D58,$X$14:$Y$19,2,0)&lt;=0,1,IF(Q58&lt;0,1,ROUNDUP(IF(Q58*('Draft Center'!$L$28+'Draft Center'!$L$78-'Draft Center'!$L$82)&lt;1,1,Q58*('Draft Center'!$L$28+'Draft Center'!$L$78-'Draft Center'!$L$82)),0)))</f>
        <v>10</v>
      </c>
      <c r="S58" s="11">
        <f>IF(A58&lt;Input!$B$10+0.1,IF(ROUNDUP(R58*Input!$C$10,0)=0,1,ROUNDUP(R58*Input!$C$10,0)),IF(A58&gt;Input!$B$11,IF(ROUNDUP(R58*Input!$C$11,0)=0,1,ROUNDUP(R58*Input!$C$11,0)),IF(ROUNDUP(R58,0)=0,1,ROUNDUP(R58,0))))</f>
        <v>10</v>
      </c>
      <c r="T58" s="11">
        <f t="shared" si="1"/>
        <v>10</v>
      </c>
      <c r="U58" s="11">
        <f>IFERROR(VLOOKUP($B58,Input!$AC$2:$AE$161,3,0),0)</f>
        <v>0</v>
      </c>
      <c r="V58" s="257">
        <f t="shared" si="8"/>
        <v>3.7624847619047617</v>
      </c>
      <c r="W58" s="264">
        <f t="shared" si="9"/>
        <v>7.9005800000000006</v>
      </c>
      <c r="X58" s="27"/>
      <c r="Y58" s="23"/>
      <c r="Z58" s="23"/>
      <c r="AA58" s="23">
        <v>0</v>
      </c>
      <c r="AB58" s="23" t="str">
        <f t="shared" si="34"/>
        <v/>
      </c>
      <c r="AC58" s="23" t="str">
        <f t="shared" si="34"/>
        <v/>
      </c>
      <c r="AD58" s="23" t="str">
        <f t="shared" si="34"/>
        <v/>
      </c>
      <c r="AE58" s="23" t="str">
        <f t="shared" si="34"/>
        <v/>
      </c>
      <c r="AF58" s="23">
        <f t="shared" si="34"/>
        <v>0</v>
      </c>
      <c r="AG58" s="23" t="str">
        <f t="shared" si="34"/>
        <v/>
      </c>
      <c r="AH58" s="23">
        <f t="shared" si="3"/>
        <v>0</v>
      </c>
      <c r="AI58" s="23">
        <f t="shared" si="4"/>
        <v>0</v>
      </c>
      <c r="AJ58" s="69">
        <v>10</v>
      </c>
      <c r="AK58" s="225">
        <v>2327.0337</v>
      </c>
      <c r="AL58" s="33">
        <v>10</v>
      </c>
      <c r="AM58" s="204">
        <v>2327.0337</v>
      </c>
      <c r="AN58" s="196"/>
      <c r="AO58" s="23"/>
      <c r="AP58" s="23"/>
      <c r="AQ58" s="23"/>
      <c r="AR58" s="23"/>
      <c r="AS58" s="23"/>
      <c r="AT58" s="23"/>
      <c r="AU58" s="23"/>
      <c r="AV58" s="23"/>
      <c r="AW58" s="23"/>
      <c r="AX58" s="23"/>
      <c r="AY58" s="23"/>
      <c r="AZ58" s="196"/>
      <c r="BA58" s="69">
        <f>IF(VLOOKUP($D58,$AO$14:AQ$19,COLUMN()-50,0)&lt;=0,1,IF($Q58&lt;0,1,ROUNDUP(IF($Q58*('Draft Center'!$L$28+'Draft Center'!$L$78-'Draft Center'!$L$82)&lt;1,1,$Q58*('Draft Center'!$L$28+'Draft Center'!$L$78-'Draft Center'!$L$82)),0)))</f>
        <v>10</v>
      </c>
      <c r="BB58" s="69">
        <f>IF(VLOOKUP($D58,$AO$14:AR$19,COLUMN()-50,0)&lt;=0,1,IF($Q58&lt;0,1,ROUNDUP(IF($Q58*('Draft Center'!$L$28+'Draft Center'!$L$78-'Draft Center'!$L$82)&lt;1,1,$Q58*('Draft Center'!$L$28+'Draft Center'!$L$78-'Draft Center'!$L$82)),0)))</f>
        <v>10</v>
      </c>
      <c r="BC58" s="69">
        <f>IF(VLOOKUP($D58,$AO$14:AS$19,COLUMN()-50,0)&lt;=0,1,IF($Q58&lt;0,1,ROUNDUP(IF($Q58*('Draft Center'!$L$28+'Draft Center'!$L$78-'Draft Center'!$L$82)&lt;1,1,$Q58*('Draft Center'!$L$28+'Draft Center'!$L$78-'Draft Center'!$L$82)),0)))</f>
        <v>10</v>
      </c>
      <c r="BD58" s="69">
        <f>IF(VLOOKUP($D58,$AO$14:AT$19,COLUMN()-50,0)&lt;=0,1,IF($Q58&lt;0,1,ROUNDUP(IF($Q58*('Draft Center'!$L$28+'Draft Center'!$L$78-'Draft Center'!$L$82)&lt;1,1,$Q58*('Draft Center'!$L$28+'Draft Center'!$L$78-'Draft Center'!$L$82)),0)))</f>
        <v>10</v>
      </c>
      <c r="BE58" s="69">
        <f>IF(VLOOKUP($D58,$AO$14:AU$19,COLUMN()-50,0)&lt;=0,1,IF($Q58&lt;0,1,ROUNDUP(IF($Q58*('Draft Center'!$L$28+'Draft Center'!$L$78-'Draft Center'!$L$82)&lt;1,1,$Q58*('Draft Center'!$L$28+'Draft Center'!$L$78-'Draft Center'!$L$82)),0)))</f>
        <v>10</v>
      </c>
      <c r="BF58" s="69">
        <f>IF(VLOOKUP($D58,$AO$14:AV$19,COLUMN()-50,0)&lt;=0,1,IF($Q58&lt;0,1,ROUNDUP(IF($Q58*('Draft Center'!$L$28+'Draft Center'!$L$78-'Draft Center'!$L$82)&lt;1,1,$Q58*('Draft Center'!$L$28+'Draft Center'!$L$78-'Draft Center'!$L$82)),0)))</f>
        <v>10</v>
      </c>
      <c r="BG58" s="69">
        <f>IF(VLOOKUP($D58,$AO$14:AW$19,COLUMN()-50,0)&lt;=0,1,IF($Q58&lt;0,1,ROUNDUP(IF($Q58*('Draft Center'!$L$28+'Draft Center'!$L$78-'Draft Center'!$L$82)&lt;1,1,$Q58*('Draft Center'!$L$28+'Draft Center'!$L$78-'Draft Center'!$L$82)),0)))</f>
        <v>10</v>
      </c>
      <c r="BH58" s="69">
        <f>IF(VLOOKUP($D58,$AO$14:AX$19,COLUMN()-50,0)&lt;=0,1,IF($Q58&lt;0,1,ROUNDUP(IF($Q58*('Draft Center'!$L$28+'Draft Center'!$L$78-'Draft Center'!$L$82)&lt;1,1,$Q58*('Draft Center'!$L$28+'Draft Center'!$L$78-'Draft Center'!$L$82)),0)))</f>
        <v>10</v>
      </c>
      <c r="BI58" s="69">
        <f>IF(VLOOKUP($D58,$AO$14:AY$19,COLUMN()-50,0)&lt;=0,1,IF($Q58&lt;0,1,ROUNDUP(IF($Q58*('Draft Center'!$L$28+'Draft Center'!$L$78-'Draft Center'!$L$82)&lt;1,1,$Q58*('Draft Center'!$L$28+'Draft Center'!$L$78-'Draft Center'!$L$82)),0)))</f>
        <v>10</v>
      </c>
      <c r="BJ58" s="196"/>
      <c r="BK58" s="23">
        <v>0</v>
      </c>
      <c r="BL58" s="23" t="str">
        <f t="shared" si="35"/>
        <v/>
      </c>
      <c r="BM58" s="23">
        <v>0</v>
      </c>
      <c r="BN58" s="23" t="str">
        <f t="shared" si="35"/>
        <v/>
      </c>
      <c r="BO58" s="23" t="str">
        <f t="shared" si="35"/>
        <v/>
      </c>
      <c r="BP58" s="23">
        <f t="shared" si="35"/>
        <v>0</v>
      </c>
      <c r="BQ58" s="23" t="str">
        <f t="shared" si="35"/>
        <v/>
      </c>
      <c r="BR58" s="23">
        <f t="shared" si="6"/>
        <v>0</v>
      </c>
      <c r="BS58" s="23">
        <f t="shared" si="7"/>
        <v>0</v>
      </c>
      <c r="BT58" s="69">
        <v>10</v>
      </c>
      <c r="BU58" s="58">
        <v>2327.0337</v>
      </c>
      <c r="BV58" s="33">
        <v>10</v>
      </c>
      <c r="BW58" s="204">
        <v>2327.0337</v>
      </c>
      <c r="BX58" s="23"/>
      <c r="BY58" s="69">
        <v>10</v>
      </c>
      <c r="BZ58" s="69">
        <v>2.1</v>
      </c>
      <c r="CA58" s="69">
        <v>2.1</v>
      </c>
      <c r="CB58" s="69">
        <v>2.1</v>
      </c>
      <c r="CC58" s="69">
        <f t="shared" si="10"/>
        <v>2.1</v>
      </c>
      <c r="CD58" s="69">
        <f t="shared" si="11"/>
        <v>2.1</v>
      </c>
    </row>
    <row r="59" spans="1:82" ht="15.75" customHeight="1" thickBot="1" x14ac:dyDescent="0.3">
      <c r="A59" s="6">
        <v>58</v>
      </c>
      <c r="B59" s="7" t="s">
        <v>106</v>
      </c>
      <c r="C59" s="7" t="s">
        <v>95</v>
      </c>
      <c r="D59" s="7" t="s">
        <v>17</v>
      </c>
      <c r="E59" s="50">
        <v>11.8690828995749</v>
      </c>
      <c r="F59" s="50">
        <v>224.646999168924</v>
      </c>
      <c r="G59" s="50">
        <v>236.94445049382699</v>
      </c>
      <c r="H59" s="50">
        <v>203.02114951768499</v>
      </c>
      <c r="I59" s="8">
        <v>17</v>
      </c>
      <c r="J59" s="50">
        <v>3.5319978594131598</v>
      </c>
      <c r="K59" s="248">
        <f>IFERROR(VLOOKUP(C59,Schedule!$T$3:$U$34,2,0),"FA")</f>
        <v>8</v>
      </c>
      <c r="L59" s="7" t="str">
        <f>D59&amp;COUNTIF(D$2:$D59,D59)</f>
        <v>WR18</v>
      </c>
      <c r="M59" s="50">
        <f t="array" ref="M59">IFERROR(F59-AVERAGE(VLOOKUP(D59,$D60:$F$885,3,0),INDEX($F60:$F$885,SMALL(IF(D59=$D60:$D$885,ROW($D60:$D$885)-ROW(D59)),2))),0)</f>
        <v>1.7126298794420052</v>
      </c>
      <c r="N59" s="50">
        <f>IFERROR(IF(VLOOKUP($B59,Input!$AC$2:$AC$162,1,0)=$B59,0),F59)</f>
        <v>224.646999168924</v>
      </c>
      <c r="O59" s="50">
        <f>IFERROR(IF(VLOOKUP($B59,Input!$AC$2:$AC$162,1,0)=$B59,0,G59),G59)</f>
        <v>236.94445049382699</v>
      </c>
      <c r="P59" s="50">
        <f>IF(N59=0,0,F59-AVERAGE(INDEX(F:F,MATCH(VLOOKUP(D59,Input!$A$14:$L$22,10,0),L:L,0)),INDEX(F:F,MATCH(VLOOKUP(D59,Input!$A$14:$L$22,11,0),L:L,0)),INDEX(F:F,MATCH(VLOOKUP(D59,Input!$A$14:$L$22,12,0),L:L,0)))+(0.01-ROW()*0.01))</f>
        <v>11.289082899574977</v>
      </c>
      <c r="Q59" s="106">
        <f t="shared" si="0"/>
        <v>3.8946539099180295E-3</v>
      </c>
      <c r="R59" s="8">
        <f>IF(VLOOKUP($D59,$X$14:$Y$19,2,0)&lt;=0,1,IF(Q59&lt;0,1,ROUNDUP(IF(Q59*('Draft Center'!$L$28+'Draft Center'!$L$78-'Draft Center'!$L$82)&lt;1,1,Q59*('Draft Center'!$L$28+'Draft Center'!$L$78-'Draft Center'!$L$82)),0)))</f>
        <v>8</v>
      </c>
      <c r="S59" s="8">
        <f>IF(A59&lt;Input!$B$10+0.1,IF(ROUNDUP(R59*Input!$C$10,0)=0,1,ROUNDUP(R59*Input!$C$10,0)),IF(A59&gt;Input!$B$11,IF(ROUNDUP(R59*Input!$C$11,0)=0,1,ROUNDUP(R59*Input!$C$11,0)),IF(ROUNDUP(R59,0)=0,1,ROUNDUP(R59,0))))</f>
        <v>8</v>
      </c>
      <c r="T59" s="8">
        <f t="shared" si="1"/>
        <v>8</v>
      </c>
      <c r="U59" s="8">
        <f>IFERROR(VLOOKUP($B59,Input!$AC$2:$AE$161,3,0),0)</f>
        <v>0</v>
      </c>
      <c r="V59" s="256">
        <f t="shared" si="8"/>
        <v>-0.52882176470588238</v>
      </c>
      <c r="W59" s="263">
        <f t="shared" si="9"/>
        <v>-8.9994099999999992</v>
      </c>
      <c r="X59" s="27"/>
      <c r="Y59" s="23"/>
      <c r="Z59" s="23"/>
      <c r="AA59" s="23">
        <v>0</v>
      </c>
      <c r="AB59" s="23" t="str">
        <f t="shared" si="34"/>
        <v/>
      </c>
      <c r="AC59" s="23" t="str">
        <f t="shared" si="34"/>
        <v/>
      </c>
      <c r="AD59" s="23">
        <f t="shared" si="34"/>
        <v>0</v>
      </c>
      <c r="AE59" s="23" t="str">
        <f t="shared" si="34"/>
        <v/>
      </c>
      <c r="AF59" s="23" t="str">
        <f t="shared" si="34"/>
        <v/>
      </c>
      <c r="AG59" s="23" t="str">
        <f t="shared" si="34"/>
        <v/>
      </c>
      <c r="AH59" s="23">
        <f t="shared" si="3"/>
        <v>0</v>
      </c>
      <c r="AI59" s="23">
        <f t="shared" si="4"/>
        <v>0</v>
      </c>
      <c r="AJ59" s="70">
        <v>8</v>
      </c>
      <c r="AK59" s="225">
        <v>2327.0337</v>
      </c>
      <c r="AL59" s="33">
        <v>8</v>
      </c>
      <c r="AM59" s="204">
        <v>2327.0337</v>
      </c>
      <c r="AN59" s="196"/>
      <c r="AO59" s="23"/>
      <c r="AP59" s="23"/>
      <c r="AQ59" s="23"/>
      <c r="AR59" s="23"/>
      <c r="AS59" s="23"/>
      <c r="AT59" s="23"/>
      <c r="AU59" s="23"/>
      <c r="AV59" s="23"/>
      <c r="AW59" s="23"/>
      <c r="AX59" s="23"/>
      <c r="AY59" s="23"/>
      <c r="AZ59" s="196"/>
      <c r="BA59" s="70">
        <f>IF(VLOOKUP($D59,$AO$14:AQ$19,COLUMN()-50,0)&lt;=0,1,IF($Q59&lt;0,1,ROUNDUP(IF($Q59*('Draft Center'!$L$28+'Draft Center'!$L$78-'Draft Center'!$L$82)&lt;1,1,$Q59*('Draft Center'!$L$28+'Draft Center'!$L$78-'Draft Center'!$L$82)),0)))</f>
        <v>8</v>
      </c>
      <c r="BB59" s="70">
        <f>IF(VLOOKUP($D59,$AO$14:AR$19,COLUMN()-50,0)&lt;=0,1,IF($Q59&lt;0,1,ROUNDUP(IF($Q59*('Draft Center'!$L$28+'Draft Center'!$L$78-'Draft Center'!$L$82)&lt;1,1,$Q59*('Draft Center'!$L$28+'Draft Center'!$L$78-'Draft Center'!$L$82)),0)))</f>
        <v>8</v>
      </c>
      <c r="BC59" s="70">
        <f>IF(VLOOKUP($D59,$AO$14:AS$19,COLUMN()-50,0)&lt;=0,1,IF($Q59&lt;0,1,ROUNDUP(IF($Q59*('Draft Center'!$L$28+'Draft Center'!$L$78-'Draft Center'!$L$82)&lt;1,1,$Q59*('Draft Center'!$L$28+'Draft Center'!$L$78-'Draft Center'!$L$82)),0)))</f>
        <v>8</v>
      </c>
      <c r="BD59" s="70">
        <f>IF(VLOOKUP($D59,$AO$14:AT$19,COLUMN()-50,0)&lt;=0,1,IF($Q59&lt;0,1,ROUNDUP(IF($Q59*('Draft Center'!$L$28+'Draft Center'!$L$78-'Draft Center'!$L$82)&lt;1,1,$Q59*('Draft Center'!$L$28+'Draft Center'!$L$78-'Draft Center'!$L$82)),0)))</f>
        <v>8</v>
      </c>
      <c r="BE59" s="70">
        <f>IF(VLOOKUP($D59,$AO$14:AU$19,COLUMN()-50,0)&lt;=0,1,IF($Q59&lt;0,1,ROUNDUP(IF($Q59*('Draft Center'!$L$28+'Draft Center'!$L$78-'Draft Center'!$L$82)&lt;1,1,$Q59*('Draft Center'!$L$28+'Draft Center'!$L$78-'Draft Center'!$L$82)),0)))</f>
        <v>8</v>
      </c>
      <c r="BF59" s="70">
        <f>IF(VLOOKUP($D59,$AO$14:AV$19,COLUMN()-50,0)&lt;=0,1,IF($Q59&lt;0,1,ROUNDUP(IF($Q59*('Draft Center'!$L$28+'Draft Center'!$L$78-'Draft Center'!$L$82)&lt;1,1,$Q59*('Draft Center'!$L$28+'Draft Center'!$L$78-'Draft Center'!$L$82)),0)))</f>
        <v>8</v>
      </c>
      <c r="BG59" s="70">
        <f>IF(VLOOKUP($D59,$AO$14:AW$19,COLUMN()-50,0)&lt;=0,1,IF($Q59&lt;0,1,ROUNDUP(IF($Q59*('Draft Center'!$L$28+'Draft Center'!$L$78-'Draft Center'!$L$82)&lt;1,1,$Q59*('Draft Center'!$L$28+'Draft Center'!$L$78-'Draft Center'!$L$82)),0)))</f>
        <v>8</v>
      </c>
      <c r="BH59" s="70">
        <f>IF(VLOOKUP($D59,$AO$14:AX$19,COLUMN()-50,0)&lt;=0,1,IF($Q59&lt;0,1,ROUNDUP(IF($Q59*('Draft Center'!$L$28+'Draft Center'!$L$78-'Draft Center'!$L$82)&lt;1,1,$Q59*('Draft Center'!$L$28+'Draft Center'!$L$78-'Draft Center'!$L$82)),0)))</f>
        <v>8</v>
      </c>
      <c r="BI59" s="70">
        <f>IF(VLOOKUP($D59,$AO$14:AY$19,COLUMN()-50,0)&lt;=0,1,IF($Q59&lt;0,1,ROUNDUP(IF($Q59*('Draft Center'!$L$28+'Draft Center'!$L$78-'Draft Center'!$L$82)&lt;1,1,$Q59*('Draft Center'!$L$28+'Draft Center'!$L$78-'Draft Center'!$L$82)),0)))</f>
        <v>8</v>
      </c>
      <c r="BJ59" s="196"/>
      <c r="BK59" s="23">
        <v>0</v>
      </c>
      <c r="BL59" s="23" t="str">
        <f t="shared" si="35"/>
        <v/>
      </c>
      <c r="BM59" s="23">
        <v>0</v>
      </c>
      <c r="BN59" s="23">
        <f t="shared" si="35"/>
        <v>0</v>
      </c>
      <c r="BO59" s="23" t="str">
        <f t="shared" si="35"/>
        <v/>
      </c>
      <c r="BP59" s="23" t="str">
        <f t="shared" si="35"/>
        <v/>
      </c>
      <c r="BQ59" s="23" t="str">
        <f t="shared" si="35"/>
        <v/>
      </c>
      <c r="BR59" s="23">
        <f t="shared" si="6"/>
        <v>0</v>
      </c>
      <c r="BS59" s="23">
        <f t="shared" si="7"/>
        <v>0</v>
      </c>
      <c r="BT59" s="70">
        <v>8</v>
      </c>
      <c r="BU59" s="58">
        <v>2327.0337</v>
      </c>
      <c r="BV59" s="33">
        <v>8</v>
      </c>
      <c r="BW59" s="204">
        <v>2327.0337</v>
      </c>
      <c r="BX59" s="23"/>
      <c r="BY59" s="70">
        <v>8</v>
      </c>
      <c r="BZ59" s="70">
        <v>17</v>
      </c>
      <c r="CA59" s="70">
        <v>17</v>
      </c>
      <c r="CB59" s="70">
        <v>17</v>
      </c>
      <c r="CC59" s="70">
        <f t="shared" si="10"/>
        <v>17</v>
      </c>
      <c r="CD59" s="70">
        <f t="shared" si="11"/>
        <v>17</v>
      </c>
    </row>
    <row r="60" spans="1:82" ht="15.75" customHeight="1" thickBot="1" x14ac:dyDescent="0.3">
      <c r="A60" s="9">
        <v>59</v>
      </c>
      <c r="B60" s="10" t="s">
        <v>108</v>
      </c>
      <c r="C60" s="10" t="s">
        <v>68</v>
      </c>
      <c r="D60" s="10" t="s">
        <v>17</v>
      </c>
      <c r="E60" s="51">
        <v>10.2931560059071</v>
      </c>
      <c r="F60" s="51">
        <v>223.071072275256</v>
      </c>
      <c r="G60" s="51">
        <v>231.936118422351</v>
      </c>
      <c r="H60" s="51">
        <v>207.46833325646199</v>
      </c>
      <c r="I60" s="11">
        <v>12.1</v>
      </c>
      <c r="J60" s="51">
        <v>3.61566639495482</v>
      </c>
      <c r="K60" s="249">
        <f>IFERROR(VLOOKUP(C60,Schedule!$T$3:$U$34,2,0),"FA")</f>
        <v>8</v>
      </c>
      <c r="L60" s="10" t="str">
        <f>D60&amp;COUNTIF(D$2:$D60,D60)</f>
        <v>WR19</v>
      </c>
      <c r="M60" s="51">
        <f t="array" ref="M60">IFERROR(F60-AVERAGE(VLOOKUP(D60,$D61:$F$885,3,0),INDEX($F61:$F$885,SMALL(IF(D60=$D61:$D$885,ROW($D61:$D$885)-ROW(D60)),2))),0)</f>
        <v>2.0679551958494926</v>
      </c>
      <c r="N60" s="51">
        <f>IFERROR(IF(VLOOKUP($B60,Input!$AC$2:$AC$162,1,0)=$B60,0),F60)</f>
        <v>223.071072275256</v>
      </c>
      <c r="O60" s="51">
        <f>IFERROR(IF(VLOOKUP($B60,Input!$AC$2:$AC$162,1,0)=$B60,0,G60),G60)</f>
        <v>231.936118422351</v>
      </c>
      <c r="P60" s="51">
        <f>IF(N60=0,0,F60-AVERAGE(INDEX(F:F,MATCH(VLOOKUP(D60,Input!$A$14:$L$22,10,0),L:L,0)),INDEX(F:F,MATCH(VLOOKUP(D60,Input!$A$14:$L$22,11,0),L:L,0)),INDEX(F:F,MATCH(VLOOKUP(D60,Input!$A$14:$L$22,12,0),L:L,0)))+(0.01-ROW()*0.01))</f>
        <v>9.7031560059069797</v>
      </c>
      <c r="Q60" s="107">
        <f t="shared" si="0"/>
        <v>3.3475203267727799E-3</v>
      </c>
      <c r="R60" s="11">
        <f>IF(VLOOKUP($D60,$X$14:$Y$19,2,0)&lt;=0,1,IF(Q60&lt;0,1,ROUNDUP(IF(Q60*('Draft Center'!$L$28+'Draft Center'!$L$78-'Draft Center'!$L$82)&lt;1,1,Q60*('Draft Center'!$L$28+'Draft Center'!$L$78-'Draft Center'!$L$82)),0)))</f>
        <v>7</v>
      </c>
      <c r="S60" s="11">
        <f>IF(A60&lt;Input!$B$10+0.1,IF(ROUNDUP(R60*Input!$C$10,0)=0,1,ROUNDUP(R60*Input!$C$10,0)),IF(A60&gt;Input!$B$11,IF(ROUNDUP(R60*Input!$C$11,0)=0,1,ROUNDUP(R60*Input!$C$11,0)),IF(ROUNDUP(R60,0)=0,1,ROUNDUP(R60,0))))</f>
        <v>7</v>
      </c>
      <c r="T60" s="11">
        <f t="shared" si="1"/>
        <v>7</v>
      </c>
      <c r="U60" s="11">
        <f>IFERROR(VLOOKUP($B60,Input!$AC$2:$AE$161,3,0),0)</f>
        <v>0</v>
      </c>
      <c r="V60" s="257">
        <f t="shared" si="8"/>
        <v>-0.42088760330578512</v>
      </c>
      <c r="W60" s="264">
        <f t="shared" si="9"/>
        <v>-5.0993999999999993</v>
      </c>
      <c r="X60" s="27"/>
      <c r="Y60" s="23"/>
      <c r="Z60" s="23"/>
      <c r="AA60" s="23">
        <v>0</v>
      </c>
      <c r="AB60" s="23" t="str">
        <f t="shared" si="34"/>
        <v/>
      </c>
      <c r="AC60" s="23" t="str">
        <f t="shared" si="34"/>
        <v/>
      </c>
      <c r="AD60" s="23">
        <f t="shared" si="34"/>
        <v>0</v>
      </c>
      <c r="AE60" s="23" t="str">
        <f t="shared" si="34"/>
        <v/>
      </c>
      <c r="AF60" s="23" t="str">
        <f t="shared" si="34"/>
        <v/>
      </c>
      <c r="AG60" s="23" t="str">
        <f t="shared" si="34"/>
        <v/>
      </c>
      <c r="AH60" s="23">
        <f t="shared" si="3"/>
        <v>0</v>
      </c>
      <c r="AI60" s="23">
        <f t="shared" si="4"/>
        <v>0</v>
      </c>
      <c r="AJ60" s="69">
        <v>7</v>
      </c>
      <c r="AK60" s="225">
        <v>2327.0337</v>
      </c>
      <c r="AL60" s="33">
        <v>7</v>
      </c>
      <c r="AM60" s="204">
        <v>2327.0337</v>
      </c>
      <c r="AN60" s="196"/>
      <c r="AO60" s="23"/>
      <c r="AP60" s="23"/>
      <c r="AQ60" s="23"/>
      <c r="AR60" s="23"/>
      <c r="AS60" s="23"/>
      <c r="AT60" s="23"/>
      <c r="AU60" s="23"/>
      <c r="AV60" s="23"/>
      <c r="AW60" s="23"/>
      <c r="AX60" s="23"/>
      <c r="AY60" s="23"/>
      <c r="AZ60" s="196"/>
      <c r="BA60" s="69">
        <f>IF(VLOOKUP($D60,$AO$14:AQ$19,COLUMN()-50,0)&lt;=0,1,IF($Q60&lt;0,1,ROUNDUP(IF($Q60*('Draft Center'!$L$28+'Draft Center'!$L$78-'Draft Center'!$L$82)&lt;1,1,$Q60*('Draft Center'!$L$28+'Draft Center'!$L$78-'Draft Center'!$L$82)),0)))</f>
        <v>7</v>
      </c>
      <c r="BB60" s="69">
        <f>IF(VLOOKUP($D60,$AO$14:AR$19,COLUMN()-50,0)&lt;=0,1,IF($Q60&lt;0,1,ROUNDUP(IF($Q60*('Draft Center'!$L$28+'Draft Center'!$L$78-'Draft Center'!$L$82)&lt;1,1,$Q60*('Draft Center'!$L$28+'Draft Center'!$L$78-'Draft Center'!$L$82)),0)))</f>
        <v>7</v>
      </c>
      <c r="BC60" s="69">
        <f>IF(VLOOKUP($D60,$AO$14:AS$19,COLUMN()-50,0)&lt;=0,1,IF($Q60&lt;0,1,ROUNDUP(IF($Q60*('Draft Center'!$L$28+'Draft Center'!$L$78-'Draft Center'!$L$82)&lt;1,1,$Q60*('Draft Center'!$L$28+'Draft Center'!$L$78-'Draft Center'!$L$82)),0)))</f>
        <v>7</v>
      </c>
      <c r="BD60" s="69">
        <f>IF(VLOOKUP($D60,$AO$14:AT$19,COLUMN()-50,0)&lt;=0,1,IF($Q60&lt;0,1,ROUNDUP(IF($Q60*('Draft Center'!$L$28+'Draft Center'!$L$78-'Draft Center'!$L$82)&lt;1,1,$Q60*('Draft Center'!$L$28+'Draft Center'!$L$78-'Draft Center'!$L$82)),0)))</f>
        <v>7</v>
      </c>
      <c r="BE60" s="69">
        <f>IF(VLOOKUP($D60,$AO$14:AU$19,COLUMN()-50,0)&lt;=0,1,IF($Q60&lt;0,1,ROUNDUP(IF($Q60*('Draft Center'!$L$28+'Draft Center'!$L$78-'Draft Center'!$L$82)&lt;1,1,$Q60*('Draft Center'!$L$28+'Draft Center'!$L$78-'Draft Center'!$L$82)),0)))</f>
        <v>7</v>
      </c>
      <c r="BF60" s="69">
        <f>IF(VLOOKUP($D60,$AO$14:AV$19,COLUMN()-50,0)&lt;=0,1,IF($Q60&lt;0,1,ROUNDUP(IF($Q60*('Draft Center'!$L$28+'Draft Center'!$L$78-'Draft Center'!$L$82)&lt;1,1,$Q60*('Draft Center'!$L$28+'Draft Center'!$L$78-'Draft Center'!$L$82)),0)))</f>
        <v>7</v>
      </c>
      <c r="BG60" s="69">
        <f>IF(VLOOKUP($D60,$AO$14:AW$19,COLUMN()-50,0)&lt;=0,1,IF($Q60&lt;0,1,ROUNDUP(IF($Q60*('Draft Center'!$L$28+'Draft Center'!$L$78-'Draft Center'!$L$82)&lt;1,1,$Q60*('Draft Center'!$L$28+'Draft Center'!$L$78-'Draft Center'!$L$82)),0)))</f>
        <v>7</v>
      </c>
      <c r="BH60" s="69">
        <f>IF(VLOOKUP($D60,$AO$14:AX$19,COLUMN()-50,0)&lt;=0,1,IF($Q60&lt;0,1,ROUNDUP(IF($Q60*('Draft Center'!$L$28+'Draft Center'!$L$78-'Draft Center'!$L$82)&lt;1,1,$Q60*('Draft Center'!$L$28+'Draft Center'!$L$78-'Draft Center'!$L$82)),0)))</f>
        <v>7</v>
      </c>
      <c r="BI60" s="69">
        <f>IF(VLOOKUP($D60,$AO$14:AY$19,COLUMN()-50,0)&lt;=0,1,IF($Q60&lt;0,1,ROUNDUP(IF($Q60*('Draft Center'!$L$28+'Draft Center'!$L$78-'Draft Center'!$L$82)&lt;1,1,$Q60*('Draft Center'!$L$28+'Draft Center'!$L$78-'Draft Center'!$L$82)),0)))</f>
        <v>7</v>
      </c>
      <c r="BJ60" s="196"/>
      <c r="BK60" s="23">
        <v>0</v>
      </c>
      <c r="BL60" s="23" t="str">
        <f t="shared" si="35"/>
        <v/>
      </c>
      <c r="BM60" s="23">
        <v>0</v>
      </c>
      <c r="BN60" s="23">
        <f t="shared" si="35"/>
        <v>0</v>
      </c>
      <c r="BO60" s="23" t="str">
        <f t="shared" si="35"/>
        <v/>
      </c>
      <c r="BP60" s="23" t="str">
        <f t="shared" si="35"/>
        <v/>
      </c>
      <c r="BQ60" s="23" t="str">
        <f t="shared" si="35"/>
        <v/>
      </c>
      <c r="BR60" s="23">
        <f t="shared" si="6"/>
        <v>0</v>
      </c>
      <c r="BS60" s="23">
        <f t="shared" si="7"/>
        <v>0</v>
      </c>
      <c r="BT60" s="69">
        <v>7</v>
      </c>
      <c r="BU60" s="58">
        <v>2327.0337</v>
      </c>
      <c r="BV60" s="33">
        <v>7</v>
      </c>
      <c r="BW60" s="204">
        <v>2327.0337</v>
      </c>
      <c r="BX60" s="23"/>
      <c r="BY60" s="69">
        <v>7</v>
      </c>
      <c r="BZ60" s="69">
        <v>12.1</v>
      </c>
      <c r="CA60" s="69">
        <v>12.1</v>
      </c>
      <c r="CB60" s="69">
        <v>12.1</v>
      </c>
      <c r="CC60" s="69">
        <f t="shared" si="10"/>
        <v>12.1</v>
      </c>
      <c r="CD60" s="69">
        <f t="shared" si="11"/>
        <v>12.1</v>
      </c>
    </row>
    <row r="61" spans="1:82" ht="15.75" customHeight="1" thickBot="1" x14ac:dyDescent="0.3">
      <c r="A61" s="6">
        <v>60</v>
      </c>
      <c r="B61" s="7" t="s">
        <v>122</v>
      </c>
      <c r="C61" s="7" t="s">
        <v>85</v>
      </c>
      <c r="D61" s="7" t="s">
        <v>53</v>
      </c>
      <c r="E61" s="50">
        <v>10.128330223612901</v>
      </c>
      <c r="F61" s="50">
        <v>282.47597385644798</v>
      </c>
      <c r="G61" s="50">
        <v>305.01393683840399</v>
      </c>
      <c r="H61" s="50">
        <v>217.93700000000001</v>
      </c>
      <c r="I61" s="8">
        <v>4.8</v>
      </c>
      <c r="J61" s="50">
        <v>5.9161994827868698</v>
      </c>
      <c r="K61" s="248">
        <f>IFERROR(VLOOKUP(C61,Schedule!$T$3:$U$34,2,0),"FA")</f>
        <v>11</v>
      </c>
      <c r="L61" s="7" t="str">
        <f>D61&amp;COUNTIF(D$2:$D61,D61)</f>
        <v>QB7</v>
      </c>
      <c r="M61" s="50">
        <f t="array" ref="M61">IFERROR(F61-AVERAGE(VLOOKUP(D61,$D62:$F$885,3,0),INDEX($F62:$F$885,SMALL(IF(D61=$D62:$D$885,ROW($D62:$D$885)-ROW(D61)),2))),0)</f>
        <v>7.8225463835399864</v>
      </c>
      <c r="N61" s="50">
        <f>IFERROR(IF(VLOOKUP($B61,Input!$AC$2:$AC$162,1,0)=$B61,0),F61)</f>
        <v>282.47597385644798</v>
      </c>
      <c r="O61" s="50">
        <f>IFERROR(IF(VLOOKUP($B61,Input!$AC$2:$AC$162,1,0)=$B61,0,G61),G61)</f>
        <v>305.01393683840399</v>
      </c>
      <c r="P61" s="50">
        <f>IF(N61=0,0,F61-AVERAGE(INDEX(F:F,MATCH(VLOOKUP(D61,Input!$A$14:$L$22,10,0),L:L,0)),INDEX(F:F,MATCH(VLOOKUP(D61,Input!$A$14:$L$22,11,0),L:L,0)),INDEX(F:F,MATCH(VLOOKUP(D61,Input!$A$14:$L$22,12,0),L:L,0)))+(0.01-ROW()*0.01))</f>
        <v>9.5283302236123522</v>
      </c>
      <c r="Q61" s="106">
        <f t="shared" si="0"/>
        <v>3.2872066659887064E-3</v>
      </c>
      <c r="R61" s="8">
        <f>IF(VLOOKUP($D61,$X$14:$Y$19,2,0)&lt;=0,1,IF(Q61&lt;0,1,ROUNDUP(IF(Q61*('Draft Center'!$L$28+'Draft Center'!$L$78-'Draft Center'!$L$82)&lt;1,1,Q61*('Draft Center'!$L$28+'Draft Center'!$L$78-'Draft Center'!$L$82)),0)))</f>
        <v>7</v>
      </c>
      <c r="S61" s="8">
        <f>IF(A61&lt;Input!$B$10+0.1,IF(ROUNDUP(R61*Input!$C$10,0)=0,1,ROUNDUP(R61*Input!$C$10,0)),IF(A61&gt;Input!$B$11,IF(ROUNDUP(R61*Input!$C$11,0)=0,1,ROUNDUP(R61*Input!$C$11,0)),IF(ROUNDUP(R61,0)=0,1,ROUNDUP(R61,0))))</f>
        <v>7</v>
      </c>
      <c r="T61" s="8">
        <f t="shared" si="1"/>
        <v>7</v>
      </c>
      <c r="U61" s="8">
        <f>IFERROR(VLOOKUP($B61,Input!$AC$2:$AE$161,3,0),0)</f>
        <v>0</v>
      </c>
      <c r="V61" s="256">
        <f t="shared" si="8"/>
        <v>0.45894333333333337</v>
      </c>
      <c r="W61" s="263">
        <f t="shared" si="9"/>
        <v>2.2006100000000002</v>
      </c>
      <c r="X61" s="27"/>
      <c r="Y61" s="23"/>
      <c r="Z61" s="23"/>
      <c r="AA61" s="23">
        <v>0</v>
      </c>
      <c r="AB61" s="23">
        <f t="shared" si="34"/>
        <v>0</v>
      </c>
      <c r="AC61" s="23" t="str">
        <f t="shared" si="34"/>
        <v/>
      </c>
      <c r="AD61" s="23" t="str">
        <f t="shared" si="34"/>
        <v/>
      </c>
      <c r="AE61" s="23" t="str">
        <f t="shared" si="34"/>
        <v/>
      </c>
      <c r="AF61" s="23" t="str">
        <f t="shared" si="34"/>
        <v/>
      </c>
      <c r="AG61" s="23" t="str">
        <f t="shared" si="34"/>
        <v/>
      </c>
      <c r="AH61" s="23">
        <f t="shared" si="3"/>
        <v>0</v>
      </c>
      <c r="AI61" s="23">
        <f t="shared" si="4"/>
        <v>0</v>
      </c>
      <c r="AJ61" s="70">
        <v>7</v>
      </c>
      <c r="AK61" s="225">
        <v>2327.0337</v>
      </c>
      <c r="AL61" s="33">
        <v>7</v>
      </c>
      <c r="AM61" s="204">
        <v>2327.0337</v>
      </c>
      <c r="AN61" s="196"/>
      <c r="AO61" s="23"/>
      <c r="AP61" s="23"/>
      <c r="AQ61" s="23"/>
      <c r="AR61" s="23"/>
      <c r="AS61" s="23"/>
      <c r="AT61" s="23"/>
      <c r="AU61" s="23"/>
      <c r="AV61" s="23"/>
      <c r="AW61" s="23"/>
      <c r="AX61" s="23"/>
      <c r="AY61" s="23"/>
      <c r="AZ61" s="196"/>
      <c r="BA61" s="70">
        <f>IF(VLOOKUP($D61,$AO$14:AQ$19,COLUMN()-50,0)&lt;=0,1,IF($Q61&lt;0,1,ROUNDUP(IF($Q61*('Draft Center'!$L$28+'Draft Center'!$L$78-'Draft Center'!$L$82)&lt;1,1,$Q61*('Draft Center'!$L$28+'Draft Center'!$L$78-'Draft Center'!$L$82)),0)))</f>
        <v>7</v>
      </c>
      <c r="BB61" s="70">
        <f>IF(VLOOKUP($D61,$AO$14:AR$19,COLUMN()-50,0)&lt;=0,1,IF($Q61&lt;0,1,ROUNDUP(IF($Q61*('Draft Center'!$L$28+'Draft Center'!$L$78-'Draft Center'!$L$82)&lt;1,1,$Q61*('Draft Center'!$L$28+'Draft Center'!$L$78-'Draft Center'!$L$82)),0)))</f>
        <v>7</v>
      </c>
      <c r="BC61" s="70">
        <f>IF(VLOOKUP($D61,$AO$14:AS$19,COLUMN()-50,0)&lt;=0,1,IF($Q61&lt;0,1,ROUNDUP(IF($Q61*('Draft Center'!$L$28+'Draft Center'!$L$78-'Draft Center'!$L$82)&lt;1,1,$Q61*('Draft Center'!$L$28+'Draft Center'!$L$78-'Draft Center'!$L$82)),0)))</f>
        <v>7</v>
      </c>
      <c r="BD61" s="70">
        <f>IF(VLOOKUP($D61,$AO$14:AT$19,COLUMN()-50,0)&lt;=0,1,IF($Q61&lt;0,1,ROUNDUP(IF($Q61*('Draft Center'!$L$28+'Draft Center'!$L$78-'Draft Center'!$L$82)&lt;1,1,$Q61*('Draft Center'!$L$28+'Draft Center'!$L$78-'Draft Center'!$L$82)),0)))</f>
        <v>7</v>
      </c>
      <c r="BE61" s="70">
        <f>IF(VLOOKUP($D61,$AO$14:AU$19,COLUMN()-50,0)&lt;=0,1,IF($Q61&lt;0,1,ROUNDUP(IF($Q61*('Draft Center'!$L$28+'Draft Center'!$L$78-'Draft Center'!$L$82)&lt;1,1,$Q61*('Draft Center'!$L$28+'Draft Center'!$L$78-'Draft Center'!$L$82)),0)))</f>
        <v>7</v>
      </c>
      <c r="BF61" s="70">
        <f>IF(VLOOKUP($D61,$AO$14:AV$19,COLUMN()-50,0)&lt;=0,1,IF($Q61&lt;0,1,ROUNDUP(IF($Q61*('Draft Center'!$L$28+'Draft Center'!$L$78-'Draft Center'!$L$82)&lt;1,1,$Q61*('Draft Center'!$L$28+'Draft Center'!$L$78-'Draft Center'!$L$82)),0)))</f>
        <v>7</v>
      </c>
      <c r="BG61" s="70">
        <f>IF(VLOOKUP($D61,$AO$14:AW$19,COLUMN()-50,0)&lt;=0,1,IF($Q61&lt;0,1,ROUNDUP(IF($Q61*('Draft Center'!$L$28+'Draft Center'!$L$78-'Draft Center'!$L$82)&lt;1,1,$Q61*('Draft Center'!$L$28+'Draft Center'!$L$78-'Draft Center'!$L$82)),0)))</f>
        <v>7</v>
      </c>
      <c r="BH61" s="70">
        <f>IF(VLOOKUP($D61,$AO$14:AX$19,COLUMN()-50,0)&lt;=0,1,IF($Q61&lt;0,1,ROUNDUP(IF($Q61*('Draft Center'!$L$28+'Draft Center'!$L$78-'Draft Center'!$L$82)&lt;1,1,$Q61*('Draft Center'!$L$28+'Draft Center'!$L$78-'Draft Center'!$L$82)),0)))</f>
        <v>7</v>
      </c>
      <c r="BI61" s="70">
        <f>IF(VLOOKUP($D61,$AO$14:AY$19,COLUMN()-50,0)&lt;=0,1,IF($Q61&lt;0,1,ROUNDUP(IF($Q61*('Draft Center'!$L$28+'Draft Center'!$L$78-'Draft Center'!$L$82)&lt;1,1,$Q61*('Draft Center'!$L$28+'Draft Center'!$L$78-'Draft Center'!$L$82)),0)))</f>
        <v>7</v>
      </c>
      <c r="BJ61" s="196"/>
      <c r="BK61" s="23">
        <v>0</v>
      </c>
      <c r="BL61" s="23">
        <f t="shared" si="35"/>
        <v>0</v>
      </c>
      <c r="BM61" s="23">
        <v>0</v>
      </c>
      <c r="BN61" s="23" t="str">
        <f t="shared" si="35"/>
        <v/>
      </c>
      <c r="BO61" s="23" t="str">
        <f t="shared" si="35"/>
        <v/>
      </c>
      <c r="BP61" s="23" t="str">
        <f t="shared" si="35"/>
        <v/>
      </c>
      <c r="BQ61" s="23" t="str">
        <f t="shared" si="35"/>
        <v/>
      </c>
      <c r="BR61" s="23">
        <f t="shared" si="6"/>
        <v>0</v>
      </c>
      <c r="BS61" s="23">
        <f t="shared" si="7"/>
        <v>0</v>
      </c>
      <c r="BT61" s="70">
        <v>7</v>
      </c>
      <c r="BU61" s="58">
        <v>2327.0337</v>
      </c>
      <c r="BV61" s="33">
        <v>7</v>
      </c>
      <c r="BW61" s="204">
        <v>2327.0337</v>
      </c>
      <c r="BX61" s="23"/>
      <c r="BY61" s="70">
        <v>7</v>
      </c>
      <c r="BZ61" s="70">
        <v>4.8</v>
      </c>
      <c r="CA61" s="70">
        <v>4.8</v>
      </c>
      <c r="CB61" s="70">
        <v>4.8</v>
      </c>
      <c r="CC61" s="70">
        <f t="shared" si="10"/>
        <v>4.8</v>
      </c>
      <c r="CD61" s="70">
        <f t="shared" si="11"/>
        <v>4.8</v>
      </c>
    </row>
    <row r="62" spans="1:82" ht="15.75" customHeight="1" thickBot="1" x14ac:dyDescent="0.3">
      <c r="A62" s="9">
        <v>61</v>
      </c>
      <c r="B62" s="10" t="s">
        <v>69</v>
      </c>
      <c r="C62" s="10" t="s">
        <v>42</v>
      </c>
      <c r="D62" s="10" t="s">
        <v>17</v>
      </c>
      <c r="E62" s="51">
        <v>10.019750034359401</v>
      </c>
      <c r="F62" s="51">
        <v>222.79766630370801</v>
      </c>
      <c r="G62" s="51">
        <v>234.29557654443499</v>
      </c>
      <c r="H62" s="51">
        <v>207.17799602585001</v>
      </c>
      <c r="I62" s="11">
        <v>18.8</v>
      </c>
      <c r="J62" s="51">
        <v>4.1399016038217296</v>
      </c>
      <c r="K62" s="249">
        <f>IFERROR(VLOOKUP(C62,Schedule!$T$3:$U$34,2,0),"FA")</f>
        <v>9</v>
      </c>
      <c r="L62" s="10" t="str">
        <f>D62&amp;COUNTIF(D$2:$D62,D62)</f>
        <v>WR20</v>
      </c>
      <c r="M62" s="51">
        <f t="array" ref="M62">IFERROR(F62-AVERAGE(VLOOKUP(D62,$D63:$F$885,3,0),INDEX($F63:$F$885,SMALL(IF(D62=$D63:$D$885,ROW($D63:$D$885)-ROW(D62)),2))),0)</f>
        <v>4.554196035828511</v>
      </c>
      <c r="N62" s="51">
        <f>IFERROR(IF(VLOOKUP($B62,Input!$AC$2:$AC$162,1,0)=$B62,0),F62)</f>
        <v>222.79766630370801</v>
      </c>
      <c r="O62" s="51">
        <f>IFERROR(IF(VLOOKUP($B62,Input!$AC$2:$AC$162,1,0)=$B62,0,G62),G62)</f>
        <v>234.29557654443499</v>
      </c>
      <c r="P62" s="51">
        <f>IF(N62=0,0,F62-AVERAGE(INDEX(F:F,MATCH(VLOOKUP(D62,Input!$A$14:$L$22,10,0),L:L,0)),INDEX(F:F,MATCH(VLOOKUP(D62,Input!$A$14:$L$22,11,0),L:L,0)),INDEX(F:F,MATCH(VLOOKUP(D62,Input!$A$14:$L$22,12,0),L:L,0)))+(0.01-ROW()*0.01))</f>
        <v>9.4097500343589928</v>
      </c>
      <c r="Q62" s="107">
        <f t="shared" si="0"/>
        <v>3.2462973377622478E-3</v>
      </c>
      <c r="R62" s="11">
        <f>IF(VLOOKUP($D62,$X$14:$Y$19,2,0)&lt;=0,1,IF(Q62&lt;0,1,ROUNDUP(IF(Q62*('Draft Center'!$L$28+'Draft Center'!$L$78-'Draft Center'!$L$82)&lt;1,1,Q62*('Draft Center'!$L$28+'Draft Center'!$L$78-'Draft Center'!$L$82)),0)))</f>
        <v>7</v>
      </c>
      <c r="S62" s="11">
        <f>IF(A62&lt;Input!$B$10+0.1,IF(ROUNDUP(R62*Input!$C$10,0)=0,1,ROUNDUP(R62*Input!$C$10,0)),IF(A62&gt;Input!$B$11,IF(ROUNDUP(R62*Input!$C$11,0)=0,1,ROUNDUP(R62*Input!$C$11,0)),IF(ROUNDUP(R62,0)=0,1,ROUNDUP(R62,0))))</f>
        <v>7</v>
      </c>
      <c r="T62" s="11">
        <f t="shared" si="1"/>
        <v>7</v>
      </c>
      <c r="U62" s="11">
        <f>IFERROR(VLOOKUP($B62,Input!$AC$2:$AE$161,3,0),0)</f>
        <v>0</v>
      </c>
      <c r="V62" s="257">
        <f t="shared" si="8"/>
        <v>-0.62703957446808511</v>
      </c>
      <c r="W62" s="264">
        <f t="shared" si="9"/>
        <v>-11.799380000000001</v>
      </c>
      <c r="X62" s="27"/>
      <c r="Y62" s="23"/>
      <c r="Z62" s="23"/>
      <c r="AA62" s="23">
        <v>0</v>
      </c>
      <c r="AB62" s="23" t="str">
        <f t="shared" ref="AB62:AG71" si="36">IF($D62=AB$1,1*$AA62,"")</f>
        <v/>
      </c>
      <c r="AC62" s="23" t="str">
        <f t="shared" si="36"/>
        <v/>
      </c>
      <c r="AD62" s="23">
        <f t="shared" si="36"/>
        <v>0</v>
      </c>
      <c r="AE62" s="23" t="str">
        <f t="shared" si="36"/>
        <v/>
      </c>
      <c r="AF62" s="23" t="str">
        <f t="shared" si="36"/>
        <v/>
      </c>
      <c r="AG62" s="23" t="str">
        <f t="shared" si="36"/>
        <v/>
      </c>
      <c r="AH62" s="23">
        <f t="shared" si="3"/>
        <v>0</v>
      </c>
      <c r="AI62" s="23">
        <f t="shared" si="4"/>
        <v>0</v>
      </c>
      <c r="AJ62" s="69">
        <v>7</v>
      </c>
      <c r="AK62" s="225">
        <v>2327.0337</v>
      </c>
      <c r="AL62" s="33">
        <v>7</v>
      </c>
      <c r="AM62" s="204">
        <v>2327.0337</v>
      </c>
      <c r="AN62" s="196"/>
      <c r="AO62" s="23"/>
      <c r="AP62" s="23"/>
      <c r="AQ62" s="23"/>
      <c r="AR62" s="23"/>
      <c r="AS62" s="23"/>
      <c r="AT62" s="23"/>
      <c r="AU62" s="23"/>
      <c r="AV62" s="23"/>
      <c r="AW62" s="23"/>
      <c r="AX62" s="23"/>
      <c r="AY62" s="23"/>
      <c r="AZ62" s="196"/>
      <c r="BA62" s="69">
        <f>IF(VLOOKUP($D62,$AO$14:AQ$19,COLUMN()-50,0)&lt;=0,1,IF($Q62&lt;0,1,ROUNDUP(IF($Q62*('Draft Center'!$L$28+'Draft Center'!$L$78-'Draft Center'!$L$82)&lt;1,1,$Q62*('Draft Center'!$L$28+'Draft Center'!$L$78-'Draft Center'!$L$82)),0)))</f>
        <v>7</v>
      </c>
      <c r="BB62" s="69">
        <f>IF(VLOOKUP($D62,$AO$14:AR$19,COLUMN()-50,0)&lt;=0,1,IF($Q62&lt;0,1,ROUNDUP(IF($Q62*('Draft Center'!$L$28+'Draft Center'!$L$78-'Draft Center'!$L$82)&lt;1,1,$Q62*('Draft Center'!$L$28+'Draft Center'!$L$78-'Draft Center'!$L$82)),0)))</f>
        <v>7</v>
      </c>
      <c r="BC62" s="69">
        <f>IF(VLOOKUP($D62,$AO$14:AS$19,COLUMN()-50,0)&lt;=0,1,IF($Q62&lt;0,1,ROUNDUP(IF($Q62*('Draft Center'!$L$28+'Draft Center'!$L$78-'Draft Center'!$L$82)&lt;1,1,$Q62*('Draft Center'!$L$28+'Draft Center'!$L$78-'Draft Center'!$L$82)),0)))</f>
        <v>7</v>
      </c>
      <c r="BD62" s="69">
        <f>IF(VLOOKUP($D62,$AO$14:AT$19,COLUMN()-50,0)&lt;=0,1,IF($Q62&lt;0,1,ROUNDUP(IF($Q62*('Draft Center'!$L$28+'Draft Center'!$L$78-'Draft Center'!$L$82)&lt;1,1,$Q62*('Draft Center'!$L$28+'Draft Center'!$L$78-'Draft Center'!$L$82)),0)))</f>
        <v>7</v>
      </c>
      <c r="BE62" s="69">
        <f>IF(VLOOKUP($D62,$AO$14:AU$19,COLUMN()-50,0)&lt;=0,1,IF($Q62&lt;0,1,ROUNDUP(IF($Q62*('Draft Center'!$L$28+'Draft Center'!$L$78-'Draft Center'!$L$82)&lt;1,1,$Q62*('Draft Center'!$L$28+'Draft Center'!$L$78-'Draft Center'!$L$82)),0)))</f>
        <v>7</v>
      </c>
      <c r="BF62" s="69">
        <f>IF(VLOOKUP($D62,$AO$14:AV$19,COLUMN()-50,0)&lt;=0,1,IF($Q62&lt;0,1,ROUNDUP(IF($Q62*('Draft Center'!$L$28+'Draft Center'!$L$78-'Draft Center'!$L$82)&lt;1,1,$Q62*('Draft Center'!$L$28+'Draft Center'!$L$78-'Draft Center'!$L$82)),0)))</f>
        <v>7</v>
      </c>
      <c r="BG62" s="69">
        <f>IF(VLOOKUP($D62,$AO$14:AW$19,COLUMN()-50,0)&lt;=0,1,IF($Q62&lt;0,1,ROUNDUP(IF($Q62*('Draft Center'!$L$28+'Draft Center'!$L$78-'Draft Center'!$L$82)&lt;1,1,$Q62*('Draft Center'!$L$28+'Draft Center'!$L$78-'Draft Center'!$L$82)),0)))</f>
        <v>7</v>
      </c>
      <c r="BH62" s="69">
        <f>IF(VLOOKUP($D62,$AO$14:AX$19,COLUMN()-50,0)&lt;=0,1,IF($Q62&lt;0,1,ROUNDUP(IF($Q62*('Draft Center'!$L$28+'Draft Center'!$L$78-'Draft Center'!$L$82)&lt;1,1,$Q62*('Draft Center'!$L$28+'Draft Center'!$L$78-'Draft Center'!$L$82)),0)))</f>
        <v>7</v>
      </c>
      <c r="BI62" s="69">
        <f>IF(VLOOKUP($D62,$AO$14:AY$19,COLUMN()-50,0)&lt;=0,1,IF($Q62&lt;0,1,ROUNDUP(IF($Q62*('Draft Center'!$L$28+'Draft Center'!$L$78-'Draft Center'!$L$82)&lt;1,1,$Q62*('Draft Center'!$L$28+'Draft Center'!$L$78-'Draft Center'!$L$82)),0)))</f>
        <v>7</v>
      </c>
      <c r="BJ62" s="196"/>
      <c r="BK62" s="23">
        <v>0</v>
      </c>
      <c r="BL62" s="23" t="str">
        <f t="shared" ref="BL62:BQ71" si="37">IF($D62=BL$1,1*$BK62,"")</f>
        <v/>
      </c>
      <c r="BM62" s="23">
        <v>0</v>
      </c>
      <c r="BN62" s="23">
        <f t="shared" si="37"/>
        <v>0</v>
      </c>
      <c r="BO62" s="23" t="str">
        <f t="shared" si="37"/>
        <v/>
      </c>
      <c r="BP62" s="23" t="str">
        <f t="shared" si="37"/>
        <v/>
      </c>
      <c r="BQ62" s="23" t="str">
        <f t="shared" si="37"/>
        <v/>
      </c>
      <c r="BR62" s="23">
        <f t="shared" si="6"/>
        <v>0</v>
      </c>
      <c r="BS62" s="23">
        <f t="shared" si="7"/>
        <v>0</v>
      </c>
      <c r="BT62" s="69">
        <v>7</v>
      </c>
      <c r="BU62" s="58">
        <v>2327.0337</v>
      </c>
      <c r="BV62" s="33">
        <v>7</v>
      </c>
      <c r="BW62" s="204">
        <v>2327.0337</v>
      </c>
      <c r="BX62" s="23"/>
      <c r="BY62" s="69">
        <v>7</v>
      </c>
      <c r="BZ62" s="69">
        <v>18.8</v>
      </c>
      <c r="CA62" s="69">
        <v>18.8</v>
      </c>
      <c r="CB62" s="69">
        <v>18.8</v>
      </c>
      <c r="CC62" s="69">
        <f t="shared" si="10"/>
        <v>18.8</v>
      </c>
      <c r="CD62" s="69">
        <f t="shared" si="11"/>
        <v>18.8</v>
      </c>
    </row>
    <row r="63" spans="1:82" ht="15.75" customHeight="1" thickBot="1" x14ac:dyDescent="0.3">
      <c r="A63" s="6">
        <v>62</v>
      </c>
      <c r="B63" s="7" t="s">
        <v>196</v>
      </c>
      <c r="C63" s="7" t="s">
        <v>68</v>
      </c>
      <c r="D63" s="7" t="s">
        <v>135</v>
      </c>
      <c r="E63" s="50">
        <v>9.40939737199818</v>
      </c>
      <c r="F63" s="50">
        <v>118.140956048935</v>
      </c>
      <c r="G63" s="50">
        <v>135.730642201835</v>
      </c>
      <c r="H63" s="50">
        <v>80.5</v>
      </c>
      <c r="I63" s="8">
        <v>1.6</v>
      </c>
      <c r="J63" s="50">
        <v>5.5052685413186202</v>
      </c>
      <c r="K63" s="248">
        <f>IFERROR(VLOOKUP(C63,Schedule!$T$3:$U$34,2,0),"FA")</f>
        <v>8</v>
      </c>
      <c r="L63" s="7" t="str">
        <f>D63&amp;COUNTIF(D$2:$D63,D63)</f>
        <v>DST6</v>
      </c>
      <c r="M63" s="50">
        <f t="array" ref="M63">IFERROR(F63-AVERAGE(VLOOKUP(D63,$D64:$F$885,3,0),INDEX($F64:$F$885,SMALL(IF(D63=$D64:$D$885,ROW($D64:$D$885)-ROW(D63)),2))),0)</f>
        <v>1.4378371272874944</v>
      </c>
      <c r="N63" s="50">
        <f>IFERROR(IF(VLOOKUP($B63,Input!$AC$2:$AC$162,1,0)=$B63,0),F63)</f>
        <v>118.140956048935</v>
      </c>
      <c r="O63" s="50">
        <f>IFERROR(IF(VLOOKUP($B63,Input!$AC$2:$AC$162,1,0)=$B63,0,G63),G63)</f>
        <v>135.730642201835</v>
      </c>
      <c r="P63" s="50">
        <f>IF(N63=0,0,F63-AVERAGE(INDEX(F:F,MATCH(VLOOKUP(D63,Input!$A$14:$L$22,10,0),L:L,0)),INDEX(F:F,MATCH(VLOOKUP(D63,Input!$A$14:$L$22,11,0),L:L,0)),INDEX(F:F,MATCH(VLOOKUP(D63,Input!$A$14:$L$22,12,0),L:L,0)))+(0.01-ROW()*0.01))</f>
        <v>9.832569098322983</v>
      </c>
      <c r="Q63" s="106">
        <f t="shared" si="0"/>
        <v>3.3921669301201205E-3</v>
      </c>
      <c r="R63" s="8">
        <f>IF(VLOOKUP($D63,$X$14:$Y$19,2,0)&lt;=0,1,IF(Q63&lt;0,1,ROUNDUP(IF(Q63*('Draft Center'!$L$28+'Draft Center'!$L$78-'Draft Center'!$L$82)&lt;1,1,Q63*('Draft Center'!$L$28+'Draft Center'!$L$78-'Draft Center'!$L$82)),0)))</f>
        <v>7</v>
      </c>
      <c r="S63" s="8">
        <f>IF(A63&lt;Input!$B$10+0.1,IF(ROUNDUP(R63*Input!$C$10,0)=0,1,ROUNDUP(R63*Input!$C$10,0)),IF(A63&gt;Input!$B$11,IF(ROUNDUP(R63*Input!$C$11,0)=0,1,ROUNDUP(R63*Input!$C$11,0)),IF(ROUNDUP(R63,0)=0,1,ROUNDUP(R63,0))))</f>
        <v>7</v>
      </c>
      <c r="T63" s="8">
        <f t="shared" si="1"/>
        <v>7</v>
      </c>
      <c r="U63" s="8">
        <f>IFERROR(VLOOKUP($B63,Input!$AC$2:$AE$161,3,0),0)</f>
        <v>0</v>
      </c>
      <c r="V63" s="256">
        <f t="shared" si="8"/>
        <v>3.3756300000000001</v>
      </c>
      <c r="W63" s="263">
        <f t="shared" si="9"/>
        <v>5.4006300000000005</v>
      </c>
      <c r="X63" s="27"/>
      <c r="Y63" s="23"/>
      <c r="Z63" s="23"/>
      <c r="AA63" s="23">
        <v>0</v>
      </c>
      <c r="AB63" s="23" t="str">
        <f t="shared" si="36"/>
        <v/>
      </c>
      <c r="AC63" s="23" t="str">
        <f t="shared" si="36"/>
        <v/>
      </c>
      <c r="AD63" s="23" t="str">
        <f t="shared" si="36"/>
        <v/>
      </c>
      <c r="AE63" s="23" t="str">
        <f t="shared" si="36"/>
        <v/>
      </c>
      <c r="AF63" s="23">
        <f t="shared" si="36"/>
        <v>0</v>
      </c>
      <c r="AG63" s="23" t="str">
        <f t="shared" si="36"/>
        <v/>
      </c>
      <c r="AH63" s="23">
        <f t="shared" si="3"/>
        <v>0</v>
      </c>
      <c r="AI63" s="23">
        <f t="shared" si="4"/>
        <v>0</v>
      </c>
      <c r="AJ63" s="70">
        <v>7</v>
      </c>
      <c r="AK63" s="225">
        <v>2327.0337</v>
      </c>
      <c r="AL63" s="33">
        <v>7</v>
      </c>
      <c r="AM63" s="204">
        <v>2327.0337</v>
      </c>
      <c r="AN63" s="196"/>
      <c r="AO63" s="23"/>
      <c r="AP63" s="23"/>
      <c r="AQ63" s="23"/>
      <c r="AR63" s="23"/>
      <c r="AS63" s="23"/>
      <c r="AT63" s="23"/>
      <c r="AU63" s="23"/>
      <c r="AV63" s="23"/>
      <c r="AW63" s="23"/>
      <c r="AX63" s="23"/>
      <c r="AY63" s="23"/>
      <c r="AZ63" s="196"/>
      <c r="BA63" s="70">
        <f>IF(VLOOKUP($D63,$AO$14:AQ$19,COLUMN()-50,0)&lt;=0,1,IF($Q63&lt;0,1,ROUNDUP(IF($Q63*('Draft Center'!$L$28+'Draft Center'!$L$78-'Draft Center'!$L$82)&lt;1,1,$Q63*('Draft Center'!$L$28+'Draft Center'!$L$78-'Draft Center'!$L$82)),0)))</f>
        <v>7</v>
      </c>
      <c r="BB63" s="70">
        <f>IF(VLOOKUP($D63,$AO$14:AR$19,COLUMN()-50,0)&lt;=0,1,IF($Q63&lt;0,1,ROUNDUP(IF($Q63*('Draft Center'!$L$28+'Draft Center'!$L$78-'Draft Center'!$L$82)&lt;1,1,$Q63*('Draft Center'!$L$28+'Draft Center'!$L$78-'Draft Center'!$L$82)),0)))</f>
        <v>7</v>
      </c>
      <c r="BC63" s="70">
        <f>IF(VLOOKUP($D63,$AO$14:AS$19,COLUMN()-50,0)&lt;=0,1,IF($Q63&lt;0,1,ROUNDUP(IF($Q63*('Draft Center'!$L$28+'Draft Center'!$L$78-'Draft Center'!$L$82)&lt;1,1,$Q63*('Draft Center'!$L$28+'Draft Center'!$L$78-'Draft Center'!$L$82)),0)))</f>
        <v>7</v>
      </c>
      <c r="BD63" s="70">
        <f>IF(VLOOKUP($D63,$AO$14:AT$19,COLUMN()-50,0)&lt;=0,1,IF($Q63&lt;0,1,ROUNDUP(IF($Q63*('Draft Center'!$L$28+'Draft Center'!$L$78-'Draft Center'!$L$82)&lt;1,1,$Q63*('Draft Center'!$L$28+'Draft Center'!$L$78-'Draft Center'!$L$82)),0)))</f>
        <v>7</v>
      </c>
      <c r="BE63" s="70">
        <f>IF(VLOOKUP($D63,$AO$14:AU$19,COLUMN()-50,0)&lt;=0,1,IF($Q63&lt;0,1,ROUNDUP(IF($Q63*('Draft Center'!$L$28+'Draft Center'!$L$78-'Draft Center'!$L$82)&lt;1,1,$Q63*('Draft Center'!$L$28+'Draft Center'!$L$78-'Draft Center'!$L$82)),0)))</f>
        <v>7</v>
      </c>
      <c r="BF63" s="70">
        <f>IF(VLOOKUP($D63,$AO$14:AV$19,COLUMN()-50,0)&lt;=0,1,IF($Q63&lt;0,1,ROUNDUP(IF($Q63*('Draft Center'!$L$28+'Draft Center'!$L$78-'Draft Center'!$L$82)&lt;1,1,$Q63*('Draft Center'!$L$28+'Draft Center'!$L$78-'Draft Center'!$L$82)),0)))</f>
        <v>7</v>
      </c>
      <c r="BG63" s="70">
        <f>IF(VLOOKUP($D63,$AO$14:AW$19,COLUMN()-50,0)&lt;=0,1,IF($Q63&lt;0,1,ROUNDUP(IF($Q63*('Draft Center'!$L$28+'Draft Center'!$L$78-'Draft Center'!$L$82)&lt;1,1,$Q63*('Draft Center'!$L$28+'Draft Center'!$L$78-'Draft Center'!$L$82)),0)))</f>
        <v>7</v>
      </c>
      <c r="BH63" s="70">
        <f>IF(VLOOKUP($D63,$AO$14:AX$19,COLUMN()-50,0)&lt;=0,1,IF($Q63&lt;0,1,ROUNDUP(IF($Q63*('Draft Center'!$L$28+'Draft Center'!$L$78-'Draft Center'!$L$82)&lt;1,1,$Q63*('Draft Center'!$L$28+'Draft Center'!$L$78-'Draft Center'!$L$82)),0)))</f>
        <v>7</v>
      </c>
      <c r="BI63" s="70">
        <f>IF(VLOOKUP($D63,$AO$14:AY$19,COLUMN()-50,0)&lt;=0,1,IF($Q63&lt;0,1,ROUNDUP(IF($Q63*('Draft Center'!$L$28+'Draft Center'!$L$78-'Draft Center'!$L$82)&lt;1,1,$Q63*('Draft Center'!$L$28+'Draft Center'!$L$78-'Draft Center'!$L$82)),0)))</f>
        <v>7</v>
      </c>
      <c r="BJ63" s="196"/>
      <c r="BK63" s="23">
        <v>0</v>
      </c>
      <c r="BL63" s="23" t="str">
        <f t="shared" si="37"/>
        <v/>
      </c>
      <c r="BM63" s="23">
        <v>0</v>
      </c>
      <c r="BN63" s="23" t="str">
        <f t="shared" si="37"/>
        <v/>
      </c>
      <c r="BO63" s="23" t="str">
        <f t="shared" si="37"/>
        <v/>
      </c>
      <c r="BP63" s="23">
        <f t="shared" si="37"/>
        <v>0</v>
      </c>
      <c r="BQ63" s="23" t="str">
        <f t="shared" si="37"/>
        <v/>
      </c>
      <c r="BR63" s="23">
        <f t="shared" si="6"/>
        <v>0</v>
      </c>
      <c r="BS63" s="23">
        <f t="shared" si="7"/>
        <v>0</v>
      </c>
      <c r="BT63" s="70">
        <v>7</v>
      </c>
      <c r="BU63" s="58">
        <v>2327.0337</v>
      </c>
      <c r="BV63" s="33">
        <v>7</v>
      </c>
      <c r="BW63" s="204">
        <v>2327.0337</v>
      </c>
      <c r="BX63" s="23"/>
      <c r="BY63" s="70">
        <v>7</v>
      </c>
      <c r="BZ63" s="70">
        <v>1.6</v>
      </c>
      <c r="CA63" s="70">
        <v>1.6</v>
      </c>
      <c r="CB63" s="70">
        <v>1.6</v>
      </c>
      <c r="CC63" s="70">
        <f t="shared" si="10"/>
        <v>1.6000000000000003</v>
      </c>
      <c r="CD63" s="70">
        <f t="shared" si="11"/>
        <v>1.6</v>
      </c>
    </row>
    <row r="64" spans="1:82" ht="15.75" customHeight="1" thickBot="1" x14ac:dyDescent="0.3">
      <c r="A64" s="9">
        <v>63</v>
      </c>
      <c r="B64" s="10" t="s">
        <v>783</v>
      </c>
      <c r="C64" s="10" t="s">
        <v>27</v>
      </c>
      <c r="D64" s="10" t="s">
        <v>19</v>
      </c>
      <c r="E64" s="51">
        <v>9.3287695524622904</v>
      </c>
      <c r="F64" s="51">
        <v>178.431167578414</v>
      </c>
      <c r="G64" s="51">
        <v>192.31896505339199</v>
      </c>
      <c r="H64" s="51">
        <v>146.975817535955</v>
      </c>
      <c r="I64" s="11">
        <v>4</v>
      </c>
      <c r="J64" s="51">
        <v>4.48225319361981</v>
      </c>
      <c r="K64" s="249">
        <f>IFERROR(VLOOKUP(C64,Schedule!$T$3:$U$34,2,0),"FA")</f>
        <v>8</v>
      </c>
      <c r="L64" s="10" t="str">
        <f>D64&amp;COUNTIF(D$2:$D64,D64)</f>
        <v>RB19</v>
      </c>
      <c r="M64" s="51">
        <f t="array" ref="M64">IFERROR(F64-AVERAGE(VLOOKUP(D64,$D65:$F$885,3,0),INDEX($F65:$F$885,SMALL(IF(D64=$D65:$D$885,ROW($D65:$D$885)-ROW(D64)),2))),0)</f>
        <v>0.62820976545350504</v>
      </c>
      <c r="N64" s="51">
        <f>IFERROR(IF(VLOOKUP($B64,Input!$AC$2:$AC$162,1,0)=$B64,0),F64)</f>
        <v>178.431167578414</v>
      </c>
      <c r="O64" s="51">
        <f>IFERROR(IF(VLOOKUP($B64,Input!$AC$2:$AC$162,1,0)=$B64,0,G64),G64)</f>
        <v>192.31896505339199</v>
      </c>
      <c r="P64" s="51">
        <f>IF(N64=0,0,F64-AVERAGE(INDEX(F:F,MATCH(VLOOKUP(D64,Input!$A$14:$L$22,10,0),L:L,0)),INDEX(F:F,MATCH(VLOOKUP(D64,Input!$A$14:$L$22,11,0),L:L,0)),INDEX(F:F,MATCH(VLOOKUP(D64,Input!$A$14:$L$22,12,0),L:L,0)))+(0.01-ROW()*0.01))</f>
        <v>8.6987695524620054</v>
      </c>
      <c r="Q64" s="107">
        <f t="shared" si="0"/>
        <v>3.0010140903693389E-3</v>
      </c>
      <c r="R64" s="11">
        <f>IF(VLOOKUP($D64,$X$14:$Y$19,2,0)&lt;=0,1,IF(Q64&lt;0,1,ROUNDUP(IF(Q64*('Draft Center'!$L$28+'Draft Center'!$L$78-'Draft Center'!$L$82)&lt;1,1,Q64*('Draft Center'!$L$28+'Draft Center'!$L$78-'Draft Center'!$L$82)),0)))</f>
        <v>6</v>
      </c>
      <c r="S64" s="11">
        <f>IF(A64&lt;Input!$B$10+0.1,IF(ROUNDUP(R64*Input!$C$10,0)=0,1,ROUNDUP(R64*Input!$C$10,0)),IF(A64&gt;Input!$B$11,IF(ROUNDUP(R64*Input!$C$11,0)=0,1,ROUNDUP(R64*Input!$C$11,0)),IF(ROUNDUP(R64,0)=0,1,ROUNDUP(R64,0))))</f>
        <v>6</v>
      </c>
      <c r="T64" s="11">
        <f t="shared" si="1"/>
        <v>6</v>
      </c>
      <c r="U64" s="11">
        <f>IFERROR(VLOOKUP($B64,Input!$AC$2:$AE$161,3,0),0)</f>
        <v>0</v>
      </c>
      <c r="V64" s="257">
        <f t="shared" si="8"/>
        <v>0.50063999999999997</v>
      </c>
      <c r="W64" s="264">
        <f t="shared" si="9"/>
        <v>2.0006400000000002</v>
      </c>
      <c r="X64" s="27"/>
      <c r="Y64" s="23"/>
      <c r="Z64" s="23"/>
      <c r="AA64" s="23">
        <v>0</v>
      </c>
      <c r="AB64" s="23" t="str">
        <f t="shared" si="36"/>
        <v/>
      </c>
      <c r="AC64" s="23">
        <f t="shared" si="36"/>
        <v>0</v>
      </c>
      <c r="AD64" s="23" t="str">
        <f t="shared" si="36"/>
        <v/>
      </c>
      <c r="AE64" s="23" t="str">
        <f t="shared" si="36"/>
        <v/>
      </c>
      <c r="AF64" s="23" t="str">
        <f t="shared" si="36"/>
        <v/>
      </c>
      <c r="AG64" s="23" t="str">
        <f t="shared" si="36"/>
        <v/>
      </c>
      <c r="AH64" s="23">
        <f t="shared" si="3"/>
        <v>0</v>
      </c>
      <c r="AI64" s="23">
        <f t="shared" si="4"/>
        <v>0</v>
      </c>
      <c r="AJ64" s="69">
        <v>6</v>
      </c>
      <c r="AK64" s="225">
        <v>2327.0337</v>
      </c>
      <c r="AL64" s="33">
        <v>6</v>
      </c>
      <c r="AM64" s="204">
        <v>2327.0337</v>
      </c>
      <c r="AN64" s="196"/>
      <c r="AO64" s="23"/>
      <c r="AP64" s="23"/>
      <c r="AQ64" s="23"/>
      <c r="AR64" s="23"/>
      <c r="AS64" s="23"/>
      <c r="AT64" s="23"/>
      <c r="AU64" s="23"/>
      <c r="AV64" s="23"/>
      <c r="AW64" s="23"/>
      <c r="AX64" s="23"/>
      <c r="AY64" s="23"/>
      <c r="AZ64" s="196"/>
      <c r="BA64" s="69">
        <f>IF(VLOOKUP($D64,$AO$14:AQ$19,COLUMN()-50,0)&lt;=0,1,IF($Q64&lt;0,1,ROUNDUP(IF($Q64*('Draft Center'!$L$28+'Draft Center'!$L$78-'Draft Center'!$L$82)&lt;1,1,$Q64*('Draft Center'!$L$28+'Draft Center'!$L$78-'Draft Center'!$L$82)),0)))</f>
        <v>6</v>
      </c>
      <c r="BB64" s="69">
        <f>IF(VLOOKUP($D64,$AO$14:AR$19,COLUMN()-50,0)&lt;=0,1,IF($Q64&lt;0,1,ROUNDUP(IF($Q64*('Draft Center'!$L$28+'Draft Center'!$L$78-'Draft Center'!$L$82)&lt;1,1,$Q64*('Draft Center'!$L$28+'Draft Center'!$L$78-'Draft Center'!$L$82)),0)))</f>
        <v>6</v>
      </c>
      <c r="BC64" s="69">
        <f>IF(VLOOKUP($D64,$AO$14:AS$19,COLUMN()-50,0)&lt;=0,1,IF($Q64&lt;0,1,ROUNDUP(IF($Q64*('Draft Center'!$L$28+'Draft Center'!$L$78-'Draft Center'!$L$82)&lt;1,1,$Q64*('Draft Center'!$L$28+'Draft Center'!$L$78-'Draft Center'!$L$82)),0)))</f>
        <v>6</v>
      </c>
      <c r="BD64" s="69">
        <f>IF(VLOOKUP($D64,$AO$14:AT$19,COLUMN()-50,0)&lt;=0,1,IF($Q64&lt;0,1,ROUNDUP(IF($Q64*('Draft Center'!$L$28+'Draft Center'!$L$78-'Draft Center'!$L$82)&lt;1,1,$Q64*('Draft Center'!$L$28+'Draft Center'!$L$78-'Draft Center'!$L$82)),0)))</f>
        <v>6</v>
      </c>
      <c r="BE64" s="69">
        <f>IF(VLOOKUP($D64,$AO$14:AU$19,COLUMN()-50,0)&lt;=0,1,IF($Q64&lt;0,1,ROUNDUP(IF($Q64*('Draft Center'!$L$28+'Draft Center'!$L$78-'Draft Center'!$L$82)&lt;1,1,$Q64*('Draft Center'!$L$28+'Draft Center'!$L$78-'Draft Center'!$L$82)),0)))</f>
        <v>6</v>
      </c>
      <c r="BF64" s="69">
        <f>IF(VLOOKUP($D64,$AO$14:AV$19,COLUMN()-50,0)&lt;=0,1,IF($Q64&lt;0,1,ROUNDUP(IF($Q64*('Draft Center'!$L$28+'Draft Center'!$L$78-'Draft Center'!$L$82)&lt;1,1,$Q64*('Draft Center'!$L$28+'Draft Center'!$L$78-'Draft Center'!$L$82)),0)))</f>
        <v>6</v>
      </c>
      <c r="BG64" s="69">
        <f>IF(VLOOKUP($D64,$AO$14:AW$19,COLUMN()-50,0)&lt;=0,1,IF($Q64&lt;0,1,ROUNDUP(IF($Q64*('Draft Center'!$L$28+'Draft Center'!$L$78-'Draft Center'!$L$82)&lt;1,1,$Q64*('Draft Center'!$L$28+'Draft Center'!$L$78-'Draft Center'!$L$82)),0)))</f>
        <v>6</v>
      </c>
      <c r="BH64" s="69">
        <f>IF(VLOOKUP($D64,$AO$14:AX$19,COLUMN()-50,0)&lt;=0,1,IF($Q64&lt;0,1,ROUNDUP(IF($Q64*('Draft Center'!$L$28+'Draft Center'!$L$78-'Draft Center'!$L$82)&lt;1,1,$Q64*('Draft Center'!$L$28+'Draft Center'!$L$78-'Draft Center'!$L$82)),0)))</f>
        <v>6</v>
      </c>
      <c r="BI64" s="69">
        <f>IF(VLOOKUP($D64,$AO$14:AY$19,COLUMN()-50,0)&lt;=0,1,IF($Q64&lt;0,1,ROUNDUP(IF($Q64*('Draft Center'!$L$28+'Draft Center'!$L$78-'Draft Center'!$L$82)&lt;1,1,$Q64*('Draft Center'!$L$28+'Draft Center'!$L$78-'Draft Center'!$L$82)),0)))</f>
        <v>6</v>
      </c>
      <c r="BJ64" s="196"/>
      <c r="BK64" s="23">
        <v>0</v>
      </c>
      <c r="BL64" s="23" t="str">
        <f t="shared" si="37"/>
        <v/>
      </c>
      <c r="BM64" s="23">
        <v>0</v>
      </c>
      <c r="BN64" s="23" t="str">
        <f t="shared" si="37"/>
        <v/>
      </c>
      <c r="BO64" s="23" t="str">
        <f t="shared" si="37"/>
        <v/>
      </c>
      <c r="BP64" s="23" t="str">
        <f t="shared" si="37"/>
        <v/>
      </c>
      <c r="BQ64" s="23" t="str">
        <f t="shared" si="37"/>
        <v/>
      </c>
      <c r="BR64" s="23">
        <f t="shared" si="6"/>
        <v>0</v>
      </c>
      <c r="BS64" s="23">
        <f t="shared" si="7"/>
        <v>0</v>
      </c>
      <c r="BT64" s="69">
        <v>6</v>
      </c>
      <c r="BU64" s="58">
        <v>2327.0337</v>
      </c>
      <c r="BV64" s="33">
        <v>6</v>
      </c>
      <c r="BW64" s="204">
        <v>2327.0337</v>
      </c>
      <c r="BX64" s="23"/>
      <c r="BY64" s="69">
        <v>6</v>
      </c>
      <c r="BZ64" s="69">
        <v>4</v>
      </c>
      <c r="CA64" s="69">
        <v>4</v>
      </c>
      <c r="CB64" s="69">
        <v>4</v>
      </c>
      <c r="CC64" s="69">
        <f t="shared" si="10"/>
        <v>4</v>
      </c>
      <c r="CD64" s="69">
        <f t="shared" si="11"/>
        <v>4</v>
      </c>
    </row>
    <row r="65" spans="1:82" ht="15.75" customHeight="1" thickBot="1" x14ac:dyDescent="0.3">
      <c r="A65" s="6">
        <v>64</v>
      </c>
      <c r="B65" s="7" t="s">
        <v>40</v>
      </c>
      <c r="C65" s="7" t="s">
        <v>21</v>
      </c>
      <c r="D65" s="7" t="s">
        <v>19</v>
      </c>
      <c r="E65" s="50">
        <v>9.1304904158331208</v>
      </c>
      <c r="F65" s="50">
        <v>178.23288844178501</v>
      </c>
      <c r="G65" s="50">
        <v>205.81241730132399</v>
      </c>
      <c r="H65" s="50">
        <v>151.50120174514399</v>
      </c>
      <c r="I65" s="8">
        <v>9.3000000000000007</v>
      </c>
      <c r="J65" s="50">
        <v>5.0202290767167197</v>
      </c>
      <c r="K65" s="248">
        <f>IFERROR(VLOOKUP(C65,Schedule!$T$3:$U$34,2,0),"FA")</f>
        <v>5</v>
      </c>
      <c r="L65" s="7" t="str">
        <f>D65&amp;COUNTIF(D$2:$D65,D65)</f>
        <v>RB20</v>
      </c>
      <c r="M65" s="50">
        <f t="array" ref="M65">IFERROR(F65-AVERAGE(VLOOKUP(D65,$D66:$F$885,3,0),INDEX($F66:$F$885,SMALL(IF(D65=$D66:$D$885,ROW($D66:$D$885)-ROW(D65)),2))),0)</f>
        <v>1.8143952352245094</v>
      </c>
      <c r="N65" s="50">
        <f>IFERROR(IF(VLOOKUP($B65,Input!$AC$2:$AC$162,1,0)=$B65,0),F65)</f>
        <v>178.23288844178501</v>
      </c>
      <c r="O65" s="50">
        <f>IFERROR(IF(VLOOKUP($B65,Input!$AC$2:$AC$162,1,0)=$B65,0,G65),G65)</f>
        <v>205.81241730132399</v>
      </c>
      <c r="P65" s="50">
        <f>IF(N65=0,0,F65-AVERAGE(INDEX(F:F,MATCH(VLOOKUP(D65,Input!$A$14:$L$22,10,0),L:L,0)),INDEX(F:F,MATCH(VLOOKUP(D65,Input!$A$14:$L$22,11,0),L:L,0)),INDEX(F:F,MATCH(VLOOKUP(D65,Input!$A$14:$L$22,12,0),L:L,0)))+(0.01-ROW()*0.01))</f>
        <v>8.4904904158330083</v>
      </c>
      <c r="Q65" s="106">
        <f t="shared" si="0"/>
        <v>2.9291592584895043E-3</v>
      </c>
      <c r="R65" s="8">
        <f>IF(VLOOKUP($D65,$X$14:$Y$19,2,0)&lt;=0,1,IF(Q65&lt;0,1,ROUNDUP(IF(Q65*('Draft Center'!$L$28+'Draft Center'!$L$78-'Draft Center'!$L$82)&lt;1,1,Q65*('Draft Center'!$L$28+'Draft Center'!$L$78-'Draft Center'!$L$82)),0)))</f>
        <v>6</v>
      </c>
      <c r="S65" s="8">
        <f>IF(A65&lt;Input!$B$10+0.1,IF(ROUNDUP(R65*Input!$C$10,0)=0,1,ROUNDUP(R65*Input!$C$10,0)),IF(A65&gt;Input!$B$11,IF(ROUNDUP(R65*Input!$C$11,0)=0,1,ROUNDUP(R65*Input!$C$11,0)),IF(ROUNDUP(R65,0)=0,1,ROUNDUP(R65,0))))</f>
        <v>6</v>
      </c>
      <c r="T65" s="8">
        <f t="shared" si="1"/>
        <v>6</v>
      </c>
      <c r="U65" s="8">
        <f>IFERROR(VLOOKUP($B65,Input!$AC$2:$AE$161,3,0),0)</f>
        <v>0</v>
      </c>
      <c r="V65" s="256">
        <f t="shared" si="8"/>
        <v>-0.35418870967741944</v>
      </c>
      <c r="W65" s="263">
        <f t="shared" si="9"/>
        <v>-3.2993500000000009</v>
      </c>
      <c r="X65" s="27"/>
      <c r="Y65" s="23"/>
      <c r="Z65" s="23"/>
      <c r="AA65" s="23">
        <v>0</v>
      </c>
      <c r="AB65" s="23" t="str">
        <f t="shared" si="36"/>
        <v/>
      </c>
      <c r="AC65" s="23">
        <f t="shared" si="36"/>
        <v>0</v>
      </c>
      <c r="AD65" s="23" t="str">
        <f t="shared" si="36"/>
        <v/>
      </c>
      <c r="AE65" s="23" t="str">
        <f t="shared" si="36"/>
        <v/>
      </c>
      <c r="AF65" s="23" t="str">
        <f t="shared" si="36"/>
        <v/>
      </c>
      <c r="AG65" s="23" t="str">
        <f t="shared" si="36"/>
        <v/>
      </c>
      <c r="AH65" s="23">
        <f t="shared" si="3"/>
        <v>0</v>
      </c>
      <c r="AI65" s="23">
        <f t="shared" si="4"/>
        <v>0</v>
      </c>
      <c r="AJ65" s="70">
        <v>6</v>
      </c>
      <c r="AK65" s="225">
        <v>2327.0337</v>
      </c>
      <c r="AL65" s="33">
        <v>6</v>
      </c>
      <c r="AM65" s="204">
        <v>2327.0337</v>
      </c>
      <c r="AN65" s="196"/>
      <c r="AO65" s="23"/>
      <c r="AP65" s="23"/>
      <c r="AQ65" s="23"/>
      <c r="AR65" s="23"/>
      <c r="AS65" s="23"/>
      <c r="AT65" s="23"/>
      <c r="AU65" s="23"/>
      <c r="AV65" s="23"/>
      <c r="AW65" s="23"/>
      <c r="AX65" s="23"/>
      <c r="AY65" s="23"/>
      <c r="AZ65" s="196"/>
      <c r="BA65" s="70">
        <f>IF(VLOOKUP($D65,$AO$14:AQ$19,COLUMN()-50,0)&lt;=0,1,IF($Q65&lt;0,1,ROUNDUP(IF($Q65*('Draft Center'!$L$28+'Draft Center'!$L$78-'Draft Center'!$L$82)&lt;1,1,$Q65*('Draft Center'!$L$28+'Draft Center'!$L$78-'Draft Center'!$L$82)),0)))</f>
        <v>6</v>
      </c>
      <c r="BB65" s="70">
        <f>IF(VLOOKUP($D65,$AO$14:AR$19,COLUMN()-50,0)&lt;=0,1,IF($Q65&lt;0,1,ROUNDUP(IF($Q65*('Draft Center'!$L$28+'Draft Center'!$L$78-'Draft Center'!$L$82)&lt;1,1,$Q65*('Draft Center'!$L$28+'Draft Center'!$L$78-'Draft Center'!$L$82)),0)))</f>
        <v>6</v>
      </c>
      <c r="BC65" s="70">
        <f>IF(VLOOKUP($D65,$AO$14:AS$19,COLUMN()-50,0)&lt;=0,1,IF($Q65&lt;0,1,ROUNDUP(IF($Q65*('Draft Center'!$L$28+'Draft Center'!$L$78-'Draft Center'!$L$82)&lt;1,1,$Q65*('Draft Center'!$L$28+'Draft Center'!$L$78-'Draft Center'!$L$82)),0)))</f>
        <v>6</v>
      </c>
      <c r="BD65" s="70">
        <f>IF(VLOOKUP($D65,$AO$14:AT$19,COLUMN()-50,0)&lt;=0,1,IF($Q65&lt;0,1,ROUNDUP(IF($Q65*('Draft Center'!$L$28+'Draft Center'!$L$78-'Draft Center'!$L$82)&lt;1,1,$Q65*('Draft Center'!$L$28+'Draft Center'!$L$78-'Draft Center'!$L$82)),0)))</f>
        <v>6</v>
      </c>
      <c r="BE65" s="70">
        <f>IF(VLOOKUP($D65,$AO$14:AU$19,COLUMN()-50,0)&lt;=0,1,IF($Q65&lt;0,1,ROUNDUP(IF($Q65*('Draft Center'!$L$28+'Draft Center'!$L$78-'Draft Center'!$L$82)&lt;1,1,$Q65*('Draft Center'!$L$28+'Draft Center'!$L$78-'Draft Center'!$L$82)),0)))</f>
        <v>6</v>
      </c>
      <c r="BF65" s="70">
        <f>IF(VLOOKUP($D65,$AO$14:AV$19,COLUMN()-50,0)&lt;=0,1,IF($Q65&lt;0,1,ROUNDUP(IF($Q65*('Draft Center'!$L$28+'Draft Center'!$L$78-'Draft Center'!$L$82)&lt;1,1,$Q65*('Draft Center'!$L$28+'Draft Center'!$L$78-'Draft Center'!$L$82)),0)))</f>
        <v>6</v>
      </c>
      <c r="BG65" s="70">
        <f>IF(VLOOKUP($D65,$AO$14:AW$19,COLUMN()-50,0)&lt;=0,1,IF($Q65&lt;0,1,ROUNDUP(IF($Q65*('Draft Center'!$L$28+'Draft Center'!$L$78-'Draft Center'!$L$82)&lt;1,1,$Q65*('Draft Center'!$L$28+'Draft Center'!$L$78-'Draft Center'!$L$82)),0)))</f>
        <v>6</v>
      </c>
      <c r="BH65" s="70">
        <f>IF(VLOOKUP($D65,$AO$14:AX$19,COLUMN()-50,0)&lt;=0,1,IF($Q65&lt;0,1,ROUNDUP(IF($Q65*('Draft Center'!$L$28+'Draft Center'!$L$78-'Draft Center'!$L$82)&lt;1,1,$Q65*('Draft Center'!$L$28+'Draft Center'!$L$78-'Draft Center'!$L$82)),0)))</f>
        <v>6</v>
      </c>
      <c r="BI65" s="70">
        <f>IF(VLOOKUP($D65,$AO$14:AY$19,COLUMN()-50,0)&lt;=0,1,IF($Q65&lt;0,1,ROUNDUP(IF($Q65*('Draft Center'!$L$28+'Draft Center'!$L$78-'Draft Center'!$L$82)&lt;1,1,$Q65*('Draft Center'!$L$28+'Draft Center'!$L$78-'Draft Center'!$L$82)),0)))</f>
        <v>6</v>
      </c>
      <c r="BJ65" s="196"/>
      <c r="BK65" s="23">
        <v>0</v>
      </c>
      <c r="BL65" s="23" t="str">
        <f t="shared" si="37"/>
        <v/>
      </c>
      <c r="BM65" s="23">
        <v>0</v>
      </c>
      <c r="BN65" s="23" t="str">
        <f t="shared" si="37"/>
        <v/>
      </c>
      <c r="BO65" s="23" t="str">
        <f t="shared" si="37"/>
        <v/>
      </c>
      <c r="BP65" s="23" t="str">
        <f t="shared" si="37"/>
        <v/>
      </c>
      <c r="BQ65" s="23" t="str">
        <f t="shared" si="37"/>
        <v/>
      </c>
      <c r="BR65" s="23">
        <f t="shared" si="6"/>
        <v>0</v>
      </c>
      <c r="BS65" s="23">
        <f t="shared" si="7"/>
        <v>0</v>
      </c>
      <c r="BT65" s="70">
        <v>6</v>
      </c>
      <c r="BU65" s="58">
        <v>2327.0337</v>
      </c>
      <c r="BV65" s="33">
        <v>6</v>
      </c>
      <c r="BW65" s="204">
        <v>2327.0337</v>
      </c>
      <c r="BX65" s="23"/>
      <c r="BY65" s="70">
        <v>6</v>
      </c>
      <c r="BZ65" s="70">
        <v>9.3000000000000007</v>
      </c>
      <c r="CA65" s="70">
        <v>9.3000000000000007</v>
      </c>
      <c r="CB65" s="70">
        <v>9.3000000000000007</v>
      </c>
      <c r="CC65" s="70">
        <f t="shared" si="10"/>
        <v>9.3000000000000007</v>
      </c>
      <c r="CD65" s="70">
        <f t="shared" si="11"/>
        <v>9.3000000000000007</v>
      </c>
    </row>
    <row r="66" spans="1:82" ht="15.75" customHeight="1" thickBot="1" x14ac:dyDescent="0.3">
      <c r="A66" s="9">
        <v>65</v>
      </c>
      <c r="B66" s="10" t="s">
        <v>188</v>
      </c>
      <c r="C66" s="10" t="s">
        <v>927</v>
      </c>
      <c r="D66" s="10" t="s">
        <v>135</v>
      </c>
      <c r="E66" s="51">
        <v>8.6780230721124099</v>
      </c>
      <c r="F66" s="51">
        <v>117.409581749049</v>
      </c>
      <c r="G66" s="51">
        <v>106.571234042553</v>
      </c>
      <c r="H66" s="51">
        <v>98</v>
      </c>
      <c r="I66" s="11">
        <v>0</v>
      </c>
      <c r="J66" s="51">
        <v>4.9656270342716704</v>
      </c>
      <c r="K66" s="249">
        <f>IFERROR(VLOOKUP(C66,Schedule!$T$3:$U$34,2,0),"FA")</f>
        <v>9</v>
      </c>
      <c r="L66" s="10" t="str">
        <f>D66&amp;COUNTIF(D$2:$D66,D66)</f>
        <v>DST7</v>
      </c>
      <c r="M66" s="51">
        <f t="array" ref="M66">IFERROR(F66-AVERAGE(VLOOKUP(D66,$D67:$F$885,3,0),INDEX($F67:$F$885,SMALL(IF(D66=$D67:$D$885,ROW($D67:$D$885)-ROW(D66)),2))),0)</f>
        <v>3.1406941187814965</v>
      </c>
      <c r="N66" s="51">
        <f>IFERROR(IF(VLOOKUP($B66,Input!$AC$2:$AC$162,1,0)=$B66,0),F66)</f>
        <v>117.409581749049</v>
      </c>
      <c r="O66" s="51">
        <f>IFERROR(IF(VLOOKUP($B66,Input!$AC$2:$AC$162,1,0)=$B66,0,G66),G66)</f>
        <v>106.571234042553</v>
      </c>
      <c r="P66" s="51">
        <f>IF(N66=0,0,F66-AVERAGE(INDEX(F:F,MATCH(VLOOKUP(D66,Input!$A$14:$L$22,10,0),L:L,0)),INDEX(F:F,MATCH(VLOOKUP(D66,Input!$A$14:$L$22,11,0),L:L,0)),INDEX(F:F,MATCH(VLOOKUP(D66,Input!$A$14:$L$22,12,0),L:L,0)))+(0.01-ROW()*0.01))</f>
        <v>9.0711947984369825</v>
      </c>
      <c r="Q66" s="107">
        <f t="shared" ref="Q66:Q129" si="38">IFERROR(P66/SUMIF(P:P,"&gt;0",P:P),0)</f>
        <v>3.1294981712545306E-3</v>
      </c>
      <c r="R66" s="11">
        <f>IF(VLOOKUP($D66,$X$14:$Y$19,2,0)&lt;=0,1,IF(Q66&lt;0,1,ROUNDUP(IF(Q66*('Draft Center'!$L$28+'Draft Center'!$L$78-'Draft Center'!$L$82)&lt;1,1,Q66*('Draft Center'!$L$28+'Draft Center'!$L$78-'Draft Center'!$L$82)),0)))</f>
        <v>7</v>
      </c>
      <c r="S66" s="11">
        <f>IF(A66&lt;Input!$B$10+0.1,IF(ROUNDUP(R66*Input!$C$10,0)=0,1,ROUNDUP(R66*Input!$C$10,0)),IF(A66&gt;Input!$B$11,IF(ROUNDUP(R66*Input!$C$11,0)=0,1,ROUNDUP(R66*Input!$C$11,0)),IF(ROUNDUP(R66,0)=0,1,ROUNDUP(R66,0))))</f>
        <v>7</v>
      </c>
      <c r="T66" s="11">
        <f t="shared" ref="T66:T129" si="39">IF(U66&gt;0,0,IF(AA66=1,R66,IF(AL66=0,1,AL66)))</f>
        <v>7</v>
      </c>
      <c r="U66" s="11">
        <f>IFERROR(VLOOKUP($B66,Input!$AC$2:$AE$161,3,0),0)</f>
        <v>0</v>
      </c>
      <c r="V66" s="257">
        <f t="shared" si="8"/>
        <v>0</v>
      </c>
      <c r="W66" s="264">
        <f t="shared" si="9"/>
        <v>7.0006599999999999</v>
      </c>
      <c r="X66" s="27"/>
      <c r="Y66" s="23"/>
      <c r="Z66" s="23"/>
      <c r="AA66" s="23">
        <v>0</v>
      </c>
      <c r="AB66" s="23" t="str">
        <f t="shared" si="36"/>
        <v/>
      </c>
      <c r="AC66" s="23" t="str">
        <f t="shared" si="36"/>
        <v/>
      </c>
      <c r="AD66" s="23" t="str">
        <f t="shared" si="36"/>
        <v/>
      </c>
      <c r="AE66" s="23" t="str">
        <f t="shared" si="36"/>
        <v/>
      </c>
      <c r="AF66" s="23">
        <f t="shared" si="36"/>
        <v>0</v>
      </c>
      <c r="AG66" s="23" t="str">
        <f t="shared" si="36"/>
        <v/>
      </c>
      <c r="AH66" s="23">
        <f t="shared" ref="AH66:AH129" si="40">IF($D66=AC$1,1*$AA66,IF($D66=AD$1,1*$AA66,IF($D66=AE$1,1*$AA66,IF($D66=AB$1,1*$AA66,IF($D66=AF$1,1*$AA66,IF($D66=AG$1,1*$AA66,""))))))</f>
        <v>0</v>
      </c>
      <c r="AI66" s="23">
        <f t="shared" ref="AI66:AI129" si="41">IF(AH66=1,B66,0)</f>
        <v>0</v>
      </c>
      <c r="AJ66" s="69">
        <v>7</v>
      </c>
      <c r="AK66" s="225">
        <v>2327.0337</v>
      </c>
      <c r="AL66" s="33">
        <v>7</v>
      </c>
      <c r="AM66" s="204">
        <v>2327.0337</v>
      </c>
      <c r="AN66" s="196"/>
      <c r="AO66" s="23"/>
      <c r="AP66" s="23"/>
      <c r="AQ66" s="23"/>
      <c r="AR66" s="23"/>
      <c r="AS66" s="23"/>
      <c r="AT66" s="23"/>
      <c r="AU66" s="23"/>
      <c r="AV66" s="23"/>
      <c r="AW66" s="23"/>
      <c r="AX66" s="23"/>
      <c r="AY66" s="23"/>
      <c r="AZ66" s="196"/>
      <c r="BA66" s="69">
        <f>IF(VLOOKUP($D66,$AO$14:AQ$19,COLUMN()-50,0)&lt;=0,1,IF($Q66&lt;0,1,ROUNDUP(IF($Q66*('Draft Center'!$L$28+'Draft Center'!$L$78-'Draft Center'!$L$82)&lt;1,1,$Q66*('Draft Center'!$L$28+'Draft Center'!$L$78-'Draft Center'!$L$82)),0)))</f>
        <v>7</v>
      </c>
      <c r="BB66" s="69">
        <f>IF(VLOOKUP($D66,$AO$14:AR$19,COLUMN()-50,0)&lt;=0,1,IF($Q66&lt;0,1,ROUNDUP(IF($Q66*('Draft Center'!$L$28+'Draft Center'!$L$78-'Draft Center'!$L$82)&lt;1,1,$Q66*('Draft Center'!$L$28+'Draft Center'!$L$78-'Draft Center'!$L$82)),0)))</f>
        <v>7</v>
      </c>
      <c r="BC66" s="69">
        <f>IF(VLOOKUP($D66,$AO$14:AS$19,COLUMN()-50,0)&lt;=0,1,IF($Q66&lt;0,1,ROUNDUP(IF($Q66*('Draft Center'!$L$28+'Draft Center'!$L$78-'Draft Center'!$L$82)&lt;1,1,$Q66*('Draft Center'!$L$28+'Draft Center'!$L$78-'Draft Center'!$L$82)),0)))</f>
        <v>7</v>
      </c>
      <c r="BD66" s="69">
        <f>IF(VLOOKUP($D66,$AO$14:AT$19,COLUMN()-50,0)&lt;=0,1,IF($Q66&lt;0,1,ROUNDUP(IF($Q66*('Draft Center'!$L$28+'Draft Center'!$L$78-'Draft Center'!$L$82)&lt;1,1,$Q66*('Draft Center'!$L$28+'Draft Center'!$L$78-'Draft Center'!$L$82)),0)))</f>
        <v>7</v>
      </c>
      <c r="BE66" s="69">
        <f>IF(VLOOKUP($D66,$AO$14:AU$19,COLUMN()-50,0)&lt;=0,1,IF($Q66&lt;0,1,ROUNDUP(IF($Q66*('Draft Center'!$L$28+'Draft Center'!$L$78-'Draft Center'!$L$82)&lt;1,1,$Q66*('Draft Center'!$L$28+'Draft Center'!$L$78-'Draft Center'!$L$82)),0)))</f>
        <v>7</v>
      </c>
      <c r="BF66" s="69">
        <f>IF(VLOOKUP($D66,$AO$14:AV$19,COLUMN()-50,0)&lt;=0,1,IF($Q66&lt;0,1,ROUNDUP(IF($Q66*('Draft Center'!$L$28+'Draft Center'!$L$78-'Draft Center'!$L$82)&lt;1,1,$Q66*('Draft Center'!$L$28+'Draft Center'!$L$78-'Draft Center'!$L$82)),0)))</f>
        <v>7</v>
      </c>
      <c r="BG66" s="69">
        <f>IF(VLOOKUP($D66,$AO$14:AW$19,COLUMN()-50,0)&lt;=0,1,IF($Q66&lt;0,1,ROUNDUP(IF($Q66*('Draft Center'!$L$28+'Draft Center'!$L$78-'Draft Center'!$L$82)&lt;1,1,$Q66*('Draft Center'!$L$28+'Draft Center'!$L$78-'Draft Center'!$L$82)),0)))</f>
        <v>7</v>
      </c>
      <c r="BH66" s="69">
        <f>IF(VLOOKUP($D66,$AO$14:AX$19,COLUMN()-50,0)&lt;=0,1,IF($Q66&lt;0,1,ROUNDUP(IF($Q66*('Draft Center'!$L$28+'Draft Center'!$L$78-'Draft Center'!$L$82)&lt;1,1,$Q66*('Draft Center'!$L$28+'Draft Center'!$L$78-'Draft Center'!$L$82)),0)))</f>
        <v>7</v>
      </c>
      <c r="BI66" s="69">
        <f>IF(VLOOKUP($D66,$AO$14:AY$19,COLUMN()-50,0)&lt;=0,1,IF($Q66&lt;0,1,ROUNDUP(IF($Q66*('Draft Center'!$L$28+'Draft Center'!$L$78-'Draft Center'!$L$82)&lt;1,1,$Q66*('Draft Center'!$L$28+'Draft Center'!$L$78-'Draft Center'!$L$82)),0)))</f>
        <v>7</v>
      </c>
      <c r="BJ66" s="196"/>
      <c r="BK66" s="23">
        <v>0</v>
      </c>
      <c r="BL66" s="23" t="str">
        <f t="shared" si="37"/>
        <v/>
      </c>
      <c r="BM66" s="23">
        <v>0</v>
      </c>
      <c r="BN66" s="23" t="str">
        <f t="shared" si="37"/>
        <v/>
      </c>
      <c r="BO66" s="23" t="str">
        <f t="shared" si="37"/>
        <v/>
      </c>
      <c r="BP66" s="23">
        <f t="shared" si="37"/>
        <v>0</v>
      </c>
      <c r="BQ66" s="23" t="str">
        <f t="shared" si="37"/>
        <v/>
      </c>
      <c r="BR66" s="23">
        <f t="shared" ref="BR66:BR129" si="42">IF($D66=BM$1,1*$BK66,IF($D66=BN$1,1*$BK66,IF($D66=BO$1,1*$BK66,IF($D66=BL$1,1*$BK66,IF($D66=BP$1,1*$BK66,IF($D66=BQ$1,1*$BK66,""))))))</f>
        <v>0</v>
      </c>
      <c r="BS66" s="23">
        <f t="shared" ref="BS66:BS129" si="43">IF(BR66=1,B66,0)</f>
        <v>0</v>
      </c>
      <c r="BT66" s="69">
        <v>7</v>
      </c>
      <c r="BU66" s="58">
        <v>2327.0337</v>
      </c>
      <c r="BV66" s="33">
        <v>7</v>
      </c>
      <c r="BW66" s="204">
        <v>2327.0337</v>
      </c>
      <c r="BX66" s="23"/>
      <c r="BY66" s="69">
        <v>7</v>
      </c>
      <c r="BZ66" s="69">
        <v>0</v>
      </c>
      <c r="CA66" s="69">
        <v>0</v>
      </c>
      <c r="CB66" s="69">
        <v>0</v>
      </c>
      <c r="CC66" s="69">
        <f t="shared" si="10"/>
        <v>0</v>
      </c>
      <c r="CD66" s="69">
        <f t="shared" si="11"/>
        <v>0</v>
      </c>
    </row>
    <row r="67" spans="1:82" ht="15.75" customHeight="1" thickBot="1" x14ac:dyDescent="0.3">
      <c r="A67" s="6">
        <v>66</v>
      </c>
      <c r="B67" s="7" t="s">
        <v>161</v>
      </c>
      <c r="C67" s="7" t="s">
        <v>48</v>
      </c>
      <c r="D67" s="7" t="s">
        <v>19</v>
      </c>
      <c r="E67" s="50">
        <v>8.2706291581844802</v>
      </c>
      <c r="F67" s="50">
        <v>177.37302718413599</v>
      </c>
      <c r="G67" s="50">
        <v>198.047442425805</v>
      </c>
      <c r="H67" s="50">
        <v>144.519123555844</v>
      </c>
      <c r="I67" s="8">
        <v>7.4</v>
      </c>
      <c r="J67" s="50">
        <v>5.1301789411999401</v>
      </c>
      <c r="K67" s="248">
        <f>IFERROR(VLOOKUP(C67,Schedule!$T$3:$U$34,2,0),"FA")</f>
        <v>10</v>
      </c>
      <c r="L67" s="7" t="str">
        <f>D67&amp;COUNTIF(D$2:$D67,D67)</f>
        <v>RB21</v>
      </c>
      <c r="M67" s="50">
        <f t="array" ref="M67">IFERROR(F67-AVERAGE(VLOOKUP(D67,$D68:$F$885,3,0),INDEX($F68:$F$885,SMALL(IF(D67=$D68:$D$885,ROW($D68:$D$885)-ROW(D67)),2))),0)</f>
        <v>2.4277741012294882</v>
      </c>
      <c r="N67" s="50">
        <f>IFERROR(IF(VLOOKUP($B67,Input!$AC$2:$AC$162,1,0)=$B67,0),F67)</f>
        <v>177.37302718413599</v>
      </c>
      <c r="O67" s="50">
        <f>IFERROR(IF(VLOOKUP($B67,Input!$AC$2:$AC$162,1,0)=$B67,0,G67),G67)</f>
        <v>198.047442425805</v>
      </c>
      <c r="P67" s="50">
        <f>IF(N67=0,0,F67-AVERAGE(INDEX(F:F,MATCH(VLOOKUP(D67,Input!$A$14:$L$22,10,0),L:L,0)),INDEX(F:F,MATCH(VLOOKUP(D67,Input!$A$14:$L$22,11,0),L:L,0)),INDEX(F:F,MATCH(VLOOKUP(D67,Input!$A$14:$L$22,12,0),L:L,0)))+(0.01-ROW()*0.01))</f>
        <v>7.6106291581839933</v>
      </c>
      <c r="Q67" s="106">
        <f t="shared" si="38"/>
        <v>2.625613335603497E-3</v>
      </c>
      <c r="R67" s="8">
        <f>IF(VLOOKUP($D67,$X$14:$Y$19,2,0)&lt;=0,1,IF(Q67&lt;0,1,ROUNDUP(IF(Q67*('Draft Center'!$L$28+'Draft Center'!$L$78-'Draft Center'!$L$82)&lt;1,1,Q67*('Draft Center'!$L$28+'Draft Center'!$L$78-'Draft Center'!$L$82)),0)))</f>
        <v>6</v>
      </c>
      <c r="S67" s="8">
        <f>IF(A67&lt;Input!$B$10+0.1,IF(ROUNDUP(R67*Input!$C$10,0)=0,1,ROUNDUP(R67*Input!$C$10,0)),IF(A67&gt;Input!$B$11,IF(ROUNDUP(R67*Input!$C$11,0)=0,1,ROUNDUP(R67*Input!$C$11,0)),IF(ROUNDUP(R67,0)=0,1,ROUNDUP(R67,0))))</f>
        <v>6</v>
      </c>
      <c r="T67" s="8">
        <f t="shared" si="39"/>
        <v>6</v>
      </c>
      <c r="U67" s="8">
        <f>IFERROR(VLOOKUP($B67,Input!$AC$2:$AE$161,3,0),0)</f>
        <v>0</v>
      </c>
      <c r="V67" s="256">
        <f t="shared" ref="V67:V130" si="44">IF(R67=0,0,IFERROR(((R67-CD67)/CD67)+(ROW()*0.00001),0))</f>
        <v>-0.18851918918918922</v>
      </c>
      <c r="W67" s="263">
        <f t="shared" ref="W67:W130" si="45">IF(R67=0,0,IFERROR(((R67-CD67))+(ROW()*0.00001),0))</f>
        <v>-1.3993300000000004</v>
      </c>
      <c r="X67" s="27"/>
      <c r="Y67" s="23"/>
      <c r="Z67" s="23"/>
      <c r="AA67" s="23">
        <v>0</v>
      </c>
      <c r="AB67" s="23" t="str">
        <f t="shared" si="36"/>
        <v/>
      </c>
      <c r="AC67" s="23">
        <f t="shared" si="36"/>
        <v>0</v>
      </c>
      <c r="AD67" s="23" t="str">
        <f t="shared" si="36"/>
        <v/>
      </c>
      <c r="AE67" s="23" t="str">
        <f t="shared" si="36"/>
        <v/>
      </c>
      <c r="AF67" s="23" t="str">
        <f t="shared" si="36"/>
        <v/>
      </c>
      <c r="AG67" s="23" t="str">
        <f t="shared" si="36"/>
        <v/>
      </c>
      <c r="AH67" s="23">
        <f t="shared" si="40"/>
        <v>0</v>
      </c>
      <c r="AI67" s="23">
        <f t="shared" si="41"/>
        <v>0</v>
      </c>
      <c r="AJ67" s="70">
        <v>6</v>
      </c>
      <c r="AK67" s="225">
        <v>2327.0337</v>
      </c>
      <c r="AL67" s="33">
        <v>6</v>
      </c>
      <c r="AM67" s="204">
        <v>2327.0337</v>
      </c>
      <c r="AN67" s="196"/>
      <c r="AO67" s="23"/>
      <c r="AP67" s="23"/>
      <c r="AQ67" s="23"/>
      <c r="AR67" s="23"/>
      <c r="AS67" s="23"/>
      <c r="AT67" s="23"/>
      <c r="AU67" s="23"/>
      <c r="AV67" s="23"/>
      <c r="AW67" s="23"/>
      <c r="AX67" s="23"/>
      <c r="AY67" s="23"/>
      <c r="AZ67" s="196"/>
      <c r="BA67" s="70">
        <f>IF(VLOOKUP($D67,$AO$14:AQ$19,COLUMN()-50,0)&lt;=0,1,IF($Q67&lt;0,1,ROUNDUP(IF($Q67*('Draft Center'!$L$28+'Draft Center'!$L$78-'Draft Center'!$L$82)&lt;1,1,$Q67*('Draft Center'!$L$28+'Draft Center'!$L$78-'Draft Center'!$L$82)),0)))</f>
        <v>6</v>
      </c>
      <c r="BB67" s="70">
        <f>IF(VLOOKUP($D67,$AO$14:AR$19,COLUMN()-50,0)&lt;=0,1,IF($Q67&lt;0,1,ROUNDUP(IF($Q67*('Draft Center'!$L$28+'Draft Center'!$L$78-'Draft Center'!$L$82)&lt;1,1,$Q67*('Draft Center'!$L$28+'Draft Center'!$L$78-'Draft Center'!$L$82)),0)))</f>
        <v>6</v>
      </c>
      <c r="BC67" s="70">
        <f>IF(VLOOKUP($D67,$AO$14:AS$19,COLUMN()-50,0)&lt;=0,1,IF($Q67&lt;0,1,ROUNDUP(IF($Q67*('Draft Center'!$L$28+'Draft Center'!$L$78-'Draft Center'!$L$82)&lt;1,1,$Q67*('Draft Center'!$L$28+'Draft Center'!$L$78-'Draft Center'!$L$82)),0)))</f>
        <v>6</v>
      </c>
      <c r="BD67" s="70">
        <f>IF(VLOOKUP($D67,$AO$14:AT$19,COLUMN()-50,0)&lt;=0,1,IF($Q67&lt;0,1,ROUNDUP(IF($Q67*('Draft Center'!$L$28+'Draft Center'!$L$78-'Draft Center'!$L$82)&lt;1,1,$Q67*('Draft Center'!$L$28+'Draft Center'!$L$78-'Draft Center'!$L$82)),0)))</f>
        <v>6</v>
      </c>
      <c r="BE67" s="70">
        <f>IF(VLOOKUP($D67,$AO$14:AU$19,COLUMN()-50,0)&lt;=0,1,IF($Q67&lt;0,1,ROUNDUP(IF($Q67*('Draft Center'!$L$28+'Draft Center'!$L$78-'Draft Center'!$L$82)&lt;1,1,$Q67*('Draft Center'!$L$28+'Draft Center'!$L$78-'Draft Center'!$L$82)),0)))</f>
        <v>6</v>
      </c>
      <c r="BF67" s="70">
        <f>IF(VLOOKUP($D67,$AO$14:AV$19,COLUMN()-50,0)&lt;=0,1,IF($Q67&lt;0,1,ROUNDUP(IF($Q67*('Draft Center'!$L$28+'Draft Center'!$L$78-'Draft Center'!$L$82)&lt;1,1,$Q67*('Draft Center'!$L$28+'Draft Center'!$L$78-'Draft Center'!$L$82)),0)))</f>
        <v>6</v>
      </c>
      <c r="BG67" s="70">
        <f>IF(VLOOKUP($D67,$AO$14:AW$19,COLUMN()-50,0)&lt;=0,1,IF($Q67&lt;0,1,ROUNDUP(IF($Q67*('Draft Center'!$L$28+'Draft Center'!$L$78-'Draft Center'!$L$82)&lt;1,1,$Q67*('Draft Center'!$L$28+'Draft Center'!$L$78-'Draft Center'!$L$82)),0)))</f>
        <v>6</v>
      </c>
      <c r="BH67" s="70">
        <f>IF(VLOOKUP($D67,$AO$14:AX$19,COLUMN()-50,0)&lt;=0,1,IF($Q67&lt;0,1,ROUNDUP(IF($Q67*('Draft Center'!$L$28+'Draft Center'!$L$78-'Draft Center'!$L$82)&lt;1,1,$Q67*('Draft Center'!$L$28+'Draft Center'!$L$78-'Draft Center'!$L$82)),0)))</f>
        <v>6</v>
      </c>
      <c r="BI67" s="70">
        <f>IF(VLOOKUP($D67,$AO$14:AY$19,COLUMN()-50,0)&lt;=0,1,IF($Q67&lt;0,1,ROUNDUP(IF($Q67*('Draft Center'!$L$28+'Draft Center'!$L$78-'Draft Center'!$L$82)&lt;1,1,$Q67*('Draft Center'!$L$28+'Draft Center'!$L$78-'Draft Center'!$L$82)),0)))</f>
        <v>6</v>
      </c>
      <c r="BJ67" s="196"/>
      <c r="BK67" s="23">
        <v>0</v>
      </c>
      <c r="BL67" s="23" t="str">
        <f t="shared" si="37"/>
        <v/>
      </c>
      <c r="BM67" s="23">
        <v>0</v>
      </c>
      <c r="BN67" s="23" t="str">
        <f t="shared" si="37"/>
        <v/>
      </c>
      <c r="BO67" s="23" t="str">
        <f t="shared" si="37"/>
        <v/>
      </c>
      <c r="BP67" s="23" t="str">
        <f t="shared" si="37"/>
        <v/>
      </c>
      <c r="BQ67" s="23" t="str">
        <f t="shared" si="37"/>
        <v/>
      </c>
      <c r="BR67" s="23">
        <f t="shared" si="42"/>
        <v>0</v>
      </c>
      <c r="BS67" s="23">
        <f t="shared" si="43"/>
        <v>0</v>
      </c>
      <c r="BT67" s="70">
        <v>6</v>
      </c>
      <c r="BU67" s="58">
        <v>2327.0337</v>
      </c>
      <c r="BV67" s="33">
        <v>6</v>
      </c>
      <c r="BW67" s="204">
        <v>2327.0337</v>
      </c>
      <c r="BX67" s="23"/>
      <c r="BY67" s="70">
        <v>6</v>
      </c>
      <c r="BZ67" s="70">
        <v>7.4</v>
      </c>
      <c r="CA67" s="70">
        <v>7.4</v>
      </c>
      <c r="CB67" s="70">
        <v>7.4</v>
      </c>
      <c r="CC67" s="70">
        <f t="shared" ref="CC67:CC130" si="46">AVERAGE(BZ67:CB67)</f>
        <v>7.4000000000000012</v>
      </c>
      <c r="CD67" s="70">
        <f t="shared" ref="CD67:CD130" si="47">IFERROR(HLOOKUP($CD$1,$BZ$1:$CC$930,ROW(),0),"")</f>
        <v>7.4</v>
      </c>
    </row>
    <row r="68" spans="1:82" ht="15.75" customHeight="1" thickBot="1" x14ac:dyDescent="0.3">
      <c r="A68" s="9">
        <v>67</v>
      </c>
      <c r="B68" s="10" t="s">
        <v>176</v>
      </c>
      <c r="C68" s="10" t="s">
        <v>35</v>
      </c>
      <c r="D68" s="10" t="s">
        <v>147</v>
      </c>
      <c r="E68" s="51">
        <v>8.0308272794746092</v>
      </c>
      <c r="F68" s="51">
        <v>139.399815710448</v>
      </c>
      <c r="G68" s="51">
        <v>144.275699052774</v>
      </c>
      <c r="H68" s="51">
        <v>132.08380502638201</v>
      </c>
      <c r="I68" s="11">
        <v>1.6</v>
      </c>
      <c r="J68" s="51">
        <v>2.30300865737106</v>
      </c>
      <c r="K68" s="249">
        <f>IFERROR(VLOOKUP(C68,Schedule!$T$3:$U$34,2,0),"FA")</f>
        <v>6</v>
      </c>
      <c r="L68" s="10" t="str">
        <f>D68&amp;COUNTIF(D$2:$D68,D68)</f>
        <v>K4</v>
      </c>
      <c r="M68" s="51">
        <f t="array" ref="M68">IFERROR(F68-AVERAGE(VLOOKUP(D68,$D69:$F$885,3,0),INDEX($F69:$F$885,SMALL(IF(D68=$D69:$D$885,ROW($D69:$D$885)-ROW(D68)),2))),0)</f>
        <v>2.2529512429115073</v>
      </c>
      <c r="N68" s="51">
        <f>IFERROR(IF(VLOOKUP($B68,Input!$AC$2:$AC$162,1,0)=$B68,0),F68)</f>
        <v>139.399815710448</v>
      </c>
      <c r="O68" s="51">
        <f>IFERROR(IF(VLOOKUP($B68,Input!$AC$2:$AC$162,1,0)=$B68,0,G68),G68)</f>
        <v>144.275699052774</v>
      </c>
      <c r="P68" s="51">
        <f>IF(N68=0,0,F68-AVERAGE(INDEX(F:F,MATCH(VLOOKUP(D68,Input!$A$14:$L$22,10,0),L:L,0)),INDEX(F:F,MATCH(VLOOKUP(D68,Input!$A$14:$L$22,11,0),L:L,0)),INDEX(F:F,MATCH(VLOOKUP(D68,Input!$A$14:$L$22,12,0),L:L,0)))+(0.01-ROW()*0.01))</f>
        <v>7.1868341283200028</v>
      </c>
      <c r="Q68" s="107">
        <f t="shared" si="38"/>
        <v>2.4794070418995362E-3</v>
      </c>
      <c r="R68" s="11">
        <f>IF(VLOOKUP($D68,$X$14:$Y$19,2,0)&lt;=0,1,IF(Q68&lt;0,1,ROUNDUP(IF(Q68*('Draft Center'!$L$28+'Draft Center'!$L$78-'Draft Center'!$L$82)&lt;1,1,Q68*('Draft Center'!$L$28+'Draft Center'!$L$78-'Draft Center'!$L$82)),0)))</f>
        <v>5</v>
      </c>
      <c r="S68" s="11">
        <f>IF(A68&lt;Input!$B$10+0.1,IF(ROUNDUP(R68*Input!$C$10,0)=0,1,ROUNDUP(R68*Input!$C$10,0)),IF(A68&gt;Input!$B$11,IF(ROUNDUP(R68*Input!$C$11,0)=0,1,ROUNDUP(R68*Input!$C$11,0)),IF(ROUNDUP(R68,0)=0,1,ROUNDUP(R68,0))))</f>
        <v>5</v>
      </c>
      <c r="T68" s="11">
        <f t="shared" si="39"/>
        <v>5</v>
      </c>
      <c r="U68" s="11">
        <f>IFERROR(VLOOKUP($B68,Input!$AC$2:$AE$161,3,0),0)</f>
        <v>0</v>
      </c>
      <c r="V68" s="257">
        <f t="shared" si="44"/>
        <v>2.12568</v>
      </c>
      <c r="W68" s="264">
        <f t="shared" si="45"/>
        <v>3.4006799999999999</v>
      </c>
      <c r="X68" s="27"/>
      <c r="Y68" s="23"/>
      <c r="Z68" s="23"/>
      <c r="AA68" s="23">
        <v>0</v>
      </c>
      <c r="AB68" s="23" t="str">
        <f t="shared" si="36"/>
        <v/>
      </c>
      <c r="AC68" s="23" t="str">
        <f t="shared" si="36"/>
        <v/>
      </c>
      <c r="AD68" s="23" t="str">
        <f t="shared" si="36"/>
        <v/>
      </c>
      <c r="AE68" s="23" t="str">
        <f t="shared" si="36"/>
        <v/>
      </c>
      <c r="AF68" s="23" t="str">
        <f t="shared" si="36"/>
        <v/>
      </c>
      <c r="AG68" s="23">
        <f t="shared" si="36"/>
        <v>0</v>
      </c>
      <c r="AH68" s="23">
        <f t="shared" si="40"/>
        <v>0</v>
      </c>
      <c r="AI68" s="23">
        <f t="shared" si="41"/>
        <v>0</v>
      </c>
      <c r="AJ68" s="69">
        <v>5</v>
      </c>
      <c r="AK68" s="225">
        <v>2327.0337</v>
      </c>
      <c r="AL68" s="33">
        <v>5</v>
      </c>
      <c r="AM68" s="204">
        <v>2327.0337</v>
      </c>
      <c r="AN68" s="196"/>
      <c r="AO68" s="23"/>
      <c r="AP68" s="23"/>
      <c r="AQ68" s="23"/>
      <c r="AR68" s="23"/>
      <c r="AS68" s="23"/>
      <c r="AT68" s="23"/>
      <c r="AU68" s="23"/>
      <c r="AV68" s="23"/>
      <c r="AW68" s="23"/>
      <c r="AX68" s="23"/>
      <c r="AY68" s="23"/>
      <c r="AZ68" s="196"/>
      <c r="BA68" s="69">
        <f>IF(VLOOKUP($D68,$AO$14:AQ$19,COLUMN()-50,0)&lt;=0,1,IF($Q68&lt;0,1,ROUNDUP(IF($Q68*('Draft Center'!$L$28+'Draft Center'!$L$78-'Draft Center'!$L$82)&lt;1,1,$Q68*('Draft Center'!$L$28+'Draft Center'!$L$78-'Draft Center'!$L$82)),0)))</f>
        <v>5</v>
      </c>
      <c r="BB68" s="69">
        <f>IF(VLOOKUP($D68,$AO$14:AR$19,COLUMN()-50,0)&lt;=0,1,IF($Q68&lt;0,1,ROUNDUP(IF($Q68*('Draft Center'!$L$28+'Draft Center'!$L$78-'Draft Center'!$L$82)&lt;1,1,$Q68*('Draft Center'!$L$28+'Draft Center'!$L$78-'Draft Center'!$L$82)),0)))</f>
        <v>5</v>
      </c>
      <c r="BC68" s="69">
        <f>IF(VLOOKUP($D68,$AO$14:AS$19,COLUMN()-50,0)&lt;=0,1,IF($Q68&lt;0,1,ROUNDUP(IF($Q68*('Draft Center'!$L$28+'Draft Center'!$L$78-'Draft Center'!$L$82)&lt;1,1,$Q68*('Draft Center'!$L$28+'Draft Center'!$L$78-'Draft Center'!$L$82)),0)))</f>
        <v>5</v>
      </c>
      <c r="BD68" s="69">
        <f>IF(VLOOKUP($D68,$AO$14:AT$19,COLUMN()-50,0)&lt;=0,1,IF($Q68&lt;0,1,ROUNDUP(IF($Q68*('Draft Center'!$L$28+'Draft Center'!$L$78-'Draft Center'!$L$82)&lt;1,1,$Q68*('Draft Center'!$L$28+'Draft Center'!$L$78-'Draft Center'!$L$82)),0)))</f>
        <v>5</v>
      </c>
      <c r="BE68" s="69">
        <f>IF(VLOOKUP($D68,$AO$14:AU$19,COLUMN()-50,0)&lt;=0,1,IF($Q68&lt;0,1,ROUNDUP(IF($Q68*('Draft Center'!$L$28+'Draft Center'!$L$78-'Draft Center'!$L$82)&lt;1,1,$Q68*('Draft Center'!$L$28+'Draft Center'!$L$78-'Draft Center'!$L$82)),0)))</f>
        <v>5</v>
      </c>
      <c r="BF68" s="69">
        <f>IF(VLOOKUP($D68,$AO$14:AV$19,COLUMN()-50,0)&lt;=0,1,IF($Q68&lt;0,1,ROUNDUP(IF($Q68*('Draft Center'!$L$28+'Draft Center'!$L$78-'Draft Center'!$L$82)&lt;1,1,$Q68*('Draft Center'!$L$28+'Draft Center'!$L$78-'Draft Center'!$L$82)),0)))</f>
        <v>5</v>
      </c>
      <c r="BG68" s="69">
        <f>IF(VLOOKUP($D68,$AO$14:AW$19,COLUMN()-50,0)&lt;=0,1,IF($Q68&lt;0,1,ROUNDUP(IF($Q68*('Draft Center'!$L$28+'Draft Center'!$L$78-'Draft Center'!$L$82)&lt;1,1,$Q68*('Draft Center'!$L$28+'Draft Center'!$L$78-'Draft Center'!$L$82)),0)))</f>
        <v>5</v>
      </c>
      <c r="BH68" s="69">
        <f>IF(VLOOKUP($D68,$AO$14:AX$19,COLUMN()-50,0)&lt;=0,1,IF($Q68&lt;0,1,ROUNDUP(IF($Q68*('Draft Center'!$L$28+'Draft Center'!$L$78-'Draft Center'!$L$82)&lt;1,1,$Q68*('Draft Center'!$L$28+'Draft Center'!$L$78-'Draft Center'!$L$82)),0)))</f>
        <v>5</v>
      </c>
      <c r="BI68" s="69">
        <f>IF(VLOOKUP($D68,$AO$14:AY$19,COLUMN()-50,0)&lt;=0,1,IF($Q68&lt;0,1,ROUNDUP(IF($Q68*('Draft Center'!$L$28+'Draft Center'!$L$78-'Draft Center'!$L$82)&lt;1,1,$Q68*('Draft Center'!$L$28+'Draft Center'!$L$78-'Draft Center'!$L$82)),0)))</f>
        <v>5</v>
      </c>
      <c r="BJ68" s="196"/>
      <c r="BK68" s="23">
        <v>0</v>
      </c>
      <c r="BL68" s="23" t="str">
        <f t="shared" si="37"/>
        <v/>
      </c>
      <c r="BM68" s="23">
        <v>0</v>
      </c>
      <c r="BN68" s="23" t="str">
        <f t="shared" si="37"/>
        <v/>
      </c>
      <c r="BO68" s="23" t="str">
        <f t="shared" si="37"/>
        <v/>
      </c>
      <c r="BP68" s="23" t="str">
        <f t="shared" si="37"/>
        <v/>
      </c>
      <c r="BQ68" s="23">
        <f t="shared" si="37"/>
        <v>0</v>
      </c>
      <c r="BR68" s="23">
        <f t="shared" si="42"/>
        <v>0</v>
      </c>
      <c r="BS68" s="23">
        <f t="shared" si="43"/>
        <v>0</v>
      </c>
      <c r="BT68" s="69">
        <v>5</v>
      </c>
      <c r="BU68" s="58">
        <v>2327.0337</v>
      </c>
      <c r="BV68" s="33">
        <v>5</v>
      </c>
      <c r="BW68" s="204">
        <v>2327.0337</v>
      </c>
      <c r="BX68" s="23"/>
      <c r="BY68" s="69">
        <v>5</v>
      </c>
      <c r="BZ68" s="69">
        <v>1.6</v>
      </c>
      <c r="CA68" s="69">
        <v>1.6</v>
      </c>
      <c r="CB68" s="69">
        <v>1.6</v>
      </c>
      <c r="CC68" s="69">
        <f t="shared" si="46"/>
        <v>1.6000000000000003</v>
      </c>
      <c r="CD68" s="69">
        <f t="shared" si="47"/>
        <v>1.6</v>
      </c>
    </row>
    <row r="69" spans="1:82" ht="15.75" customHeight="1" thickBot="1" x14ac:dyDescent="0.3">
      <c r="A69" s="6">
        <v>68</v>
      </c>
      <c r="B69" s="7" t="s">
        <v>134</v>
      </c>
      <c r="C69" s="7" t="s">
        <v>38</v>
      </c>
      <c r="D69" s="7" t="s">
        <v>135</v>
      </c>
      <c r="E69" s="50">
        <v>7.2650974173085698</v>
      </c>
      <c r="F69" s="50">
        <v>115.99665609424601</v>
      </c>
      <c r="G69" s="50">
        <v>112.65100581395301</v>
      </c>
      <c r="H69" s="50">
        <v>76</v>
      </c>
      <c r="I69" s="8">
        <v>3.2</v>
      </c>
      <c r="J69" s="50">
        <v>2.75310709872049</v>
      </c>
      <c r="K69" s="248">
        <f>IFERROR(VLOOKUP(C69,Schedule!$T$3:$U$34,2,0),"FA")</f>
        <v>6</v>
      </c>
      <c r="L69" s="7" t="str">
        <f>D69&amp;COUNTIF(D$2:$D69,D69)</f>
        <v>DST8</v>
      </c>
      <c r="M69" s="50">
        <f t="array" ref="M69">IFERROR(F69-AVERAGE(VLOOKUP(D69,$D70:$F$885,3,0),INDEX($F70:$F$885,SMALL(IF(D69=$D70:$D$885,ROW($D70:$D$885)-ROW(D69)),2))),0)</f>
        <v>3.9678251019490034</v>
      </c>
      <c r="N69" s="50">
        <f>IFERROR(IF(VLOOKUP($B69,Input!$AC$2:$AC$162,1,0)=$B69,0),F69)</f>
        <v>115.99665609424601</v>
      </c>
      <c r="O69" s="50">
        <f>IFERROR(IF(VLOOKUP($B69,Input!$AC$2:$AC$162,1,0)=$B69,0,G69),G69)</f>
        <v>112.65100581395301</v>
      </c>
      <c r="P69" s="50">
        <f>IF(N69=0,0,F69-AVERAGE(INDEX(F:F,MATCH(VLOOKUP(D69,Input!$A$14:$L$22,10,0),L:L,0)),INDEX(F:F,MATCH(VLOOKUP(D69,Input!$A$14:$L$22,11,0),L:L,0)),INDEX(F:F,MATCH(VLOOKUP(D69,Input!$A$14:$L$22,12,0),L:L,0)))+(0.01-ROW()*0.01))</f>
        <v>7.6282691436339931</v>
      </c>
      <c r="Q69" s="106">
        <f t="shared" si="38"/>
        <v>2.6316990060618406E-3</v>
      </c>
      <c r="R69" s="8">
        <f>IF(VLOOKUP($D69,$X$14:$Y$19,2,0)&lt;=0,1,IF(Q69&lt;0,1,ROUNDUP(IF(Q69*('Draft Center'!$L$28+'Draft Center'!$L$78-'Draft Center'!$L$82)&lt;1,1,Q69*('Draft Center'!$L$28+'Draft Center'!$L$78-'Draft Center'!$L$82)),0)))</f>
        <v>6</v>
      </c>
      <c r="S69" s="8">
        <f>IF(A69&lt;Input!$B$10+0.1,IF(ROUNDUP(R69*Input!$C$10,0)=0,1,ROUNDUP(R69*Input!$C$10,0)),IF(A69&gt;Input!$B$11,IF(ROUNDUP(R69*Input!$C$11,0)=0,1,ROUNDUP(R69*Input!$C$11,0)),IF(ROUNDUP(R69,0)=0,1,ROUNDUP(R69,0))))</f>
        <v>6</v>
      </c>
      <c r="T69" s="8">
        <f t="shared" si="39"/>
        <v>6</v>
      </c>
      <c r="U69" s="8">
        <f>IFERROR(VLOOKUP($B69,Input!$AC$2:$AE$161,3,0),0)</f>
        <v>0</v>
      </c>
      <c r="V69" s="256">
        <f t="shared" si="44"/>
        <v>0.87568999999999986</v>
      </c>
      <c r="W69" s="263">
        <f t="shared" si="45"/>
        <v>2.8006899999999999</v>
      </c>
      <c r="X69" s="27"/>
      <c r="Y69" s="23"/>
      <c r="Z69" s="23"/>
      <c r="AA69" s="23">
        <v>0</v>
      </c>
      <c r="AB69" s="23" t="str">
        <f t="shared" si="36"/>
        <v/>
      </c>
      <c r="AC69" s="23" t="str">
        <f t="shared" si="36"/>
        <v/>
      </c>
      <c r="AD69" s="23" t="str">
        <f t="shared" si="36"/>
        <v/>
      </c>
      <c r="AE69" s="23" t="str">
        <f t="shared" si="36"/>
        <v/>
      </c>
      <c r="AF69" s="23">
        <f t="shared" si="36"/>
        <v>0</v>
      </c>
      <c r="AG69" s="23" t="str">
        <f t="shared" si="36"/>
        <v/>
      </c>
      <c r="AH69" s="23">
        <f t="shared" si="40"/>
        <v>0</v>
      </c>
      <c r="AI69" s="23">
        <f t="shared" si="41"/>
        <v>0</v>
      </c>
      <c r="AJ69" s="70">
        <v>6</v>
      </c>
      <c r="AK69" s="225">
        <v>2327.0337</v>
      </c>
      <c r="AL69" s="33">
        <v>6</v>
      </c>
      <c r="AM69" s="204">
        <v>2327.0337</v>
      </c>
      <c r="AN69" s="196"/>
      <c r="AO69" s="23"/>
      <c r="AP69" s="23"/>
      <c r="AQ69" s="23"/>
      <c r="AR69" s="23"/>
      <c r="AS69" s="23"/>
      <c r="AT69" s="23"/>
      <c r="AU69" s="23"/>
      <c r="AV69" s="23"/>
      <c r="AW69" s="23"/>
      <c r="AX69" s="23"/>
      <c r="AY69" s="23"/>
      <c r="AZ69" s="196"/>
      <c r="BA69" s="70">
        <f>IF(VLOOKUP($D69,$AO$14:AQ$19,COLUMN()-50,0)&lt;=0,1,IF($Q69&lt;0,1,ROUNDUP(IF($Q69*('Draft Center'!$L$28+'Draft Center'!$L$78-'Draft Center'!$L$82)&lt;1,1,$Q69*('Draft Center'!$L$28+'Draft Center'!$L$78-'Draft Center'!$L$82)),0)))</f>
        <v>6</v>
      </c>
      <c r="BB69" s="70">
        <f>IF(VLOOKUP($D69,$AO$14:AR$19,COLUMN()-50,0)&lt;=0,1,IF($Q69&lt;0,1,ROUNDUP(IF($Q69*('Draft Center'!$L$28+'Draft Center'!$L$78-'Draft Center'!$L$82)&lt;1,1,$Q69*('Draft Center'!$L$28+'Draft Center'!$L$78-'Draft Center'!$L$82)),0)))</f>
        <v>6</v>
      </c>
      <c r="BC69" s="70">
        <f>IF(VLOOKUP($D69,$AO$14:AS$19,COLUMN()-50,0)&lt;=0,1,IF($Q69&lt;0,1,ROUNDUP(IF($Q69*('Draft Center'!$L$28+'Draft Center'!$L$78-'Draft Center'!$L$82)&lt;1,1,$Q69*('Draft Center'!$L$28+'Draft Center'!$L$78-'Draft Center'!$L$82)),0)))</f>
        <v>6</v>
      </c>
      <c r="BD69" s="70">
        <f>IF(VLOOKUP($D69,$AO$14:AT$19,COLUMN()-50,0)&lt;=0,1,IF($Q69&lt;0,1,ROUNDUP(IF($Q69*('Draft Center'!$L$28+'Draft Center'!$L$78-'Draft Center'!$L$82)&lt;1,1,$Q69*('Draft Center'!$L$28+'Draft Center'!$L$78-'Draft Center'!$L$82)),0)))</f>
        <v>6</v>
      </c>
      <c r="BE69" s="70">
        <f>IF(VLOOKUP($D69,$AO$14:AU$19,COLUMN()-50,0)&lt;=0,1,IF($Q69&lt;0,1,ROUNDUP(IF($Q69*('Draft Center'!$L$28+'Draft Center'!$L$78-'Draft Center'!$L$82)&lt;1,1,$Q69*('Draft Center'!$L$28+'Draft Center'!$L$78-'Draft Center'!$L$82)),0)))</f>
        <v>6</v>
      </c>
      <c r="BF69" s="70">
        <f>IF(VLOOKUP($D69,$AO$14:AV$19,COLUMN()-50,0)&lt;=0,1,IF($Q69&lt;0,1,ROUNDUP(IF($Q69*('Draft Center'!$L$28+'Draft Center'!$L$78-'Draft Center'!$L$82)&lt;1,1,$Q69*('Draft Center'!$L$28+'Draft Center'!$L$78-'Draft Center'!$L$82)),0)))</f>
        <v>6</v>
      </c>
      <c r="BG69" s="70">
        <f>IF(VLOOKUP($D69,$AO$14:AW$19,COLUMN()-50,0)&lt;=0,1,IF($Q69&lt;0,1,ROUNDUP(IF($Q69*('Draft Center'!$L$28+'Draft Center'!$L$78-'Draft Center'!$L$82)&lt;1,1,$Q69*('Draft Center'!$L$28+'Draft Center'!$L$78-'Draft Center'!$L$82)),0)))</f>
        <v>6</v>
      </c>
      <c r="BH69" s="70">
        <f>IF(VLOOKUP($D69,$AO$14:AX$19,COLUMN()-50,0)&lt;=0,1,IF($Q69&lt;0,1,ROUNDUP(IF($Q69*('Draft Center'!$L$28+'Draft Center'!$L$78-'Draft Center'!$L$82)&lt;1,1,$Q69*('Draft Center'!$L$28+'Draft Center'!$L$78-'Draft Center'!$L$82)),0)))</f>
        <v>6</v>
      </c>
      <c r="BI69" s="70">
        <f>IF(VLOOKUP($D69,$AO$14:AY$19,COLUMN()-50,0)&lt;=0,1,IF($Q69&lt;0,1,ROUNDUP(IF($Q69*('Draft Center'!$L$28+'Draft Center'!$L$78-'Draft Center'!$L$82)&lt;1,1,$Q69*('Draft Center'!$L$28+'Draft Center'!$L$78-'Draft Center'!$L$82)),0)))</f>
        <v>6</v>
      </c>
      <c r="BJ69" s="196"/>
      <c r="BK69" s="23">
        <v>0</v>
      </c>
      <c r="BL69" s="23" t="str">
        <f t="shared" si="37"/>
        <v/>
      </c>
      <c r="BM69" s="23">
        <v>0</v>
      </c>
      <c r="BN69" s="23" t="str">
        <f t="shared" si="37"/>
        <v/>
      </c>
      <c r="BO69" s="23" t="str">
        <f t="shared" si="37"/>
        <v/>
      </c>
      <c r="BP69" s="23">
        <f t="shared" si="37"/>
        <v>0</v>
      </c>
      <c r="BQ69" s="23" t="str">
        <f t="shared" si="37"/>
        <v/>
      </c>
      <c r="BR69" s="23">
        <f t="shared" si="42"/>
        <v>0</v>
      </c>
      <c r="BS69" s="23">
        <f t="shared" si="43"/>
        <v>0</v>
      </c>
      <c r="BT69" s="70">
        <v>6</v>
      </c>
      <c r="BU69" s="58">
        <v>2327.0337</v>
      </c>
      <c r="BV69" s="33">
        <v>6</v>
      </c>
      <c r="BW69" s="204">
        <v>2327.0337</v>
      </c>
      <c r="BX69" s="23"/>
      <c r="BY69" s="70">
        <v>6</v>
      </c>
      <c r="BZ69" s="70">
        <v>3.2</v>
      </c>
      <c r="CA69" s="70">
        <v>3.2</v>
      </c>
      <c r="CB69" s="70">
        <v>3.2</v>
      </c>
      <c r="CC69" s="70">
        <f t="shared" si="46"/>
        <v>3.2000000000000006</v>
      </c>
      <c r="CD69" s="70">
        <f t="shared" si="47"/>
        <v>3.2</v>
      </c>
    </row>
    <row r="70" spans="1:82" ht="15.75" customHeight="1" thickBot="1" x14ac:dyDescent="0.3">
      <c r="A70" s="9">
        <v>69</v>
      </c>
      <c r="B70" s="10" t="s">
        <v>157</v>
      </c>
      <c r="C70" s="10" t="s">
        <v>52</v>
      </c>
      <c r="D70" s="10" t="s">
        <v>147</v>
      </c>
      <c r="E70" s="51">
        <v>6.8953235433374402</v>
      </c>
      <c r="F70" s="51">
        <v>138.264311974311</v>
      </c>
      <c r="G70" s="51">
        <v>144.83611978046599</v>
      </c>
      <c r="H70" s="51">
        <v>133.370226999838</v>
      </c>
      <c r="I70" s="11">
        <v>1.4</v>
      </c>
      <c r="J70" s="51">
        <v>2.9447189291381801</v>
      </c>
      <c r="K70" s="249">
        <f>IFERROR(VLOOKUP(C70,Schedule!$T$3:$U$34,2,0),"FA")</f>
        <v>11</v>
      </c>
      <c r="L70" s="10" t="str">
        <f>D70&amp;COUNTIF(D$2:$D70,D70)</f>
        <v>K5</v>
      </c>
      <c r="M70" s="51">
        <f t="array" ref="M70">IFERROR(F70-AVERAGE(VLOOKUP(D70,$D71:$F$885,3,0),INDEX($F71:$F$885,SMALL(IF(D70=$D71:$D$885,ROW($D71:$D$885)-ROW(D70)),2))),0)</f>
        <v>2.466602268918507</v>
      </c>
      <c r="N70" s="51">
        <f>IFERROR(IF(VLOOKUP($B70,Input!$AC$2:$AC$162,1,0)=$B70,0),F70)</f>
        <v>138.264311974311</v>
      </c>
      <c r="O70" s="51">
        <f>IFERROR(IF(VLOOKUP($B70,Input!$AC$2:$AC$162,1,0)=$B70,0,G70),G70)</f>
        <v>144.83611978046599</v>
      </c>
      <c r="P70" s="51">
        <f>IF(N70=0,0,F70-AVERAGE(INDEX(F:F,MATCH(VLOOKUP(D70,Input!$A$14:$L$22,10,0),L:L,0)),INDEX(F:F,MATCH(VLOOKUP(D70,Input!$A$14:$L$22,11,0),L:L,0)),INDEX(F:F,MATCH(VLOOKUP(D70,Input!$A$14:$L$22,12,0),L:L,0)))+(0.01-ROW()*0.01))</f>
        <v>6.0313303921830057</v>
      </c>
      <c r="Q70" s="107">
        <f t="shared" si="38"/>
        <v>2.0807664097149433E-3</v>
      </c>
      <c r="R70" s="11">
        <f>IF(VLOOKUP($D70,$X$14:$Y$19,2,0)&lt;=0,1,IF(Q70&lt;0,1,ROUNDUP(IF(Q70*('Draft Center'!$L$28+'Draft Center'!$L$78-'Draft Center'!$L$82)&lt;1,1,Q70*('Draft Center'!$L$28+'Draft Center'!$L$78-'Draft Center'!$L$82)),0)))</f>
        <v>5</v>
      </c>
      <c r="S70" s="11">
        <f>IF(A70&lt;Input!$B$10+0.1,IF(ROUNDUP(R70*Input!$C$10,0)=0,1,ROUNDUP(R70*Input!$C$10,0)),IF(A70&gt;Input!$B$11,IF(ROUNDUP(R70*Input!$C$11,0)=0,1,ROUNDUP(R70*Input!$C$11,0)),IF(ROUNDUP(R70,0)=0,1,ROUNDUP(R70,0))))</f>
        <v>5</v>
      </c>
      <c r="T70" s="11">
        <f t="shared" si="39"/>
        <v>5</v>
      </c>
      <c r="U70" s="11">
        <f>IFERROR(VLOOKUP($B70,Input!$AC$2:$AE$161,3,0),0)</f>
        <v>0</v>
      </c>
      <c r="V70" s="257">
        <f t="shared" si="44"/>
        <v>2.5721285714285718</v>
      </c>
      <c r="W70" s="264">
        <f t="shared" si="45"/>
        <v>3.6007000000000002</v>
      </c>
      <c r="X70" s="27"/>
      <c r="Y70" s="23"/>
      <c r="Z70" s="23"/>
      <c r="AA70" s="23">
        <v>0</v>
      </c>
      <c r="AB70" s="23" t="str">
        <f t="shared" si="36"/>
        <v/>
      </c>
      <c r="AC70" s="23" t="str">
        <f t="shared" si="36"/>
        <v/>
      </c>
      <c r="AD70" s="23" t="str">
        <f t="shared" si="36"/>
        <v/>
      </c>
      <c r="AE70" s="23" t="str">
        <f t="shared" si="36"/>
        <v/>
      </c>
      <c r="AF70" s="23" t="str">
        <f t="shared" si="36"/>
        <v/>
      </c>
      <c r="AG70" s="23">
        <f t="shared" si="36"/>
        <v>0</v>
      </c>
      <c r="AH70" s="23">
        <f t="shared" si="40"/>
        <v>0</v>
      </c>
      <c r="AI70" s="23">
        <f t="shared" si="41"/>
        <v>0</v>
      </c>
      <c r="AJ70" s="69">
        <v>5</v>
      </c>
      <c r="AK70" s="225">
        <v>2327.0337</v>
      </c>
      <c r="AL70" s="33">
        <v>5</v>
      </c>
      <c r="AM70" s="204">
        <v>2327.0337</v>
      </c>
      <c r="AN70" s="196"/>
      <c r="AO70" s="23"/>
      <c r="AP70" s="23"/>
      <c r="AQ70" s="23"/>
      <c r="AR70" s="23"/>
      <c r="AS70" s="23"/>
      <c r="AT70" s="23"/>
      <c r="AU70" s="23"/>
      <c r="AV70" s="23"/>
      <c r="AW70" s="23"/>
      <c r="AX70" s="23"/>
      <c r="AY70" s="23"/>
      <c r="AZ70" s="196"/>
      <c r="BA70" s="69">
        <f>IF(VLOOKUP($D70,$AO$14:AQ$19,COLUMN()-50,0)&lt;=0,1,IF($Q70&lt;0,1,ROUNDUP(IF($Q70*('Draft Center'!$L$28+'Draft Center'!$L$78-'Draft Center'!$L$82)&lt;1,1,$Q70*('Draft Center'!$L$28+'Draft Center'!$L$78-'Draft Center'!$L$82)),0)))</f>
        <v>5</v>
      </c>
      <c r="BB70" s="69">
        <f>IF(VLOOKUP($D70,$AO$14:AR$19,COLUMN()-50,0)&lt;=0,1,IF($Q70&lt;0,1,ROUNDUP(IF($Q70*('Draft Center'!$L$28+'Draft Center'!$L$78-'Draft Center'!$L$82)&lt;1,1,$Q70*('Draft Center'!$L$28+'Draft Center'!$L$78-'Draft Center'!$L$82)),0)))</f>
        <v>5</v>
      </c>
      <c r="BC70" s="69">
        <f>IF(VLOOKUP($D70,$AO$14:AS$19,COLUMN()-50,0)&lt;=0,1,IF($Q70&lt;0,1,ROUNDUP(IF($Q70*('Draft Center'!$L$28+'Draft Center'!$L$78-'Draft Center'!$L$82)&lt;1,1,$Q70*('Draft Center'!$L$28+'Draft Center'!$L$78-'Draft Center'!$L$82)),0)))</f>
        <v>5</v>
      </c>
      <c r="BD70" s="69">
        <f>IF(VLOOKUP($D70,$AO$14:AT$19,COLUMN()-50,0)&lt;=0,1,IF($Q70&lt;0,1,ROUNDUP(IF($Q70*('Draft Center'!$L$28+'Draft Center'!$L$78-'Draft Center'!$L$82)&lt;1,1,$Q70*('Draft Center'!$L$28+'Draft Center'!$L$78-'Draft Center'!$L$82)),0)))</f>
        <v>5</v>
      </c>
      <c r="BE70" s="69">
        <f>IF(VLOOKUP($D70,$AO$14:AU$19,COLUMN()-50,0)&lt;=0,1,IF($Q70&lt;0,1,ROUNDUP(IF($Q70*('Draft Center'!$L$28+'Draft Center'!$L$78-'Draft Center'!$L$82)&lt;1,1,$Q70*('Draft Center'!$L$28+'Draft Center'!$L$78-'Draft Center'!$L$82)),0)))</f>
        <v>5</v>
      </c>
      <c r="BF70" s="69">
        <f>IF(VLOOKUP($D70,$AO$14:AV$19,COLUMN()-50,0)&lt;=0,1,IF($Q70&lt;0,1,ROUNDUP(IF($Q70*('Draft Center'!$L$28+'Draft Center'!$L$78-'Draft Center'!$L$82)&lt;1,1,$Q70*('Draft Center'!$L$28+'Draft Center'!$L$78-'Draft Center'!$L$82)),0)))</f>
        <v>5</v>
      </c>
      <c r="BG70" s="69">
        <f>IF(VLOOKUP($D70,$AO$14:AW$19,COLUMN()-50,0)&lt;=0,1,IF($Q70&lt;0,1,ROUNDUP(IF($Q70*('Draft Center'!$L$28+'Draft Center'!$L$78-'Draft Center'!$L$82)&lt;1,1,$Q70*('Draft Center'!$L$28+'Draft Center'!$L$78-'Draft Center'!$L$82)),0)))</f>
        <v>5</v>
      </c>
      <c r="BH70" s="69">
        <f>IF(VLOOKUP($D70,$AO$14:AX$19,COLUMN()-50,0)&lt;=0,1,IF($Q70&lt;0,1,ROUNDUP(IF($Q70*('Draft Center'!$L$28+'Draft Center'!$L$78-'Draft Center'!$L$82)&lt;1,1,$Q70*('Draft Center'!$L$28+'Draft Center'!$L$78-'Draft Center'!$L$82)),0)))</f>
        <v>5</v>
      </c>
      <c r="BI70" s="69">
        <f>IF(VLOOKUP($D70,$AO$14:AY$19,COLUMN()-50,0)&lt;=0,1,IF($Q70&lt;0,1,ROUNDUP(IF($Q70*('Draft Center'!$L$28+'Draft Center'!$L$78-'Draft Center'!$L$82)&lt;1,1,$Q70*('Draft Center'!$L$28+'Draft Center'!$L$78-'Draft Center'!$L$82)),0)))</f>
        <v>5</v>
      </c>
      <c r="BJ70" s="196"/>
      <c r="BK70" s="23">
        <v>0</v>
      </c>
      <c r="BL70" s="23" t="str">
        <f t="shared" si="37"/>
        <v/>
      </c>
      <c r="BM70" s="23">
        <v>0</v>
      </c>
      <c r="BN70" s="23" t="str">
        <f t="shared" si="37"/>
        <v/>
      </c>
      <c r="BO70" s="23" t="str">
        <f t="shared" si="37"/>
        <v/>
      </c>
      <c r="BP70" s="23" t="str">
        <f t="shared" si="37"/>
        <v/>
      </c>
      <c r="BQ70" s="23">
        <f t="shared" si="37"/>
        <v>0</v>
      </c>
      <c r="BR70" s="23">
        <f t="shared" si="42"/>
        <v>0</v>
      </c>
      <c r="BS70" s="23">
        <f t="shared" si="43"/>
        <v>0</v>
      </c>
      <c r="BT70" s="69">
        <v>5</v>
      </c>
      <c r="BU70" s="58">
        <v>2327.0337</v>
      </c>
      <c r="BV70" s="33">
        <v>5</v>
      </c>
      <c r="BW70" s="204">
        <v>2327.0337</v>
      </c>
      <c r="BX70" s="23"/>
      <c r="BY70" s="69">
        <v>5</v>
      </c>
      <c r="BZ70" s="69">
        <v>1.4</v>
      </c>
      <c r="CA70" s="69">
        <v>1.4</v>
      </c>
      <c r="CB70" s="69">
        <v>1.4</v>
      </c>
      <c r="CC70" s="69">
        <f t="shared" si="46"/>
        <v>1.3999999999999997</v>
      </c>
      <c r="CD70" s="69">
        <f t="shared" si="47"/>
        <v>1.4</v>
      </c>
    </row>
    <row r="71" spans="1:82" ht="15.75" customHeight="1" thickBot="1" x14ac:dyDescent="0.3">
      <c r="A71" s="6">
        <v>70</v>
      </c>
      <c r="B71" s="7" t="s">
        <v>828</v>
      </c>
      <c r="C71" s="7" t="s">
        <v>25</v>
      </c>
      <c r="D71" s="7" t="s">
        <v>17</v>
      </c>
      <c r="E71" s="50">
        <v>6.4306515857561202</v>
      </c>
      <c r="F71" s="50">
        <v>219.208567855105</v>
      </c>
      <c r="G71" s="50">
        <v>221.854784534483</v>
      </c>
      <c r="H71" s="50">
        <v>207.96029166779201</v>
      </c>
      <c r="I71" s="8">
        <v>9.9</v>
      </c>
      <c r="J71" s="50">
        <v>4.24799640809879</v>
      </c>
      <c r="K71" s="248">
        <f>IFERROR(VLOOKUP(C71,Schedule!$T$3:$U$34,2,0),"FA")</f>
        <v>10</v>
      </c>
      <c r="L71" s="7" t="str">
        <f>D71&amp;COUNTIF(D$2:$D71,D71)</f>
        <v>WR21</v>
      </c>
      <c r="M71" s="50">
        <f t="array" ref="M71">IFERROR(F71-AVERAGE(VLOOKUP(D71,$D72:$F$885,3,0),INDEX($F72:$F$885,SMALL(IF(D71=$D72:$D$885,ROW($D72:$D$885)-ROW(D71)),2))),0)</f>
        <v>2.4322729844959952</v>
      </c>
      <c r="N71" s="50">
        <f>IFERROR(IF(VLOOKUP($B71,Input!$AC$2:$AC$162,1,0)=$B71,0),F71)</f>
        <v>219.208567855105</v>
      </c>
      <c r="O71" s="50">
        <f>IFERROR(IF(VLOOKUP($B71,Input!$AC$2:$AC$162,1,0)=$B71,0,G71),G71)</f>
        <v>221.854784534483</v>
      </c>
      <c r="P71" s="50">
        <f>IF(N71=0,0,F71-AVERAGE(INDEX(F:F,MATCH(VLOOKUP(D71,Input!$A$14:$L$22,10,0),L:L,0)),INDEX(F:F,MATCH(VLOOKUP(D71,Input!$A$14:$L$22,11,0),L:L,0)),INDEX(F:F,MATCH(VLOOKUP(D71,Input!$A$14:$L$22,12,0),L:L,0)))+(0.01-ROW()*0.01))</f>
        <v>5.7306515857559814</v>
      </c>
      <c r="Q71" s="106">
        <f t="shared" si="38"/>
        <v>1.9770343440105994E-3</v>
      </c>
      <c r="R71" s="8">
        <f>IF(VLOOKUP($D71,$X$14:$Y$19,2,0)&lt;=0,1,IF(Q71&lt;0,1,ROUNDUP(IF(Q71*('Draft Center'!$L$28+'Draft Center'!$L$78-'Draft Center'!$L$82)&lt;1,1,Q71*('Draft Center'!$L$28+'Draft Center'!$L$78-'Draft Center'!$L$82)),0)))</f>
        <v>4</v>
      </c>
      <c r="S71" s="8">
        <f>IF(A71&lt;Input!$B$10+0.1,IF(ROUNDUP(R71*Input!$C$10,0)=0,1,ROUNDUP(R71*Input!$C$10,0)),IF(A71&gt;Input!$B$11,IF(ROUNDUP(R71*Input!$C$11,0)=0,1,ROUNDUP(R71*Input!$C$11,0)),IF(ROUNDUP(R71,0)=0,1,ROUNDUP(R71,0))))</f>
        <v>4</v>
      </c>
      <c r="T71" s="8">
        <f t="shared" si="39"/>
        <v>4</v>
      </c>
      <c r="U71" s="8">
        <f>IFERROR(VLOOKUP($B71,Input!$AC$2:$AE$161,3,0),0)</f>
        <v>0</v>
      </c>
      <c r="V71" s="256">
        <f t="shared" si="44"/>
        <v>-0.59524959595959603</v>
      </c>
      <c r="W71" s="263">
        <f t="shared" si="45"/>
        <v>-5.8992900000000006</v>
      </c>
      <c r="X71" s="27"/>
      <c r="Y71" s="23"/>
      <c r="Z71" s="23"/>
      <c r="AA71" s="23">
        <v>1</v>
      </c>
      <c r="AB71" s="23" t="str">
        <f t="shared" si="36"/>
        <v/>
      </c>
      <c r="AC71" s="23" t="str">
        <f t="shared" si="36"/>
        <v/>
      </c>
      <c r="AD71" s="23">
        <f t="shared" si="36"/>
        <v>1</v>
      </c>
      <c r="AE71" s="23" t="str">
        <f t="shared" si="36"/>
        <v/>
      </c>
      <c r="AF71" s="23" t="str">
        <f t="shared" si="36"/>
        <v/>
      </c>
      <c r="AG71" s="23" t="str">
        <f t="shared" si="36"/>
        <v/>
      </c>
      <c r="AH71" s="23">
        <f t="shared" si="40"/>
        <v>1</v>
      </c>
      <c r="AI71" s="23" t="str">
        <f t="shared" si="41"/>
        <v>Tyreek Hill</v>
      </c>
      <c r="AJ71" s="70">
        <v>4</v>
      </c>
      <c r="AK71" s="225">
        <v>2327.0337</v>
      </c>
      <c r="AL71" s="33">
        <v>4</v>
      </c>
      <c r="AM71" s="204">
        <v>2327.0337</v>
      </c>
      <c r="AN71" s="196"/>
      <c r="AO71" s="23"/>
      <c r="AP71" s="23"/>
      <c r="AQ71" s="23"/>
      <c r="AR71" s="23"/>
      <c r="AS71" s="23"/>
      <c r="AT71" s="23"/>
      <c r="AU71" s="23"/>
      <c r="AV71" s="23"/>
      <c r="AW71" s="23"/>
      <c r="AX71" s="23"/>
      <c r="AY71" s="23"/>
      <c r="AZ71" s="196"/>
      <c r="BA71" s="70">
        <f>IF(VLOOKUP($D71,$AO$14:AQ$19,COLUMN()-50,0)&lt;=0,1,IF($Q71&lt;0,1,ROUNDUP(IF($Q71*('Draft Center'!$L$28+'Draft Center'!$L$78-'Draft Center'!$L$82)&lt;1,1,$Q71*('Draft Center'!$L$28+'Draft Center'!$L$78-'Draft Center'!$L$82)),0)))</f>
        <v>4</v>
      </c>
      <c r="BB71" s="70">
        <f>IF(VLOOKUP($D71,$AO$14:AR$19,COLUMN()-50,0)&lt;=0,1,IF($Q71&lt;0,1,ROUNDUP(IF($Q71*('Draft Center'!$L$28+'Draft Center'!$L$78-'Draft Center'!$L$82)&lt;1,1,$Q71*('Draft Center'!$L$28+'Draft Center'!$L$78-'Draft Center'!$L$82)),0)))</f>
        <v>4</v>
      </c>
      <c r="BC71" s="70">
        <f>IF(VLOOKUP($D71,$AO$14:AS$19,COLUMN()-50,0)&lt;=0,1,IF($Q71&lt;0,1,ROUNDUP(IF($Q71*('Draft Center'!$L$28+'Draft Center'!$L$78-'Draft Center'!$L$82)&lt;1,1,$Q71*('Draft Center'!$L$28+'Draft Center'!$L$78-'Draft Center'!$L$82)),0)))</f>
        <v>4</v>
      </c>
      <c r="BD71" s="70">
        <f>IF(VLOOKUP($D71,$AO$14:AT$19,COLUMN()-50,0)&lt;=0,1,IF($Q71&lt;0,1,ROUNDUP(IF($Q71*('Draft Center'!$L$28+'Draft Center'!$L$78-'Draft Center'!$L$82)&lt;1,1,$Q71*('Draft Center'!$L$28+'Draft Center'!$L$78-'Draft Center'!$L$82)),0)))</f>
        <v>4</v>
      </c>
      <c r="BE71" s="70">
        <f>IF(VLOOKUP($D71,$AO$14:AU$19,COLUMN()-50,0)&lt;=0,1,IF($Q71&lt;0,1,ROUNDUP(IF($Q71*('Draft Center'!$L$28+'Draft Center'!$L$78-'Draft Center'!$L$82)&lt;1,1,$Q71*('Draft Center'!$L$28+'Draft Center'!$L$78-'Draft Center'!$L$82)),0)))</f>
        <v>4</v>
      </c>
      <c r="BF71" s="70">
        <f>IF(VLOOKUP($D71,$AO$14:AV$19,COLUMN()-50,0)&lt;=0,1,IF($Q71&lt;0,1,ROUNDUP(IF($Q71*('Draft Center'!$L$28+'Draft Center'!$L$78-'Draft Center'!$L$82)&lt;1,1,$Q71*('Draft Center'!$L$28+'Draft Center'!$L$78-'Draft Center'!$L$82)),0)))</f>
        <v>4</v>
      </c>
      <c r="BG71" s="70">
        <f>IF(VLOOKUP($D71,$AO$14:AW$19,COLUMN()-50,0)&lt;=0,1,IF($Q71&lt;0,1,ROUNDUP(IF($Q71*('Draft Center'!$L$28+'Draft Center'!$L$78-'Draft Center'!$L$82)&lt;1,1,$Q71*('Draft Center'!$L$28+'Draft Center'!$L$78-'Draft Center'!$L$82)),0)))</f>
        <v>4</v>
      </c>
      <c r="BH71" s="70">
        <f>IF(VLOOKUP($D71,$AO$14:AX$19,COLUMN()-50,0)&lt;=0,1,IF($Q71&lt;0,1,ROUNDUP(IF($Q71*('Draft Center'!$L$28+'Draft Center'!$L$78-'Draft Center'!$L$82)&lt;1,1,$Q71*('Draft Center'!$L$28+'Draft Center'!$L$78-'Draft Center'!$L$82)),0)))</f>
        <v>4</v>
      </c>
      <c r="BI71" s="70">
        <f>IF(VLOOKUP($D71,$AO$14:AY$19,COLUMN()-50,0)&lt;=0,1,IF($Q71&lt;0,1,ROUNDUP(IF($Q71*('Draft Center'!$L$28+'Draft Center'!$L$78-'Draft Center'!$L$82)&lt;1,1,$Q71*('Draft Center'!$L$28+'Draft Center'!$L$78-'Draft Center'!$L$82)),0)))</f>
        <v>4</v>
      </c>
      <c r="BJ71" s="196"/>
      <c r="BK71" s="23">
        <v>0</v>
      </c>
      <c r="BL71" s="23" t="str">
        <f t="shared" si="37"/>
        <v/>
      </c>
      <c r="BM71" s="23">
        <v>0</v>
      </c>
      <c r="BN71" s="23">
        <f t="shared" si="37"/>
        <v>0</v>
      </c>
      <c r="BO71" s="23" t="str">
        <f t="shared" si="37"/>
        <v/>
      </c>
      <c r="BP71" s="23" t="str">
        <f t="shared" si="37"/>
        <v/>
      </c>
      <c r="BQ71" s="23" t="str">
        <f t="shared" si="37"/>
        <v/>
      </c>
      <c r="BR71" s="23">
        <f t="shared" si="42"/>
        <v>0</v>
      </c>
      <c r="BS71" s="23">
        <f t="shared" si="43"/>
        <v>0</v>
      </c>
      <c r="BT71" s="70">
        <v>4</v>
      </c>
      <c r="BU71" s="58">
        <v>2327.0337</v>
      </c>
      <c r="BV71" s="33">
        <v>4</v>
      </c>
      <c r="BW71" s="204">
        <v>2327.0337</v>
      </c>
      <c r="BX71" s="23"/>
      <c r="BY71" s="70">
        <v>4</v>
      </c>
      <c r="BZ71" s="70">
        <v>9.9</v>
      </c>
      <c r="CA71" s="70">
        <v>9.9</v>
      </c>
      <c r="CB71" s="70">
        <v>9.9</v>
      </c>
      <c r="CC71" s="70">
        <f t="shared" si="46"/>
        <v>9.9</v>
      </c>
      <c r="CD71" s="70">
        <f t="shared" si="47"/>
        <v>9.9</v>
      </c>
    </row>
    <row r="72" spans="1:82" ht="15.75" customHeight="1" thickBot="1" x14ac:dyDescent="0.3">
      <c r="A72" s="9">
        <v>71</v>
      </c>
      <c r="B72" s="10" t="s">
        <v>79</v>
      </c>
      <c r="C72" s="10" t="s">
        <v>80</v>
      </c>
      <c r="D72" s="10" t="s">
        <v>19</v>
      </c>
      <c r="E72" s="51">
        <v>6.3615612030330899</v>
      </c>
      <c r="F72" s="51">
        <v>175.463959228985</v>
      </c>
      <c r="G72" s="51">
        <v>194.60429677451799</v>
      </c>
      <c r="H72" s="51">
        <v>133.99288963108</v>
      </c>
      <c r="I72" s="11">
        <v>16.399999999999999</v>
      </c>
      <c r="J72" s="51">
        <v>4.4813645470752403</v>
      </c>
      <c r="K72" s="249">
        <f>IFERROR(VLOOKUP(C72,Schedule!$T$3:$U$34,2,0),"FA")</f>
        <v>11</v>
      </c>
      <c r="L72" s="10" t="str">
        <f>D72&amp;COUNTIF(D$2:$D72,D72)</f>
        <v>RB22</v>
      </c>
      <c r="M72" s="51">
        <f t="array" ref="M72">IFERROR(F72-AVERAGE(VLOOKUP(D72,$D73:$F$885,3,0),INDEX($F73:$F$885,SMALL(IF(D72=$D73:$D$885,ROW($D73:$D$885)-ROW(D72)),2))),0)</f>
        <v>3.3491455029144959</v>
      </c>
      <c r="N72" s="51">
        <f>IFERROR(IF(VLOOKUP($B72,Input!$AC$2:$AC$162,1,0)=$B72,0),F72)</f>
        <v>175.463959228985</v>
      </c>
      <c r="O72" s="51">
        <f>IFERROR(IF(VLOOKUP($B72,Input!$AC$2:$AC$162,1,0)=$B72,0,G72),G72)</f>
        <v>194.60429677451799</v>
      </c>
      <c r="P72" s="51">
        <f>IF(N72=0,0,F72-AVERAGE(INDEX(F:F,MATCH(VLOOKUP(D72,Input!$A$14:$L$22,10,0),L:L,0)),INDEX(F:F,MATCH(VLOOKUP(D72,Input!$A$14:$L$22,11,0),L:L,0)),INDEX(F:F,MATCH(VLOOKUP(D72,Input!$A$14:$L$22,12,0),L:L,0)))+(0.01-ROW()*0.01))</f>
        <v>5.6515612030330056</v>
      </c>
      <c r="Q72" s="107">
        <f t="shared" si="38"/>
        <v>1.9497487202757831E-3</v>
      </c>
      <c r="R72" s="11">
        <f>IF(VLOOKUP($D72,$X$14:$Y$19,2,0)&lt;=0,1,IF(Q72&lt;0,1,ROUNDUP(IF(Q72*('Draft Center'!$L$28+'Draft Center'!$L$78-'Draft Center'!$L$82)&lt;1,1,Q72*('Draft Center'!$L$28+'Draft Center'!$L$78-'Draft Center'!$L$82)),0)))</f>
        <v>4</v>
      </c>
      <c r="S72" s="11">
        <f>IF(A72&lt;Input!$B$10+0.1,IF(ROUNDUP(R72*Input!$C$10,0)=0,1,ROUNDUP(R72*Input!$C$10,0)),IF(A72&gt;Input!$B$11,IF(ROUNDUP(R72*Input!$C$11,0)=0,1,ROUNDUP(R72*Input!$C$11,0)),IF(ROUNDUP(R72,0)=0,1,ROUNDUP(R72,0))))</f>
        <v>4</v>
      </c>
      <c r="T72" s="11">
        <f t="shared" si="39"/>
        <v>4</v>
      </c>
      <c r="U72" s="11">
        <f>IFERROR(VLOOKUP($B72,Input!$AC$2:$AE$161,3,0),0)</f>
        <v>0</v>
      </c>
      <c r="V72" s="257">
        <f t="shared" si="44"/>
        <v>-0.75537756097560971</v>
      </c>
      <c r="W72" s="264">
        <f t="shared" si="45"/>
        <v>-12.399279999999999</v>
      </c>
      <c r="X72" s="27"/>
      <c r="Y72" s="23"/>
      <c r="Z72" s="23"/>
      <c r="AA72" s="23">
        <v>0</v>
      </c>
      <c r="AB72" s="23" t="str">
        <f t="shared" ref="AB72:AG81" si="48">IF($D72=AB$1,1*$AA72,"")</f>
        <v/>
      </c>
      <c r="AC72" s="23">
        <f t="shared" si="48"/>
        <v>0</v>
      </c>
      <c r="AD72" s="23" t="str">
        <f t="shared" si="48"/>
        <v/>
      </c>
      <c r="AE72" s="23" t="str">
        <f t="shared" si="48"/>
        <v/>
      </c>
      <c r="AF72" s="23" t="str">
        <f t="shared" si="48"/>
        <v/>
      </c>
      <c r="AG72" s="23" t="str">
        <f t="shared" si="48"/>
        <v/>
      </c>
      <c r="AH72" s="23">
        <f t="shared" si="40"/>
        <v>0</v>
      </c>
      <c r="AI72" s="23">
        <f t="shared" si="41"/>
        <v>0</v>
      </c>
      <c r="AJ72" s="69">
        <v>4</v>
      </c>
      <c r="AK72" s="225">
        <v>2327.0337</v>
      </c>
      <c r="AL72" s="33">
        <v>4</v>
      </c>
      <c r="AM72" s="204">
        <v>2327.0337</v>
      </c>
      <c r="AN72" s="196"/>
      <c r="AO72" s="23"/>
      <c r="AP72" s="23"/>
      <c r="AQ72" s="23"/>
      <c r="AR72" s="23"/>
      <c r="AS72" s="23"/>
      <c r="AT72" s="23"/>
      <c r="AU72" s="23"/>
      <c r="AV72" s="23"/>
      <c r="AW72" s="23"/>
      <c r="AX72" s="23"/>
      <c r="AY72" s="23"/>
      <c r="AZ72" s="196"/>
      <c r="BA72" s="69">
        <f>IF(VLOOKUP($D72,$AO$14:AQ$19,COLUMN()-50,0)&lt;=0,1,IF($Q72&lt;0,1,ROUNDUP(IF($Q72*('Draft Center'!$L$28+'Draft Center'!$L$78-'Draft Center'!$L$82)&lt;1,1,$Q72*('Draft Center'!$L$28+'Draft Center'!$L$78-'Draft Center'!$L$82)),0)))</f>
        <v>4</v>
      </c>
      <c r="BB72" s="69">
        <f>IF(VLOOKUP($D72,$AO$14:AR$19,COLUMN()-50,0)&lt;=0,1,IF($Q72&lt;0,1,ROUNDUP(IF($Q72*('Draft Center'!$L$28+'Draft Center'!$L$78-'Draft Center'!$L$82)&lt;1,1,$Q72*('Draft Center'!$L$28+'Draft Center'!$L$78-'Draft Center'!$L$82)),0)))</f>
        <v>4</v>
      </c>
      <c r="BC72" s="69">
        <f>IF(VLOOKUP($D72,$AO$14:AS$19,COLUMN()-50,0)&lt;=0,1,IF($Q72&lt;0,1,ROUNDUP(IF($Q72*('Draft Center'!$L$28+'Draft Center'!$L$78-'Draft Center'!$L$82)&lt;1,1,$Q72*('Draft Center'!$L$28+'Draft Center'!$L$78-'Draft Center'!$L$82)),0)))</f>
        <v>4</v>
      </c>
      <c r="BD72" s="69">
        <f>IF(VLOOKUP($D72,$AO$14:AT$19,COLUMN()-50,0)&lt;=0,1,IF($Q72&lt;0,1,ROUNDUP(IF($Q72*('Draft Center'!$L$28+'Draft Center'!$L$78-'Draft Center'!$L$82)&lt;1,1,$Q72*('Draft Center'!$L$28+'Draft Center'!$L$78-'Draft Center'!$L$82)),0)))</f>
        <v>4</v>
      </c>
      <c r="BE72" s="69">
        <f>IF(VLOOKUP($D72,$AO$14:AU$19,COLUMN()-50,0)&lt;=0,1,IF($Q72&lt;0,1,ROUNDUP(IF($Q72*('Draft Center'!$L$28+'Draft Center'!$L$78-'Draft Center'!$L$82)&lt;1,1,$Q72*('Draft Center'!$L$28+'Draft Center'!$L$78-'Draft Center'!$L$82)),0)))</f>
        <v>4</v>
      </c>
      <c r="BF72" s="69">
        <f>IF(VLOOKUP($D72,$AO$14:AV$19,COLUMN()-50,0)&lt;=0,1,IF($Q72&lt;0,1,ROUNDUP(IF($Q72*('Draft Center'!$L$28+'Draft Center'!$L$78-'Draft Center'!$L$82)&lt;1,1,$Q72*('Draft Center'!$L$28+'Draft Center'!$L$78-'Draft Center'!$L$82)),0)))</f>
        <v>4</v>
      </c>
      <c r="BG72" s="69">
        <f>IF(VLOOKUP($D72,$AO$14:AW$19,COLUMN()-50,0)&lt;=0,1,IF($Q72&lt;0,1,ROUNDUP(IF($Q72*('Draft Center'!$L$28+'Draft Center'!$L$78-'Draft Center'!$L$82)&lt;1,1,$Q72*('Draft Center'!$L$28+'Draft Center'!$L$78-'Draft Center'!$L$82)),0)))</f>
        <v>4</v>
      </c>
      <c r="BH72" s="69">
        <f>IF(VLOOKUP($D72,$AO$14:AX$19,COLUMN()-50,0)&lt;=0,1,IF($Q72&lt;0,1,ROUNDUP(IF($Q72*('Draft Center'!$L$28+'Draft Center'!$L$78-'Draft Center'!$L$82)&lt;1,1,$Q72*('Draft Center'!$L$28+'Draft Center'!$L$78-'Draft Center'!$L$82)),0)))</f>
        <v>4</v>
      </c>
      <c r="BI72" s="69">
        <f>IF(VLOOKUP($D72,$AO$14:AY$19,COLUMN()-50,0)&lt;=0,1,IF($Q72&lt;0,1,ROUNDUP(IF($Q72*('Draft Center'!$L$28+'Draft Center'!$L$78-'Draft Center'!$L$82)&lt;1,1,$Q72*('Draft Center'!$L$28+'Draft Center'!$L$78-'Draft Center'!$L$82)),0)))</f>
        <v>4</v>
      </c>
      <c r="BJ72" s="196"/>
      <c r="BK72" s="23">
        <v>0</v>
      </c>
      <c r="BL72" s="23" t="str">
        <f t="shared" ref="BL72:BQ81" si="49">IF($D72=BL$1,1*$BK72,"")</f>
        <v/>
      </c>
      <c r="BM72" s="23">
        <v>0</v>
      </c>
      <c r="BN72" s="23" t="str">
        <f t="shared" si="49"/>
        <v/>
      </c>
      <c r="BO72" s="23" t="str">
        <f t="shared" si="49"/>
        <v/>
      </c>
      <c r="BP72" s="23" t="str">
        <f t="shared" si="49"/>
        <v/>
      </c>
      <c r="BQ72" s="23" t="str">
        <f t="shared" si="49"/>
        <v/>
      </c>
      <c r="BR72" s="23">
        <f t="shared" si="42"/>
        <v>0</v>
      </c>
      <c r="BS72" s="23">
        <f t="shared" si="43"/>
        <v>0</v>
      </c>
      <c r="BT72" s="69">
        <v>4</v>
      </c>
      <c r="BU72" s="58">
        <v>2327.0337</v>
      </c>
      <c r="BV72" s="33">
        <v>4</v>
      </c>
      <c r="BW72" s="204">
        <v>2327.0337</v>
      </c>
      <c r="BX72" s="23"/>
      <c r="BY72" s="69">
        <v>4</v>
      </c>
      <c r="BZ72" s="69">
        <v>16.399999999999999</v>
      </c>
      <c r="CA72" s="69">
        <v>16.399999999999999</v>
      </c>
      <c r="CB72" s="69">
        <v>16.399999999999999</v>
      </c>
      <c r="CC72" s="69">
        <f t="shared" si="46"/>
        <v>16.399999999999999</v>
      </c>
      <c r="CD72" s="69">
        <f t="shared" si="47"/>
        <v>16.399999999999999</v>
      </c>
    </row>
    <row r="73" spans="1:82" ht="15.75" customHeight="1" thickBot="1" x14ac:dyDescent="0.3">
      <c r="A73" s="6">
        <v>72</v>
      </c>
      <c r="B73" s="7" t="s">
        <v>97</v>
      </c>
      <c r="C73" s="7" t="s">
        <v>29</v>
      </c>
      <c r="D73" s="7" t="s">
        <v>43</v>
      </c>
      <c r="E73" s="50">
        <v>5.9030627566974401</v>
      </c>
      <c r="F73" s="50">
        <v>159.36398210890701</v>
      </c>
      <c r="G73" s="50">
        <v>175.75271905464501</v>
      </c>
      <c r="H73" s="50">
        <v>136.94394653375599</v>
      </c>
      <c r="I73" s="8">
        <v>3.4</v>
      </c>
      <c r="J73" s="50">
        <v>2.84552827028977</v>
      </c>
      <c r="K73" s="248">
        <f>IFERROR(VLOOKUP(C73,Schedule!$T$3:$U$34,2,0),"FA")</f>
        <v>8</v>
      </c>
      <c r="L73" s="7" t="str">
        <f>D73&amp;COUNTIF(D$2:$D73,D73)</f>
        <v>TE9</v>
      </c>
      <c r="M73" s="50">
        <f t="array" ref="M73">IFERROR(F73-AVERAGE(VLOOKUP(D73,$D74:$F$885,3,0),INDEX($F74:$F$885,SMALL(IF(D73=$D74:$D$885,ROW($D74:$D$885)-ROW(D73)),2))),0)</f>
        <v>4.3158468726920205</v>
      </c>
      <c r="N73" s="50">
        <f>IFERROR(IF(VLOOKUP($B73,Input!$AC$2:$AC$162,1,0)=$B73,0),F73)</f>
        <v>159.36398210890701</v>
      </c>
      <c r="O73" s="50">
        <f>IFERROR(IF(VLOOKUP($B73,Input!$AC$2:$AC$162,1,0)=$B73,0,G73),G73)</f>
        <v>175.75271905464501</v>
      </c>
      <c r="P73" s="50">
        <f>IF(N73=0,0,F73-AVERAGE(INDEX(F:F,MATCH(VLOOKUP(D73,Input!$A$14:$L$22,10,0),L:L,0)),INDEX(F:F,MATCH(VLOOKUP(D73,Input!$A$14:$L$22,11,0),L:L,0)),INDEX(F:F,MATCH(VLOOKUP(D73,Input!$A$14:$L$22,12,0),L:L,0)))+(0.01-ROW()*0.01))</f>
        <v>5.1830627566976935</v>
      </c>
      <c r="Q73" s="106">
        <f t="shared" si="38"/>
        <v>1.788120063453798E-3</v>
      </c>
      <c r="R73" s="8">
        <f>IF(VLOOKUP($D73,$X$14:$Y$19,2,0)&lt;=0,1,IF(Q73&lt;0,1,ROUNDUP(IF(Q73*('Draft Center'!$L$28+'Draft Center'!$L$78-'Draft Center'!$L$82)&lt;1,1,Q73*('Draft Center'!$L$28+'Draft Center'!$L$78-'Draft Center'!$L$82)),0)))</f>
        <v>4</v>
      </c>
      <c r="S73" s="8">
        <f>IF(A73&lt;Input!$B$10+0.1,IF(ROUNDUP(R73*Input!$C$10,0)=0,1,ROUNDUP(R73*Input!$C$10,0)),IF(A73&gt;Input!$B$11,IF(ROUNDUP(R73*Input!$C$11,0)=0,1,ROUNDUP(R73*Input!$C$11,0)),IF(ROUNDUP(R73,0)=0,1,ROUNDUP(R73,0))))</f>
        <v>4</v>
      </c>
      <c r="T73" s="8">
        <f t="shared" si="39"/>
        <v>4</v>
      </c>
      <c r="U73" s="8">
        <f>IFERROR(VLOOKUP($B73,Input!$AC$2:$AE$161,3,0),0)</f>
        <v>0</v>
      </c>
      <c r="V73" s="256">
        <f t="shared" si="44"/>
        <v>0.17720058823529417</v>
      </c>
      <c r="W73" s="263">
        <f t="shared" si="45"/>
        <v>0.6007300000000001</v>
      </c>
      <c r="X73" s="27"/>
      <c r="Y73" s="23"/>
      <c r="Z73" s="23"/>
      <c r="AA73" s="23">
        <v>0</v>
      </c>
      <c r="AB73" s="23" t="str">
        <f t="shared" si="48"/>
        <v/>
      </c>
      <c r="AC73" s="23" t="str">
        <f t="shared" si="48"/>
        <v/>
      </c>
      <c r="AD73" s="23" t="str">
        <f t="shared" si="48"/>
        <v/>
      </c>
      <c r="AE73" s="23">
        <f t="shared" si="48"/>
        <v>0</v>
      </c>
      <c r="AF73" s="23" t="str">
        <f t="shared" si="48"/>
        <v/>
      </c>
      <c r="AG73" s="23" t="str">
        <f t="shared" si="48"/>
        <v/>
      </c>
      <c r="AH73" s="23">
        <f t="shared" si="40"/>
        <v>0</v>
      </c>
      <c r="AI73" s="23">
        <f t="shared" si="41"/>
        <v>0</v>
      </c>
      <c r="AJ73" s="70">
        <v>4</v>
      </c>
      <c r="AK73" s="225">
        <v>2327.0337</v>
      </c>
      <c r="AL73" s="33">
        <v>4</v>
      </c>
      <c r="AM73" s="204">
        <v>2327.0337</v>
      </c>
      <c r="AN73" s="196"/>
      <c r="AO73" s="23"/>
      <c r="AP73" s="23"/>
      <c r="AQ73" s="23"/>
      <c r="AR73" s="23"/>
      <c r="AS73" s="23"/>
      <c r="AT73" s="23"/>
      <c r="AU73" s="23"/>
      <c r="AV73" s="23"/>
      <c r="AW73" s="23"/>
      <c r="AX73" s="23"/>
      <c r="AY73" s="23"/>
      <c r="AZ73" s="196"/>
      <c r="BA73" s="70">
        <f>IF(VLOOKUP($D73,$AO$14:AQ$19,COLUMN()-50,0)&lt;=0,1,IF($Q73&lt;0,1,ROUNDUP(IF($Q73*('Draft Center'!$L$28+'Draft Center'!$L$78-'Draft Center'!$L$82)&lt;1,1,$Q73*('Draft Center'!$L$28+'Draft Center'!$L$78-'Draft Center'!$L$82)),0)))</f>
        <v>4</v>
      </c>
      <c r="BB73" s="70">
        <f>IF(VLOOKUP($D73,$AO$14:AR$19,COLUMN()-50,0)&lt;=0,1,IF($Q73&lt;0,1,ROUNDUP(IF($Q73*('Draft Center'!$L$28+'Draft Center'!$L$78-'Draft Center'!$L$82)&lt;1,1,$Q73*('Draft Center'!$L$28+'Draft Center'!$L$78-'Draft Center'!$L$82)),0)))</f>
        <v>4</v>
      </c>
      <c r="BC73" s="70">
        <f>IF(VLOOKUP($D73,$AO$14:AS$19,COLUMN()-50,0)&lt;=0,1,IF($Q73&lt;0,1,ROUNDUP(IF($Q73*('Draft Center'!$L$28+'Draft Center'!$L$78-'Draft Center'!$L$82)&lt;1,1,$Q73*('Draft Center'!$L$28+'Draft Center'!$L$78-'Draft Center'!$L$82)),0)))</f>
        <v>4</v>
      </c>
      <c r="BD73" s="70">
        <f>IF(VLOOKUP($D73,$AO$14:AT$19,COLUMN()-50,0)&lt;=0,1,IF($Q73&lt;0,1,ROUNDUP(IF($Q73*('Draft Center'!$L$28+'Draft Center'!$L$78-'Draft Center'!$L$82)&lt;1,1,$Q73*('Draft Center'!$L$28+'Draft Center'!$L$78-'Draft Center'!$L$82)),0)))</f>
        <v>4</v>
      </c>
      <c r="BE73" s="70">
        <f>IF(VLOOKUP($D73,$AO$14:AU$19,COLUMN()-50,0)&lt;=0,1,IF($Q73&lt;0,1,ROUNDUP(IF($Q73*('Draft Center'!$L$28+'Draft Center'!$L$78-'Draft Center'!$L$82)&lt;1,1,$Q73*('Draft Center'!$L$28+'Draft Center'!$L$78-'Draft Center'!$L$82)),0)))</f>
        <v>4</v>
      </c>
      <c r="BF73" s="70">
        <f>IF(VLOOKUP($D73,$AO$14:AV$19,COLUMN()-50,0)&lt;=0,1,IF($Q73&lt;0,1,ROUNDUP(IF($Q73*('Draft Center'!$L$28+'Draft Center'!$L$78-'Draft Center'!$L$82)&lt;1,1,$Q73*('Draft Center'!$L$28+'Draft Center'!$L$78-'Draft Center'!$L$82)),0)))</f>
        <v>4</v>
      </c>
      <c r="BG73" s="70">
        <f>IF(VLOOKUP($D73,$AO$14:AW$19,COLUMN()-50,0)&lt;=0,1,IF($Q73&lt;0,1,ROUNDUP(IF($Q73*('Draft Center'!$L$28+'Draft Center'!$L$78-'Draft Center'!$L$82)&lt;1,1,$Q73*('Draft Center'!$L$28+'Draft Center'!$L$78-'Draft Center'!$L$82)),0)))</f>
        <v>4</v>
      </c>
      <c r="BH73" s="70">
        <f>IF(VLOOKUP($D73,$AO$14:AX$19,COLUMN()-50,0)&lt;=0,1,IF($Q73&lt;0,1,ROUNDUP(IF($Q73*('Draft Center'!$L$28+'Draft Center'!$L$78-'Draft Center'!$L$82)&lt;1,1,$Q73*('Draft Center'!$L$28+'Draft Center'!$L$78-'Draft Center'!$L$82)),0)))</f>
        <v>4</v>
      </c>
      <c r="BI73" s="70">
        <f>IF(VLOOKUP($D73,$AO$14:AY$19,COLUMN()-50,0)&lt;=0,1,IF($Q73&lt;0,1,ROUNDUP(IF($Q73*('Draft Center'!$L$28+'Draft Center'!$L$78-'Draft Center'!$L$82)&lt;1,1,$Q73*('Draft Center'!$L$28+'Draft Center'!$L$78-'Draft Center'!$L$82)),0)))</f>
        <v>4</v>
      </c>
      <c r="BJ73" s="196"/>
      <c r="BK73" s="23">
        <v>0</v>
      </c>
      <c r="BL73" s="23" t="str">
        <f t="shared" si="49"/>
        <v/>
      </c>
      <c r="BM73" s="23">
        <v>0</v>
      </c>
      <c r="BN73" s="23" t="str">
        <f t="shared" si="49"/>
        <v/>
      </c>
      <c r="BO73" s="23">
        <f t="shared" si="49"/>
        <v>0</v>
      </c>
      <c r="BP73" s="23" t="str">
        <f t="shared" si="49"/>
        <v/>
      </c>
      <c r="BQ73" s="23" t="str">
        <f t="shared" si="49"/>
        <v/>
      </c>
      <c r="BR73" s="23">
        <f t="shared" si="42"/>
        <v>0</v>
      </c>
      <c r="BS73" s="23">
        <f t="shared" si="43"/>
        <v>0</v>
      </c>
      <c r="BT73" s="70">
        <v>4</v>
      </c>
      <c r="BU73" s="58">
        <v>2327.0337</v>
      </c>
      <c r="BV73" s="33">
        <v>4</v>
      </c>
      <c r="BW73" s="204">
        <v>2327.0337</v>
      </c>
      <c r="BX73" s="23"/>
      <c r="BY73" s="70">
        <v>4</v>
      </c>
      <c r="BZ73" s="70">
        <v>3.4</v>
      </c>
      <c r="CA73" s="70">
        <v>3.4</v>
      </c>
      <c r="CB73" s="70">
        <v>3.4</v>
      </c>
      <c r="CC73" s="70">
        <f t="shared" si="46"/>
        <v>3.4</v>
      </c>
      <c r="CD73" s="70">
        <f t="shared" si="47"/>
        <v>3.4</v>
      </c>
    </row>
    <row r="74" spans="1:82" ht="15.75" customHeight="1" thickBot="1" x14ac:dyDescent="0.3">
      <c r="A74" s="9">
        <v>73</v>
      </c>
      <c r="B74" s="10" t="s">
        <v>155</v>
      </c>
      <c r="C74" s="10" t="s">
        <v>45</v>
      </c>
      <c r="D74" s="10" t="s">
        <v>43</v>
      </c>
      <c r="E74" s="51">
        <v>5.4912547318339202</v>
      </c>
      <c r="F74" s="51">
        <v>158.95217408404301</v>
      </c>
      <c r="G74" s="51">
        <v>172.42141262002701</v>
      </c>
      <c r="H74" s="51">
        <v>144.815721049091</v>
      </c>
      <c r="I74" s="11">
        <v>3.9</v>
      </c>
      <c r="J74" s="51">
        <v>3.1724203457843001</v>
      </c>
      <c r="K74" s="249">
        <f>IFERROR(VLOOKUP(C74,Schedule!$T$3:$U$34,2,0),"FA")</f>
        <v>6</v>
      </c>
      <c r="L74" s="10" t="str">
        <f>D74&amp;COUNTIF(D$2:$D74,D74)</f>
        <v>TE10</v>
      </c>
      <c r="M74" s="51">
        <f t="array" ref="M74">IFERROR(F74-AVERAGE(VLOOKUP(D74,$D75:$F$885,3,0),INDEX($F75:$F$885,SMALL(IF(D74=$D75:$D$885,ROW($D75:$D$885)-ROW(D74)),2))),0)</f>
        <v>8.2368820977505095</v>
      </c>
      <c r="N74" s="51">
        <f>IFERROR(IF(VLOOKUP($B74,Input!$AC$2:$AC$162,1,0)=$B74,0),F74)</f>
        <v>158.95217408404301</v>
      </c>
      <c r="O74" s="51">
        <f>IFERROR(IF(VLOOKUP($B74,Input!$AC$2:$AC$162,1,0)=$B74,0,G74),G74)</f>
        <v>172.42141262002701</v>
      </c>
      <c r="P74" s="51">
        <f>IF(N74=0,0,F74-AVERAGE(INDEX(F:F,MATCH(VLOOKUP(D74,Input!$A$14:$L$22,10,0),L:L,0)),INDEX(F:F,MATCH(VLOOKUP(D74,Input!$A$14:$L$22,11,0),L:L,0)),INDEX(F:F,MATCH(VLOOKUP(D74,Input!$A$14:$L$22,12,0),L:L,0)))+(0.01-ROW()*0.01))</f>
        <v>4.7612547318336915</v>
      </c>
      <c r="Q74" s="107">
        <f t="shared" si="38"/>
        <v>1.6425992724484243E-3</v>
      </c>
      <c r="R74" s="11">
        <f>IF(VLOOKUP($D74,$X$14:$Y$19,2,0)&lt;=0,1,IF(Q74&lt;0,1,ROUNDUP(IF(Q74*('Draft Center'!$L$28+'Draft Center'!$L$78-'Draft Center'!$L$82)&lt;1,1,Q74*('Draft Center'!$L$28+'Draft Center'!$L$78-'Draft Center'!$L$82)),0)))</f>
        <v>4</v>
      </c>
      <c r="S74" s="11">
        <f>IF(A74&lt;Input!$B$10+0.1,IF(ROUNDUP(R74*Input!$C$10,0)=0,1,ROUNDUP(R74*Input!$C$10,0)),IF(A74&gt;Input!$B$11,IF(ROUNDUP(R74*Input!$C$11,0)=0,1,ROUNDUP(R74*Input!$C$11,0)),IF(ROUNDUP(R74,0)=0,1,ROUNDUP(R74,0))))</f>
        <v>4</v>
      </c>
      <c r="T74" s="11">
        <f t="shared" si="39"/>
        <v>4</v>
      </c>
      <c r="U74" s="11">
        <f>IFERROR(VLOOKUP($B74,Input!$AC$2:$AE$161,3,0),0)</f>
        <v>0</v>
      </c>
      <c r="V74" s="257">
        <f t="shared" si="44"/>
        <v>2.6381025641025665E-2</v>
      </c>
      <c r="W74" s="264">
        <f t="shared" si="45"/>
        <v>0.10074000000000009</v>
      </c>
      <c r="X74" s="27"/>
      <c r="Y74" s="23"/>
      <c r="Z74" s="23"/>
      <c r="AA74" s="23">
        <v>0</v>
      </c>
      <c r="AB74" s="23" t="str">
        <f t="shared" si="48"/>
        <v/>
      </c>
      <c r="AC74" s="23" t="str">
        <f t="shared" si="48"/>
        <v/>
      </c>
      <c r="AD74" s="23" t="str">
        <f t="shared" si="48"/>
        <v/>
      </c>
      <c r="AE74" s="23">
        <f t="shared" si="48"/>
        <v>0</v>
      </c>
      <c r="AF74" s="23" t="str">
        <f t="shared" si="48"/>
        <v/>
      </c>
      <c r="AG74" s="23" t="str">
        <f t="shared" si="48"/>
        <v/>
      </c>
      <c r="AH74" s="23">
        <f t="shared" si="40"/>
        <v>0</v>
      </c>
      <c r="AI74" s="23">
        <f t="shared" si="41"/>
        <v>0</v>
      </c>
      <c r="AJ74" s="69">
        <v>4</v>
      </c>
      <c r="AK74" s="225">
        <v>2327.0337</v>
      </c>
      <c r="AL74" s="33">
        <v>4</v>
      </c>
      <c r="AM74" s="204">
        <v>2327.0337</v>
      </c>
      <c r="AN74" s="196"/>
      <c r="AO74" s="23"/>
      <c r="AP74" s="23"/>
      <c r="AQ74" s="23"/>
      <c r="AR74" s="23"/>
      <c r="AS74" s="23"/>
      <c r="AT74" s="23"/>
      <c r="AU74" s="23"/>
      <c r="AV74" s="23"/>
      <c r="AW74" s="23"/>
      <c r="AX74" s="23"/>
      <c r="AY74" s="23"/>
      <c r="AZ74" s="196"/>
      <c r="BA74" s="69">
        <f>IF(VLOOKUP($D74,$AO$14:AQ$19,COLUMN()-50,0)&lt;=0,1,IF($Q74&lt;0,1,ROUNDUP(IF($Q74*('Draft Center'!$L$28+'Draft Center'!$L$78-'Draft Center'!$L$82)&lt;1,1,$Q74*('Draft Center'!$L$28+'Draft Center'!$L$78-'Draft Center'!$L$82)),0)))</f>
        <v>4</v>
      </c>
      <c r="BB74" s="69">
        <f>IF(VLOOKUP($D74,$AO$14:AR$19,COLUMN()-50,0)&lt;=0,1,IF($Q74&lt;0,1,ROUNDUP(IF($Q74*('Draft Center'!$L$28+'Draft Center'!$L$78-'Draft Center'!$L$82)&lt;1,1,$Q74*('Draft Center'!$L$28+'Draft Center'!$L$78-'Draft Center'!$L$82)),0)))</f>
        <v>4</v>
      </c>
      <c r="BC74" s="69">
        <f>IF(VLOOKUP($D74,$AO$14:AS$19,COLUMN()-50,0)&lt;=0,1,IF($Q74&lt;0,1,ROUNDUP(IF($Q74*('Draft Center'!$L$28+'Draft Center'!$L$78-'Draft Center'!$L$82)&lt;1,1,$Q74*('Draft Center'!$L$28+'Draft Center'!$L$78-'Draft Center'!$L$82)),0)))</f>
        <v>4</v>
      </c>
      <c r="BD74" s="69">
        <f>IF(VLOOKUP($D74,$AO$14:AT$19,COLUMN()-50,0)&lt;=0,1,IF($Q74&lt;0,1,ROUNDUP(IF($Q74*('Draft Center'!$L$28+'Draft Center'!$L$78-'Draft Center'!$L$82)&lt;1,1,$Q74*('Draft Center'!$L$28+'Draft Center'!$L$78-'Draft Center'!$L$82)),0)))</f>
        <v>4</v>
      </c>
      <c r="BE74" s="69">
        <f>IF(VLOOKUP($D74,$AO$14:AU$19,COLUMN()-50,0)&lt;=0,1,IF($Q74&lt;0,1,ROUNDUP(IF($Q74*('Draft Center'!$L$28+'Draft Center'!$L$78-'Draft Center'!$L$82)&lt;1,1,$Q74*('Draft Center'!$L$28+'Draft Center'!$L$78-'Draft Center'!$L$82)),0)))</f>
        <v>4</v>
      </c>
      <c r="BF74" s="69">
        <f>IF(VLOOKUP($D74,$AO$14:AV$19,COLUMN()-50,0)&lt;=0,1,IF($Q74&lt;0,1,ROUNDUP(IF($Q74*('Draft Center'!$L$28+'Draft Center'!$L$78-'Draft Center'!$L$82)&lt;1,1,$Q74*('Draft Center'!$L$28+'Draft Center'!$L$78-'Draft Center'!$L$82)),0)))</f>
        <v>4</v>
      </c>
      <c r="BG74" s="69">
        <f>IF(VLOOKUP($D74,$AO$14:AW$19,COLUMN()-50,0)&lt;=0,1,IF($Q74&lt;0,1,ROUNDUP(IF($Q74*('Draft Center'!$L$28+'Draft Center'!$L$78-'Draft Center'!$L$82)&lt;1,1,$Q74*('Draft Center'!$L$28+'Draft Center'!$L$78-'Draft Center'!$L$82)),0)))</f>
        <v>4</v>
      </c>
      <c r="BH74" s="69">
        <f>IF(VLOOKUP($D74,$AO$14:AX$19,COLUMN()-50,0)&lt;=0,1,IF($Q74&lt;0,1,ROUNDUP(IF($Q74*('Draft Center'!$L$28+'Draft Center'!$L$78-'Draft Center'!$L$82)&lt;1,1,$Q74*('Draft Center'!$L$28+'Draft Center'!$L$78-'Draft Center'!$L$82)),0)))</f>
        <v>4</v>
      </c>
      <c r="BI74" s="69">
        <f>IF(VLOOKUP($D74,$AO$14:AY$19,COLUMN()-50,0)&lt;=0,1,IF($Q74&lt;0,1,ROUNDUP(IF($Q74*('Draft Center'!$L$28+'Draft Center'!$L$78-'Draft Center'!$L$82)&lt;1,1,$Q74*('Draft Center'!$L$28+'Draft Center'!$L$78-'Draft Center'!$L$82)),0)))</f>
        <v>4</v>
      </c>
      <c r="BJ74" s="196"/>
      <c r="BK74" s="23">
        <v>1</v>
      </c>
      <c r="BL74" s="23" t="str">
        <f t="shared" si="49"/>
        <v/>
      </c>
      <c r="BM74" s="23">
        <v>0</v>
      </c>
      <c r="BN74" s="23" t="str">
        <f t="shared" si="49"/>
        <v/>
      </c>
      <c r="BO74" s="23">
        <f t="shared" si="49"/>
        <v>1</v>
      </c>
      <c r="BP74" s="23" t="str">
        <f t="shared" si="49"/>
        <v/>
      </c>
      <c r="BQ74" s="23" t="str">
        <f t="shared" si="49"/>
        <v/>
      </c>
      <c r="BR74" s="23">
        <f t="shared" si="42"/>
        <v>1</v>
      </c>
      <c r="BS74" s="23" t="str">
        <f t="shared" si="43"/>
        <v>Tyler Eifert</v>
      </c>
      <c r="BT74" s="69">
        <v>4</v>
      </c>
      <c r="BU74" s="58">
        <v>2327.0337</v>
      </c>
      <c r="BV74" s="33">
        <v>4</v>
      </c>
      <c r="BW74" s="204">
        <v>2327.0337</v>
      </c>
      <c r="BX74" s="23"/>
      <c r="BY74" s="69">
        <v>4</v>
      </c>
      <c r="BZ74" s="69">
        <v>3.9</v>
      </c>
      <c r="CA74" s="69">
        <v>3.9</v>
      </c>
      <c r="CB74" s="69">
        <v>3.9</v>
      </c>
      <c r="CC74" s="69">
        <f t="shared" si="46"/>
        <v>3.9</v>
      </c>
      <c r="CD74" s="69">
        <f t="shared" si="47"/>
        <v>3.9</v>
      </c>
    </row>
    <row r="75" spans="1:82" ht="15.75" customHeight="1" thickBot="1" x14ac:dyDescent="0.3">
      <c r="A75" s="6">
        <v>74</v>
      </c>
      <c r="B75" s="7" t="s">
        <v>420</v>
      </c>
      <c r="C75" s="7" t="s">
        <v>25</v>
      </c>
      <c r="D75" s="7" t="s">
        <v>19</v>
      </c>
      <c r="E75" s="50">
        <v>5.32414891087575</v>
      </c>
      <c r="F75" s="50">
        <v>174.426546936828</v>
      </c>
      <c r="G75" s="50">
        <v>189.52765659326101</v>
      </c>
      <c r="H75" s="50">
        <v>125.455168865508</v>
      </c>
      <c r="I75" s="8">
        <v>9.3000000000000007</v>
      </c>
      <c r="J75" s="50">
        <v>5.0395840419668501</v>
      </c>
      <c r="K75" s="248">
        <f>IFERROR(VLOOKUP(C75,Schedule!$T$3:$U$34,2,0),"FA")</f>
        <v>10</v>
      </c>
      <c r="L75" s="7" t="str">
        <f>D75&amp;COUNTIF(D$2:$D75,D75)</f>
        <v>RB23</v>
      </c>
      <c r="M75" s="50">
        <f t="array" ref="M75">IFERROR(F75-AVERAGE(VLOOKUP(D75,$D76:$F$885,3,0),INDEX($F76:$F$885,SMALL(IF(D75=$D76:$D$885,ROW($D76:$D$885)-ROW(D75)),2))),0)</f>
        <v>4.7312571822785117</v>
      </c>
      <c r="N75" s="50">
        <f>IFERROR(IF(VLOOKUP($B75,Input!$AC$2:$AC$162,1,0)=$B75,0),F75)</f>
        <v>174.426546936828</v>
      </c>
      <c r="O75" s="50">
        <f>IFERROR(IF(VLOOKUP($B75,Input!$AC$2:$AC$162,1,0)=$B75,0,G75),G75)</f>
        <v>189.52765659326101</v>
      </c>
      <c r="P75" s="50">
        <f>IF(N75=0,0,F75-AVERAGE(INDEX(F:F,MATCH(VLOOKUP(D75,Input!$A$14:$L$22,10,0),L:L,0)),INDEX(F:F,MATCH(VLOOKUP(D75,Input!$A$14:$L$22,11,0),L:L,0)),INDEX(F:F,MATCH(VLOOKUP(D75,Input!$A$14:$L$22,12,0),L:L,0)))+(0.01-ROW()*0.01))</f>
        <v>4.5841489108760047</v>
      </c>
      <c r="Q75" s="106">
        <f t="shared" si="38"/>
        <v>1.5814990144205499E-3</v>
      </c>
      <c r="R75" s="8">
        <f>IF(VLOOKUP($D75,$X$14:$Y$19,2,0)&lt;=0,1,IF(Q75&lt;0,1,ROUNDUP(IF(Q75*('Draft Center'!$L$28+'Draft Center'!$L$78-'Draft Center'!$L$82)&lt;1,1,Q75*('Draft Center'!$L$28+'Draft Center'!$L$78-'Draft Center'!$L$82)),0)))</f>
        <v>4</v>
      </c>
      <c r="S75" s="8">
        <f>IF(A75&lt;Input!$B$10+0.1,IF(ROUNDUP(R75*Input!$C$10,0)=0,1,ROUNDUP(R75*Input!$C$10,0)),IF(A75&gt;Input!$B$11,IF(ROUNDUP(R75*Input!$C$11,0)=0,1,ROUNDUP(R75*Input!$C$11,0)),IF(ROUNDUP(R75,0)=0,1,ROUNDUP(R75,0))))</f>
        <v>4</v>
      </c>
      <c r="T75" s="8">
        <f t="shared" si="39"/>
        <v>4</v>
      </c>
      <c r="U75" s="8">
        <f>IFERROR(VLOOKUP($B75,Input!$AC$2:$AE$161,3,0),0)</f>
        <v>0</v>
      </c>
      <c r="V75" s="256">
        <f t="shared" si="44"/>
        <v>-0.56914247311827959</v>
      </c>
      <c r="W75" s="263">
        <f t="shared" si="45"/>
        <v>-5.2992500000000007</v>
      </c>
      <c r="X75" s="27"/>
      <c r="Y75" s="23"/>
      <c r="Z75" s="23"/>
      <c r="AA75" s="23">
        <v>0</v>
      </c>
      <c r="AB75" s="23" t="str">
        <f t="shared" si="48"/>
        <v/>
      </c>
      <c r="AC75" s="23">
        <f t="shared" si="48"/>
        <v>0</v>
      </c>
      <c r="AD75" s="23" t="str">
        <f t="shared" si="48"/>
        <v/>
      </c>
      <c r="AE75" s="23" t="str">
        <f t="shared" si="48"/>
        <v/>
      </c>
      <c r="AF75" s="23" t="str">
        <f t="shared" si="48"/>
        <v/>
      </c>
      <c r="AG75" s="23" t="str">
        <f t="shared" si="48"/>
        <v/>
      </c>
      <c r="AH75" s="23">
        <f t="shared" si="40"/>
        <v>0</v>
      </c>
      <c r="AI75" s="23">
        <f t="shared" si="41"/>
        <v>0</v>
      </c>
      <c r="AJ75" s="70">
        <v>4</v>
      </c>
      <c r="AK75" s="225">
        <v>2327.0337</v>
      </c>
      <c r="AL75" s="33">
        <v>4</v>
      </c>
      <c r="AM75" s="204">
        <v>2327.0337</v>
      </c>
      <c r="AN75" s="196"/>
      <c r="AO75" s="23"/>
      <c r="AP75" s="23"/>
      <c r="AQ75" s="23"/>
      <c r="AR75" s="23"/>
      <c r="AS75" s="23"/>
      <c r="AT75" s="23"/>
      <c r="AU75" s="23"/>
      <c r="AV75" s="23"/>
      <c r="AW75" s="23"/>
      <c r="AX75" s="23"/>
      <c r="AY75" s="23"/>
      <c r="AZ75" s="196"/>
      <c r="BA75" s="70">
        <f>IF(VLOOKUP($D75,$AO$14:AQ$19,COLUMN()-50,0)&lt;=0,1,IF($Q75&lt;0,1,ROUNDUP(IF($Q75*('Draft Center'!$L$28+'Draft Center'!$L$78-'Draft Center'!$L$82)&lt;1,1,$Q75*('Draft Center'!$L$28+'Draft Center'!$L$78-'Draft Center'!$L$82)),0)))</f>
        <v>4</v>
      </c>
      <c r="BB75" s="70">
        <f>IF(VLOOKUP($D75,$AO$14:AR$19,COLUMN()-50,0)&lt;=0,1,IF($Q75&lt;0,1,ROUNDUP(IF($Q75*('Draft Center'!$L$28+'Draft Center'!$L$78-'Draft Center'!$L$82)&lt;1,1,$Q75*('Draft Center'!$L$28+'Draft Center'!$L$78-'Draft Center'!$L$82)),0)))</f>
        <v>4</v>
      </c>
      <c r="BC75" s="70">
        <f>IF(VLOOKUP($D75,$AO$14:AS$19,COLUMN()-50,0)&lt;=0,1,IF($Q75&lt;0,1,ROUNDUP(IF($Q75*('Draft Center'!$L$28+'Draft Center'!$L$78-'Draft Center'!$L$82)&lt;1,1,$Q75*('Draft Center'!$L$28+'Draft Center'!$L$78-'Draft Center'!$L$82)),0)))</f>
        <v>4</v>
      </c>
      <c r="BD75" s="70">
        <f>IF(VLOOKUP($D75,$AO$14:AT$19,COLUMN()-50,0)&lt;=0,1,IF($Q75&lt;0,1,ROUNDUP(IF($Q75*('Draft Center'!$L$28+'Draft Center'!$L$78-'Draft Center'!$L$82)&lt;1,1,$Q75*('Draft Center'!$L$28+'Draft Center'!$L$78-'Draft Center'!$L$82)),0)))</f>
        <v>4</v>
      </c>
      <c r="BE75" s="70">
        <f>IF(VLOOKUP($D75,$AO$14:AU$19,COLUMN()-50,0)&lt;=0,1,IF($Q75&lt;0,1,ROUNDUP(IF($Q75*('Draft Center'!$L$28+'Draft Center'!$L$78-'Draft Center'!$L$82)&lt;1,1,$Q75*('Draft Center'!$L$28+'Draft Center'!$L$78-'Draft Center'!$L$82)),0)))</f>
        <v>4</v>
      </c>
      <c r="BF75" s="70">
        <f>IF(VLOOKUP($D75,$AO$14:AV$19,COLUMN()-50,0)&lt;=0,1,IF($Q75&lt;0,1,ROUNDUP(IF($Q75*('Draft Center'!$L$28+'Draft Center'!$L$78-'Draft Center'!$L$82)&lt;1,1,$Q75*('Draft Center'!$L$28+'Draft Center'!$L$78-'Draft Center'!$L$82)),0)))</f>
        <v>4</v>
      </c>
      <c r="BG75" s="70">
        <f>IF(VLOOKUP($D75,$AO$14:AW$19,COLUMN()-50,0)&lt;=0,1,IF($Q75&lt;0,1,ROUNDUP(IF($Q75*('Draft Center'!$L$28+'Draft Center'!$L$78-'Draft Center'!$L$82)&lt;1,1,$Q75*('Draft Center'!$L$28+'Draft Center'!$L$78-'Draft Center'!$L$82)),0)))</f>
        <v>4</v>
      </c>
      <c r="BH75" s="70">
        <f>IF(VLOOKUP($D75,$AO$14:AX$19,COLUMN()-50,0)&lt;=0,1,IF($Q75&lt;0,1,ROUNDUP(IF($Q75*('Draft Center'!$L$28+'Draft Center'!$L$78-'Draft Center'!$L$82)&lt;1,1,$Q75*('Draft Center'!$L$28+'Draft Center'!$L$78-'Draft Center'!$L$82)),0)))</f>
        <v>4</v>
      </c>
      <c r="BI75" s="70">
        <f>IF(VLOOKUP($D75,$AO$14:AY$19,COLUMN()-50,0)&lt;=0,1,IF($Q75&lt;0,1,ROUNDUP(IF($Q75*('Draft Center'!$L$28+'Draft Center'!$L$78-'Draft Center'!$L$82)&lt;1,1,$Q75*('Draft Center'!$L$28+'Draft Center'!$L$78-'Draft Center'!$L$82)),0)))</f>
        <v>4</v>
      </c>
      <c r="BJ75" s="196"/>
      <c r="BK75" s="23">
        <v>0</v>
      </c>
      <c r="BL75" s="23" t="str">
        <f t="shared" si="49"/>
        <v/>
      </c>
      <c r="BM75" s="23">
        <v>0</v>
      </c>
      <c r="BN75" s="23" t="str">
        <f t="shared" si="49"/>
        <v/>
      </c>
      <c r="BO75" s="23" t="str">
        <f t="shared" si="49"/>
        <v/>
      </c>
      <c r="BP75" s="23" t="str">
        <f t="shared" si="49"/>
        <v/>
      </c>
      <c r="BQ75" s="23" t="str">
        <f t="shared" si="49"/>
        <v/>
      </c>
      <c r="BR75" s="23">
        <f t="shared" si="42"/>
        <v>0</v>
      </c>
      <c r="BS75" s="23">
        <f t="shared" si="43"/>
        <v>0</v>
      </c>
      <c r="BT75" s="70">
        <v>4</v>
      </c>
      <c r="BU75" s="58">
        <v>2327.0337</v>
      </c>
      <c r="BV75" s="33">
        <v>4</v>
      </c>
      <c r="BW75" s="204">
        <v>2327.0337</v>
      </c>
      <c r="BX75" s="23"/>
      <c r="BY75" s="70">
        <v>4</v>
      </c>
      <c r="BZ75" s="70">
        <v>9.3000000000000007</v>
      </c>
      <c r="CA75" s="70">
        <v>9.3000000000000007</v>
      </c>
      <c r="CB75" s="70">
        <v>9.3000000000000007</v>
      </c>
      <c r="CC75" s="70">
        <f t="shared" si="46"/>
        <v>9.3000000000000007</v>
      </c>
      <c r="CD75" s="70">
        <f t="shared" si="47"/>
        <v>9.3000000000000007</v>
      </c>
    </row>
    <row r="76" spans="1:82" ht="15.75" customHeight="1" thickBot="1" x14ac:dyDescent="0.3">
      <c r="A76" s="9">
        <v>75</v>
      </c>
      <c r="B76" s="10" t="s">
        <v>215</v>
      </c>
      <c r="C76" s="10" t="s">
        <v>36</v>
      </c>
      <c r="D76" s="10" t="s">
        <v>147</v>
      </c>
      <c r="E76" s="51">
        <v>4.6604285297890202</v>
      </c>
      <c r="F76" s="51">
        <v>136.02941696076201</v>
      </c>
      <c r="G76" s="51">
        <v>140.852270881057</v>
      </c>
      <c r="H76" s="51">
        <v>131.282746955345</v>
      </c>
      <c r="I76" s="11">
        <v>1.1000000000000001</v>
      </c>
      <c r="J76" s="51">
        <v>4.2978584731154399</v>
      </c>
      <c r="K76" s="249">
        <f>IFERROR(VLOOKUP(C76,Schedule!$T$3:$U$34,2,0),"FA")</f>
        <v>7</v>
      </c>
      <c r="L76" s="10" t="str">
        <f>D76&amp;COUNTIF(D$2:$D76,D76)</f>
        <v>K6</v>
      </c>
      <c r="M76" s="51">
        <f t="array" ref="M76">IFERROR(F76-AVERAGE(VLOOKUP(D76,$D77:$F$885,3,0),INDEX($F77:$F$885,SMALL(IF(D76=$D77:$D$885,ROW($D77:$D$885)-ROW(D76)),2))),0)</f>
        <v>1.7083339139724956</v>
      </c>
      <c r="N76" s="51">
        <f>IFERROR(IF(VLOOKUP($B76,Input!$AC$2:$AC$162,1,0)=$B76,0),F76)</f>
        <v>136.02941696076201</v>
      </c>
      <c r="O76" s="51">
        <f>IFERROR(IF(VLOOKUP($B76,Input!$AC$2:$AC$162,1,0)=$B76,0,G76),G76)</f>
        <v>140.852270881057</v>
      </c>
      <c r="P76" s="51">
        <f>IF(N76=0,0,F76-AVERAGE(INDEX(F:F,MATCH(VLOOKUP(D76,Input!$A$14:$L$22,10,0),L:L,0)),INDEX(F:F,MATCH(VLOOKUP(D76,Input!$A$14:$L$22,11,0),L:L,0)),INDEX(F:F,MATCH(VLOOKUP(D76,Input!$A$14:$L$22,12,0),L:L,0)))+(0.01-ROW()*0.01))</f>
        <v>3.7364353786340132</v>
      </c>
      <c r="Q76" s="107">
        <f t="shared" si="38"/>
        <v>1.289043829866896E-3</v>
      </c>
      <c r="R76" s="11">
        <f>IF(VLOOKUP($D76,$X$14:$Y$19,2,0)&lt;=0,1,IF(Q76&lt;0,1,ROUNDUP(IF(Q76*('Draft Center'!$L$28+'Draft Center'!$L$78-'Draft Center'!$L$82)&lt;1,1,Q76*('Draft Center'!$L$28+'Draft Center'!$L$78-'Draft Center'!$L$82)),0)))</f>
        <v>3</v>
      </c>
      <c r="S76" s="11">
        <f>IF(A76&lt;Input!$B$10+0.1,IF(ROUNDUP(R76*Input!$C$10,0)=0,1,ROUNDUP(R76*Input!$C$10,0)),IF(A76&gt;Input!$B$11,IF(ROUNDUP(R76*Input!$C$11,0)=0,1,ROUNDUP(R76*Input!$C$11,0)),IF(ROUNDUP(R76,0)=0,1,ROUNDUP(R76,0))))</f>
        <v>3</v>
      </c>
      <c r="T76" s="11">
        <f t="shared" si="39"/>
        <v>3</v>
      </c>
      <c r="U76" s="11">
        <f>IFERROR(VLOOKUP($B76,Input!$AC$2:$AE$161,3,0),0)</f>
        <v>0</v>
      </c>
      <c r="V76" s="257">
        <f t="shared" si="44"/>
        <v>1.7280327272727272</v>
      </c>
      <c r="W76" s="264">
        <f t="shared" si="45"/>
        <v>1.90076</v>
      </c>
      <c r="X76" s="27"/>
      <c r="Y76" s="23"/>
      <c r="Z76" s="23"/>
      <c r="AA76" s="23">
        <v>0</v>
      </c>
      <c r="AB76" s="23" t="str">
        <f t="shared" si="48"/>
        <v/>
      </c>
      <c r="AC76" s="23" t="str">
        <f t="shared" si="48"/>
        <v/>
      </c>
      <c r="AD76" s="23" t="str">
        <f t="shared" si="48"/>
        <v/>
      </c>
      <c r="AE76" s="23" t="str">
        <f t="shared" si="48"/>
        <v/>
      </c>
      <c r="AF76" s="23" t="str">
        <f t="shared" si="48"/>
        <v/>
      </c>
      <c r="AG76" s="23">
        <f t="shared" si="48"/>
        <v>0</v>
      </c>
      <c r="AH76" s="23">
        <f t="shared" si="40"/>
        <v>0</v>
      </c>
      <c r="AI76" s="23">
        <f t="shared" si="41"/>
        <v>0</v>
      </c>
      <c r="AJ76" s="69">
        <v>3</v>
      </c>
      <c r="AK76" s="225">
        <v>2327.0337</v>
      </c>
      <c r="AL76" s="33">
        <v>3</v>
      </c>
      <c r="AM76" s="204">
        <v>2327.0337</v>
      </c>
      <c r="AN76" s="196"/>
      <c r="AO76" s="23"/>
      <c r="AP76" s="23"/>
      <c r="AQ76" s="23"/>
      <c r="AR76" s="23"/>
      <c r="AS76" s="23"/>
      <c r="AT76" s="23"/>
      <c r="AU76" s="23"/>
      <c r="AV76" s="23"/>
      <c r="AW76" s="23"/>
      <c r="AX76" s="23"/>
      <c r="AY76" s="23"/>
      <c r="AZ76" s="196"/>
      <c r="BA76" s="69">
        <f>IF(VLOOKUP($D76,$AO$14:AQ$19,COLUMN()-50,0)&lt;=0,1,IF($Q76&lt;0,1,ROUNDUP(IF($Q76*('Draft Center'!$L$28+'Draft Center'!$L$78-'Draft Center'!$L$82)&lt;1,1,$Q76*('Draft Center'!$L$28+'Draft Center'!$L$78-'Draft Center'!$L$82)),0)))</f>
        <v>3</v>
      </c>
      <c r="BB76" s="69">
        <f>IF(VLOOKUP($D76,$AO$14:AR$19,COLUMN()-50,0)&lt;=0,1,IF($Q76&lt;0,1,ROUNDUP(IF($Q76*('Draft Center'!$L$28+'Draft Center'!$L$78-'Draft Center'!$L$82)&lt;1,1,$Q76*('Draft Center'!$L$28+'Draft Center'!$L$78-'Draft Center'!$L$82)),0)))</f>
        <v>3</v>
      </c>
      <c r="BC76" s="69">
        <f>IF(VLOOKUP($D76,$AO$14:AS$19,COLUMN()-50,0)&lt;=0,1,IF($Q76&lt;0,1,ROUNDUP(IF($Q76*('Draft Center'!$L$28+'Draft Center'!$L$78-'Draft Center'!$L$82)&lt;1,1,$Q76*('Draft Center'!$L$28+'Draft Center'!$L$78-'Draft Center'!$L$82)),0)))</f>
        <v>3</v>
      </c>
      <c r="BD76" s="69">
        <f>IF(VLOOKUP($D76,$AO$14:AT$19,COLUMN()-50,0)&lt;=0,1,IF($Q76&lt;0,1,ROUNDUP(IF($Q76*('Draft Center'!$L$28+'Draft Center'!$L$78-'Draft Center'!$L$82)&lt;1,1,$Q76*('Draft Center'!$L$28+'Draft Center'!$L$78-'Draft Center'!$L$82)),0)))</f>
        <v>3</v>
      </c>
      <c r="BE76" s="69">
        <f>IF(VLOOKUP($D76,$AO$14:AU$19,COLUMN()-50,0)&lt;=0,1,IF($Q76&lt;0,1,ROUNDUP(IF($Q76*('Draft Center'!$L$28+'Draft Center'!$L$78-'Draft Center'!$L$82)&lt;1,1,$Q76*('Draft Center'!$L$28+'Draft Center'!$L$78-'Draft Center'!$L$82)),0)))</f>
        <v>3</v>
      </c>
      <c r="BF76" s="69">
        <f>IF(VLOOKUP($D76,$AO$14:AV$19,COLUMN()-50,0)&lt;=0,1,IF($Q76&lt;0,1,ROUNDUP(IF($Q76*('Draft Center'!$L$28+'Draft Center'!$L$78-'Draft Center'!$L$82)&lt;1,1,$Q76*('Draft Center'!$L$28+'Draft Center'!$L$78-'Draft Center'!$L$82)),0)))</f>
        <v>3</v>
      </c>
      <c r="BG76" s="69">
        <f>IF(VLOOKUP($D76,$AO$14:AW$19,COLUMN()-50,0)&lt;=0,1,IF($Q76&lt;0,1,ROUNDUP(IF($Q76*('Draft Center'!$L$28+'Draft Center'!$L$78-'Draft Center'!$L$82)&lt;1,1,$Q76*('Draft Center'!$L$28+'Draft Center'!$L$78-'Draft Center'!$L$82)),0)))</f>
        <v>3</v>
      </c>
      <c r="BH76" s="69">
        <f>IF(VLOOKUP($D76,$AO$14:AX$19,COLUMN()-50,0)&lt;=0,1,IF($Q76&lt;0,1,ROUNDUP(IF($Q76*('Draft Center'!$L$28+'Draft Center'!$L$78-'Draft Center'!$L$82)&lt;1,1,$Q76*('Draft Center'!$L$28+'Draft Center'!$L$78-'Draft Center'!$L$82)),0)))</f>
        <v>3</v>
      </c>
      <c r="BI76" s="69">
        <f>IF(VLOOKUP($D76,$AO$14:AY$19,COLUMN()-50,0)&lt;=0,1,IF($Q76&lt;0,1,ROUNDUP(IF($Q76*('Draft Center'!$L$28+'Draft Center'!$L$78-'Draft Center'!$L$82)&lt;1,1,$Q76*('Draft Center'!$L$28+'Draft Center'!$L$78-'Draft Center'!$L$82)),0)))</f>
        <v>3</v>
      </c>
      <c r="BJ76" s="196"/>
      <c r="BK76" s="23">
        <v>0</v>
      </c>
      <c r="BL76" s="23" t="str">
        <f t="shared" si="49"/>
        <v/>
      </c>
      <c r="BM76" s="23">
        <v>0</v>
      </c>
      <c r="BN76" s="23" t="str">
        <f t="shared" si="49"/>
        <v/>
      </c>
      <c r="BO76" s="23" t="str">
        <f t="shared" si="49"/>
        <v/>
      </c>
      <c r="BP76" s="23" t="str">
        <f t="shared" si="49"/>
        <v/>
      </c>
      <c r="BQ76" s="23">
        <f t="shared" si="49"/>
        <v>0</v>
      </c>
      <c r="BR76" s="23">
        <f t="shared" si="42"/>
        <v>0</v>
      </c>
      <c r="BS76" s="23">
        <f t="shared" si="43"/>
        <v>0</v>
      </c>
      <c r="BT76" s="69">
        <v>3</v>
      </c>
      <c r="BU76" s="58">
        <v>2327.0337</v>
      </c>
      <c r="BV76" s="33">
        <v>3</v>
      </c>
      <c r="BW76" s="204">
        <v>2327.0337</v>
      </c>
      <c r="BX76" s="23"/>
      <c r="BY76" s="69">
        <v>3</v>
      </c>
      <c r="BZ76" s="69">
        <v>1.1000000000000001</v>
      </c>
      <c r="CA76" s="69">
        <v>1.1000000000000001</v>
      </c>
      <c r="CB76" s="69">
        <v>1.1000000000000001</v>
      </c>
      <c r="CC76" s="69">
        <f t="shared" si="46"/>
        <v>1.1000000000000001</v>
      </c>
      <c r="CD76" s="69">
        <f t="shared" si="47"/>
        <v>1.1000000000000001</v>
      </c>
    </row>
    <row r="77" spans="1:82" ht="15.75" customHeight="1" thickBot="1" x14ac:dyDescent="0.3">
      <c r="A77" s="6">
        <v>76</v>
      </c>
      <c r="B77" s="7" t="s">
        <v>98</v>
      </c>
      <c r="C77" s="7" t="s">
        <v>50</v>
      </c>
      <c r="D77" s="7" t="s">
        <v>17</v>
      </c>
      <c r="E77" s="50">
        <v>4.5004564113052101</v>
      </c>
      <c r="F77" s="50">
        <v>217.278372680654</v>
      </c>
      <c r="G77" s="50">
        <v>229.21942216049399</v>
      </c>
      <c r="H77" s="50">
        <v>202.90220241708701</v>
      </c>
      <c r="I77" s="8">
        <v>20.9</v>
      </c>
      <c r="J77" s="50">
        <v>3.6301026955100699</v>
      </c>
      <c r="K77" s="248">
        <f>IFERROR(VLOOKUP(C77,Schedule!$T$3:$U$34,2,0),"FA")</f>
        <v>6</v>
      </c>
      <c r="L77" s="7" t="str">
        <f>D77&amp;COUNTIF(D$2:$D77,D77)</f>
        <v>WR22</v>
      </c>
      <c r="M77" s="50">
        <f t="array" ref="M77">IFERROR(F77-AVERAGE(VLOOKUP(D77,$D78:$F$885,3,0),INDEX($F78:$F$885,SMALL(IF(D77=$D78:$D$885,ROW($D78:$D$885)-ROW(D77)),2))),0)</f>
        <v>1.1126676131534907</v>
      </c>
      <c r="N77" s="50">
        <f>IFERROR(IF(VLOOKUP($B77,Input!$AC$2:$AC$162,1,0)=$B77,0),F77)</f>
        <v>217.278372680654</v>
      </c>
      <c r="O77" s="50">
        <f>IFERROR(IF(VLOOKUP($B77,Input!$AC$2:$AC$162,1,0)=$B77,0,G77),G77)</f>
        <v>229.21942216049399</v>
      </c>
      <c r="P77" s="50">
        <f>IF(N77=0,0,F77-AVERAGE(INDEX(F:F,MATCH(VLOOKUP(D77,Input!$A$14:$L$22,10,0),L:L,0)),INDEX(F:F,MATCH(VLOOKUP(D77,Input!$A$14:$L$22,11,0),L:L,0)),INDEX(F:F,MATCH(VLOOKUP(D77,Input!$A$14:$L$22,12,0),L:L,0)))+(0.01-ROW()*0.01))</f>
        <v>3.7404564113049812</v>
      </c>
      <c r="Q77" s="106">
        <f t="shared" si="38"/>
        <v>1.2904310577536258E-3</v>
      </c>
      <c r="R77" s="8">
        <f>IF(VLOOKUP($D77,$X$14:$Y$19,2,0)&lt;=0,1,IF(Q77&lt;0,1,ROUNDUP(IF(Q77*('Draft Center'!$L$28+'Draft Center'!$L$78-'Draft Center'!$L$82)&lt;1,1,Q77*('Draft Center'!$L$28+'Draft Center'!$L$78-'Draft Center'!$L$82)),0)))</f>
        <v>3</v>
      </c>
      <c r="S77" s="8">
        <f>IF(A77&lt;Input!$B$10+0.1,IF(ROUNDUP(R77*Input!$C$10,0)=0,1,ROUNDUP(R77*Input!$C$10,0)),IF(A77&gt;Input!$B$11,IF(ROUNDUP(R77*Input!$C$11,0)=0,1,ROUNDUP(R77*Input!$C$11,0)),IF(ROUNDUP(R77,0)=0,1,ROUNDUP(R77,0))))</f>
        <v>3</v>
      </c>
      <c r="T77" s="8">
        <f t="shared" si="39"/>
        <v>3</v>
      </c>
      <c r="U77" s="8">
        <f>IFERROR(VLOOKUP($B77,Input!$AC$2:$AE$161,3,0),0)</f>
        <v>0</v>
      </c>
      <c r="V77" s="256">
        <f t="shared" si="44"/>
        <v>-0.85568933014354065</v>
      </c>
      <c r="W77" s="263">
        <f t="shared" si="45"/>
        <v>-17.899229999999999</v>
      </c>
      <c r="X77" s="27"/>
      <c r="Y77" s="23"/>
      <c r="Z77" s="23"/>
      <c r="AA77" s="23">
        <v>0</v>
      </c>
      <c r="AB77" s="23" t="str">
        <f t="shared" si="48"/>
        <v/>
      </c>
      <c r="AC77" s="23" t="str">
        <f t="shared" si="48"/>
        <v/>
      </c>
      <c r="AD77" s="23">
        <f t="shared" si="48"/>
        <v>0</v>
      </c>
      <c r="AE77" s="23" t="str">
        <f t="shared" si="48"/>
        <v/>
      </c>
      <c r="AF77" s="23" t="str">
        <f t="shared" si="48"/>
        <v/>
      </c>
      <c r="AG77" s="23" t="str">
        <f t="shared" si="48"/>
        <v/>
      </c>
      <c r="AH77" s="23">
        <f t="shared" si="40"/>
        <v>0</v>
      </c>
      <c r="AI77" s="23">
        <f t="shared" si="41"/>
        <v>0</v>
      </c>
      <c r="AJ77" s="70">
        <v>3</v>
      </c>
      <c r="AK77" s="225">
        <v>2327.0337</v>
      </c>
      <c r="AL77" s="33">
        <v>3</v>
      </c>
      <c r="AM77" s="204">
        <v>2327.0337</v>
      </c>
      <c r="AN77" s="196"/>
      <c r="AO77" s="23"/>
      <c r="AP77" s="23"/>
      <c r="AQ77" s="23"/>
      <c r="AR77" s="23"/>
      <c r="AS77" s="23"/>
      <c r="AT77" s="23"/>
      <c r="AU77" s="23"/>
      <c r="AV77" s="23"/>
      <c r="AW77" s="23"/>
      <c r="AX77" s="23"/>
      <c r="AY77" s="23"/>
      <c r="AZ77" s="196"/>
      <c r="BA77" s="70">
        <f>IF(VLOOKUP($D77,$AO$14:AQ$19,COLUMN()-50,0)&lt;=0,1,IF($Q77&lt;0,1,ROUNDUP(IF($Q77*('Draft Center'!$L$28+'Draft Center'!$L$78-'Draft Center'!$L$82)&lt;1,1,$Q77*('Draft Center'!$L$28+'Draft Center'!$L$78-'Draft Center'!$L$82)),0)))</f>
        <v>3</v>
      </c>
      <c r="BB77" s="70">
        <f>IF(VLOOKUP($D77,$AO$14:AR$19,COLUMN()-50,0)&lt;=0,1,IF($Q77&lt;0,1,ROUNDUP(IF($Q77*('Draft Center'!$L$28+'Draft Center'!$L$78-'Draft Center'!$L$82)&lt;1,1,$Q77*('Draft Center'!$L$28+'Draft Center'!$L$78-'Draft Center'!$L$82)),0)))</f>
        <v>3</v>
      </c>
      <c r="BC77" s="70">
        <f>IF(VLOOKUP($D77,$AO$14:AS$19,COLUMN()-50,0)&lt;=0,1,IF($Q77&lt;0,1,ROUNDUP(IF($Q77*('Draft Center'!$L$28+'Draft Center'!$L$78-'Draft Center'!$L$82)&lt;1,1,$Q77*('Draft Center'!$L$28+'Draft Center'!$L$78-'Draft Center'!$L$82)),0)))</f>
        <v>3</v>
      </c>
      <c r="BD77" s="70">
        <f>IF(VLOOKUP($D77,$AO$14:AT$19,COLUMN()-50,0)&lt;=0,1,IF($Q77&lt;0,1,ROUNDUP(IF($Q77*('Draft Center'!$L$28+'Draft Center'!$L$78-'Draft Center'!$L$82)&lt;1,1,$Q77*('Draft Center'!$L$28+'Draft Center'!$L$78-'Draft Center'!$L$82)),0)))</f>
        <v>3</v>
      </c>
      <c r="BE77" s="70">
        <f>IF(VLOOKUP($D77,$AO$14:AU$19,COLUMN()-50,0)&lt;=0,1,IF($Q77&lt;0,1,ROUNDUP(IF($Q77*('Draft Center'!$L$28+'Draft Center'!$L$78-'Draft Center'!$L$82)&lt;1,1,$Q77*('Draft Center'!$L$28+'Draft Center'!$L$78-'Draft Center'!$L$82)),0)))</f>
        <v>3</v>
      </c>
      <c r="BF77" s="70">
        <f>IF(VLOOKUP($D77,$AO$14:AV$19,COLUMN()-50,0)&lt;=0,1,IF($Q77&lt;0,1,ROUNDUP(IF($Q77*('Draft Center'!$L$28+'Draft Center'!$L$78-'Draft Center'!$L$82)&lt;1,1,$Q77*('Draft Center'!$L$28+'Draft Center'!$L$78-'Draft Center'!$L$82)),0)))</f>
        <v>3</v>
      </c>
      <c r="BG77" s="70">
        <f>IF(VLOOKUP($D77,$AO$14:AW$19,COLUMN()-50,0)&lt;=0,1,IF($Q77&lt;0,1,ROUNDUP(IF($Q77*('Draft Center'!$L$28+'Draft Center'!$L$78-'Draft Center'!$L$82)&lt;1,1,$Q77*('Draft Center'!$L$28+'Draft Center'!$L$78-'Draft Center'!$L$82)),0)))</f>
        <v>3</v>
      </c>
      <c r="BH77" s="70">
        <f>IF(VLOOKUP($D77,$AO$14:AX$19,COLUMN()-50,0)&lt;=0,1,IF($Q77&lt;0,1,ROUNDUP(IF($Q77*('Draft Center'!$L$28+'Draft Center'!$L$78-'Draft Center'!$L$82)&lt;1,1,$Q77*('Draft Center'!$L$28+'Draft Center'!$L$78-'Draft Center'!$L$82)),0)))</f>
        <v>3</v>
      </c>
      <c r="BI77" s="70">
        <f>IF(VLOOKUP($D77,$AO$14:AY$19,COLUMN()-50,0)&lt;=0,1,IF($Q77&lt;0,1,ROUNDUP(IF($Q77*('Draft Center'!$L$28+'Draft Center'!$L$78-'Draft Center'!$L$82)&lt;1,1,$Q77*('Draft Center'!$L$28+'Draft Center'!$L$78-'Draft Center'!$L$82)),0)))</f>
        <v>3</v>
      </c>
      <c r="BJ77" s="196"/>
      <c r="BK77" s="23">
        <v>0</v>
      </c>
      <c r="BL77" s="23" t="str">
        <f t="shared" si="49"/>
        <v/>
      </c>
      <c r="BM77" s="23">
        <v>0</v>
      </c>
      <c r="BN77" s="23">
        <f t="shared" si="49"/>
        <v>0</v>
      </c>
      <c r="BO77" s="23" t="str">
        <f t="shared" si="49"/>
        <v/>
      </c>
      <c r="BP77" s="23" t="str">
        <f t="shared" si="49"/>
        <v/>
      </c>
      <c r="BQ77" s="23" t="str">
        <f t="shared" si="49"/>
        <v/>
      </c>
      <c r="BR77" s="23">
        <f t="shared" si="42"/>
        <v>0</v>
      </c>
      <c r="BS77" s="23">
        <f t="shared" si="43"/>
        <v>0</v>
      </c>
      <c r="BT77" s="70">
        <v>3</v>
      </c>
      <c r="BU77" s="58">
        <v>2327.0337</v>
      </c>
      <c r="BV77" s="33">
        <v>3</v>
      </c>
      <c r="BW77" s="204">
        <v>2327.0337</v>
      </c>
      <c r="BX77" s="23"/>
      <c r="BY77" s="70">
        <v>3</v>
      </c>
      <c r="BZ77" s="70">
        <v>20.9</v>
      </c>
      <c r="CA77" s="70">
        <v>20.9</v>
      </c>
      <c r="CB77" s="70">
        <v>20.9</v>
      </c>
      <c r="CC77" s="70">
        <f t="shared" si="46"/>
        <v>20.9</v>
      </c>
      <c r="CD77" s="70">
        <f t="shared" si="47"/>
        <v>20.9</v>
      </c>
    </row>
    <row r="78" spans="1:82" ht="15.75" customHeight="1" thickBot="1" x14ac:dyDescent="0.3">
      <c r="A78" s="9">
        <v>77</v>
      </c>
      <c r="B78" s="10" t="s">
        <v>175</v>
      </c>
      <c r="C78" s="10" t="s">
        <v>29</v>
      </c>
      <c r="D78" s="10" t="s">
        <v>147</v>
      </c>
      <c r="E78" s="51">
        <v>4.1970140190495897</v>
      </c>
      <c r="F78" s="51">
        <v>135.56600245002301</v>
      </c>
      <c r="G78" s="51">
        <v>145.79436354542599</v>
      </c>
      <c r="H78" s="51">
        <v>121.6</v>
      </c>
      <c r="I78" s="11">
        <v>1.2</v>
      </c>
      <c r="J78" s="51">
        <v>3.3892211820717799</v>
      </c>
      <c r="K78" s="249">
        <f>IFERROR(VLOOKUP(C78,Schedule!$T$3:$U$34,2,0),"FA")</f>
        <v>8</v>
      </c>
      <c r="L78" s="10" t="str">
        <f>D78&amp;COUNTIF(D$2:$D78,D78)</f>
        <v>K7</v>
      </c>
      <c r="M78" s="51">
        <f t="array" ref="M78">IFERROR(F78-AVERAGE(VLOOKUP(D78,$D79:$F$885,3,0),INDEX($F79:$F$885,SMALL(IF(D78=$D79:$D$885,ROW($D79:$D$885)-ROW(D78)),2))),0)</f>
        <v>2.6592974533350002</v>
      </c>
      <c r="N78" s="51">
        <f>IFERROR(IF(VLOOKUP($B78,Input!$AC$2:$AC$162,1,0)=$B78,0),F78)</f>
        <v>135.56600245002301</v>
      </c>
      <c r="O78" s="51">
        <f>IFERROR(IF(VLOOKUP($B78,Input!$AC$2:$AC$162,1,0)=$B78,0,G78),G78)</f>
        <v>145.79436354542599</v>
      </c>
      <c r="P78" s="51">
        <f>IF(N78=0,0,F78-AVERAGE(INDEX(F:F,MATCH(VLOOKUP(D78,Input!$A$14:$L$22,10,0),L:L,0)),INDEX(F:F,MATCH(VLOOKUP(D78,Input!$A$14:$L$22,11,0),L:L,0)),INDEX(F:F,MATCH(VLOOKUP(D78,Input!$A$14:$L$22,12,0),L:L,0)))+(0.01-ROW()*0.01))</f>
        <v>3.2530208678950134</v>
      </c>
      <c r="Q78" s="107">
        <f t="shared" si="38"/>
        <v>1.1222692361191932E-3</v>
      </c>
      <c r="R78" s="11">
        <f>IF(VLOOKUP($D78,$X$14:$Y$19,2,0)&lt;=0,1,IF(Q78&lt;0,1,ROUNDUP(IF(Q78*('Draft Center'!$L$28+'Draft Center'!$L$78-'Draft Center'!$L$82)&lt;1,1,Q78*('Draft Center'!$L$28+'Draft Center'!$L$78-'Draft Center'!$L$82)),0)))</f>
        <v>3</v>
      </c>
      <c r="S78" s="11">
        <f>IF(A78&lt;Input!$B$10+0.1,IF(ROUNDUP(R78*Input!$C$10,0)=0,1,ROUNDUP(R78*Input!$C$10,0)),IF(A78&gt;Input!$B$11,IF(ROUNDUP(R78*Input!$C$11,0)=0,1,ROUNDUP(R78*Input!$C$11,0)),IF(ROUNDUP(R78,0)=0,1,ROUNDUP(R78,0))))</f>
        <v>3</v>
      </c>
      <c r="T78" s="11">
        <f t="shared" si="39"/>
        <v>3</v>
      </c>
      <c r="U78" s="11">
        <f>IFERROR(VLOOKUP($B78,Input!$AC$2:$AE$161,3,0),0)</f>
        <v>0</v>
      </c>
      <c r="V78" s="257">
        <f t="shared" si="44"/>
        <v>1.50078</v>
      </c>
      <c r="W78" s="264">
        <f t="shared" si="45"/>
        <v>1.80078</v>
      </c>
      <c r="X78" s="27"/>
      <c r="Y78" s="23"/>
      <c r="Z78" s="23"/>
      <c r="AA78" s="23">
        <v>0</v>
      </c>
      <c r="AB78" s="23" t="str">
        <f t="shared" si="48"/>
        <v/>
      </c>
      <c r="AC78" s="23" t="str">
        <f t="shared" si="48"/>
        <v/>
      </c>
      <c r="AD78" s="23" t="str">
        <f t="shared" si="48"/>
        <v/>
      </c>
      <c r="AE78" s="23" t="str">
        <f t="shared" si="48"/>
        <v/>
      </c>
      <c r="AF78" s="23" t="str">
        <f t="shared" si="48"/>
        <v/>
      </c>
      <c r="AG78" s="23">
        <f t="shared" si="48"/>
        <v>0</v>
      </c>
      <c r="AH78" s="23">
        <f t="shared" si="40"/>
        <v>0</v>
      </c>
      <c r="AI78" s="23">
        <f t="shared" si="41"/>
        <v>0</v>
      </c>
      <c r="AJ78" s="69">
        <v>3</v>
      </c>
      <c r="AK78" s="225">
        <v>2327.0337</v>
      </c>
      <c r="AL78" s="33">
        <v>3</v>
      </c>
      <c r="AM78" s="204">
        <v>2327.0337</v>
      </c>
      <c r="AN78" s="196"/>
      <c r="AO78" s="23"/>
      <c r="AP78" s="23"/>
      <c r="AQ78" s="23"/>
      <c r="AR78" s="23"/>
      <c r="AS78" s="23"/>
      <c r="AT78" s="23"/>
      <c r="AU78" s="23"/>
      <c r="AV78" s="23"/>
      <c r="AW78" s="23"/>
      <c r="AX78" s="23"/>
      <c r="AY78" s="23"/>
      <c r="AZ78" s="196"/>
      <c r="BA78" s="69">
        <f>IF(VLOOKUP($D78,$AO$14:AQ$19,COLUMN()-50,0)&lt;=0,1,IF($Q78&lt;0,1,ROUNDUP(IF($Q78*('Draft Center'!$L$28+'Draft Center'!$L$78-'Draft Center'!$L$82)&lt;1,1,$Q78*('Draft Center'!$L$28+'Draft Center'!$L$78-'Draft Center'!$L$82)),0)))</f>
        <v>3</v>
      </c>
      <c r="BB78" s="69">
        <f>IF(VLOOKUP($D78,$AO$14:AR$19,COLUMN()-50,0)&lt;=0,1,IF($Q78&lt;0,1,ROUNDUP(IF($Q78*('Draft Center'!$L$28+'Draft Center'!$L$78-'Draft Center'!$L$82)&lt;1,1,$Q78*('Draft Center'!$L$28+'Draft Center'!$L$78-'Draft Center'!$L$82)),0)))</f>
        <v>3</v>
      </c>
      <c r="BC78" s="69">
        <f>IF(VLOOKUP($D78,$AO$14:AS$19,COLUMN()-50,0)&lt;=0,1,IF($Q78&lt;0,1,ROUNDUP(IF($Q78*('Draft Center'!$L$28+'Draft Center'!$L$78-'Draft Center'!$L$82)&lt;1,1,$Q78*('Draft Center'!$L$28+'Draft Center'!$L$78-'Draft Center'!$L$82)),0)))</f>
        <v>3</v>
      </c>
      <c r="BD78" s="69">
        <f>IF(VLOOKUP($D78,$AO$14:AT$19,COLUMN()-50,0)&lt;=0,1,IF($Q78&lt;0,1,ROUNDUP(IF($Q78*('Draft Center'!$L$28+'Draft Center'!$L$78-'Draft Center'!$L$82)&lt;1,1,$Q78*('Draft Center'!$L$28+'Draft Center'!$L$78-'Draft Center'!$L$82)),0)))</f>
        <v>3</v>
      </c>
      <c r="BE78" s="69">
        <f>IF(VLOOKUP($D78,$AO$14:AU$19,COLUMN()-50,0)&lt;=0,1,IF($Q78&lt;0,1,ROUNDUP(IF($Q78*('Draft Center'!$L$28+'Draft Center'!$L$78-'Draft Center'!$L$82)&lt;1,1,$Q78*('Draft Center'!$L$28+'Draft Center'!$L$78-'Draft Center'!$L$82)),0)))</f>
        <v>3</v>
      </c>
      <c r="BF78" s="69">
        <f>IF(VLOOKUP($D78,$AO$14:AV$19,COLUMN()-50,0)&lt;=0,1,IF($Q78&lt;0,1,ROUNDUP(IF($Q78*('Draft Center'!$L$28+'Draft Center'!$L$78-'Draft Center'!$L$82)&lt;1,1,$Q78*('Draft Center'!$L$28+'Draft Center'!$L$78-'Draft Center'!$L$82)),0)))</f>
        <v>3</v>
      </c>
      <c r="BG78" s="69">
        <f>IF(VLOOKUP($D78,$AO$14:AW$19,COLUMN()-50,0)&lt;=0,1,IF($Q78&lt;0,1,ROUNDUP(IF($Q78*('Draft Center'!$L$28+'Draft Center'!$L$78-'Draft Center'!$L$82)&lt;1,1,$Q78*('Draft Center'!$L$28+'Draft Center'!$L$78-'Draft Center'!$L$82)),0)))</f>
        <v>3</v>
      </c>
      <c r="BH78" s="69">
        <f>IF(VLOOKUP($D78,$AO$14:AX$19,COLUMN()-50,0)&lt;=0,1,IF($Q78&lt;0,1,ROUNDUP(IF($Q78*('Draft Center'!$L$28+'Draft Center'!$L$78-'Draft Center'!$L$82)&lt;1,1,$Q78*('Draft Center'!$L$28+'Draft Center'!$L$78-'Draft Center'!$L$82)),0)))</f>
        <v>3</v>
      </c>
      <c r="BI78" s="69">
        <f>IF(VLOOKUP($D78,$AO$14:AY$19,COLUMN()-50,0)&lt;=0,1,IF($Q78&lt;0,1,ROUNDUP(IF($Q78*('Draft Center'!$L$28+'Draft Center'!$L$78-'Draft Center'!$L$82)&lt;1,1,$Q78*('Draft Center'!$L$28+'Draft Center'!$L$78-'Draft Center'!$L$82)),0)))</f>
        <v>3</v>
      </c>
      <c r="BJ78" s="196"/>
      <c r="BK78" s="23">
        <v>0</v>
      </c>
      <c r="BL78" s="23" t="str">
        <f t="shared" si="49"/>
        <v/>
      </c>
      <c r="BM78" s="23">
        <v>0</v>
      </c>
      <c r="BN78" s="23" t="str">
        <f t="shared" si="49"/>
        <v/>
      </c>
      <c r="BO78" s="23" t="str">
        <f t="shared" si="49"/>
        <v/>
      </c>
      <c r="BP78" s="23" t="str">
        <f t="shared" si="49"/>
        <v/>
      </c>
      <c r="BQ78" s="23">
        <f t="shared" si="49"/>
        <v>0</v>
      </c>
      <c r="BR78" s="23">
        <f t="shared" si="42"/>
        <v>0</v>
      </c>
      <c r="BS78" s="23">
        <f t="shared" si="43"/>
        <v>0</v>
      </c>
      <c r="BT78" s="69">
        <v>3</v>
      </c>
      <c r="BU78" s="58">
        <v>2327.0337</v>
      </c>
      <c r="BV78" s="33">
        <v>3</v>
      </c>
      <c r="BW78" s="204">
        <v>2327.0337</v>
      </c>
      <c r="BX78" s="23"/>
      <c r="BY78" s="69">
        <v>3</v>
      </c>
      <c r="BZ78" s="69">
        <v>1.2</v>
      </c>
      <c r="CA78" s="69">
        <v>1.2</v>
      </c>
      <c r="CB78" s="69">
        <v>1.2</v>
      </c>
      <c r="CC78" s="69">
        <f t="shared" si="46"/>
        <v>1.2</v>
      </c>
      <c r="CD78" s="69">
        <f t="shared" si="47"/>
        <v>1.2</v>
      </c>
    </row>
    <row r="79" spans="1:82" ht="15.75" customHeight="1" thickBot="1" x14ac:dyDescent="0.3">
      <c r="A79" s="6">
        <v>78</v>
      </c>
      <c r="B79" s="7" t="s">
        <v>231</v>
      </c>
      <c r="C79" s="7" t="s">
        <v>45</v>
      </c>
      <c r="D79" s="7" t="s">
        <v>135</v>
      </c>
      <c r="E79" s="50">
        <v>3.8095604893520498</v>
      </c>
      <c r="F79" s="50">
        <v>112.54111916628899</v>
      </c>
      <c r="G79" s="50">
        <v>110.018023255814</v>
      </c>
      <c r="H79" s="50">
        <v>80.3</v>
      </c>
      <c r="I79" s="8">
        <v>1.2</v>
      </c>
      <c r="J79" s="50">
        <v>6.5783520666624797</v>
      </c>
      <c r="K79" s="248">
        <f>IFERROR(VLOOKUP(C79,Schedule!$T$3:$U$34,2,0),"FA")</f>
        <v>6</v>
      </c>
      <c r="L79" s="7" t="str">
        <f>D79&amp;COUNTIF(D$2:$D79,D79)</f>
        <v>DST9</v>
      </c>
      <c r="M79" s="50">
        <f t="array" ref="M79">IFERROR(F79-AVERAGE(VLOOKUP(D79,$D80:$F$885,3,0),INDEX($F80:$F$885,SMALL(IF(D79=$D80:$D$885,ROW($D80:$D$885)-ROW(D79)),2))),0)</f>
        <v>2.9386542818304946</v>
      </c>
      <c r="N79" s="50">
        <f>IFERROR(IF(VLOOKUP($B79,Input!$AC$2:$AC$162,1,0)=$B79,0),F79)</f>
        <v>112.54111916628899</v>
      </c>
      <c r="O79" s="50">
        <f>IFERROR(IF(VLOOKUP($B79,Input!$AC$2:$AC$162,1,0)=$B79,0,G79),G79)</f>
        <v>110.018023255814</v>
      </c>
      <c r="P79" s="50">
        <f>IF(N79=0,0,F79-AVERAGE(INDEX(F:F,MATCH(VLOOKUP(D79,Input!$A$14:$L$22,10,0),L:L,0)),INDEX(F:F,MATCH(VLOOKUP(D79,Input!$A$14:$L$22,11,0),L:L,0)),INDEX(F:F,MATCH(VLOOKUP(D79,Input!$A$14:$L$22,12,0),L:L,0)))+(0.01-ROW()*0.01))</f>
        <v>4.0727322156769796</v>
      </c>
      <c r="Q79" s="106">
        <f t="shared" si="38"/>
        <v>1.4050638647035406E-3</v>
      </c>
      <c r="R79" s="8">
        <f>IF(VLOOKUP($D79,$X$14:$Y$19,2,0)&lt;=0,1,IF(Q79&lt;0,1,ROUNDUP(IF(Q79*('Draft Center'!$L$28+'Draft Center'!$L$78-'Draft Center'!$L$82)&lt;1,1,Q79*('Draft Center'!$L$28+'Draft Center'!$L$78-'Draft Center'!$L$82)),0)))</f>
        <v>3</v>
      </c>
      <c r="S79" s="8">
        <f>IF(A79&lt;Input!$B$10+0.1,IF(ROUNDUP(R79*Input!$C$10,0)=0,1,ROUNDUP(R79*Input!$C$10,0)),IF(A79&gt;Input!$B$11,IF(ROUNDUP(R79*Input!$C$11,0)=0,1,ROUNDUP(R79*Input!$C$11,0)),IF(ROUNDUP(R79,0)=0,1,ROUNDUP(R79,0))))</f>
        <v>3</v>
      </c>
      <c r="T79" s="8">
        <f t="shared" si="39"/>
        <v>3</v>
      </c>
      <c r="U79" s="8">
        <f>IFERROR(VLOOKUP($B79,Input!$AC$2:$AE$161,3,0),0)</f>
        <v>0</v>
      </c>
      <c r="V79" s="256">
        <f t="shared" si="44"/>
        <v>1.5007900000000001</v>
      </c>
      <c r="W79" s="263">
        <f t="shared" si="45"/>
        <v>1.8007900000000001</v>
      </c>
      <c r="X79" s="27"/>
      <c r="Y79" s="23"/>
      <c r="Z79" s="23"/>
      <c r="AA79" s="23">
        <v>0</v>
      </c>
      <c r="AB79" s="23" t="str">
        <f t="shared" si="48"/>
        <v/>
      </c>
      <c r="AC79" s="23" t="str">
        <f t="shared" si="48"/>
        <v/>
      </c>
      <c r="AD79" s="23" t="str">
        <f t="shared" si="48"/>
        <v/>
      </c>
      <c r="AE79" s="23" t="str">
        <f t="shared" si="48"/>
        <v/>
      </c>
      <c r="AF79" s="23">
        <f t="shared" si="48"/>
        <v>0</v>
      </c>
      <c r="AG79" s="23" t="str">
        <f t="shared" si="48"/>
        <v/>
      </c>
      <c r="AH79" s="23">
        <f t="shared" si="40"/>
        <v>0</v>
      </c>
      <c r="AI79" s="23">
        <f t="shared" si="41"/>
        <v>0</v>
      </c>
      <c r="AJ79" s="70">
        <v>3</v>
      </c>
      <c r="AK79" s="225">
        <v>2327.0337</v>
      </c>
      <c r="AL79" s="33">
        <v>3</v>
      </c>
      <c r="AM79" s="204">
        <v>2327.0337</v>
      </c>
      <c r="AN79" s="196"/>
      <c r="AO79" s="23"/>
      <c r="AP79" s="23"/>
      <c r="AQ79" s="23"/>
      <c r="AR79" s="23"/>
      <c r="AS79" s="23"/>
      <c r="AT79" s="23"/>
      <c r="AU79" s="23"/>
      <c r="AV79" s="23"/>
      <c r="AW79" s="23"/>
      <c r="AX79" s="23"/>
      <c r="AY79" s="23"/>
      <c r="AZ79" s="196"/>
      <c r="BA79" s="70">
        <f>IF(VLOOKUP($D79,$AO$14:AQ$19,COLUMN()-50,0)&lt;=0,1,IF($Q79&lt;0,1,ROUNDUP(IF($Q79*('Draft Center'!$L$28+'Draft Center'!$L$78-'Draft Center'!$L$82)&lt;1,1,$Q79*('Draft Center'!$L$28+'Draft Center'!$L$78-'Draft Center'!$L$82)),0)))</f>
        <v>3</v>
      </c>
      <c r="BB79" s="70">
        <f>IF(VLOOKUP($D79,$AO$14:AR$19,COLUMN()-50,0)&lt;=0,1,IF($Q79&lt;0,1,ROUNDUP(IF($Q79*('Draft Center'!$L$28+'Draft Center'!$L$78-'Draft Center'!$L$82)&lt;1,1,$Q79*('Draft Center'!$L$28+'Draft Center'!$L$78-'Draft Center'!$L$82)),0)))</f>
        <v>3</v>
      </c>
      <c r="BC79" s="70">
        <f>IF(VLOOKUP($D79,$AO$14:AS$19,COLUMN()-50,0)&lt;=0,1,IF($Q79&lt;0,1,ROUNDUP(IF($Q79*('Draft Center'!$L$28+'Draft Center'!$L$78-'Draft Center'!$L$82)&lt;1,1,$Q79*('Draft Center'!$L$28+'Draft Center'!$L$78-'Draft Center'!$L$82)),0)))</f>
        <v>3</v>
      </c>
      <c r="BD79" s="70">
        <f>IF(VLOOKUP($D79,$AO$14:AT$19,COLUMN()-50,0)&lt;=0,1,IF($Q79&lt;0,1,ROUNDUP(IF($Q79*('Draft Center'!$L$28+'Draft Center'!$L$78-'Draft Center'!$L$82)&lt;1,1,$Q79*('Draft Center'!$L$28+'Draft Center'!$L$78-'Draft Center'!$L$82)),0)))</f>
        <v>3</v>
      </c>
      <c r="BE79" s="70">
        <f>IF(VLOOKUP($D79,$AO$14:AU$19,COLUMN()-50,0)&lt;=0,1,IF($Q79&lt;0,1,ROUNDUP(IF($Q79*('Draft Center'!$L$28+'Draft Center'!$L$78-'Draft Center'!$L$82)&lt;1,1,$Q79*('Draft Center'!$L$28+'Draft Center'!$L$78-'Draft Center'!$L$82)),0)))</f>
        <v>3</v>
      </c>
      <c r="BF79" s="70">
        <f>IF(VLOOKUP($D79,$AO$14:AV$19,COLUMN()-50,0)&lt;=0,1,IF($Q79&lt;0,1,ROUNDUP(IF($Q79*('Draft Center'!$L$28+'Draft Center'!$L$78-'Draft Center'!$L$82)&lt;1,1,$Q79*('Draft Center'!$L$28+'Draft Center'!$L$78-'Draft Center'!$L$82)),0)))</f>
        <v>3</v>
      </c>
      <c r="BG79" s="70">
        <f>IF(VLOOKUP($D79,$AO$14:AW$19,COLUMN()-50,0)&lt;=0,1,IF($Q79&lt;0,1,ROUNDUP(IF($Q79*('Draft Center'!$L$28+'Draft Center'!$L$78-'Draft Center'!$L$82)&lt;1,1,$Q79*('Draft Center'!$L$28+'Draft Center'!$L$78-'Draft Center'!$L$82)),0)))</f>
        <v>3</v>
      </c>
      <c r="BH79" s="70">
        <f>IF(VLOOKUP($D79,$AO$14:AX$19,COLUMN()-50,0)&lt;=0,1,IF($Q79&lt;0,1,ROUNDUP(IF($Q79*('Draft Center'!$L$28+'Draft Center'!$L$78-'Draft Center'!$L$82)&lt;1,1,$Q79*('Draft Center'!$L$28+'Draft Center'!$L$78-'Draft Center'!$L$82)),0)))</f>
        <v>3</v>
      </c>
      <c r="BI79" s="70">
        <f>IF(VLOOKUP($D79,$AO$14:AY$19,COLUMN()-50,0)&lt;=0,1,IF($Q79&lt;0,1,ROUNDUP(IF($Q79*('Draft Center'!$L$28+'Draft Center'!$L$78-'Draft Center'!$L$82)&lt;1,1,$Q79*('Draft Center'!$L$28+'Draft Center'!$L$78-'Draft Center'!$L$82)),0)))</f>
        <v>3</v>
      </c>
      <c r="BJ79" s="196"/>
      <c r="BK79" s="23">
        <v>0</v>
      </c>
      <c r="BL79" s="23" t="str">
        <f t="shared" si="49"/>
        <v/>
      </c>
      <c r="BM79" s="23">
        <v>0</v>
      </c>
      <c r="BN79" s="23" t="str">
        <f t="shared" si="49"/>
        <v/>
      </c>
      <c r="BO79" s="23" t="str">
        <f t="shared" si="49"/>
        <v/>
      </c>
      <c r="BP79" s="23">
        <f t="shared" si="49"/>
        <v>0</v>
      </c>
      <c r="BQ79" s="23" t="str">
        <f t="shared" si="49"/>
        <v/>
      </c>
      <c r="BR79" s="23">
        <f t="shared" si="42"/>
        <v>0</v>
      </c>
      <c r="BS79" s="23">
        <f t="shared" si="43"/>
        <v>0</v>
      </c>
      <c r="BT79" s="70">
        <v>3</v>
      </c>
      <c r="BU79" s="58">
        <v>2327.0337</v>
      </c>
      <c r="BV79" s="33">
        <v>3</v>
      </c>
      <c r="BW79" s="204">
        <v>2327.0337</v>
      </c>
      <c r="BX79" s="23"/>
      <c r="BY79" s="70">
        <v>3</v>
      </c>
      <c r="BZ79" s="70">
        <v>1.2</v>
      </c>
      <c r="CA79" s="70">
        <v>1.2</v>
      </c>
      <c r="CB79" s="70">
        <v>1.2</v>
      </c>
      <c r="CC79" s="70">
        <f t="shared" si="46"/>
        <v>1.2</v>
      </c>
      <c r="CD79" s="70">
        <f t="shared" si="47"/>
        <v>1.2</v>
      </c>
    </row>
    <row r="80" spans="1:82" ht="15.75" customHeight="1" thickBot="1" x14ac:dyDescent="0.3">
      <c r="A80" s="9">
        <v>79</v>
      </c>
      <c r="B80" s="10" t="s">
        <v>897</v>
      </c>
      <c r="C80" s="10" t="s">
        <v>83</v>
      </c>
      <c r="D80" s="10" t="s">
        <v>17</v>
      </c>
      <c r="E80" s="51">
        <v>3.4963007912148201</v>
      </c>
      <c r="F80" s="51">
        <v>216.27421706056401</v>
      </c>
      <c r="G80" s="51">
        <v>240.76675019866201</v>
      </c>
      <c r="H80" s="51">
        <v>182.861802520163</v>
      </c>
      <c r="I80" s="11">
        <v>14</v>
      </c>
      <c r="J80" s="51">
        <v>6.2827336132591602</v>
      </c>
      <c r="K80" s="249">
        <f>IFERROR(VLOOKUP(C80,Schedule!$T$3:$U$34,2,0),"FA")</f>
        <v>5</v>
      </c>
      <c r="L80" s="10" t="str">
        <f>D80&amp;COUNTIF(D$2:$D80,D80)</f>
        <v>WR23</v>
      </c>
      <c r="M80" s="51">
        <f t="array" ref="M80">IFERROR(F80-AVERAGE(VLOOKUP(D80,$D81:$F$885,3,0),INDEX($F81:$F$885,SMALL(IF(D80=$D81:$D$885,ROW($D81:$D$885)-ROW(D80)),2))),0)</f>
        <v>1.3292012421350137</v>
      </c>
      <c r="N80" s="51">
        <f>IFERROR(IF(VLOOKUP($B80,Input!$AC$2:$AC$162,1,0)=$B80,0),F80)</f>
        <v>216.27421706056401</v>
      </c>
      <c r="O80" s="51">
        <f>IFERROR(IF(VLOOKUP($B80,Input!$AC$2:$AC$162,1,0)=$B80,0,G80),G80)</f>
        <v>240.76675019866201</v>
      </c>
      <c r="P80" s="51">
        <f>IF(N80=0,0,F80-AVERAGE(INDEX(F:F,MATCH(VLOOKUP(D80,Input!$A$14:$L$22,10,0),L:L,0)),INDEX(F:F,MATCH(VLOOKUP(D80,Input!$A$14:$L$22,11,0),L:L,0)),INDEX(F:F,MATCH(VLOOKUP(D80,Input!$A$14:$L$22,12,0),L:L,0)))+(0.01-ROW()*0.01))</f>
        <v>2.7063007912149919</v>
      </c>
      <c r="Q80" s="107">
        <f t="shared" si="38"/>
        <v>9.3365466900030916E-4</v>
      </c>
      <c r="R80" s="11">
        <f>IF(VLOOKUP($D80,$X$14:$Y$19,2,0)&lt;=0,1,IF(Q80&lt;0,1,ROUNDUP(IF(Q80*('Draft Center'!$L$28+'Draft Center'!$L$78-'Draft Center'!$L$82)&lt;1,1,Q80*('Draft Center'!$L$28+'Draft Center'!$L$78-'Draft Center'!$L$82)),0)))</f>
        <v>2</v>
      </c>
      <c r="S80" s="11">
        <f>IF(A80&lt;Input!$B$10+0.1,IF(ROUNDUP(R80*Input!$C$10,0)=0,1,ROUNDUP(R80*Input!$C$10,0)),IF(A80&gt;Input!$B$11,IF(ROUNDUP(R80*Input!$C$11,0)=0,1,ROUNDUP(R80*Input!$C$11,0)),IF(ROUNDUP(R80,0)=0,1,ROUNDUP(R80,0))))</f>
        <v>2</v>
      </c>
      <c r="T80" s="11">
        <f t="shared" si="39"/>
        <v>2</v>
      </c>
      <c r="U80" s="11">
        <f>IFERROR(VLOOKUP($B80,Input!$AC$2:$AE$161,3,0),0)</f>
        <v>0</v>
      </c>
      <c r="V80" s="257">
        <f t="shared" si="44"/>
        <v>-0.85634285714285707</v>
      </c>
      <c r="W80" s="264">
        <f t="shared" si="45"/>
        <v>-11.9992</v>
      </c>
      <c r="X80" s="27"/>
      <c r="Y80" s="23"/>
      <c r="Z80" s="23"/>
      <c r="AA80" s="23">
        <v>1</v>
      </c>
      <c r="AB80" s="23" t="str">
        <f t="shared" si="48"/>
        <v/>
      </c>
      <c r="AC80" s="23" t="str">
        <f t="shared" si="48"/>
        <v/>
      </c>
      <c r="AD80" s="23">
        <f t="shared" si="48"/>
        <v>1</v>
      </c>
      <c r="AE80" s="23" t="str">
        <f t="shared" si="48"/>
        <v/>
      </c>
      <c r="AF80" s="23" t="str">
        <f t="shared" si="48"/>
        <v/>
      </c>
      <c r="AG80" s="23" t="str">
        <f t="shared" si="48"/>
        <v/>
      </c>
      <c r="AH80" s="23">
        <f t="shared" si="40"/>
        <v>1</v>
      </c>
      <c r="AI80" s="23" t="str">
        <f t="shared" si="41"/>
        <v>Terrelle Pryor</v>
      </c>
      <c r="AJ80" s="69">
        <v>2</v>
      </c>
      <c r="AK80" s="225">
        <v>2327.0337</v>
      </c>
      <c r="AL80" s="33">
        <v>2</v>
      </c>
      <c r="AM80" s="204">
        <v>2327.0337</v>
      </c>
      <c r="AN80" s="196"/>
      <c r="AO80" s="23"/>
      <c r="AP80" s="23"/>
      <c r="AQ80" s="23"/>
      <c r="AR80" s="23"/>
      <c r="AS80" s="23"/>
      <c r="AT80" s="23"/>
      <c r="AU80" s="23"/>
      <c r="AV80" s="23"/>
      <c r="AW80" s="23"/>
      <c r="AX80" s="23"/>
      <c r="AY80" s="23"/>
      <c r="AZ80" s="196"/>
      <c r="BA80" s="69">
        <f>IF(VLOOKUP($D80,$AO$14:AQ$19,COLUMN()-50,0)&lt;=0,1,IF($Q80&lt;0,1,ROUNDUP(IF($Q80*('Draft Center'!$L$28+'Draft Center'!$L$78-'Draft Center'!$L$82)&lt;1,1,$Q80*('Draft Center'!$L$28+'Draft Center'!$L$78-'Draft Center'!$L$82)),0)))</f>
        <v>2</v>
      </c>
      <c r="BB80" s="69">
        <f>IF(VLOOKUP($D80,$AO$14:AR$19,COLUMN()-50,0)&lt;=0,1,IF($Q80&lt;0,1,ROUNDUP(IF($Q80*('Draft Center'!$L$28+'Draft Center'!$L$78-'Draft Center'!$L$82)&lt;1,1,$Q80*('Draft Center'!$L$28+'Draft Center'!$L$78-'Draft Center'!$L$82)),0)))</f>
        <v>2</v>
      </c>
      <c r="BC80" s="69">
        <f>IF(VLOOKUP($D80,$AO$14:AS$19,COLUMN()-50,0)&lt;=0,1,IF($Q80&lt;0,1,ROUNDUP(IF($Q80*('Draft Center'!$L$28+'Draft Center'!$L$78-'Draft Center'!$L$82)&lt;1,1,$Q80*('Draft Center'!$L$28+'Draft Center'!$L$78-'Draft Center'!$L$82)),0)))</f>
        <v>2</v>
      </c>
      <c r="BD80" s="69">
        <f>IF(VLOOKUP($D80,$AO$14:AT$19,COLUMN()-50,0)&lt;=0,1,IF($Q80&lt;0,1,ROUNDUP(IF($Q80*('Draft Center'!$L$28+'Draft Center'!$L$78-'Draft Center'!$L$82)&lt;1,1,$Q80*('Draft Center'!$L$28+'Draft Center'!$L$78-'Draft Center'!$L$82)),0)))</f>
        <v>2</v>
      </c>
      <c r="BE80" s="69">
        <f>IF(VLOOKUP($D80,$AO$14:AU$19,COLUMN()-50,0)&lt;=0,1,IF($Q80&lt;0,1,ROUNDUP(IF($Q80*('Draft Center'!$L$28+'Draft Center'!$L$78-'Draft Center'!$L$82)&lt;1,1,$Q80*('Draft Center'!$L$28+'Draft Center'!$L$78-'Draft Center'!$L$82)),0)))</f>
        <v>2</v>
      </c>
      <c r="BF80" s="69">
        <f>IF(VLOOKUP($D80,$AO$14:AV$19,COLUMN()-50,0)&lt;=0,1,IF($Q80&lt;0,1,ROUNDUP(IF($Q80*('Draft Center'!$L$28+'Draft Center'!$L$78-'Draft Center'!$L$82)&lt;1,1,$Q80*('Draft Center'!$L$28+'Draft Center'!$L$78-'Draft Center'!$L$82)),0)))</f>
        <v>2</v>
      </c>
      <c r="BG80" s="69">
        <f>IF(VLOOKUP($D80,$AO$14:AW$19,COLUMN()-50,0)&lt;=0,1,IF($Q80&lt;0,1,ROUNDUP(IF($Q80*('Draft Center'!$L$28+'Draft Center'!$L$78-'Draft Center'!$L$82)&lt;1,1,$Q80*('Draft Center'!$L$28+'Draft Center'!$L$78-'Draft Center'!$L$82)),0)))</f>
        <v>2</v>
      </c>
      <c r="BH80" s="69">
        <f>IF(VLOOKUP($D80,$AO$14:AX$19,COLUMN()-50,0)&lt;=0,1,IF($Q80&lt;0,1,ROUNDUP(IF($Q80*('Draft Center'!$L$28+'Draft Center'!$L$78-'Draft Center'!$L$82)&lt;1,1,$Q80*('Draft Center'!$L$28+'Draft Center'!$L$78-'Draft Center'!$L$82)),0)))</f>
        <v>2</v>
      </c>
      <c r="BI80" s="69">
        <f>IF(VLOOKUP($D80,$AO$14:AY$19,COLUMN()-50,0)&lt;=0,1,IF($Q80&lt;0,1,ROUNDUP(IF($Q80*('Draft Center'!$L$28+'Draft Center'!$L$78-'Draft Center'!$L$82)&lt;1,1,$Q80*('Draft Center'!$L$28+'Draft Center'!$L$78-'Draft Center'!$L$82)),0)))</f>
        <v>2</v>
      </c>
      <c r="BJ80" s="196"/>
      <c r="BK80" s="23">
        <v>0</v>
      </c>
      <c r="BL80" s="23" t="str">
        <f t="shared" si="49"/>
        <v/>
      </c>
      <c r="BM80" s="23">
        <v>0</v>
      </c>
      <c r="BN80" s="23">
        <f t="shared" si="49"/>
        <v>0</v>
      </c>
      <c r="BO80" s="23" t="str">
        <f t="shared" si="49"/>
        <v/>
      </c>
      <c r="BP80" s="23" t="str">
        <f t="shared" si="49"/>
        <v/>
      </c>
      <c r="BQ80" s="23" t="str">
        <f t="shared" si="49"/>
        <v/>
      </c>
      <c r="BR80" s="23">
        <f t="shared" si="42"/>
        <v>0</v>
      </c>
      <c r="BS80" s="23">
        <f t="shared" si="43"/>
        <v>0</v>
      </c>
      <c r="BT80" s="69">
        <v>2</v>
      </c>
      <c r="BU80" s="58">
        <v>2327.0337</v>
      </c>
      <c r="BV80" s="33">
        <v>2</v>
      </c>
      <c r="BW80" s="204">
        <v>2327.0337</v>
      </c>
      <c r="BX80" s="23"/>
      <c r="BY80" s="69">
        <v>2</v>
      </c>
      <c r="BZ80" s="69">
        <v>14</v>
      </c>
      <c r="CA80" s="69">
        <v>14</v>
      </c>
      <c r="CB80" s="69">
        <v>14</v>
      </c>
      <c r="CC80" s="69">
        <f t="shared" si="46"/>
        <v>14</v>
      </c>
      <c r="CD80" s="69">
        <f t="shared" si="47"/>
        <v>14</v>
      </c>
    </row>
    <row r="81" spans="1:82" ht="15.75" customHeight="1" thickBot="1" x14ac:dyDescent="0.3">
      <c r="A81" s="6">
        <v>80</v>
      </c>
      <c r="B81" s="7" t="s">
        <v>55</v>
      </c>
      <c r="C81" s="7" t="s">
        <v>47</v>
      </c>
      <c r="D81" s="7" t="s">
        <v>17</v>
      </c>
      <c r="E81" s="50">
        <v>3.2792768050878198</v>
      </c>
      <c r="F81" s="50">
        <v>216.05719307443701</v>
      </c>
      <c r="G81" s="50">
        <v>235.776602937641</v>
      </c>
      <c r="H81" s="50">
        <v>181.20025008029299</v>
      </c>
      <c r="I81" s="8">
        <v>28.5</v>
      </c>
      <c r="J81" s="50">
        <v>4.1441852915922297</v>
      </c>
      <c r="K81" s="248">
        <f>IFERROR(VLOOKUP(C81,Schedule!$T$3:$U$34,2,0),"FA")</f>
        <v>10</v>
      </c>
      <c r="L81" s="7" t="str">
        <f>D81&amp;COUNTIF(D$2:$D81,D81)</f>
        <v>WR24</v>
      </c>
      <c r="M81" s="50">
        <f t="array" ref="M81">IFERROR(F81-AVERAGE(VLOOKUP(D81,$D82:$F$885,3,0),INDEX($F82:$F$885,SMALL(IF(D81=$D82:$D$885,ROW($D82:$D$885)-ROW(D81)),2))),0)</f>
        <v>2.2926641434555108</v>
      </c>
      <c r="N81" s="50">
        <f>IFERROR(IF(VLOOKUP($B81,Input!$AC$2:$AC$162,1,0)=$B81,0),F81)</f>
        <v>216.05719307443701</v>
      </c>
      <c r="O81" s="50">
        <f>IFERROR(IF(VLOOKUP($B81,Input!$AC$2:$AC$162,1,0)=$B81,0,G81),G81)</f>
        <v>235.776602937641</v>
      </c>
      <c r="P81" s="50">
        <f>IF(N81=0,0,F81-AVERAGE(INDEX(F:F,MATCH(VLOOKUP(D81,Input!$A$14:$L$22,10,0),L:L,0)),INDEX(F:F,MATCH(VLOOKUP(D81,Input!$A$14:$L$22,11,0),L:L,0)),INDEX(F:F,MATCH(VLOOKUP(D81,Input!$A$14:$L$22,12,0),L:L,0)))+(0.01-ROW()*0.01))</f>
        <v>2.4792768050879888</v>
      </c>
      <c r="Q81" s="106">
        <f t="shared" si="38"/>
        <v>8.5533299636488208E-4</v>
      </c>
      <c r="R81" s="8">
        <f>IF(VLOOKUP($D81,$X$14:$Y$19,2,0)&lt;=0,1,IF(Q81&lt;0,1,ROUNDUP(IF(Q81*('Draft Center'!$L$28+'Draft Center'!$L$78-'Draft Center'!$L$82)&lt;1,1,Q81*('Draft Center'!$L$28+'Draft Center'!$L$78-'Draft Center'!$L$82)),0)))</f>
        <v>2</v>
      </c>
      <c r="S81" s="8">
        <f>IF(A81&lt;Input!$B$10+0.1,IF(ROUNDUP(R81*Input!$C$10,0)=0,1,ROUNDUP(R81*Input!$C$10,0)),IF(A81&gt;Input!$B$11,IF(ROUNDUP(R81*Input!$C$11,0)=0,1,ROUNDUP(R81*Input!$C$11,0)),IF(ROUNDUP(R81,0)=0,1,ROUNDUP(R81,0))))</f>
        <v>2</v>
      </c>
      <c r="T81" s="8">
        <f t="shared" si="39"/>
        <v>2</v>
      </c>
      <c r="U81" s="8">
        <f>IFERROR(VLOOKUP($B81,Input!$AC$2:$AE$161,3,0),0)</f>
        <v>0</v>
      </c>
      <c r="V81" s="256">
        <f t="shared" si="44"/>
        <v>-0.9290145614035088</v>
      </c>
      <c r="W81" s="263">
        <f t="shared" si="45"/>
        <v>-26.499189999999999</v>
      </c>
      <c r="X81" s="27"/>
      <c r="Y81" s="23"/>
      <c r="Z81" s="23"/>
      <c r="AA81" s="23">
        <v>0</v>
      </c>
      <c r="AB81" s="23" t="str">
        <f t="shared" si="48"/>
        <v/>
      </c>
      <c r="AC81" s="23" t="str">
        <f t="shared" si="48"/>
        <v/>
      </c>
      <c r="AD81" s="23">
        <f t="shared" si="48"/>
        <v>0</v>
      </c>
      <c r="AE81" s="23" t="str">
        <f t="shared" si="48"/>
        <v/>
      </c>
      <c r="AF81" s="23" t="str">
        <f t="shared" si="48"/>
        <v/>
      </c>
      <c r="AG81" s="23" t="str">
        <f t="shared" si="48"/>
        <v/>
      </c>
      <c r="AH81" s="23">
        <f t="shared" si="40"/>
        <v>0</v>
      </c>
      <c r="AI81" s="23">
        <f t="shared" si="41"/>
        <v>0</v>
      </c>
      <c r="AJ81" s="70">
        <v>2</v>
      </c>
      <c r="AK81" s="225">
        <v>2327.0337</v>
      </c>
      <c r="AL81" s="33">
        <v>2</v>
      </c>
      <c r="AM81" s="204">
        <v>2327.0337</v>
      </c>
      <c r="AN81" s="196"/>
      <c r="AO81" s="23"/>
      <c r="AP81" s="23"/>
      <c r="AQ81" s="23"/>
      <c r="AR81" s="23"/>
      <c r="AS81" s="23"/>
      <c r="AT81" s="23"/>
      <c r="AU81" s="23"/>
      <c r="AV81" s="23"/>
      <c r="AW81" s="23"/>
      <c r="AX81" s="23"/>
      <c r="AY81" s="23"/>
      <c r="AZ81" s="196"/>
      <c r="BA81" s="70">
        <f>IF(VLOOKUP($D81,$AO$14:AQ$19,COLUMN()-50,0)&lt;=0,1,IF($Q81&lt;0,1,ROUNDUP(IF($Q81*('Draft Center'!$L$28+'Draft Center'!$L$78-'Draft Center'!$L$82)&lt;1,1,$Q81*('Draft Center'!$L$28+'Draft Center'!$L$78-'Draft Center'!$L$82)),0)))</f>
        <v>2</v>
      </c>
      <c r="BB81" s="70">
        <f>IF(VLOOKUP($D81,$AO$14:AR$19,COLUMN()-50,0)&lt;=0,1,IF($Q81&lt;0,1,ROUNDUP(IF($Q81*('Draft Center'!$L$28+'Draft Center'!$L$78-'Draft Center'!$L$82)&lt;1,1,$Q81*('Draft Center'!$L$28+'Draft Center'!$L$78-'Draft Center'!$L$82)),0)))</f>
        <v>2</v>
      </c>
      <c r="BC81" s="70">
        <f>IF(VLOOKUP($D81,$AO$14:AS$19,COLUMN()-50,0)&lt;=0,1,IF($Q81&lt;0,1,ROUNDUP(IF($Q81*('Draft Center'!$L$28+'Draft Center'!$L$78-'Draft Center'!$L$82)&lt;1,1,$Q81*('Draft Center'!$L$28+'Draft Center'!$L$78-'Draft Center'!$L$82)),0)))</f>
        <v>2</v>
      </c>
      <c r="BD81" s="70">
        <f>IF(VLOOKUP($D81,$AO$14:AT$19,COLUMN()-50,0)&lt;=0,1,IF($Q81&lt;0,1,ROUNDUP(IF($Q81*('Draft Center'!$L$28+'Draft Center'!$L$78-'Draft Center'!$L$82)&lt;1,1,$Q81*('Draft Center'!$L$28+'Draft Center'!$L$78-'Draft Center'!$L$82)),0)))</f>
        <v>2</v>
      </c>
      <c r="BE81" s="70">
        <f>IF(VLOOKUP($D81,$AO$14:AU$19,COLUMN()-50,0)&lt;=0,1,IF($Q81&lt;0,1,ROUNDUP(IF($Q81*('Draft Center'!$L$28+'Draft Center'!$L$78-'Draft Center'!$L$82)&lt;1,1,$Q81*('Draft Center'!$L$28+'Draft Center'!$L$78-'Draft Center'!$L$82)),0)))</f>
        <v>2</v>
      </c>
      <c r="BF81" s="70">
        <f>IF(VLOOKUP($D81,$AO$14:AV$19,COLUMN()-50,0)&lt;=0,1,IF($Q81&lt;0,1,ROUNDUP(IF($Q81*('Draft Center'!$L$28+'Draft Center'!$L$78-'Draft Center'!$L$82)&lt;1,1,$Q81*('Draft Center'!$L$28+'Draft Center'!$L$78-'Draft Center'!$L$82)),0)))</f>
        <v>2</v>
      </c>
      <c r="BG81" s="70">
        <f>IF(VLOOKUP($D81,$AO$14:AW$19,COLUMN()-50,0)&lt;=0,1,IF($Q81&lt;0,1,ROUNDUP(IF($Q81*('Draft Center'!$L$28+'Draft Center'!$L$78-'Draft Center'!$L$82)&lt;1,1,$Q81*('Draft Center'!$L$28+'Draft Center'!$L$78-'Draft Center'!$L$82)),0)))</f>
        <v>2</v>
      </c>
      <c r="BH81" s="70">
        <f>IF(VLOOKUP($D81,$AO$14:AX$19,COLUMN()-50,0)&lt;=0,1,IF($Q81&lt;0,1,ROUNDUP(IF($Q81*('Draft Center'!$L$28+'Draft Center'!$L$78-'Draft Center'!$L$82)&lt;1,1,$Q81*('Draft Center'!$L$28+'Draft Center'!$L$78-'Draft Center'!$L$82)),0)))</f>
        <v>2</v>
      </c>
      <c r="BI81" s="70">
        <f>IF(VLOOKUP($D81,$AO$14:AY$19,COLUMN()-50,0)&lt;=0,1,IF($Q81&lt;0,1,ROUNDUP(IF($Q81*('Draft Center'!$L$28+'Draft Center'!$L$78-'Draft Center'!$L$82)&lt;1,1,$Q81*('Draft Center'!$L$28+'Draft Center'!$L$78-'Draft Center'!$L$82)),0)))</f>
        <v>2</v>
      </c>
      <c r="BJ81" s="196"/>
      <c r="BK81" s="23">
        <v>0</v>
      </c>
      <c r="BL81" s="23" t="str">
        <f t="shared" si="49"/>
        <v/>
      </c>
      <c r="BM81" s="23">
        <v>0</v>
      </c>
      <c r="BN81" s="23">
        <f t="shared" si="49"/>
        <v>0</v>
      </c>
      <c r="BO81" s="23" t="str">
        <f t="shared" si="49"/>
        <v/>
      </c>
      <c r="BP81" s="23" t="str">
        <f t="shared" si="49"/>
        <v/>
      </c>
      <c r="BQ81" s="23" t="str">
        <f t="shared" si="49"/>
        <v/>
      </c>
      <c r="BR81" s="23">
        <f t="shared" si="42"/>
        <v>0</v>
      </c>
      <c r="BS81" s="23">
        <f t="shared" si="43"/>
        <v>0</v>
      </c>
      <c r="BT81" s="70">
        <v>2</v>
      </c>
      <c r="BU81" s="58">
        <v>2327.0337</v>
      </c>
      <c r="BV81" s="33">
        <v>2</v>
      </c>
      <c r="BW81" s="204">
        <v>2327.0337</v>
      </c>
      <c r="BX81" s="23"/>
      <c r="BY81" s="70">
        <v>2</v>
      </c>
      <c r="BZ81" s="70">
        <v>28.5</v>
      </c>
      <c r="CA81" s="70">
        <v>28.5</v>
      </c>
      <c r="CB81" s="70">
        <v>28.5</v>
      </c>
      <c r="CC81" s="70">
        <f t="shared" si="46"/>
        <v>28.5</v>
      </c>
      <c r="CD81" s="70">
        <f t="shared" si="47"/>
        <v>28.5</v>
      </c>
    </row>
    <row r="82" spans="1:82" ht="15.75" customHeight="1" thickBot="1" x14ac:dyDescent="0.3">
      <c r="A82" s="9">
        <v>81</v>
      </c>
      <c r="B82" s="10" t="s">
        <v>226</v>
      </c>
      <c r="C82" s="10" t="s">
        <v>57</v>
      </c>
      <c r="D82" s="10" t="s">
        <v>53</v>
      </c>
      <c r="E82" s="51">
        <v>2.8777987610703799</v>
      </c>
      <c r="F82" s="51">
        <v>275.22544239390601</v>
      </c>
      <c r="G82" s="51">
        <v>287.335655382705</v>
      </c>
      <c r="H82" s="51">
        <v>216.262</v>
      </c>
      <c r="I82" s="11">
        <v>2.9</v>
      </c>
      <c r="J82" s="51">
        <v>5.2950715744125496</v>
      </c>
      <c r="K82" s="249">
        <f>IFERROR(VLOOKUP(C82,Schedule!$T$3:$U$34,2,0),"FA")</f>
        <v>11</v>
      </c>
      <c r="L82" s="10" t="str">
        <f>D82&amp;COUNTIF(D$2:$D82,D82)</f>
        <v>QB8</v>
      </c>
      <c r="M82" s="51">
        <f t="array" ref="M82">IFERROR(F82-AVERAGE(VLOOKUP(D82,$D83:$F$885,3,0),INDEX($F83:$F$885,SMALL(IF(D82=$D83:$D$885,ROW($D83:$D$885)-ROW(D82)),2))),0)</f>
        <v>1.2651523245424983</v>
      </c>
      <c r="N82" s="51">
        <f>IFERROR(IF(VLOOKUP($B82,Input!$AC$2:$AC$162,1,0)=$B82,0),F82)</f>
        <v>275.22544239390601</v>
      </c>
      <c r="O82" s="51">
        <f>IFERROR(IF(VLOOKUP($B82,Input!$AC$2:$AC$162,1,0)=$B82,0,G82),G82)</f>
        <v>287.335655382705</v>
      </c>
      <c r="P82" s="51">
        <f>IF(N82=0,0,F82-AVERAGE(INDEX(F:F,MATCH(VLOOKUP(D82,Input!$A$14:$L$22,10,0),L:L,0)),INDEX(F:F,MATCH(VLOOKUP(D82,Input!$A$14:$L$22,11,0),L:L,0)),INDEX(F:F,MATCH(VLOOKUP(D82,Input!$A$14:$L$22,12,0),L:L,0)))+(0.01-ROW()*0.01))</f>
        <v>2.0677987610703803</v>
      </c>
      <c r="Q82" s="107">
        <f t="shared" si="38"/>
        <v>7.1337597583144823E-4</v>
      </c>
      <c r="R82" s="11">
        <f>IF(VLOOKUP($D82,$X$14:$Y$19,2,0)&lt;=0,1,IF(Q82&lt;0,1,ROUNDUP(IF(Q82*('Draft Center'!$L$28+'Draft Center'!$L$78-'Draft Center'!$L$82)&lt;1,1,Q82*('Draft Center'!$L$28+'Draft Center'!$L$78-'Draft Center'!$L$82)),0)))</f>
        <v>2</v>
      </c>
      <c r="S82" s="11">
        <f>IF(A82&lt;Input!$B$10+0.1,IF(ROUNDUP(R82*Input!$C$10,0)=0,1,ROUNDUP(R82*Input!$C$10,0)),IF(A82&gt;Input!$B$11,IF(ROUNDUP(R82*Input!$C$11,0)=0,1,ROUNDUP(R82*Input!$C$11,0)),IF(ROUNDUP(R82,0)=0,1,ROUNDUP(R82,0))))</f>
        <v>2</v>
      </c>
      <c r="T82" s="11">
        <f t="shared" si="39"/>
        <v>2</v>
      </c>
      <c r="U82" s="11">
        <f>IFERROR(VLOOKUP($B82,Input!$AC$2:$AE$161,3,0),0)</f>
        <v>0</v>
      </c>
      <c r="V82" s="257">
        <f t="shared" si="44"/>
        <v>-0.30952482758620686</v>
      </c>
      <c r="W82" s="264">
        <f t="shared" si="45"/>
        <v>-0.89917999999999987</v>
      </c>
      <c r="X82" s="27"/>
      <c r="Y82" s="23"/>
      <c r="Z82" s="23"/>
      <c r="AA82" s="23">
        <v>0</v>
      </c>
      <c r="AB82" s="23">
        <f t="shared" ref="AB82:AG91" si="50">IF($D82=AB$1,1*$AA82,"")</f>
        <v>0</v>
      </c>
      <c r="AC82" s="23" t="str">
        <f t="shared" si="50"/>
        <v/>
      </c>
      <c r="AD82" s="23" t="str">
        <f t="shared" si="50"/>
        <v/>
      </c>
      <c r="AE82" s="23" t="str">
        <f t="shared" si="50"/>
        <v/>
      </c>
      <c r="AF82" s="23" t="str">
        <f t="shared" si="50"/>
        <v/>
      </c>
      <c r="AG82" s="23" t="str">
        <f t="shared" si="50"/>
        <v/>
      </c>
      <c r="AH82" s="23">
        <f t="shared" si="40"/>
        <v>0</v>
      </c>
      <c r="AI82" s="23">
        <f t="shared" si="41"/>
        <v>0</v>
      </c>
      <c r="AJ82" s="69">
        <v>2</v>
      </c>
      <c r="AK82" s="225">
        <v>2327.0337</v>
      </c>
      <c r="AL82" s="33">
        <v>2</v>
      </c>
      <c r="AM82" s="204">
        <v>2327.0337</v>
      </c>
      <c r="AN82" s="196"/>
      <c r="AO82" s="23"/>
      <c r="AP82" s="23"/>
      <c r="AQ82" s="23"/>
      <c r="AR82" s="23"/>
      <c r="AS82" s="23"/>
      <c r="AT82" s="23"/>
      <c r="AU82" s="23"/>
      <c r="AV82" s="23"/>
      <c r="AW82" s="23"/>
      <c r="AX82" s="23"/>
      <c r="AY82" s="23"/>
      <c r="AZ82" s="196"/>
      <c r="BA82" s="69">
        <f>IF(VLOOKUP($D82,$AO$14:AQ$19,COLUMN()-50,0)&lt;=0,1,IF($Q82&lt;0,1,ROUNDUP(IF($Q82*('Draft Center'!$L$28+'Draft Center'!$L$78-'Draft Center'!$L$82)&lt;1,1,$Q82*('Draft Center'!$L$28+'Draft Center'!$L$78-'Draft Center'!$L$82)),0)))</f>
        <v>2</v>
      </c>
      <c r="BB82" s="69">
        <f>IF(VLOOKUP($D82,$AO$14:AR$19,COLUMN()-50,0)&lt;=0,1,IF($Q82&lt;0,1,ROUNDUP(IF($Q82*('Draft Center'!$L$28+'Draft Center'!$L$78-'Draft Center'!$L$82)&lt;1,1,$Q82*('Draft Center'!$L$28+'Draft Center'!$L$78-'Draft Center'!$L$82)),0)))</f>
        <v>2</v>
      </c>
      <c r="BC82" s="69">
        <f>IF(VLOOKUP($D82,$AO$14:AS$19,COLUMN()-50,0)&lt;=0,1,IF($Q82&lt;0,1,ROUNDUP(IF($Q82*('Draft Center'!$L$28+'Draft Center'!$L$78-'Draft Center'!$L$82)&lt;1,1,$Q82*('Draft Center'!$L$28+'Draft Center'!$L$78-'Draft Center'!$L$82)),0)))</f>
        <v>2</v>
      </c>
      <c r="BD82" s="69">
        <f>IF(VLOOKUP($D82,$AO$14:AT$19,COLUMN()-50,0)&lt;=0,1,IF($Q82&lt;0,1,ROUNDUP(IF($Q82*('Draft Center'!$L$28+'Draft Center'!$L$78-'Draft Center'!$L$82)&lt;1,1,$Q82*('Draft Center'!$L$28+'Draft Center'!$L$78-'Draft Center'!$L$82)),0)))</f>
        <v>2</v>
      </c>
      <c r="BE82" s="69">
        <f>IF(VLOOKUP($D82,$AO$14:AU$19,COLUMN()-50,0)&lt;=0,1,IF($Q82&lt;0,1,ROUNDUP(IF($Q82*('Draft Center'!$L$28+'Draft Center'!$L$78-'Draft Center'!$L$82)&lt;1,1,$Q82*('Draft Center'!$L$28+'Draft Center'!$L$78-'Draft Center'!$L$82)),0)))</f>
        <v>2</v>
      </c>
      <c r="BF82" s="69">
        <f>IF(VLOOKUP($D82,$AO$14:AV$19,COLUMN()-50,0)&lt;=0,1,IF($Q82&lt;0,1,ROUNDUP(IF($Q82*('Draft Center'!$L$28+'Draft Center'!$L$78-'Draft Center'!$L$82)&lt;1,1,$Q82*('Draft Center'!$L$28+'Draft Center'!$L$78-'Draft Center'!$L$82)),0)))</f>
        <v>2</v>
      </c>
      <c r="BG82" s="69">
        <f>IF(VLOOKUP($D82,$AO$14:AW$19,COLUMN()-50,0)&lt;=0,1,IF($Q82&lt;0,1,ROUNDUP(IF($Q82*('Draft Center'!$L$28+'Draft Center'!$L$78-'Draft Center'!$L$82)&lt;1,1,$Q82*('Draft Center'!$L$28+'Draft Center'!$L$78-'Draft Center'!$L$82)),0)))</f>
        <v>2</v>
      </c>
      <c r="BH82" s="69">
        <f>IF(VLOOKUP($D82,$AO$14:AX$19,COLUMN()-50,0)&lt;=0,1,IF($Q82&lt;0,1,ROUNDUP(IF($Q82*('Draft Center'!$L$28+'Draft Center'!$L$78-'Draft Center'!$L$82)&lt;1,1,$Q82*('Draft Center'!$L$28+'Draft Center'!$L$78-'Draft Center'!$L$82)),0)))</f>
        <v>2</v>
      </c>
      <c r="BI82" s="69">
        <f>IF(VLOOKUP($D82,$AO$14:AY$19,COLUMN()-50,0)&lt;=0,1,IF($Q82&lt;0,1,ROUNDUP(IF($Q82*('Draft Center'!$L$28+'Draft Center'!$L$78-'Draft Center'!$L$82)&lt;1,1,$Q82*('Draft Center'!$L$28+'Draft Center'!$L$78-'Draft Center'!$L$82)),0)))</f>
        <v>2</v>
      </c>
      <c r="BJ82" s="196"/>
      <c r="BK82" s="23">
        <v>0</v>
      </c>
      <c r="BL82" s="23">
        <f t="shared" ref="BL82:BQ91" si="51">IF($D82=BL$1,1*$BK82,"")</f>
        <v>0</v>
      </c>
      <c r="BM82" s="23">
        <v>0</v>
      </c>
      <c r="BN82" s="23" t="str">
        <f t="shared" si="51"/>
        <v/>
      </c>
      <c r="BO82" s="23" t="str">
        <f t="shared" si="51"/>
        <v/>
      </c>
      <c r="BP82" s="23" t="str">
        <f t="shared" si="51"/>
        <v/>
      </c>
      <c r="BQ82" s="23" t="str">
        <f t="shared" si="51"/>
        <v/>
      </c>
      <c r="BR82" s="23">
        <f t="shared" si="42"/>
        <v>0</v>
      </c>
      <c r="BS82" s="23">
        <f t="shared" si="43"/>
        <v>0</v>
      </c>
      <c r="BT82" s="69">
        <v>2</v>
      </c>
      <c r="BU82" s="58">
        <v>2327.0337</v>
      </c>
      <c r="BV82" s="33">
        <v>2</v>
      </c>
      <c r="BW82" s="204">
        <v>2327.0337</v>
      </c>
      <c r="BX82" s="23"/>
      <c r="BY82" s="69">
        <v>2</v>
      </c>
      <c r="BZ82" s="69">
        <v>2.9</v>
      </c>
      <c r="CA82" s="69">
        <v>2.9</v>
      </c>
      <c r="CB82" s="69">
        <v>2.9</v>
      </c>
      <c r="CC82" s="69">
        <f t="shared" si="46"/>
        <v>2.9</v>
      </c>
      <c r="CD82" s="69">
        <f t="shared" si="47"/>
        <v>2.9</v>
      </c>
    </row>
    <row r="83" spans="1:82" ht="15.75" customHeight="1" thickBot="1" x14ac:dyDescent="0.3">
      <c r="A83" s="6">
        <v>82</v>
      </c>
      <c r="B83" s="7" t="s">
        <v>187</v>
      </c>
      <c r="C83" s="7" t="s">
        <v>85</v>
      </c>
      <c r="D83" s="7" t="s">
        <v>135</v>
      </c>
      <c r="E83" s="50">
        <v>2.78498414136837</v>
      </c>
      <c r="F83" s="50">
        <v>111.516542818305</v>
      </c>
      <c r="G83" s="50">
        <v>127.007737003058</v>
      </c>
      <c r="H83" s="50">
        <v>84.8</v>
      </c>
      <c r="I83" s="8">
        <v>1.1000000000000001</v>
      </c>
      <c r="J83" s="50">
        <v>4.1644123823732597</v>
      </c>
      <c r="K83" s="248">
        <f>IFERROR(VLOOKUP(C83,Schedule!$T$3:$U$34,2,0),"FA")</f>
        <v>11</v>
      </c>
      <c r="L83" s="7" t="str">
        <f>D83&amp;COUNTIF(D$2:$D83,D83)</f>
        <v>DST10</v>
      </c>
      <c r="M83" s="50">
        <f t="array" ref="M83">IFERROR(F83-AVERAGE(VLOOKUP(D83,$D84:$F$885,3,0),INDEX($F84:$F$885,SMALL(IF(D83=$D84:$D$885,ROW($D84:$D$885)-ROW(D83)),2))),0)</f>
        <v>4.1774762120519995</v>
      </c>
      <c r="N83" s="50">
        <f>IFERROR(IF(VLOOKUP($B83,Input!$AC$2:$AC$162,1,0)=$B83,0),F83)</f>
        <v>111.516542818305</v>
      </c>
      <c r="O83" s="50">
        <f>IFERROR(IF(VLOOKUP($B83,Input!$AC$2:$AC$162,1,0)=$B83,0,G83),G83)</f>
        <v>127.007737003058</v>
      </c>
      <c r="P83" s="50">
        <f>IF(N83=0,0,F83-AVERAGE(INDEX(F:F,MATCH(VLOOKUP(D83,Input!$A$14:$L$22,10,0),L:L,0)),INDEX(F:F,MATCH(VLOOKUP(D83,Input!$A$14:$L$22,11,0),L:L,0)),INDEX(F:F,MATCH(VLOOKUP(D83,Input!$A$14:$L$22,12,0),L:L,0)))+(0.01-ROW()*0.01))</f>
        <v>3.0081558676929845</v>
      </c>
      <c r="Q83" s="106">
        <f t="shared" si="38"/>
        <v>1.0377925395688636E-3</v>
      </c>
      <c r="R83" s="8">
        <f>IF(VLOOKUP($D83,$X$14:$Y$19,2,0)&lt;=0,1,IF(Q83&lt;0,1,ROUNDUP(IF(Q83*('Draft Center'!$L$28+'Draft Center'!$L$78-'Draft Center'!$L$82)&lt;1,1,Q83*('Draft Center'!$L$28+'Draft Center'!$L$78-'Draft Center'!$L$82)),0)))</f>
        <v>3</v>
      </c>
      <c r="S83" s="8">
        <f>IF(A83&lt;Input!$B$10+0.1,IF(ROUNDUP(R83*Input!$C$10,0)=0,1,ROUNDUP(R83*Input!$C$10,0)),IF(A83&gt;Input!$B$11,IF(ROUNDUP(R83*Input!$C$11,0)=0,1,ROUNDUP(R83*Input!$C$11,0)),IF(ROUNDUP(R83,0)=0,1,ROUNDUP(R83,0))))</f>
        <v>3</v>
      </c>
      <c r="T83" s="8">
        <f t="shared" si="39"/>
        <v>3</v>
      </c>
      <c r="U83" s="8">
        <f>IFERROR(VLOOKUP($B83,Input!$AC$2:$AE$161,3,0),0)</f>
        <v>0</v>
      </c>
      <c r="V83" s="256">
        <f t="shared" si="44"/>
        <v>1.7281027272727272</v>
      </c>
      <c r="W83" s="263">
        <f t="shared" si="45"/>
        <v>1.90083</v>
      </c>
      <c r="X83" s="27"/>
      <c r="Y83" s="23"/>
      <c r="Z83" s="23"/>
      <c r="AA83" s="23">
        <v>0</v>
      </c>
      <c r="AB83" s="23" t="str">
        <f t="shared" si="50"/>
        <v/>
      </c>
      <c r="AC83" s="23" t="str">
        <f t="shared" si="50"/>
        <v/>
      </c>
      <c r="AD83" s="23" t="str">
        <f t="shared" si="50"/>
        <v/>
      </c>
      <c r="AE83" s="23" t="str">
        <f t="shared" si="50"/>
        <v/>
      </c>
      <c r="AF83" s="23">
        <f t="shared" si="50"/>
        <v>0</v>
      </c>
      <c r="AG83" s="23" t="str">
        <f t="shared" si="50"/>
        <v/>
      </c>
      <c r="AH83" s="23">
        <f t="shared" si="40"/>
        <v>0</v>
      </c>
      <c r="AI83" s="23">
        <f t="shared" si="41"/>
        <v>0</v>
      </c>
      <c r="AJ83" s="70">
        <v>3</v>
      </c>
      <c r="AK83" s="225">
        <v>2327.0337</v>
      </c>
      <c r="AL83" s="33">
        <v>3</v>
      </c>
      <c r="AM83" s="204">
        <v>2327.0337</v>
      </c>
      <c r="AN83" s="196"/>
      <c r="AO83" s="23"/>
      <c r="AP83" s="23"/>
      <c r="AQ83" s="23"/>
      <c r="AR83" s="23"/>
      <c r="AS83" s="23"/>
      <c r="AT83" s="23"/>
      <c r="AU83" s="23"/>
      <c r="AV83" s="23"/>
      <c r="AW83" s="23"/>
      <c r="AX83" s="23"/>
      <c r="AY83" s="23"/>
      <c r="AZ83" s="196"/>
      <c r="BA83" s="70">
        <f>IF(VLOOKUP($D83,$AO$14:AQ$19,COLUMN()-50,0)&lt;=0,1,IF($Q83&lt;0,1,ROUNDUP(IF($Q83*('Draft Center'!$L$28+'Draft Center'!$L$78-'Draft Center'!$L$82)&lt;1,1,$Q83*('Draft Center'!$L$28+'Draft Center'!$L$78-'Draft Center'!$L$82)),0)))</f>
        <v>3</v>
      </c>
      <c r="BB83" s="70">
        <f>IF(VLOOKUP($D83,$AO$14:AR$19,COLUMN()-50,0)&lt;=0,1,IF($Q83&lt;0,1,ROUNDUP(IF($Q83*('Draft Center'!$L$28+'Draft Center'!$L$78-'Draft Center'!$L$82)&lt;1,1,$Q83*('Draft Center'!$L$28+'Draft Center'!$L$78-'Draft Center'!$L$82)),0)))</f>
        <v>3</v>
      </c>
      <c r="BC83" s="70">
        <f>IF(VLOOKUP($D83,$AO$14:AS$19,COLUMN()-50,0)&lt;=0,1,IF($Q83&lt;0,1,ROUNDUP(IF($Q83*('Draft Center'!$L$28+'Draft Center'!$L$78-'Draft Center'!$L$82)&lt;1,1,$Q83*('Draft Center'!$L$28+'Draft Center'!$L$78-'Draft Center'!$L$82)),0)))</f>
        <v>3</v>
      </c>
      <c r="BD83" s="70">
        <f>IF(VLOOKUP($D83,$AO$14:AT$19,COLUMN()-50,0)&lt;=0,1,IF($Q83&lt;0,1,ROUNDUP(IF($Q83*('Draft Center'!$L$28+'Draft Center'!$L$78-'Draft Center'!$L$82)&lt;1,1,$Q83*('Draft Center'!$L$28+'Draft Center'!$L$78-'Draft Center'!$L$82)),0)))</f>
        <v>3</v>
      </c>
      <c r="BE83" s="70">
        <f>IF(VLOOKUP($D83,$AO$14:AU$19,COLUMN()-50,0)&lt;=0,1,IF($Q83&lt;0,1,ROUNDUP(IF($Q83*('Draft Center'!$L$28+'Draft Center'!$L$78-'Draft Center'!$L$82)&lt;1,1,$Q83*('Draft Center'!$L$28+'Draft Center'!$L$78-'Draft Center'!$L$82)),0)))</f>
        <v>3</v>
      </c>
      <c r="BF83" s="70">
        <f>IF(VLOOKUP($D83,$AO$14:AV$19,COLUMN()-50,0)&lt;=0,1,IF($Q83&lt;0,1,ROUNDUP(IF($Q83*('Draft Center'!$L$28+'Draft Center'!$L$78-'Draft Center'!$L$82)&lt;1,1,$Q83*('Draft Center'!$L$28+'Draft Center'!$L$78-'Draft Center'!$L$82)),0)))</f>
        <v>3</v>
      </c>
      <c r="BG83" s="70">
        <f>IF(VLOOKUP($D83,$AO$14:AW$19,COLUMN()-50,0)&lt;=0,1,IF($Q83&lt;0,1,ROUNDUP(IF($Q83*('Draft Center'!$L$28+'Draft Center'!$L$78-'Draft Center'!$L$82)&lt;1,1,$Q83*('Draft Center'!$L$28+'Draft Center'!$L$78-'Draft Center'!$L$82)),0)))</f>
        <v>3</v>
      </c>
      <c r="BH83" s="70">
        <f>IF(VLOOKUP($D83,$AO$14:AX$19,COLUMN()-50,0)&lt;=0,1,IF($Q83&lt;0,1,ROUNDUP(IF($Q83*('Draft Center'!$L$28+'Draft Center'!$L$78-'Draft Center'!$L$82)&lt;1,1,$Q83*('Draft Center'!$L$28+'Draft Center'!$L$78-'Draft Center'!$L$82)),0)))</f>
        <v>3</v>
      </c>
      <c r="BI83" s="70">
        <f>IF(VLOOKUP($D83,$AO$14:AY$19,COLUMN()-50,0)&lt;=0,1,IF($Q83&lt;0,1,ROUNDUP(IF($Q83*('Draft Center'!$L$28+'Draft Center'!$L$78-'Draft Center'!$L$82)&lt;1,1,$Q83*('Draft Center'!$L$28+'Draft Center'!$L$78-'Draft Center'!$L$82)),0)))</f>
        <v>3</v>
      </c>
      <c r="BJ83" s="196"/>
      <c r="BK83" s="23">
        <v>0</v>
      </c>
      <c r="BL83" s="23" t="str">
        <f t="shared" si="51"/>
        <v/>
      </c>
      <c r="BM83" s="23">
        <v>0</v>
      </c>
      <c r="BN83" s="23" t="str">
        <f t="shared" si="51"/>
        <v/>
      </c>
      <c r="BO83" s="23" t="str">
        <f t="shared" si="51"/>
        <v/>
      </c>
      <c r="BP83" s="23">
        <f t="shared" si="51"/>
        <v>0</v>
      </c>
      <c r="BQ83" s="23" t="str">
        <f t="shared" si="51"/>
        <v/>
      </c>
      <c r="BR83" s="23">
        <f t="shared" si="42"/>
        <v>0</v>
      </c>
      <c r="BS83" s="23">
        <f t="shared" si="43"/>
        <v>0</v>
      </c>
      <c r="BT83" s="70">
        <v>3</v>
      </c>
      <c r="BU83" s="58">
        <v>2327.0337</v>
      </c>
      <c r="BV83" s="33">
        <v>3</v>
      </c>
      <c r="BW83" s="204">
        <v>2327.0337</v>
      </c>
      <c r="BX83" s="23"/>
      <c r="BY83" s="70">
        <v>3</v>
      </c>
      <c r="BZ83" s="70">
        <v>1.1000000000000001</v>
      </c>
      <c r="CA83" s="70">
        <v>1.1000000000000001</v>
      </c>
      <c r="CB83" s="70">
        <v>1.1000000000000001</v>
      </c>
      <c r="CC83" s="70">
        <f t="shared" si="46"/>
        <v>1.1000000000000001</v>
      </c>
      <c r="CD83" s="70">
        <f t="shared" si="47"/>
        <v>1.1000000000000001</v>
      </c>
    </row>
    <row r="84" spans="1:82" ht="15.75" customHeight="1" thickBot="1" x14ac:dyDescent="0.3">
      <c r="A84" s="9">
        <v>83</v>
      </c>
      <c r="B84" s="10" t="s">
        <v>537</v>
      </c>
      <c r="C84" s="10" t="s">
        <v>83</v>
      </c>
      <c r="D84" s="10" t="s">
        <v>53</v>
      </c>
      <c r="E84" s="51">
        <v>1.73376891907429</v>
      </c>
      <c r="F84" s="51">
        <v>274.08141255190998</v>
      </c>
      <c r="G84" s="51">
        <v>299.830489138068</v>
      </c>
      <c r="H84" s="51">
        <v>221.6422</v>
      </c>
      <c r="I84" s="11">
        <v>2.7</v>
      </c>
      <c r="J84" s="51">
        <v>5.6975362340189104</v>
      </c>
      <c r="K84" s="249">
        <f>IFERROR(VLOOKUP(C84,Schedule!$T$3:$U$34,2,0),"FA")</f>
        <v>5</v>
      </c>
      <c r="L84" s="10" t="str">
        <f>D84&amp;COUNTIF(D$2:$D84,D84)</f>
        <v>QB9</v>
      </c>
      <c r="M84" s="51">
        <f t="array" ref="M84">IFERROR(F84-AVERAGE(VLOOKUP(D84,$D85:$F$885,3,0),INDEX($F85:$F$885,SMALL(IF(D84=$D85:$D$885,ROW($D85:$D$885)-ROW(D84)),2))),0)</f>
        <v>1.1087752872924739</v>
      </c>
      <c r="N84" s="51">
        <f>IFERROR(IF(VLOOKUP($B84,Input!$AC$2:$AC$162,1,0)=$B84,0),F84)</f>
        <v>274.08141255190998</v>
      </c>
      <c r="O84" s="51">
        <f>IFERROR(IF(VLOOKUP($B84,Input!$AC$2:$AC$162,1,0)=$B84,0,G84),G84)</f>
        <v>299.830489138068</v>
      </c>
      <c r="P84" s="51">
        <f>IF(N84=0,0,F84-AVERAGE(INDEX(F:F,MATCH(VLOOKUP(D84,Input!$A$14:$L$22,10,0),L:L,0)),INDEX(F:F,MATCH(VLOOKUP(D84,Input!$A$14:$L$22,11,0),L:L,0)),INDEX(F:F,MATCH(VLOOKUP(D84,Input!$A$14:$L$22,12,0),L:L,0)))+(0.01-ROW()*0.01))</f>
        <v>0.90376891907435042</v>
      </c>
      <c r="Q84" s="107">
        <f t="shared" si="38"/>
        <v>3.1179389731187372E-4</v>
      </c>
      <c r="R84" s="11">
        <f>IF(VLOOKUP($D84,$X$14:$Y$19,2,0)&lt;=0,1,IF(Q84&lt;0,1,ROUNDUP(IF(Q84*('Draft Center'!$L$28+'Draft Center'!$L$78-'Draft Center'!$L$82)&lt;1,1,Q84*('Draft Center'!$L$28+'Draft Center'!$L$78-'Draft Center'!$L$82)),0)))</f>
        <v>1</v>
      </c>
      <c r="S84" s="11">
        <f>IF(A84&lt;Input!$B$10+0.1,IF(ROUNDUP(R84*Input!$C$10,0)=0,1,ROUNDUP(R84*Input!$C$10,0)),IF(A84&gt;Input!$B$11,IF(ROUNDUP(R84*Input!$C$11,0)=0,1,ROUNDUP(R84*Input!$C$11,0)),IF(ROUNDUP(R84,0)=0,1,ROUNDUP(R84,0))))</f>
        <v>1</v>
      </c>
      <c r="T84" s="11">
        <f t="shared" si="39"/>
        <v>1</v>
      </c>
      <c r="U84" s="11">
        <f>IFERROR(VLOOKUP($B84,Input!$AC$2:$AE$161,3,0),0)</f>
        <v>0</v>
      </c>
      <c r="V84" s="257">
        <f t="shared" si="44"/>
        <v>-0.6287896296296297</v>
      </c>
      <c r="W84" s="264">
        <f t="shared" si="45"/>
        <v>-1.6991600000000002</v>
      </c>
      <c r="X84" s="27"/>
      <c r="Y84" s="23"/>
      <c r="Z84" s="23"/>
      <c r="AA84" s="23">
        <v>0</v>
      </c>
      <c r="AB84" s="23">
        <f t="shared" si="50"/>
        <v>0</v>
      </c>
      <c r="AC84" s="23" t="str">
        <f t="shared" si="50"/>
        <v/>
      </c>
      <c r="AD84" s="23" t="str">
        <f t="shared" si="50"/>
        <v/>
      </c>
      <c r="AE84" s="23" t="str">
        <f t="shared" si="50"/>
        <v/>
      </c>
      <c r="AF84" s="23" t="str">
        <f t="shared" si="50"/>
        <v/>
      </c>
      <c r="AG84" s="23" t="str">
        <f t="shared" si="50"/>
        <v/>
      </c>
      <c r="AH84" s="23">
        <f t="shared" si="40"/>
        <v>0</v>
      </c>
      <c r="AI84" s="23">
        <f t="shared" si="41"/>
        <v>0</v>
      </c>
      <c r="AJ84" s="69">
        <v>1</v>
      </c>
      <c r="AK84" s="225">
        <v>2327.0337</v>
      </c>
      <c r="AL84" s="33">
        <v>1</v>
      </c>
      <c r="AM84" s="204">
        <v>2327.0337</v>
      </c>
      <c r="AN84" s="196"/>
      <c r="AO84" s="23"/>
      <c r="AP84" s="23"/>
      <c r="AQ84" s="23"/>
      <c r="AR84" s="23"/>
      <c r="AS84" s="23"/>
      <c r="AT84" s="23"/>
      <c r="AU84" s="23"/>
      <c r="AV84" s="23"/>
      <c r="AW84" s="23"/>
      <c r="AX84" s="23"/>
      <c r="AY84" s="23"/>
      <c r="AZ84" s="196"/>
      <c r="BA84" s="69">
        <f>IF(VLOOKUP($D84,$AO$14:AQ$19,COLUMN()-50,0)&lt;=0,1,IF($Q84&lt;0,1,ROUNDUP(IF($Q84*('Draft Center'!$L$28+'Draft Center'!$L$78-'Draft Center'!$L$82)&lt;1,1,$Q84*('Draft Center'!$L$28+'Draft Center'!$L$78-'Draft Center'!$L$82)),0)))</f>
        <v>1</v>
      </c>
      <c r="BB84" s="69">
        <f>IF(VLOOKUP($D84,$AO$14:AR$19,COLUMN()-50,0)&lt;=0,1,IF($Q84&lt;0,1,ROUNDUP(IF($Q84*('Draft Center'!$L$28+'Draft Center'!$L$78-'Draft Center'!$L$82)&lt;1,1,$Q84*('Draft Center'!$L$28+'Draft Center'!$L$78-'Draft Center'!$L$82)),0)))</f>
        <v>1</v>
      </c>
      <c r="BC84" s="69">
        <f>IF(VLOOKUP($D84,$AO$14:AS$19,COLUMN()-50,0)&lt;=0,1,IF($Q84&lt;0,1,ROUNDUP(IF($Q84*('Draft Center'!$L$28+'Draft Center'!$L$78-'Draft Center'!$L$82)&lt;1,1,$Q84*('Draft Center'!$L$28+'Draft Center'!$L$78-'Draft Center'!$L$82)),0)))</f>
        <v>1</v>
      </c>
      <c r="BD84" s="69">
        <f>IF(VLOOKUP($D84,$AO$14:AT$19,COLUMN()-50,0)&lt;=0,1,IF($Q84&lt;0,1,ROUNDUP(IF($Q84*('Draft Center'!$L$28+'Draft Center'!$L$78-'Draft Center'!$L$82)&lt;1,1,$Q84*('Draft Center'!$L$28+'Draft Center'!$L$78-'Draft Center'!$L$82)),0)))</f>
        <v>1</v>
      </c>
      <c r="BE84" s="69">
        <f>IF(VLOOKUP($D84,$AO$14:AU$19,COLUMN()-50,0)&lt;=0,1,IF($Q84&lt;0,1,ROUNDUP(IF($Q84*('Draft Center'!$L$28+'Draft Center'!$L$78-'Draft Center'!$L$82)&lt;1,1,$Q84*('Draft Center'!$L$28+'Draft Center'!$L$78-'Draft Center'!$L$82)),0)))</f>
        <v>1</v>
      </c>
      <c r="BF84" s="69">
        <f>IF(VLOOKUP($D84,$AO$14:AV$19,COLUMN()-50,0)&lt;=0,1,IF($Q84&lt;0,1,ROUNDUP(IF($Q84*('Draft Center'!$L$28+'Draft Center'!$L$78-'Draft Center'!$L$82)&lt;1,1,$Q84*('Draft Center'!$L$28+'Draft Center'!$L$78-'Draft Center'!$L$82)),0)))</f>
        <v>1</v>
      </c>
      <c r="BG84" s="69">
        <f>IF(VLOOKUP($D84,$AO$14:AW$19,COLUMN()-50,0)&lt;=0,1,IF($Q84&lt;0,1,ROUNDUP(IF($Q84*('Draft Center'!$L$28+'Draft Center'!$L$78-'Draft Center'!$L$82)&lt;1,1,$Q84*('Draft Center'!$L$28+'Draft Center'!$L$78-'Draft Center'!$L$82)),0)))</f>
        <v>1</v>
      </c>
      <c r="BH84" s="69">
        <f>IF(VLOOKUP($D84,$AO$14:AX$19,COLUMN()-50,0)&lt;=0,1,IF($Q84&lt;0,1,ROUNDUP(IF($Q84*('Draft Center'!$L$28+'Draft Center'!$L$78-'Draft Center'!$L$82)&lt;1,1,$Q84*('Draft Center'!$L$28+'Draft Center'!$L$78-'Draft Center'!$L$82)),0)))</f>
        <v>1</v>
      </c>
      <c r="BI84" s="69">
        <f>IF(VLOOKUP($D84,$AO$14:AY$19,COLUMN()-50,0)&lt;=0,1,IF($Q84&lt;0,1,ROUNDUP(IF($Q84*('Draft Center'!$L$28+'Draft Center'!$L$78-'Draft Center'!$L$82)&lt;1,1,$Q84*('Draft Center'!$L$28+'Draft Center'!$L$78-'Draft Center'!$L$82)),0)))</f>
        <v>1</v>
      </c>
      <c r="BJ84" s="196"/>
      <c r="BK84" s="23">
        <v>0</v>
      </c>
      <c r="BL84" s="23">
        <f t="shared" si="51"/>
        <v>0</v>
      </c>
      <c r="BM84" s="23">
        <v>0</v>
      </c>
      <c r="BN84" s="23" t="str">
        <f t="shared" si="51"/>
        <v/>
      </c>
      <c r="BO84" s="23" t="str">
        <f t="shared" si="51"/>
        <v/>
      </c>
      <c r="BP84" s="23" t="str">
        <f t="shared" si="51"/>
        <v/>
      </c>
      <c r="BQ84" s="23" t="str">
        <f t="shared" si="51"/>
        <v/>
      </c>
      <c r="BR84" s="23">
        <f t="shared" si="42"/>
        <v>0</v>
      </c>
      <c r="BS84" s="23">
        <f t="shared" si="43"/>
        <v>0</v>
      </c>
      <c r="BT84" s="69">
        <v>1</v>
      </c>
      <c r="BU84" s="58">
        <v>2327.0337</v>
      </c>
      <c r="BV84" s="33">
        <v>1</v>
      </c>
      <c r="BW84" s="204">
        <v>2327.0337</v>
      </c>
      <c r="BX84" s="23"/>
      <c r="BY84" s="69">
        <v>1</v>
      </c>
      <c r="BZ84" s="69">
        <v>2.7</v>
      </c>
      <c r="CA84" s="69">
        <v>2.7</v>
      </c>
      <c r="CB84" s="69">
        <v>2.7</v>
      </c>
      <c r="CC84" s="69">
        <f t="shared" si="46"/>
        <v>2.7000000000000006</v>
      </c>
      <c r="CD84" s="69">
        <f t="shared" si="47"/>
        <v>2.7</v>
      </c>
    </row>
    <row r="85" spans="1:82" ht="15.75" customHeight="1" thickBot="1" x14ac:dyDescent="0.3">
      <c r="A85" s="6">
        <v>84</v>
      </c>
      <c r="B85" s="7" t="s">
        <v>931</v>
      </c>
      <c r="C85" s="7" t="s">
        <v>61</v>
      </c>
      <c r="D85" s="7" t="s">
        <v>147</v>
      </c>
      <c r="E85" s="50">
        <v>1.7071752125826301</v>
      </c>
      <c r="F85" s="50">
        <v>133.07616364355599</v>
      </c>
      <c r="G85" s="50">
        <v>139.10321284939999</v>
      </c>
      <c r="H85" s="50">
        <v>126.3</v>
      </c>
      <c r="I85" s="8">
        <v>1.2</v>
      </c>
      <c r="J85" s="50">
        <v>3.77496229276074</v>
      </c>
      <c r="K85" s="248">
        <f>IFERROR(VLOOKUP(C85,Schedule!$T$3:$U$34,2,0),"FA")</f>
        <v>5</v>
      </c>
      <c r="L85" s="7" t="str">
        <f>D85&amp;COUNTIF(D$2:$D85,D85)</f>
        <v>K8</v>
      </c>
      <c r="M85" s="50">
        <f t="array" ref="M85">IFERROR(F85-AVERAGE(VLOOKUP(D85,$D86:$F$885,3,0),INDEX($F86:$F$885,SMALL(IF(D85=$D86:$D$885,ROW($D86:$D$885)-ROW(D85)),2))),0)</f>
        <v>0.73247343010646659</v>
      </c>
      <c r="N85" s="50">
        <f>IFERROR(IF(VLOOKUP($B85,Input!$AC$2:$AC$162,1,0)=$B85,0),F85)</f>
        <v>133.07616364355599</v>
      </c>
      <c r="O85" s="50">
        <f>IFERROR(IF(VLOOKUP($B85,Input!$AC$2:$AC$162,1,0)=$B85,0,G85),G85)</f>
        <v>139.10321284939999</v>
      </c>
      <c r="P85" s="50">
        <f>IF(N85=0,0,F85-AVERAGE(INDEX(F:F,MATCH(VLOOKUP(D85,Input!$A$14:$L$22,10,0),L:L,0)),INDEX(F:F,MATCH(VLOOKUP(D85,Input!$A$14:$L$22,11,0),L:L,0)),INDEX(F:F,MATCH(VLOOKUP(D85,Input!$A$14:$L$22,12,0),L:L,0)))+(0.01-ROW()*0.01))</f>
        <v>0.69318206142799343</v>
      </c>
      <c r="Q85" s="106">
        <f t="shared" si="38"/>
        <v>2.3914291797141605E-4</v>
      </c>
      <c r="R85" s="8">
        <f>IF(VLOOKUP($D85,$X$14:$Y$19,2,0)&lt;=0,1,IF(Q85&lt;0,1,ROUNDUP(IF(Q85*('Draft Center'!$L$28+'Draft Center'!$L$78-'Draft Center'!$L$82)&lt;1,1,Q85*('Draft Center'!$L$28+'Draft Center'!$L$78-'Draft Center'!$L$82)),0)))</f>
        <v>1</v>
      </c>
      <c r="S85" s="8">
        <f>IF(A85&lt;Input!$B$10+0.1,IF(ROUNDUP(R85*Input!$C$10,0)=0,1,ROUNDUP(R85*Input!$C$10,0)),IF(A85&gt;Input!$B$11,IF(ROUNDUP(R85*Input!$C$11,0)=0,1,ROUNDUP(R85*Input!$C$11,0)),IF(ROUNDUP(R85,0)=0,1,ROUNDUP(R85,0))))</f>
        <v>1</v>
      </c>
      <c r="T85" s="8">
        <f t="shared" si="39"/>
        <v>1</v>
      </c>
      <c r="U85" s="8">
        <f>IFERROR(VLOOKUP($B85,Input!$AC$2:$AE$161,3,0),0)</f>
        <v>0</v>
      </c>
      <c r="V85" s="256">
        <f t="shared" si="44"/>
        <v>-0.16581666666666664</v>
      </c>
      <c r="W85" s="263">
        <f t="shared" si="45"/>
        <v>-0.19914999999999997</v>
      </c>
      <c r="X85" s="27"/>
      <c r="Y85" s="23"/>
      <c r="Z85" s="23"/>
      <c r="AA85" s="23">
        <v>0</v>
      </c>
      <c r="AB85" s="23" t="str">
        <f t="shared" si="50"/>
        <v/>
      </c>
      <c r="AC85" s="23" t="str">
        <f t="shared" si="50"/>
        <v/>
      </c>
      <c r="AD85" s="23" t="str">
        <f t="shared" si="50"/>
        <v/>
      </c>
      <c r="AE85" s="23" t="str">
        <f t="shared" si="50"/>
        <v/>
      </c>
      <c r="AF85" s="23" t="str">
        <f t="shared" si="50"/>
        <v/>
      </c>
      <c r="AG85" s="23">
        <f t="shared" si="50"/>
        <v>0</v>
      </c>
      <c r="AH85" s="23">
        <f t="shared" si="40"/>
        <v>0</v>
      </c>
      <c r="AI85" s="23">
        <f t="shared" si="41"/>
        <v>0</v>
      </c>
      <c r="AJ85" s="70">
        <v>1</v>
      </c>
      <c r="AK85" s="225">
        <v>2327.0337</v>
      </c>
      <c r="AL85" s="33">
        <v>1</v>
      </c>
      <c r="AM85" s="204">
        <v>2327.0337</v>
      </c>
      <c r="AN85" s="196"/>
      <c r="AO85" s="23"/>
      <c r="AP85" s="23"/>
      <c r="AQ85" s="23"/>
      <c r="AR85" s="23"/>
      <c r="AS85" s="23"/>
      <c r="AT85" s="23"/>
      <c r="AU85" s="23"/>
      <c r="AV85" s="23"/>
      <c r="AW85" s="23"/>
      <c r="AX85" s="23"/>
      <c r="AY85" s="23"/>
      <c r="AZ85" s="196"/>
      <c r="BA85" s="70">
        <f>IF(VLOOKUP($D85,$AO$14:AQ$19,COLUMN()-50,0)&lt;=0,1,IF($Q85&lt;0,1,ROUNDUP(IF($Q85*('Draft Center'!$L$28+'Draft Center'!$L$78-'Draft Center'!$L$82)&lt;1,1,$Q85*('Draft Center'!$L$28+'Draft Center'!$L$78-'Draft Center'!$L$82)),0)))</f>
        <v>1</v>
      </c>
      <c r="BB85" s="70">
        <f>IF(VLOOKUP($D85,$AO$14:AR$19,COLUMN()-50,0)&lt;=0,1,IF($Q85&lt;0,1,ROUNDUP(IF($Q85*('Draft Center'!$L$28+'Draft Center'!$L$78-'Draft Center'!$L$82)&lt;1,1,$Q85*('Draft Center'!$L$28+'Draft Center'!$L$78-'Draft Center'!$L$82)),0)))</f>
        <v>1</v>
      </c>
      <c r="BC85" s="70">
        <f>IF(VLOOKUP($D85,$AO$14:AS$19,COLUMN()-50,0)&lt;=0,1,IF($Q85&lt;0,1,ROUNDUP(IF($Q85*('Draft Center'!$L$28+'Draft Center'!$L$78-'Draft Center'!$L$82)&lt;1,1,$Q85*('Draft Center'!$L$28+'Draft Center'!$L$78-'Draft Center'!$L$82)),0)))</f>
        <v>1</v>
      </c>
      <c r="BD85" s="70">
        <f>IF(VLOOKUP($D85,$AO$14:AT$19,COLUMN()-50,0)&lt;=0,1,IF($Q85&lt;0,1,ROUNDUP(IF($Q85*('Draft Center'!$L$28+'Draft Center'!$L$78-'Draft Center'!$L$82)&lt;1,1,$Q85*('Draft Center'!$L$28+'Draft Center'!$L$78-'Draft Center'!$L$82)),0)))</f>
        <v>1</v>
      </c>
      <c r="BE85" s="70">
        <f>IF(VLOOKUP($D85,$AO$14:AU$19,COLUMN()-50,0)&lt;=0,1,IF($Q85&lt;0,1,ROUNDUP(IF($Q85*('Draft Center'!$L$28+'Draft Center'!$L$78-'Draft Center'!$L$82)&lt;1,1,$Q85*('Draft Center'!$L$28+'Draft Center'!$L$78-'Draft Center'!$L$82)),0)))</f>
        <v>1</v>
      </c>
      <c r="BF85" s="70">
        <f>IF(VLOOKUP($D85,$AO$14:AV$19,COLUMN()-50,0)&lt;=0,1,IF($Q85&lt;0,1,ROUNDUP(IF($Q85*('Draft Center'!$L$28+'Draft Center'!$L$78-'Draft Center'!$L$82)&lt;1,1,$Q85*('Draft Center'!$L$28+'Draft Center'!$L$78-'Draft Center'!$L$82)),0)))</f>
        <v>1</v>
      </c>
      <c r="BG85" s="70">
        <f>IF(VLOOKUP($D85,$AO$14:AW$19,COLUMN()-50,0)&lt;=0,1,IF($Q85&lt;0,1,ROUNDUP(IF($Q85*('Draft Center'!$L$28+'Draft Center'!$L$78-'Draft Center'!$L$82)&lt;1,1,$Q85*('Draft Center'!$L$28+'Draft Center'!$L$78-'Draft Center'!$L$82)),0)))</f>
        <v>1</v>
      </c>
      <c r="BH85" s="70">
        <f>IF(VLOOKUP($D85,$AO$14:AX$19,COLUMN()-50,0)&lt;=0,1,IF($Q85&lt;0,1,ROUNDUP(IF($Q85*('Draft Center'!$L$28+'Draft Center'!$L$78-'Draft Center'!$L$82)&lt;1,1,$Q85*('Draft Center'!$L$28+'Draft Center'!$L$78-'Draft Center'!$L$82)),0)))</f>
        <v>1</v>
      </c>
      <c r="BI85" s="70">
        <f>IF(VLOOKUP($D85,$AO$14:AY$19,COLUMN()-50,0)&lt;=0,1,IF($Q85&lt;0,1,ROUNDUP(IF($Q85*('Draft Center'!$L$28+'Draft Center'!$L$78-'Draft Center'!$L$82)&lt;1,1,$Q85*('Draft Center'!$L$28+'Draft Center'!$L$78-'Draft Center'!$L$82)),0)))</f>
        <v>1</v>
      </c>
      <c r="BJ85" s="196"/>
      <c r="BK85" s="23">
        <v>0</v>
      </c>
      <c r="BL85" s="23" t="str">
        <f t="shared" si="51"/>
        <v/>
      </c>
      <c r="BM85" s="23">
        <v>0</v>
      </c>
      <c r="BN85" s="23" t="str">
        <f t="shared" si="51"/>
        <v/>
      </c>
      <c r="BO85" s="23" t="str">
        <f t="shared" si="51"/>
        <v/>
      </c>
      <c r="BP85" s="23" t="str">
        <f t="shared" si="51"/>
        <v/>
      </c>
      <c r="BQ85" s="23">
        <f t="shared" si="51"/>
        <v>0</v>
      </c>
      <c r="BR85" s="23">
        <f t="shared" si="42"/>
        <v>0</v>
      </c>
      <c r="BS85" s="23">
        <f t="shared" si="43"/>
        <v>0</v>
      </c>
      <c r="BT85" s="70">
        <v>1</v>
      </c>
      <c r="BU85" s="58">
        <v>2327.0337</v>
      </c>
      <c r="BV85" s="33">
        <v>1</v>
      </c>
      <c r="BW85" s="204">
        <v>2327.0337</v>
      </c>
      <c r="BX85" s="23"/>
      <c r="BY85" s="70">
        <v>1</v>
      </c>
      <c r="BZ85" s="70">
        <v>1.2</v>
      </c>
      <c r="CA85" s="70">
        <v>1.2</v>
      </c>
      <c r="CB85" s="70">
        <v>1.2</v>
      </c>
      <c r="CC85" s="70">
        <f t="shared" si="46"/>
        <v>1.2</v>
      </c>
      <c r="CD85" s="70">
        <f t="shared" si="47"/>
        <v>1.2</v>
      </c>
    </row>
    <row r="86" spans="1:82" ht="15.75" customHeight="1" thickBot="1" x14ac:dyDescent="0.3">
      <c r="A86" s="9">
        <v>85</v>
      </c>
      <c r="B86" s="10" t="s">
        <v>835</v>
      </c>
      <c r="C86" s="10" t="s">
        <v>35</v>
      </c>
      <c r="D86" s="10" t="s">
        <v>53</v>
      </c>
      <c r="E86" s="51">
        <v>1.49152395398141</v>
      </c>
      <c r="F86" s="51">
        <v>273.83916758681698</v>
      </c>
      <c r="G86" s="51">
        <v>294.05038244444398</v>
      </c>
      <c r="H86" s="51">
        <v>221.571</v>
      </c>
      <c r="I86" s="11">
        <v>4.5</v>
      </c>
      <c r="J86" s="51">
        <v>5.5317256028231698</v>
      </c>
      <c r="K86" s="249">
        <f>IFERROR(VLOOKUP(C86,Schedule!$T$3:$U$34,2,0),"FA")</f>
        <v>6</v>
      </c>
      <c r="L86" s="10" t="str">
        <f>D86&amp;COUNTIF(D$2:$D86,D86)</f>
        <v>QB10</v>
      </c>
      <c r="M86" s="51">
        <f t="array" ref="M86">IFERROR(F86-AVERAGE(VLOOKUP(D86,$D87:$F$885,3,0),INDEX($F87:$F$885,SMALL(IF(D86=$D87:$D$885,ROW($D87:$D$885)-ROW(D86)),2))),0)</f>
        <v>2.237285930972007</v>
      </c>
      <c r="N86" s="51">
        <f>IFERROR(IF(VLOOKUP($B86,Input!$AC$2:$AC$162,1,0)=$B86,0),F86)</f>
        <v>273.83916758681698</v>
      </c>
      <c r="O86" s="51">
        <f>IFERROR(IF(VLOOKUP($B86,Input!$AC$2:$AC$162,1,0)=$B86,0,G86),G86)</f>
        <v>294.05038244444398</v>
      </c>
      <c r="P86" s="51">
        <f>IF(N86=0,0,F86-AVERAGE(INDEX(F:F,MATCH(VLOOKUP(D86,Input!$A$14:$L$22,10,0),L:L,0)),INDEX(F:F,MATCH(VLOOKUP(D86,Input!$A$14:$L$22,11,0),L:L,0)),INDEX(F:F,MATCH(VLOOKUP(D86,Input!$A$14:$L$22,12,0),L:L,0)))+(0.01-ROW()*0.01))</f>
        <v>0.64152395398135698</v>
      </c>
      <c r="Q86" s="107">
        <f t="shared" si="38"/>
        <v>2.213212355605638E-4</v>
      </c>
      <c r="R86" s="11">
        <f>IF(VLOOKUP($D86,$X$14:$Y$19,2,0)&lt;=0,1,IF(Q86&lt;0,1,ROUNDUP(IF(Q86*('Draft Center'!$L$28+'Draft Center'!$L$78-'Draft Center'!$L$82)&lt;1,1,Q86*('Draft Center'!$L$28+'Draft Center'!$L$78-'Draft Center'!$L$82)),0)))</f>
        <v>1</v>
      </c>
      <c r="S86" s="11">
        <f>IF(A86&lt;Input!$B$10+0.1,IF(ROUNDUP(R86*Input!$C$10,0)=0,1,ROUNDUP(R86*Input!$C$10,0)),IF(A86&gt;Input!$B$11,IF(ROUNDUP(R86*Input!$C$11,0)=0,1,ROUNDUP(R86*Input!$C$11,0)),IF(ROUNDUP(R86,0)=0,1,ROUNDUP(R86,0))))</f>
        <v>1</v>
      </c>
      <c r="T86" s="11">
        <f t="shared" si="39"/>
        <v>1</v>
      </c>
      <c r="U86" s="11">
        <f>IFERROR(VLOOKUP($B86,Input!$AC$2:$AE$161,3,0),0)</f>
        <v>0</v>
      </c>
      <c r="V86" s="257">
        <f t="shared" si="44"/>
        <v>-0.77691777777777782</v>
      </c>
      <c r="W86" s="264">
        <f t="shared" si="45"/>
        <v>-3.4991400000000001</v>
      </c>
      <c r="X86" s="27"/>
      <c r="Y86" s="23"/>
      <c r="Z86" s="23"/>
      <c r="AA86" s="23">
        <v>0</v>
      </c>
      <c r="AB86" s="23">
        <f t="shared" si="50"/>
        <v>0</v>
      </c>
      <c r="AC86" s="23" t="str">
        <f t="shared" si="50"/>
        <v/>
      </c>
      <c r="AD86" s="23" t="str">
        <f t="shared" si="50"/>
        <v/>
      </c>
      <c r="AE86" s="23" t="str">
        <f t="shared" si="50"/>
        <v/>
      </c>
      <c r="AF86" s="23" t="str">
        <f t="shared" si="50"/>
        <v/>
      </c>
      <c r="AG86" s="23" t="str">
        <f t="shared" si="50"/>
        <v/>
      </c>
      <c r="AH86" s="23">
        <f t="shared" si="40"/>
        <v>0</v>
      </c>
      <c r="AI86" s="23">
        <f t="shared" si="41"/>
        <v>0</v>
      </c>
      <c r="AJ86" s="69">
        <v>1</v>
      </c>
      <c r="AK86" s="225">
        <v>2327.0337</v>
      </c>
      <c r="AL86" s="33">
        <v>1</v>
      </c>
      <c r="AM86" s="204">
        <v>2327.0337</v>
      </c>
      <c r="AN86" s="196"/>
      <c r="AO86" s="23"/>
      <c r="AP86" s="23"/>
      <c r="AQ86" s="23"/>
      <c r="AR86" s="23"/>
      <c r="AS86" s="23"/>
      <c r="AT86" s="23"/>
      <c r="AU86" s="23"/>
      <c r="AV86" s="23"/>
      <c r="AW86" s="23"/>
      <c r="AX86" s="23"/>
      <c r="AY86" s="23"/>
      <c r="AZ86" s="196"/>
      <c r="BA86" s="69">
        <f>IF(VLOOKUP($D86,$AO$14:AQ$19,COLUMN()-50,0)&lt;=0,1,IF($Q86&lt;0,1,ROUNDUP(IF($Q86*('Draft Center'!$L$28+'Draft Center'!$L$78-'Draft Center'!$L$82)&lt;1,1,$Q86*('Draft Center'!$L$28+'Draft Center'!$L$78-'Draft Center'!$L$82)),0)))</f>
        <v>1</v>
      </c>
      <c r="BB86" s="69">
        <f>IF(VLOOKUP($D86,$AO$14:AR$19,COLUMN()-50,0)&lt;=0,1,IF($Q86&lt;0,1,ROUNDUP(IF($Q86*('Draft Center'!$L$28+'Draft Center'!$L$78-'Draft Center'!$L$82)&lt;1,1,$Q86*('Draft Center'!$L$28+'Draft Center'!$L$78-'Draft Center'!$L$82)),0)))</f>
        <v>1</v>
      </c>
      <c r="BC86" s="69">
        <f>IF(VLOOKUP($D86,$AO$14:AS$19,COLUMN()-50,0)&lt;=0,1,IF($Q86&lt;0,1,ROUNDUP(IF($Q86*('Draft Center'!$L$28+'Draft Center'!$L$78-'Draft Center'!$L$82)&lt;1,1,$Q86*('Draft Center'!$L$28+'Draft Center'!$L$78-'Draft Center'!$L$82)),0)))</f>
        <v>1</v>
      </c>
      <c r="BD86" s="69">
        <f>IF(VLOOKUP($D86,$AO$14:AT$19,COLUMN()-50,0)&lt;=0,1,IF($Q86&lt;0,1,ROUNDUP(IF($Q86*('Draft Center'!$L$28+'Draft Center'!$L$78-'Draft Center'!$L$82)&lt;1,1,$Q86*('Draft Center'!$L$28+'Draft Center'!$L$78-'Draft Center'!$L$82)),0)))</f>
        <v>1</v>
      </c>
      <c r="BE86" s="69">
        <f>IF(VLOOKUP($D86,$AO$14:AU$19,COLUMN()-50,0)&lt;=0,1,IF($Q86&lt;0,1,ROUNDUP(IF($Q86*('Draft Center'!$L$28+'Draft Center'!$L$78-'Draft Center'!$L$82)&lt;1,1,$Q86*('Draft Center'!$L$28+'Draft Center'!$L$78-'Draft Center'!$L$82)),0)))</f>
        <v>1</v>
      </c>
      <c r="BF86" s="69">
        <f>IF(VLOOKUP($D86,$AO$14:AV$19,COLUMN()-50,0)&lt;=0,1,IF($Q86&lt;0,1,ROUNDUP(IF($Q86*('Draft Center'!$L$28+'Draft Center'!$L$78-'Draft Center'!$L$82)&lt;1,1,$Q86*('Draft Center'!$L$28+'Draft Center'!$L$78-'Draft Center'!$L$82)),0)))</f>
        <v>1</v>
      </c>
      <c r="BG86" s="69">
        <f>IF(VLOOKUP($D86,$AO$14:AW$19,COLUMN()-50,0)&lt;=0,1,IF($Q86&lt;0,1,ROUNDUP(IF($Q86*('Draft Center'!$L$28+'Draft Center'!$L$78-'Draft Center'!$L$82)&lt;1,1,$Q86*('Draft Center'!$L$28+'Draft Center'!$L$78-'Draft Center'!$L$82)),0)))</f>
        <v>1</v>
      </c>
      <c r="BH86" s="69">
        <f>IF(VLOOKUP($D86,$AO$14:AX$19,COLUMN()-50,0)&lt;=0,1,IF($Q86&lt;0,1,ROUNDUP(IF($Q86*('Draft Center'!$L$28+'Draft Center'!$L$78-'Draft Center'!$L$82)&lt;1,1,$Q86*('Draft Center'!$L$28+'Draft Center'!$L$78-'Draft Center'!$L$82)),0)))</f>
        <v>1</v>
      </c>
      <c r="BI86" s="69">
        <f>IF(VLOOKUP($D86,$AO$14:AY$19,COLUMN()-50,0)&lt;=0,1,IF($Q86&lt;0,1,ROUNDUP(IF($Q86*('Draft Center'!$L$28+'Draft Center'!$L$78-'Draft Center'!$L$82)&lt;1,1,$Q86*('Draft Center'!$L$28+'Draft Center'!$L$78-'Draft Center'!$L$82)),0)))</f>
        <v>1</v>
      </c>
      <c r="BJ86" s="196"/>
      <c r="BK86" s="23">
        <v>1</v>
      </c>
      <c r="BL86" s="23">
        <f t="shared" si="51"/>
        <v>1</v>
      </c>
      <c r="BM86" s="23">
        <v>0</v>
      </c>
      <c r="BN86" s="23" t="str">
        <f t="shared" si="51"/>
        <v/>
      </c>
      <c r="BO86" s="23" t="str">
        <f t="shared" si="51"/>
        <v/>
      </c>
      <c r="BP86" s="23" t="str">
        <f t="shared" si="51"/>
        <v/>
      </c>
      <c r="BQ86" s="23" t="str">
        <f t="shared" si="51"/>
        <v/>
      </c>
      <c r="BR86" s="23">
        <f t="shared" si="42"/>
        <v>1</v>
      </c>
      <c r="BS86" s="23" t="str">
        <f t="shared" si="43"/>
        <v>Dak Prescott</v>
      </c>
      <c r="BT86" s="69">
        <v>1</v>
      </c>
      <c r="BU86" s="58">
        <v>2327.0337</v>
      </c>
      <c r="BV86" s="33">
        <v>1</v>
      </c>
      <c r="BW86" s="204">
        <v>2327.0337</v>
      </c>
      <c r="BX86" s="23"/>
      <c r="BY86" s="69">
        <v>1</v>
      </c>
      <c r="BZ86" s="69">
        <v>4.5</v>
      </c>
      <c r="CA86" s="69">
        <v>4.5</v>
      </c>
      <c r="CB86" s="69">
        <v>4.5</v>
      </c>
      <c r="CC86" s="69">
        <f t="shared" si="46"/>
        <v>4.5</v>
      </c>
      <c r="CD86" s="69">
        <f t="shared" si="47"/>
        <v>4.5</v>
      </c>
    </row>
    <row r="87" spans="1:82" ht="15.75" customHeight="1" thickBot="1" x14ac:dyDescent="0.3">
      <c r="A87" s="6">
        <v>86</v>
      </c>
      <c r="B87" s="7" t="s">
        <v>208</v>
      </c>
      <c r="C87" s="7" t="s">
        <v>38</v>
      </c>
      <c r="D87" s="7" t="s">
        <v>147</v>
      </c>
      <c r="E87" s="50">
        <v>1.36825791884652</v>
      </c>
      <c r="F87" s="50">
        <v>132.73724634982</v>
      </c>
      <c r="G87" s="50">
        <v>138.37624267539201</v>
      </c>
      <c r="H87" s="50">
        <v>124.5</v>
      </c>
      <c r="I87" s="8">
        <v>0</v>
      </c>
      <c r="J87" s="50">
        <v>4.5689819635574001</v>
      </c>
      <c r="K87" s="248">
        <f>IFERROR(VLOOKUP(C87,Schedule!$T$3:$U$34,2,0),"FA")</f>
        <v>6</v>
      </c>
      <c r="L87" s="7" t="str">
        <f>D87&amp;COUNTIF(D$2:$D87,D87)</f>
        <v>K9</v>
      </c>
      <c r="M87" s="50">
        <f t="array" ref="M87">IFERROR(F87-AVERAGE(VLOOKUP(D87,$D88:$F$885,3,0),INDEX($F88:$F$885,SMALL(IF(D87=$D88:$D$885,ROW($D88:$D$885)-ROW(D87)),2))),0)</f>
        <v>0.99068852021650855</v>
      </c>
      <c r="N87" s="50">
        <f>IFERROR(IF(VLOOKUP($B87,Input!$AC$2:$AC$162,1,0)=$B87,0),F87)</f>
        <v>132.73724634982</v>
      </c>
      <c r="O87" s="50">
        <f>IFERROR(IF(VLOOKUP($B87,Input!$AC$2:$AC$162,1,0)=$B87,0,G87),G87)</f>
        <v>138.37624267539201</v>
      </c>
      <c r="P87" s="50">
        <f>IF(N87=0,0,F87-AVERAGE(INDEX(F:F,MATCH(VLOOKUP(D87,Input!$A$14:$L$22,10,0),L:L,0)),INDEX(F:F,MATCH(VLOOKUP(D87,Input!$A$14:$L$22,11,0),L:L,0)),INDEX(F:F,MATCH(VLOOKUP(D87,Input!$A$14:$L$22,12,0),L:L,0)))+(0.01-ROW()*0.01))</f>
        <v>0.33426476769200464</v>
      </c>
      <c r="Q87" s="106">
        <f t="shared" si="38"/>
        <v>1.15318985255084E-4</v>
      </c>
      <c r="R87" s="8">
        <f>IF(VLOOKUP($D87,$X$14:$Y$19,2,0)&lt;=0,1,IF(Q87&lt;0,1,ROUNDUP(IF(Q87*('Draft Center'!$L$28+'Draft Center'!$L$78-'Draft Center'!$L$82)&lt;1,1,Q87*('Draft Center'!$L$28+'Draft Center'!$L$78-'Draft Center'!$L$82)),0)))</f>
        <v>1</v>
      </c>
      <c r="S87" s="8">
        <f>IF(A87&lt;Input!$B$10+0.1,IF(ROUNDUP(R87*Input!$C$10,0)=0,1,ROUNDUP(R87*Input!$C$10,0)),IF(A87&gt;Input!$B$11,IF(ROUNDUP(R87*Input!$C$11,0)=0,1,ROUNDUP(R87*Input!$C$11,0)),IF(ROUNDUP(R87,0)=0,1,ROUNDUP(R87,0))))</f>
        <v>1</v>
      </c>
      <c r="T87" s="8">
        <f t="shared" si="39"/>
        <v>1</v>
      </c>
      <c r="U87" s="8">
        <f>IFERROR(VLOOKUP($B87,Input!$AC$2:$AE$161,3,0),0)</f>
        <v>0</v>
      </c>
      <c r="V87" s="256">
        <f t="shared" si="44"/>
        <v>0</v>
      </c>
      <c r="W87" s="263">
        <f t="shared" si="45"/>
        <v>1.0008699999999999</v>
      </c>
      <c r="X87" s="27"/>
      <c r="Y87" s="23"/>
      <c r="Z87" s="23"/>
      <c r="AA87" s="23">
        <v>0</v>
      </c>
      <c r="AB87" s="23" t="str">
        <f t="shared" si="50"/>
        <v/>
      </c>
      <c r="AC87" s="23" t="str">
        <f t="shared" si="50"/>
        <v/>
      </c>
      <c r="AD87" s="23" t="str">
        <f t="shared" si="50"/>
        <v/>
      </c>
      <c r="AE87" s="23" t="str">
        <f t="shared" si="50"/>
        <v/>
      </c>
      <c r="AF87" s="23" t="str">
        <f t="shared" si="50"/>
        <v/>
      </c>
      <c r="AG87" s="23">
        <f t="shared" si="50"/>
        <v>0</v>
      </c>
      <c r="AH87" s="23">
        <f t="shared" si="40"/>
        <v>0</v>
      </c>
      <c r="AI87" s="23">
        <f t="shared" si="41"/>
        <v>0</v>
      </c>
      <c r="AJ87" s="70">
        <v>1</v>
      </c>
      <c r="AK87" s="225">
        <v>2327.0337</v>
      </c>
      <c r="AL87" s="33">
        <v>1</v>
      </c>
      <c r="AM87" s="204">
        <v>2327.0337</v>
      </c>
      <c r="AN87" s="196"/>
      <c r="AO87" s="23"/>
      <c r="AP87" s="23"/>
      <c r="AQ87" s="23"/>
      <c r="AR87" s="23"/>
      <c r="AS87" s="23"/>
      <c r="AT87" s="23"/>
      <c r="AU87" s="23"/>
      <c r="AV87" s="23"/>
      <c r="AW87" s="23"/>
      <c r="AX87" s="23"/>
      <c r="AY87" s="23"/>
      <c r="AZ87" s="196"/>
      <c r="BA87" s="70">
        <f>IF(VLOOKUP($D87,$AO$14:AQ$19,COLUMN()-50,0)&lt;=0,1,IF($Q87&lt;0,1,ROUNDUP(IF($Q87*('Draft Center'!$L$28+'Draft Center'!$L$78-'Draft Center'!$L$82)&lt;1,1,$Q87*('Draft Center'!$L$28+'Draft Center'!$L$78-'Draft Center'!$L$82)),0)))</f>
        <v>1</v>
      </c>
      <c r="BB87" s="70">
        <f>IF(VLOOKUP($D87,$AO$14:AR$19,COLUMN()-50,0)&lt;=0,1,IF($Q87&lt;0,1,ROUNDUP(IF($Q87*('Draft Center'!$L$28+'Draft Center'!$L$78-'Draft Center'!$L$82)&lt;1,1,$Q87*('Draft Center'!$L$28+'Draft Center'!$L$78-'Draft Center'!$L$82)),0)))</f>
        <v>1</v>
      </c>
      <c r="BC87" s="70">
        <f>IF(VLOOKUP($D87,$AO$14:AS$19,COLUMN()-50,0)&lt;=0,1,IF($Q87&lt;0,1,ROUNDUP(IF($Q87*('Draft Center'!$L$28+'Draft Center'!$L$78-'Draft Center'!$L$82)&lt;1,1,$Q87*('Draft Center'!$L$28+'Draft Center'!$L$78-'Draft Center'!$L$82)),0)))</f>
        <v>1</v>
      </c>
      <c r="BD87" s="70">
        <f>IF(VLOOKUP($D87,$AO$14:AT$19,COLUMN()-50,0)&lt;=0,1,IF($Q87&lt;0,1,ROUNDUP(IF($Q87*('Draft Center'!$L$28+'Draft Center'!$L$78-'Draft Center'!$L$82)&lt;1,1,$Q87*('Draft Center'!$L$28+'Draft Center'!$L$78-'Draft Center'!$L$82)),0)))</f>
        <v>1</v>
      </c>
      <c r="BE87" s="70">
        <f>IF(VLOOKUP($D87,$AO$14:AU$19,COLUMN()-50,0)&lt;=0,1,IF($Q87&lt;0,1,ROUNDUP(IF($Q87*('Draft Center'!$L$28+'Draft Center'!$L$78-'Draft Center'!$L$82)&lt;1,1,$Q87*('Draft Center'!$L$28+'Draft Center'!$L$78-'Draft Center'!$L$82)),0)))</f>
        <v>1</v>
      </c>
      <c r="BF87" s="70">
        <f>IF(VLOOKUP($D87,$AO$14:AV$19,COLUMN()-50,0)&lt;=0,1,IF($Q87&lt;0,1,ROUNDUP(IF($Q87*('Draft Center'!$L$28+'Draft Center'!$L$78-'Draft Center'!$L$82)&lt;1,1,$Q87*('Draft Center'!$L$28+'Draft Center'!$L$78-'Draft Center'!$L$82)),0)))</f>
        <v>1</v>
      </c>
      <c r="BG87" s="70">
        <f>IF(VLOOKUP($D87,$AO$14:AW$19,COLUMN()-50,0)&lt;=0,1,IF($Q87&lt;0,1,ROUNDUP(IF($Q87*('Draft Center'!$L$28+'Draft Center'!$L$78-'Draft Center'!$L$82)&lt;1,1,$Q87*('Draft Center'!$L$28+'Draft Center'!$L$78-'Draft Center'!$L$82)),0)))</f>
        <v>1</v>
      </c>
      <c r="BH87" s="70">
        <f>IF(VLOOKUP($D87,$AO$14:AX$19,COLUMN()-50,0)&lt;=0,1,IF($Q87&lt;0,1,ROUNDUP(IF($Q87*('Draft Center'!$L$28+'Draft Center'!$L$78-'Draft Center'!$L$82)&lt;1,1,$Q87*('Draft Center'!$L$28+'Draft Center'!$L$78-'Draft Center'!$L$82)),0)))</f>
        <v>1</v>
      </c>
      <c r="BI87" s="70">
        <f>IF(VLOOKUP($D87,$AO$14:AY$19,COLUMN()-50,0)&lt;=0,1,IF($Q87&lt;0,1,ROUNDUP(IF($Q87*('Draft Center'!$L$28+'Draft Center'!$L$78-'Draft Center'!$L$82)&lt;1,1,$Q87*('Draft Center'!$L$28+'Draft Center'!$L$78-'Draft Center'!$L$82)),0)))</f>
        <v>1</v>
      </c>
      <c r="BJ87" s="196"/>
      <c r="BK87" s="23">
        <v>0</v>
      </c>
      <c r="BL87" s="23" t="str">
        <f t="shared" si="51"/>
        <v/>
      </c>
      <c r="BM87" s="23">
        <v>0</v>
      </c>
      <c r="BN87" s="23" t="str">
        <f t="shared" si="51"/>
        <v/>
      </c>
      <c r="BO87" s="23" t="str">
        <f t="shared" si="51"/>
        <v/>
      </c>
      <c r="BP87" s="23" t="str">
        <f t="shared" si="51"/>
        <v/>
      </c>
      <c r="BQ87" s="23">
        <f t="shared" si="51"/>
        <v>0</v>
      </c>
      <c r="BR87" s="23">
        <f t="shared" si="42"/>
        <v>0</v>
      </c>
      <c r="BS87" s="23">
        <f t="shared" si="43"/>
        <v>0</v>
      </c>
      <c r="BT87" s="70">
        <v>1</v>
      </c>
      <c r="BU87" s="58">
        <v>2327.0337</v>
      </c>
      <c r="BV87" s="33">
        <v>1</v>
      </c>
      <c r="BW87" s="204">
        <v>2327.0337</v>
      </c>
      <c r="BX87" s="23"/>
      <c r="BY87" s="70">
        <v>1</v>
      </c>
      <c r="BZ87" s="70">
        <v>0</v>
      </c>
      <c r="CA87" s="70">
        <v>0</v>
      </c>
      <c r="CB87" s="70">
        <v>0</v>
      </c>
      <c r="CC87" s="70">
        <f t="shared" si="46"/>
        <v>0</v>
      </c>
      <c r="CD87" s="70">
        <f t="shared" si="47"/>
        <v>0</v>
      </c>
    </row>
    <row r="88" spans="1:82" ht="15.75" customHeight="1" thickBot="1" x14ac:dyDescent="0.3">
      <c r="A88" s="9">
        <v>87</v>
      </c>
      <c r="B88" s="10" t="s">
        <v>62</v>
      </c>
      <c r="C88" s="10" t="s">
        <v>21</v>
      </c>
      <c r="D88" s="10" t="s">
        <v>17</v>
      </c>
      <c r="E88" s="51">
        <v>1.0549222930714801</v>
      </c>
      <c r="F88" s="51">
        <v>213.83283856242099</v>
      </c>
      <c r="G88" s="51">
        <v>227.601002689143</v>
      </c>
      <c r="H88" s="51">
        <v>196.22013183279699</v>
      </c>
      <c r="I88" s="11">
        <v>15.3</v>
      </c>
      <c r="J88" s="51">
        <v>3.6973952627167601</v>
      </c>
      <c r="K88" s="249">
        <f>IFERROR(VLOOKUP(C88,Schedule!$T$3:$U$34,2,0),"FA")</f>
        <v>5</v>
      </c>
      <c r="L88" s="10" t="str">
        <f>D88&amp;COUNTIF(D$2:$D88,D88)</f>
        <v>WR25</v>
      </c>
      <c r="M88" s="51">
        <f t="array" ref="M88">IFERROR(F88-AVERAGE(VLOOKUP(D88,$D89:$F$885,3,0),INDEX($F89:$F$885,SMALL(IF(D88=$D89:$D$885,ROW($D89:$D$885)-ROW(D88)),2))),0)</f>
        <v>0.46096102999746336</v>
      </c>
      <c r="N88" s="51">
        <f>IFERROR(IF(VLOOKUP($B88,Input!$AC$2:$AC$162,1,0)=$B88,0),F88)</f>
        <v>213.83283856242099</v>
      </c>
      <c r="O88" s="51">
        <f>IFERROR(IF(VLOOKUP($B88,Input!$AC$2:$AC$162,1,0)=$B88,0,G88),G88)</f>
        <v>227.601002689143</v>
      </c>
      <c r="P88" s="51">
        <f>IF(N88=0,0,F88-AVERAGE(INDEX(F:F,MATCH(VLOOKUP(D88,Input!$A$14:$L$22,10,0),L:L,0)),INDEX(F:F,MATCH(VLOOKUP(D88,Input!$A$14:$L$22,11,0),L:L,0)),INDEX(F:F,MATCH(VLOOKUP(D88,Input!$A$14:$L$22,12,0),L:L,0)))+(0.01-ROW()*0.01))</f>
        <v>0.18492229307196795</v>
      </c>
      <c r="Q88" s="107">
        <f t="shared" si="38"/>
        <v>6.3796885730271581E-5</v>
      </c>
      <c r="R88" s="11">
        <f>IF(VLOOKUP($D88,$X$14:$Y$19,2,0)&lt;=0,1,IF(Q88&lt;0,1,ROUNDUP(IF(Q88*('Draft Center'!$L$28+'Draft Center'!$L$78-'Draft Center'!$L$82)&lt;1,1,Q88*('Draft Center'!$L$28+'Draft Center'!$L$78-'Draft Center'!$L$82)),0)))</f>
        <v>1</v>
      </c>
      <c r="S88" s="11">
        <f>IF(A88&lt;Input!$B$10+0.1,IF(ROUNDUP(R88*Input!$C$10,0)=0,1,ROUNDUP(R88*Input!$C$10,0)),IF(A88&gt;Input!$B$11,IF(ROUNDUP(R88*Input!$C$11,0)=0,1,ROUNDUP(R88*Input!$C$11,0)),IF(ROUNDUP(R88,0)=0,1,ROUNDUP(R88,0))))</f>
        <v>1</v>
      </c>
      <c r="T88" s="11">
        <f t="shared" si="39"/>
        <v>1</v>
      </c>
      <c r="U88" s="11">
        <f>IFERROR(VLOOKUP($B88,Input!$AC$2:$AE$161,3,0),0)</f>
        <v>0</v>
      </c>
      <c r="V88" s="257">
        <f t="shared" si="44"/>
        <v>-0.93376052287581701</v>
      </c>
      <c r="W88" s="264">
        <f t="shared" si="45"/>
        <v>-14.29912</v>
      </c>
      <c r="X88" s="27"/>
      <c r="Y88" s="23"/>
      <c r="Z88" s="23"/>
      <c r="AA88" s="23">
        <v>0</v>
      </c>
      <c r="AB88" s="23" t="str">
        <f t="shared" si="50"/>
        <v/>
      </c>
      <c r="AC88" s="23" t="str">
        <f t="shared" si="50"/>
        <v/>
      </c>
      <c r="AD88" s="23">
        <f t="shared" si="50"/>
        <v>0</v>
      </c>
      <c r="AE88" s="23" t="str">
        <f t="shared" si="50"/>
        <v/>
      </c>
      <c r="AF88" s="23" t="str">
        <f t="shared" si="50"/>
        <v/>
      </c>
      <c r="AG88" s="23" t="str">
        <f t="shared" si="50"/>
        <v/>
      </c>
      <c r="AH88" s="23">
        <f t="shared" si="40"/>
        <v>0</v>
      </c>
      <c r="AI88" s="23">
        <f t="shared" si="41"/>
        <v>0</v>
      </c>
      <c r="AJ88" s="69">
        <v>1</v>
      </c>
      <c r="AK88" s="225">
        <v>2327.0337</v>
      </c>
      <c r="AL88" s="33">
        <v>1</v>
      </c>
      <c r="AM88" s="204">
        <v>2327.0337</v>
      </c>
      <c r="AN88" s="196"/>
      <c r="AO88" s="23"/>
      <c r="AP88" s="23"/>
      <c r="AQ88" s="23"/>
      <c r="AR88" s="23"/>
      <c r="AS88" s="23"/>
      <c r="AT88" s="23"/>
      <c r="AU88" s="23"/>
      <c r="AV88" s="23"/>
      <c r="AW88" s="23"/>
      <c r="AX88" s="23"/>
      <c r="AY88" s="23"/>
      <c r="AZ88" s="196"/>
      <c r="BA88" s="69">
        <f>IF(VLOOKUP($D88,$AO$14:AQ$19,COLUMN()-50,0)&lt;=0,1,IF($Q88&lt;0,1,ROUNDUP(IF($Q88*('Draft Center'!$L$28+'Draft Center'!$L$78-'Draft Center'!$L$82)&lt;1,1,$Q88*('Draft Center'!$L$28+'Draft Center'!$L$78-'Draft Center'!$L$82)),0)))</f>
        <v>1</v>
      </c>
      <c r="BB88" s="69">
        <f>IF(VLOOKUP($D88,$AO$14:AR$19,COLUMN()-50,0)&lt;=0,1,IF($Q88&lt;0,1,ROUNDUP(IF($Q88*('Draft Center'!$L$28+'Draft Center'!$L$78-'Draft Center'!$L$82)&lt;1,1,$Q88*('Draft Center'!$L$28+'Draft Center'!$L$78-'Draft Center'!$L$82)),0)))</f>
        <v>1</v>
      </c>
      <c r="BC88" s="69">
        <f>IF(VLOOKUP($D88,$AO$14:AS$19,COLUMN()-50,0)&lt;=0,1,IF($Q88&lt;0,1,ROUNDUP(IF($Q88*('Draft Center'!$L$28+'Draft Center'!$L$78-'Draft Center'!$L$82)&lt;1,1,$Q88*('Draft Center'!$L$28+'Draft Center'!$L$78-'Draft Center'!$L$82)),0)))</f>
        <v>1</v>
      </c>
      <c r="BD88" s="69">
        <f>IF(VLOOKUP($D88,$AO$14:AT$19,COLUMN()-50,0)&lt;=0,1,IF($Q88&lt;0,1,ROUNDUP(IF($Q88*('Draft Center'!$L$28+'Draft Center'!$L$78-'Draft Center'!$L$82)&lt;1,1,$Q88*('Draft Center'!$L$28+'Draft Center'!$L$78-'Draft Center'!$L$82)),0)))</f>
        <v>1</v>
      </c>
      <c r="BE88" s="69">
        <f>IF(VLOOKUP($D88,$AO$14:AU$19,COLUMN()-50,0)&lt;=0,1,IF($Q88&lt;0,1,ROUNDUP(IF($Q88*('Draft Center'!$L$28+'Draft Center'!$L$78-'Draft Center'!$L$82)&lt;1,1,$Q88*('Draft Center'!$L$28+'Draft Center'!$L$78-'Draft Center'!$L$82)),0)))</f>
        <v>1</v>
      </c>
      <c r="BF88" s="69">
        <f>IF(VLOOKUP($D88,$AO$14:AV$19,COLUMN()-50,0)&lt;=0,1,IF($Q88&lt;0,1,ROUNDUP(IF($Q88*('Draft Center'!$L$28+'Draft Center'!$L$78-'Draft Center'!$L$82)&lt;1,1,$Q88*('Draft Center'!$L$28+'Draft Center'!$L$78-'Draft Center'!$L$82)),0)))</f>
        <v>1</v>
      </c>
      <c r="BG88" s="69">
        <f>IF(VLOOKUP($D88,$AO$14:AW$19,COLUMN()-50,0)&lt;=0,1,IF($Q88&lt;0,1,ROUNDUP(IF($Q88*('Draft Center'!$L$28+'Draft Center'!$L$78-'Draft Center'!$L$82)&lt;1,1,$Q88*('Draft Center'!$L$28+'Draft Center'!$L$78-'Draft Center'!$L$82)),0)))</f>
        <v>1</v>
      </c>
      <c r="BH88" s="69">
        <f>IF(VLOOKUP($D88,$AO$14:AX$19,COLUMN()-50,0)&lt;=0,1,IF($Q88&lt;0,1,ROUNDUP(IF($Q88*('Draft Center'!$L$28+'Draft Center'!$L$78-'Draft Center'!$L$82)&lt;1,1,$Q88*('Draft Center'!$L$28+'Draft Center'!$L$78-'Draft Center'!$L$82)),0)))</f>
        <v>1</v>
      </c>
      <c r="BI88" s="69">
        <f>IF(VLOOKUP($D88,$AO$14:AY$19,COLUMN()-50,0)&lt;=0,1,IF($Q88&lt;0,1,ROUNDUP(IF($Q88*('Draft Center'!$L$28+'Draft Center'!$L$78-'Draft Center'!$L$82)&lt;1,1,$Q88*('Draft Center'!$L$28+'Draft Center'!$L$78-'Draft Center'!$L$82)),0)))</f>
        <v>1</v>
      </c>
      <c r="BJ88" s="196"/>
      <c r="BK88" s="23">
        <v>1</v>
      </c>
      <c r="BL88" s="23" t="str">
        <f t="shared" si="51"/>
        <v/>
      </c>
      <c r="BM88" s="23">
        <v>0</v>
      </c>
      <c r="BN88" s="23">
        <f t="shared" si="51"/>
        <v>1</v>
      </c>
      <c r="BO88" s="23" t="str">
        <f t="shared" si="51"/>
        <v/>
      </c>
      <c r="BP88" s="23" t="str">
        <f t="shared" si="51"/>
        <v/>
      </c>
      <c r="BQ88" s="23" t="str">
        <f t="shared" si="51"/>
        <v/>
      </c>
      <c r="BR88" s="23">
        <f t="shared" si="42"/>
        <v>1</v>
      </c>
      <c r="BS88" s="23" t="str">
        <f t="shared" si="43"/>
        <v>Emmanuel Sanders</v>
      </c>
      <c r="BT88" s="69">
        <v>1</v>
      </c>
      <c r="BU88" s="58">
        <v>2327.0337</v>
      </c>
      <c r="BV88" s="33">
        <v>1</v>
      </c>
      <c r="BW88" s="204">
        <v>2327.0337</v>
      </c>
      <c r="BX88" s="23"/>
      <c r="BY88" s="69">
        <v>1</v>
      </c>
      <c r="BZ88" s="69">
        <v>15.3</v>
      </c>
      <c r="CA88" s="69">
        <v>15.3</v>
      </c>
      <c r="CB88" s="69">
        <v>15.3</v>
      </c>
      <c r="CC88" s="69">
        <f t="shared" si="46"/>
        <v>15.300000000000002</v>
      </c>
      <c r="CD88" s="69">
        <f t="shared" si="47"/>
        <v>15.3</v>
      </c>
    </row>
    <row r="89" spans="1:82" ht="15.75" customHeight="1" thickBot="1" x14ac:dyDescent="0.3">
      <c r="A89" s="6">
        <v>88</v>
      </c>
      <c r="B89" s="7" t="s">
        <v>81</v>
      </c>
      <c r="C89" s="7" t="s">
        <v>927</v>
      </c>
      <c r="D89" s="7" t="s">
        <v>17</v>
      </c>
      <c r="E89" s="50">
        <v>0.91830303019332904</v>
      </c>
      <c r="F89" s="50">
        <v>213.69621929954201</v>
      </c>
      <c r="G89" s="50">
        <v>225.418081300041</v>
      </c>
      <c r="H89" s="50">
        <v>196.441386179923</v>
      </c>
      <c r="I89" s="8">
        <v>19</v>
      </c>
      <c r="J89" s="50">
        <v>3.6259660400456002</v>
      </c>
      <c r="K89" s="248">
        <f>IFERROR(VLOOKUP(C89,Schedule!$T$3:$U$34,2,0),"FA")</f>
        <v>9</v>
      </c>
      <c r="L89" s="7" t="str">
        <f>D89&amp;COUNTIF(D$2:$D89,D89)</f>
        <v>WR26</v>
      </c>
      <c r="M89" s="50">
        <f t="array" ref="M89">IFERROR(F89-AVERAGE(VLOOKUP(D89,$D90:$F$885,3,0),INDEX($F90:$F$885,SMALL(IF(D89=$D90:$D$885,ROW($D90:$D$885)-ROW(D89)),2))),0)</f>
        <v>1.3774545452894813</v>
      </c>
      <c r="N89" s="50">
        <f>IFERROR(IF(VLOOKUP($B89,Input!$AC$2:$AC$162,1,0)=$B89,0),F89)</f>
        <v>213.69621929954201</v>
      </c>
      <c r="O89" s="50">
        <f>IFERROR(IF(VLOOKUP($B89,Input!$AC$2:$AC$162,1,0)=$B89,0,G89),G89)</f>
        <v>225.418081300041</v>
      </c>
      <c r="P89" s="50">
        <f>IF(N89=0,0,F89-AVERAGE(INDEX(F:F,MATCH(VLOOKUP(D89,Input!$A$14:$L$22,10,0),L:L,0)),INDEX(F:F,MATCH(VLOOKUP(D89,Input!$A$14:$L$22,11,0),L:L,0)),INDEX(F:F,MATCH(VLOOKUP(D89,Input!$A$14:$L$22,12,0),L:L,0)))+(0.01-ROW()*0.01))</f>
        <v>3.8303030192987531E-2</v>
      </c>
      <c r="Q89" s="106">
        <f t="shared" si="38"/>
        <v>1.3214275032779111E-5</v>
      </c>
      <c r="R89" s="8">
        <f>IF(VLOOKUP($D89,$X$14:$Y$19,2,0)&lt;=0,1,IF(Q89&lt;0,1,ROUNDUP(IF(Q89*('Draft Center'!$L$28+'Draft Center'!$L$78-'Draft Center'!$L$82)&lt;1,1,Q89*('Draft Center'!$L$28+'Draft Center'!$L$78-'Draft Center'!$L$82)),0)))</f>
        <v>1</v>
      </c>
      <c r="S89" s="8">
        <f>IF(A89&lt;Input!$B$10+0.1,IF(ROUNDUP(R89*Input!$C$10,0)=0,1,ROUNDUP(R89*Input!$C$10,0)),IF(A89&gt;Input!$B$11,IF(ROUNDUP(R89*Input!$C$11,0)=0,1,ROUNDUP(R89*Input!$C$11,0)),IF(ROUNDUP(R89,0)=0,1,ROUNDUP(R89,0))))</f>
        <v>1</v>
      </c>
      <c r="T89" s="8">
        <f t="shared" si="39"/>
        <v>1</v>
      </c>
      <c r="U89" s="8">
        <f>IFERROR(VLOOKUP($B89,Input!$AC$2:$AE$161,3,0),0)</f>
        <v>0</v>
      </c>
      <c r="V89" s="256">
        <f t="shared" si="44"/>
        <v>-0.94647842105263158</v>
      </c>
      <c r="W89" s="263">
        <f t="shared" si="45"/>
        <v>-17.999110000000002</v>
      </c>
      <c r="X89" s="27"/>
      <c r="Y89" s="23"/>
      <c r="Z89" s="23"/>
      <c r="AA89" s="23">
        <v>0</v>
      </c>
      <c r="AB89" s="23" t="str">
        <f t="shared" si="50"/>
        <v/>
      </c>
      <c r="AC89" s="23" t="str">
        <f t="shared" si="50"/>
        <v/>
      </c>
      <c r="AD89" s="23">
        <f t="shared" si="50"/>
        <v>0</v>
      </c>
      <c r="AE89" s="23" t="str">
        <f t="shared" si="50"/>
        <v/>
      </c>
      <c r="AF89" s="23" t="str">
        <f t="shared" si="50"/>
        <v/>
      </c>
      <c r="AG89" s="23" t="str">
        <f t="shared" si="50"/>
        <v/>
      </c>
      <c r="AH89" s="23">
        <f t="shared" si="40"/>
        <v>0</v>
      </c>
      <c r="AI89" s="23">
        <f t="shared" si="41"/>
        <v>0</v>
      </c>
      <c r="AJ89" s="70">
        <v>1</v>
      </c>
      <c r="AK89" s="225">
        <v>2327.0337</v>
      </c>
      <c r="AL89" s="33">
        <v>1</v>
      </c>
      <c r="AM89" s="204">
        <v>2327.0337</v>
      </c>
      <c r="AN89" s="196"/>
      <c r="AO89" s="23"/>
      <c r="AP89" s="23"/>
      <c r="AQ89" s="23"/>
      <c r="AR89" s="23"/>
      <c r="AS89" s="23"/>
      <c r="AT89" s="23"/>
      <c r="AU89" s="23"/>
      <c r="AV89" s="23"/>
      <c r="AW89" s="23"/>
      <c r="AX89" s="23"/>
      <c r="AY89" s="23"/>
      <c r="AZ89" s="196"/>
      <c r="BA89" s="70">
        <f>IF(VLOOKUP($D89,$AO$14:AQ$19,COLUMN()-50,0)&lt;=0,1,IF($Q89&lt;0,1,ROUNDUP(IF($Q89*('Draft Center'!$L$28+'Draft Center'!$L$78-'Draft Center'!$L$82)&lt;1,1,$Q89*('Draft Center'!$L$28+'Draft Center'!$L$78-'Draft Center'!$L$82)),0)))</f>
        <v>1</v>
      </c>
      <c r="BB89" s="70">
        <f>IF(VLOOKUP($D89,$AO$14:AR$19,COLUMN()-50,0)&lt;=0,1,IF($Q89&lt;0,1,ROUNDUP(IF($Q89*('Draft Center'!$L$28+'Draft Center'!$L$78-'Draft Center'!$L$82)&lt;1,1,$Q89*('Draft Center'!$L$28+'Draft Center'!$L$78-'Draft Center'!$L$82)),0)))</f>
        <v>1</v>
      </c>
      <c r="BC89" s="70">
        <f>IF(VLOOKUP($D89,$AO$14:AS$19,COLUMN()-50,0)&lt;=0,1,IF($Q89&lt;0,1,ROUNDUP(IF($Q89*('Draft Center'!$L$28+'Draft Center'!$L$78-'Draft Center'!$L$82)&lt;1,1,$Q89*('Draft Center'!$L$28+'Draft Center'!$L$78-'Draft Center'!$L$82)),0)))</f>
        <v>1</v>
      </c>
      <c r="BD89" s="70">
        <f>IF(VLOOKUP($D89,$AO$14:AT$19,COLUMN()-50,0)&lt;=0,1,IF($Q89&lt;0,1,ROUNDUP(IF($Q89*('Draft Center'!$L$28+'Draft Center'!$L$78-'Draft Center'!$L$82)&lt;1,1,$Q89*('Draft Center'!$L$28+'Draft Center'!$L$78-'Draft Center'!$L$82)),0)))</f>
        <v>1</v>
      </c>
      <c r="BE89" s="70">
        <f>IF(VLOOKUP($D89,$AO$14:AU$19,COLUMN()-50,0)&lt;=0,1,IF($Q89&lt;0,1,ROUNDUP(IF($Q89*('Draft Center'!$L$28+'Draft Center'!$L$78-'Draft Center'!$L$82)&lt;1,1,$Q89*('Draft Center'!$L$28+'Draft Center'!$L$78-'Draft Center'!$L$82)),0)))</f>
        <v>1</v>
      </c>
      <c r="BF89" s="70">
        <f>IF(VLOOKUP($D89,$AO$14:AV$19,COLUMN()-50,0)&lt;=0,1,IF($Q89&lt;0,1,ROUNDUP(IF($Q89*('Draft Center'!$L$28+'Draft Center'!$L$78-'Draft Center'!$L$82)&lt;1,1,$Q89*('Draft Center'!$L$28+'Draft Center'!$L$78-'Draft Center'!$L$82)),0)))</f>
        <v>1</v>
      </c>
      <c r="BG89" s="70">
        <f>IF(VLOOKUP($D89,$AO$14:AW$19,COLUMN()-50,0)&lt;=0,1,IF($Q89&lt;0,1,ROUNDUP(IF($Q89*('Draft Center'!$L$28+'Draft Center'!$L$78-'Draft Center'!$L$82)&lt;1,1,$Q89*('Draft Center'!$L$28+'Draft Center'!$L$78-'Draft Center'!$L$82)),0)))</f>
        <v>1</v>
      </c>
      <c r="BH89" s="70">
        <f>IF(VLOOKUP($D89,$AO$14:AX$19,COLUMN()-50,0)&lt;=0,1,IF($Q89&lt;0,1,ROUNDUP(IF($Q89*('Draft Center'!$L$28+'Draft Center'!$L$78-'Draft Center'!$L$82)&lt;1,1,$Q89*('Draft Center'!$L$28+'Draft Center'!$L$78-'Draft Center'!$L$82)),0)))</f>
        <v>1</v>
      </c>
      <c r="BI89" s="70">
        <f>IF(VLOOKUP($D89,$AO$14:AY$19,COLUMN()-50,0)&lt;=0,1,IF($Q89&lt;0,1,ROUNDUP(IF($Q89*('Draft Center'!$L$28+'Draft Center'!$L$78-'Draft Center'!$L$82)&lt;1,1,$Q89*('Draft Center'!$L$28+'Draft Center'!$L$78-'Draft Center'!$L$82)),0)))</f>
        <v>1</v>
      </c>
      <c r="BJ89" s="196"/>
      <c r="BK89" s="23">
        <v>0</v>
      </c>
      <c r="BL89" s="23" t="str">
        <f t="shared" si="51"/>
        <v/>
      </c>
      <c r="BM89" s="23">
        <v>0</v>
      </c>
      <c r="BN89" s="23">
        <f t="shared" si="51"/>
        <v>0</v>
      </c>
      <c r="BO89" s="23" t="str">
        <f t="shared" si="51"/>
        <v/>
      </c>
      <c r="BP89" s="23" t="str">
        <f t="shared" si="51"/>
        <v/>
      </c>
      <c r="BQ89" s="23" t="str">
        <f t="shared" si="51"/>
        <v/>
      </c>
      <c r="BR89" s="23">
        <f t="shared" si="42"/>
        <v>0</v>
      </c>
      <c r="BS89" s="23">
        <f t="shared" si="43"/>
        <v>0</v>
      </c>
      <c r="BT89" s="70">
        <v>1</v>
      </c>
      <c r="BU89" s="58">
        <v>2327.0337</v>
      </c>
      <c r="BV89" s="33">
        <v>1</v>
      </c>
      <c r="BW89" s="204">
        <v>2327.0337</v>
      </c>
      <c r="BX89" s="23"/>
      <c r="BY89" s="70">
        <v>1</v>
      </c>
      <c r="BZ89" s="70">
        <v>19</v>
      </c>
      <c r="CA89" s="70">
        <v>19</v>
      </c>
      <c r="CB89" s="70">
        <v>19</v>
      </c>
      <c r="CC89" s="70">
        <f t="shared" si="46"/>
        <v>19</v>
      </c>
      <c r="CD89" s="70">
        <f t="shared" si="47"/>
        <v>19</v>
      </c>
    </row>
    <row r="90" spans="1:82" ht="15.75" customHeight="1" thickBot="1" x14ac:dyDescent="0.3">
      <c r="A90" s="9">
        <v>89</v>
      </c>
      <c r="B90" s="10" t="s">
        <v>136</v>
      </c>
      <c r="C90" s="10" t="s">
        <v>23</v>
      </c>
      <c r="D90" s="10" t="s">
        <v>19</v>
      </c>
      <c r="E90" s="51">
        <v>0.7006824893611</v>
      </c>
      <c r="F90" s="51">
        <v>169.80308051531301</v>
      </c>
      <c r="G90" s="51">
        <v>187.47697594666201</v>
      </c>
      <c r="H90" s="51">
        <v>125.142208504801</v>
      </c>
      <c r="I90" s="11">
        <v>5.6</v>
      </c>
      <c r="J90" s="51">
        <v>4.9201408913673497</v>
      </c>
      <c r="K90" s="249">
        <f>IFERROR(VLOOKUP(C90,Schedule!$T$3:$U$34,2,0),"FA")</f>
        <v>5</v>
      </c>
      <c r="L90" s="10" t="str">
        <f>D90&amp;COUNTIF(D$2:$D90,D90)</f>
        <v>RB24</v>
      </c>
      <c r="M90" s="51">
        <f t="array" ref="M90">IFERROR(F90-AVERAGE(VLOOKUP(D90,$D91:$F$885,3,0),INDEX($F91:$F$885,SMALL(IF(D90=$D91:$D$885,ROW($D91:$D$885)-ROW(D90)),2))),0)</f>
        <v>1.0510237340415074</v>
      </c>
      <c r="N90" s="51">
        <f>IFERROR(IF(VLOOKUP($B90,Input!$AC$2:$AC$162,1,0)=$B90,0),F90)</f>
        <v>169.80308051531301</v>
      </c>
      <c r="O90" s="51">
        <f>IFERROR(IF(VLOOKUP($B90,Input!$AC$2:$AC$162,1,0)=$B90,0,G90),G90)</f>
        <v>187.47697594666201</v>
      </c>
      <c r="P90" s="51">
        <f>IF(N90=0,0,F90-AVERAGE(INDEX(F:F,MATCH(VLOOKUP(D90,Input!$A$14:$L$22,10,0),L:L,0)),INDEX(F:F,MATCH(VLOOKUP(D90,Input!$A$14:$L$22,11,0),L:L,0)),INDEX(F:F,MATCH(VLOOKUP(D90,Input!$A$14:$L$22,12,0),L:L,0)))+(0.01-ROW()*0.01))</f>
        <v>-0.18931751063898561</v>
      </c>
      <c r="Q90" s="107">
        <f t="shared" si="38"/>
        <v>-6.5313204764740729E-5</v>
      </c>
      <c r="R90" s="11">
        <f>IF(VLOOKUP($D90,$X$14:$Y$19,2,0)&lt;=0,1,IF(Q90&lt;0,1,ROUNDUP(IF(Q90*('Draft Center'!$L$28+'Draft Center'!$L$78-'Draft Center'!$L$82)&lt;1,1,Q90*('Draft Center'!$L$28+'Draft Center'!$L$78-'Draft Center'!$L$82)),0)))</f>
        <v>1</v>
      </c>
      <c r="S90" s="11">
        <f>IF(A90&lt;Input!$B$10+0.1,IF(ROUNDUP(R90*Input!$C$10,0)=0,1,ROUNDUP(R90*Input!$C$10,0)),IF(A90&gt;Input!$B$11,IF(ROUNDUP(R90*Input!$C$11,0)=0,1,ROUNDUP(R90*Input!$C$11,0)),IF(ROUNDUP(R90,0)=0,1,ROUNDUP(R90,0))))</f>
        <v>1</v>
      </c>
      <c r="T90" s="11">
        <f t="shared" si="39"/>
        <v>1</v>
      </c>
      <c r="U90" s="11">
        <f>IFERROR(VLOOKUP($B90,Input!$AC$2:$AE$161,3,0),0)</f>
        <v>0</v>
      </c>
      <c r="V90" s="257">
        <f t="shared" si="44"/>
        <v>-0.82052857142857138</v>
      </c>
      <c r="W90" s="264">
        <f t="shared" si="45"/>
        <v>-4.5991</v>
      </c>
      <c r="X90" s="27"/>
      <c r="Y90" s="23"/>
      <c r="Z90" s="23"/>
      <c r="AA90" s="23">
        <v>0</v>
      </c>
      <c r="AB90" s="23" t="str">
        <f t="shared" si="50"/>
        <v/>
      </c>
      <c r="AC90" s="23">
        <f t="shared" si="50"/>
        <v>0</v>
      </c>
      <c r="AD90" s="23" t="str">
        <f t="shared" si="50"/>
        <v/>
      </c>
      <c r="AE90" s="23" t="str">
        <f t="shared" si="50"/>
        <v/>
      </c>
      <c r="AF90" s="23" t="str">
        <f t="shared" si="50"/>
        <v/>
      </c>
      <c r="AG90" s="23" t="str">
        <f t="shared" si="50"/>
        <v/>
      </c>
      <c r="AH90" s="23">
        <f t="shared" si="40"/>
        <v>0</v>
      </c>
      <c r="AI90" s="23">
        <f t="shared" si="41"/>
        <v>0</v>
      </c>
      <c r="AJ90" s="69">
        <v>1</v>
      </c>
      <c r="AK90" s="225">
        <v>2327.0337</v>
      </c>
      <c r="AL90" s="33">
        <v>1</v>
      </c>
      <c r="AM90" s="204">
        <v>2327.0337</v>
      </c>
      <c r="AN90" s="196"/>
      <c r="AO90" s="23"/>
      <c r="AP90" s="23"/>
      <c r="AQ90" s="23"/>
      <c r="AR90" s="23"/>
      <c r="AS90" s="23"/>
      <c r="AT90" s="23"/>
      <c r="AU90" s="23"/>
      <c r="AV90" s="23"/>
      <c r="AW90" s="23"/>
      <c r="AX90" s="23"/>
      <c r="AY90" s="23"/>
      <c r="AZ90" s="196"/>
      <c r="BA90" s="69">
        <f>IF(VLOOKUP($D90,$AO$14:AQ$19,COLUMN()-50,0)&lt;=0,1,IF($Q90&lt;0,1,ROUNDUP(IF($Q90*('Draft Center'!$L$28+'Draft Center'!$L$78-'Draft Center'!$L$82)&lt;1,1,$Q90*('Draft Center'!$L$28+'Draft Center'!$L$78-'Draft Center'!$L$82)),0)))</f>
        <v>1</v>
      </c>
      <c r="BB90" s="69">
        <f>IF(VLOOKUP($D90,$AO$14:AR$19,COLUMN()-50,0)&lt;=0,1,IF($Q90&lt;0,1,ROUNDUP(IF($Q90*('Draft Center'!$L$28+'Draft Center'!$L$78-'Draft Center'!$L$82)&lt;1,1,$Q90*('Draft Center'!$L$28+'Draft Center'!$L$78-'Draft Center'!$L$82)),0)))</f>
        <v>1</v>
      </c>
      <c r="BC90" s="69">
        <f>IF(VLOOKUP($D90,$AO$14:AS$19,COLUMN()-50,0)&lt;=0,1,IF($Q90&lt;0,1,ROUNDUP(IF($Q90*('Draft Center'!$L$28+'Draft Center'!$L$78-'Draft Center'!$L$82)&lt;1,1,$Q90*('Draft Center'!$L$28+'Draft Center'!$L$78-'Draft Center'!$L$82)),0)))</f>
        <v>1</v>
      </c>
      <c r="BD90" s="69">
        <f>IF(VLOOKUP($D90,$AO$14:AT$19,COLUMN()-50,0)&lt;=0,1,IF($Q90&lt;0,1,ROUNDUP(IF($Q90*('Draft Center'!$L$28+'Draft Center'!$L$78-'Draft Center'!$L$82)&lt;1,1,$Q90*('Draft Center'!$L$28+'Draft Center'!$L$78-'Draft Center'!$L$82)),0)))</f>
        <v>1</v>
      </c>
      <c r="BE90" s="69">
        <f>IF(VLOOKUP($D90,$AO$14:AU$19,COLUMN()-50,0)&lt;=0,1,IF($Q90&lt;0,1,ROUNDUP(IF($Q90*('Draft Center'!$L$28+'Draft Center'!$L$78-'Draft Center'!$L$82)&lt;1,1,$Q90*('Draft Center'!$L$28+'Draft Center'!$L$78-'Draft Center'!$L$82)),0)))</f>
        <v>1</v>
      </c>
      <c r="BF90" s="69">
        <f>IF(VLOOKUP($D90,$AO$14:AV$19,COLUMN()-50,0)&lt;=0,1,IF($Q90&lt;0,1,ROUNDUP(IF($Q90*('Draft Center'!$L$28+'Draft Center'!$L$78-'Draft Center'!$L$82)&lt;1,1,$Q90*('Draft Center'!$L$28+'Draft Center'!$L$78-'Draft Center'!$L$82)),0)))</f>
        <v>1</v>
      </c>
      <c r="BG90" s="69">
        <f>IF(VLOOKUP($D90,$AO$14:AW$19,COLUMN()-50,0)&lt;=0,1,IF($Q90&lt;0,1,ROUNDUP(IF($Q90*('Draft Center'!$L$28+'Draft Center'!$L$78-'Draft Center'!$L$82)&lt;1,1,$Q90*('Draft Center'!$L$28+'Draft Center'!$L$78-'Draft Center'!$L$82)),0)))</f>
        <v>1</v>
      </c>
      <c r="BH90" s="69">
        <f>IF(VLOOKUP($D90,$AO$14:AX$19,COLUMN()-50,0)&lt;=0,1,IF($Q90&lt;0,1,ROUNDUP(IF($Q90*('Draft Center'!$L$28+'Draft Center'!$L$78-'Draft Center'!$L$82)&lt;1,1,$Q90*('Draft Center'!$L$28+'Draft Center'!$L$78-'Draft Center'!$L$82)),0)))</f>
        <v>1</v>
      </c>
      <c r="BI90" s="69">
        <f>IF(VLOOKUP($D90,$AO$14:AY$19,COLUMN()-50,0)&lt;=0,1,IF($Q90&lt;0,1,ROUNDUP(IF($Q90*('Draft Center'!$L$28+'Draft Center'!$L$78-'Draft Center'!$L$82)&lt;1,1,$Q90*('Draft Center'!$L$28+'Draft Center'!$L$78-'Draft Center'!$L$82)),0)))</f>
        <v>1</v>
      </c>
      <c r="BJ90" s="196"/>
      <c r="BK90" s="23">
        <v>0</v>
      </c>
      <c r="BL90" s="23" t="str">
        <f t="shared" si="51"/>
        <v/>
      </c>
      <c r="BM90" s="23">
        <v>0</v>
      </c>
      <c r="BN90" s="23" t="str">
        <f t="shared" si="51"/>
        <v/>
      </c>
      <c r="BO90" s="23" t="str">
        <f t="shared" si="51"/>
        <v/>
      </c>
      <c r="BP90" s="23" t="str">
        <f t="shared" si="51"/>
        <v/>
      </c>
      <c r="BQ90" s="23" t="str">
        <f t="shared" si="51"/>
        <v/>
      </c>
      <c r="BR90" s="23">
        <f t="shared" si="42"/>
        <v>0</v>
      </c>
      <c r="BS90" s="23">
        <f t="shared" si="43"/>
        <v>0</v>
      </c>
      <c r="BT90" s="69">
        <v>1</v>
      </c>
      <c r="BU90" s="58">
        <v>2327.0337</v>
      </c>
      <c r="BV90" s="33">
        <v>1</v>
      </c>
      <c r="BW90" s="204">
        <v>2327.0337</v>
      </c>
      <c r="BX90" s="23"/>
      <c r="BY90" s="69">
        <v>1</v>
      </c>
      <c r="BZ90" s="69">
        <v>5.6</v>
      </c>
      <c r="CA90" s="69">
        <v>5.6</v>
      </c>
      <c r="CB90" s="69">
        <v>5.6</v>
      </c>
      <c r="CC90" s="69">
        <f t="shared" si="46"/>
        <v>5.5999999999999988</v>
      </c>
      <c r="CD90" s="69">
        <f t="shared" si="47"/>
        <v>5.6</v>
      </c>
    </row>
    <row r="91" spans="1:82" ht="15.75" customHeight="1" thickBot="1" x14ac:dyDescent="0.3">
      <c r="A91" s="77">
        <v>90</v>
      </c>
      <c r="B91" s="78" t="s">
        <v>225</v>
      </c>
      <c r="C91" s="78" t="s">
        <v>47</v>
      </c>
      <c r="D91" s="78" t="s">
        <v>147</v>
      </c>
      <c r="E91" s="79">
        <v>0.58114564610619401</v>
      </c>
      <c r="F91" s="79">
        <v>131.95013407707901</v>
      </c>
      <c r="G91" s="79">
        <v>137.77861383003699</v>
      </c>
      <c r="H91" s="79">
        <v>123.817639389598</v>
      </c>
      <c r="I91" s="80">
        <v>1</v>
      </c>
      <c r="J91" s="79">
        <v>4.5998224612211001</v>
      </c>
      <c r="K91" s="250">
        <f>IFERROR(VLOOKUP(C91,Schedule!$T$3:$U$34,2,0),"FA")</f>
        <v>10</v>
      </c>
      <c r="L91" s="78" t="str">
        <f>D91&amp;COUNTIF(D$2:$D91,D91)</f>
        <v>K10</v>
      </c>
      <c r="M91" s="79">
        <f t="array" ref="M91">IFERROR(F91-AVERAGE(VLOOKUP(D91,$D92:$F$885,3,0),INDEX($F92:$F$885,SMALL(IF(D91=$D92:$D$885,ROW($D92:$D$885)-ROW(D91)),2))),0)</f>
        <v>0.87171846915853735</v>
      </c>
      <c r="N91" s="79">
        <f>IFERROR(IF(VLOOKUP($B91,Input!$AC$2:$AC$162,1,0)=$B91,0),F91)</f>
        <v>131.95013407707901</v>
      </c>
      <c r="O91" s="79">
        <f>IFERROR(IF(VLOOKUP($B91,Input!$AC$2:$AC$162,1,0)=$B91,0,G91),G91)</f>
        <v>137.77861383003699</v>
      </c>
      <c r="P91" s="79">
        <f>IF(N91=0,0,F91-AVERAGE(INDEX(F:F,MATCH(VLOOKUP(D91,Input!$A$14:$L$22,10,0),L:L,0)),INDEX(F:F,MATCH(VLOOKUP(D91,Input!$A$14:$L$22,11,0),L:L,0)),INDEX(F:F,MATCH(VLOOKUP(D91,Input!$A$14:$L$22,12,0),L:L,0)))+(0.01-ROW()*0.01))</f>
        <v>-0.49284750504897945</v>
      </c>
      <c r="Q91" s="108">
        <f t="shared" si="38"/>
        <v>-1.700289101964713E-4</v>
      </c>
      <c r="R91" s="80">
        <f>IF(VLOOKUP($D91,$X$14:$Y$19,2,0)&lt;=0,1,IF(Q91&lt;0,1,ROUNDUP(IF(Q91*('Draft Center'!$L$28+'Draft Center'!$L$78-'Draft Center'!$L$82)&lt;1,1,Q91*('Draft Center'!$L$28+'Draft Center'!$L$78-'Draft Center'!$L$82)),0)))</f>
        <v>1</v>
      </c>
      <c r="S91" s="80">
        <f>IF(A91&lt;Input!$B$10+0.1,IF(ROUNDUP(R91*Input!$C$10,0)=0,1,ROUNDUP(R91*Input!$C$10,0)),IF(A91&gt;Input!$B$11,IF(ROUNDUP(R91*Input!$C$11,0)=0,1,ROUNDUP(R91*Input!$C$11,0)),IF(ROUNDUP(R91,0)=0,1,ROUNDUP(R91,0))))</f>
        <v>1</v>
      </c>
      <c r="T91" s="80">
        <f t="shared" si="39"/>
        <v>1</v>
      </c>
      <c r="U91" s="80">
        <f>IFERROR(VLOOKUP($B91,Input!$AC$2:$AE$161,3,0),0)</f>
        <v>0</v>
      </c>
      <c r="V91" s="258">
        <f t="shared" si="44"/>
        <v>9.1000000000000011E-4</v>
      </c>
      <c r="W91" s="267">
        <f t="shared" si="45"/>
        <v>9.1000000000000011E-4</v>
      </c>
      <c r="X91" s="27"/>
      <c r="Y91" s="23"/>
      <c r="Z91" s="23"/>
      <c r="AA91" s="23">
        <v>0</v>
      </c>
      <c r="AB91" s="23" t="str">
        <f t="shared" si="50"/>
        <v/>
      </c>
      <c r="AC91" s="23" t="str">
        <f t="shared" si="50"/>
        <v/>
      </c>
      <c r="AD91" s="23" t="str">
        <f t="shared" si="50"/>
        <v/>
      </c>
      <c r="AE91" s="23" t="str">
        <f t="shared" si="50"/>
        <v/>
      </c>
      <c r="AF91" s="23" t="str">
        <f t="shared" si="50"/>
        <v/>
      </c>
      <c r="AG91" s="23">
        <f t="shared" si="50"/>
        <v>0</v>
      </c>
      <c r="AH91" s="23">
        <f t="shared" si="40"/>
        <v>0</v>
      </c>
      <c r="AI91" s="23">
        <f t="shared" si="41"/>
        <v>0</v>
      </c>
      <c r="AJ91" s="71">
        <v>1</v>
      </c>
      <c r="AK91" s="225">
        <v>2327.0337</v>
      </c>
      <c r="AL91" s="33">
        <v>1</v>
      </c>
      <c r="AM91" s="204">
        <v>2327.0337</v>
      </c>
      <c r="AN91" s="196"/>
      <c r="AO91" s="23"/>
      <c r="AP91" s="23"/>
      <c r="AQ91" s="23"/>
      <c r="AR91" s="23"/>
      <c r="AS91" s="23"/>
      <c r="AT91" s="23"/>
      <c r="AU91" s="23"/>
      <c r="AV91" s="23"/>
      <c r="AW91" s="23"/>
      <c r="AX91" s="23"/>
      <c r="AY91" s="23"/>
      <c r="AZ91" s="196"/>
      <c r="BA91" s="71">
        <f>IF(VLOOKUP($D91,$AO$14:AQ$19,COLUMN()-50,0)&lt;=0,1,IF($Q91&lt;0,1,ROUNDUP(IF($Q91*('Draft Center'!$L$28+'Draft Center'!$L$78-'Draft Center'!$L$82)&lt;1,1,$Q91*('Draft Center'!$L$28+'Draft Center'!$L$78-'Draft Center'!$L$82)),0)))</f>
        <v>1</v>
      </c>
      <c r="BB91" s="71">
        <f>IF(VLOOKUP($D91,$AO$14:AR$19,COLUMN()-50,0)&lt;=0,1,IF($Q91&lt;0,1,ROUNDUP(IF($Q91*('Draft Center'!$L$28+'Draft Center'!$L$78-'Draft Center'!$L$82)&lt;1,1,$Q91*('Draft Center'!$L$28+'Draft Center'!$L$78-'Draft Center'!$L$82)),0)))</f>
        <v>1</v>
      </c>
      <c r="BC91" s="71">
        <f>IF(VLOOKUP($D91,$AO$14:AS$19,COLUMN()-50,0)&lt;=0,1,IF($Q91&lt;0,1,ROUNDUP(IF($Q91*('Draft Center'!$L$28+'Draft Center'!$L$78-'Draft Center'!$L$82)&lt;1,1,$Q91*('Draft Center'!$L$28+'Draft Center'!$L$78-'Draft Center'!$L$82)),0)))</f>
        <v>1</v>
      </c>
      <c r="BD91" s="71">
        <f>IF(VLOOKUP($D91,$AO$14:AT$19,COLUMN()-50,0)&lt;=0,1,IF($Q91&lt;0,1,ROUNDUP(IF($Q91*('Draft Center'!$L$28+'Draft Center'!$L$78-'Draft Center'!$L$82)&lt;1,1,$Q91*('Draft Center'!$L$28+'Draft Center'!$L$78-'Draft Center'!$L$82)),0)))</f>
        <v>1</v>
      </c>
      <c r="BE91" s="71">
        <f>IF(VLOOKUP($D91,$AO$14:AU$19,COLUMN()-50,0)&lt;=0,1,IF($Q91&lt;0,1,ROUNDUP(IF($Q91*('Draft Center'!$L$28+'Draft Center'!$L$78-'Draft Center'!$L$82)&lt;1,1,$Q91*('Draft Center'!$L$28+'Draft Center'!$L$78-'Draft Center'!$L$82)),0)))</f>
        <v>1</v>
      </c>
      <c r="BF91" s="71">
        <f>IF(VLOOKUP($D91,$AO$14:AV$19,COLUMN()-50,0)&lt;=0,1,IF($Q91&lt;0,1,ROUNDUP(IF($Q91*('Draft Center'!$L$28+'Draft Center'!$L$78-'Draft Center'!$L$82)&lt;1,1,$Q91*('Draft Center'!$L$28+'Draft Center'!$L$78-'Draft Center'!$L$82)),0)))</f>
        <v>1</v>
      </c>
      <c r="BG91" s="71">
        <f>IF(VLOOKUP($D91,$AO$14:AW$19,COLUMN()-50,0)&lt;=0,1,IF($Q91&lt;0,1,ROUNDUP(IF($Q91*('Draft Center'!$L$28+'Draft Center'!$L$78-'Draft Center'!$L$82)&lt;1,1,$Q91*('Draft Center'!$L$28+'Draft Center'!$L$78-'Draft Center'!$L$82)),0)))</f>
        <v>1</v>
      </c>
      <c r="BH91" s="71">
        <f>IF(VLOOKUP($D91,$AO$14:AX$19,COLUMN()-50,0)&lt;=0,1,IF($Q91&lt;0,1,ROUNDUP(IF($Q91*('Draft Center'!$L$28+'Draft Center'!$L$78-'Draft Center'!$L$82)&lt;1,1,$Q91*('Draft Center'!$L$28+'Draft Center'!$L$78-'Draft Center'!$L$82)),0)))</f>
        <v>1</v>
      </c>
      <c r="BI91" s="71">
        <f>IF(VLOOKUP($D91,$AO$14:AY$19,COLUMN()-50,0)&lt;=0,1,IF($Q91&lt;0,1,ROUNDUP(IF($Q91*('Draft Center'!$L$28+'Draft Center'!$L$78-'Draft Center'!$L$82)&lt;1,1,$Q91*('Draft Center'!$L$28+'Draft Center'!$L$78-'Draft Center'!$L$82)),0)))</f>
        <v>1</v>
      </c>
      <c r="BJ91" s="196"/>
      <c r="BK91" s="23">
        <v>0</v>
      </c>
      <c r="BL91" s="23" t="str">
        <f t="shared" si="51"/>
        <v/>
      </c>
      <c r="BM91" s="23">
        <v>0</v>
      </c>
      <c r="BN91" s="23" t="str">
        <f t="shared" si="51"/>
        <v/>
      </c>
      <c r="BO91" s="23" t="str">
        <f t="shared" si="51"/>
        <v/>
      </c>
      <c r="BP91" s="23" t="str">
        <f t="shared" si="51"/>
        <v/>
      </c>
      <c r="BQ91" s="23">
        <f t="shared" si="51"/>
        <v>0</v>
      </c>
      <c r="BR91" s="23">
        <f t="shared" si="42"/>
        <v>0</v>
      </c>
      <c r="BS91" s="23">
        <f t="shared" si="43"/>
        <v>0</v>
      </c>
      <c r="BT91" s="71">
        <v>1</v>
      </c>
      <c r="BU91" s="58">
        <v>2327.0337</v>
      </c>
      <c r="BV91" s="33">
        <v>1</v>
      </c>
      <c r="BW91" s="204">
        <v>2327.0337</v>
      </c>
      <c r="BX91" s="23"/>
      <c r="BY91" s="174">
        <v>1</v>
      </c>
      <c r="BZ91" s="174">
        <v>1</v>
      </c>
      <c r="CA91" s="174">
        <v>1</v>
      </c>
      <c r="CB91" s="174">
        <v>1</v>
      </c>
      <c r="CC91" s="174">
        <f t="shared" si="46"/>
        <v>1</v>
      </c>
      <c r="CD91" s="174">
        <f t="shared" si="47"/>
        <v>1</v>
      </c>
    </row>
    <row r="92" spans="1:82" ht="15.75" customHeight="1" thickBot="1" x14ac:dyDescent="0.3">
      <c r="A92" s="2">
        <v>91</v>
      </c>
      <c r="B92" s="3" t="s">
        <v>72</v>
      </c>
      <c r="C92" s="3" t="s">
        <v>52</v>
      </c>
      <c r="D92" s="3" t="s">
        <v>19</v>
      </c>
      <c r="E92" s="49">
        <v>0.48510096783385798</v>
      </c>
      <c r="F92" s="49">
        <v>169.587498993786</v>
      </c>
      <c r="G92" s="49">
        <v>195.25536953544199</v>
      </c>
      <c r="H92" s="49">
        <v>114.9</v>
      </c>
      <c r="I92" s="4">
        <v>7.8</v>
      </c>
      <c r="J92" s="49">
        <v>5.4580389456325404</v>
      </c>
      <c r="K92" s="247">
        <f>IFERROR(VLOOKUP(C92,Schedule!$T$3:$U$34,2,0),"FA")</f>
        <v>11</v>
      </c>
      <c r="L92" s="3" t="str">
        <f>D92&amp;COUNTIF(D$2:$D92,D92)</f>
        <v>RB25</v>
      </c>
      <c r="M92" s="49">
        <f t="array" ref="M92">IFERROR(F92-AVERAGE(VLOOKUP(D92,$D93:$F$885,3,0),INDEX($F93:$F$885,SMALL(IF(D92=$D93:$D$885,ROW($D93:$D$885)-ROW(D92)),2))),0)</f>
        <v>1.9230490488029943</v>
      </c>
      <c r="N92" s="49">
        <f>IFERROR(IF(VLOOKUP($B92,Input!$AC$2:$AC$162,1,0)=$B92,0),F92)</f>
        <v>169.587498993786</v>
      </c>
      <c r="O92" s="49">
        <f>IFERROR(IF(VLOOKUP($B92,Input!$AC$2:$AC$162,1,0)=$B92,0,G92),G92)</f>
        <v>195.25536953544199</v>
      </c>
      <c r="P92" s="49">
        <f>IF(N92=0,0,F92-AVERAGE(INDEX(F:F,MATCH(VLOOKUP(D92,Input!$A$14:$L$22,10,0),L:L,0)),INDEX(F:F,MATCH(VLOOKUP(D92,Input!$A$14:$L$22,11,0),L:L,0)),INDEX(F:F,MATCH(VLOOKUP(D92,Input!$A$14:$L$22,12,0),L:L,0)))+(0.01-ROW()*0.01))</f>
        <v>-0.42489903216599945</v>
      </c>
      <c r="Q92" s="105">
        <f t="shared" si="38"/>
        <v>-1.4658716670492333E-4</v>
      </c>
      <c r="R92" s="4">
        <f>IF(VLOOKUP($D92,$X$14:$Y$19,2,0)&lt;=0,1,IF(Q92&lt;0,1,ROUNDUP(IF(Q92*('Draft Center'!$L$28+'Draft Center'!$L$78-'Draft Center'!$L$82)&lt;1,1,Q92*('Draft Center'!$L$28+'Draft Center'!$L$78-'Draft Center'!$L$82)),0)))</f>
        <v>1</v>
      </c>
      <c r="S92" s="4">
        <f>IF(A92&lt;Input!$B$10+0.1,IF(ROUNDUP(R92*Input!$C$10,0)=0,1,ROUNDUP(R92*Input!$C$10,0)),IF(A92&gt;Input!$B$11,IF(ROUNDUP(R92*Input!$C$11,0)=0,1,ROUNDUP(R92*Input!$C$11,0)),IF(ROUNDUP(R92,0)=0,1,ROUNDUP(R92,0))))</f>
        <v>1</v>
      </c>
      <c r="T92" s="4">
        <f t="shared" si="39"/>
        <v>1</v>
      </c>
      <c r="U92" s="4">
        <f>IFERROR(VLOOKUP($B92,Input!$AC$2:$AE$161,3,0),0)</f>
        <v>0</v>
      </c>
      <c r="V92" s="255">
        <f t="shared" si="44"/>
        <v>-0.87087487179487177</v>
      </c>
      <c r="W92" s="262">
        <f t="shared" si="45"/>
        <v>-6.79908</v>
      </c>
      <c r="X92" s="27"/>
      <c r="Y92" s="23"/>
      <c r="Z92" s="23"/>
      <c r="AA92" s="23">
        <v>0</v>
      </c>
      <c r="AB92" s="23" t="str">
        <f t="shared" ref="AB92:AG101" si="52">IF($D92=AB$1,1*$AA92,"")</f>
        <v/>
      </c>
      <c r="AC92" s="23">
        <f t="shared" si="52"/>
        <v>0</v>
      </c>
      <c r="AD92" s="23" t="str">
        <f t="shared" si="52"/>
        <v/>
      </c>
      <c r="AE92" s="23" t="str">
        <f t="shared" si="52"/>
        <v/>
      </c>
      <c r="AF92" s="23" t="str">
        <f t="shared" si="52"/>
        <v/>
      </c>
      <c r="AG92" s="23" t="str">
        <f t="shared" si="52"/>
        <v/>
      </c>
      <c r="AH92" s="23">
        <f t="shared" si="40"/>
        <v>0</v>
      </c>
      <c r="AI92" s="23">
        <f t="shared" si="41"/>
        <v>0</v>
      </c>
      <c r="AJ92" s="72">
        <v>1</v>
      </c>
      <c r="AK92" s="225">
        <v>2327.0337</v>
      </c>
      <c r="AL92" s="33">
        <v>1</v>
      </c>
      <c r="AM92" s="204">
        <v>2327.0337</v>
      </c>
      <c r="AN92" s="196"/>
      <c r="AO92" s="23"/>
      <c r="AP92" s="23"/>
      <c r="AQ92" s="23"/>
      <c r="AR92" s="23"/>
      <c r="AS92" s="23"/>
      <c r="AT92" s="23"/>
      <c r="AU92" s="23"/>
      <c r="AV92" s="23"/>
      <c r="AW92" s="23"/>
      <c r="AX92" s="23"/>
      <c r="AY92" s="23"/>
      <c r="AZ92" s="196"/>
      <c r="BA92" s="72">
        <f>IF(VLOOKUP($D92,$AO$14:AQ$19,COLUMN()-50,0)&lt;=0,1,IF($Q92&lt;0,1,ROUNDUP(IF($Q92*('Draft Center'!$L$28+'Draft Center'!$L$78-'Draft Center'!$L$82)&lt;1,1,$Q92*('Draft Center'!$L$28+'Draft Center'!$L$78-'Draft Center'!$L$82)),0)))</f>
        <v>1</v>
      </c>
      <c r="BB92" s="72">
        <f>IF(VLOOKUP($D92,$AO$14:AR$19,COLUMN()-50,0)&lt;=0,1,IF($Q92&lt;0,1,ROUNDUP(IF($Q92*('Draft Center'!$L$28+'Draft Center'!$L$78-'Draft Center'!$L$82)&lt;1,1,$Q92*('Draft Center'!$L$28+'Draft Center'!$L$78-'Draft Center'!$L$82)),0)))</f>
        <v>1</v>
      </c>
      <c r="BC92" s="72">
        <f>IF(VLOOKUP($D92,$AO$14:AS$19,COLUMN()-50,0)&lt;=0,1,IF($Q92&lt;0,1,ROUNDUP(IF($Q92*('Draft Center'!$L$28+'Draft Center'!$L$78-'Draft Center'!$L$82)&lt;1,1,$Q92*('Draft Center'!$L$28+'Draft Center'!$L$78-'Draft Center'!$L$82)),0)))</f>
        <v>1</v>
      </c>
      <c r="BD92" s="72">
        <f>IF(VLOOKUP($D92,$AO$14:AT$19,COLUMN()-50,0)&lt;=0,1,IF($Q92&lt;0,1,ROUNDUP(IF($Q92*('Draft Center'!$L$28+'Draft Center'!$L$78-'Draft Center'!$L$82)&lt;1,1,$Q92*('Draft Center'!$L$28+'Draft Center'!$L$78-'Draft Center'!$L$82)),0)))</f>
        <v>1</v>
      </c>
      <c r="BE92" s="72">
        <f>IF(VLOOKUP($D92,$AO$14:AU$19,COLUMN()-50,0)&lt;=0,1,IF($Q92&lt;0,1,ROUNDUP(IF($Q92*('Draft Center'!$L$28+'Draft Center'!$L$78-'Draft Center'!$L$82)&lt;1,1,$Q92*('Draft Center'!$L$28+'Draft Center'!$L$78-'Draft Center'!$L$82)),0)))</f>
        <v>1</v>
      </c>
      <c r="BF92" s="72">
        <f>IF(VLOOKUP($D92,$AO$14:AV$19,COLUMN()-50,0)&lt;=0,1,IF($Q92&lt;0,1,ROUNDUP(IF($Q92*('Draft Center'!$L$28+'Draft Center'!$L$78-'Draft Center'!$L$82)&lt;1,1,$Q92*('Draft Center'!$L$28+'Draft Center'!$L$78-'Draft Center'!$L$82)),0)))</f>
        <v>1</v>
      </c>
      <c r="BG92" s="72">
        <f>IF(VLOOKUP($D92,$AO$14:AW$19,COLUMN()-50,0)&lt;=0,1,IF($Q92&lt;0,1,ROUNDUP(IF($Q92*('Draft Center'!$L$28+'Draft Center'!$L$78-'Draft Center'!$L$82)&lt;1,1,$Q92*('Draft Center'!$L$28+'Draft Center'!$L$78-'Draft Center'!$L$82)),0)))</f>
        <v>1</v>
      </c>
      <c r="BH92" s="72">
        <f>IF(VLOOKUP($D92,$AO$14:AX$19,COLUMN()-50,0)&lt;=0,1,IF($Q92&lt;0,1,ROUNDUP(IF($Q92*('Draft Center'!$L$28+'Draft Center'!$L$78-'Draft Center'!$L$82)&lt;1,1,$Q92*('Draft Center'!$L$28+'Draft Center'!$L$78-'Draft Center'!$L$82)),0)))</f>
        <v>1</v>
      </c>
      <c r="BI92" s="72">
        <f>IF(VLOOKUP($D92,$AO$14:AY$19,COLUMN()-50,0)&lt;=0,1,IF($Q92&lt;0,1,ROUNDUP(IF($Q92*('Draft Center'!$L$28+'Draft Center'!$L$78-'Draft Center'!$L$82)&lt;1,1,$Q92*('Draft Center'!$L$28+'Draft Center'!$L$78-'Draft Center'!$L$82)),0)))</f>
        <v>1</v>
      </c>
      <c r="BJ92" s="196"/>
      <c r="BK92" s="23">
        <v>1</v>
      </c>
      <c r="BL92" s="23" t="str">
        <f t="shared" ref="BL92:BQ101" si="53">IF($D92=BL$1,1*$BK92,"")</f>
        <v/>
      </c>
      <c r="BM92" s="23">
        <v>0</v>
      </c>
      <c r="BN92" s="23" t="str">
        <f t="shared" si="53"/>
        <v/>
      </c>
      <c r="BO92" s="23" t="str">
        <f t="shared" si="53"/>
        <v/>
      </c>
      <c r="BP92" s="23" t="str">
        <f t="shared" si="53"/>
        <v/>
      </c>
      <c r="BQ92" s="23" t="str">
        <f t="shared" si="53"/>
        <v/>
      </c>
      <c r="BR92" s="23">
        <f t="shared" si="42"/>
        <v>1</v>
      </c>
      <c r="BS92" s="23" t="str">
        <f t="shared" si="43"/>
        <v>Frank Gore</v>
      </c>
      <c r="BT92" s="72">
        <v>1</v>
      </c>
      <c r="BU92" s="58">
        <v>2327.0337</v>
      </c>
      <c r="BV92" s="33">
        <v>1</v>
      </c>
      <c r="BW92" s="204">
        <v>2327.0337</v>
      </c>
      <c r="BX92" s="23"/>
      <c r="BY92" s="72">
        <v>1</v>
      </c>
      <c r="BZ92" s="72">
        <v>7.8</v>
      </c>
      <c r="CA92" s="72">
        <v>7.8</v>
      </c>
      <c r="CB92" s="72">
        <v>7.8</v>
      </c>
      <c r="CC92" s="72">
        <f t="shared" si="46"/>
        <v>7.8</v>
      </c>
      <c r="CD92" s="72">
        <f t="shared" si="47"/>
        <v>7.8</v>
      </c>
    </row>
    <row r="93" spans="1:82" ht="15.75" customHeight="1" thickBot="1" x14ac:dyDescent="0.3">
      <c r="A93" s="6">
        <v>92</v>
      </c>
      <c r="B93" s="7" t="s">
        <v>480</v>
      </c>
      <c r="C93" s="7" t="s">
        <v>33</v>
      </c>
      <c r="D93" s="7" t="s">
        <v>17</v>
      </c>
      <c r="E93" s="50">
        <v>0.26961949595587997</v>
      </c>
      <c r="F93" s="50">
        <v>213.04753576530501</v>
      </c>
      <c r="G93" s="50">
        <v>231.127851464766</v>
      </c>
      <c r="H93" s="50">
        <v>190.12220850480099</v>
      </c>
      <c r="I93" s="8">
        <v>7.3</v>
      </c>
      <c r="J93" s="50">
        <v>4.0212634307329802</v>
      </c>
      <c r="K93" s="248">
        <f>IFERROR(VLOOKUP(C93,Schedule!$T$3:$U$34,2,0),"FA")</f>
        <v>9</v>
      </c>
      <c r="L93" s="7" t="str">
        <f>D93&amp;COUNTIF(D$2:$D93,D93)</f>
        <v>WR27</v>
      </c>
      <c r="M93" s="50">
        <f t="array" ref="M93">IFERROR(F93-AVERAGE(VLOOKUP(D93,$D94:$F$885,3,0),INDEX($F94:$F$885,SMALL(IF(D93=$D94:$D$885,ROW($D94:$D$885)-ROW(D93)),2))),0)</f>
        <v>3.2805467262679997</v>
      </c>
      <c r="N93" s="50">
        <f>IFERROR(IF(VLOOKUP($B93,Input!$AC$2:$AC$162,1,0)=$B93,0),F93)</f>
        <v>213.04753576530501</v>
      </c>
      <c r="O93" s="50">
        <f>IFERROR(IF(VLOOKUP($B93,Input!$AC$2:$AC$162,1,0)=$B93,0,G93),G93)</f>
        <v>231.127851464766</v>
      </c>
      <c r="P93" s="50">
        <f>IF(N93=0,0,F93-AVERAGE(INDEX(F:F,MATCH(VLOOKUP(D93,Input!$A$14:$L$22,10,0),L:L,0)),INDEX(F:F,MATCH(VLOOKUP(D93,Input!$A$14:$L$22,11,0),L:L,0)),INDEX(F:F,MATCH(VLOOKUP(D93,Input!$A$14:$L$22,12,0),L:L,0)))+(0.01-ROW()*0.01))</f>
        <v>-0.65038050404400682</v>
      </c>
      <c r="Q93" s="106">
        <f t="shared" si="38"/>
        <v>-2.2437668281316415E-4</v>
      </c>
      <c r="R93" s="8">
        <f>IF(VLOOKUP($D93,$X$14:$Y$19,2,0)&lt;=0,1,IF(Q93&lt;0,1,ROUNDUP(IF(Q93*('Draft Center'!$L$28+'Draft Center'!$L$78-'Draft Center'!$L$82)&lt;1,1,Q93*('Draft Center'!$L$28+'Draft Center'!$L$78-'Draft Center'!$L$82)),0)))</f>
        <v>1</v>
      </c>
      <c r="S93" s="8">
        <f>IF(A93&lt;Input!$B$10+0.1,IF(ROUNDUP(R93*Input!$C$10,0)=0,1,ROUNDUP(R93*Input!$C$10,0)),IF(A93&gt;Input!$B$11,IF(ROUNDUP(R93*Input!$C$11,0)=0,1,ROUNDUP(R93*Input!$C$11,0)),IF(ROUNDUP(R93,0)=0,1,ROUNDUP(R93,0))))</f>
        <v>1</v>
      </c>
      <c r="T93" s="8">
        <f t="shared" si="39"/>
        <v>1</v>
      </c>
      <c r="U93" s="8">
        <f>IFERROR(VLOOKUP($B93,Input!$AC$2:$AE$161,3,0),0)</f>
        <v>0</v>
      </c>
      <c r="V93" s="256">
        <f t="shared" si="44"/>
        <v>-0.86208369863013701</v>
      </c>
      <c r="W93" s="263">
        <f t="shared" si="45"/>
        <v>-6.2990699999999995</v>
      </c>
      <c r="X93" s="27"/>
      <c r="Y93" s="23"/>
      <c r="Z93" s="23"/>
      <c r="AA93" s="23">
        <v>0</v>
      </c>
      <c r="AB93" s="23" t="str">
        <f t="shared" si="52"/>
        <v/>
      </c>
      <c r="AC93" s="23" t="str">
        <f t="shared" si="52"/>
        <v/>
      </c>
      <c r="AD93" s="23">
        <f t="shared" si="52"/>
        <v>0</v>
      </c>
      <c r="AE93" s="23" t="str">
        <f t="shared" si="52"/>
        <v/>
      </c>
      <c r="AF93" s="23" t="str">
        <f t="shared" si="52"/>
        <v/>
      </c>
      <c r="AG93" s="23" t="str">
        <f t="shared" si="52"/>
        <v/>
      </c>
      <c r="AH93" s="23">
        <f t="shared" si="40"/>
        <v>0</v>
      </c>
      <c r="AI93" s="23">
        <f t="shared" si="41"/>
        <v>0</v>
      </c>
      <c r="AJ93" s="70">
        <v>1</v>
      </c>
      <c r="AK93" s="225">
        <v>2327.0337</v>
      </c>
      <c r="AL93" s="33">
        <v>1</v>
      </c>
      <c r="AM93" s="204">
        <v>2327.0337</v>
      </c>
      <c r="AN93" s="196"/>
      <c r="AO93" s="23"/>
      <c r="AP93" s="23"/>
      <c r="AQ93" s="23"/>
      <c r="AR93" s="23"/>
      <c r="AS93" s="23"/>
      <c r="AT93" s="23"/>
      <c r="AU93" s="23"/>
      <c r="AV93" s="23"/>
      <c r="AW93" s="23"/>
      <c r="AX93" s="23"/>
      <c r="AY93" s="23"/>
      <c r="AZ93" s="196"/>
      <c r="BA93" s="70">
        <f>IF(VLOOKUP($D93,$AO$14:AQ$19,COLUMN()-50,0)&lt;=0,1,IF($Q93&lt;0,1,ROUNDUP(IF($Q93*('Draft Center'!$L$28+'Draft Center'!$L$78-'Draft Center'!$L$82)&lt;1,1,$Q93*('Draft Center'!$L$28+'Draft Center'!$L$78-'Draft Center'!$L$82)),0)))</f>
        <v>1</v>
      </c>
      <c r="BB93" s="70">
        <f>IF(VLOOKUP($D93,$AO$14:AR$19,COLUMN()-50,0)&lt;=0,1,IF($Q93&lt;0,1,ROUNDUP(IF($Q93*('Draft Center'!$L$28+'Draft Center'!$L$78-'Draft Center'!$L$82)&lt;1,1,$Q93*('Draft Center'!$L$28+'Draft Center'!$L$78-'Draft Center'!$L$82)),0)))</f>
        <v>1</v>
      </c>
      <c r="BC93" s="70">
        <f>IF(VLOOKUP($D93,$AO$14:AS$19,COLUMN()-50,0)&lt;=0,1,IF($Q93&lt;0,1,ROUNDUP(IF($Q93*('Draft Center'!$L$28+'Draft Center'!$L$78-'Draft Center'!$L$82)&lt;1,1,$Q93*('Draft Center'!$L$28+'Draft Center'!$L$78-'Draft Center'!$L$82)),0)))</f>
        <v>1</v>
      </c>
      <c r="BD93" s="70">
        <f>IF(VLOOKUP($D93,$AO$14:AT$19,COLUMN()-50,0)&lt;=0,1,IF($Q93&lt;0,1,ROUNDUP(IF($Q93*('Draft Center'!$L$28+'Draft Center'!$L$78-'Draft Center'!$L$82)&lt;1,1,$Q93*('Draft Center'!$L$28+'Draft Center'!$L$78-'Draft Center'!$L$82)),0)))</f>
        <v>1</v>
      </c>
      <c r="BE93" s="70">
        <f>IF(VLOOKUP($D93,$AO$14:AU$19,COLUMN()-50,0)&lt;=0,1,IF($Q93&lt;0,1,ROUNDUP(IF($Q93*('Draft Center'!$L$28+'Draft Center'!$L$78-'Draft Center'!$L$82)&lt;1,1,$Q93*('Draft Center'!$L$28+'Draft Center'!$L$78-'Draft Center'!$L$82)),0)))</f>
        <v>1</v>
      </c>
      <c r="BF93" s="70">
        <f>IF(VLOOKUP($D93,$AO$14:AV$19,COLUMN()-50,0)&lt;=0,1,IF($Q93&lt;0,1,ROUNDUP(IF($Q93*('Draft Center'!$L$28+'Draft Center'!$L$78-'Draft Center'!$L$82)&lt;1,1,$Q93*('Draft Center'!$L$28+'Draft Center'!$L$78-'Draft Center'!$L$82)),0)))</f>
        <v>1</v>
      </c>
      <c r="BG93" s="70">
        <f>IF(VLOOKUP($D93,$AO$14:AW$19,COLUMN()-50,0)&lt;=0,1,IF($Q93&lt;0,1,ROUNDUP(IF($Q93*('Draft Center'!$L$28+'Draft Center'!$L$78-'Draft Center'!$L$82)&lt;1,1,$Q93*('Draft Center'!$L$28+'Draft Center'!$L$78-'Draft Center'!$L$82)),0)))</f>
        <v>1</v>
      </c>
      <c r="BH93" s="70">
        <f>IF(VLOOKUP($D93,$AO$14:AX$19,COLUMN()-50,0)&lt;=0,1,IF($Q93&lt;0,1,ROUNDUP(IF($Q93*('Draft Center'!$L$28+'Draft Center'!$L$78-'Draft Center'!$L$82)&lt;1,1,$Q93*('Draft Center'!$L$28+'Draft Center'!$L$78-'Draft Center'!$L$82)),0)))</f>
        <v>1</v>
      </c>
      <c r="BI93" s="70">
        <f>IF(VLOOKUP($D93,$AO$14:AY$19,COLUMN()-50,0)&lt;=0,1,IF($Q93&lt;0,1,ROUNDUP(IF($Q93*('Draft Center'!$L$28+'Draft Center'!$L$78-'Draft Center'!$L$82)&lt;1,1,$Q93*('Draft Center'!$L$28+'Draft Center'!$L$78-'Draft Center'!$L$82)),0)))</f>
        <v>1</v>
      </c>
      <c r="BJ93" s="196"/>
      <c r="BK93" s="23">
        <v>0</v>
      </c>
      <c r="BL93" s="23" t="str">
        <f t="shared" si="53"/>
        <v/>
      </c>
      <c r="BM93" s="23">
        <v>0</v>
      </c>
      <c r="BN93" s="23">
        <f t="shared" si="53"/>
        <v>0</v>
      </c>
      <c r="BO93" s="23" t="str">
        <f t="shared" si="53"/>
        <v/>
      </c>
      <c r="BP93" s="23" t="str">
        <f t="shared" si="53"/>
        <v/>
      </c>
      <c r="BQ93" s="23" t="str">
        <f t="shared" si="53"/>
        <v/>
      </c>
      <c r="BR93" s="23">
        <f t="shared" si="42"/>
        <v>0</v>
      </c>
      <c r="BS93" s="23">
        <f t="shared" si="43"/>
        <v>0</v>
      </c>
      <c r="BT93" s="70">
        <v>1</v>
      </c>
      <c r="BU93" s="58">
        <v>2327.0337</v>
      </c>
      <c r="BV93" s="33">
        <v>1</v>
      </c>
      <c r="BW93" s="204">
        <v>2327.0337</v>
      </c>
      <c r="BX93" s="23"/>
      <c r="BY93" s="70">
        <v>1</v>
      </c>
      <c r="BZ93" s="70">
        <v>7.3</v>
      </c>
      <c r="CA93" s="70">
        <v>7.3</v>
      </c>
      <c r="CB93" s="70">
        <v>7.3</v>
      </c>
      <c r="CC93" s="70">
        <f t="shared" si="46"/>
        <v>7.3</v>
      </c>
      <c r="CD93" s="70">
        <f t="shared" si="47"/>
        <v>7.3</v>
      </c>
    </row>
    <row r="94" spans="1:82" ht="15.75" customHeight="1" thickBot="1" x14ac:dyDescent="0.3">
      <c r="A94" s="9">
        <v>93</v>
      </c>
      <c r="B94" s="10" t="s">
        <v>232</v>
      </c>
      <c r="C94" s="10" t="s">
        <v>75</v>
      </c>
      <c r="D94" s="10" t="s">
        <v>147</v>
      </c>
      <c r="E94" s="51">
        <v>0.17399315115451899</v>
      </c>
      <c r="F94" s="51">
        <v>131.54298158212799</v>
      </c>
      <c r="G94" s="51">
        <v>137.69272136245601</v>
      </c>
      <c r="H94" s="51">
        <v>121.30701493938101</v>
      </c>
      <c r="I94" s="11">
        <v>1.3</v>
      </c>
      <c r="J94" s="51">
        <v>3.3794965080332999</v>
      </c>
      <c r="K94" s="249">
        <f>IFERROR(VLOOKUP(C94,Schedule!$T$3:$U$34,2,0),"FA")</f>
        <v>10</v>
      </c>
      <c r="L94" s="10" t="str">
        <f>D94&amp;COUNTIF(D$2:$D94,D94)</f>
        <v>K11</v>
      </c>
      <c r="M94" s="51">
        <f t="array" ref="M94">IFERROR(F94-AVERAGE(VLOOKUP(D94,$D95:$F$885,3,0),INDEX($F95:$F$885,SMALL(IF(D94=$D95:$D$885,ROW($D95:$D$885)-ROW(D94)),2))),0)</f>
        <v>1.1104020295194914</v>
      </c>
      <c r="N94" s="51">
        <f>IFERROR(IF(VLOOKUP($B94,Input!$AC$2:$AC$162,1,0)=$B94,0),F94)</f>
        <v>131.54298158212799</v>
      </c>
      <c r="O94" s="51">
        <f>IFERROR(IF(VLOOKUP($B94,Input!$AC$2:$AC$162,1,0)=$B94,0,G94),G94)</f>
        <v>137.69272136245601</v>
      </c>
      <c r="P94" s="51">
        <f>IF(N94=0,0,F94-AVERAGE(INDEX(F:F,MATCH(VLOOKUP(D94,Input!$A$14:$L$22,10,0),L:L,0)),INDEX(F:F,MATCH(VLOOKUP(D94,Input!$A$14:$L$22,11,0),L:L,0)),INDEX(F:F,MATCH(VLOOKUP(D94,Input!$A$14:$L$22,12,0),L:L,0)))+(0.01-ROW()*0.01))</f>
        <v>-0.93</v>
      </c>
      <c r="Q94" s="107">
        <f t="shared" si="38"/>
        <v>-3.208434350641657E-4</v>
      </c>
      <c r="R94" s="11">
        <f>IF(VLOOKUP($D94,$X$14:$Y$19,2,0)&lt;=0,1,IF(Q94&lt;0,1,ROUNDUP(IF(Q94*('Draft Center'!$L$28+'Draft Center'!$L$78-'Draft Center'!$L$82)&lt;1,1,Q94*('Draft Center'!$L$28+'Draft Center'!$L$78-'Draft Center'!$L$82)),0)))</f>
        <v>1</v>
      </c>
      <c r="S94" s="11">
        <f>IF(A94&lt;Input!$B$10+0.1,IF(ROUNDUP(R94*Input!$C$10,0)=0,1,ROUNDUP(R94*Input!$C$10,0)),IF(A94&gt;Input!$B$11,IF(ROUNDUP(R94*Input!$C$11,0)=0,1,ROUNDUP(R94*Input!$C$11,0)),IF(ROUNDUP(R94,0)=0,1,ROUNDUP(R94,0))))</f>
        <v>1</v>
      </c>
      <c r="T94" s="11">
        <f t="shared" si="39"/>
        <v>1</v>
      </c>
      <c r="U94" s="11">
        <f>IFERROR(VLOOKUP($B94,Input!$AC$2:$AE$161,3,0),0)</f>
        <v>0</v>
      </c>
      <c r="V94" s="257">
        <f t="shared" si="44"/>
        <v>-0.22982923076923079</v>
      </c>
      <c r="W94" s="264">
        <f t="shared" si="45"/>
        <v>-0.29906000000000005</v>
      </c>
      <c r="X94" s="27"/>
      <c r="Y94" s="23"/>
      <c r="Z94" s="23"/>
      <c r="AA94" s="23">
        <v>0</v>
      </c>
      <c r="AB94" s="23" t="str">
        <f t="shared" si="52"/>
        <v/>
      </c>
      <c r="AC94" s="23" t="str">
        <f t="shared" si="52"/>
        <v/>
      </c>
      <c r="AD94" s="23" t="str">
        <f t="shared" si="52"/>
        <v/>
      </c>
      <c r="AE94" s="23" t="str">
        <f t="shared" si="52"/>
        <v/>
      </c>
      <c r="AF94" s="23" t="str">
        <f t="shared" si="52"/>
        <v/>
      </c>
      <c r="AG94" s="23">
        <f t="shared" si="52"/>
        <v>0</v>
      </c>
      <c r="AH94" s="23">
        <f t="shared" si="40"/>
        <v>0</v>
      </c>
      <c r="AI94" s="23">
        <f t="shared" si="41"/>
        <v>0</v>
      </c>
      <c r="AJ94" s="69">
        <v>1</v>
      </c>
      <c r="AK94" s="225">
        <v>2327.0337</v>
      </c>
      <c r="AL94" s="33">
        <v>1</v>
      </c>
      <c r="AM94" s="204">
        <v>2327.0337</v>
      </c>
      <c r="AN94" s="196"/>
      <c r="AO94" s="23"/>
      <c r="AP94" s="23"/>
      <c r="AQ94" s="23"/>
      <c r="AR94" s="23"/>
      <c r="AS94" s="23"/>
      <c r="AT94" s="23"/>
      <c r="AU94" s="23"/>
      <c r="AV94" s="23"/>
      <c r="AW94" s="23"/>
      <c r="AX94" s="23"/>
      <c r="AY94" s="23"/>
      <c r="AZ94" s="196"/>
      <c r="BA94" s="69">
        <f>IF(VLOOKUP($D94,$AO$14:AQ$19,COLUMN()-50,0)&lt;=0,1,IF($Q94&lt;0,1,ROUNDUP(IF($Q94*('Draft Center'!$L$28+'Draft Center'!$L$78-'Draft Center'!$L$82)&lt;1,1,$Q94*('Draft Center'!$L$28+'Draft Center'!$L$78-'Draft Center'!$L$82)),0)))</f>
        <v>1</v>
      </c>
      <c r="BB94" s="69">
        <f>IF(VLOOKUP($D94,$AO$14:AR$19,COLUMN()-50,0)&lt;=0,1,IF($Q94&lt;0,1,ROUNDUP(IF($Q94*('Draft Center'!$L$28+'Draft Center'!$L$78-'Draft Center'!$L$82)&lt;1,1,$Q94*('Draft Center'!$L$28+'Draft Center'!$L$78-'Draft Center'!$L$82)),0)))</f>
        <v>1</v>
      </c>
      <c r="BC94" s="69">
        <f>IF(VLOOKUP($D94,$AO$14:AS$19,COLUMN()-50,0)&lt;=0,1,IF($Q94&lt;0,1,ROUNDUP(IF($Q94*('Draft Center'!$L$28+'Draft Center'!$L$78-'Draft Center'!$L$82)&lt;1,1,$Q94*('Draft Center'!$L$28+'Draft Center'!$L$78-'Draft Center'!$L$82)),0)))</f>
        <v>1</v>
      </c>
      <c r="BD94" s="69">
        <f>IF(VLOOKUP($D94,$AO$14:AT$19,COLUMN()-50,0)&lt;=0,1,IF($Q94&lt;0,1,ROUNDUP(IF($Q94*('Draft Center'!$L$28+'Draft Center'!$L$78-'Draft Center'!$L$82)&lt;1,1,$Q94*('Draft Center'!$L$28+'Draft Center'!$L$78-'Draft Center'!$L$82)),0)))</f>
        <v>1</v>
      </c>
      <c r="BE94" s="69">
        <f>IF(VLOOKUP($D94,$AO$14:AU$19,COLUMN()-50,0)&lt;=0,1,IF($Q94&lt;0,1,ROUNDUP(IF($Q94*('Draft Center'!$L$28+'Draft Center'!$L$78-'Draft Center'!$L$82)&lt;1,1,$Q94*('Draft Center'!$L$28+'Draft Center'!$L$78-'Draft Center'!$L$82)),0)))</f>
        <v>1</v>
      </c>
      <c r="BF94" s="69">
        <f>IF(VLOOKUP($D94,$AO$14:AV$19,COLUMN()-50,0)&lt;=0,1,IF($Q94&lt;0,1,ROUNDUP(IF($Q94*('Draft Center'!$L$28+'Draft Center'!$L$78-'Draft Center'!$L$82)&lt;1,1,$Q94*('Draft Center'!$L$28+'Draft Center'!$L$78-'Draft Center'!$L$82)),0)))</f>
        <v>1</v>
      </c>
      <c r="BG94" s="69">
        <f>IF(VLOOKUP($D94,$AO$14:AW$19,COLUMN()-50,0)&lt;=0,1,IF($Q94&lt;0,1,ROUNDUP(IF($Q94*('Draft Center'!$L$28+'Draft Center'!$L$78-'Draft Center'!$L$82)&lt;1,1,$Q94*('Draft Center'!$L$28+'Draft Center'!$L$78-'Draft Center'!$L$82)),0)))</f>
        <v>1</v>
      </c>
      <c r="BH94" s="69">
        <f>IF(VLOOKUP($D94,$AO$14:AX$19,COLUMN()-50,0)&lt;=0,1,IF($Q94&lt;0,1,ROUNDUP(IF($Q94*('Draft Center'!$L$28+'Draft Center'!$L$78-'Draft Center'!$L$82)&lt;1,1,$Q94*('Draft Center'!$L$28+'Draft Center'!$L$78-'Draft Center'!$L$82)),0)))</f>
        <v>1</v>
      </c>
      <c r="BI94" s="69">
        <f>IF(VLOOKUP($D94,$AO$14:AY$19,COLUMN()-50,0)&lt;=0,1,IF($Q94&lt;0,1,ROUNDUP(IF($Q94*('Draft Center'!$L$28+'Draft Center'!$L$78-'Draft Center'!$L$82)&lt;1,1,$Q94*('Draft Center'!$L$28+'Draft Center'!$L$78-'Draft Center'!$L$82)),0)))</f>
        <v>1</v>
      </c>
      <c r="BJ94" s="196"/>
      <c r="BK94" s="23">
        <v>1</v>
      </c>
      <c r="BL94" s="23" t="str">
        <f t="shared" si="53"/>
        <v/>
      </c>
      <c r="BM94" s="23">
        <v>0</v>
      </c>
      <c r="BN94" s="23" t="str">
        <f t="shared" si="53"/>
        <v/>
      </c>
      <c r="BO94" s="23" t="str">
        <f t="shared" si="53"/>
        <v/>
      </c>
      <c r="BP94" s="23" t="str">
        <f t="shared" si="53"/>
        <v/>
      </c>
      <c r="BQ94" s="23">
        <f t="shared" si="53"/>
        <v>1</v>
      </c>
      <c r="BR94" s="23">
        <f t="shared" si="42"/>
        <v>1</v>
      </c>
      <c r="BS94" s="23" t="str">
        <f t="shared" si="43"/>
        <v>Sebastian Janikowski</v>
      </c>
      <c r="BT94" s="69">
        <v>1</v>
      </c>
      <c r="BU94" s="58">
        <v>2327.0337</v>
      </c>
      <c r="BV94" s="33">
        <v>1</v>
      </c>
      <c r="BW94" s="204">
        <v>2327.0337</v>
      </c>
      <c r="BX94" s="23"/>
      <c r="BY94" s="69">
        <v>1</v>
      </c>
      <c r="BZ94" s="69">
        <v>1.3</v>
      </c>
      <c r="CA94" s="69">
        <v>1.3</v>
      </c>
      <c r="CB94" s="69">
        <v>1.3</v>
      </c>
      <c r="CC94" s="69">
        <f t="shared" si="46"/>
        <v>1.3</v>
      </c>
      <c r="CD94" s="69">
        <f t="shared" si="47"/>
        <v>1.3</v>
      </c>
    </row>
    <row r="95" spans="1:82" ht="15.75" customHeight="1" thickBot="1" x14ac:dyDescent="0.3">
      <c r="A95" s="6">
        <v>94</v>
      </c>
      <c r="B95" s="7" t="s">
        <v>534</v>
      </c>
      <c r="C95" s="7" t="s">
        <v>50</v>
      </c>
      <c r="D95" s="7" t="s">
        <v>53</v>
      </c>
      <c r="E95" s="50">
        <v>-0.241536690418059</v>
      </c>
      <c r="F95" s="50">
        <v>272.10610694241802</v>
      </c>
      <c r="G95" s="50">
        <v>285.21948231419799</v>
      </c>
      <c r="H95" s="50">
        <v>252.102</v>
      </c>
      <c r="I95" s="8">
        <v>1.2</v>
      </c>
      <c r="J95" s="50">
        <v>4.3016016306245497</v>
      </c>
      <c r="K95" s="248">
        <f>IFERROR(VLOOKUP(C95,Schedule!$T$3:$U$34,2,0),"FA")</f>
        <v>6</v>
      </c>
      <c r="L95" s="7" t="str">
        <f>D95&amp;COUNTIF(D$2:$D95,D95)</f>
        <v>QB11</v>
      </c>
      <c r="M95" s="50">
        <f t="array" ref="M95">IFERROR(F95-AVERAGE(VLOOKUP(D95,$D96:$F$885,3,0),INDEX($F96:$F$885,SMALL(IF(D95=$D96:$D$885,ROW($D96:$D$885)-ROW(D95)),2))),0)</f>
        <v>2.9299496370930456</v>
      </c>
      <c r="N95" s="50">
        <f>IFERROR(IF(VLOOKUP($B95,Input!$AC$2:$AC$162,1,0)=$B95,0),F95)</f>
        <v>272.10610694241802</v>
      </c>
      <c r="O95" s="50">
        <f>IFERROR(IF(VLOOKUP($B95,Input!$AC$2:$AC$162,1,0)=$B95,0,G95),G95)</f>
        <v>285.21948231419799</v>
      </c>
      <c r="P95" s="50">
        <f>IF(N95=0,0,F95-AVERAGE(INDEX(F:F,MATCH(VLOOKUP(D95,Input!$A$14:$L$22,10,0),L:L,0)),INDEX(F:F,MATCH(VLOOKUP(D95,Input!$A$14:$L$22,11,0),L:L,0)),INDEX(F:F,MATCH(VLOOKUP(D95,Input!$A$14:$L$22,12,0),L:L,0)))+(0.01-ROW()*0.01))</f>
        <v>-1.1815366904176039</v>
      </c>
      <c r="Q95" s="106">
        <f t="shared" si="38"/>
        <v>-4.0762181764293523E-4</v>
      </c>
      <c r="R95" s="8">
        <f>IF(VLOOKUP($D95,$X$14:$Y$19,2,0)&lt;=0,1,IF(Q95&lt;0,1,ROUNDUP(IF(Q95*('Draft Center'!$L$28+'Draft Center'!$L$78-'Draft Center'!$L$82)&lt;1,1,Q95*('Draft Center'!$L$28+'Draft Center'!$L$78-'Draft Center'!$L$82)),0)))</f>
        <v>1</v>
      </c>
      <c r="S95" s="8">
        <f>IF(A95&lt;Input!$B$10+0.1,IF(ROUNDUP(R95*Input!$C$10,0)=0,1,ROUNDUP(R95*Input!$C$10,0)),IF(A95&gt;Input!$B$11,IF(ROUNDUP(R95*Input!$C$11,0)=0,1,ROUNDUP(R95*Input!$C$11,0)),IF(ROUNDUP(R95,0)=0,1,ROUNDUP(R95,0))))</f>
        <v>1</v>
      </c>
      <c r="T95" s="8">
        <f t="shared" si="39"/>
        <v>1</v>
      </c>
      <c r="U95" s="8">
        <f>IFERROR(VLOOKUP($B95,Input!$AC$2:$AE$161,3,0),0)</f>
        <v>0</v>
      </c>
      <c r="V95" s="256">
        <f t="shared" si="44"/>
        <v>-0.16571666666666662</v>
      </c>
      <c r="W95" s="263">
        <f t="shared" si="45"/>
        <v>-0.19904999999999995</v>
      </c>
      <c r="X95" s="27"/>
      <c r="Y95" s="23"/>
      <c r="Z95" s="23"/>
      <c r="AA95" s="23">
        <v>0</v>
      </c>
      <c r="AB95" s="23">
        <f t="shared" si="52"/>
        <v>0</v>
      </c>
      <c r="AC95" s="23" t="str">
        <f t="shared" si="52"/>
        <v/>
      </c>
      <c r="AD95" s="23" t="str">
        <f t="shared" si="52"/>
        <v/>
      </c>
      <c r="AE95" s="23" t="str">
        <f t="shared" si="52"/>
        <v/>
      </c>
      <c r="AF95" s="23" t="str">
        <f t="shared" si="52"/>
        <v/>
      </c>
      <c r="AG95" s="23" t="str">
        <f t="shared" si="52"/>
        <v/>
      </c>
      <c r="AH95" s="23">
        <f t="shared" si="40"/>
        <v>0</v>
      </c>
      <c r="AI95" s="23">
        <f t="shared" si="41"/>
        <v>0</v>
      </c>
      <c r="AJ95" s="70">
        <v>1</v>
      </c>
      <c r="AK95" s="225">
        <v>2327.0337</v>
      </c>
      <c r="AL95" s="33">
        <v>1</v>
      </c>
      <c r="AM95" s="204">
        <v>2327.0337</v>
      </c>
      <c r="AN95" s="196"/>
      <c r="AO95" s="23"/>
      <c r="AP95" s="23"/>
      <c r="AQ95" s="23"/>
      <c r="AR95" s="23"/>
      <c r="AS95" s="23"/>
      <c r="AT95" s="23"/>
      <c r="AU95" s="23"/>
      <c r="AV95" s="23"/>
      <c r="AW95" s="23"/>
      <c r="AX95" s="23"/>
      <c r="AY95" s="23"/>
      <c r="AZ95" s="196"/>
      <c r="BA95" s="70">
        <f>IF(VLOOKUP($D95,$AO$14:AQ$19,COLUMN()-50,0)&lt;=0,1,IF($Q95&lt;0,1,ROUNDUP(IF($Q95*('Draft Center'!$L$28+'Draft Center'!$L$78-'Draft Center'!$L$82)&lt;1,1,$Q95*('Draft Center'!$L$28+'Draft Center'!$L$78-'Draft Center'!$L$82)),0)))</f>
        <v>1</v>
      </c>
      <c r="BB95" s="70">
        <f>IF(VLOOKUP($D95,$AO$14:AR$19,COLUMN()-50,0)&lt;=0,1,IF($Q95&lt;0,1,ROUNDUP(IF($Q95*('Draft Center'!$L$28+'Draft Center'!$L$78-'Draft Center'!$L$82)&lt;1,1,$Q95*('Draft Center'!$L$28+'Draft Center'!$L$78-'Draft Center'!$L$82)),0)))</f>
        <v>1</v>
      </c>
      <c r="BC95" s="70">
        <f>IF(VLOOKUP($D95,$AO$14:AS$19,COLUMN()-50,0)&lt;=0,1,IF($Q95&lt;0,1,ROUNDUP(IF($Q95*('Draft Center'!$L$28+'Draft Center'!$L$78-'Draft Center'!$L$82)&lt;1,1,$Q95*('Draft Center'!$L$28+'Draft Center'!$L$78-'Draft Center'!$L$82)),0)))</f>
        <v>1</v>
      </c>
      <c r="BD95" s="70">
        <f>IF(VLOOKUP($D95,$AO$14:AT$19,COLUMN()-50,0)&lt;=0,1,IF($Q95&lt;0,1,ROUNDUP(IF($Q95*('Draft Center'!$L$28+'Draft Center'!$L$78-'Draft Center'!$L$82)&lt;1,1,$Q95*('Draft Center'!$L$28+'Draft Center'!$L$78-'Draft Center'!$L$82)),0)))</f>
        <v>1</v>
      </c>
      <c r="BE95" s="70">
        <f>IF(VLOOKUP($D95,$AO$14:AU$19,COLUMN()-50,0)&lt;=0,1,IF($Q95&lt;0,1,ROUNDUP(IF($Q95*('Draft Center'!$L$28+'Draft Center'!$L$78-'Draft Center'!$L$82)&lt;1,1,$Q95*('Draft Center'!$L$28+'Draft Center'!$L$78-'Draft Center'!$L$82)),0)))</f>
        <v>1</v>
      </c>
      <c r="BF95" s="70">
        <f>IF(VLOOKUP($D95,$AO$14:AV$19,COLUMN()-50,0)&lt;=0,1,IF($Q95&lt;0,1,ROUNDUP(IF($Q95*('Draft Center'!$L$28+'Draft Center'!$L$78-'Draft Center'!$L$82)&lt;1,1,$Q95*('Draft Center'!$L$28+'Draft Center'!$L$78-'Draft Center'!$L$82)),0)))</f>
        <v>1</v>
      </c>
      <c r="BG95" s="70">
        <f>IF(VLOOKUP($D95,$AO$14:AW$19,COLUMN()-50,0)&lt;=0,1,IF($Q95&lt;0,1,ROUNDUP(IF($Q95*('Draft Center'!$L$28+'Draft Center'!$L$78-'Draft Center'!$L$82)&lt;1,1,$Q95*('Draft Center'!$L$28+'Draft Center'!$L$78-'Draft Center'!$L$82)),0)))</f>
        <v>1</v>
      </c>
      <c r="BH95" s="70">
        <f>IF(VLOOKUP($D95,$AO$14:AX$19,COLUMN()-50,0)&lt;=0,1,IF($Q95&lt;0,1,ROUNDUP(IF($Q95*('Draft Center'!$L$28+'Draft Center'!$L$78-'Draft Center'!$L$82)&lt;1,1,$Q95*('Draft Center'!$L$28+'Draft Center'!$L$78-'Draft Center'!$L$82)),0)))</f>
        <v>1</v>
      </c>
      <c r="BI95" s="70">
        <f>IF(VLOOKUP($D95,$AO$14:AY$19,COLUMN()-50,0)&lt;=0,1,IF($Q95&lt;0,1,ROUNDUP(IF($Q95*('Draft Center'!$L$28+'Draft Center'!$L$78-'Draft Center'!$L$82)&lt;1,1,$Q95*('Draft Center'!$L$28+'Draft Center'!$L$78-'Draft Center'!$L$82)),0)))</f>
        <v>1</v>
      </c>
      <c r="BJ95" s="196"/>
      <c r="BK95" s="23">
        <v>0</v>
      </c>
      <c r="BL95" s="23">
        <f t="shared" si="53"/>
        <v>0</v>
      </c>
      <c r="BM95" s="23">
        <v>0</v>
      </c>
      <c r="BN95" s="23" t="str">
        <f t="shared" si="53"/>
        <v/>
      </c>
      <c r="BO95" s="23" t="str">
        <f t="shared" si="53"/>
        <v/>
      </c>
      <c r="BP95" s="23" t="str">
        <f t="shared" si="53"/>
        <v/>
      </c>
      <c r="BQ95" s="23" t="str">
        <f t="shared" si="53"/>
        <v/>
      </c>
      <c r="BR95" s="23">
        <f t="shared" si="42"/>
        <v>0</v>
      </c>
      <c r="BS95" s="23">
        <f t="shared" si="43"/>
        <v>0</v>
      </c>
      <c r="BT95" s="70">
        <v>1</v>
      </c>
      <c r="BU95" s="58">
        <v>2327.0337</v>
      </c>
      <c r="BV95" s="33">
        <v>1</v>
      </c>
      <c r="BW95" s="204">
        <v>2327.0337</v>
      </c>
      <c r="BX95" s="23"/>
      <c r="BY95" s="70">
        <v>1</v>
      </c>
      <c r="BZ95" s="70">
        <v>1.2</v>
      </c>
      <c r="CA95" s="70">
        <v>1.2</v>
      </c>
      <c r="CB95" s="70">
        <v>1.2</v>
      </c>
      <c r="CC95" s="70">
        <f t="shared" si="46"/>
        <v>1.2</v>
      </c>
      <c r="CD95" s="70">
        <f t="shared" si="47"/>
        <v>1.2</v>
      </c>
    </row>
    <row r="96" spans="1:82" ht="15.75" customHeight="1" thickBot="1" x14ac:dyDescent="0.3">
      <c r="A96" s="9">
        <v>95</v>
      </c>
      <c r="B96" s="10" t="s">
        <v>207</v>
      </c>
      <c r="C96" s="10" t="s">
        <v>85</v>
      </c>
      <c r="D96" s="10" t="s">
        <v>147</v>
      </c>
      <c r="E96" s="51">
        <v>-0.75513879726074196</v>
      </c>
      <c r="F96" s="51">
        <v>130.61384963371299</v>
      </c>
      <c r="G96" s="51">
        <v>140.31702804378199</v>
      </c>
      <c r="H96" s="51">
        <v>109.6</v>
      </c>
      <c r="I96" s="11">
        <v>0</v>
      </c>
      <c r="J96" s="51">
        <v>4.62264694561211</v>
      </c>
      <c r="K96" s="249">
        <f>IFERROR(VLOOKUP(C96,Schedule!$T$3:$U$34,2,0),"FA")</f>
        <v>11</v>
      </c>
      <c r="L96" s="10" t="str">
        <f>D96&amp;COUNTIF(D$2:$D96,D96)</f>
        <v>K12</v>
      </c>
      <c r="M96" s="51">
        <f t="array" ref="M96">IFERROR(F96-AVERAGE(VLOOKUP(D96,$D97:$F$885,3,0),INDEX($F97:$F$885,SMALL(IF(D96=$D97:$D$885,ROW($D97:$D$885)-ROW(D96)),2))),0)</f>
        <v>0.74549626995300855</v>
      </c>
      <c r="N96" s="51">
        <f>IFERROR(IF(VLOOKUP($B96,Input!$AC$2:$AC$162,1,0)=$B96,0),F96)</f>
        <v>130.61384963371299</v>
      </c>
      <c r="O96" s="51">
        <f>IFERROR(IF(VLOOKUP($B96,Input!$AC$2:$AC$162,1,0)=$B96,0,G96),G96)</f>
        <v>140.31702804378199</v>
      </c>
      <c r="P96" s="51">
        <f>IF(N96=0,0,F96-AVERAGE(INDEX(F:F,MATCH(VLOOKUP(D96,Input!$A$14:$L$22,10,0),L:L,0)),INDEX(F:F,MATCH(VLOOKUP(D96,Input!$A$14:$L$22,11,0),L:L,0)),INDEX(F:F,MATCH(VLOOKUP(D96,Input!$A$14:$L$22,12,0),L:L,0)))+(0.01-ROW()*0.01))</f>
        <v>-1.8791319484150051</v>
      </c>
      <c r="Q96" s="107">
        <f t="shared" si="38"/>
        <v>-6.4828725727772993E-4</v>
      </c>
      <c r="R96" s="11">
        <f>IF(VLOOKUP($D96,$X$14:$Y$19,2,0)&lt;=0,1,IF(Q96&lt;0,1,ROUNDUP(IF(Q96*('Draft Center'!$L$28+'Draft Center'!$L$78-'Draft Center'!$L$82)&lt;1,1,Q96*('Draft Center'!$L$28+'Draft Center'!$L$78-'Draft Center'!$L$82)),0)))</f>
        <v>1</v>
      </c>
      <c r="S96" s="11">
        <f>IF(A96&lt;Input!$B$10+0.1,IF(ROUNDUP(R96*Input!$C$10,0)=0,1,ROUNDUP(R96*Input!$C$10,0)),IF(A96&gt;Input!$B$11,IF(ROUNDUP(R96*Input!$C$11,0)=0,1,ROUNDUP(R96*Input!$C$11,0)),IF(ROUNDUP(R96,0)=0,1,ROUNDUP(R96,0))))</f>
        <v>1</v>
      </c>
      <c r="T96" s="11">
        <f t="shared" si="39"/>
        <v>1</v>
      </c>
      <c r="U96" s="11">
        <f>IFERROR(VLOOKUP($B96,Input!$AC$2:$AE$161,3,0),0)</f>
        <v>0</v>
      </c>
      <c r="V96" s="257">
        <f t="shared" si="44"/>
        <v>0</v>
      </c>
      <c r="W96" s="264">
        <f t="shared" si="45"/>
        <v>1.0009600000000001</v>
      </c>
      <c r="X96" s="27"/>
      <c r="Y96" s="23"/>
      <c r="Z96" s="23"/>
      <c r="AA96" s="23">
        <v>0</v>
      </c>
      <c r="AB96" s="23" t="str">
        <f t="shared" si="52"/>
        <v/>
      </c>
      <c r="AC96" s="23" t="str">
        <f t="shared" si="52"/>
        <v/>
      </c>
      <c r="AD96" s="23" t="str">
        <f t="shared" si="52"/>
        <v/>
      </c>
      <c r="AE96" s="23" t="str">
        <f t="shared" si="52"/>
        <v/>
      </c>
      <c r="AF96" s="23" t="str">
        <f t="shared" si="52"/>
        <v/>
      </c>
      <c r="AG96" s="23">
        <f t="shared" si="52"/>
        <v>0</v>
      </c>
      <c r="AH96" s="23">
        <f t="shared" si="40"/>
        <v>0</v>
      </c>
      <c r="AI96" s="23">
        <f t="shared" si="41"/>
        <v>0</v>
      </c>
      <c r="AJ96" s="69">
        <v>1</v>
      </c>
      <c r="AK96" s="225">
        <v>2327.0337</v>
      </c>
      <c r="AL96" s="33">
        <v>1</v>
      </c>
      <c r="AM96" s="204">
        <v>2327.0337</v>
      </c>
      <c r="AN96" s="196"/>
      <c r="AO96" s="23"/>
      <c r="AP96" s="23"/>
      <c r="AQ96" s="23"/>
      <c r="AR96" s="23"/>
      <c r="AS96" s="23"/>
      <c r="AT96" s="23"/>
      <c r="AU96" s="23"/>
      <c r="AV96" s="23"/>
      <c r="AW96" s="23"/>
      <c r="AX96" s="23"/>
      <c r="AY96" s="23"/>
      <c r="AZ96" s="196"/>
      <c r="BA96" s="69">
        <f>IF(VLOOKUP($D96,$AO$14:AQ$19,COLUMN()-50,0)&lt;=0,1,IF($Q96&lt;0,1,ROUNDUP(IF($Q96*('Draft Center'!$L$28+'Draft Center'!$L$78-'Draft Center'!$L$82)&lt;1,1,$Q96*('Draft Center'!$L$28+'Draft Center'!$L$78-'Draft Center'!$L$82)),0)))</f>
        <v>1</v>
      </c>
      <c r="BB96" s="69">
        <f>IF(VLOOKUP($D96,$AO$14:AR$19,COLUMN()-50,0)&lt;=0,1,IF($Q96&lt;0,1,ROUNDUP(IF($Q96*('Draft Center'!$L$28+'Draft Center'!$L$78-'Draft Center'!$L$82)&lt;1,1,$Q96*('Draft Center'!$L$28+'Draft Center'!$L$78-'Draft Center'!$L$82)),0)))</f>
        <v>1</v>
      </c>
      <c r="BC96" s="69">
        <f>IF(VLOOKUP($D96,$AO$14:AS$19,COLUMN()-50,0)&lt;=0,1,IF($Q96&lt;0,1,ROUNDUP(IF($Q96*('Draft Center'!$L$28+'Draft Center'!$L$78-'Draft Center'!$L$82)&lt;1,1,$Q96*('Draft Center'!$L$28+'Draft Center'!$L$78-'Draft Center'!$L$82)),0)))</f>
        <v>1</v>
      </c>
      <c r="BD96" s="69">
        <f>IF(VLOOKUP($D96,$AO$14:AT$19,COLUMN()-50,0)&lt;=0,1,IF($Q96&lt;0,1,ROUNDUP(IF($Q96*('Draft Center'!$L$28+'Draft Center'!$L$78-'Draft Center'!$L$82)&lt;1,1,$Q96*('Draft Center'!$L$28+'Draft Center'!$L$78-'Draft Center'!$L$82)),0)))</f>
        <v>1</v>
      </c>
      <c r="BE96" s="69">
        <f>IF(VLOOKUP($D96,$AO$14:AU$19,COLUMN()-50,0)&lt;=0,1,IF($Q96&lt;0,1,ROUNDUP(IF($Q96*('Draft Center'!$L$28+'Draft Center'!$L$78-'Draft Center'!$L$82)&lt;1,1,$Q96*('Draft Center'!$L$28+'Draft Center'!$L$78-'Draft Center'!$L$82)),0)))</f>
        <v>1</v>
      </c>
      <c r="BF96" s="69">
        <f>IF(VLOOKUP($D96,$AO$14:AV$19,COLUMN()-50,0)&lt;=0,1,IF($Q96&lt;0,1,ROUNDUP(IF($Q96*('Draft Center'!$L$28+'Draft Center'!$L$78-'Draft Center'!$L$82)&lt;1,1,$Q96*('Draft Center'!$L$28+'Draft Center'!$L$78-'Draft Center'!$L$82)),0)))</f>
        <v>1</v>
      </c>
      <c r="BG96" s="69">
        <f>IF(VLOOKUP($D96,$AO$14:AW$19,COLUMN()-50,0)&lt;=0,1,IF($Q96&lt;0,1,ROUNDUP(IF($Q96*('Draft Center'!$L$28+'Draft Center'!$L$78-'Draft Center'!$L$82)&lt;1,1,$Q96*('Draft Center'!$L$28+'Draft Center'!$L$78-'Draft Center'!$L$82)),0)))</f>
        <v>1</v>
      </c>
      <c r="BH96" s="69">
        <f>IF(VLOOKUP($D96,$AO$14:AX$19,COLUMN()-50,0)&lt;=0,1,IF($Q96&lt;0,1,ROUNDUP(IF($Q96*('Draft Center'!$L$28+'Draft Center'!$L$78-'Draft Center'!$L$82)&lt;1,1,$Q96*('Draft Center'!$L$28+'Draft Center'!$L$78-'Draft Center'!$L$82)),0)))</f>
        <v>1</v>
      </c>
      <c r="BI96" s="69">
        <f>IF(VLOOKUP($D96,$AO$14:AY$19,COLUMN()-50,0)&lt;=0,1,IF($Q96&lt;0,1,ROUNDUP(IF($Q96*('Draft Center'!$L$28+'Draft Center'!$L$78-'Draft Center'!$L$82)&lt;1,1,$Q96*('Draft Center'!$L$28+'Draft Center'!$L$78-'Draft Center'!$L$82)),0)))</f>
        <v>1</v>
      </c>
      <c r="BJ96" s="196"/>
      <c r="BK96" s="23">
        <v>0</v>
      </c>
      <c r="BL96" s="23" t="str">
        <f t="shared" si="53"/>
        <v/>
      </c>
      <c r="BM96" s="23">
        <v>0</v>
      </c>
      <c r="BN96" s="23" t="str">
        <f t="shared" si="53"/>
        <v/>
      </c>
      <c r="BO96" s="23" t="str">
        <f t="shared" si="53"/>
        <v/>
      </c>
      <c r="BP96" s="23" t="str">
        <f t="shared" si="53"/>
        <v/>
      </c>
      <c r="BQ96" s="23">
        <f t="shared" si="53"/>
        <v>0</v>
      </c>
      <c r="BR96" s="23">
        <f t="shared" si="42"/>
        <v>0</v>
      </c>
      <c r="BS96" s="23">
        <f t="shared" si="43"/>
        <v>0</v>
      </c>
      <c r="BT96" s="69">
        <v>1</v>
      </c>
      <c r="BU96" s="58">
        <v>2327.0337</v>
      </c>
      <c r="BV96" s="33">
        <v>1</v>
      </c>
      <c r="BW96" s="204">
        <v>2327.0337</v>
      </c>
      <c r="BX96" s="23"/>
      <c r="BY96" s="69">
        <v>1</v>
      </c>
      <c r="BZ96" s="69">
        <v>0</v>
      </c>
      <c r="CA96" s="69">
        <v>0</v>
      </c>
      <c r="CB96" s="69">
        <v>0</v>
      </c>
      <c r="CC96" s="69">
        <f t="shared" si="46"/>
        <v>0</v>
      </c>
      <c r="CD96" s="69">
        <f t="shared" si="47"/>
        <v>0</v>
      </c>
    </row>
    <row r="97" spans="1:82" ht="15.75" customHeight="1" thickBot="1" x14ac:dyDescent="0.3">
      <c r="A97" s="6">
        <v>96</v>
      </c>
      <c r="B97" s="7" t="s">
        <v>297</v>
      </c>
      <c r="C97" s="7" t="s">
        <v>33</v>
      </c>
      <c r="D97" s="7" t="s">
        <v>135</v>
      </c>
      <c r="E97" s="50">
        <v>-1.04317172632533</v>
      </c>
      <c r="F97" s="50">
        <v>107.688386950612</v>
      </c>
      <c r="G97" s="50">
        <v>123.964625</v>
      </c>
      <c r="H97" s="50">
        <v>84.8</v>
      </c>
      <c r="I97" s="8">
        <v>1.9</v>
      </c>
      <c r="J97" s="50">
        <v>3.9279249239994898</v>
      </c>
      <c r="K97" s="248">
        <f>IFERROR(VLOOKUP(C97,Schedule!$T$3:$U$34,2,0),"FA")</f>
        <v>9</v>
      </c>
      <c r="L97" s="7" t="str">
        <f>D97&amp;COUNTIF(D$2:$D97,D97)</f>
        <v>DST11</v>
      </c>
      <c r="M97" s="50">
        <f t="array" ref="M97">IFERROR(F97-AVERAGE(VLOOKUP(D97,$D98:$F$885,3,0),INDEX($F98:$F$885,SMALL(IF(D97=$D98:$D$885,ROW($D98:$D$885)-ROW(D97)),2))),0)</f>
        <v>2.2884481196195026</v>
      </c>
      <c r="N97" s="50">
        <f>IFERROR(IF(VLOOKUP($B97,Input!$AC$2:$AC$162,1,0)=$B97,0),F97)</f>
        <v>107.688386950612</v>
      </c>
      <c r="O97" s="50">
        <f>IFERROR(IF(VLOOKUP($B97,Input!$AC$2:$AC$162,1,0)=$B97,0,G97),G97)</f>
        <v>123.964625</v>
      </c>
      <c r="P97" s="50">
        <f>IF(N97=0,0,F97-AVERAGE(INDEX(F:F,MATCH(VLOOKUP(D97,Input!$A$14:$L$22,10,0),L:L,0)),INDEX(F:F,MATCH(VLOOKUP(D97,Input!$A$14:$L$22,11,0),L:L,0)),INDEX(F:F,MATCH(VLOOKUP(D97,Input!$A$14:$L$22,12,0),L:L,0)))+(0.01-ROW()*0.01))</f>
        <v>-0.96000000000001418</v>
      </c>
      <c r="Q97" s="106">
        <f t="shared" si="38"/>
        <v>-3.3119322329204688E-4</v>
      </c>
      <c r="R97" s="8">
        <f>IF(VLOOKUP($D97,$X$14:$Y$19,2,0)&lt;=0,1,IF(Q97&lt;0,1,ROUNDUP(IF(Q97*('Draft Center'!$L$28+'Draft Center'!$L$78-'Draft Center'!$L$82)&lt;1,1,Q97*('Draft Center'!$L$28+'Draft Center'!$L$78-'Draft Center'!$L$82)),0)))</f>
        <v>1</v>
      </c>
      <c r="S97" s="8">
        <f>IF(A97&lt;Input!$B$10+0.1,IF(ROUNDUP(R97*Input!$C$10,0)=0,1,ROUNDUP(R97*Input!$C$10,0)),IF(A97&gt;Input!$B$11,IF(ROUNDUP(R97*Input!$C$11,0)=0,1,ROUNDUP(R97*Input!$C$11,0)),IF(ROUNDUP(R97,0)=0,1,ROUNDUP(R97,0))))</f>
        <v>1</v>
      </c>
      <c r="T97" s="8">
        <f t="shared" si="39"/>
        <v>1</v>
      </c>
      <c r="U97" s="8">
        <f>IFERROR(VLOOKUP($B97,Input!$AC$2:$AE$161,3,0),0)</f>
        <v>0</v>
      </c>
      <c r="V97" s="256">
        <f t="shared" si="44"/>
        <v>-0.47271421052631574</v>
      </c>
      <c r="W97" s="263">
        <f t="shared" si="45"/>
        <v>-0.89902999999999988</v>
      </c>
      <c r="X97" s="27"/>
      <c r="Y97" s="23"/>
      <c r="Z97" s="23"/>
      <c r="AA97" s="23">
        <v>0</v>
      </c>
      <c r="AB97" s="23" t="str">
        <f t="shared" si="52"/>
        <v/>
      </c>
      <c r="AC97" s="23" t="str">
        <f t="shared" si="52"/>
        <v/>
      </c>
      <c r="AD97" s="23" t="str">
        <f t="shared" si="52"/>
        <v/>
      </c>
      <c r="AE97" s="23" t="str">
        <f t="shared" si="52"/>
        <v/>
      </c>
      <c r="AF97" s="23">
        <f t="shared" si="52"/>
        <v>0</v>
      </c>
      <c r="AG97" s="23" t="str">
        <f t="shared" si="52"/>
        <v/>
      </c>
      <c r="AH97" s="23">
        <f t="shared" si="40"/>
        <v>0</v>
      </c>
      <c r="AI97" s="23">
        <f t="shared" si="41"/>
        <v>0</v>
      </c>
      <c r="AJ97" s="70">
        <v>1</v>
      </c>
      <c r="AK97" s="225">
        <v>2327.0337</v>
      </c>
      <c r="AL97" s="33">
        <v>1</v>
      </c>
      <c r="AM97" s="204">
        <v>2327.0337</v>
      </c>
      <c r="AN97" s="196"/>
      <c r="AO97" s="23"/>
      <c r="AP97" s="23"/>
      <c r="AQ97" s="23"/>
      <c r="AR97" s="23"/>
      <c r="AS97" s="23"/>
      <c r="AT97" s="23"/>
      <c r="AU97" s="23"/>
      <c r="AV97" s="23"/>
      <c r="AW97" s="23"/>
      <c r="AX97" s="23"/>
      <c r="AY97" s="23"/>
      <c r="AZ97" s="196"/>
      <c r="BA97" s="70">
        <f>IF(VLOOKUP($D97,$AO$14:AQ$19,COLUMN()-50,0)&lt;=0,1,IF($Q97&lt;0,1,ROUNDUP(IF($Q97*('Draft Center'!$L$28+'Draft Center'!$L$78-'Draft Center'!$L$82)&lt;1,1,$Q97*('Draft Center'!$L$28+'Draft Center'!$L$78-'Draft Center'!$L$82)),0)))</f>
        <v>1</v>
      </c>
      <c r="BB97" s="70">
        <f>IF(VLOOKUP($D97,$AO$14:AR$19,COLUMN()-50,0)&lt;=0,1,IF($Q97&lt;0,1,ROUNDUP(IF($Q97*('Draft Center'!$L$28+'Draft Center'!$L$78-'Draft Center'!$L$82)&lt;1,1,$Q97*('Draft Center'!$L$28+'Draft Center'!$L$78-'Draft Center'!$L$82)),0)))</f>
        <v>1</v>
      </c>
      <c r="BC97" s="70">
        <f>IF(VLOOKUP($D97,$AO$14:AS$19,COLUMN()-50,0)&lt;=0,1,IF($Q97&lt;0,1,ROUNDUP(IF($Q97*('Draft Center'!$L$28+'Draft Center'!$L$78-'Draft Center'!$L$82)&lt;1,1,$Q97*('Draft Center'!$L$28+'Draft Center'!$L$78-'Draft Center'!$L$82)),0)))</f>
        <v>1</v>
      </c>
      <c r="BD97" s="70">
        <f>IF(VLOOKUP($D97,$AO$14:AT$19,COLUMN()-50,0)&lt;=0,1,IF($Q97&lt;0,1,ROUNDUP(IF($Q97*('Draft Center'!$L$28+'Draft Center'!$L$78-'Draft Center'!$L$82)&lt;1,1,$Q97*('Draft Center'!$L$28+'Draft Center'!$L$78-'Draft Center'!$L$82)),0)))</f>
        <v>1</v>
      </c>
      <c r="BE97" s="70">
        <f>IF(VLOOKUP($D97,$AO$14:AU$19,COLUMN()-50,0)&lt;=0,1,IF($Q97&lt;0,1,ROUNDUP(IF($Q97*('Draft Center'!$L$28+'Draft Center'!$L$78-'Draft Center'!$L$82)&lt;1,1,$Q97*('Draft Center'!$L$28+'Draft Center'!$L$78-'Draft Center'!$L$82)),0)))</f>
        <v>1</v>
      </c>
      <c r="BF97" s="70">
        <f>IF(VLOOKUP($D97,$AO$14:AV$19,COLUMN()-50,0)&lt;=0,1,IF($Q97&lt;0,1,ROUNDUP(IF($Q97*('Draft Center'!$L$28+'Draft Center'!$L$78-'Draft Center'!$L$82)&lt;1,1,$Q97*('Draft Center'!$L$28+'Draft Center'!$L$78-'Draft Center'!$L$82)),0)))</f>
        <v>1</v>
      </c>
      <c r="BG97" s="70">
        <f>IF(VLOOKUP($D97,$AO$14:AW$19,COLUMN()-50,0)&lt;=0,1,IF($Q97&lt;0,1,ROUNDUP(IF($Q97*('Draft Center'!$L$28+'Draft Center'!$L$78-'Draft Center'!$L$82)&lt;1,1,$Q97*('Draft Center'!$L$28+'Draft Center'!$L$78-'Draft Center'!$L$82)),0)))</f>
        <v>1</v>
      </c>
      <c r="BH97" s="70">
        <f>IF(VLOOKUP($D97,$AO$14:AX$19,COLUMN()-50,0)&lt;=0,1,IF($Q97&lt;0,1,ROUNDUP(IF($Q97*('Draft Center'!$L$28+'Draft Center'!$L$78-'Draft Center'!$L$82)&lt;1,1,$Q97*('Draft Center'!$L$28+'Draft Center'!$L$78-'Draft Center'!$L$82)),0)))</f>
        <v>1</v>
      </c>
      <c r="BI97" s="70">
        <f>IF(VLOOKUP($D97,$AO$14:AY$19,COLUMN()-50,0)&lt;=0,1,IF($Q97&lt;0,1,ROUNDUP(IF($Q97*('Draft Center'!$L$28+'Draft Center'!$L$78-'Draft Center'!$L$82)&lt;1,1,$Q97*('Draft Center'!$L$28+'Draft Center'!$L$78-'Draft Center'!$L$82)),0)))</f>
        <v>1</v>
      </c>
      <c r="BJ97" s="196"/>
      <c r="BK97" s="23">
        <v>0</v>
      </c>
      <c r="BL97" s="23" t="str">
        <f t="shared" si="53"/>
        <v/>
      </c>
      <c r="BM97" s="23">
        <v>0</v>
      </c>
      <c r="BN97" s="23" t="str">
        <f t="shared" si="53"/>
        <v/>
      </c>
      <c r="BO97" s="23" t="str">
        <f t="shared" si="53"/>
        <v/>
      </c>
      <c r="BP97" s="23">
        <f t="shared" si="53"/>
        <v>0</v>
      </c>
      <c r="BQ97" s="23" t="str">
        <f t="shared" si="53"/>
        <v/>
      </c>
      <c r="BR97" s="23">
        <f t="shared" si="42"/>
        <v>0</v>
      </c>
      <c r="BS97" s="23">
        <f t="shared" si="43"/>
        <v>0</v>
      </c>
      <c r="BT97" s="70">
        <v>1</v>
      </c>
      <c r="BU97" s="58">
        <v>2327.0337</v>
      </c>
      <c r="BV97" s="33">
        <v>1</v>
      </c>
      <c r="BW97" s="204">
        <v>2327.0337</v>
      </c>
      <c r="BX97" s="23"/>
      <c r="BY97" s="70">
        <v>1</v>
      </c>
      <c r="BZ97" s="70">
        <v>1.9</v>
      </c>
      <c r="CA97" s="70">
        <v>1.9</v>
      </c>
      <c r="CB97" s="70">
        <v>1.9</v>
      </c>
      <c r="CC97" s="70">
        <f t="shared" si="46"/>
        <v>1.8999999999999997</v>
      </c>
      <c r="CD97" s="70">
        <f t="shared" si="47"/>
        <v>1.9</v>
      </c>
    </row>
    <row r="98" spans="1:82" ht="15.75" customHeight="1" thickBot="1" x14ac:dyDescent="0.3">
      <c r="A98" s="9">
        <v>97</v>
      </c>
      <c r="B98" s="10" t="s">
        <v>217</v>
      </c>
      <c r="C98" s="10" t="s">
        <v>25</v>
      </c>
      <c r="D98" s="10" t="s">
        <v>147</v>
      </c>
      <c r="E98" s="51">
        <v>-1.1176789594687999</v>
      </c>
      <c r="F98" s="51">
        <v>130.25130947150399</v>
      </c>
      <c r="G98" s="51">
        <v>136.95395267420199</v>
      </c>
      <c r="H98" s="51">
        <v>120.4</v>
      </c>
      <c r="I98" s="11">
        <v>1.1000000000000001</v>
      </c>
      <c r="J98" s="51">
        <v>3.3225673715154098</v>
      </c>
      <c r="K98" s="249">
        <f>IFERROR(VLOOKUP(C98,Schedule!$T$3:$U$34,2,0),"FA")</f>
        <v>10</v>
      </c>
      <c r="L98" s="10" t="str">
        <f>D98&amp;COUNTIF(D$2:$D98,D98)</f>
        <v>K13</v>
      </c>
      <c r="M98" s="51">
        <f t="array" ref="M98">IFERROR(F98-AVERAGE(VLOOKUP(D98,$D99:$F$885,3,0),INDEX($F99:$F$885,SMALL(IF(D98=$D99:$D$885,ROW($D99:$D$885)-ROW(D98)),2))),0)</f>
        <v>1.2770154514374781</v>
      </c>
      <c r="N98" s="51">
        <f>IFERROR(IF(VLOOKUP($B98,Input!$AC$2:$AC$162,1,0)=$B98,0),F98)</f>
        <v>130.25130947150399</v>
      </c>
      <c r="O98" s="51">
        <f>IFERROR(IF(VLOOKUP($B98,Input!$AC$2:$AC$162,1,0)=$B98,0,G98),G98)</f>
        <v>136.95395267420199</v>
      </c>
      <c r="P98" s="51">
        <f>IF(N98=0,0,F98-AVERAGE(INDEX(F:F,MATCH(VLOOKUP(D98,Input!$A$14:$L$22,10,0),L:L,0)),INDEX(F:F,MATCH(VLOOKUP(D98,Input!$A$14:$L$22,11,0),L:L,0)),INDEX(F:F,MATCH(VLOOKUP(D98,Input!$A$14:$L$22,12,0),L:L,0)))+(0.01-ROW()*0.01))</f>
        <v>-2.2616721106240059</v>
      </c>
      <c r="Q98" s="107">
        <f t="shared" si="38"/>
        <v>-7.8026091286175034E-4</v>
      </c>
      <c r="R98" s="11">
        <f>IF(VLOOKUP($D98,$X$14:$Y$19,2,0)&lt;=0,1,IF(Q98&lt;0,1,ROUNDUP(IF(Q98*('Draft Center'!$L$28+'Draft Center'!$L$78-'Draft Center'!$L$82)&lt;1,1,Q98*('Draft Center'!$L$28+'Draft Center'!$L$78-'Draft Center'!$L$82)),0)))</f>
        <v>1</v>
      </c>
      <c r="S98" s="11">
        <f>IF(A98&lt;Input!$B$10+0.1,IF(ROUNDUP(R98*Input!$C$10,0)=0,1,ROUNDUP(R98*Input!$C$10,0)),IF(A98&gt;Input!$B$11,IF(ROUNDUP(R98*Input!$C$11,0)=0,1,ROUNDUP(R98*Input!$C$11,0)),IF(ROUNDUP(R98,0)=0,1,ROUNDUP(R98,0))))</f>
        <v>1</v>
      </c>
      <c r="T98" s="11">
        <f t="shared" si="39"/>
        <v>1</v>
      </c>
      <c r="U98" s="11">
        <f>IFERROR(VLOOKUP($B98,Input!$AC$2:$AE$161,3,0),0)</f>
        <v>0</v>
      </c>
      <c r="V98" s="257">
        <f t="shared" si="44"/>
        <v>-8.9929090909090986E-2</v>
      </c>
      <c r="W98" s="264">
        <f t="shared" si="45"/>
        <v>-9.9020000000000094E-2</v>
      </c>
      <c r="X98" s="27"/>
      <c r="Y98" s="23"/>
      <c r="Z98" s="23"/>
      <c r="AA98" s="23">
        <v>0</v>
      </c>
      <c r="AB98" s="23" t="str">
        <f t="shared" si="52"/>
        <v/>
      </c>
      <c r="AC98" s="23" t="str">
        <f t="shared" si="52"/>
        <v/>
      </c>
      <c r="AD98" s="23" t="str">
        <f t="shared" si="52"/>
        <v/>
      </c>
      <c r="AE98" s="23" t="str">
        <f t="shared" si="52"/>
        <v/>
      </c>
      <c r="AF98" s="23" t="str">
        <f t="shared" si="52"/>
        <v/>
      </c>
      <c r="AG98" s="23">
        <f t="shared" si="52"/>
        <v>0</v>
      </c>
      <c r="AH98" s="23">
        <f t="shared" si="40"/>
        <v>0</v>
      </c>
      <c r="AI98" s="23">
        <f t="shared" si="41"/>
        <v>0</v>
      </c>
      <c r="AJ98" s="69">
        <v>1</v>
      </c>
      <c r="AK98" s="225">
        <v>2327.0337</v>
      </c>
      <c r="AL98" s="33">
        <v>1</v>
      </c>
      <c r="AM98" s="204">
        <v>2327.0337</v>
      </c>
      <c r="AN98" s="196"/>
      <c r="AO98" s="23"/>
      <c r="AP98" s="23"/>
      <c r="AQ98" s="23"/>
      <c r="AR98" s="23"/>
      <c r="AS98" s="23"/>
      <c r="AT98" s="23"/>
      <c r="AU98" s="23"/>
      <c r="AV98" s="23"/>
      <c r="AW98" s="23"/>
      <c r="AX98" s="23"/>
      <c r="AY98" s="23"/>
      <c r="AZ98" s="196"/>
      <c r="BA98" s="69">
        <f>IF(VLOOKUP($D98,$AO$14:AQ$19,COLUMN()-50,0)&lt;=0,1,IF($Q98&lt;0,1,ROUNDUP(IF($Q98*('Draft Center'!$L$28+'Draft Center'!$L$78-'Draft Center'!$L$82)&lt;1,1,$Q98*('Draft Center'!$L$28+'Draft Center'!$L$78-'Draft Center'!$L$82)),0)))</f>
        <v>1</v>
      </c>
      <c r="BB98" s="69">
        <f>IF(VLOOKUP($D98,$AO$14:AR$19,COLUMN()-50,0)&lt;=0,1,IF($Q98&lt;0,1,ROUNDUP(IF($Q98*('Draft Center'!$L$28+'Draft Center'!$L$78-'Draft Center'!$L$82)&lt;1,1,$Q98*('Draft Center'!$L$28+'Draft Center'!$L$78-'Draft Center'!$L$82)),0)))</f>
        <v>1</v>
      </c>
      <c r="BC98" s="69">
        <f>IF(VLOOKUP($D98,$AO$14:AS$19,COLUMN()-50,0)&lt;=0,1,IF($Q98&lt;0,1,ROUNDUP(IF($Q98*('Draft Center'!$L$28+'Draft Center'!$L$78-'Draft Center'!$L$82)&lt;1,1,$Q98*('Draft Center'!$L$28+'Draft Center'!$L$78-'Draft Center'!$L$82)),0)))</f>
        <v>1</v>
      </c>
      <c r="BD98" s="69">
        <f>IF(VLOOKUP($D98,$AO$14:AT$19,COLUMN()-50,0)&lt;=0,1,IF($Q98&lt;0,1,ROUNDUP(IF($Q98*('Draft Center'!$L$28+'Draft Center'!$L$78-'Draft Center'!$L$82)&lt;1,1,$Q98*('Draft Center'!$L$28+'Draft Center'!$L$78-'Draft Center'!$L$82)),0)))</f>
        <v>1</v>
      </c>
      <c r="BE98" s="69">
        <f>IF(VLOOKUP($D98,$AO$14:AU$19,COLUMN()-50,0)&lt;=0,1,IF($Q98&lt;0,1,ROUNDUP(IF($Q98*('Draft Center'!$L$28+'Draft Center'!$L$78-'Draft Center'!$L$82)&lt;1,1,$Q98*('Draft Center'!$L$28+'Draft Center'!$L$78-'Draft Center'!$L$82)),0)))</f>
        <v>1</v>
      </c>
      <c r="BF98" s="69">
        <f>IF(VLOOKUP($D98,$AO$14:AV$19,COLUMN()-50,0)&lt;=0,1,IF($Q98&lt;0,1,ROUNDUP(IF($Q98*('Draft Center'!$L$28+'Draft Center'!$L$78-'Draft Center'!$L$82)&lt;1,1,$Q98*('Draft Center'!$L$28+'Draft Center'!$L$78-'Draft Center'!$L$82)),0)))</f>
        <v>1</v>
      </c>
      <c r="BG98" s="69">
        <f>IF(VLOOKUP($D98,$AO$14:AW$19,COLUMN()-50,0)&lt;=0,1,IF($Q98&lt;0,1,ROUNDUP(IF($Q98*('Draft Center'!$L$28+'Draft Center'!$L$78-'Draft Center'!$L$82)&lt;1,1,$Q98*('Draft Center'!$L$28+'Draft Center'!$L$78-'Draft Center'!$L$82)),0)))</f>
        <v>1</v>
      </c>
      <c r="BH98" s="69">
        <f>IF(VLOOKUP($D98,$AO$14:AX$19,COLUMN()-50,0)&lt;=0,1,IF($Q98&lt;0,1,ROUNDUP(IF($Q98*('Draft Center'!$L$28+'Draft Center'!$L$78-'Draft Center'!$L$82)&lt;1,1,$Q98*('Draft Center'!$L$28+'Draft Center'!$L$78-'Draft Center'!$L$82)),0)))</f>
        <v>1</v>
      </c>
      <c r="BI98" s="69">
        <f>IF(VLOOKUP($D98,$AO$14:AY$19,COLUMN()-50,0)&lt;=0,1,IF($Q98&lt;0,1,ROUNDUP(IF($Q98*('Draft Center'!$L$28+'Draft Center'!$L$78-'Draft Center'!$L$82)&lt;1,1,$Q98*('Draft Center'!$L$28+'Draft Center'!$L$78-'Draft Center'!$L$82)),0)))</f>
        <v>1</v>
      </c>
      <c r="BJ98" s="196"/>
      <c r="BK98" s="23">
        <v>0</v>
      </c>
      <c r="BL98" s="23" t="str">
        <f t="shared" si="53"/>
        <v/>
      </c>
      <c r="BM98" s="23">
        <v>0</v>
      </c>
      <c r="BN98" s="23" t="str">
        <f t="shared" si="53"/>
        <v/>
      </c>
      <c r="BO98" s="23" t="str">
        <f t="shared" si="53"/>
        <v/>
      </c>
      <c r="BP98" s="23" t="str">
        <f t="shared" si="53"/>
        <v/>
      </c>
      <c r="BQ98" s="23">
        <f t="shared" si="53"/>
        <v>0</v>
      </c>
      <c r="BR98" s="23">
        <f t="shared" si="42"/>
        <v>0</v>
      </c>
      <c r="BS98" s="23">
        <f t="shared" si="43"/>
        <v>0</v>
      </c>
      <c r="BT98" s="69">
        <v>1</v>
      </c>
      <c r="BU98" s="58">
        <v>2327.0337</v>
      </c>
      <c r="BV98" s="33">
        <v>1</v>
      </c>
      <c r="BW98" s="204">
        <v>2327.0337</v>
      </c>
      <c r="BX98" s="23"/>
      <c r="BY98" s="69">
        <v>1</v>
      </c>
      <c r="BZ98" s="69">
        <v>1.1000000000000001</v>
      </c>
      <c r="CA98" s="69">
        <v>1.1000000000000001</v>
      </c>
      <c r="CB98" s="69">
        <v>1.1000000000000001</v>
      </c>
      <c r="CC98" s="69">
        <f t="shared" si="46"/>
        <v>1.1000000000000001</v>
      </c>
      <c r="CD98" s="69">
        <f t="shared" si="47"/>
        <v>1.1000000000000001</v>
      </c>
    </row>
    <row r="99" spans="1:82" ht="15.75" customHeight="1" thickBot="1" x14ac:dyDescent="0.3">
      <c r="A99" s="6">
        <v>98</v>
      </c>
      <c r="B99" s="7" t="s">
        <v>275</v>
      </c>
      <c r="C99" s="7" t="s">
        <v>36</v>
      </c>
      <c r="D99" s="7" t="s">
        <v>19</v>
      </c>
      <c r="E99" s="50">
        <v>-1.1857834571949599</v>
      </c>
      <c r="F99" s="50">
        <v>167.91661456875701</v>
      </c>
      <c r="G99" s="50">
        <v>187.191796207051</v>
      </c>
      <c r="H99" s="50">
        <v>125.393182441701</v>
      </c>
      <c r="I99" s="8">
        <v>4.9000000000000004</v>
      </c>
      <c r="J99" s="50">
        <v>4.7116543917882101</v>
      </c>
      <c r="K99" s="248">
        <f>IFERROR(VLOOKUP(C99,Schedule!$T$3:$U$34,2,0),"FA")</f>
        <v>7</v>
      </c>
      <c r="L99" s="7" t="str">
        <f>D99&amp;COUNTIF(D$2:$D99,D99)</f>
        <v>RB26</v>
      </c>
      <c r="M99" s="50">
        <f t="array" ref="M99">IFERROR(F99-AVERAGE(VLOOKUP(D99,$D100:$F$885,3,0),INDEX($F100:$F$885,SMALL(IF(D99=$D100:$D$885,ROW($D100:$D$885)-ROW(D99)),2))),0)</f>
        <v>1.2432950215345215</v>
      </c>
      <c r="N99" s="50">
        <f>IFERROR(IF(VLOOKUP($B99,Input!$AC$2:$AC$162,1,0)=$B99,0),F99)</f>
        <v>167.91661456875701</v>
      </c>
      <c r="O99" s="50">
        <f>IFERROR(IF(VLOOKUP($B99,Input!$AC$2:$AC$162,1,0)=$B99,0,G99),G99)</f>
        <v>187.191796207051</v>
      </c>
      <c r="P99" s="50">
        <f>IF(N99=0,0,F99-AVERAGE(INDEX(F:F,MATCH(VLOOKUP(D99,Input!$A$14:$L$22,10,0),L:L,0)),INDEX(F:F,MATCH(VLOOKUP(D99,Input!$A$14:$L$22,11,0),L:L,0)),INDEX(F:F,MATCH(VLOOKUP(D99,Input!$A$14:$L$22,12,0),L:L,0)))+(0.01-ROW()*0.01))</f>
        <v>-2.1657834571949865</v>
      </c>
      <c r="Q99" s="106">
        <f t="shared" si="38"/>
        <v>-7.4718000431353115E-4</v>
      </c>
      <c r="R99" s="8">
        <f>IF(VLOOKUP($D99,$X$14:$Y$19,2,0)&lt;=0,1,IF(Q99&lt;0,1,ROUNDUP(IF(Q99*('Draft Center'!$L$28+'Draft Center'!$L$78-'Draft Center'!$L$82)&lt;1,1,Q99*('Draft Center'!$L$28+'Draft Center'!$L$78-'Draft Center'!$L$82)),0)))</f>
        <v>1</v>
      </c>
      <c r="S99" s="8">
        <f>IF(A99&lt;Input!$B$10+0.1,IF(ROUNDUP(R99*Input!$C$10,0)=0,1,ROUNDUP(R99*Input!$C$10,0)),IF(A99&gt;Input!$B$11,IF(ROUNDUP(R99*Input!$C$11,0)=0,1,ROUNDUP(R99*Input!$C$11,0)),IF(ROUNDUP(R99,0)=0,1,ROUNDUP(R99,0))))</f>
        <v>1</v>
      </c>
      <c r="T99" s="8">
        <f t="shared" si="39"/>
        <v>1</v>
      </c>
      <c r="U99" s="8">
        <f>IFERROR(VLOOKUP($B99,Input!$AC$2:$AE$161,3,0),0)</f>
        <v>0</v>
      </c>
      <c r="V99" s="256">
        <f t="shared" si="44"/>
        <v>-0.79492836734693872</v>
      </c>
      <c r="W99" s="263">
        <f t="shared" si="45"/>
        <v>-3.8990100000000005</v>
      </c>
      <c r="X99" s="27"/>
      <c r="Y99" s="23"/>
      <c r="Z99" s="23"/>
      <c r="AA99" s="23">
        <v>0</v>
      </c>
      <c r="AB99" s="23" t="str">
        <f t="shared" si="52"/>
        <v/>
      </c>
      <c r="AC99" s="23">
        <f t="shared" si="52"/>
        <v>0</v>
      </c>
      <c r="AD99" s="23" t="str">
        <f t="shared" si="52"/>
        <v/>
      </c>
      <c r="AE99" s="23" t="str">
        <f t="shared" si="52"/>
        <v/>
      </c>
      <c r="AF99" s="23" t="str">
        <f t="shared" si="52"/>
        <v/>
      </c>
      <c r="AG99" s="23" t="str">
        <f t="shared" si="52"/>
        <v/>
      </c>
      <c r="AH99" s="23">
        <f t="shared" si="40"/>
        <v>0</v>
      </c>
      <c r="AI99" s="23">
        <f t="shared" si="41"/>
        <v>0</v>
      </c>
      <c r="AJ99" s="70">
        <v>1</v>
      </c>
      <c r="AK99" s="225">
        <v>2327.0337</v>
      </c>
      <c r="AL99" s="33">
        <v>1</v>
      </c>
      <c r="AM99" s="204">
        <v>2327.0337</v>
      </c>
      <c r="AN99" s="196"/>
      <c r="AO99" s="23"/>
      <c r="AP99" s="23"/>
      <c r="AQ99" s="23"/>
      <c r="AR99" s="23"/>
      <c r="AS99" s="23"/>
      <c r="AT99" s="23"/>
      <c r="AU99" s="23"/>
      <c r="AV99" s="23"/>
      <c r="AW99" s="23"/>
      <c r="AX99" s="23"/>
      <c r="AY99" s="23"/>
      <c r="AZ99" s="196"/>
      <c r="BA99" s="70">
        <f>IF(VLOOKUP($D99,$AO$14:AQ$19,COLUMN()-50,0)&lt;=0,1,IF($Q99&lt;0,1,ROUNDUP(IF($Q99*('Draft Center'!$L$28+'Draft Center'!$L$78-'Draft Center'!$L$82)&lt;1,1,$Q99*('Draft Center'!$L$28+'Draft Center'!$L$78-'Draft Center'!$L$82)),0)))</f>
        <v>1</v>
      </c>
      <c r="BB99" s="70">
        <f>IF(VLOOKUP($D99,$AO$14:AR$19,COLUMN()-50,0)&lt;=0,1,IF($Q99&lt;0,1,ROUNDUP(IF($Q99*('Draft Center'!$L$28+'Draft Center'!$L$78-'Draft Center'!$L$82)&lt;1,1,$Q99*('Draft Center'!$L$28+'Draft Center'!$L$78-'Draft Center'!$L$82)),0)))</f>
        <v>1</v>
      </c>
      <c r="BC99" s="70">
        <f>IF(VLOOKUP($D99,$AO$14:AS$19,COLUMN()-50,0)&lt;=0,1,IF($Q99&lt;0,1,ROUNDUP(IF($Q99*('Draft Center'!$L$28+'Draft Center'!$L$78-'Draft Center'!$L$82)&lt;1,1,$Q99*('Draft Center'!$L$28+'Draft Center'!$L$78-'Draft Center'!$L$82)),0)))</f>
        <v>1</v>
      </c>
      <c r="BD99" s="70">
        <f>IF(VLOOKUP($D99,$AO$14:AT$19,COLUMN()-50,0)&lt;=0,1,IF($Q99&lt;0,1,ROUNDUP(IF($Q99*('Draft Center'!$L$28+'Draft Center'!$L$78-'Draft Center'!$L$82)&lt;1,1,$Q99*('Draft Center'!$L$28+'Draft Center'!$L$78-'Draft Center'!$L$82)),0)))</f>
        <v>1</v>
      </c>
      <c r="BE99" s="70">
        <f>IF(VLOOKUP($D99,$AO$14:AU$19,COLUMN()-50,0)&lt;=0,1,IF($Q99&lt;0,1,ROUNDUP(IF($Q99*('Draft Center'!$L$28+'Draft Center'!$L$78-'Draft Center'!$L$82)&lt;1,1,$Q99*('Draft Center'!$L$28+'Draft Center'!$L$78-'Draft Center'!$L$82)),0)))</f>
        <v>1</v>
      </c>
      <c r="BF99" s="70">
        <f>IF(VLOOKUP($D99,$AO$14:AV$19,COLUMN()-50,0)&lt;=0,1,IF($Q99&lt;0,1,ROUNDUP(IF($Q99*('Draft Center'!$L$28+'Draft Center'!$L$78-'Draft Center'!$L$82)&lt;1,1,$Q99*('Draft Center'!$L$28+'Draft Center'!$L$78-'Draft Center'!$L$82)),0)))</f>
        <v>1</v>
      </c>
      <c r="BG99" s="70">
        <f>IF(VLOOKUP($D99,$AO$14:AW$19,COLUMN()-50,0)&lt;=0,1,IF($Q99&lt;0,1,ROUNDUP(IF($Q99*('Draft Center'!$L$28+'Draft Center'!$L$78-'Draft Center'!$L$82)&lt;1,1,$Q99*('Draft Center'!$L$28+'Draft Center'!$L$78-'Draft Center'!$L$82)),0)))</f>
        <v>1</v>
      </c>
      <c r="BH99" s="70">
        <f>IF(VLOOKUP($D99,$AO$14:AX$19,COLUMN()-50,0)&lt;=0,1,IF($Q99&lt;0,1,ROUNDUP(IF($Q99*('Draft Center'!$L$28+'Draft Center'!$L$78-'Draft Center'!$L$82)&lt;1,1,$Q99*('Draft Center'!$L$28+'Draft Center'!$L$78-'Draft Center'!$L$82)),0)))</f>
        <v>1</v>
      </c>
      <c r="BI99" s="70">
        <f>IF(VLOOKUP($D99,$AO$14:AY$19,COLUMN()-50,0)&lt;=0,1,IF($Q99&lt;0,1,ROUNDUP(IF($Q99*('Draft Center'!$L$28+'Draft Center'!$L$78-'Draft Center'!$L$82)&lt;1,1,$Q99*('Draft Center'!$L$28+'Draft Center'!$L$78-'Draft Center'!$L$82)),0)))</f>
        <v>1</v>
      </c>
      <c r="BJ99" s="196"/>
      <c r="BK99" s="23">
        <v>1</v>
      </c>
      <c r="BL99" s="23" t="str">
        <f t="shared" si="53"/>
        <v/>
      </c>
      <c r="BM99" s="23">
        <v>0</v>
      </c>
      <c r="BN99" s="23" t="str">
        <f t="shared" si="53"/>
        <v/>
      </c>
      <c r="BO99" s="23" t="str">
        <f t="shared" si="53"/>
        <v/>
      </c>
      <c r="BP99" s="23" t="str">
        <f t="shared" si="53"/>
        <v/>
      </c>
      <c r="BQ99" s="23" t="str">
        <f t="shared" si="53"/>
        <v/>
      </c>
      <c r="BR99" s="23">
        <f t="shared" si="42"/>
        <v>1</v>
      </c>
      <c r="BS99" s="23" t="str">
        <f t="shared" si="43"/>
        <v>Theo Riddick</v>
      </c>
      <c r="BT99" s="70">
        <v>1</v>
      </c>
      <c r="BU99" s="58">
        <v>2327.0337</v>
      </c>
      <c r="BV99" s="33">
        <v>1</v>
      </c>
      <c r="BW99" s="204">
        <v>2327.0337</v>
      </c>
      <c r="BX99" s="23"/>
      <c r="BY99" s="70">
        <v>1</v>
      </c>
      <c r="BZ99" s="70">
        <v>4.9000000000000004</v>
      </c>
      <c r="CA99" s="70">
        <v>4.9000000000000004</v>
      </c>
      <c r="CB99" s="70">
        <v>4.9000000000000004</v>
      </c>
      <c r="CC99" s="70">
        <f t="shared" si="46"/>
        <v>4.9000000000000004</v>
      </c>
      <c r="CD99" s="70">
        <f t="shared" si="47"/>
        <v>4.9000000000000004</v>
      </c>
    </row>
    <row r="100" spans="1:82" ht="15.75" customHeight="1" thickBot="1" x14ac:dyDescent="0.3">
      <c r="A100" s="9">
        <v>99</v>
      </c>
      <c r="B100" s="10" t="s">
        <v>105</v>
      </c>
      <c r="C100" s="10" t="s">
        <v>29</v>
      </c>
      <c r="D100" s="10" t="s">
        <v>17</v>
      </c>
      <c r="E100" s="51">
        <v>-1.1879225261491799</v>
      </c>
      <c r="F100" s="51">
        <v>211.58999374320001</v>
      </c>
      <c r="G100" s="51">
        <v>230.46439270418699</v>
      </c>
      <c r="H100" s="51">
        <v>175.20315587733</v>
      </c>
      <c r="I100" s="11">
        <v>12.8</v>
      </c>
      <c r="J100" s="51">
        <v>4.51107495768969</v>
      </c>
      <c r="K100" s="249">
        <f>IFERROR(VLOOKUP(C100,Schedule!$T$3:$U$34,2,0),"FA")</f>
        <v>8</v>
      </c>
      <c r="L100" s="10" t="str">
        <f>D100&amp;COUNTIF(D$2:$D100,D100)</f>
        <v>WR28</v>
      </c>
      <c r="M100" s="51">
        <f t="array" ref="M100">IFERROR(F100-AVERAGE(VLOOKUP(D100,$D101:$F$885,3,0),INDEX($F101:$F$885,SMALL(IF(D100=$D101:$D$885,ROW($D101:$D$885)-ROW(D100)),2))),0)</f>
        <v>5.6496250361170155</v>
      </c>
      <c r="N100" s="51">
        <f>IFERROR(IF(VLOOKUP($B100,Input!$AC$2:$AC$162,1,0)=$B100,0),F100)</f>
        <v>211.58999374320001</v>
      </c>
      <c r="O100" s="51">
        <f>IFERROR(IF(VLOOKUP($B100,Input!$AC$2:$AC$162,1,0)=$B100,0,G100),G100)</f>
        <v>230.46439270418699</v>
      </c>
      <c r="P100" s="51">
        <f>IF(N100=0,0,F100-AVERAGE(INDEX(F:F,MATCH(VLOOKUP(D100,Input!$A$14:$L$22,10,0),L:L,0)),INDEX(F:F,MATCH(VLOOKUP(D100,Input!$A$14:$L$22,11,0),L:L,0)),INDEX(F:F,MATCH(VLOOKUP(D100,Input!$A$14:$L$22,12,0),L:L,0)))+(0.01-ROW()*0.01))</f>
        <v>-2.1779225261490094</v>
      </c>
      <c r="Q100" s="107">
        <f t="shared" si="38"/>
        <v>-7.513678974121219E-4</v>
      </c>
      <c r="R100" s="11">
        <f>IF(VLOOKUP($D100,$X$14:$Y$19,2,0)&lt;=0,1,IF(Q100&lt;0,1,ROUNDUP(IF(Q100*('Draft Center'!$L$28+'Draft Center'!$L$78-'Draft Center'!$L$82)&lt;1,1,Q100*('Draft Center'!$L$28+'Draft Center'!$L$78-'Draft Center'!$L$82)),0)))</f>
        <v>1</v>
      </c>
      <c r="S100" s="11">
        <f>IF(A100&lt;Input!$B$10+0.1,IF(ROUNDUP(R100*Input!$C$10,0)=0,1,ROUNDUP(R100*Input!$C$10,0)),IF(A100&gt;Input!$B$11,IF(ROUNDUP(R100*Input!$C$11,0)=0,1,ROUNDUP(R100*Input!$C$11,0)),IF(ROUNDUP(R100,0)=0,1,ROUNDUP(R100,0))))</f>
        <v>1</v>
      </c>
      <c r="T100" s="11">
        <f t="shared" si="39"/>
        <v>1</v>
      </c>
      <c r="U100" s="11">
        <f>IFERROR(VLOOKUP($B100,Input!$AC$2:$AE$161,3,0),0)</f>
        <v>0</v>
      </c>
      <c r="V100" s="257">
        <f t="shared" si="44"/>
        <v>-0.920875</v>
      </c>
      <c r="W100" s="264">
        <f t="shared" si="45"/>
        <v>-11.799000000000001</v>
      </c>
      <c r="X100" s="27"/>
      <c r="Y100" s="23"/>
      <c r="Z100" s="23"/>
      <c r="AA100" s="23">
        <v>0</v>
      </c>
      <c r="AB100" s="23" t="str">
        <f t="shared" si="52"/>
        <v/>
      </c>
      <c r="AC100" s="23" t="str">
        <f t="shared" si="52"/>
        <v/>
      </c>
      <c r="AD100" s="23">
        <f t="shared" si="52"/>
        <v>0</v>
      </c>
      <c r="AE100" s="23" t="str">
        <f t="shared" si="52"/>
        <v/>
      </c>
      <c r="AF100" s="23" t="str">
        <f t="shared" si="52"/>
        <v/>
      </c>
      <c r="AG100" s="23" t="str">
        <f t="shared" si="52"/>
        <v/>
      </c>
      <c r="AH100" s="23">
        <f t="shared" si="40"/>
        <v>0</v>
      </c>
      <c r="AI100" s="23">
        <f t="shared" si="41"/>
        <v>0</v>
      </c>
      <c r="AJ100" s="69">
        <v>1</v>
      </c>
      <c r="AK100" s="225">
        <v>2327.0337</v>
      </c>
      <c r="AL100" s="33">
        <v>1</v>
      </c>
      <c r="AM100" s="204">
        <v>2327.0337</v>
      </c>
      <c r="AN100" s="196"/>
      <c r="AO100" s="23"/>
      <c r="AP100" s="23"/>
      <c r="AQ100" s="23"/>
      <c r="AR100" s="23"/>
      <c r="AS100" s="23"/>
      <c r="AT100" s="23"/>
      <c r="AU100" s="23"/>
      <c r="AV100" s="23"/>
      <c r="AW100" s="23"/>
      <c r="AX100" s="23"/>
      <c r="AY100" s="23"/>
      <c r="AZ100" s="196"/>
      <c r="BA100" s="69">
        <f>IF(VLOOKUP($D100,$AO$14:AQ$19,COLUMN()-50,0)&lt;=0,1,IF($Q100&lt;0,1,ROUNDUP(IF($Q100*('Draft Center'!$L$28+'Draft Center'!$L$78-'Draft Center'!$L$82)&lt;1,1,$Q100*('Draft Center'!$L$28+'Draft Center'!$L$78-'Draft Center'!$L$82)),0)))</f>
        <v>1</v>
      </c>
      <c r="BB100" s="69">
        <f>IF(VLOOKUP($D100,$AO$14:AR$19,COLUMN()-50,0)&lt;=0,1,IF($Q100&lt;0,1,ROUNDUP(IF($Q100*('Draft Center'!$L$28+'Draft Center'!$L$78-'Draft Center'!$L$82)&lt;1,1,$Q100*('Draft Center'!$L$28+'Draft Center'!$L$78-'Draft Center'!$L$82)),0)))</f>
        <v>1</v>
      </c>
      <c r="BC100" s="69">
        <f>IF(VLOOKUP($D100,$AO$14:AS$19,COLUMN()-50,0)&lt;=0,1,IF($Q100&lt;0,1,ROUNDUP(IF($Q100*('Draft Center'!$L$28+'Draft Center'!$L$78-'Draft Center'!$L$82)&lt;1,1,$Q100*('Draft Center'!$L$28+'Draft Center'!$L$78-'Draft Center'!$L$82)),0)))</f>
        <v>1</v>
      </c>
      <c r="BD100" s="69">
        <f>IF(VLOOKUP($D100,$AO$14:AT$19,COLUMN()-50,0)&lt;=0,1,IF($Q100&lt;0,1,ROUNDUP(IF($Q100*('Draft Center'!$L$28+'Draft Center'!$L$78-'Draft Center'!$L$82)&lt;1,1,$Q100*('Draft Center'!$L$28+'Draft Center'!$L$78-'Draft Center'!$L$82)),0)))</f>
        <v>1</v>
      </c>
      <c r="BE100" s="69">
        <f>IF(VLOOKUP($D100,$AO$14:AU$19,COLUMN()-50,0)&lt;=0,1,IF($Q100&lt;0,1,ROUNDUP(IF($Q100*('Draft Center'!$L$28+'Draft Center'!$L$78-'Draft Center'!$L$82)&lt;1,1,$Q100*('Draft Center'!$L$28+'Draft Center'!$L$78-'Draft Center'!$L$82)),0)))</f>
        <v>1</v>
      </c>
      <c r="BF100" s="69">
        <f>IF(VLOOKUP($D100,$AO$14:AV$19,COLUMN()-50,0)&lt;=0,1,IF($Q100&lt;0,1,ROUNDUP(IF($Q100*('Draft Center'!$L$28+'Draft Center'!$L$78-'Draft Center'!$L$82)&lt;1,1,$Q100*('Draft Center'!$L$28+'Draft Center'!$L$78-'Draft Center'!$L$82)),0)))</f>
        <v>1</v>
      </c>
      <c r="BG100" s="69">
        <f>IF(VLOOKUP($D100,$AO$14:AW$19,COLUMN()-50,0)&lt;=0,1,IF($Q100&lt;0,1,ROUNDUP(IF($Q100*('Draft Center'!$L$28+'Draft Center'!$L$78-'Draft Center'!$L$82)&lt;1,1,$Q100*('Draft Center'!$L$28+'Draft Center'!$L$78-'Draft Center'!$L$82)),0)))</f>
        <v>1</v>
      </c>
      <c r="BH100" s="69">
        <f>IF(VLOOKUP($D100,$AO$14:AX$19,COLUMN()-50,0)&lt;=0,1,IF($Q100&lt;0,1,ROUNDUP(IF($Q100*('Draft Center'!$L$28+'Draft Center'!$L$78-'Draft Center'!$L$82)&lt;1,1,$Q100*('Draft Center'!$L$28+'Draft Center'!$L$78-'Draft Center'!$L$82)),0)))</f>
        <v>1</v>
      </c>
      <c r="BI100" s="69">
        <f>IF(VLOOKUP($D100,$AO$14:AY$19,COLUMN()-50,0)&lt;=0,1,IF($Q100&lt;0,1,ROUNDUP(IF($Q100*('Draft Center'!$L$28+'Draft Center'!$L$78-'Draft Center'!$L$82)&lt;1,1,$Q100*('Draft Center'!$L$28+'Draft Center'!$L$78-'Draft Center'!$L$82)),0)))</f>
        <v>1</v>
      </c>
      <c r="BJ100" s="196"/>
      <c r="BK100" s="23">
        <v>1</v>
      </c>
      <c r="BL100" s="23" t="str">
        <f t="shared" si="53"/>
        <v/>
      </c>
      <c r="BM100" s="23">
        <v>0</v>
      </c>
      <c r="BN100" s="23">
        <f t="shared" si="53"/>
        <v>1</v>
      </c>
      <c r="BO100" s="23" t="str">
        <f t="shared" si="53"/>
        <v/>
      </c>
      <c r="BP100" s="23" t="str">
        <f t="shared" si="53"/>
        <v/>
      </c>
      <c r="BQ100" s="23" t="str">
        <f t="shared" si="53"/>
        <v/>
      </c>
      <c r="BR100" s="23">
        <f t="shared" si="42"/>
        <v>1</v>
      </c>
      <c r="BS100" s="23" t="str">
        <f t="shared" si="43"/>
        <v>Davante Adams</v>
      </c>
      <c r="BT100" s="69">
        <v>1</v>
      </c>
      <c r="BU100" s="58">
        <v>2327.0337</v>
      </c>
      <c r="BV100" s="33">
        <v>1</v>
      </c>
      <c r="BW100" s="204">
        <v>2327.0337</v>
      </c>
      <c r="BX100" s="23"/>
      <c r="BY100" s="69">
        <v>1</v>
      </c>
      <c r="BZ100" s="69">
        <v>12.8</v>
      </c>
      <c r="CA100" s="69">
        <v>12.8</v>
      </c>
      <c r="CB100" s="69">
        <v>12.8</v>
      </c>
      <c r="CC100" s="69">
        <f t="shared" si="46"/>
        <v>12.800000000000002</v>
      </c>
      <c r="CD100" s="69">
        <f t="shared" si="47"/>
        <v>12.8</v>
      </c>
    </row>
    <row r="101" spans="1:82" ht="15.75" customHeight="1" thickBot="1" x14ac:dyDescent="0.3">
      <c r="A101" s="6">
        <v>100</v>
      </c>
      <c r="B101" s="7" t="s">
        <v>200</v>
      </c>
      <c r="C101" s="7" t="s">
        <v>117</v>
      </c>
      <c r="D101" s="7" t="s">
        <v>53</v>
      </c>
      <c r="E101" s="50">
        <v>-1.24998726356336</v>
      </c>
      <c r="F101" s="50">
        <v>271.09765636927199</v>
      </c>
      <c r="G101" s="50">
        <v>285.84940174806002</v>
      </c>
      <c r="H101" s="50">
        <v>220.49299999999999</v>
      </c>
      <c r="I101" s="8">
        <v>1.7</v>
      </c>
      <c r="J101" s="50">
        <v>5.4328982828398402</v>
      </c>
      <c r="K101" s="248">
        <f>IFERROR(VLOOKUP(C101,Schedule!$T$3:$U$34,2,0),"FA")</f>
        <v>8</v>
      </c>
      <c r="L101" s="7" t="str">
        <f>D101&amp;COUNTIF(D$2:$D101,D101)</f>
        <v>QB12</v>
      </c>
      <c r="M101" s="50">
        <f t="array" ref="M101">IFERROR(F101-AVERAGE(VLOOKUP(D101,$D102:$F$885,3,0),INDEX($F102:$F$885,SMALL(IF(D101=$D102:$D$885,ROW($D102:$D$885)-ROW(D101)),2))),0)</f>
        <v>6.0240854690809442</v>
      </c>
      <c r="N101" s="50">
        <f>IFERROR(IF(VLOOKUP($B101,Input!$AC$2:$AC$162,1,0)=$B101,0),F101)</f>
        <v>271.09765636927199</v>
      </c>
      <c r="O101" s="50">
        <f>IFERROR(IF(VLOOKUP($B101,Input!$AC$2:$AC$162,1,0)=$B101,0,G101),G101)</f>
        <v>285.84940174806002</v>
      </c>
      <c r="P101" s="50">
        <f>IF(N101=0,0,F101-AVERAGE(INDEX(F:F,MATCH(VLOOKUP(D101,Input!$A$14:$L$22,10,0),L:L,0)),INDEX(F:F,MATCH(VLOOKUP(D101,Input!$A$14:$L$22,11,0),L:L,0)),INDEX(F:F,MATCH(VLOOKUP(D101,Input!$A$14:$L$22,12,0),L:L,0)))+(0.01-ROW()*0.01))</f>
        <v>-2.2499872635636393</v>
      </c>
      <c r="Q101" s="106">
        <f t="shared" si="38"/>
        <v>-7.7622972311008648E-4</v>
      </c>
      <c r="R101" s="8">
        <f>IF(VLOOKUP($D101,$X$14:$Y$19,2,0)&lt;=0,1,IF(Q101&lt;0,1,ROUNDUP(IF(Q101*('Draft Center'!$L$28+'Draft Center'!$L$78-'Draft Center'!$L$82)&lt;1,1,Q101*('Draft Center'!$L$28+'Draft Center'!$L$78-'Draft Center'!$L$82)),0)))</f>
        <v>1</v>
      </c>
      <c r="S101" s="8">
        <f>IF(A101&lt;Input!$B$10+0.1,IF(ROUNDUP(R101*Input!$C$10,0)=0,1,ROUNDUP(R101*Input!$C$10,0)),IF(A101&gt;Input!$B$11,IF(ROUNDUP(R101*Input!$C$11,0)=0,1,ROUNDUP(R101*Input!$C$11,0)),IF(ROUNDUP(R101,0)=0,1,ROUNDUP(R101,0))))</f>
        <v>1</v>
      </c>
      <c r="T101" s="8">
        <f t="shared" si="39"/>
        <v>1</v>
      </c>
      <c r="U101" s="8">
        <f>IFERROR(VLOOKUP($B101,Input!$AC$2:$AE$161,3,0),0)</f>
        <v>0</v>
      </c>
      <c r="V101" s="256">
        <f t="shared" si="44"/>
        <v>-0.41075470588235291</v>
      </c>
      <c r="W101" s="263">
        <f t="shared" si="45"/>
        <v>-0.69899</v>
      </c>
      <c r="X101" s="27"/>
      <c r="Y101" s="23"/>
      <c r="Z101" s="23"/>
      <c r="AA101" s="23">
        <v>0</v>
      </c>
      <c r="AB101" s="23">
        <f t="shared" si="52"/>
        <v>0</v>
      </c>
      <c r="AC101" s="23" t="str">
        <f t="shared" si="52"/>
        <v/>
      </c>
      <c r="AD101" s="23" t="str">
        <f t="shared" si="52"/>
        <v/>
      </c>
      <c r="AE101" s="23" t="str">
        <f t="shared" si="52"/>
        <v/>
      </c>
      <c r="AF101" s="23" t="str">
        <f t="shared" si="52"/>
        <v/>
      </c>
      <c r="AG101" s="23" t="str">
        <f t="shared" si="52"/>
        <v/>
      </c>
      <c r="AH101" s="23">
        <f t="shared" si="40"/>
        <v>0</v>
      </c>
      <c r="AI101" s="23">
        <f t="shared" si="41"/>
        <v>0</v>
      </c>
      <c r="AJ101" s="70">
        <v>1</v>
      </c>
      <c r="AK101" s="225">
        <v>2327.0337</v>
      </c>
      <c r="AL101" s="33">
        <v>1</v>
      </c>
      <c r="AM101" s="204">
        <v>2327.0337</v>
      </c>
      <c r="AN101" s="196"/>
      <c r="AO101" s="23"/>
      <c r="AP101" s="23"/>
      <c r="AQ101" s="23"/>
      <c r="AR101" s="23"/>
      <c r="AS101" s="23"/>
      <c r="AT101" s="23"/>
      <c r="AU101" s="23"/>
      <c r="AV101" s="23"/>
      <c r="AW101" s="23"/>
      <c r="AX101" s="23"/>
      <c r="AY101" s="23"/>
      <c r="AZ101" s="196"/>
      <c r="BA101" s="70">
        <f>IF(VLOOKUP($D101,$AO$14:AQ$19,COLUMN()-50,0)&lt;=0,1,IF($Q101&lt;0,1,ROUNDUP(IF($Q101*('Draft Center'!$L$28+'Draft Center'!$L$78-'Draft Center'!$L$82)&lt;1,1,$Q101*('Draft Center'!$L$28+'Draft Center'!$L$78-'Draft Center'!$L$82)),0)))</f>
        <v>1</v>
      </c>
      <c r="BB101" s="70">
        <f>IF(VLOOKUP($D101,$AO$14:AR$19,COLUMN()-50,0)&lt;=0,1,IF($Q101&lt;0,1,ROUNDUP(IF($Q101*('Draft Center'!$L$28+'Draft Center'!$L$78-'Draft Center'!$L$82)&lt;1,1,$Q101*('Draft Center'!$L$28+'Draft Center'!$L$78-'Draft Center'!$L$82)),0)))</f>
        <v>1</v>
      </c>
      <c r="BC101" s="70">
        <f>IF(VLOOKUP($D101,$AO$14:AS$19,COLUMN()-50,0)&lt;=0,1,IF($Q101&lt;0,1,ROUNDUP(IF($Q101*('Draft Center'!$L$28+'Draft Center'!$L$78-'Draft Center'!$L$82)&lt;1,1,$Q101*('Draft Center'!$L$28+'Draft Center'!$L$78-'Draft Center'!$L$82)),0)))</f>
        <v>1</v>
      </c>
      <c r="BD101" s="70">
        <f>IF(VLOOKUP($D101,$AO$14:AT$19,COLUMN()-50,0)&lt;=0,1,IF($Q101&lt;0,1,ROUNDUP(IF($Q101*('Draft Center'!$L$28+'Draft Center'!$L$78-'Draft Center'!$L$82)&lt;1,1,$Q101*('Draft Center'!$L$28+'Draft Center'!$L$78-'Draft Center'!$L$82)),0)))</f>
        <v>1</v>
      </c>
      <c r="BE101" s="70">
        <f>IF(VLOOKUP($D101,$AO$14:AU$19,COLUMN()-50,0)&lt;=0,1,IF($Q101&lt;0,1,ROUNDUP(IF($Q101*('Draft Center'!$L$28+'Draft Center'!$L$78-'Draft Center'!$L$82)&lt;1,1,$Q101*('Draft Center'!$L$28+'Draft Center'!$L$78-'Draft Center'!$L$82)),0)))</f>
        <v>1</v>
      </c>
      <c r="BF101" s="70">
        <f>IF(VLOOKUP($D101,$AO$14:AV$19,COLUMN()-50,0)&lt;=0,1,IF($Q101&lt;0,1,ROUNDUP(IF($Q101*('Draft Center'!$L$28+'Draft Center'!$L$78-'Draft Center'!$L$82)&lt;1,1,$Q101*('Draft Center'!$L$28+'Draft Center'!$L$78-'Draft Center'!$L$82)),0)))</f>
        <v>1</v>
      </c>
      <c r="BG101" s="70">
        <f>IF(VLOOKUP($D101,$AO$14:AW$19,COLUMN()-50,0)&lt;=0,1,IF($Q101&lt;0,1,ROUNDUP(IF($Q101*('Draft Center'!$L$28+'Draft Center'!$L$78-'Draft Center'!$L$82)&lt;1,1,$Q101*('Draft Center'!$L$28+'Draft Center'!$L$78-'Draft Center'!$L$82)),0)))</f>
        <v>1</v>
      </c>
      <c r="BH101" s="70">
        <f>IF(VLOOKUP($D101,$AO$14:AX$19,COLUMN()-50,0)&lt;=0,1,IF($Q101&lt;0,1,ROUNDUP(IF($Q101*('Draft Center'!$L$28+'Draft Center'!$L$78-'Draft Center'!$L$82)&lt;1,1,$Q101*('Draft Center'!$L$28+'Draft Center'!$L$78-'Draft Center'!$L$82)),0)))</f>
        <v>1</v>
      </c>
      <c r="BI101" s="70">
        <f>IF(VLOOKUP($D101,$AO$14:AY$19,COLUMN()-50,0)&lt;=0,1,IF($Q101&lt;0,1,ROUNDUP(IF($Q101*('Draft Center'!$L$28+'Draft Center'!$L$78-'Draft Center'!$L$82)&lt;1,1,$Q101*('Draft Center'!$L$28+'Draft Center'!$L$78-'Draft Center'!$L$82)),0)))</f>
        <v>1</v>
      </c>
      <c r="BJ101" s="196"/>
      <c r="BK101" s="23">
        <v>0</v>
      </c>
      <c r="BL101" s="23">
        <f t="shared" si="53"/>
        <v>0</v>
      </c>
      <c r="BM101" s="23">
        <v>0</v>
      </c>
      <c r="BN101" s="23" t="str">
        <f t="shared" si="53"/>
        <v/>
      </c>
      <c r="BO101" s="23" t="str">
        <f t="shared" si="53"/>
        <v/>
      </c>
      <c r="BP101" s="23" t="str">
        <f t="shared" si="53"/>
        <v/>
      </c>
      <c r="BQ101" s="23" t="str">
        <f t="shared" si="53"/>
        <v/>
      </c>
      <c r="BR101" s="23">
        <f t="shared" si="42"/>
        <v>0</v>
      </c>
      <c r="BS101" s="23">
        <f t="shared" si="43"/>
        <v>0</v>
      </c>
      <c r="BT101" s="70">
        <v>1</v>
      </c>
      <c r="BU101" s="58">
        <v>2327.0337</v>
      </c>
      <c r="BV101" s="33">
        <v>1</v>
      </c>
      <c r="BW101" s="204">
        <v>2327.0337</v>
      </c>
      <c r="BX101" s="23"/>
      <c r="BY101" s="70">
        <v>1</v>
      </c>
      <c r="BZ101" s="70">
        <v>1.7</v>
      </c>
      <c r="CA101" s="70">
        <v>1.7</v>
      </c>
      <c r="CB101" s="70">
        <v>1.7</v>
      </c>
      <c r="CC101" s="70">
        <f t="shared" si="46"/>
        <v>1.7</v>
      </c>
      <c r="CD101" s="70">
        <f t="shared" si="47"/>
        <v>1.7</v>
      </c>
    </row>
    <row r="102" spans="1:82" ht="15.75" customHeight="1" thickBot="1" x14ac:dyDescent="0.3">
      <c r="A102" s="9">
        <v>101</v>
      </c>
      <c r="B102" s="10" t="s">
        <v>929</v>
      </c>
      <c r="C102" s="10" t="s">
        <v>45</v>
      </c>
      <c r="D102" s="10" t="s">
        <v>19</v>
      </c>
      <c r="E102" s="51">
        <v>-1.6901127047431099</v>
      </c>
      <c r="F102" s="51">
        <v>167.412285321209</v>
      </c>
      <c r="G102" s="51">
        <v>185.848337252916</v>
      </c>
      <c r="H102" s="51">
        <v>78.504694533762105</v>
      </c>
      <c r="I102" s="11">
        <v>11.4</v>
      </c>
      <c r="J102" s="51">
        <v>5.9870455786948202</v>
      </c>
      <c r="K102" s="249">
        <f>IFERROR(VLOOKUP(C102,Schedule!$T$3:$U$34,2,0),"FA")</f>
        <v>6</v>
      </c>
      <c r="L102" s="10" t="str">
        <f>D102&amp;COUNTIF(D$2:$D102,D102)</f>
        <v>RB27</v>
      </c>
      <c r="M102" s="51">
        <f t="array" ref="M102">IFERROR(F102-AVERAGE(VLOOKUP(D102,$D103:$F$885,3,0),INDEX($F103:$F$885,SMALL(IF(D102=$D103:$D$885,ROW($D103:$D$885)-ROW(D102)),2))),0)</f>
        <v>2.3239246961310016</v>
      </c>
      <c r="N102" s="51">
        <f>IFERROR(IF(VLOOKUP($B102,Input!$AC$2:$AC$162,1,0)=$B102,0),F102)</f>
        <v>167.412285321209</v>
      </c>
      <c r="O102" s="51">
        <f>IFERROR(IF(VLOOKUP($B102,Input!$AC$2:$AC$162,1,0)=$B102,0,G102),G102)</f>
        <v>185.848337252916</v>
      </c>
      <c r="P102" s="51">
        <f>IF(N102=0,0,F102-AVERAGE(INDEX(F:F,MATCH(VLOOKUP(D102,Input!$A$14:$L$22,10,0),L:L,0)),INDEX(F:F,MATCH(VLOOKUP(D102,Input!$A$14:$L$22,11,0),L:L,0)),INDEX(F:F,MATCH(VLOOKUP(D102,Input!$A$14:$L$22,12,0),L:L,0)))+(0.01-ROW()*0.01))</f>
        <v>-2.7001127047430007</v>
      </c>
      <c r="Q102" s="107">
        <f t="shared" si="38"/>
        <v>-9.3151982284961268E-4</v>
      </c>
      <c r="R102" s="11">
        <f>IF(VLOOKUP($D102,$X$14:$Y$19,2,0)&lt;=0,1,IF(Q102&lt;0,1,ROUNDUP(IF(Q102*('Draft Center'!$L$28+'Draft Center'!$L$78-'Draft Center'!$L$82)&lt;1,1,Q102*('Draft Center'!$L$28+'Draft Center'!$L$78-'Draft Center'!$L$82)),0)))</f>
        <v>1</v>
      </c>
      <c r="S102" s="11">
        <f>IF(A102&lt;Input!$B$10+0.1,IF(ROUNDUP(R102*Input!$C$10,0)=0,1,ROUNDUP(R102*Input!$C$10,0)),IF(A102&gt;Input!$B$11,IF(ROUNDUP(R102*Input!$C$11,0)=0,1,ROUNDUP(R102*Input!$C$11,0)),IF(ROUNDUP(R102,0)=0,1,ROUNDUP(R102,0))))</f>
        <v>1</v>
      </c>
      <c r="T102" s="11">
        <f t="shared" si="39"/>
        <v>1</v>
      </c>
      <c r="U102" s="11">
        <f>IFERROR(VLOOKUP($B102,Input!$AC$2:$AE$161,3,0),0)</f>
        <v>0</v>
      </c>
      <c r="V102" s="257">
        <f t="shared" si="44"/>
        <v>-0.91126070175438589</v>
      </c>
      <c r="W102" s="264">
        <f t="shared" si="45"/>
        <v>-10.39898</v>
      </c>
      <c r="X102" s="27"/>
      <c r="Y102" s="23"/>
      <c r="Z102" s="23"/>
      <c r="AA102" s="23">
        <v>0</v>
      </c>
      <c r="AB102" s="23" t="str">
        <f t="shared" ref="AB102:AG111" si="54">IF($D102=AB$1,1*$AA102,"")</f>
        <v/>
      </c>
      <c r="AC102" s="23">
        <f t="shared" si="54"/>
        <v>0</v>
      </c>
      <c r="AD102" s="23" t="str">
        <f t="shared" si="54"/>
        <v/>
      </c>
      <c r="AE102" s="23" t="str">
        <f t="shared" si="54"/>
        <v/>
      </c>
      <c r="AF102" s="23" t="str">
        <f t="shared" si="54"/>
        <v/>
      </c>
      <c r="AG102" s="23" t="str">
        <f t="shared" si="54"/>
        <v/>
      </c>
      <c r="AH102" s="23">
        <f t="shared" si="40"/>
        <v>0</v>
      </c>
      <c r="AI102" s="23">
        <f t="shared" si="41"/>
        <v>0</v>
      </c>
      <c r="AJ102" s="69">
        <v>1</v>
      </c>
      <c r="AK102" s="225">
        <v>2327.0337</v>
      </c>
      <c r="AL102" s="33">
        <v>1</v>
      </c>
      <c r="AM102" s="204">
        <v>2327.0337</v>
      </c>
      <c r="AN102" s="196"/>
      <c r="AO102" s="23"/>
      <c r="AP102" s="23"/>
      <c r="AQ102" s="23"/>
      <c r="AR102" s="23"/>
      <c r="AS102" s="23"/>
      <c r="AT102" s="23"/>
      <c r="AU102" s="23"/>
      <c r="AV102" s="23"/>
      <c r="AW102" s="23"/>
      <c r="AX102" s="23"/>
      <c r="AY102" s="23"/>
      <c r="AZ102" s="196"/>
      <c r="BA102" s="69">
        <f>IF(VLOOKUP($D102,$AO$14:AQ$19,COLUMN()-50,0)&lt;=0,1,IF($Q102&lt;0,1,ROUNDUP(IF($Q102*('Draft Center'!$L$28+'Draft Center'!$L$78-'Draft Center'!$L$82)&lt;1,1,$Q102*('Draft Center'!$L$28+'Draft Center'!$L$78-'Draft Center'!$L$82)),0)))</f>
        <v>1</v>
      </c>
      <c r="BB102" s="69">
        <f>IF(VLOOKUP($D102,$AO$14:AR$19,COLUMN()-50,0)&lt;=0,1,IF($Q102&lt;0,1,ROUNDUP(IF($Q102*('Draft Center'!$L$28+'Draft Center'!$L$78-'Draft Center'!$L$82)&lt;1,1,$Q102*('Draft Center'!$L$28+'Draft Center'!$L$78-'Draft Center'!$L$82)),0)))</f>
        <v>1</v>
      </c>
      <c r="BC102" s="69">
        <f>IF(VLOOKUP($D102,$AO$14:AS$19,COLUMN()-50,0)&lt;=0,1,IF($Q102&lt;0,1,ROUNDUP(IF($Q102*('Draft Center'!$L$28+'Draft Center'!$L$78-'Draft Center'!$L$82)&lt;1,1,$Q102*('Draft Center'!$L$28+'Draft Center'!$L$78-'Draft Center'!$L$82)),0)))</f>
        <v>1</v>
      </c>
      <c r="BD102" s="69">
        <f>IF(VLOOKUP($D102,$AO$14:AT$19,COLUMN()-50,0)&lt;=0,1,IF($Q102&lt;0,1,ROUNDUP(IF($Q102*('Draft Center'!$L$28+'Draft Center'!$L$78-'Draft Center'!$L$82)&lt;1,1,$Q102*('Draft Center'!$L$28+'Draft Center'!$L$78-'Draft Center'!$L$82)),0)))</f>
        <v>1</v>
      </c>
      <c r="BE102" s="69">
        <f>IF(VLOOKUP($D102,$AO$14:AU$19,COLUMN()-50,0)&lt;=0,1,IF($Q102&lt;0,1,ROUNDUP(IF($Q102*('Draft Center'!$L$28+'Draft Center'!$L$78-'Draft Center'!$L$82)&lt;1,1,$Q102*('Draft Center'!$L$28+'Draft Center'!$L$78-'Draft Center'!$L$82)),0)))</f>
        <v>1</v>
      </c>
      <c r="BF102" s="69">
        <f>IF(VLOOKUP($D102,$AO$14:AV$19,COLUMN()-50,0)&lt;=0,1,IF($Q102&lt;0,1,ROUNDUP(IF($Q102*('Draft Center'!$L$28+'Draft Center'!$L$78-'Draft Center'!$L$82)&lt;1,1,$Q102*('Draft Center'!$L$28+'Draft Center'!$L$78-'Draft Center'!$L$82)),0)))</f>
        <v>1</v>
      </c>
      <c r="BG102" s="69">
        <f>IF(VLOOKUP($D102,$AO$14:AW$19,COLUMN()-50,0)&lt;=0,1,IF($Q102&lt;0,1,ROUNDUP(IF($Q102*('Draft Center'!$L$28+'Draft Center'!$L$78-'Draft Center'!$L$82)&lt;1,1,$Q102*('Draft Center'!$L$28+'Draft Center'!$L$78-'Draft Center'!$L$82)),0)))</f>
        <v>1</v>
      </c>
      <c r="BH102" s="69">
        <f>IF(VLOOKUP($D102,$AO$14:AX$19,COLUMN()-50,0)&lt;=0,1,IF($Q102&lt;0,1,ROUNDUP(IF($Q102*('Draft Center'!$L$28+'Draft Center'!$L$78-'Draft Center'!$L$82)&lt;1,1,$Q102*('Draft Center'!$L$28+'Draft Center'!$L$78-'Draft Center'!$L$82)),0)))</f>
        <v>1</v>
      </c>
      <c r="BI102" s="69">
        <f>IF(VLOOKUP($D102,$AO$14:AY$19,COLUMN()-50,0)&lt;=0,1,IF($Q102&lt;0,1,ROUNDUP(IF($Q102*('Draft Center'!$L$28+'Draft Center'!$L$78-'Draft Center'!$L$82)&lt;1,1,$Q102*('Draft Center'!$L$28+'Draft Center'!$L$78-'Draft Center'!$L$82)),0)))</f>
        <v>1</v>
      </c>
      <c r="BJ102" s="196"/>
      <c r="BK102" s="23">
        <v>0</v>
      </c>
      <c r="BL102" s="23" t="str">
        <f t="shared" ref="BL102:BQ111" si="55">IF($D102=BL$1,1*$BK102,"")</f>
        <v/>
      </c>
      <c r="BM102" s="23">
        <v>0</v>
      </c>
      <c r="BN102" s="23" t="str">
        <f t="shared" si="55"/>
        <v/>
      </c>
      <c r="BO102" s="23" t="str">
        <f t="shared" si="55"/>
        <v/>
      </c>
      <c r="BP102" s="23" t="str">
        <f t="shared" si="55"/>
        <v/>
      </c>
      <c r="BQ102" s="23" t="str">
        <f t="shared" si="55"/>
        <v/>
      </c>
      <c r="BR102" s="23">
        <f t="shared" si="42"/>
        <v>0</v>
      </c>
      <c r="BS102" s="23">
        <f t="shared" si="43"/>
        <v>0</v>
      </c>
      <c r="BT102" s="69">
        <v>1</v>
      </c>
      <c r="BU102" s="58">
        <v>2327.0337</v>
      </c>
      <c r="BV102" s="33">
        <v>1</v>
      </c>
      <c r="BW102" s="204">
        <v>2327.0337</v>
      </c>
      <c r="BX102" s="23"/>
      <c r="BY102" s="69">
        <v>1</v>
      </c>
      <c r="BZ102" s="69">
        <v>11.4</v>
      </c>
      <c r="CA102" s="69">
        <v>11.4</v>
      </c>
      <c r="CB102" s="69">
        <v>11.4</v>
      </c>
      <c r="CC102" s="69">
        <f t="shared" si="46"/>
        <v>11.4</v>
      </c>
      <c r="CD102" s="69">
        <f t="shared" si="47"/>
        <v>11.4</v>
      </c>
    </row>
    <row r="103" spans="1:82" ht="15.75" customHeight="1" thickBot="1" x14ac:dyDescent="0.3">
      <c r="A103" s="6">
        <v>102</v>
      </c>
      <c r="B103" s="7" t="s">
        <v>184</v>
      </c>
      <c r="C103" s="7" t="s">
        <v>66</v>
      </c>
      <c r="D103" s="7" t="s">
        <v>135</v>
      </c>
      <c r="E103" s="50">
        <v>-1.7418124150430401</v>
      </c>
      <c r="F103" s="50">
        <v>106.989746261894</v>
      </c>
      <c r="G103" s="50">
        <v>118.86744186046499</v>
      </c>
      <c r="H103" s="50">
        <v>83.5</v>
      </c>
      <c r="I103" s="8">
        <v>2.4</v>
      </c>
      <c r="J103" s="50">
        <v>2.9492026720799802</v>
      </c>
      <c r="K103" s="248">
        <f>IFERROR(VLOOKUP(C103,Schedule!$T$3:$U$34,2,0),"FA")</f>
        <v>7</v>
      </c>
      <c r="L103" s="7" t="str">
        <f>D103&amp;COUNTIF(D$2:$D103,D103)</f>
        <v>DST12</v>
      </c>
      <c r="M103" s="50">
        <f t="array" ref="M103">IFERROR(F103-AVERAGE(VLOOKUP(D103,$D104:$F$885,3,0),INDEX($F104:$F$885,SMALL(IF(D103=$D104:$D$885,ROW($D104:$D$885)-ROW(D103)),2))),0)</f>
        <v>3.462263253285002</v>
      </c>
      <c r="N103" s="50">
        <f>IFERROR(IF(VLOOKUP($B103,Input!$AC$2:$AC$162,1,0)=$B103,0),F103)</f>
        <v>106.989746261894</v>
      </c>
      <c r="O103" s="50">
        <f>IFERROR(IF(VLOOKUP($B103,Input!$AC$2:$AC$162,1,0)=$B103,0,G103),G103)</f>
        <v>118.86744186046499</v>
      </c>
      <c r="P103" s="50">
        <f>IF(N103=0,0,F103-AVERAGE(INDEX(F:F,MATCH(VLOOKUP(D103,Input!$A$14:$L$22,10,0),L:L,0)),INDEX(F:F,MATCH(VLOOKUP(D103,Input!$A$14:$L$22,11,0),L:L,0)),INDEX(F:F,MATCH(VLOOKUP(D103,Input!$A$14:$L$22,12,0),L:L,0)))+(0.01-ROW()*0.01))</f>
        <v>-1.7186406887180152</v>
      </c>
      <c r="Q103" s="106">
        <f t="shared" si="38"/>
        <v>-5.9291890560143174E-4</v>
      </c>
      <c r="R103" s="8">
        <f>IF(VLOOKUP($D103,$X$14:$Y$19,2,0)&lt;=0,1,IF(Q103&lt;0,1,ROUNDUP(IF(Q103*('Draft Center'!$L$28+'Draft Center'!$L$78-'Draft Center'!$L$82)&lt;1,1,Q103*('Draft Center'!$L$28+'Draft Center'!$L$78-'Draft Center'!$L$82)),0)))</f>
        <v>1</v>
      </c>
      <c r="S103" s="8">
        <f>IF(A103&lt;Input!$B$10+0.1,IF(ROUNDUP(R103*Input!$C$10,0)=0,1,ROUNDUP(R103*Input!$C$10,0)),IF(A103&gt;Input!$B$11,IF(ROUNDUP(R103*Input!$C$11,0)=0,1,ROUNDUP(R103*Input!$C$11,0)),IF(ROUNDUP(R103,0)=0,1,ROUNDUP(R103,0))))</f>
        <v>1</v>
      </c>
      <c r="T103" s="8">
        <f t="shared" si="39"/>
        <v>1</v>
      </c>
      <c r="U103" s="8">
        <f>IFERROR(VLOOKUP($B103,Input!$AC$2:$AE$161,3,0),0)</f>
        <v>0</v>
      </c>
      <c r="V103" s="256">
        <f t="shared" si="44"/>
        <v>-0.58230333333333339</v>
      </c>
      <c r="W103" s="263">
        <f t="shared" si="45"/>
        <v>-1.3989699999999998</v>
      </c>
      <c r="X103" s="27"/>
      <c r="Y103" s="23"/>
      <c r="Z103" s="23"/>
      <c r="AA103" s="23">
        <v>0</v>
      </c>
      <c r="AB103" s="23" t="str">
        <f t="shared" si="54"/>
        <v/>
      </c>
      <c r="AC103" s="23" t="str">
        <f t="shared" si="54"/>
        <v/>
      </c>
      <c r="AD103" s="23" t="str">
        <f t="shared" si="54"/>
        <v/>
      </c>
      <c r="AE103" s="23" t="str">
        <f t="shared" si="54"/>
        <v/>
      </c>
      <c r="AF103" s="23">
        <f t="shared" si="54"/>
        <v>0</v>
      </c>
      <c r="AG103" s="23" t="str">
        <f t="shared" si="54"/>
        <v/>
      </c>
      <c r="AH103" s="23">
        <f t="shared" si="40"/>
        <v>0</v>
      </c>
      <c r="AI103" s="23">
        <f t="shared" si="41"/>
        <v>0</v>
      </c>
      <c r="AJ103" s="70">
        <v>1</v>
      </c>
      <c r="AK103" s="225">
        <v>2327.0337</v>
      </c>
      <c r="AL103" s="33">
        <v>1</v>
      </c>
      <c r="AM103" s="204">
        <v>2327.0337</v>
      </c>
      <c r="AN103" s="196"/>
      <c r="AO103" s="23"/>
      <c r="AP103" s="23"/>
      <c r="AQ103" s="23"/>
      <c r="AR103" s="23"/>
      <c r="AS103" s="23"/>
      <c r="AT103" s="23"/>
      <c r="AU103" s="23"/>
      <c r="AV103" s="23"/>
      <c r="AW103" s="23"/>
      <c r="AX103" s="23"/>
      <c r="AY103" s="23"/>
      <c r="AZ103" s="196"/>
      <c r="BA103" s="70">
        <f>IF(VLOOKUP($D103,$AO$14:AQ$19,COLUMN()-50,0)&lt;=0,1,IF($Q103&lt;0,1,ROUNDUP(IF($Q103*('Draft Center'!$L$28+'Draft Center'!$L$78-'Draft Center'!$L$82)&lt;1,1,$Q103*('Draft Center'!$L$28+'Draft Center'!$L$78-'Draft Center'!$L$82)),0)))</f>
        <v>1</v>
      </c>
      <c r="BB103" s="70">
        <f>IF(VLOOKUP($D103,$AO$14:AR$19,COLUMN()-50,0)&lt;=0,1,IF($Q103&lt;0,1,ROUNDUP(IF($Q103*('Draft Center'!$L$28+'Draft Center'!$L$78-'Draft Center'!$L$82)&lt;1,1,$Q103*('Draft Center'!$L$28+'Draft Center'!$L$78-'Draft Center'!$L$82)),0)))</f>
        <v>1</v>
      </c>
      <c r="BC103" s="70">
        <f>IF(VLOOKUP($D103,$AO$14:AS$19,COLUMN()-50,0)&lt;=0,1,IF($Q103&lt;0,1,ROUNDUP(IF($Q103*('Draft Center'!$L$28+'Draft Center'!$L$78-'Draft Center'!$L$82)&lt;1,1,$Q103*('Draft Center'!$L$28+'Draft Center'!$L$78-'Draft Center'!$L$82)),0)))</f>
        <v>1</v>
      </c>
      <c r="BD103" s="70">
        <f>IF(VLOOKUP($D103,$AO$14:AT$19,COLUMN()-50,0)&lt;=0,1,IF($Q103&lt;0,1,ROUNDUP(IF($Q103*('Draft Center'!$L$28+'Draft Center'!$L$78-'Draft Center'!$L$82)&lt;1,1,$Q103*('Draft Center'!$L$28+'Draft Center'!$L$78-'Draft Center'!$L$82)),0)))</f>
        <v>1</v>
      </c>
      <c r="BE103" s="70">
        <f>IF(VLOOKUP($D103,$AO$14:AU$19,COLUMN()-50,0)&lt;=0,1,IF($Q103&lt;0,1,ROUNDUP(IF($Q103*('Draft Center'!$L$28+'Draft Center'!$L$78-'Draft Center'!$L$82)&lt;1,1,$Q103*('Draft Center'!$L$28+'Draft Center'!$L$78-'Draft Center'!$L$82)),0)))</f>
        <v>1</v>
      </c>
      <c r="BF103" s="70">
        <f>IF(VLOOKUP($D103,$AO$14:AV$19,COLUMN()-50,0)&lt;=0,1,IF($Q103&lt;0,1,ROUNDUP(IF($Q103*('Draft Center'!$L$28+'Draft Center'!$L$78-'Draft Center'!$L$82)&lt;1,1,$Q103*('Draft Center'!$L$28+'Draft Center'!$L$78-'Draft Center'!$L$82)),0)))</f>
        <v>1</v>
      </c>
      <c r="BG103" s="70">
        <f>IF(VLOOKUP($D103,$AO$14:AW$19,COLUMN()-50,0)&lt;=0,1,IF($Q103&lt;0,1,ROUNDUP(IF($Q103*('Draft Center'!$L$28+'Draft Center'!$L$78-'Draft Center'!$L$82)&lt;1,1,$Q103*('Draft Center'!$L$28+'Draft Center'!$L$78-'Draft Center'!$L$82)),0)))</f>
        <v>1</v>
      </c>
      <c r="BH103" s="70">
        <f>IF(VLOOKUP($D103,$AO$14:AX$19,COLUMN()-50,0)&lt;=0,1,IF($Q103&lt;0,1,ROUNDUP(IF($Q103*('Draft Center'!$L$28+'Draft Center'!$L$78-'Draft Center'!$L$82)&lt;1,1,$Q103*('Draft Center'!$L$28+'Draft Center'!$L$78-'Draft Center'!$L$82)),0)))</f>
        <v>1</v>
      </c>
      <c r="BI103" s="70">
        <f>IF(VLOOKUP($D103,$AO$14:AY$19,COLUMN()-50,0)&lt;=0,1,IF($Q103&lt;0,1,ROUNDUP(IF($Q103*('Draft Center'!$L$28+'Draft Center'!$L$78-'Draft Center'!$L$82)&lt;1,1,$Q103*('Draft Center'!$L$28+'Draft Center'!$L$78-'Draft Center'!$L$82)),0)))</f>
        <v>1</v>
      </c>
      <c r="BJ103" s="196"/>
      <c r="BK103" s="23">
        <v>0</v>
      </c>
      <c r="BL103" s="23" t="str">
        <f t="shared" si="55"/>
        <v/>
      </c>
      <c r="BM103" s="23">
        <v>0</v>
      </c>
      <c r="BN103" s="23" t="str">
        <f t="shared" si="55"/>
        <v/>
      </c>
      <c r="BO103" s="23" t="str">
        <f t="shared" si="55"/>
        <v/>
      </c>
      <c r="BP103" s="23">
        <f t="shared" si="55"/>
        <v>0</v>
      </c>
      <c r="BQ103" s="23" t="str">
        <f t="shared" si="55"/>
        <v/>
      </c>
      <c r="BR103" s="23">
        <f t="shared" si="42"/>
        <v>0</v>
      </c>
      <c r="BS103" s="23">
        <f t="shared" si="43"/>
        <v>0</v>
      </c>
      <c r="BT103" s="70">
        <v>1</v>
      </c>
      <c r="BU103" s="58">
        <v>2327.0337</v>
      </c>
      <c r="BV103" s="33">
        <v>1</v>
      </c>
      <c r="BW103" s="204">
        <v>2327.0337</v>
      </c>
      <c r="BX103" s="23"/>
      <c r="BY103" s="70">
        <v>1</v>
      </c>
      <c r="BZ103" s="70">
        <v>2.4</v>
      </c>
      <c r="CA103" s="70">
        <v>2.4</v>
      </c>
      <c r="CB103" s="70">
        <v>2.4</v>
      </c>
      <c r="CC103" s="70">
        <f t="shared" si="46"/>
        <v>2.4</v>
      </c>
      <c r="CD103" s="70">
        <f t="shared" si="47"/>
        <v>2.4</v>
      </c>
    </row>
    <row r="104" spans="1:82" ht="15.75" customHeight="1" thickBot="1" x14ac:dyDescent="0.3">
      <c r="A104" s="9">
        <v>103</v>
      </c>
      <c r="B104" s="10" t="s">
        <v>757</v>
      </c>
      <c r="C104" s="10" t="s">
        <v>16</v>
      </c>
      <c r="D104" s="10" t="s">
        <v>147</v>
      </c>
      <c r="E104" s="51">
        <v>-1.8835911749572201</v>
      </c>
      <c r="F104" s="51">
        <v>129.485397256016</v>
      </c>
      <c r="G104" s="51">
        <v>140.98046035637401</v>
      </c>
      <c r="H104" s="51">
        <v>110.90070288283199</v>
      </c>
      <c r="I104" s="11">
        <v>1.1000000000000001</v>
      </c>
      <c r="J104" s="51">
        <v>4.7410482472493198</v>
      </c>
      <c r="K104" s="249">
        <f>IFERROR(VLOOKUP(C104,Schedule!$T$3:$U$34,2,0),"FA")</f>
        <v>9</v>
      </c>
      <c r="L104" s="10" t="str">
        <f>D104&amp;COUNTIF(D$2:$D104,D104)</f>
        <v>K14</v>
      </c>
      <c r="M104" s="51">
        <f t="array" ref="M104">IFERROR(F104-AVERAGE(VLOOKUP(D104,$D105:$F$885,3,0),INDEX($F105:$F$885,SMALL(IF(D104=$D105:$D$885,ROW($D105:$D$885)-ROW(D104)),2))),0)</f>
        <v>1.2939746168995043</v>
      </c>
      <c r="N104" s="51">
        <f>IFERROR(IF(VLOOKUP($B104,Input!$AC$2:$AC$162,1,0)=$B104,0),F104)</f>
        <v>129.485397256016</v>
      </c>
      <c r="O104" s="51">
        <f>IFERROR(IF(VLOOKUP($B104,Input!$AC$2:$AC$162,1,0)=$B104,0,G104),G104)</f>
        <v>140.98046035637401</v>
      </c>
      <c r="P104" s="51">
        <f>IF(N104=0,0,F104-AVERAGE(INDEX(F:F,MATCH(VLOOKUP(D104,Input!$A$14:$L$22,10,0),L:L,0)),INDEX(F:F,MATCH(VLOOKUP(D104,Input!$A$14:$L$22,11,0),L:L,0)),INDEX(F:F,MATCH(VLOOKUP(D104,Input!$A$14:$L$22,12,0),L:L,0)))+(0.01-ROW()*0.01))</f>
        <v>-3.0875843261119931</v>
      </c>
      <c r="Q104" s="107">
        <f t="shared" si="38"/>
        <v>-1.0651947970323108E-3</v>
      </c>
      <c r="R104" s="11">
        <f>IF(VLOOKUP($D104,$X$14:$Y$19,2,0)&lt;=0,1,IF(Q104&lt;0,1,ROUNDUP(IF(Q104*('Draft Center'!$L$28+'Draft Center'!$L$78-'Draft Center'!$L$82)&lt;1,1,Q104*('Draft Center'!$L$28+'Draft Center'!$L$78-'Draft Center'!$L$82)),0)))</f>
        <v>1</v>
      </c>
      <c r="S104" s="11">
        <f>IF(A104&lt;Input!$B$10+0.1,IF(ROUNDUP(R104*Input!$C$10,0)=0,1,ROUNDUP(R104*Input!$C$10,0)),IF(A104&gt;Input!$B$11,IF(ROUNDUP(R104*Input!$C$11,0)=0,1,ROUNDUP(R104*Input!$C$11,0)),IF(ROUNDUP(R104,0)=0,1,ROUNDUP(R104,0))))</f>
        <v>1</v>
      </c>
      <c r="T104" s="11">
        <f t="shared" si="39"/>
        <v>1</v>
      </c>
      <c r="U104" s="11">
        <f>IFERROR(VLOOKUP($B104,Input!$AC$2:$AE$161,3,0),0)</f>
        <v>0</v>
      </c>
      <c r="V104" s="257">
        <f t="shared" si="44"/>
        <v>-8.9869090909090982E-2</v>
      </c>
      <c r="W104" s="264">
        <f t="shared" si="45"/>
        <v>-9.896000000000009E-2</v>
      </c>
      <c r="X104" s="27"/>
      <c r="Y104" s="23"/>
      <c r="Z104" s="23"/>
      <c r="AA104" s="23">
        <v>0</v>
      </c>
      <c r="AB104" s="23" t="str">
        <f t="shared" si="54"/>
        <v/>
      </c>
      <c r="AC104" s="23" t="str">
        <f t="shared" si="54"/>
        <v/>
      </c>
      <c r="AD104" s="23" t="str">
        <f t="shared" si="54"/>
        <v/>
      </c>
      <c r="AE104" s="23" t="str">
        <f t="shared" si="54"/>
        <v/>
      </c>
      <c r="AF104" s="23" t="str">
        <f t="shared" si="54"/>
        <v/>
      </c>
      <c r="AG104" s="23">
        <f t="shared" si="54"/>
        <v>0</v>
      </c>
      <c r="AH104" s="23">
        <f t="shared" si="40"/>
        <v>0</v>
      </c>
      <c r="AI104" s="23">
        <f t="shared" si="41"/>
        <v>0</v>
      </c>
      <c r="AJ104" s="69">
        <v>1</v>
      </c>
      <c r="AK104" s="225">
        <v>2327.0337</v>
      </c>
      <c r="AL104" s="33">
        <v>1</v>
      </c>
      <c r="AM104" s="204">
        <v>2327.0337</v>
      </c>
      <c r="AN104" s="196"/>
      <c r="AO104" s="23"/>
      <c r="AP104" s="23"/>
      <c r="AQ104" s="23"/>
      <c r="AR104" s="23"/>
      <c r="AS104" s="23"/>
      <c r="AT104" s="23"/>
      <c r="AU104" s="23"/>
      <c r="AV104" s="23"/>
      <c r="AW104" s="23"/>
      <c r="AX104" s="23"/>
      <c r="AY104" s="23"/>
      <c r="AZ104" s="196"/>
      <c r="BA104" s="69">
        <f>IF(VLOOKUP($D104,$AO$14:AQ$19,COLUMN()-50,0)&lt;=0,1,IF($Q104&lt;0,1,ROUNDUP(IF($Q104*('Draft Center'!$L$28+'Draft Center'!$L$78-'Draft Center'!$L$82)&lt;1,1,$Q104*('Draft Center'!$L$28+'Draft Center'!$L$78-'Draft Center'!$L$82)),0)))</f>
        <v>1</v>
      </c>
      <c r="BB104" s="69">
        <f>IF(VLOOKUP($D104,$AO$14:AR$19,COLUMN()-50,0)&lt;=0,1,IF($Q104&lt;0,1,ROUNDUP(IF($Q104*('Draft Center'!$L$28+'Draft Center'!$L$78-'Draft Center'!$L$82)&lt;1,1,$Q104*('Draft Center'!$L$28+'Draft Center'!$L$78-'Draft Center'!$L$82)),0)))</f>
        <v>1</v>
      </c>
      <c r="BC104" s="69">
        <f>IF(VLOOKUP($D104,$AO$14:AS$19,COLUMN()-50,0)&lt;=0,1,IF($Q104&lt;0,1,ROUNDUP(IF($Q104*('Draft Center'!$L$28+'Draft Center'!$L$78-'Draft Center'!$L$82)&lt;1,1,$Q104*('Draft Center'!$L$28+'Draft Center'!$L$78-'Draft Center'!$L$82)),0)))</f>
        <v>1</v>
      </c>
      <c r="BD104" s="69">
        <f>IF(VLOOKUP($D104,$AO$14:AT$19,COLUMN()-50,0)&lt;=0,1,IF($Q104&lt;0,1,ROUNDUP(IF($Q104*('Draft Center'!$L$28+'Draft Center'!$L$78-'Draft Center'!$L$82)&lt;1,1,$Q104*('Draft Center'!$L$28+'Draft Center'!$L$78-'Draft Center'!$L$82)),0)))</f>
        <v>1</v>
      </c>
      <c r="BE104" s="69">
        <f>IF(VLOOKUP($D104,$AO$14:AU$19,COLUMN()-50,0)&lt;=0,1,IF($Q104&lt;0,1,ROUNDUP(IF($Q104*('Draft Center'!$L$28+'Draft Center'!$L$78-'Draft Center'!$L$82)&lt;1,1,$Q104*('Draft Center'!$L$28+'Draft Center'!$L$78-'Draft Center'!$L$82)),0)))</f>
        <v>1</v>
      </c>
      <c r="BF104" s="69">
        <f>IF(VLOOKUP($D104,$AO$14:AV$19,COLUMN()-50,0)&lt;=0,1,IF($Q104&lt;0,1,ROUNDUP(IF($Q104*('Draft Center'!$L$28+'Draft Center'!$L$78-'Draft Center'!$L$82)&lt;1,1,$Q104*('Draft Center'!$L$28+'Draft Center'!$L$78-'Draft Center'!$L$82)),0)))</f>
        <v>1</v>
      </c>
      <c r="BG104" s="69">
        <f>IF(VLOOKUP($D104,$AO$14:AW$19,COLUMN()-50,0)&lt;=0,1,IF($Q104&lt;0,1,ROUNDUP(IF($Q104*('Draft Center'!$L$28+'Draft Center'!$L$78-'Draft Center'!$L$82)&lt;1,1,$Q104*('Draft Center'!$L$28+'Draft Center'!$L$78-'Draft Center'!$L$82)),0)))</f>
        <v>1</v>
      </c>
      <c r="BH104" s="69">
        <f>IF(VLOOKUP($D104,$AO$14:AX$19,COLUMN()-50,0)&lt;=0,1,IF($Q104&lt;0,1,ROUNDUP(IF($Q104*('Draft Center'!$L$28+'Draft Center'!$L$78-'Draft Center'!$L$82)&lt;1,1,$Q104*('Draft Center'!$L$28+'Draft Center'!$L$78-'Draft Center'!$L$82)),0)))</f>
        <v>1</v>
      </c>
      <c r="BI104" s="69">
        <f>IF(VLOOKUP($D104,$AO$14:AY$19,COLUMN()-50,0)&lt;=0,1,IF($Q104&lt;0,1,ROUNDUP(IF($Q104*('Draft Center'!$L$28+'Draft Center'!$L$78-'Draft Center'!$L$82)&lt;1,1,$Q104*('Draft Center'!$L$28+'Draft Center'!$L$78-'Draft Center'!$L$82)),0)))</f>
        <v>1</v>
      </c>
      <c r="BJ104" s="196"/>
      <c r="BK104" s="23">
        <v>0</v>
      </c>
      <c r="BL104" s="23" t="str">
        <f t="shared" si="55"/>
        <v/>
      </c>
      <c r="BM104" s="23">
        <v>0</v>
      </c>
      <c r="BN104" s="23" t="str">
        <f t="shared" si="55"/>
        <v/>
      </c>
      <c r="BO104" s="23" t="str">
        <f t="shared" si="55"/>
        <v/>
      </c>
      <c r="BP104" s="23" t="str">
        <f t="shared" si="55"/>
        <v/>
      </c>
      <c r="BQ104" s="23">
        <f t="shared" si="55"/>
        <v>0</v>
      </c>
      <c r="BR104" s="23">
        <f t="shared" si="42"/>
        <v>0</v>
      </c>
      <c r="BS104" s="23">
        <f t="shared" si="43"/>
        <v>0</v>
      </c>
      <c r="BT104" s="69">
        <v>1</v>
      </c>
      <c r="BU104" s="58">
        <v>2327.0337</v>
      </c>
      <c r="BV104" s="33">
        <v>1</v>
      </c>
      <c r="BW104" s="204">
        <v>2327.0337</v>
      </c>
      <c r="BX104" s="23"/>
      <c r="BY104" s="69">
        <v>1</v>
      </c>
      <c r="BZ104" s="69">
        <v>1.1000000000000001</v>
      </c>
      <c r="CA104" s="69">
        <v>1.1000000000000001</v>
      </c>
      <c r="CB104" s="69">
        <v>1.1000000000000001</v>
      </c>
      <c r="CC104" s="69">
        <f t="shared" si="46"/>
        <v>1.1000000000000001</v>
      </c>
      <c r="CD104" s="69">
        <f t="shared" si="47"/>
        <v>1.1000000000000001</v>
      </c>
    </row>
    <row r="105" spans="1:82" ht="15.75" customHeight="1" thickBot="1" x14ac:dyDescent="0.3">
      <c r="A105" s="6">
        <v>104</v>
      </c>
      <c r="B105" s="7" t="s">
        <v>189</v>
      </c>
      <c r="C105" s="7" t="s">
        <v>36</v>
      </c>
      <c r="D105" s="7" t="s">
        <v>43</v>
      </c>
      <c r="E105" s="50">
        <v>-2.3168229638222599</v>
      </c>
      <c r="F105" s="50">
        <v>151.144096388387</v>
      </c>
      <c r="G105" s="50">
        <v>160.563249779898</v>
      </c>
      <c r="H105" s="50">
        <v>114.241234567901</v>
      </c>
      <c r="I105" s="8">
        <v>1.3</v>
      </c>
      <c r="J105" s="50">
        <v>3.1257214778565099</v>
      </c>
      <c r="K105" s="248">
        <f>IFERROR(VLOOKUP(C105,Schedule!$T$3:$U$34,2,0),"FA")</f>
        <v>7</v>
      </c>
      <c r="L105" s="7" t="str">
        <f>D105&amp;COUNTIF(D$2:$D105,D105)</f>
        <v>TE11</v>
      </c>
      <c r="M105" s="50">
        <f t="array" ref="M105">IFERROR(F105-AVERAGE(VLOOKUP(D105,$D106:$F$885,3,0),INDEX($F106:$F$885,SMALL(IF(D105=$D106:$D$885,ROW($D106:$D$885)-ROW(D105)),2))),0)</f>
        <v>1.0823887119509834</v>
      </c>
      <c r="N105" s="50">
        <f>IFERROR(IF(VLOOKUP($B105,Input!$AC$2:$AC$162,1,0)=$B105,0),F105)</f>
        <v>151.144096388387</v>
      </c>
      <c r="O105" s="50">
        <f>IFERROR(IF(VLOOKUP($B105,Input!$AC$2:$AC$162,1,0)=$B105,0,G105),G105)</f>
        <v>160.563249779898</v>
      </c>
      <c r="P105" s="50">
        <f>IF(N105=0,0,F105-AVERAGE(INDEX(F:F,MATCH(VLOOKUP(D105,Input!$A$14:$L$22,10,0),L:L,0)),INDEX(F:F,MATCH(VLOOKUP(D105,Input!$A$14:$L$22,11,0),L:L,0)),INDEX(F:F,MATCH(VLOOKUP(D105,Input!$A$14:$L$22,12,0),L:L,0)))+(0.01-ROW()*0.01))</f>
        <v>-3.3568229638223182</v>
      </c>
      <c r="Q105" s="106">
        <f t="shared" si="38"/>
        <v>-1.15808022646777E-3</v>
      </c>
      <c r="R105" s="8">
        <f>IF(VLOOKUP($D105,$X$14:$Y$19,2,0)&lt;=0,1,IF(Q105&lt;0,1,ROUNDUP(IF(Q105*('Draft Center'!$L$28+'Draft Center'!$L$78-'Draft Center'!$L$82)&lt;1,1,Q105*('Draft Center'!$L$28+'Draft Center'!$L$78-'Draft Center'!$L$82)),0)))</f>
        <v>1</v>
      </c>
      <c r="S105" s="8">
        <f>IF(A105&lt;Input!$B$10+0.1,IF(ROUNDUP(R105*Input!$C$10,0)=0,1,ROUNDUP(R105*Input!$C$10,0)),IF(A105&gt;Input!$B$11,IF(ROUNDUP(R105*Input!$C$11,0)=0,1,ROUNDUP(R105*Input!$C$11,0)),IF(ROUNDUP(R105,0)=0,1,ROUNDUP(R105,0))))</f>
        <v>1</v>
      </c>
      <c r="T105" s="8">
        <f t="shared" si="39"/>
        <v>1</v>
      </c>
      <c r="U105" s="8">
        <f>IFERROR(VLOOKUP($B105,Input!$AC$2:$AE$161,3,0),0)</f>
        <v>0</v>
      </c>
      <c r="V105" s="256">
        <f t="shared" si="44"/>
        <v>-0.22971923076923079</v>
      </c>
      <c r="W105" s="263">
        <f t="shared" si="45"/>
        <v>-0.29895000000000005</v>
      </c>
      <c r="X105" s="27"/>
      <c r="Y105" s="23"/>
      <c r="Z105" s="23"/>
      <c r="AA105" s="23">
        <v>0</v>
      </c>
      <c r="AB105" s="23" t="str">
        <f t="shared" si="54"/>
        <v/>
      </c>
      <c r="AC105" s="23" t="str">
        <f t="shared" si="54"/>
        <v/>
      </c>
      <c r="AD105" s="23" t="str">
        <f t="shared" si="54"/>
        <v/>
      </c>
      <c r="AE105" s="23">
        <f t="shared" si="54"/>
        <v>0</v>
      </c>
      <c r="AF105" s="23" t="str">
        <f t="shared" si="54"/>
        <v/>
      </c>
      <c r="AG105" s="23" t="str">
        <f t="shared" si="54"/>
        <v/>
      </c>
      <c r="AH105" s="23">
        <f t="shared" si="40"/>
        <v>0</v>
      </c>
      <c r="AI105" s="23">
        <f t="shared" si="41"/>
        <v>0</v>
      </c>
      <c r="AJ105" s="70">
        <v>1</v>
      </c>
      <c r="AK105" s="225">
        <v>2327.0337</v>
      </c>
      <c r="AL105" s="33">
        <v>1</v>
      </c>
      <c r="AM105" s="204">
        <v>2327.0337</v>
      </c>
      <c r="AN105" s="196"/>
      <c r="AO105" s="23"/>
      <c r="AP105" s="23"/>
      <c r="AQ105" s="23"/>
      <c r="AR105" s="23"/>
      <c r="AS105" s="23"/>
      <c r="AT105" s="23"/>
      <c r="AU105" s="23"/>
      <c r="AV105" s="23"/>
      <c r="AW105" s="23"/>
      <c r="AX105" s="23"/>
      <c r="AY105" s="23"/>
      <c r="AZ105" s="196"/>
      <c r="BA105" s="70">
        <f>IF(VLOOKUP($D105,$AO$14:AQ$19,COLUMN()-50,0)&lt;=0,1,IF($Q105&lt;0,1,ROUNDUP(IF($Q105*('Draft Center'!$L$28+'Draft Center'!$L$78-'Draft Center'!$L$82)&lt;1,1,$Q105*('Draft Center'!$L$28+'Draft Center'!$L$78-'Draft Center'!$L$82)),0)))</f>
        <v>1</v>
      </c>
      <c r="BB105" s="70">
        <f>IF(VLOOKUP($D105,$AO$14:AR$19,COLUMN()-50,0)&lt;=0,1,IF($Q105&lt;0,1,ROUNDUP(IF($Q105*('Draft Center'!$L$28+'Draft Center'!$L$78-'Draft Center'!$L$82)&lt;1,1,$Q105*('Draft Center'!$L$28+'Draft Center'!$L$78-'Draft Center'!$L$82)),0)))</f>
        <v>1</v>
      </c>
      <c r="BC105" s="70">
        <f>IF(VLOOKUP($D105,$AO$14:AS$19,COLUMN()-50,0)&lt;=0,1,IF($Q105&lt;0,1,ROUNDUP(IF($Q105*('Draft Center'!$L$28+'Draft Center'!$L$78-'Draft Center'!$L$82)&lt;1,1,$Q105*('Draft Center'!$L$28+'Draft Center'!$L$78-'Draft Center'!$L$82)),0)))</f>
        <v>1</v>
      </c>
      <c r="BD105" s="70">
        <f>IF(VLOOKUP($D105,$AO$14:AT$19,COLUMN()-50,0)&lt;=0,1,IF($Q105&lt;0,1,ROUNDUP(IF($Q105*('Draft Center'!$L$28+'Draft Center'!$L$78-'Draft Center'!$L$82)&lt;1,1,$Q105*('Draft Center'!$L$28+'Draft Center'!$L$78-'Draft Center'!$L$82)),0)))</f>
        <v>1</v>
      </c>
      <c r="BE105" s="70">
        <f>IF(VLOOKUP($D105,$AO$14:AU$19,COLUMN()-50,0)&lt;=0,1,IF($Q105&lt;0,1,ROUNDUP(IF($Q105*('Draft Center'!$L$28+'Draft Center'!$L$78-'Draft Center'!$L$82)&lt;1,1,$Q105*('Draft Center'!$L$28+'Draft Center'!$L$78-'Draft Center'!$L$82)),0)))</f>
        <v>1</v>
      </c>
      <c r="BF105" s="70">
        <f>IF(VLOOKUP($D105,$AO$14:AV$19,COLUMN()-50,0)&lt;=0,1,IF($Q105&lt;0,1,ROUNDUP(IF($Q105*('Draft Center'!$L$28+'Draft Center'!$L$78-'Draft Center'!$L$82)&lt;1,1,$Q105*('Draft Center'!$L$28+'Draft Center'!$L$78-'Draft Center'!$L$82)),0)))</f>
        <v>1</v>
      </c>
      <c r="BG105" s="70">
        <f>IF(VLOOKUP($D105,$AO$14:AW$19,COLUMN()-50,0)&lt;=0,1,IF($Q105&lt;0,1,ROUNDUP(IF($Q105*('Draft Center'!$L$28+'Draft Center'!$L$78-'Draft Center'!$L$82)&lt;1,1,$Q105*('Draft Center'!$L$28+'Draft Center'!$L$78-'Draft Center'!$L$82)),0)))</f>
        <v>1</v>
      </c>
      <c r="BH105" s="70">
        <f>IF(VLOOKUP($D105,$AO$14:AX$19,COLUMN()-50,0)&lt;=0,1,IF($Q105&lt;0,1,ROUNDUP(IF($Q105*('Draft Center'!$L$28+'Draft Center'!$L$78-'Draft Center'!$L$82)&lt;1,1,$Q105*('Draft Center'!$L$28+'Draft Center'!$L$78-'Draft Center'!$L$82)),0)))</f>
        <v>1</v>
      </c>
      <c r="BI105" s="70">
        <f>IF(VLOOKUP($D105,$AO$14:AY$19,COLUMN()-50,0)&lt;=0,1,IF($Q105&lt;0,1,ROUNDUP(IF($Q105*('Draft Center'!$L$28+'Draft Center'!$L$78-'Draft Center'!$L$82)&lt;1,1,$Q105*('Draft Center'!$L$28+'Draft Center'!$L$78-'Draft Center'!$L$82)),0)))</f>
        <v>1</v>
      </c>
      <c r="BJ105" s="196"/>
      <c r="BK105" s="23">
        <v>0</v>
      </c>
      <c r="BL105" s="23" t="str">
        <f t="shared" si="55"/>
        <v/>
      </c>
      <c r="BM105" s="23">
        <v>0</v>
      </c>
      <c r="BN105" s="23" t="str">
        <f t="shared" si="55"/>
        <v/>
      </c>
      <c r="BO105" s="23">
        <f t="shared" si="55"/>
        <v>0</v>
      </c>
      <c r="BP105" s="23" t="str">
        <f t="shared" si="55"/>
        <v/>
      </c>
      <c r="BQ105" s="23" t="str">
        <f t="shared" si="55"/>
        <v/>
      </c>
      <c r="BR105" s="23">
        <f t="shared" si="42"/>
        <v>0</v>
      </c>
      <c r="BS105" s="23">
        <f t="shared" si="43"/>
        <v>0</v>
      </c>
      <c r="BT105" s="70">
        <v>1</v>
      </c>
      <c r="BU105" s="58">
        <v>2327.0337</v>
      </c>
      <c r="BV105" s="33">
        <v>1</v>
      </c>
      <c r="BW105" s="204">
        <v>2327.0337</v>
      </c>
      <c r="BX105" s="23"/>
      <c r="BY105" s="70">
        <v>1</v>
      </c>
      <c r="BZ105" s="70">
        <v>1.3</v>
      </c>
      <c r="CA105" s="70">
        <v>1.3</v>
      </c>
      <c r="CB105" s="70">
        <v>1.3</v>
      </c>
      <c r="CC105" s="70">
        <f t="shared" si="46"/>
        <v>1.3</v>
      </c>
      <c r="CD105" s="70">
        <f t="shared" si="47"/>
        <v>1.3</v>
      </c>
    </row>
    <row r="106" spans="1:82" ht="15.75" customHeight="1" thickBot="1" x14ac:dyDescent="0.3">
      <c r="A106" s="9">
        <v>105</v>
      </c>
      <c r="B106" s="10" t="s">
        <v>248</v>
      </c>
      <c r="C106" s="10" t="s">
        <v>83</v>
      </c>
      <c r="D106" s="10" t="s">
        <v>147</v>
      </c>
      <c r="E106" s="51">
        <v>-2.9057976468567999</v>
      </c>
      <c r="F106" s="51">
        <v>128.46319078411699</v>
      </c>
      <c r="G106" s="51">
        <v>135.98734008083801</v>
      </c>
      <c r="H106" s="51">
        <v>118.05439767051401</v>
      </c>
      <c r="I106" s="11">
        <v>1</v>
      </c>
      <c r="J106" s="51">
        <v>4.4569511158498303</v>
      </c>
      <c r="K106" s="249">
        <f>IFERROR(VLOOKUP(C106,Schedule!$T$3:$U$34,2,0),"FA")</f>
        <v>5</v>
      </c>
      <c r="L106" s="10" t="str">
        <f>D106&amp;COUNTIF(D$2:$D106,D106)</f>
        <v>K15</v>
      </c>
      <c r="M106" s="51">
        <f t="array" ref="M106">IFERROR(F106-AVERAGE(VLOOKUP(D106,$D107:$F$885,3,0),INDEX($F107:$F$885,SMALL(IF(D106=$D107:$D$885,ROW($D107:$D$885)-ROW(D106)),2))),0)</f>
        <v>2.3497441217899961</v>
      </c>
      <c r="N106" s="51">
        <f>IFERROR(IF(VLOOKUP($B106,Input!$AC$2:$AC$162,1,0)=$B106,0),F106)</f>
        <v>128.46319078411699</v>
      </c>
      <c r="O106" s="51">
        <f>IFERROR(IF(VLOOKUP($B106,Input!$AC$2:$AC$162,1,0)=$B106,0,G106),G106)</f>
        <v>135.98734008083801</v>
      </c>
      <c r="P106" s="51">
        <f>IF(N106=0,0,F106-AVERAGE(INDEX(F:F,MATCH(VLOOKUP(D106,Input!$A$14:$L$22,10,0),L:L,0)),INDEX(F:F,MATCH(VLOOKUP(D106,Input!$A$14:$L$22,11,0),L:L,0)),INDEX(F:F,MATCH(VLOOKUP(D106,Input!$A$14:$L$22,12,0),L:L,0)))+(0.01-ROW()*0.01))</f>
        <v>-4.1297907980110038</v>
      </c>
      <c r="Q106" s="107">
        <f t="shared" si="38"/>
        <v>-1.424748672828207E-3</v>
      </c>
      <c r="R106" s="11">
        <f>IF(VLOOKUP($D106,$X$14:$Y$19,2,0)&lt;=0,1,IF(Q106&lt;0,1,ROUNDUP(IF(Q106*('Draft Center'!$L$28+'Draft Center'!$L$78-'Draft Center'!$L$82)&lt;1,1,Q106*('Draft Center'!$L$28+'Draft Center'!$L$78-'Draft Center'!$L$82)),0)))</f>
        <v>1</v>
      </c>
      <c r="S106" s="11">
        <f>IF(A106&lt;Input!$B$10+0.1,IF(ROUNDUP(R106*Input!$C$10,0)=0,1,ROUNDUP(R106*Input!$C$10,0)),IF(A106&gt;Input!$B$11,IF(ROUNDUP(R106*Input!$C$11,0)=0,1,ROUNDUP(R106*Input!$C$11,0)),IF(ROUNDUP(R106,0)=0,1,ROUNDUP(R106,0))))</f>
        <v>1</v>
      </c>
      <c r="T106" s="11">
        <f t="shared" si="39"/>
        <v>1</v>
      </c>
      <c r="U106" s="11">
        <f>IFERROR(VLOOKUP($B106,Input!$AC$2:$AE$161,3,0),0)</f>
        <v>0</v>
      </c>
      <c r="V106" s="257">
        <f t="shared" si="44"/>
        <v>1.0600000000000002E-3</v>
      </c>
      <c r="W106" s="264">
        <f t="shared" si="45"/>
        <v>1.0600000000000002E-3</v>
      </c>
      <c r="X106" s="27"/>
      <c r="Y106" s="23"/>
      <c r="Z106" s="23"/>
      <c r="AA106" s="23">
        <v>0</v>
      </c>
      <c r="AB106" s="23" t="str">
        <f t="shared" si="54"/>
        <v/>
      </c>
      <c r="AC106" s="23" t="str">
        <f t="shared" si="54"/>
        <v/>
      </c>
      <c r="AD106" s="23" t="str">
        <f t="shared" si="54"/>
        <v/>
      </c>
      <c r="AE106" s="23" t="str">
        <f t="shared" si="54"/>
        <v/>
      </c>
      <c r="AF106" s="23" t="str">
        <f t="shared" si="54"/>
        <v/>
      </c>
      <c r="AG106" s="23">
        <f t="shared" si="54"/>
        <v>0</v>
      </c>
      <c r="AH106" s="23">
        <f t="shared" si="40"/>
        <v>0</v>
      </c>
      <c r="AI106" s="23">
        <f t="shared" si="41"/>
        <v>0</v>
      </c>
      <c r="AJ106" s="69">
        <v>1</v>
      </c>
      <c r="AK106" s="225">
        <v>2327.0337</v>
      </c>
      <c r="AL106" s="33">
        <v>1</v>
      </c>
      <c r="AM106" s="204">
        <v>2327.0337</v>
      </c>
      <c r="AN106" s="196"/>
      <c r="AO106" s="23"/>
      <c r="AP106" s="23"/>
      <c r="AQ106" s="23"/>
      <c r="AR106" s="23"/>
      <c r="AS106" s="23"/>
      <c r="AT106" s="23"/>
      <c r="AU106" s="23"/>
      <c r="AV106" s="23"/>
      <c r="AW106" s="23"/>
      <c r="AX106" s="23"/>
      <c r="AY106" s="23"/>
      <c r="AZ106" s="196"/>
      <c r="BA106" s="69">
        <f>IF(VLOOKUP($D106,$AO$14:AQ$19,COLUMN()-50,0)&lt;=0,1,IF($Q106&lt;0,1,ROUNDUP(IF($Q106*('Draft Center'!$L$28+'Draft Center'!$L$78-'Draft Center'!$L$82)&lt;1,1,$Q106*('Draft Center'!$L$28+'Draft Center'!$L$78-'Draft Center'!$L$82)),0)))</f>
        <v>1</v>
      </c>
      <c r="BB106" s="69">
        <f>IF(VLOOKUP($D106,$AO$14:AR$19,COLUMN()-50,0)&lt;=0,1,IF($Q106&lt;0,1,ROUNDUP(IF($Q106*('Draft Center'!$L$28+'Draft Center'!$L$78-'Draft Center'!$L$82)&lt;1,1,$Q106*('Draft Center'!$L$28+'Draft Center'!$L$78-'Draft Center'!$L$82)),0)))</f>
        <v>1</v>
      </c>
      <c r="BC106" s="69">
        <f>IF(VLOOKUP($D106,$AO$14:AS$19,COLUMN()-50,0)&lt;=0,1,IF($Q106&lt;0,1,ROUNDUP(IF($Q106*('Draft Center'!$L$28+'Draft Center'!$L$78-'Draft Center'!$L$82)&lt;1,1,$Q106*('Draft Center'!$L$28+'Draft Center'!$L$78-'Draft Center'!$L$82)),0)))</f>
        <v>1</v>
      </c>
      <c r="BD106" s="69">
        <f>IF(VLOOKUP($D106,$AO$14:AT$19,COLUMN()-50,0)&lt;=0,1,IF($Q106&lt;0,1,ROUNDUP(IF($Q106*('Draft Center'!$L$28+'Draft Center'!$L$78-'Draft Center'!$L$82)&lt;1,1,$Q106*('Draft Center'!$L$28+'Draft Center'!$L$78-'Draft Center'!$L$82)),0)))</f>
        <v>1</v>
      </c>
      <c r="BE106" s="69">
        <f>IF(VLOOKUP($D106,$AO$14:AU$19,COLUMN()-50,0)&lt;=0,1,IF($Q106&lt;0,1,ROUNDUP(IF($Q106*('Draft Center'!$L$28+'Draft Center'!$L$78-'Draft Center'!$L$82)&lt;1,1,$Q106*('Draft Center'!$L$28+'Draft Center'!$L$78-'Draft Center'!$L$82)),0)))</f>
        <v>1</v>
      </c>
      <c r="BF106" s="69">
        <f>IF(VLOOKUP($D106,$AO$14:AV$19,COLUMN()-50,0)&lt;=0,1,IF($Q106&lt;0,1,ROUNDUP(IF($Q106*('Draft Center'!$L$28+'Draft Center'!$L$78-'Draft Center'!$L$82)&lt;1,1,$Q106*('Draft Center'!$L$28+'Draft Center'!$L$78-'Draft Center'!$L$82)),0)))</f>
        <v>1</v>
      </c>
      <c r="BG106" s="69">
        <f>IF(VLOOKUP($D106,$AO$14:AW$19,COLUMN()-50,0)&lt;=0,1,IF($Q106&lt;0,1,ROUNDUP(IF($Q106*('Draft Center'!$L$28+'Draft Center'!$L$78-'Draft Center'!$L$82)&lt;1,1,$Q106*('Draft Center'!$L$28+'Draft Center'!$L$78-'Draft Center'!$L$82)),0)))</f>
        <v>1</v>
      </c>
      <c r="BH106" s="69">
        <f>IF(VLOOKUP($D106,$AO$14:AX$19,COLUMN()-50,0)&lt;=0,1,IF($Q106&lt;0,1,ROUNDUP(IF($Q106*('Draft Center'!$L$28+'Draft Center'!$L$78-'Draft Center'!$L$82)&lt;1,1,$Q106*('Draft Center'!$L$28+'Draft Center'!$L$78-'Draft Center'!$L$82)),0)))</f>
        <v>1</v>
      </c>
      <c r="BI106" s="69">
        <f>IF(VLOOKUP($D106,$AO$14:AY$19,COLUMN()-50,0)&lt;=0,1,IF($Q106&lt;0,1,ROUNDUP(IF($Q106*('Draft Center'!$L$28+'Draft Center'!$L$78-'Draft Center'!$L$82)&lt;1,1,$Q106*('Draft Center'!$L$28+'Draft Center'!$L$78-'Draft Center'!$L$82)),0)))</f>
        <v>1</v>
      </c>
      <c r="BJ106" s="196"/>
      <c r="BK106" s="23">
        <v>0</v>
      </c>
      <c r="BL106" s="23" t="str">
        <f t="shared" si="55"/>
        <v/>
      </c>
      <c r="BM106" s="23">
        <v>0</v>
      </c>
      <c r="BN106" s="23" t="str">
        <f t="shared" si="55"/>
        <v/>
      </c>
      <c r="BO106" s="23" t="str">
        <f t="shared" si="55"/>
        <v/>
      </c>
      <c r="BP106" s="23" t="str">
        <f t="shared" si="55"/>
        <v/>
      </c>
      <c r="BQ106" s="23">
        <f t="shared" si="55"/>
        <v>0</v>
      </c>
      <c r="BR106" s="23">
        <f t="shared" si="42"/>
        <v>0</v>
      </c>
      <c r="BS106" s="23">
        <f t="shared" si="43"/>
        <v>0</v>
      </c>
      <c r="BT106" s="69">
        <v>1</v>
      </c>
      <c r="BU106" s="58">
        <v>2327.0337</v>
      </c>
      <c r="BV106" s="33">
        <v>1</v>
      </c>
      <c r="BW106" s="204">
        <v>2327.0337</v>
      </c>
      <c r="BX106" s="23"/>
      <c r="BY106" s="69">
        <v>1</v>
      </c>
      <c r="BZ106" s="69">
        <v>1</v>
      </c>
      <c r="CA106" s="69">
        <v>1</v>
      </c>
      <c r="CB106" s="69">
        <v>1</v>
      </c>
      <c r="CC106" s="69">
        <f t="shared" si="46"/>
        <v>1</v>
      </c>
      <c r="CD106" s="69">
        <f t="shared" si="47"/>
        <v>1</v>
      </c>
    </row>
    <row r="107" spans="1:82" ht="15.75" customHeight="1" thickBot="1" x14ac:dyDescent="0.3">
      <c r="A107" s="6">
        <v>106</v>
      </c>
      <c r="B107" s="7" t="s">
        <v>212</v>
      </c>
      <c r="C107" s="7" t="s">
        <v>143</v>
      </c>
      <c r="D107" s="7" t="s">
        <v>19</v>
      </c>
      <c r="E107" s="50">
        <v>-3.16804425271599</v>
      </c>
      <c r="F107" s="50">
        <v>165.93435377323601</v>
      </c>
      <c r="G107" s="50">
        <v>175.687505090548</v>
      </c>
      <c r="H107" s="50">
        <v>153.86213504823201</v>
      </c>
      <c r="I107" s="8">
        <v>1.3</v>
      </c>
      <c r="J107" s="50">
        <v>4.28734572347234</v>
      </c>
      <c r="K107" s="248">
        <f>IFERROR(VLOOKUP(C107,Schedule!$T$3:$U$34,2,0),"FA")</f>
        <v>9</v>
      </c>
      <c r="L107" s="7" t="str">
        <f>D107&amp;COUNTIF(D$2:$D107,D107)</f>
        <v>RB28</v>
      </c>
      <c r="M107" s="50">
        <f t="array" ref="M107">IFERROR(F107-AVERAGE(VLOOKUP(D107,$D108:$F$885,3,0),INDEX($F108:$F$885,SMALL(IF(D107=$D108:$D$885,ROW($D108:$D$885)-ROW(D107)),2))),0)</f>
        <v>2.7620597001895248</v>
      </c>
      <c r="N107" s="50">
        <f>IFERROR(IF(VLOOKUP($B107,Input!$AC$2:$AC$162,1,0)=$B107,0),F107)</f>
        <v>165.93435377323601</v>
      </c>
      <c r="O107" s="50">
        <f>IFERROR(IF(VLOOKUP($B107,Input!$AC$2:$AC$162,1,0)=$B107,0,G107),G107)</f>
        <v>175.687505090548</v>
      </c>
      <c r="P107" s="50">
        <f>IF(N107=0,0,F107-AVERAGE(INDEX(F:F,MATCH(VLOOKUP(D107,Input!$A$14:$L$22,10,0),L:L,0)),INDEX(F:F,MATCH(VLOOKUP(D107,Input!$A$14:$L$22,11,0),L:L,0)),INDEX(F:F,MATCH(VLOOKUP(D107,Input!$A$14:$L$22,12,0),L:L,0)))+(0.01-ROW()*0.01))</f>
        <v>-4.2280442527159874</v>
      </c>
      <c r="Q107" s="106">
        <f t="shared" si="38"/>
        <v>-1.4586454211233343E-3</v>
      </c>
      <c r="R107" s="8">
        <f>IF(VLOOKUP($D107,$X$14:$Y$19,2,0)&lt;=0,1,IF(Q107&lt;0,1,ROUNDUP(IF(Q107*('Draft Center'!$L$28+'Draft Center'!$L$78-'Draft Center'!$L$82)&lt;1,1,Q107*('Draft Center'!$L$28+'Draft Center'!$L$78-'Draft Center'!$L$82)),0)))</f>
        <v>1</v>
      </c>
      <c r="S107" s="8">
        <f>IF(A107&lt;Input!$B$10+0.1,IF(ROUNDUP(R107*Input!$C$10,0)=0,1,ROUNDUP(R107*Input!$C$10,0)),IF(A107&gt;Input!$B$11,IF(ROUNDUP(R107*Input!$C$11,0)=0,1,ROUNDUP(R107*Input!$C$11,0)),IF(ROUNDUP(R107,0)=0,1,ROUNDUP(R107,0))))</f>
        <v>1</v>
      </c>
      <c r="T107" s="8">
        <f t="shared" si="39"/>
        <v>1</v>
      </c>
      <c r="U107" s="8">
        <f>IFERROR(VLOOKUP($B107,Input!$AC$2:$AE$161,3,0),0)</f>
        <v>0</v>
      </c>
      <c r="V107" s="256">
        <f t="shared" si="44"/>
        <v>-0.22969923076923079</v>
      </c>
      <c r="W107" s="263">
        <f t="shared" si="45"/>
        <v>-0.29893000000000003</v>
      </c>
      <c r="X107" s="27"/>
      <c r="Y107" s="23"/>
      <c r="Z107" s="23"/>
      <c r="AA107" s="23">
        <v>0</v>
      </c>
      <c r="AB107" s="23" t="str">
        <f t="shared" si="54"/>
        <v/>
      </c>
      <c r="AC107" s="23">
        <f t="shared" si="54"/>
        <v>0</v>
      </c>
      <c r="AD107" s="23" t="str">
        <f t="shared" si="54"/>
        <v/>
      </c>
      <c r="AE107" s="23" t="str">
        <f t="shared" si="54"/>
        <v/>
      </c>
      <c r="AF107" s="23" t="str">
        <f t="shared" si="54"/>
        <v/>
      </c>
      <c r="AG107" s="23" t="str">
        <f t="shared" si="54"/>
        <v/>
      </c>
      <c r="AH107" s="23">
        <f t="shared" si="40"/>
        <v>0</v>
      </c>
      <c r="AI107" s="23">
        <f t="shared" si="41"/>
        <v>0</v>
      </c>
      <c r="AJ107" s="70">
        <v>1</v>
      </c>
      <c r="AK107" s="225">
        <v>2327.0337</v>
      </c>
      <c r="AL107" s="33">
        <v>1</v>
      </c>
      <c r="AM107" s="204">
        <v>2327.0337</v>
      </c>
      <c r="AN107" s="196"/>
      <c r="AO107" s="23"/>
      <c r="AP107" s="23"/>
      <c r="AQ107" s="23"/>
      <c r="AR107" s="23"/>
      <c r="AS107" s="23"/>
      <c r="AT107" s="23"/>
      <c r="AU107" s="23"/>
      <c r="AV107" s="23"/>
      <c r="AW107" s="23"/>
      <c r="AX107" s="23"/>
      <c r="AY107" s="23"/>
      <c r="AZ107" s="196"/>
      <c r="BA107" s="70">
        <f>IF(VLOOKUP($D107,$AO$14:AQ$19,COLUMN()-50,0)&lt;=0,1,IF($Q107&lt;0,1,ROUNDUP(IF($Q107*('Draft Center'!$L$28+'Draft Center'!$L$78-'Draft Center'!$L$82)&lt;1,1,$Q107*('Draft Center'!$L$28+'Draft Center'!$L$78-'Draft Center'!$L$82)),0)))</f>
        <v>1</v>
      </c>
      <c r="BB107" s="70">
        <f>IF(VLOOKUP($D107,$AO$14:AR$19,COLUMN()-50,0)&lt;=0,1,IF($Q107&lt;0,1,ROUNDUP(IF($Q107*('Draft Center'!$L$28+'Draft Center'!$L$78-'Draft Center'!$L$82)&lt;1,1,$Q107*('Draft Center'!$L$28+'Draft Center'!$L$78-'Draft Center'!$L$82)),0)))</f>
        <v>1</v>
      </c>
      <c r="BC107" s="70">
        <f>IF(VLOOKUP($D107,$AO$14:AS$19,COLUMN()-50,0)&lt;=0,1,IF($Q107&lt;0,1,ROUNDUP(IF($Q107*('Draft Center'!$L$28+'Draft Center'!$L$78-'Draft Center'!$L$82)&lt;1,1,$Q107*('Draft Center'!$L$28+'Draft Center'!$L$78-'Draft Center'!$L$82)),0)))</f>
        <v>1</v>
      </c>
      <c r="BD107" s="70">
        <f>IF(VLOOKUP($D107,$AO$14:AT$19,COLUMN()-50,0)&lt;=0,1,IF($Q107&lt;0,1,ROUNDUP(IF($Q107*('Draft Center'!$L$28+'Draft Center'!$L$78-'Draft Center'!$L$82)&lt;1,1,$Q107*('Draft Center'!$L$28+'Draft Center'!$L$78-'Draft Center'!$L$82)),0)))</f>
        <v>1</v>
      </c>
      <c r="BE107" s="70">
        <f>IF(VLOOKUP($D107,$AO$14:AU$19,COLUMN()-50,0)&lt;=0,1,IF($Q107&lt;0,1,ROUNDUP(IF($Q107*('Draft Center'!$L$28+'Draft Center'!$L$78-'Draft Center'!$L$82)&lt;1,1,$Q107*('Draft Center'!$L$28+'Draft Center'!$L$78-'Draft Center'!$L$82)),0)))</f>
        <v>1</v>
      </c>
      <c r="BF107" s="70">
        <f>IF(VLOOKUP($D107,$AO$14:AV$19,COLUMN()-50,0)&lt;=0,1,IF($Q107&lt;0,1,ROUNDUP(IF($Q107*('Draft Center'!$L$28+'Draft Center'!$L$78-'Draft Center'!$L$82)&lt;1,1,$Q107*('Draft Center'!$L$28+'Draft Center'!$L$78-'Draft Center'!$L$82)),0)))</f>
        <v>1</v>
      </c>
      <c r="BG107" s="70">
        <f>IF(VLOOKUP($D107,$AO$14:AW$19,COLUMN()-50,0)&lt;=0,1,IF($Q107&lt;0,1,ROUNDUP(IF($Q107*('Draft Center'!$L$28+'Draft Center'!$L$78-'Draft Center'!$L$82)&lt;1,1,$Q107*('Draft Center'!$L$28+'Draft Center'!$L$78-'Draft Center'!$L$82)),0)))</f>
        <v>1</v>
      </c>
      <c r="BH107" s="70">
        <f>IF(VLOOKUP($D107,$AO$14:AX$19,COLUMN()-50,0)&lt;=0,1,IF($Q107&lt;0,1,ROUNDUP(IF($Q107*('Draft Center'!$L$28+'Draft Center'!$L$78-'Draft Center'!$L$82)&lt;1,1,$Q107*('Draft Center'!$L$28+'Draft Center'!$L$78-'Draft Center'!$L$82)),0)))</f>
        <v>1</v>
      </c>
      <c r="BI107" s="70">
        <f>IF(VLOOKUP($D107,$AO$14:AY$19,COLUMN()-50,0)&lt;=0,1,IF($Q107&lt;0,1,ROUNDUP(IF($Q107*('Draft Center'!$L$28+'Draft Center'!$L$78-'Draft Center'!$L$82)&lt;1,1,$Q107*('Draft Center'!$L$28+'Draft Center'!$L$78-'Draft Center'!$L$82)),0)))</f>
        <v>1</v>
      </c>
      <c r="BJ107" s="196"/>
      <c r="BK107" s="23">
        <v>0</v>
      </c>
      <c r="BL107" s="23" t="str">
        <f t="shared" si="55"/>
        <v/>
      </c>
      <c r="BM107" s="23">
        <v>0</v>
      </c>
      <c r="BN107" s="23" t="str">
        <f t="shared" si="55"/>
        <v/>
      </c>
      <c r="BO107" s="23" t="str">
        <f t="shared" si="55"/>
        <v/>
      </c>
      <c r="BP107" s="23" t="str">
        <f t="shared" si="55"/>
        <v/>
      </c>
      <c r="BQ107" s="23" t="str">
        <f t="shared" si="55"/>
        <v/>
      </c>
      <c r="BR107" s="23">
        <f t="shared" si="42"/>
        <v>0</v>
      </c>
      <c r="BS107" s="23">
        <f t="shared" si="43"/>
        <v>0</v>
      </c>
      <c r="BT107" s="70">
        <v>1</v>
      </c>
      <c r="BU107" s="58">
        <v>2327.0337</v>
      </c>
      <c r="BV107" s="33">
        <v>1</v>
      </c>
      <c r="BW107" s="204">
        <v>2327.0337</v>
      </c>
      <c r="BX107" s="23"/>
      <c r="BY107" s="70">
        <v>1</v>
      </c>
      <c r="BZ107" s="70">
        <v>1.3</v>
      </c>
      <c r="CA107" s="70">
        <v>1.3</v>
      </c>
      <c r="CB107" s="70">
        <v>1.3</v>
      </c>
      <c r="CC107" s="70">
        <f t="shared" si="46"/>
        <v>1.3</v>
      </c>
      <c r="CD107" s="70">
        <f t="shared" si="47"/>
        <v>1.3</v>
      </c>
    </row>
    <row r="108" spans="1:82" ht="15.75" customHeight="1" thickBot="1" x14ac:dyDescent="0.3">
      <c r="A108" s="9">
        <v>107</v>
      </c>
      <c r="B108" s="10" t="s">
        <v>115</v>
      </c>
      <c r="C108" s="10" t="s">
        <v>35</v>
      </c>
      <c r="D108" s="10" t="s">
        <v>43</v>
      </c>
      <c r="E108" s="51">
        <v>-3.1744317680116598</v>
      </c>
      <c r="F108" s="51">
        <v>150.286487584198</v>
      </c>
      <c r="G108" s="51">
        <v>156.99865044896899</v>
      </c>
      <c r="H108" s="51">
        <v>140.93721333502799</v>
      </c>
      <c r="I108" s="11">
        <v>1.4</v>
      </c>
      <c r="J108" s="51">
        <v>4.2931931760512603</v>
      </c>
      <c r="K108" s="249">
        <f>IFERROR(VLOOKUP(C108,Schedule!$T$3:$U$34,2,0),"FA")</f>
        <v>6</v>
      </c>
      <c r="L108" s="10" t="str">
        <f>D108&amp;COUNTIF(D$2:$D108,D108)</f>
        <v>TE12</v>
      </c>
      <c r="M108" s="51">
        <f t="array" ref="M108">IFERROR(F108-AVERAGE(VLOOKUP(D108,$D109:$F$885,3,0),INDEX($F109:$F$885,SMALL(IF(D108=$D109:$D$885,ROW($D109:$D$885)-ROW(D108)),2))),0)</f>
        <v>2.8189708439939807</v>
      </c>
      <c r="N108" s="51">
        <f>IFERROR(IF(VLOOKUP($B108,Input!$AC$2:$AC$162,1,0)=$B108,0),F108)</f>
        <v>150.286487584198</v>
      </c>
      <c r="O108" s="51">
        <f>IFERROR(IF(VLOOKUP($B108,Input!$AC$2:$AC$162,1,0)=$B108,0,G108),G108)</f>
        <v>156.99865044896899</v>
      </c>
      <c r="P108" s="51">
        <f>IF(N108=0,0,F108-AVERAGE(INDEX(F:F,MATCH(VLOOKUP(D108,Input!$A$14:$L$22,10,0),L:L,0)),INDEX(F:F,MATCH(VLOOKUP(D108,Input!$A$14:$L$22,11,0),L:L,0)),INDEX(F:F,MATCH(VLOOKUP(D108,Input!$A$14:$L$22,12,0),L:L,0)))+(0.01-ROW()*0.01))</f>
        <v>-4.2444317680113173</v>
      </c>
      <c r="Q108" s="107">
        <f t="shared" si="38"/>
        <v>-1.4642989982195927E-3</v>
      </c>
      <c r="R108" s="11">
        <f>IF(VLOOKUP($D108,$X$14:$Y$19,2,0)&lt;=0,1,IF(Q108&lt;0,1,ROUNDUP(IF(Q108*('Draft Center'!$L$28+'Draft Center'!$L$78-'Draft Center'!$L$82)&lt;1,1,Q108*('Draft Center'!$L$28+'Draft Center'!$L$78-'Draft Center'!$L$82)),0)))</f>
        <v>1</v>
      </c>
      <c r="S108" s="11">
        <f>IF(A108&lt;Input!$B$10+0.1,IF(ROUNDUP(R108*Input!$C$10,0)=0,1,ROUNDUP(R108*Input!$C$10,0)),IF(A108&gt;Input!$B$11,IF(ROUNDUP(R108*Input!$C$11,0)=0,1,ROUNDUP(R108*Input!$C$11,0)),IF(ROUNDUP(R108,0)=0,1,ROUNDUP(R108,0))))</f>
        <v>1</v>
      </c>
      <c r="T108" s="11">
        <f t="shared" si="39"/>
        <v>1</v>
      </c>
      <c r="U108" s="11">
        <f>IFERROR(VLOOKUP($B108,Input!$AC$2:$AE$161,3,0),0)</f>
        <v>0</v>
      </c>
      <c r="V108" s="257">
        <f t="shared" si="44"/>
        <v>-0.28463428571428562</v>
      </c>
      <c r="W108" s="264">
        <f t="shared" si="45"/>
        <v>-0.39891999999999989</v>
      </c>
      <c r="X108" s="27"/>
      <c r="Y108" s="23"/>
      <c r="Z108" s="23"/>
      <c r="AA108" s="23">
        <v>0</v>
      </c>
      <c r="AB108" s="23" t="str">
        <f t="shared" si="54"/>
        <v/>
      </c>
      <c r="AC108" s="23" t="str">
        <f t="shared" si="54"/>
        <v/>
      </c>
      <c r="AD108" s="23" t="str">
        <f t="shared" si="54"/>
        <v/>
      </c>
      <c r="AE108" s="23">
        <f t="shared" si="54"/>
        <v>0</v>
      </c>
      <c r="AF108" s="23" t="str">
        <f t="shared" si="54"/>
        <v/>
      </c>
      <c r="AG108" s="23" t="str">
        <f t="shared" si="54"/>
        <v/>
      </c>
      <c r="AH108" s="23">
        <f t="shared" si="40"/>
        <v>0</v>
      </c>
      <c r="AI108" s="23">
        <f t="shared" si="41"/>
        <v>0</v>
      </c>
      <c r="AJ108" s="69">
        <v>1</v>
      </c>
      <c r="AK108" s="225">
        <v>2327.0337</v>
      </c>
      <c r="AL108" s="33">
        <v>1</v>
      </c>
      <c r="AM108" s="204">
        <v>2327.0337</v>
      </c>
      <c r="AN108" s="196"/>
      <c r="AO108" s="23"/>
      <c r="AP108" s="23"/>
      <c r="AQ108" s="23"/>
      <c r="AR108" s="23"/>
      <c r="AS108" s="23"/>
      <c r="AT108" s="23"/>
      <c r="AU108" s="23"/>
      <c r="AV108" s="23"/>
      <c r="AW108" s="23"/>
      <c r="AX108" s="23"/>
      <c r="AY108" s="23"/>
      <c r="AZ108" s="196"/>
      <c r="BA108" s="69">
        <f>IF(VLOOKUP($D108,$AO$14:AQ$19,COLUMN()-50,0)&lt;=0,1,IF($Q108&lt;0,1,ROUNDUP(IF($Q108*('Draft Center'!$L$28+'Draft Center'!$L$78-'Draft Center'!$L$82)&lt;1,1,$Q108*('Draft Center'!$L$28+'Draft Center'!$L$78-'Draft Center'!$L$82)),0)))</f>
        <v>1</v>
      </c>
      <c r="BB108" s="69">
        <f>IF(VLOOKUP($D108,$AO$14:AR$19,COLUMN()-50,0)&lt;=0,1,IF($Q108&lt;0,1,ROUNDUP(IF($Q108*('Draft Center'!$L$28+'Draft Center'!$L$78-'Draft Center'!$L$82)&lt;1,1,$Q108*('Draft Center'!$L$28+'Draft Center'!$L$78-'Draft Center'!$L$82)),0)))</f>
        <v>1</v>
      </c>
      <c r="BC108" s="69">
        <f>IF(VLOOKUP($D108,$AO$14:AS$19,COLUMN()-50,0)&lt;=0,1,IF($Q108&lt;0,1,ROUNDUP(IF($Q108*('Draft Center'!$L$28+'Draft Center'!$L$78-'Draft Center'!$L$82)&lt;1,1,$Q108*('Draft Center'!$L$28+'Draft Center'!$L$78-'Draft Center'!$L$82)),0)))</f>
        <v>1</v>
      </c>
      <c r="BD108" s="69">
        <f>IF(VLOOKUP($D108,$AO$14:AT$19,COLUMN()-50,0)&lt;=0,1,IF($Q108&lt;0,1,ROUNDUP(IF($Q108*('Draft Center'!$L$28+'Draft Center'!$L$78-'Draft Center'!$L$82)&lt;1,1,$Q108*('Draft Center'!$L$28+'Draft Center'!$L$78-'Draft Center'!$L$82)),0)))</f>
        <v>1</v>
      </c>
      <c r="BE108" s="69">
        <f>IF(VLOOKUP($D108,$AO$14:AU$19,COLUMN()-50,0)&lt;=0,1,IF($Q108&lt;0,1,ROUNDUP(IF($Q108*('Draft Center'!$L$28+'Draft Center'!$L$78-'Draft Center'!$L$82)&lt;1,1,$Q108*('Draft Center'!$L$28+'Draft Center'!$L$78-'Draft Center'!$L$82)),0)))</f>
        <v>1</v>
      </c>
      <c r="BF108" s="69">
        <f>IF(VLOOKUP($D108,$AO$14:AV$19,COLUMN()-50,0)&lt;=0,1,IF($Q108&lt;0,1,ROUNDUP(IF($Q108*('Draft Center'!$L$28+'Draft Center'!$L$78-'Draft Center'!$L$82)&lt;1,1,$Q108*('Draft Center'!$L$28+'Draft Center'!$L$78-'Draft Center'!$L$82)),0)))</f>
        <v>1</v>
      </c>
      <c r="BG108" s="69">
        <f>IF(VLOOKUP($D108,$AO$14:AW$19,COLUMN()-50,0)&lt;=0,1,IF($Q108&lt;0,1,ROUNDUP(IF($Q108*('Draft Center'!$L$28+'Draft Center'!$L$78-'Draft Center'!$L$82)&lt;1,1,$Q108*('Draft Center'!$L$28+'Draft Center'!$L$78-'Draft Center'!$L$82)),0)))</f>
        <v>1</v>
      </c>
      <c r="BH108" s="69">
        <f>IF(VLOOKUP($D108,$AO$14:AX$19,COLUMN()-50,0)&lt;=0,1,IF($Q108&lt;0,1,ROUNDUP(IF($Q108*('Draft Center'!$L$28+'Draft Center'!$L$78-'Draft Center'!$L$82)&lt;1,1,$Q108*('Draft Center'!$L$28+'Draft Center'!$L$78-'Draft Center'!$L$82)),0)))</f>
        <v>1</v>
      </c>
      <c r="BI108" s="69">
        <f>IF(VLOOKUP($D108,$AO$14:AY$19,COLUMN()-50,0)&lt;=0,1,IF($Q108&lt;0,1,ROUNDUP(IF($Q108*('Draft Center'!$L$28+'Draft Center'!$L$78-'Draft Center'!$L$82)&lt;1,1,$Q108*('Draft Center'!$L$28+'Draft Center'!$L$78-'Draft Center'!$L$82)),0)))</f>
        <v>1</v>
      </c>
      <c r="BJ108" s="196"/>
      <c r="BK108" s="23">
        <v>0</v>
      </c>
      <c r="BL108" s="23" t="str">
        <f t="shared" si="55"/>
        <v/>
      </c>
      <c r="BM108" s="23">
        <v>0</v>
      </c>
      <c r="BN108" s="23" t="str">
        <f t="shared" si="55"/>
        <v/>
      </c>
      <c r="BO108" s="23">
        <f t="shared" si="55"/>
        <v>0</v>
      </c>
      <c r="BP108" s="23" t="str">
        <f t="shared" si="55"/>
        <v/>
      </c>
      <c r="BQ108" s="23" t="str">
        <f t="shared" si="55"/>
        <v/>
      </c>
      <c r="BR108" s="23">
        <f t="shared" si="42"/>
        <v>0</v>
      </c>
      <c r="BS108" s="23">
        <f t="shared" si="43"/>
        <v>0</v>
      </c>
      <c r="BT108" s="69">
        <v>1</v>
      </c>
      <c r="BU108" s="58">
        <v>2327.0337</v>
      </c>
      <c r="BV108" s="33">
        <v>1</v>
      </c>
      <c r="BW108" s="204">
        <v>2327.0337</v>
      </c>
      <c r="BX108" s="23"/>
      <c r="BY108" s="69">
        <v>1</v>
      </c>
      <c r="BZ108" s="69">
        <v>1.4</v>
      </c>
      <c r="CA108" s="69">
        <v>1.4</v>
      </c>
      <c r="CB108" s="69">
        <v>1.4</v>
      </c>
      <c r="CC108" s="69">
        <f t="shared" si="46"/>
        <v>1.3999999999999997</v>
      </c>
      <c r="CD108" s="69">
        <f t="shared" si="47"/>
        <v>1.4</v>
      </c>
    </row>
    <row r="109" spans="1:82" ht="15.75" customHeight="1" thickBot="1" x14ac:dyDescent="0.3">
      <c r="A109" s="6">
        <v>108</v>
      </c>
      <c r="B109" s="7" t="s">
        <v>466</v>
      </c>
      <c r="C109" s="7" t="s">
        <v>21</v>
      </c>
      <c r="D109" s="7" t="s">
        <v>147</v>
      </c>
      <c r="E109" s="50">
        <v>-3.4493339368568701</v>
      </c>
      <c r="F109" s="50">
        <v>127.919654494116</v>
      </c>
      <c r="G109" s="50">
        <v>131.60241089147101</v>
      </c>
      <c r="H109" s="50">
        <v>121.369638461601</v>
      </c>
      <c r="I109" s="8">
        <v>0</v>
      </c>
      <c r="J109" s="50">
        <v>4.3516214696571396</v>
      </c>
      <c r="K109" s="248">
        <f>IFERROR(VLOOKUP(C109,Schedule!$T$3:$U$34,2,0),"FA")</f>
        <v>5</v>
      </c>
      <c r="L109" s="7" t="str">
        <f>D109&amp;COUNTIF(D$2:$D109,D109)</f>
        <v>K16</v>
      </c>
      <c r="M109" s="50">
        <f t="array" ref="M109">IFERROR(F109-AVERAGE(VLOOKUP(D109,$D110:$F$885,3,0),INDEX($F110:$F$885,SMALL(IF(D109=$D110:$D$885,ROW($D110:$D$885)-ROW(D109)),2))),0)</f>
        <v>4.7702803964280065</v>
      </c>
      <c r="N109" s="50">
        <f>IFERROR(IF(VLOOKUP($B109,Input!$AC$2:$AC$162,1,0)=$B109,0),F109)</f>
        <v>127.919654494116</v>
      </c>
      <c r="O109" s="50">
        <f>IFERROR(IF(VLOOKUP($B109,Input!$AC$2:$AC$162,1,0)=$B109,0,G109),G109)</f>
        <v>131.60241089147101</v>
      </c>
      <c r="P109" s="50">
        <f>IF(N109=0,0,F109-AVERAGE(INDEX(F:F,MATCH(VLOOKUP(D109,Input!$A$14:$L$22,10,0),L:L,0)),INDEX(F:F,MATCH(VLOOKUP(D109,Input!$A$14:$L$22,11,0),L:L,0)),INDEX(F:F,MATCH(VLOOKUP(D109,Input!$A$14:$L$22,12,0),L:L,0)))+(0.01-ROW()*0.01))</f>
        <v>-4.7033270880119904</v>
      </c>
      <c r="Q109" s="106">
        <f t="shared" si="38"/>
        <v>-1.6226146442452759E-3</v>
      </c>
      <c r="R109" s="8">
        <f>IF(VLOOKUP($D109,$X$14:$Y$19,2,0)&lt;=0,1,IF(Q109&lt;0,1,ROUNDUP(IF(Q109*('Draft Center'!$L$28+'Draft Center'!$L$78-'Draft Center'!$L$82)&lt;1,1,Q109*('Draft Center'!$L$28+'Draft Center'!$L$78-'Draft Center'!$L$82)),0)))</f>
        <v>1</v>
      </c>
      <c r="S109" s="8">
        <f>IF(A109&lt;Input!$B$10+0.1,IF(ROUNDUP(R109*Input!$C$10,0)=0,1,ROUNDUP(R109*Input!$C$10,0)),IF(A109&gt;Input!$B$11,IF(ROUNDUP(R109*Input!$C$11,0)=0,1,ROUNDUP(R109*Input!$C$11,0)),IF(ROUNDUP(R109,0)=0,1,ROUNDUP(R109,0))))</f>
        <v>1</v>
      </c>
      <c r="T109" s="8">
        <f t="shared" si="39"/>
        <v>1</v>
      </c>
      <c r="U109" s="8">
        <f>IFERROR(VLOOKUP($B109,Input!$AC$2:$AE$161,3,0),0)</f>
        <v>0</v>
      </c>
      <c r="V109" s="256">
        <f t="shared" si="44"/>
        <v>0</v>
      </c>
      <c r="W109" s="263">
        <f t="shared" si="45"/>
        <v>1.00109</v>
      </c>
      <c r="X109" s="27"/>
      <c r="Y109" s="23"/>
      <c r="Z109" s="23"/>
      <c r="AA109" s="23">
        <v>0</v>
      </c>
      <c r="AB109" s="23" t="str">
        <f t="shared" si="54"/>
        <v/>
      </c>
      <c r="AC109" s="23" t="str">
        <f t="shared" si="54"/>
        <v/>
      </c>
      <c r="AD109" s="23" t="str">
        <f t="shared" si="54"/>
        <v/>
      </c>
      <c r="AE109" s="23" t="str">
        <f t="shared" si="54"/>
        <v/>
      </c>
      <c r="AF109" s="23" t="str">
        <f t="shared" si="54"/>
        <v/>
      </c>
      <c r="AG109" s="23">
        <f t="shared" si="54"/>
        <v>0</v>
      </c>
      <c r="AH109" s="23">
        <f t="shared" si="40"/>
        <v>0</v>
      </c>
      <c r="AI109" s="23">
        <f t="shared" si="41"/>
        <v>0</v>
      </c>
      <c r="AJ109" s="70">
        <v>1</v>
      </c>
      <c r="AK109" s="225">
        <v>2327.0337</v>
      </c>
      <c r="AL109" s="33">
        <v>1</v>
      </c>
      <c r="AM109" s="204">
        <v>2327.0337</v>
      </c>
      <c r="AN109" s="196"/>
      <c r="AO109" s="23"/>
      <c r="AP109" s="23"/>
      <c r="AQ109" s="23"/>
      <c r="AR109" s="23"/>
      <c r="AS109" s="23"/>
      <c r="AT109" s="23"/>
      <c r="AU109" s="23"/>
      <c r="AV109" s="23"/>
      <c r="AW109" s="23"/>
      <c r="AX109" s="23"/>
      <c r="AY109" s="23"/>
      <c r="AZ109" s="196"/>
      <c r="BA109" s="70">
        <f>IF(VLOOKUP($D109,$AO$14:AQ$19,COLUMN()-50,0)&lt;=0,1,IF($Q109&lt;0,1,ROUNDUP(IF($Q109*('Draft Center'!$L$28+'Draft Center'!$L$78-'Draft Center'!$L$82)&lt;1,1,$Q109*('Draft Center'!$L$28+'Draft Center'!$L$78-'Draft Center'!$L$82)),0)))</f>
        <v>1</v>
      </c>
      <c r="BB109" s="70">
        <f>IF(VLOOKUP($D109,$AO$14:AR$19,COLUMN()-50,0)&lt;=0,1,IF($Q109&lt;0,1,ROUNDUP(IF($Q109*('Draft Center'!$L$28+'Draft Center'!$L$78-'Draft Center'!$L$82)&lt;1,1,$Q109*('Draft Center'!$L$28+'Draft Center'!$L$78-'Draft Center'!$L$82)),0)))</f>
        <v>1</v>
      </c>
      <c r="BC109" s="70">
        <f>IF(VLOOKUP($D109,$AO$14:AS$19,COLUMN()-50,0)&lt;=0,1,IF($Q109&lt;0,1,ROUNDUP(IF($Q109*('Draft Center'!$L$28+'Draft Center'!$L$78-'Draft Center'!$L$82)&lt;1,1,$Q109*('Draft Center'!$L$28+'Draft Center'!$L$78-'Draft Center'!$L$82)),0)))</f>
        <v>1</v>
      </c>
      <c r="BD109" s="70">
        <f>IF(VLOOKUP($D109,$AO$14:AT$19,COLUMN()-50,0)&lt;=0,1,IF($Q109&lt;0,1,ROUNDUP(IF($Q109*('Draft Center'!$L$28+'Draft Center'!$L$78-'Draft Center'!$L$82)&lt;1,1,$Q109*('Draft Center'!$L$28+'Draft Center'!$L$78-'Draft Center'!$L$82)),0)))</f>
        <v>1</v>
      </c>
      <c r="BE109" s="70">
        <f>IF(VLOOKUP($D109,$AO$14:AU$19,COLUMN()-50,0)&lt;=0,1,IF($Q109&lt;0,1,ROUNDUP(IF($Q109*('Draft Center'!$L$28+'Draft Center'!$L$78-'Draft Center'!$L$82)&lt;1,1,$Q109*('Draft Center'!$L$28+'Draft Center'!$L$78-'Draft Center'!$L$82)),0)))</f>
        <v>1</v>
      </c>
      <c r="BF109" s="70">
        <f>IF(VLOOKUP($D109,$AO$14:AV$19,COLUMN()-50,0)&lt;=0,1,IF($Q109&lt;0,1,ROUNDUP(IF($Q109*('Draft Center'!$L$28+'Draft Center'!$L$78-'Draft Center'!$L$82)&lt;1,1,$Q109*('Draft Center'!$L$28+'Draft Center'!$L$78-'Draft Center'!$L$82)),0)))</f>
        <v>1</v>
      </c>
      <c r="BG109" s="70">
        <f>IF(VLOOKUP($D109,$AO$14:AW$19,COLUMN()-50,0)&lt;=0,1,IF($Q109&lt;0,1,ROUNDUP(IF($Q109*('Draft Center'!$L$28+'Draft Center'!$L$78-'Draft Center'!$L$82)&lt;1,1,$Q109*('Draft Center'!$L$28+'Draft Center'!$L$78-'Draft Center'!$L$82)),0)))</f>
        <v>1</v>
      </c>
      <c r="BH109" s="70">
        <f>IF(VLOOKUP($D109,$AO$14:AX$19,COLUMN()-50,0)&lt;=0,1,IF($Q109&lt;0,1,ROUNDUP(IF($Q109*('Draft Center'!$L$28+'Draft Center'!$L$78-'Draft Center'!$L$82)&lt;1,1,$Q109*('Draft Center'!$L$28+'Draft Center'!$L$78-'Draft Center'!$L$82)),0)))</f>
        <v>1</v>
      </c>
      <c r="BI109" s="70">
        <f>IF(VLOOKUP($D109,$AO$14:AY$19,COLUMN()-50,0)&lt;=0,1,IF($Q109&lt;0,1,ROUNDUP(IF($Q109*('Draft Center'!$L$28+'Draft Center'!$L$78-'Draft Center'!$L$82)&lt;1,1,$Q109*('Draft Center'!$L$28+'Draft Center'!$L$78-'Draft Center'!$L$82)),0)))</f>
        <v>1</v>
      </c>
      <c r="BJ109" s="196"/>
      <c r="BK109" s="23">
        <v>0</v>
      </c>
      <c r="BL109" s="23" t="str">
        <f t="shared" si="55"/>
        <v/>
      </c>
      <c r="BM109" s="23">
        <v>0</v>
      </c>
      <c r="BN109" s="23" t="str">
        <f t="shared" si="55"/>
        <v/>
      </c>
      <c r="BO109" s="23" t="str">
        <f t="shared" si="55"/>
        <v/>
      </c>
      <c r="BP109" s="23" t="str">
        <f t="shared" si="55"/>
        <v/>
      </c>
      <c r="BQ109" s="23">
        <f t="shared" si="55"/>
        <v>0</v>
      </c>
      <c r="BR109" s="23">
        <f t="shared" si="42"/>
        <v>0</v>
      </c>
      <c r="BS109" s="23">
        <f t="shared" si="43"/>
        <v>0</v>
      </c>
      <c r="BT109" s="70">
        <v>1</v>
      </c>
      <c r="BU109" s="58">
        <v>2327.0337</v>
      </c>
      <c r="BV109" s="33">
        <v>1</v>
      </c>
      <c r="BW109" s="204">
        <v>2327.0337</v>
      </c>
      <c r="BX109" s="23"/>
      <c r="BY109" s="70">
        <v>1</v>
      </c>
      <c r="BZ109" s="70">
        <v>0</v>
      </c>
      <c r="CA109" s="70">
        <v>0</v>
      </c>
      <c r="CB109" s="70">
        <v>0</v>
      </c>
      <c r="CC109" s="70">
        <f t="shared" si="46"/>
        <v>0</v>
      </c>
      <c r="CD109" s="70">
        <f t="shared" si="47"/>
        <v>0</v>
      </c>
    </row>
    <row r="110" spans="1:82" ht="15.75" customHeight="1" thickBot="1" x14ac:dyDescent="0.3">
      <c r="A110" s="9">
        <v>109</v>
      </c>
      <c r="B110" s="10" t="s">
        <v>390</v>
      </c>
      <c r="C110" s="10" t="s">
        <v>52</v>
      </c>
      <c r="D110" s="10" t="s">
        <v>43</v>
      </c>
      <c r="E110" s="51">
        <v>-3.6239915835354899</v>
      </c>
      <c r="F110" s="51">
        <v>149.836927768674</v>
      </c>
      <c r="G110" s="51">
        <v>169.82685188121599</v>
      </c>
      <c r="H110" s="51">
        <v>101.319168925539</v>
      </c>
      <c r="I110" s="11">
        <v>1.4</v>
      </c>
      <c r="J110" s="51">
        <v>4.62008525154579</v>
      </c>
      <c r="K110" s="249">
        <f>IFERROR(VLOOKUP(C110,Schedule!$T$3:$U$34,2,0),"FA")</f>
        <v>11</v>
      </c>
      <c r="L110" s="10" t="str">
        <f>D110&amp;COUNTIF(D$2:$D110,D110)</f>
        <v>TE13</v>
      </c>
      <c r="M110" s="51">
        <f t="array" ref="M110">IFERROR(F110-AVERAGE(VLOOKUP(D110,$D111:$F$885,3,0),INDEX($F111:$F$885,SMALL(IF(D110=$D111:$D$885,ROW($D111:$D$885)-ROW(D110)),2))),0)</f>
        <v>9.8502702089350009</v>
      </c>
      <c r="N110" s="51">
        <f>IFERROR(IF(VLOOKUP($B110,Input!$AC$2:$AC$162,1,0)=$B110,0),F110)</f>
        <v>149.836927768674</v>
      </c>
      <c r="O110" s="51">
        <f>IFERROR(IF(VLOOKUP($B110,Input!$AC$2:$AC$162,1,0)=$B110,0,G110),G110)</f>
        <v>169.82685188121599</v>
      </c>
      <c r="P110" s="51">
        <f>IF(N110=0,0,F110-AVERAGE(INDEX(F:F,MATCH(VLOOKUP(D110,Input!$A$14:$L$22,10,0),L:L,0)),INDEX(F:F,MATCH(VLOOKUP(D110,Input!$A$14:$L$22,11,0),L:L,0)),INDEX(F:F,MATCH(VLOOKUP(D110,Input!$A$14:$L$22,12,0),L:L,0)))+(0.01-ROW()*0.01))</f>
        <v>-4.7139915835353143</v>
      </c>
      <c r="Q110" s="107">
        <f t="shared" si="38"/>
        <v>-1.6262938199193939E-3</v>
      </c>
      <c r="R110" s="11">
        <f>IF(VLOOKUP($D110,$X$14:$Y$19,2,0)&lt;=0,1,IF(Q110&lt;0,1,ROUNDUP(IF(Q110*('Draft Center'!$L$28+'Draft Center'!$L$78-'Draft Center'!$L$82)&lt;1,1,Q110*('Draft Center'!$L$28+'Draft Center'!$L$78-'Draft Center'!$L$82)),0)))</f>
        <v>1</v>
      </c>
      <c r="S110" s="11">
        <f>IF(A110&lt;Input!$B$10+0.1,IF(ROUNDUP(R110*Input!$C$10,0)=0,1,ROUNDUP(R110*Input!$C$10,0)),IF(A110&gt;Input!$B$11,IF(ROUNDUP(R110*Input!$C$11,0)=0,1,ROUNDUP(R110*Input!$C$11,0)),IF(ROUNDUP(R110,0)=0,1,ROUNDUP(R110,0))))</f>
        <v>1</v>
      </c>
      <c r="T110" s="11">
        <f t="shared" si="39"/>
        <v>1</v>
      </c>
      <c r="U110" s="11">
        <f>IFERROR(VLOOKUP($B110,Input!$AC$2:$AE$161,3,0),0)</f>
        <v>0</v>
      </c>
      <c r="V110" s="257">
        <f t="shared" si="44"/>
        <v>-0.28461428571428565</v>
      </c>
      <c r="W110" s="264">
        <f t="shared" si="45"/>
        <v>-0.39889999999999992</v>
      </c>
      <c r="X110" s="27"/>
      <c r="Y110" s="23"/>
      <c r="Z110" s="23"/>
      <c r="AA110" s="23">
        <v>0</v>
      </c>
      <c r="AB110" s="23" t="str">
        <f t="shared" si="54"/>
        <v/>
      </c>
      <c r="AC110" s="23" t="str">
        <f t="shared" si="54"/>
        <v/>
      </c>
      <c r="AD110" s="23" t="str">
        <f t="shared" si="54"/>
        <v/>
      </c>
      <c r="AE110" s="23">
        <f t="shared" si="54"/>
        <v>0</v>
      </c>
      <c r="AF110" s="23" t="str">
        <f t="shared" si="54"/>
        <v/>
      </c>
      <c r="AG110" s="23" t="str">
        <f t="shared" si="54"/>
        <v/>
      </c>
      <c r="AH110" s="23">
        <f t="shared" si="40"/>
        <v>0</v>
      </c>
      <c r="AI110" s="23">
        <f t="shared" si="41"/>
        <v>0</v>
      </c>
      <c r="AJ110" s="69">
        <v>1</v>
      </c>
      <c r="AK110" s="225">
        <v>2327.0337</v>
      </c>
      <c r="AL110" s="33">
        <v>1</v>
      </c>
      <c r="AM110" s="204">
        <v>2327.0337</v>
      </c>
      <c r="AN110" s="196"/>
      <c r="AO110" s="23"/>
      <c r="AP110" s="23"/>
      <c r="AQ110" s="23"/>
      <c r="AR110" s="23"/>
      <c r="AS110" s="23"/>
      <c r="AT110" s="23"/>
      <c r="AU110" s="23"/>
      <c r="AV110" s="23"/>
      <c r="AW110" s="23"/>
      <c r="AX110" s="23"/>
      <c r="AY110" s="23"/>
      <c r="AZ110" s="196"/>
      <c r="BA110" s="69">
        <f>IF(VLOOKUP($D110,$AO$14:AQ$19,COLUMN()-50,0)&lt;=0,1,IF($Q110&lt;0,1,ROUNDUP(IF($Q110*('Draft Center'!$L$28+'Draft Center'!$L$78-'Draft Center'!$L$82)&lt;1,1,$Q110*('Draft Center'!$L$28+'Draft Center'!$L$78-'Draft Center'!$L$82)),0)))</f>
        <v>1</v>
      </c>
      <c r="BB110" s="69">
        <f>IF(VLOOKUP($D110,$AO$14:AR$19,COLUMN()-50,0)&lt;=0,1,IF($Q110&lt;0,1,ROUNDUP(IF($Q110*('Draft Center'!$L$28+'Draft Center'!$L$78-'Draft Center'!$L$82)&lt;1,1,$Q110*('Draft Center'!$L$28+'Draft Center'!$L$78-'Draft Center'!$L$82)),0)))</f>
        <v>1</v>
      </c>
      <c r="BC110" s="69">
        <f>IF(VLOOKUP($D110,$AO$14:AS$19,COLUMN()-50,0)&lt;=0,1,IF($Q110&lt;0,1,ROUNDUP(IF($Q110*('Draft Center'!$L$28+'Draft Center'!$L$78-'Draft Center'!$L$82)&lt;1,1,$Q110*('Draft Center'!$L$28+'Draft Center'!$L$78-'Draft Center'!$L$82)),0)))</f>
        <v>1</v>
      </c>
      <c r="BD110" s="69">
        <f>IF(VLOOKUP($D110,$AO$14:AT$19,COLUMN()-50,0)&lt;=0,1,IF($Q110&lt;0,1,ROUNDUP(IF($Q110*('Draft Center'!$L$28+'Draft Center'!$L$78-'Draft Center'!$L$82)&lt;1,1,$Q110*('Draft Center'!$L$28+'Draft Center'!$L$78-'Draft Center'!$L$82)),0)))</f>
        <v>1</v>
      </c>
      <c r="BE110" s="69">
        <f>IF(VLOOKUP($D110,$AO$14:AU$19,COLUMN()-50,0)&lt;=0,1,IF($Q110&lt;0,1,ROUNDUP(IF($Q110*('Draft Center'!$L$28+'Draft Center'!$L$78-'Draft Center'!$L$82)&lt;1,1,$Q110*('Draft Center'!$L$28+'Draft Center'!$L$78-'Draft Center'!$L$82)),0)))</f>
        <v>1</v>
      </c>
      <c r="BF110" s="69">
        <f>IF(VLOOKUP($D110,$AO$14:AV$19,COLUMN()-50,0)&lt;=0,1,IF($Q110&lt;0,1,ROUNDUP(IF($Q110*('Draft Center'!$L$28+'Draft Center'!$L$78-'Draft Center'!$L$82)&lt;1,1,$Q110*('Draft Center'!$L$28+'Draft Center'!$L$78-'Draft Center'!$L$82)),0)))</f>
        <v>1</v>
      </c>
      <c r="BG110" s="69">
        <f>IF(VLOOKUP($D110,$AO$14:AW$19,COLUMN()-50,0)&lt;=0,1,IF($Q110&lt;0,1,ROUNDUP(IF($Q110*('Draft Center'!$L$28+'Draft Center'!$L$78-'Draft Center'!$L$82)&lt;1,1,$Q110*('Draft Center'!$L$28+'Draft Center'!$L$78-'Draft Center'!$L$82)),0)))</f>
        <v>1</v>
      </c>
      <c r="BH110" s="69">
        <f>IF(VLOOKUP($D110,$AO$14:AX$19,COLUMN()-50,0)&lt;=0,1,IF($Q110&lt;0,1,ROUNDUP(IF($Q110*('Draft Center'!$L$28+'Draft Center'!$L$78-'Draft Center'!$L$82)&lt;1,1,$Q110*('Draft Center'!$L$28+'Draft Center'!$L$78-'Draft Center'!$L$82)),0)))</f>
        <v>1</v>
      </c>
      <c r="BI110" s="69">
        <f>IF(VLOOKUP($D110,$AO$14:AY$19,COLUMN()-50,0)&lt;=0,1,IF($Q110&lt;0,1,ROUNDUP(IF($Q110*('Draft Center'!$L$28+'Draft Center'!$L$78-'Draft Center'!$L$82)&lt;1,1,$Q110*('Draft Center'!$L$28+'Draft Center'!$L$78-'Draft Center'!$L$82)),0)))</f>
        <v>1</v>
      </c>
      <c r="BJ110" s="196"/>
      <c r="BK110" s="23">
        <v>0</v>
      </c>
      <c r="BL110" s="23" t="str">
        <f t="shared" si="55"/>
        <v/>
      </c>
      <c r="BM110" s="23">
        <v>0</v>
      </c>
      <c r="BN110" s="23" t="str">
        <f t="shared" si="55"/>
        <v/>
      </c>
      <c r="BO110" s="23">
        <f t="shared" si="55"/>
        <v>0</v>
      </c>
      <c r="BP110" s="23" t="str">
        <f t="shared" si="55"/>
        <v/>
      </c>
      <c r="BQ110" s="23" t="str">
        <f t="shared" si="55"/>
        <v/>
      </c>
      <c r="BR110" s="23">
        <f t="shared" si="42"/>
        <v>0</v>
      </c>
      <c r="BS110" s="23">
        <f t="shared" si="43"/>
        <v>0</v>
      </c>
      <c r="BT110" s="69">
        <v>1</v>
      </c>
      <c r="BU110" s="58">
        <v>2327.0337</v>
      </c>
      <c r="BV110" s="33">
        <v>1</v>
      </c>
      <c r="BW110" s="204">
        <v>2327.0337</v>
      </c>
      <c r="BX110" s="23"/>
      <c r="BY110" s="69">
        <v>1</v>
      </c>
      <c r="BZ110" s="69">
        <v>1.4</v>
      </c>
      <c r="CA110" s="69">
        <v>1.4</v>
      </c>
      <c r="CB110" s="69">
        <v>1.4</v>
      </c>
      <c r="CC110" s="69">
        <f t="shared" si="46"/>
        <v>1.3999999999999997</v>
      </c>
      <c r="CD110" s="69">
        <f t="shared" si="47"/>
        <v>1.4</v>
      </c>
    </row>
    <row r="111" spans="1:82" ht="15.75" customHeight="1" thickBot="1" x14ac:dyDescent="0.3">
      <c r="A111" s="6">
        <v>110</v>
      </c>
      <c r="B111" s="7" t="s">
        <v>361</v>
      </c>
      <c r="C111" s="7" t="s">
        <v>85</v>
      </c>
      <c r="D111" s="7" t="s">
        <v>17</v>
      </c>
      <c r="E111" s="50">
        <v>-4.8339319344750598</v>
      </c>
      <c r="F111" s="50">
        <v>207.94398433487399</v>
      </c>
      <c r="G111" s="50">
        <v>220.975383478965</v>
      </c>
      <c r="H111" s="50">
        <v>186.43662057877799</v>
      </c>
      <c r="I111" s="8">
        <v>6.3</v>
      </c>
      <c r="J111" s="50">
        <v>4.1633254014631103</v>
      </c>
      <c r="K111" s="248">
        <f>IFERROR(VLOOKUP(C111,Schedule!$T$3:$U$34,2,0),"FA")</f>
        <v>11</v>
      </c>
      <c r="L111" s="7" t="str">
        <f>D111&amp;COUNTIF(D$2:$D111,D111)</f>
        <v>WR29</v>
      </c>
      <c r="M111" s="50">
        <f t="array" ref="M111">IFERROR(F111-AVERAGE(VLOOKUP(D111,$D112:$F$885,3,0),INDEX($F112:$F$885,SMALL(IF(D111=$D112:$D$885,ROW($D112:$D$885)-ROW(D111)),2))),0)</f>
        <v>4.137115082895491</v>
      </c>
      <c r="N111" s="50">
        <f>IFERROR(IF(VLOOKUP($B111,Input!$AC$2:$AC$162,1,0)=$B111,0),F111)</f>
        <v>207.94398433487399</v>
      </c>
      <c r="O111" s="50">
        <f>IFERROR(IF(VLOOKUP($B111,Input!$AC$2:$AC$162,1,0)=$B111,0,G111),G111)</f>
        <v>220.975383478965</v>
      </c>
      <c r="P111" s="50">
        <f>IF(N111=0,0,F111-AVERAGE(INDEX(F:F,MATCH(VLOOKUP(D111,Input!$A$14:$L$22,10,0),L:L,0)),INDEX(F:F,MATCH(VLOOKUP(D111,Input!$A$14:$L$22,11,0),L:L,0)),INDEX(F:F,MATCH(VLOOKUP(D111,Input!$A$14:$L$22,12,0),L:L,0)))+(0.01-ROW()*0.01))</f>
        <v>-5.9339319344750319</v>
      </c>
      <c r="Q111" s="106">
        <f t="shared" si="38"/>
        <v>-2.0471646293483002E-3</v>
      </c>
      <c r="R111" s="8">
        <f>IF(VLOOKUP($D111,$X$14:$Y$19,2,0)&lt;=0,1,IF(Q111&lt;0,1,ROUNDUP(IF(Q111*('Draft Center'!$L$28+'Draft Center'!$L$78-'Draft Center'!$L$82)&lt;1,1,Q111*('Draft Center'!$L$28+'Draft Center'!$L$78-'Draft Center'!$L$82)),0)))</f>
        <v>1</v>
      </c>
      <c r="S111" s="8">
        <f>IF(A111&lt;Input!$B$10+0.1,IF(ROUNDUP(R111*Input!$C$10,0)=0,1,ROUNDUP(R111*Input!$C$10,0)),IF(A111&gt;Input!$B$11,IF(ROUNDUP(R111*Input!$C$11,0)=0,1,ROUNDUP(R111*Input!$C$11,0)),IF(ROUNDUP(R111,0)=0,1,ROUNDUP(R111,0))))</f>
        <v>1</v>
      </c>
      <c r="T111" s="8">
        <f t="shared" si="39"/>
        <v>1</v>
      </c>
      <c r="U111" s="8">
        <f>IFERROR(VLOOKUP($B111,Input!$AC$2:$AE$161,3,0),0)</f>
        <v>0</v>
      </c>
      <c r="V111" s="256">
        <f t="shared" si="44"/>
        <v>-0.84015984126984122</v>
      </c>
      <c r="W111" s="263">
        <f t="shared" si="45"/>
        <v>-5.2988900000000001</v>
      </c>
      <c r="X111" s="27"/>
      <c r="Y111" s="23"/>
      <c r="Z111" s="23"/>
      <c r="AA111" s="23">
        <v>0</v>
      </c>
      <c r="AB111" s="23" t="str">
        <f t="shared" si="54"/>
        <v/>
      </c>
      <c r="AC111" s="23" t="str">
        <f t="shared" si="54"/>
        <v/>
      </c>
      <c r="AD111" s="23">
        <f t="shared" si="54"/>
        <v>0</v>
      </c>
      <c r="AE111" s="23" t="str">
        <f t="shared" si="54"/>
        <v/>
      </c>
      <c r="AF111" s="23" t="str">
        <f t="shared" si="54"/>
        <v/>
      </c>
      <c r="AG111" s="23" t="str">
        <f t="shared" si="54"/>
        <v/>
      </c>
      <c r="AH111" s="23">
        <f t="shared" si="40"/>
        <v>0</v>
      </c>
      <c r="AI111" s="23">
        <f t="shared" si="41"/>
        <v>0</v>
      </c>
      <c r="AJ111" s="70">
        <v>1</v>
      </c>
      <c r="AK111" s="225">
        <v>2327.0337</v>
      </c>
      <c r="AL111" s="33">
        <v>1</v>
      </c>
      <c r="AM111" s="204">
        <v>2327.0337</v>
      </c>
      <c r="AN111" s="196"/>
      <c r="AO111" s="23"/>
      <c r="AP111" s="23"/>
      <c r="AQ111" s="23"/>
      <c r="AR111" s="23"/>
      <c r="AS111" s="23"/>
      <c r="AT111" s="23"/>
      <c r="AU111" s="23"/>
      <c r="AV111" s="23"/>
      <c r="AW111" s="23"/>
      <c r="AX111" s="23"/>
      <c r="AY111" s="23"/>
      <c r="AZ111" s="196"/>
      <c r="BA111" s="70">
        <f>IF(VLOOKUP($D111,$AO$14:AQ$19,COLUMN()-50,0)&lt;=0,1,IF($Q111&lt;0,1,ROUNDUP(IF($Q111*('Draft Center'!$L$28+'Draft Center'!$L$78-'Draft Center'!$L$82)&lt;1,1,$Q111*('Draft Center'!$L$28+'Draft Center'!$L$78-'Draft Center'!$L$82)),0)))</f>
        <v>1</v>
      </c>
      <c r="BB111" s="70">
        <f>IF(VLOOKUP($D111,$AO$14:AR$19,COLUMN()-50,0)&lt;=0,1,IF($Q111&lt;0,1,ROUNDUP(IF($Q111*('Draft Center'!$L$28+'Draft Center'!$L$78-'Draft Center'!$L$82)&lt;1,1,$Q111*('Draft Center'!$L$28+'Draft Center'!$L$78-'Draft Center'!$L$82)),0)))</f>
        <v>1</v>
      </c>
      <c r="BC111" s="70">
        <f>IF(VLOOKUP($D111,$AO$14:AS$19,COLUMN()-50,0)&lt;=0,1,IF($Q111&lt;0,1,ROUNDUP(IF($Q111*('Draft Center'!$L$28+'Draft Center'!$L$78-'Draft Center'!$L$82)&lt;1,1,$Q111*('Draft Center'!$L$28+'Draft Center'!$L$78-'Draft Center'!$L$82)),0)))</f>
        <v>1</v>
      </c>
      <c r="BD111" s="70">
        <f>IF(VLOOKUP($D111,$AO$14:AT$19,COLUMN()-50,0)&lt;=0,1,IF($Q111&lt;0,1,ROUNDUP(IF($Q111*('Draft Center'!$L$28+'Draft Center'!$L$78-'Draft Center'!$L$82)&lt;1,1,$Q111*('Draft Center'!$L$28+'Draft Center'!$L$78-'Draft Center'!$L$82)),0)))</f>
        <v>1</v>
      </c>
      <c r="BE111" s="70">
        <f>IF(VLOOKUP($D111,$AO$14:AU$19,COLUMN()-50,0)&lt;=0,1,IF($Q111&lt;0,1,ROUNDUP(IF($Q111*('Draft Center'!$L$28+'Draft Center'!$L$78-'Draft Center'!$L$82)&lt;1,1,$Q111*('Draft Center'!$L$28+'Draft Center'!$L$78-'Draft Center'!$L$82)),0)))</f>
        <v>1</v>
      </c>
      <c r="BF111" s="70">
        <f>IF(VLOOKUP($D111,$AO$14:AV$19,COLUMN()-50,0)&lt;=0,1,IF($Q111&lt;0,1,ROUNDUP(IF($Q111*('Draft Center'!$L$28+'Draft Center'!$L$78-'Draft Center'!$L$82)&lt;1,1,$Q111*('Draft Center'!$L$28+'Draft Center'!$L$78-'Draft Center'!$L$82)),0)))</f>
        <v>1</v>
      </c>
      <c r="BG111" s="70">
        <f>IF(VLOOKUP($D111,$AO$14:AW$19,COLUMN()-50,0)&lt;=0,1,IF($Q111&lt;0,1,ROUNDUP(IF($Q111*('Draft Center'!$L$28+'Draft Center'!$L$78-'Draft Center'!$L$82)&lt;1,1,$Q111*('Draft Center'!$L$28+'Draft Center'!$L$78-'Draft Center'!$L$82)),0)))</f>
        <v>1</v>
      </c>
      <c r="BH111" s="70">
        <f>IF(VLOOKUP($D111,$AO$14:AX$19,COLUMN()-50,0)&lt;=0,1,IF($Q111&lt;0,1,ROUNDUP(IF($Q111*('Draft Center'!$L$28+'Draft Center'!$L$78-'Draft Center'!$L$82)&lt;1,1,$Q111*('Draft Center'!$L$28+'Draft Center'!$L$78-'Draft Center'!$L$82)),0)))</f>
        <v>1</v>
      </c>
      <c r="BI111" s="70">
        <f>IF(VLOOKUP($D111,$AO$14:AY$19,COLUMN()-50,0)&lt;=0,1,IF($Q111&lt;0,1,ROUNDUP(IF($Q111*('Draft Center'!$L$28+'Draft Center'!$L$78-'Draft Center'!$L$82)&lt;1,1,$Q111*('Draft Center'!$L$28+'Draft Center'!$L$78-'Draft Center'!$L$82)),0)))</f>
        <v>1</v>
      </c>
      <c r="BJ111" s="196"/>
      <c r="BK111" s="23">
        <v>0</v>
      </c>
      <c r="BL111" s="23" t="str">
        <f t="shared" si="55"/>
        <v/>
      </c>
      <c r="BM111" s="23">
        <v>0</v>
      </c>
      <c r="BN111" s="23">
        <f t="shared" si="55"/>
        <v>0</v>
      </c>
      <c r="BO111" s="23" t="str">
        <f t="shared" si="55"/>
        <v/>
      </c>
      <c r="BP111" s="23" t="str">
        <f t="shared" si="55"/>
        <v/>
      </c>
      <c r="BQ111" s="23" t="str">
        <f t="shared" si="55"/>
        <v/>
      </c>
      <c r="BR111" s="23">
        <f t="shared" si="42"/>
        <v>0</v>
      </c>
      <c r="BS111" s="23">
        <f t="shared" si="43"/>
        <v>0</v>
      </c>
      <c r="BT111" s="70">
        <v>1</v>
      </c>
      <c r="BU111" s="58">
        <v>2327.0337</v>
      </c>
      <c r="BV111" s="33">
        <v>1</v>
      </c>
      <c r="BW111" s="204">
        <v>2327.0337</v>
      </c>
      <c r="BX111" s="23"/>
      <c r="BY111" s="70">
        <v>1</v>
      </c>
      <c r="BZ111" s="70">
        <v>6.3</v>
      </c>
      <c r="CA111" s="70">
        <v>6.3</v>
      </c>
      <c r="CB111" s="70">
        <v>6.3</v>
      </c>
      <c r="CC111" s="70">
        <f t="shared" si="46"/>
        <v>6.3</v>
      </c>
      <c r="CD111" s="70">
        <f t="shared" si="47"/>
        <v>6.3</v>
      </c>
    </row>
    <row r="112" spans="1:82" ht="15.75" customHeight="1" thickBot="1" x14ac:dyDescent="0.3">
      <c r="A112" s="9">
        <v>111</v>
      </c>
      <c r="B112" s="10" t="s">
        <v>930</v>
      </c>
      <c r="C112" s="10" t="s">
        <v>33</v>
      </c>
      <c r="D112" s="10" t="s">
        <v>19</v>
      </c>
      <c r="E112" s="51">
        <v>-4.8600305490321896</v>
      </c>
      <c r="F112" s="51">
        <v>164.24236747692001</v>
      </c>
      <c r="G112" s="51">
        <v>192.09635072551299</v>
      </c>
      <c r="H112" s="51">
        <v>82.502916398713793</v>
      </c>
      <c r="I112" s="11">
        <v>10.6</v>
      </c>
      <c r="J112" s="51">
        <v>6.5243960387754996</v>
      </c>
      <c r="K112" s="249">
        <f>IFERROR(VLOOKUP(C112,Schedule!$T$3:$U$34,2,0),"FA")</f>
        <v>9</v>
      </c>
      <c r="L112" s="10" t="str">
        <f>D112&amp;COUNTIF(D$2:$D112,D112)</f>
        <v>RB29</v>
      </c>
      <c r="M112" s="51">
        <f t="array" ref="M112">IFERROR(F112-AVERAGE(VLOOKUP(D112,$D113:$F$885,3,0),INDEX($F113:$F$885,SMALL(IF(D112=$D113:$D$885,ROW($D113:$D$885)-ROW(D112)),2))),0)</f>
        <v>2.638420124856026</v>
      </c>
      <c r="N112" s="51">
        <f>IFERROR(IF(VLOOKUP($B112,Input!$AC$2:$AC$162,1,0)=$B112,0),F112)</f>
        <v>164.24236747692001</v>
      </c>
      <c r="O112" s="51">
        <f>IFERROR(IF(VLOOKUP($B112,Input!$AC$2:$AC$162,1,0)=$B112,0,G112),G112)</f>
        <v>192.09635072551299</v>
      </c>
      <c r="P112" s="51">
        <f>IF(N112=0,0,F112-AVERAGE(INDEX(F:F,MATCH(VLOOKUP(D112,Input!$A$14:$L$22,10,0),L:L,0)),INDEX(F:F,MATCH(VLOOKUP(D112,Input!$A$14:$L$22,11,0),L:L,0)),INDEX(F:F,MATCH(VLOOKUP(D112,Input!$A$14:$L$22,12,0),L:L,0)))+(0.01-ROW()*0.01))</f>
        <v>-5.97003054903199</v>
      </c>
      <c r="Q112" s="107">
        <f t="shared" si="38"/>
        <v>-2.0596183965477751E-3</v>
      </c>
      <c r="R112" s="11">
        <f>IF(VLOOKUP($D112,$X$14:$Y$19,2,0)&lt;=0,1,IF(Q112&lt;0,1,ROUNDUP(IF(Q112*('Draft Center'!$L$28+'Draft Center'!$L$78-'Draft Center'!$L$82)&lt;1,1,Q112*('Draft Center'!$L$28+'Draft Center'!$L$78-'Draft Center'!$L$82)),0)))</f>
        <v>1</v>
      </c>
      <c r="S112" s="11">
        <f>IF(A112&lt;Input!$B$10+0.1,IF(ROUNDUP(R112*Input!$C$10,0)=0,1,ROUNDUP(R112*Input!$C$10,0)),IF(A112&gt;Input!$B$11,IF(ROUNDUP(R112*Input!$C$11,0)=0,1,ROUNDUP(R112*Input!$C$11,0)),IF(ROUNDUP(R112,0)=0,1,ROUNDUP(R112,0))))</f>
        <v>1</v>
      </c>
      <c r="T112" s="11">
        <f t="shared" si="39"/>
        <v>1</v>
      </c>
      <c r="U112" s="11">
        <f>IFERROR(VLOOKUP($B112,Input!$AC$2:$AE$161,3,0),0)</f>
        <v>0</v>
      </c>
      <c r="V112" s="257">
        <f t="shared" si="44"/>
        <v>-0.90454037735849058</v>
      </c>
      <c r="W112" s="264">
        <f t="shared" si="45"/>
        <v>-9.5988799999999994</v>
      </c>
      <c r="X112" s="27"/>
      <c r="Y112" s="23"/>
      <c r="Z112" s="23"/>
      <c r="AA112" s="23">
        <v>0</v>
      </c>
      <c r="AB112" s="23" t="str">
        <f t="shared" ref="AB112:AG121" si="56">IF($D112=AB$1,1*$AA112,"")</f>
        <v/>
      </c>
      <c r="AC112" s="23">
        <f t="shared" si="56"/>
        <v>0</v>
      </c>
      <c r="AD112" s="23" t="str">
        <f t="shared" si="56"/>
        <v/>
      </c>
      <c r="AE112" s="23" t="str">
        <f t="shared" si="56"/>
        <v/>
      </c>
      <c r="AF112" s="23" t="str">
        <f t="shared" si="56"/>
        <v/>
      </c>
      <c r="AG112" s="23" t="str">
        <f t="shared" si="56"/>
        <v/>
      </c>
      <c r="AH112" s="23">
        <f t="shared" si="40"/>
        <v>0</v>
      </c>
      <c r="AI112" s="23">
        <f t="shared" si="41"/>
        <v>0</v>
      </c>
      <c r="AJ112" s="69">
        <v>1</v>
      </c>
      <c r="AK112" s="225">
        <v>2327.0337</v>
      </c>
      <c r="AL112" s="33">
        <v>1</v>
      </c>
      <c r="AM112" s="204">
        <v>2327.0337</v>
      </c>
      <c r="AN112" s="196"/>
      <c r="AO112" s="23"/>
      <c r="AP112" s="23"/>
      <c r="AQ112" s="23"/>
      <c r="AR112" s="23"/>
      <c r="AS112" s="23"/>
      <c r="AT112" s="23"/>
      <c r="AU112" s="23"/>
      <c r="AV112" s="23"/>
      <c r="AW112" s="23"/>
      <c r="AX112" s="23"/>
      <c r="AY112" s="23"/>
      <c r="AZ112" s="196"/>
      <c r="BA112" s="69">
        <f>IF(VLOOKUP($D112,$AO$14:AQ$19,COLUMN()-50,0)&lt;=0,1,IF($Q112&lt;0,1,ROUNDUP(IF($Q112*('Draft Center'!$L$28+'Draft Center'!$L$78-'Draft Center'!$L$82)&lt;1,1,$Q112*('Draft Center'!$L$28+'Draft Center'!$L$78-'Draft Center'!$L$82)),0)))</f>
        <v>1</v>
      </c>
      <c r="BB112" s="69">
        <f>IF(VLOOKUP($D112,$AO$14:AR$19,COLUMN()-50,0)&lt;=0,1,IF($Q112&lt;0,1,ROUNDUP(IF($Q112*('Draft Center'!$L$28+'Draft Center'!$L$78-'Draft Center'!$L$82)&lt;1,1,$Q112*('Draft Center'!$L$28+'Draft Center'!$L$78-'Draft Center'!$L$82)),0)))</f>
        <v>1</v>
      </c>
      <c r="BC112" s="69">
        <f>IF(VLOOKUP($D112,$AO$14:AS$19,COLUMN()-50,0)&lt;=0,1,IF($Q112&lt;0,1,ROUNDUP(IF($Q112*('Draft Center'!$L$28+'Draft Center'!$L$78-'Draft Center'!$L$82)&lt;1,1,$Q112*('Draft Center'!$L$28+'Draft Center'!$L$78-'Draft Center'!$L$82)),0)))</f>
        <v>1</v>
      </c>
      <c r="BD112" s="69">
        <f>IF(VLOOKUP($D112,$AO$14:AT$19,COLUMN()-50,0)&lt;=0,1,IF($Q112&lt;0,1,ROUNDUP(IF($Q112*('Draft Center'!$L$28+'Draft Center'!$L$78-'Draft Center'!$L$82)&lt;1,1,$Q112*('Draft Center'!$L$28+'Draft Center'!$L$78-'Draft Center'!$L$82)),0)))</f>
        <v>1</v>
      </c>
      <c r="BE112" s="69">
        <f>IF(VLOOKUP($D112,$AO$14:AU$19,COLUMN()-50,0)&lt;=0,1,IF($Q112&lt;0,1,ROUNDUP(IF($Q112*('Draft Center'!$L$28+'Draft Center'!$L$78-'Draft Center'!$L$82)&lt;1,1,$Q112*('Draft Center'!$L$28+'Draft Center'!$L$78-'Draft Center'!$L$82)),0)))</f>
        <v>1</v>
      </c>
      <c r="BF112" s="69">
        <f>IF(VLOOKUP($D112,$AO$14:AV$19,COLUMN()-50,0)&lt;=0,1,IF($Q112&lt;0,1,ROUNDUP(IF($Q112*('Draft Center'!$L$28+'Draft Center'!$L$78-'Draft Center'!$L$82)&lt;1,1,$Q112*('Draft Center'!$L$28+'Draft Center'!$L$78-'Draft Center'!$L$82)),0)))</f>
        <v>1</v>
      </c>
      <c r="BG112" s="69">
        <f>IF(VLOOKUP($D112,$AO$14:AW$19,COLUMN()-50,0)&lt;=0,1,IF($Q112&lt;0,1,ROUNDUP(IF($Q112*('Draft Center'!$L$28+'Draft Center'!$L$78-'Draft Center'!$L$82)&lt;1,1,$Q112*('Draft Center'!$L$28+'Draft Center'!$L$78-'Draft Center'!$L$82)),0)))</f>
        <v>1</v>
      </c>
      <c r="BH112" s="69">
        <f>IF(VLOOKUP($D112,$AO$14:AX$19,COLUMN()-50,0)&lt;=0,1,IF($Q112&lt;0,1,ROUNDUP(IF($Q112*('Draft Center'!$L$28+'Draft Center'!$L$78-'Draft Center'!$L$82)&lt;1,1,$Q112*('Draft Center'!$L$28+'Draft Center'!$L$78-'Draft Center'!$L$82)),0)))</f>
        <v>1</v>
      </c>
      <c r="BI112" s="69">
        <f>IF(VLOOKUP($D112,$AO$14:AY$19,COLUMN()-50,0)&lt;=0,1,IF($Q112&lt;0,1,ROUNDUP(IF($Q112*('Draft Center'!$L$28+'Draft Center'!$L$78-'Draft Center'!$L$82)&lt;1,1,$Q112*('Draft Center'!$L$28+'Draft Center'!$L$78-'Draft Center'!$L$82)),0)))</f>
        <v>1</v>
      </c>
      <c r="BJ112" s="196"/>
      <c r="BK112" s="23">
        <v>0</v>
      </c>
      <c r="BL112" s="23" t="str">
        <f t="shared" ref="BL112:BQ121" si="57">IF($D112=BL$1,1*$BK112,"")</f>
        <v/>
      </c>
      <c r="BM112" s="23">
        <v>0</v>
      </c>
      <c r="BN112" s="23" t="str">
        <f t="shared" si="57"/>
        <v/>
      </c>
      <c r="BO112" s="23" t="str">
        <f t="shared" si="57"/>
        <v/>
      </c>
      <c r="BP112" s="23" t="str">
        <f t="shared" si="57"/>
        <v/>
      </c>
      <c r="BQ112" s="23" t="str">
        <f t="shared" si="57"/>
        <v/>
      </c>
      <c r="BR112" s="23">
        <f t="shared" si="42"/>
        <v>0</v>
      </c>
      <c r="BS112" s="23">
        <f t="shared" si="43"/>
        <v>0</v>
      </c>
      <c r="BT112" s="69">
        <v>1</v>
      </c>
      <c r="BU112" s="58">
        <v>2327.0337</v>
      </c>
      <c r="BV112" s="33">
        <v>1</v>
      </c>
      <c r="BW112" s="204">
        <v>2327.0337</v>
      </c>
      <c r="BX112" s="23"/>
      <c r="BY112" s="69">
        <v>1</v>
      </c>
      <c r="BZ112" s="69">
        <v>10.6</v>
      </c>
      <c r="CA112" s="69">
        <v>10.6</v>
      </c>
      <c r="CB112" s="69">
        <v>10.6</v>
      </c>
      <c r="CC112" s="69">
        <f t="shared" si="46"/>
        <v>10.6</v>
      </c>
      <c r="CD112" s="69">
        <f t="shared" si="47"/>
        <v>10.6</v>
      </c>
    </row>
    <row r="113" spans="1:82" ht="15.75" customHeight="1" thickBot="1" x14ac:dyDescent="0.3">
      <c r="A113" s="6">
        <v>112</v>
      </c>
      <c r="B113" s="7" t="s">
        <v>246</v>
      </c>
      <c r="C113" s="7" t="s">
        <v>47</v>
      </c>
      <c r="D113" s="7" t="s">
        <v>135</v>
      </c>
      <c r="E113" s="50">
        <v>-4.9214272768463996</v>
      </c>
      <c r="F113" s="50">
        <v>103.810131400091</v>
      </c>
      <c r="G113" s="50">
        <v>118.45174418604699</v>
      </c>
      <c r="H113" s="50">
        <v>74.599999999999994</v>
      </c>
      <c r="I113" s="8">
        <v>0</v>
      </c>
      <c r="J113" s="50">
        <v>5.2952692682421603</v>
      </c>
      <c r="K113" s="248">
        <f>IFERROR(VLOOKUP(C113,Schedule!$T$3:$U$34,2,0),"FA")</f>
        <v>10</v>
      </c>
      <c r="L113" s="7" t="str">
        <f>D113&amp;COUNTIF(D$2:$D113,D113)</f>
        <v>DST13</v>
      </c>
      <c r="M113" s="50">
        <f t="array" ref="M113">IFERROR(F113-AVERAGE(VLOOKUP(D113,$D114:$F$885,3,0),INDEX($F114:$F$885,SMALL(IF(D113=$D114:$D$885,ROW($D114:$D$885)-ROW(D113)),2))),0)</f>
        <v>1.0017353874044943</v>
      </c>
      <c r="N113" s="50">
        <f>IFERROR(IF(VLOOKUP($B113,Input!$AC$2:$AC$162,1,0)=$B113,0),F113)</f>
        <v>103.810131400091</v>
      </c>
      <c r="O113" s="50">
        <f>IFERROR(IF(VLOOKUP($B113,Input!$AC$2:$AC$162,1,0)=$B113,0,G113),G113)</f>
        <v>118.45174418604699</v>
      </c>
      <c r="P113" s="50">
        <f>IF(N113=0,0,F113-AVERAGE(INDEX(F:F,MATCH(VLOOKUP(D113,Input!$A$14:$L$22,10,0),L:L,0)),INDEX(F:F,MATCH(VLOOKUP(D113,Input!$A$14:$L$22,11,0),L:L,0)),INDEX(F:F,MATCH(VLOOKUP(D113,Input!$A$14:$L$22,12,0),L:L,0)))+(0.01-ROW()*0.01))</f>
        <v>-4.9982555505210184</v>
      </c>
      <c r="Q113" s="106">
        <f t="shared" si="38"/>
        <v>-1.7243628818899958E-3</v>
      </c>
      <c r="R113" s="8">
        <f>IF(VLOOKUP($D113,$X$14:$Y$19,2,0)&lt;=0,1,IF(Q113&lt;0,1,ROUNDUP(IF(Q113*('Draft Center'!$L$28+'Draft Center'!$L$78-'Draft Center'!$L$82)&lt;1,1,Q113*('Draft Center'!$L$28+'Draft Center'!$L$78-'Draft Center'!$L$82)),0)))</f>
        <v>1</v>
      </c>
      <c r="S113" s="8">
        <f>IF(A113&lt;Input!$B$10+0.1,IF(ROUNDUP(R113*Input!$C$10,0)=0,1,ROUNDUP(R113*Input!$C$10,0)),IF(A113&gt;Input!$B$11,IF(ROUNDUP(R113*Input!$C$11,0)=0,1,ROUNDUP(R113*Input!$C$11,0)),IF(ROUNDUP(R113,0)=0,1,ROUNDUP(R113,0))))</f>
        <v>1</v>
      </c>
      <c r="T113" s="8">
        <f t="shared" si="39"/>
        <v>1</v>
      </c>
      <c r="U113" s="8">
        <f>IFERROR(VLOOKUP($B113,Input!$AC$2:$AE$161,3,0),0)</f>
        <v>0</v>
      </c>
      <c r="V113" s="256">
        <f t="shared" si="44"/>
        <v>0</v>
      </c>
      <c r="W113" s="263">
        <f t="shared" si="45"/>
        <v>1.0011300000000001</v>
      </c>
      <c r="X113" s="27"/>
      <c r="Y113" s="23"/>
      <c r="Z113" s="23"/>
      <c r="AA113" s="23">
        <v>0</v>
      </c>
      <c r="AB113" s="23" t="str">
        <f t="shared" si="56"/>
        <v/>
      </c>
      <c r="AC113" s="23" t="str">
        <f t="shared" si="56"/>
        <v/>
      </c>
      <c r="AD113" s="23" t="str">
        <f t="shared" si="56"/>
        <v/>
      </c>
      <c r="AE113" s="23" t="str">
        <f t="shared" si="56"/>
        <v/>
      </c>
      <c r="AF113" s="23">
        <f t="shared" si="56"/>
        <v>0</v>
      </c>
      <c r="AG113" s="23" t="str">
        <f t="shared" si="56"/>
        <v/>
      </c>
      <c r="AH113" s="23">
        <f t="shared" si="40"/>
        <v>0</v>
      </c>
      <c r="AI113" s="23">
        <f t="shared" si="41"/>
        <v>0</v>
      </c>
      <c r="AJ113" s="70">
        <v>1</v>
      </c>
      <c r="AK113" s="225">
        <v>2327.0337</v>
      </c>
      <c r="AL113" s="33">
        <v>1</v>
      </c>
      <c r="AM113" s="204">
        <v>2327.0337</v>
      </c>
      <c r="AN113" s="196"/>
      <c r="AO113" s="23"/>
      <c r="AP113" s="23"/>
      <c r="AQ113" s="23"/>
      <c r="AR113" s="23"/>
      <c r="AS113" s="23"/>
      <c r="AT113" s="23"/>
      <c r="AU113" s="23"/>
      <c r="AV113" s="23"/>
      <c r="AW113" s="23"/>
      <c r="AX113" s="23"/>
      <c r="AY113" s="23"/>
      <c r="AZ113" s="196"/>
      <c r="BA113" s="70">
        <f>IF(VLOOKUP($D113,$AO$14:AQ$19,COLUMN()-50,0)&lt;=0,1,IF($Q113&lt;0,1,ROUNDUP(IF($Q113*('Draft Center'!$L$28+'Draft Center'!$L$78-'Draft Center'!$L$82)&lt;1,1,$Q113*('Draft Center'!$L$28+'Draft Center'!$L$78-'Draft Center'!$L$82)),0)))</f>
        <v>1</v>
      </c>
      <c r="BB113" s="70">
        <f>IF(VLOOKUP($D113,$AO$14:AR$19,COLUMN()-50,0)&lt;=0,1,IF($Q113&lt;0,1,ROUNDUP(IF($Q113*('Draft Center'!$L$28+'Draft Center'!$L$78-'Draft Center'!$L$82)&lt;1,1,$Q113*('Draft Center'!$L$28+'Draft Center'!$L$78-'Draft Center'!$L$82)),0)))</f>
        <v>1</v>
      </c>
      <c r="BC113" s="70">
        <f>IF(VLOOKUP($D113,$AO$14:AS$19,COLUMN()-50,0)&lt;=0,1,IF($Q113&lt;0,1,ROUNDUP(IF($Q113*('Draft Center'!$L$28+'Draft Center'!$L$78-'Draft Center'!$L$82)&lt;1,1,$Q113*('Draft Center'!$L$28+'Draft Center'!$L$78-'Draft Center'!$L$82)),0)))</f>
        <v>1</v>
      </c>
      <c r="BD113" s="70">
        <f>IF(VLOOKUP($D113,$AO$14:AT$19,COLUMN()-50,0)&lt;=0,1,IF($Q113&lt;0,1,ROUNDUP(IF($Q113*('Draft Center'!$L$28+'Draft Center'!$L$78-'Draft Center'!$L$82)&lt;1,1,$Q113*('Draft Center'!$L$28+'Draft Center'!$L$78-'Draft Center'!$L$82)),0)))</f>
        <v>1</v>
      </c>
      <c r="BE113" s="70">
        <f>IF(VLOOKUP($D113,$AO$14:AU$19,COLUMN()-50,0)&lt;=0,1,IF($Q113&lt;0,1,ROUNDUP(IF($Q113*('Draft Center'!$L$28+'Draft Center'!$L$78-'Draft Center'!$L$82)&lt;1,1,$Q113*('Draft Center'!$L$28+'Draft Center'!$L$78-'Draft Center'!$L$82)),0)))</f>
        <v>1</v>
      </c>
      <c r="BF113" s="70">
        <f>IF(VLOOKUP($D113,$AO$14:AV$19,COLUMN()-50,0)&lt;=0,1,IF($Q113&lt;0,1,ROUNDUP(IF($Q113*('Draft Center'!$L$28+'Draft Center'!$L$78-'Draft Center'!$L$82)&lt;1,1,$Q113*('Draft Center'!$L$28+'Draft Center'!$L$78-'Draft Center'!$L$82)),0)))</f>
        <v>1</v>
      </c>
      <c r="BG113" s="70">
        <f>IF(VLOOKUP($D113,$AO$14:AW$19,COLUMN()-50,0)&lt;=0,1,IF($Q113&lt;0,1,ROUNDUP(IF($Q113*('Draft Center'!$L$28+'Draft Center'!$L$78-'Draft Center'!$L$82)&lt;1,1,$Q113*('Draft Center'!$L$28+'Draft Center'!$L$78-'Draft Center'!$L$82)),0)))</f>
        <v>1</v>
      </c>
      <c r="BH113" s="70">
        <f>IF(VLOOKUP($D113,$AO$14:AX$19,COLUMN()-50,0)&lt;=0,1,IF($Q113&lt;0,1,ROUNDUP(IF($Q113*('Draft Center'!$L$28+'Draft Center'!$L$78-'Draft Center'!$L$82)&lt;1,1,$Q113*('Draft Center'!$L$28+'Draft Center'!$L$78-'Draft Center'!$L$82)),0)))</f>
        <v>1</v>
      </c>
      <c r="BI113" s="70">
        <f>IF(VLOOKUP($D113,$AO$14:AY$19,COLUMN()-50,0)&lt;=0,1,IF($Q113&lt;0,1,ROUNDUP(IF($Q113*('Draft Center'!$L$28+'Draft Center'!$L$78-'Draft Center'!$L$82)&lt;1,1,$Q113*('Draft Center'!$L$28+'Draft Center'!$L$78-'Draft Center'!$L$82)),0)))</f>
        <v>1</v>
      </c>
      <c r="BJ113" s="196"/>
      <c r="BK113" s="23">
        <v>0</v>
      </c>
      <c r="BL113" s="23" t="str">
        <f t="shared" si="57"/>
        <v/>
      </c>
      <c r="BM113" s="23">
        <v>0</v>
      </c>
      <c r="BN113" s="23" t="str">
        <f t="shared" si="57"/>
        <v/>
      </c>
      <c r="BO113" s="23" t="str">
        <f t="shared" si="57"/>
        <v/>
      </c>
      <c r="BP113" s="23">
        <f t="shared" si="57"/>
        <v>0</v>
      </c>
      <c r="BQ113" s="23" t="str">
        <f t="shared" si="57"/>
        <v/>
      </c>
      <c r="BR113" s="23">
        <f t="shared" si="42"/>
        <v>0</v>
      </c>
      <c r="BS113" s="23">
        <f t="shared" si="43"/>
        <v>0</v>
      </c>
      <c r="BT113" s="70">
        <v>1</v>
      </c>
      <c r="BU113" s="58">
        <v>2327.0337</v>
      </c>
      <c r="BV113" s="33">
        <v>1</v>
      </c>
      <c r="BW113" s="204">
        <v>2327.0337</v>
      </c>
      <c r="BX113" s="23"/>
      <c r="BY113" s="70">
        <v>1</v>
      </c>
      <c r="BZ113" s="70">
        <v>0</v>
      </c>
      <c r="CA113" s="70">
        <v>0</v>
      </c>
      <c r="CB113" s="70">
        <v>0</v>
      </c>
      <c r="CC113" s="70">
        <f t="shared" si="46"/>
        <v>0</v>
      </c>
      <c r="CD113" s="70">
        <f t="shared" si="47"/>
        <v>0</v>
      </c>
    </row>
    <row r="114" spans="1:82" ht="15.75" customHeight="1" thickBot="1" x14ac:dyDescent="0.3">
      <c r="A114" s="9">
        <v>113</v>
      </c>
      <c r="B114" s="10" t="s">
        <v>113</v>
      </c>
      <c r="C114" s="10" t="s">
        <v>36</v>
      </c>
      <c r="D114" s="10" t="s">
        <v>53</v>
      </c>
      <c r="E114" s="51">
        <v>-5.0929853914578302</v>
      </c>
      <c r="F114" s="51">
        <v>267.25465824137802</v>
      </c>
      <c r="G114" s="51">
        <v>282.95875896994897</v>
      </c>
      <c r="H114" s="51">
        <v>210.273</v>
      </c>
      <c r="I114" s="11">
        <v>2.1</v>
      </c>
      <c r="J114" s="51">
        <v>5.6250128373285904</v>
      </c>
      <c r="K114" s="249">
        <f>IFERROR(VLOOKUP(C114,Schedule!$T$3:$U$34,2,0),"FA")</f>
        <v>7</v>
      </c>
      <c r="L114" s="10" t="str">
        <f>D114&amp;COUNTIF(D$2:$D114,D114)</f>
        <v>QB13</v>
      </c>
      <c r="M114" s="51">
        <f t="array" ref="M114">IFERROR(F114-AVERAGE(VLOOKUP(D114,$D115:$F$885,3,0),INDEX($F115:$F$885,SMALL(IF(D114=$D115:$D$885,ROW($D115:$D$885)-ROW(D114)),2))),0)</f>
        <v>6.3442061850485061</v>
      </c>
      <c r="N114" s="51">
        <f>IFERROR(IF(VLOOKUP($B114,Input!$AC$2:$AC$162,1,0)=$B114,0),F114)</f>
        <v>267.25465824137802</v>
      </c>
      <c r="O114" s="51">
        <f>IFERROR(IF(VLOOKUP($B114,Input!$AC$2:$AC$162,1,0)=$B114,0,G114),G114)</f>
        <v>282.95875896994897</v>
      </c>
      <c r="P114" s="51">
        <f>IF(N114=0,0,F114-AVERAGE(INDEX(F:F,MATCH(VLOOKUP(D114,Input!$A$14:$L$22,10,0),L:L,0)),INDEX(F:F,MATCH(VLOOKUP(D114,Input!$A$14:$L$22,11,0),L:L,0)),INDEX(F:F,MATCH(VLOOKUP(D114,Input!$A$14:$L$22,12,0),L:L,0)))+(0.01-ROW()*0.01))</f>
        <v>-6.2229853914576028</v>
      </c>
      <c r="Q114" s="107">
        <f t="shared" si="38"/>
        <v>-2.1468860315584722E-3</v>
      </c>
      <c r="R114" s="11">
        <f>IF(VLOOKUP($D114,$X$14:$Y$19,2,0)&lt;=0,1,IF(Q114&lt;0,1,ROUNDUP(IF(Q114*('Draft Center'!$L$28+'Draft Center'!$L$78-'Draft Center'!$L$82)&lt;1,1,Q114*('Draft Center'!$L$28+'Draft Center'!$L$78-'Draft Center'!$L$82)),0)))</f>
        <v>1</v>
      </c>
      <c r="S114" s="11">
        <f>IF(A114&lt;Input!$B$10+0.1,IF(ROUNDUP(R114*Input!$C$10,0)=0,1,ROUNDUP(R114*Input!$C$10,0)),IF(A114&gt;Input!$B$11,IF(ROUNDUP(R114*Input!$C$11,0)=0,1,ROUNDUP(R114*Input!$C$11,0)),IF(ROUNDUP(R114,0)=0,1,ROUNDUP(R114,0))))</f>
        <v>1</v>
      </c>
      <c r="T114" s="11">
        <f t="shared" si="39"/>
        <v>1</v>
      </c>
      <c r="U114" s="11">
        <f>IFERROR(VLOOKUP($B114,Input!$AC$2:$AE$161,3,0),0)</f>
        <v>0</v>
      </c>
      <c r="V114" s="257">
        <f t="shared" si="44"/>
        <v>-0.52266952380952381</v>
      </c>
      <c r="W114" s="264">
        <f t="shared" si="45"/>
        <v>-1.0988600000000002</v>
      </c>
      <c r="X114" s="27"/>
      <c r="Y114" s="23"/>
      <c r="Z114" s="23"/>
      <c r="AA114" s="23">
        <v>0</v>
      </c>
      <c r="AB114" s="23">
        <f t="shared" si="56"/>
        <v>0</v>
      </c>
      <c r="AC114" s="23" t="str">
        <f t="shared" si="56"/>
        <v/>
      </c>
      <c r="AD114" s="23" t="str">
        <f t="shared" si="56"/>
        <v/>
      </c>
      <c r="AE114" s="23" t="str">
        <f t="shared" si="56"/>
        <v/>
      </c>
      <c r="AF114" s="23" t="str">
        <f t="shared" si="56"/>
        <v/>
      </c>
      <c r="AG114" s="23" t="str">
        <f t="shared" si="56"/>
        <v/>
      </c>
      <c r="AH114" s="23">
        <f t="shared" si="40"/>
        <v>0</v>
      </c>
      <c r="AI114" s="23">
        <f t="shared" si="41"/>
        <v>0</v>
      </c>
      <c r="AJ114" s="69">
        <v>1</v>
      </c>
      <c r="AK114" s="225">
        <v>2327.0337</v>
      </c>
      <c r="AL114" s="33">
        <v>1</v>
      </c>
      <c r="AM114" s="204">
        <v>2327.0337</v>
      </c>
      <c r="AN114" s="196"/>
      <c r="AO114" s="23"/>
      <c r="AP114" s="23"/>
      <c r="AQ114" s="23"/>
      <c r="AR114" s="23"/>
      <c r="AS114" s="23"/>
      <c r="AT114" s="23"/>
      <c r="AU114" s="23"/>
      <c r="AV114" s="23"/>
      <c r="AW114" s="23"/>
      <c r="AX114" s="23"/>
      <c r="AY114" s="23"/>
      <c r="AZ114" s="196"/>
      <c r="BA114" s="69">
        <f>IF(VLOOKUP($D114,$AO$14:AQ$19,COLUMN()-50,0)&lt;=0,1,IF($Q114&lt;0,1,ROUNDUP(IF($Q114*('Draft Center'!$L$28+'Draft Center'!$L$78-'Draft Center'!$L$82)&lt;1,1,$Q114*('Draft Center'!$L$28+'Draft Center'!$L$78-'Draft Center'!$L$82)),0)))</f>
        <v>1</v>
      </c>
      <c r="BB114" s="69">
        <f>IF(VLOOKUP($D114,$AO$14:AR$19,COLUMN()-50,0)&lt;=0,1,IF($Q114&lt;0,1,ROUNDUP(IF($Q114*('Draft Center'!$L$28+'Draft Center'!$L$78-'Draft Center'!$L$82)&lt;1,1,$Q114*('Draft Center'!$L$28+'Draft Center'!$L$78-'Draft Center'!$L$82)),0)))</f>
        <v>1</v>
      </c>
      <c r="BC114" s="69">
        <f>IF(VLOOKUP($D114,$AO$14:AS$19,COLUMN()-50,0)&lt;=0,1,IF($Q114&lt;0,1,ROUNDUP(IF($Q114*('Draft Center'!$L$28+'Draft Center'!$L$78-'Draft Center'!$L$82)&lt;1,1,$Q114*('Draft Center'!$L$28+'Draft Center'!$L$78-'Draft Center'!$L$82)),0)))</f>
        <v>1</v>
      </c>
      <c r="BD114" s="69">
        <f>IF(VLOOKUP($D114,$AO$14:AT$19,COLUMN()-50,0)&lt;=0,1,IF($Q114&lt;0,1,ROUNDUP(IF($Q114*('Draft Center'!$L$28+'Draft Center'!$L$78-'Draft Center'!$L$82)&lt;1,1,$Q114*('Draft Center'!$L$28+'Draft Center'!$L$78-'Draft Center'!$L$82)),0)))</f>
        <v>1</v>
      </c>
      <c r="BE114" s="69">
        <f>IF(VLOOKUP($D114,$AO$14:AU$19,COLUMN()-50,0)&lt;=0,1,IF($Q114&lt;0,1,ROUNDUP(IF($Q114*('Draft Center'!$L$28+'Draft Center'!$L$78-'Draft Center'!$L$82)&lt;1,1,$Q114*('Draft Center'!$L$28+'Draft Center'!$L$78-'Draft Center'!$L$82)),0)))</f>
        <v>1</v>
      </c>
      <c r="BF114" s="69">
        <f>IF(VLOOKUP($D114,$AO$14:AV$19,COLUMN()-50,0)&lt;=0,1,IF($Q114&lt;0,1,ROUNDUP(IF($Q114*('Draft Center'!$L$28+'Draft Center'!$L$78-'Draft Center'!$L$82)&lt;1,1,$Q114*('Draft Center'!$L$28+'Draft Center'!$L$78-'Draft Center'!$L$82)),0)))</f>
        <v>1</v>
      </c>
      <c r="BG114" s="69">
        <f>IF(VLOOKUP($D114,$AO$14:AW$19,COLUMN()-50,0)&lt;=0,1,IF($Q114&lt;0,1,ROUNDUP(IF($Q114*('Draft Center'!$L$28+'Draft Center'!$L$78-'Draft Center'!$L$82)&lt;1,1,$Q114*('Draft Center'!$L$28+'Draft Center'!$L$78-'Draft Center'!$L$82)),0)))</f>
        <v>1</v>
      </c>
      <c r="BH114" s="69">
        <f>IF(VLOOKUP($D114,$AO$14:AX$19,COLUMN()-50,0)&lt;=0,1,IF($Q114&lt;0,1,ROUNDUP(IF($Q114*('Draft Center'!$L$28+'Draft Center'!$L$78-'Draft Center'!$L$82)&lt;1,1,$Q114*('Draft Center'!$L$28+'Draft Center'!$L$78-'Draft Center'!$L$82)),0)))</f>
        <v>1</v>
      </c>
      <c r="BI114" s="69">
        <f>IF(VLOOKUP($D114,$AO$14:AY$19,COLUMN()-50,0)&lt;=0,1,IF($Q114&lt;0,1,ROUNDUP(IF($Q114*('Draft Center'!$L$28+'Draft Center'!$L$78-'Draft Center'!$L$82)&lt;1,1,$Q114*('Draft Center'!$L$28+'Draft Center'!$L$78-'Draft Center'!$L$82)),0)))</f>
        <v>1</v>
      </c>
      <c r="BJ114" s="196"/>
      <c r="BK114" s="23">
        <v>0</v>
      </c>
      <c r="BL114" s="23">
        <f t="shared" si="57"/>
        <v>0</v>
      </c>
      <c r="BM114" s="23">
        <v>0</v>
      </c>
      <c r="BN114" s="23" t="str">
        <f t="shared" si="57"/>
        <v/>
      </c>
      <c r="BO114" s="23" t="str">
        <f t="shared" si="57"/>
        <v/>
      </c>
      <c r="BP114" s="23" t="str">
        <f t="shared" si="57"/>
        <v/>
      </c>
      <c r="BQ114" s="23" t="str">
        <f t="shared" si="57"/>
        <v/>
      </c>
      <c r="BR114" s="23">
        <f t="shared" si="42"/>
        <v>0</v>
      </c>
      <c r="BS114" s="23">
        <f t="shared" si="43"/>
        <v>0</v>
      </c>
      <c r="BT114" s="69">
        <v>1</v>
      </c>
      <c r="BU114" s="58">
        <v>2327.0337</v>
      </c>
      <c r="BV114" s="33">
        <v>1</v>
      </c>
      <c r="BW114" s="204">
        <v>2327.0337</v>
      </c>
      <c r="BX114" s="23"/>
      <c r="BY114" s="69">
        <v>1</v>
      </c>
      <c r="BZ114" s="69">
        <v>2.1</v>
      </c>
      <c r="CA114" s="69">
        <v>2.1</v>
      </c>
      <c r="CB114" s="69">
        <v>2.1</v>
      </c>
      <c r="CC114" s="69">
        <f t="shared" si="46"/>
        <v>2.1</v>
      </c>
      <c r="CD114" s="69">
        <f t="shared" si="47"/>
        <v>2.1</v>
      </c>
    </row>
    <row r="115" spans="1:82" ht="15.75" customHeight="1" thickBot="1" x14ac:dyDescent="0.3">
      <c r="A115" s="6">
        <v>114</v>
      </c>
      <c r="B115" s="7" t="s">
        <v>271</v>
      </c>
      <c r="C115" s="7" t="s">
        <v>27</v>
      </c>
      <c r="D115" s="7" t="s">
        <v>135</v>
      </c>
      <c r="E115" s="50">
        <v>-5.4867240598097</v>
      </c>
      <c r="F115" s="50">
        <v>103.244834617127</v>
      </c>
      <c r="G115" s="50">
        <v>120.42172897196301</v>
      </c>
      <c r="H115" s="50">
        <v>71.8</v>
      </c>
      <c r="I115" s="8">
        <v>1.1000000000000001</v>
      </c>
      <c r="J115" s="50">
        <v>5.5258657576071801</v>
      </c>
      <c r="K115" s="248">
        <f>IFERROR(VLOOKUP(C115,Schedule!$T$3:$U$34,2,0),"FA")</f>
        <v>8</v>
      </c>
      <c r="L115" s="7" t="str">
        <f>D115&amp;COUNTIF(D$2:$D115,D115)</f>
        <v>DST14</v>
      </c>
      <c r="M115" s="50">
        <f t="array" ref="M115">IFERROR(F115-AVERAGE(VLOOKUP(D115,$D116:$F$885,3,0),INDEX($F116:$F$885,SMALL(IF(D115=$D116:$D$885,ROW($D116:$D$885)-ROW(D115)),2))),0)</f>
        <v>1.1200067965564955</v>
      </c>
      <c r="N115" s="50">
        <f>IFERROR(IF(VLOOKUP($B115,Input!$AC$2:$AC$162,1,0)=$B115,0),F115)</f>
        <v>103.244834617127</v>
      </c>
      <c r="O115" s="50">
        <f>IFERROR(IF(VLOOKUP($B115,Input!$AC$2:$AC$162,1,0)=$B115,0,G115),G115)</f>
        <v>120.42172897196301</v>
      </c>
      <c r="P115" s="50">
        <f>IF(N115=0,0,F115-AVERAGE(INDEX(F:F,MATCH(VLOOKUP(D115,Input!$A$14:$L$22,10,0),L:L,0)),INDEX(F:F,MATCH(VLOOKUP(D115,Input!$A$14:$L$22,11,0),L:L,0)),INDEX(F:F,MATCH(VLOOKUP(D115,Input!$A$14:$L$22,12,0),L:L,0)))+(0.01-ROW()*0.01))</f>
        <v>-5.5835523334850166</v>
      </c>
      <c r="Q115" s="106">
        <f t="shared" si="38"/>
        <v>-1.9262861403611514E-3</v>
      </c>
      <c r="R115" s="8">
        <f>IF(VLOOKUP($D115,$X$14:$Y$19,2,0)&lt;=0,1,IF(Q115&lt;0,1,ROUNDUP(IF(Q115*('Draft Center'!$L$28+'Draft Center'!$L$78-'Draft Center'!$L$82)&lt;1,1,Q115*('Draft Center'!$L$28+'Draft Center'!$L$78-'Draft Center'!$L$82)),0)))</f>
        <v>1</v>
      </c>
      <c r="S115" s="8">
        <f>IF(A115&lt;Input!$B$10+0.1,IF(ROUNDUP(R115*Input!$C$10,0)=0,1,ROUNDUP(R115*Input!$C$10,0)),IF(A115&gt;Input!$B$11,IF(ROUNDUP(R115*Input!$C$11,0)=0,1,ROUNDUP(R115*Input!$C$11,0)),IF(ROUNDUP(R115,0)=0,1,ROUNDUP(R115,0))))</f>
        <v>1</v>
      </c>
      <c r="T115" s="8">
        <f t="shared" si="39"/>
        <v>1</v>
      </c>
      <c r="U115" s="8">
        <f>IFERROR(VLOOKUP($B115,Input!$AC$2:$AE$161,3,0),0)</f>
        <v>0</v>
      </c>
      <c r="V115" s="256">
        <f t="shared" si="44"/>
        <v>-8.9759090909090983E-2</v>
      </c>
      <c r="W115" s="263">
        <f t="shared" si="45"/>
        <v>-9.8850000000000091E-2</v>
      </c>
      <c r="X115" s="27"/>
      <c r="Y115" s="23"/>
      <c r="Z115" s="23"/>
      <c r="AA115" s="23">
        <v>0</v>
      </c>
      <c r="AB115" s="23" t="str">
        <f t="shared" si="56"/>
        <v/>
      </c>
      <c r="AC115" s="23" t="str">
        <f t="shared" si="56"/>
        <v/>
      </c>
      <c r="AD115" s="23" t="str">
        <f t="shared" si="56"/>
        <v/>
      </c>
      <c r="AE115" s="23" t="str">
        <f t="shared" si="56"/>
        <v/>
      </c>
      <c r="AF115" s="23">
        <f t="shared" si="56"/>
        <v>0</v>
      </c>
      <c r="AG115" s="23" t="str">
        <f t="shared" si="56"/>
        <v/>
      </c>
      <c r="AH115" s="23">
        <f t="shared" si="40"/>
        <v>0</v>
      </c>
      <c r="AI115" s="23">
        <f t="shared" si="41"/>
        <v>0</v>
      </c>
      <c r="AJ115" s="70">
        <v>1</v>
      </c>
      <c r="AK115" s="225">
        <v>2327.0337</v>
      </c>
      <c r="AL115" s="33">
        <v>1</v>
      </c>
      <c r="AM115" s="204">
        <v>2327.0337</v>
      </c>
      <c r="AN115" s="196"/>
      <c r="AO115" s="23"/>
      <c r="AP115" s="23"/>
      <c r="AQ115" s="23"/>
      <c r="AR115" s="23"/>
      <c r="AS115" s="23"/>
      <c r="AT115" s="23"/>
      <c r="AU115" s="23"/>
      <c r="AV115" s="23"/>
      <c r="AW115" s="23"/>
      <c r="AX115" s="23"/>
      <c r="AY115" s="23"/>
      <c r="AZ115" s="196"/>
      <c r="BA115" s="70">
        <f>IF(VLOOKUP($D115,$AO$14:AQ$19,COLUMN()-50,0)&lt;=0,1,IF($Q115&lt;0,1,ROUNDUP(IF($Q115*('Draft Center'!$L$28+'Draft Center'!$L$78-'Draft Center'!$L$82)&lt;1,1,$Q115*('Draft Center'!$L$28+'Draft Center'!$L$78-'Draft Center'!$L$82)),0)))</f>
        <v>1</v>
      </c>
      <c r="BB115" s="70">
        <f>IF(VLOOKUP($D115,$AO$14:AR$19,COLUMN()-50,0)&lt;=0,1,IF($Q115&lt;0,1,ROUNDUP(IF($Q115*('Draft Center'!$L$28+'Draft Center'!$L$78-'Draft Center'!$L$82)&lt;1,1,$Q115*('Draft Center'!$L$28+'Draft Center'!$L$78-'Draft Center'!$L$82)),0)))</f>
        <v>1</v>
      </c>
      <c r="BC115" s="70">
        <f>IF(VLOOKUP($D115,$AO$14:AS$19,COLUMN()-50,0)&lt;=0,1,IF($Q115&lt;0,1,ROUNDUP(IF($Q115*('Draft Center'!$L$28+'Draft Center'!$L$78-'Draft Center'!$L$82)&lt;1,1,$Q115*('Draft Center'!$L$28+'Draft Center'!$L$78-'Draft Center'!$L$82)),0)))</f>
        <v>1</v>
      </c>
      <c r="BD115" s="70">
        <f>IF(VLOOKUP($D115,$AO$14:AT$19,COLUMN()-50,0)&lt;=0,1,IF($Q115&lt;0,1,ROUNDUP(IF($Q115*('Draft Center'!$L$28+'Draft Center'!$L$78-'Draft Center'!$L$82)&lt;1,1,$Q115*('Draft Center'!$L$28+'Draft Center'!$L$78-'Draft Center'!$L$82)),0)))</f>
        <v>1</v>
      </c>
      <c r="BE115" s="70">
        <f>IF(VLOOKUP($D115,$AO$14:AU$19,COLUMN()-50,0)&lt;=0,1,IF($Q115&lt;0,1,ROUNDUP(IF($Q115*('Draft Center'!$L$28+'Draft Center'!$L$78-'Draft Center'!$L$82)&lt;1,1,$Q115*('Draft Center'!$L$28+'Draft Center'!$L$78-'Draft Center'!$L$82)),0)))</f>
        <v>1</v>
      </c>
      <c r="BF115" s="70">
        <f>IF(VLOOKUP($D115,$AO$14:AV$19,COLUMN()-50,0)&lt;=0,1,IF($Q115&lt;0,1,ROUNDUP(IF($Q115*('Draft Center'!$L$28+'Draft Center'!$L$78-'Draft Center'!$L$82)&lt;1,1,$Q115*('Draft Center'!$L$28+'Draft Center'!$L$78-'Draft Center'!$L$82)),0)))</f>
        <v>1</v>
      </c>
      <c r="BG115" s="70">
        <f>IF(VLOOKUP($D115,$AO$14:AW$19,COLUMN()-50,0)&lt;=0,1,IF($Q115&lt;0,1,ROUNDUP(IF($Q115*('Draft Center'!$L$28+'Draft Center'!$L$78-'Draft Center'!$L$82)&lt;1,1,$Q115*('Draft Center'!$L$28+'Draft Center'!$L$78-'Draft Center'!$L$82)),0)))</f>
        <v>1</v>
      </c>
      <c r="BH115" s="70">
        <f>IF(VLOOKUP($D115,$AO$14:AX$19,COLUMN()-50,0)&lt;=0,1,IF($Q115&lt;0,1,ROUNDUP(IF($Q115*('Draft Center'!$L$28+'Draft Center'!$L$78-'Draft Center'!$L$82)&lt;1,1,$Q115*('Draft Center'!$L$28+'Draft Center'!$L$78-'Draft Center'!$L$82)),0)))</f>
        <v>1</v>
      </c>
      <c r="BI115" s="70">
        <f>IF(VLOOKUP($D115,$AO$14:AY$19,COLUMN()-50,0)&lt;=0,1,IF($Q115&lt;0,1,ROUNDUP(IF($Q115*('Draft Center'!$L$28+'Draft Center'!$L$78-'Draft Center'!$L$82)&lt;1,1,$Q115*('Draft Center'!$L$28+'Draft Center'!$L$78-'Draft Center'!$L$82)),0)))</f>
        <v>1</v>
      </c>
      <c r="BJ115" s="196"/>
      <c r="BK115" s="23">
        <v>0</v>
      </c>
      <c r="BL115" s="23" t="str">
        <f t="shared" si="57"/>
        <v/>
      </c>
      <c r="BM115" s="23">
        <v>0</v>
      </c>
      <c r="BN115" s="23" t="str">
        <f t="shared" si="57"/>
        <v/>
      </c>
      <c r="BO115" s="23" t="str">
        <f t="shared" si="57"/>
        <v/>
      </c>
      <c r="BP115" s="23">
        <f t="shared" si="57"/>
        <v>0</v>
      </c>
      <c r="BQ115" s="23" t="str">
        <f t="shared" si="57"/>
        <v/>
      </c>
      <c r="BR115" s="23">
        <f t="shared" si="42"/>
        <v>0</v>
      </c>
      <c r="BS115" s="23">
        <f t="shared" si="43"/>
        <v>0</v>
      </c>
      <c r="BT115" s="70">
        <v>1</v>
      </c>
      <c r="BU115" s="58">
        <v>2327.0337</v>
      </c>
      <c r="BV115" s="33">
        <v>1</v>
      </c>
      <c r="BW115" s="204">
        <v>2327.0337</v>
      </c>
      <c r="BX115" s="23"/>
      <c r="BY115" s="70">
        <v>1</v>
      </c>
      <c r="BZ115" s="70">
        <v>1.1000000000000001</v>
      </c>
      <c r="CA115" s="70">
        <v>1.1000000000000001</v>
      </c>
      <c r="CB115" s="70">
        <v>1.1000000000000001</v>
      </c>
      <c r="CC115" s="70">
        <f t="shared" si="46"/>
        <v>1.1000000000000001</v>
      </c>
      <c r="CD115" s="70">
        <f t="shared" si="47"/>
        <v>1.1000000000000001</v>
      </c>
    </row>
    <row r="116" spans="1:82" ht="15.75" customHeight="1" thickBot="1" x14ac:dyDescent="0.3">
      <c r="A116" s="9">
        <v>115</v>
      </c>
      <c r="B116" s="10" t="s">
        <v>296</v>
      </c>
      <c r="C116" s="10" t="s">
        <v>23</v>
      </c>
      <c r="D116" s="10" t="s">
        <v>135</v>
      </c>
      <c r="E116" s="51">
        <v>-6.3596012686905397</v>
      </c>
      <c r="F116" s="51">
        <v>102.371957408246</v>
      </c>
      <c r="G116" s="51">
        <v>109.16352599388399</v>
      </c>
      <c r="H116" s="51">
        <v>95.9</v>
      </c>
      <c r="I116" s="11">
        <v>0</v>
      </c>
      <c r="J116" s="51">
        <v>4.4619313835766503</v>
      </c>
      <c r="K116" s="249">
        <f>IFERROR(VLOOKUP(C116,Schedule!$T$3:$U$34,2,0),"FA")</f>
        <v>5</v>
      </c>
      <c r="L116" s="10" t="str">
        <f>D116&amp;COUNTIF(D$2:$D116,D116)</f>
        <v>DST15</v>
      </c>
      <c r="M116" s="51">
        <f t="array" ref="M116">IFERROR(F116-AVERAGE(VLOOKUP(D116,$D117:$F$885,3,0),INDEX($F117:$F$885,SMALL(IF(D116=$D117:$D$885,ROW($D117:$D$885)-ROW(D116)),2))),0)</f>
        <v>0.55760308110501455</v>
      </c>
      <c r="N116" s="51">
        <f>IFERROR(IF(VLOOKUP($B116,Input!$AC$2:$AC$162,1,0)=$B116,0),F116)</f>
        <v>102.371957408246</v>
      </c>
      <c r="O116" s="51">
        <f>IFERROR(IF(VLOOKUP($B116,Input!$AC$2:$AC$162,1,0)=$B116,0,G116),G116)</f>
        <v>109.16352599388399</v>
      </c>
      <c r="P116" s="51">
        <f>IF(N116=0,0,F116-AVERAGE(INDEX(F:F,MATCH(VLOOKUP(D116,Input!$A$14:$L$22,10,0),L:L,0)),INDEX(F:F,MATCH(VLOOKUP(D116,Input!$A$14:$L$22,11,0),L:L,0)),INDEX(F:F,MATCH(VLOOKUP(D116,Input!$A$14:$L$22,12,0),L:L,0)))+(0.01-ROW()*0.01))</f>
        <v>-6.4664295423660096</v>
      </c>
      <c r="Q116" s="107">
        <f t="shared" si="38"/>
        <v>-2.2308725451323781E-3</v>
      </c>
      <c r="R116" s="11">
        <f>IF(VLOOKUP($D116,$X$14:$Y$19,2,0)&lt;=0,1,IF(Q116&lt;0,1,ROUNDUP(IF(Q116*('Draft Center'!$L$28+'Draft Center'!$L$78-'Draft Center'!$L$82)&lt;1,1,Q116*('Draft Center'!$L$28+'Draft Center'!$L$78-'Draft Center'!$L$82)),0)))</f>
        <v>1</v>
      </c>
      <c r="S116" s="11">
        <f>IF(A116&lt;Input!$B$10+0.1,IF(ROUNDUP(R116*Input!$C$10,0)=0,1,ROUNDUP(R116*Input!$C$10,0)),IF(A116&gt;Input!$B$11,IF(ROUNDUP(R116*Input!$C$11,0)=0,1,ROUNDUP(R116*Input!$C$11,0)),IF(ROUNDUP(R116,0)=0,1,ROUNDUP(R116,0))))</f>
        <v>1</v>
      </c>
      <c r="T116" s="11">
        <f t="shared" si="39"/>
        <v>1</v>
      </c>
      <c r="U116" s="11">
        <f>IFERROR(VLOOKUP($B116,Input!$AC$2:$AE$161,3,0),0)</f>
        <v>0</v>
      </c>
      <c r="V116" s="257">
        <f t="shared" si="44"/>
        <v>0</v>
      </c>
      <c r="W116" s="264">
        <f t="shared" si="45"/>
        <v>1.00116</v>
      </c>
      <c r="X116" s="27"/>
      <c r="Y116" s="23"/>
      <c r="Z116" s="23"/>
      <c r="AA116" s="23">
        <v>0</v>
      </c>
      <c r="AB116" s="23" t="str">
        <f t="shared" si="56"/>
        <v/>
      </c>
      <c r="AC116" s="23" t="str">
        <f t="shared" si="56"/>
        <v/>
      </c>
      <c r="AD116" s="23" t="str">
        <f t="shared" si="56"/>
        <v/>
      </c>
      <c r="AE116" s="23" t="str">
        <f t="shared" si="56"/>
        <v/>
      </c>
      <c r="AF116" s="23">
        <f t="shared" si="56"/>
        <v>0</v>
      </c>
      <c r="AG116" s="23" t="str">
        <f t="shared" si="56"/>
        <v/>
      </c>
      <c r="AH116" s="23">
        <f t="shared" si="40"/>
        <v>0</v>
      </c>
      <c r="AI116" s="23">
        <f t="shared" si="41"/>
        <v>0</v>
      </c>
      <c r="AJ116" s="69">
        <v>1</v>
      </c>
      <c r="AK116" s="225">
        <v>2327.0337</v>
      </c>
      <c r="AL116" s="33">
        <v>1</v>
      </c>
      <c r="AM116" s="204">
        <v>2327.0337</v>
      </c>
      <c r="AN116" s="196"/>
      <c r="AO116" s="23"/>
      <c r="AP116" s="23"/>
      <c r="AQ116" s="23"/>
      <c r="AR116" s="23"/>
      <c r="AS116" s="23"/>
      <c r="AT116" s="23"/>
      <c r="AU116" s="23"/>
      <c r="AV116" s="23"/>
      <c r="AW116" s="23"/>
      <c r="AX116" s="23"/>
      <c r="AY116" s="23"/>
      <c r="AZ116" s="196"/>
      <c r="BA116" s="69">
        <f>IF(VLOOKUP($D116,$AO$14:AQ$19,COLUMN()-50,0)&lt;=0,1,IF($Q116&lt;0,1,ROUNDUP(IF($Q116*('Draft Center'!$L$28+'Draft Center'!$L$78-'Draft Center'!$L$82)&lt;1,1,$Q116*('Draft Center'!$L$28+'Draft Center'!$L$78-'Draft Center'!$L$82)),0)))</f>
        <v>1</v>
      </c>
      <c r="BB116" s="69">
        <f>IF(VLOOKUP($D116,$AO$14:AR$19,COLUMN()-50,0)&lt;=0,1,IF($Q116&lt;0,1,ROUNDUP(IF($Q116*('Draft Center'!$L$28+'Draft Center'!$L$78-'Draft Center'!$L$82)&lt;1,1,$Q116*('Draft Center'!$L$28+'Draft Center'!$L$78-'Draft Center'!$L$82)),0)))</f>
        <v>1</v>
      </c>
      <c r="BC116" s="69">
        <f>IF(VLOOKUP($D116,$AO$14:AS$19,COLUMN()-50,0)&lt;=0,1,IF($Q116&lt;0,1,ROUNDUP(IF($Q116*('Draft Center'!$L$28+'Draft Center'!$L$78-'Draft Center'!$L$82)&lt;1,1,$Q116*('Draft Center'!$L$28+'Draft Center'!$L$78-'Draft Center'!$L$82)),0)))</f>
        <v>1</v>
      </c>
      <c r="BD116" s="69">
        <f>IF(VLOOKUP($D116,$AO$14:AT$19,COLUMN()-50,0)&lt;=0,1,IF($Q116&lt;0,1,ROUNDUP(IF($Q116*('Draft Center'!$L$28+'Draft Center'!$L$78-'Draft Center'!$L$82)&lt;1,1,$Q116*('Draft Center'!$L$28+'Draft Center'!$L$78-'Draft Center'!$L$82)),0)))</f>
        <v>1</v>
      </c>
      <c r="BE116" s="69">
        <f>IF(VLOOKUP($D116,$AO$14:AU$19,COLUMN()-50,0)&lt;=0,1,IF($Q116&lt;0,1,ROUNDUP(IF($Q116*('Draft Center'!$L$28+'Draft Center'!$L$78-'Draft Center'!$L$82)&lt;1,1,$Q116*('Draft Center'!$L$28+'Draft Center'!$L$78-'Draft Center'!$L$82)),0)))</f>
        <v>1</v>
      </c>
      <c r="BF116" s="69">
        <f>IF(VLOOKUP($D116,$AO$14:AV$19,COLUMN()-50,0)&lt;=0,1,IF($Q116&lt;0,1,ROUNDUP(IF($Q116*('Draft Center'!$L$28+'Draft Center'!$L$78-'Draft Center'!$L$82)&lt;1,1,$Q116*('Draft Center'!$L$28+'Draft Center'!$L$78-'Draft Center'!$L$82)),0)))</f>
        <v>1</v>
      </c>
      <c r="BG116" s="69">
        <f>IF(VLOOKUP($D116,$AO$14:AW$19,COLUMN()-50,0)&lt;=0,1,IF($Q116&lt;0,1,ROUNDUP(IF($Q116*('Draft Center'!$L$28+'Draft Center'!$L$78-'Draft Center'!$L$82)&lt;1,1,$Q116*('Draft Center'!$L$28+'Draft Center'!$L$78-'Draft Center'!$L$82)),0)))</f>
        <v>1</v>
      </c>
      <c r="BH116" s="69">
        <f>IF(VLOOKUP($D116,$AO$14:AX$19,COLUMN()-50,0)&lt;=0,1,IF($Q116&lt;0,1,ROUNDUP(IF($Q116*('Draft Center'!$L$28+'Draft Center'!$L$78-'Draft Center'!$L$82)&lt;1,1,$Q116*('Draft Center'!$L$28+'Draft Center'!$L$78-'Draft Center'!$L$82)),0)))</f>
        <v>1</v>
      </c>
      <c r="BI116" s="69">
        <f>IF(VLOOKUP($D116,$AO$14:AY$19,COLUMN()-50,0)&lt;=0,1,IF($Q116&lt;0,1,ROUNDUP(IF($Q116*('Draft Center'!$L$28+'Draft Center'!$L$78-'Draft Center'!$L$82)&lt;1,1,$Q116*('Draft Center'!$L$28+'Draft Center'!$L$78-'Draft Center'!$L$82)),0)))</f>
        <v>1</v>
      </c>
      <c r="BJ116" s="196"/>
      <c r="BK116" s="23">
        <v>0</v>
      </c>
      <c r="BL116" s="23" t="str">
        <f t="shared" si="57"/>
        <v/>
      </c>
      <c r="BM116" s="23">
        <v>0</v>
      </c>
      <c r="BN116" s="23" t="str">
        <f t="shared" si="57"/>
        <v/>
      </c>
      <c r="BO116" s="23" t="str">
        <f t="shared" si="57"/>
        <v/>
      </c>
      <c r="BP116" s="23">
        <f t="shared" si="57"/>
        <v>0</v>
      </c>
      <c r="BQ116" s="23" t="str">
        <f t="shared" si="57"/>
        <v/>
      </c>
      <c r="BR116" s="23">
        <f t="shared" si="42"/>
        <v>0</v>
      </c>
      <c r="BS116" s="23">
        <f t="shared" si="43"/>
        <v>0</v>
      </c>
      <c r="BT116" s="69">
        <v>1</v>
      </c>
      <c r="BU116" s="58">
        <v>2327.0337</v>
      </c>
      <c r="BV116" s="33">
        <v>1</v>
      </c>
      <c r="BW116" s="204">
        <v>2327.0337</v>
      </c>
      <c r="BX116" s="23"/>
      <c r="BY116" s="69">
        <v>1</v>
      </c>
      <c r="BZ116" s="69">
        <v>0</v>
      </c>
      <c r="CA116" s="69">
        <v>0</v>
      </c>
      <c r="CB116" s="69">
        <v>0</v>
      </c>
      <c r="CC116" s="69">
        <f t="shared" si="46"/>
        <v>0</v>
      </c>
      <c r="CD116" s="69">
        <f t="shared" si="47"/>
        <v>0</v>
      </c>
    </row>
    <row r="117" spans="1:82" ht="15.75" customHeight="1" thickBot="1" x14ac:dyDescent="0.3">
      <c r="A117" s="6">
        <v>116</v>
      </c>
      <c r="B117" s="7" t="s">
        <v>301</v>
      </c>
      <c r="C117" s="7" t="s">
        <v>16</v>
      </c>
      <c r="D117" s="7" t="s">
        <v>135</v>
      </c>
      <c r="E117" s="50">
        <v>-6.8538604440416897</v>
      </c>
      <c r="F117" s="50">
        <v>101.877698232895</v>
      </c>
      <c r="G117" s="50">
        <v>110.633081395349</v>
      </c>
      <c r="H117" s="50">
        <v>83.5</v>
      </c>
      <c r="I117" s="8">
        <v>1.4</v>
      </c>
      <c r="J117" s="50">
        <v>3.7247086461137</v>
      </c>
      <c r="K117" s="248">
        <f>IFERROR(VLOOKUP(C117,Schedule!$T$3:$U$34,2,0),"FA")</f>
        <v>9</v>
      </c>
      <c r="L117" s="7" t="str">
        <f>D117&amp;COUNTIF(D$2:$D117,D117)</f>
        <v>DST16</v>
      </c>
      <c r="M117" s="50">
        <f t="array" ref="M117">IFERROR(F117-AVERAGE(VLOOKUP(D117,$D118:$F$885,3,0),INDEX($F118:$F$885,SMALL(IF(D117=$D118:$D$885,ROW($D118:$D$885)-ROW(D117)),2))),0)</f>
        <v>1.2192908926137989</v>
      </c>
      <c r="N117" s="51">
        <f>IFERROR(IF(VLOOKUP($B117,Input!$AC$2:$AC$162,1,0)=$B117,0),F117)</f>
        <v>101.877698232895</v>
      </c>
      <c r="O117" s="50">
        <f>IFERROR(IF(VLOOKUP($B117,Input!$AC$2:$AC$162,1,0)=$B117,0,G117),G117)</f>
        <v>110.633081395349</v>
      </c>
      <c r="P117" s="50">
        <f>IF(N117=0,0,F117-AVERAGE(INDEX(F:F,MATCH(VLOOKUP(D117,Input!$A$14:$L$22,10,0),L:L,0)),INDEX(F:F,MATCH(VLOOKUP(D117,Input!$A$14:$L$22,11,0),L:L,0)),INDEX(F:F,MATCH(VLOOKUP(D117,Input!$A$14:$L$22,12,0),L:L,0)))+(0.01-ROW()*0.01))</f>
        <v>-6.9706887177170138</v>
      </c>
      <c r="Q117" s="106">
        <f t="shared" si="38"/>
        <v>-2.4048384010272594E-3</v>
      </c>
      <c r="R117" s="8">
        <f>IF(VLOOKUP($D117,$X$14:$Y$19,2,0)&lt;=0,1,IF(Q117&lt;0,1,ROUNDUP(IF(Q117*('Draft Center'!$L$28+'Draft Center'!$L$78-'Draft Center'!$L$82)&lt;1,1,Q117*('Draft Center'!$L$28+'Draft Center'!$L$78-'Draft Center'!$L$82)),0)))</f>
        <v>1</v>
      </c>
      <c r="S117" s="8">
        <f>IF(A117&lt;Input!$B$10+0.1,IF(ROUNDUP(R117*Input!$C$10,0)=0,1,ROUNDUP(R117*Input!$C$10,0)),IF(A117&gt;Input!$B$11,IF(ROUNDUP(R117*Input!$C$11,0)=0,1,ROUNDUP(R117*Input!$C$11,0)),IF(ROUNDUP(R117,0)=0,1,ROUNDUP(R117,0))))</f>
        <v>1</v>
      </c>
      <c r="T117" s="8">
        <f t="shared" si="39"/>
        <v>1</v>
      </c>
      <c r="U117" s="8">
        <f>IFERROR(VLOOKUP($B117,Input!$AC$2:$AE$161,3,0),0)</f>
        <v>0</v>
      </c>
      <c r="V117" s="256">
        <f t="shared" si="44"/>
        <v>-0.28454428571428564</v>
      </c>
      <c r="W117" s="263">
        <f t="shared" si="45"/>
        <v>-0.39882999999999991</v>
      </c>
      <c r="X117" s="27"/>
      <c r="Y117" s="23"/>
      <c r="Z117" s="23"/>
      <c r="AA117" s="23">
        <v>0</v>
      </c>
      <c r="AB117" s="23" t="str">
        <f t="shared" si="56"/>
        <v/>
      </c>
      <c r="AC117" s="23" t="str">
        <f t="shared" si="56"/>
        <v/>
      </c>
      <c r="AD117" s="23" t="str">
        <f t="shared" si="56"/>
        <v/>
      </c>
      <c r="AE117" s="23" t="str">
        <f t="shared" si="56"/>
        <v/>
      </c>
      <c r="AF117" s="23">
        <f t="shared" si="56"/>
        <v>0</v>
      </c>
      <c r="AG117" s="23" t="str">
        <f t="shared" si="56"/>
        <v/>
      </c>
      <c r="AH117" s="23">
        <f t="shared" si="40"/>
        <v>0</v>
      </c>
      <c r="AI117" s="23">
        <f t="shared" si="41"/>
        <v>0</v>
      </c>
      <c r="AJ117" s="70">
        <v>1</v>
      </c>
      <c r="AK117" s="225">
        <v>2327.0337</v>
      </c>
      <c r="AL117" s="33">
        <v>1</v>
      </c>
      <c r="AM117" s="204">
        <v>2327.0337</v>
      </c>
      <c r="AN117" s="196"/>
      <c r="AO117" s="23"/>
      <c r="AP117" s="23"/>
      <c r="AQ117" s="23"/>
      <c r="AR117" s="23"/>
      <c r="AS117" s="23"/>
      <c r="AT117" s="23"/>
      <c r="AU117" s="23"/>
      <c r="AV117" s="23"/>
      <c r="AW117" s="23"/>
      <c r="AX117" s="23"/>
      <c r="AY117" s="23"/>
      <c r="AZ117" s="196"/>
      <c r="BA117" s="70">
        <f>IF(VLOOKUP($D117,$AO$14:AQ$19,COLUMN()-50,0)&lt;=0,1,IF($Q117&lt;0,1,ROUNDUP(IF($Q117*('Draft Center'!$L$28+'Draft Center'!$L$78-'Draft Center'!$L$82)&lt;1,1,$Q117*('Draft Center'!$L$28+'Draft Center'!$L$78-'Draft Center'!$L$82)),0)))</f>
        <v>1</v>
      </c>
      <c r="BB117" s="70">
        <f>IF(VLOOKUP($D117,$AO$14:AR$19,COLUMN()-50,0)&lt;=0,1,IF($Q117&lt;0,1,ROUNDUP(IF($Q117*('Draft Center'!$L$28+'Draft Center'!$L$78-'Draft Center'!$L$82)&lt;1,1,$Q117*('Draft Center'!$L$28+'Draft Center'!$L$78-'Draft Center'!$L$82)),0)))</f>
        <v>1</v>
      </c>
      <c r="BC117" s="70">
        <f>IF(VLOOKUP($D117,$AO$14:AS$19,COLUMN()-50,0)&lt;=0,1,IF($Q117&lt;0,1,ROUNDUP(IF($Q117*('Draft Center'!$L$28+'Draft Center'!$L$78-'Draft Center'!$L$82)&lt;1,1,$Q117*('Draft Center'!$L$28+'Draft Center'!$L$78-'Draft Center'!$L$82)),0)))</f>
        <v>1</v>
      </c>
      <c r="BD117" s="70">
        <f>IF(VLOOKUP($D117,$AO$14:AT$19,COLUMN()-50,0)&lt;=0,1,IF($Q117&lt;0,1,ROUNDUP(IF($Q117*('Draft Center'!$L$28+'Draft Center'!$L$78-'Draft Center'!$L$82)&lt;1,1,$Q117*('Draft Center'!$L$28+'Draft Center'!$L$78-'Draft Center'!$L$82)),0)))</f>
        <v>1</v>
      </c>
      <c r="BE117" s="70">
        <f>IF(VLOOKUP($D117,$AO$14:AU$19,COLUMN()-50,0)&lt;=0,1,IF($Q117&lt;0,1,ROUNDUP(IF($Q117*('Draft Center'!$L$28+'Draft Center'!$L$78-'Draft Center'!$L$82)&lt;1,1,$Q117*('Draft Center'!$L$28+'Draft Center'!$L$78-'Draft Center'!$L$82)),0)))</f>
        <v>1</v>
      </c>
      <c r="BF117" s="70">
        <f>IF(VLOOKUP($D117,$AO$14:AV$19,COLUMN()-50,0)&lt;=0,1,IF($Q117&lt;0,1,ROUNDUP(IF($Q117*('Draft Center'!$L$28+'Draft Center'!$L$78-'Draft Center'!$L$82)&lt;1,1,$Q117*('Draft Center'!$L$28+'Draft Center'!$L$78-'Draft Center'!$L$82)),0)))</f>
        <v>1</v>
      </c>
      <c r="BG117" s="70">
        <f>IF(VLOOKUP($D117,$AO$14:AW$19,COLUMN()-50,0)&lt;=0,1,IF($Q117&lt;0,1,ROUNDUP(IF($Q117*('Draft Center'!$L$28+'Draft Center'!$L$78-'Draft Center'!$L$82)&lt;1,1,$Q117*('Draft Center'!$L$28+'Draft Center'!$L$78-'Draft Center'!$L$82)),0)))</f>
        <v>1</v>
      </c>
      <c r="BH117" s="70">
        <f>IF(VLOOKUP($D117,$AO$14:AX$19,COLUMN()-50,0)&lt;=0,1,IF($Q117&lt;0,1,ROUNDUP(IF($Q117*('Draft Center'!$L$28+'Draft Center'!$L$78-'Draft Center'!$L$82)&lt;1,1,$Q117*('Draft Center'!$L$28+'Draft Center'!$L$78-'Draft Center'!$L$82)),0)))</f>
        <v>1</v>
      </c>
      <c r="BI117" s="70">
        <f>IF(VLOOKUP($D117,$AO$14:AY$19,COLUMN()-50,0)&lt;=0,1,IF($Q117&lt;0,1,ROUNDUP(IF($Q117*('Draft Center'!$L$28+'Draft Center'!$L$78-'Draft Center'!$L$82)&lt;1,1,$Q117*('Draft Center'!$L$28+'Draft Center'!$L$78-'Draft Center'!$L$82)),0)))</f>
        <v>1</v>
      </c>
      <c r="BJ117" s="196"/>
      <c r="BK117" s="23">
        <v>0</v>
      </c>
      <c r="BL117" s="23" t="str">
        <f t="shared" si="57"/>
        <v/>
      </c>
      <c r="BM117" s="23">
        <v>0</v>
      </c>
      <c r="BN117" s="23" t="str">
        <f t="shared" si="57"/>
        <v/>
      </c>
      <c r="BO117" s="23" t="str">
        <f t="shared" si="57"/>
        <v/>
      </c>
      <c r="BP117" s="23">
        <f t="shared" si="57"/>
        <v>0</v>
      </c>
      <c r="BQ117" s="23" t="str">
        <f t="shared" si="57"/>
        <v/>
      </c>
      <c r="BR117" s="23">
        <f t="shared" si="42"/>
        <v>0</v>
      </c>
      <c r="BS117" s="23">
        <f t="shared" si="43"/>
        <v>0</v>
      </c>
      <c r="BT117" s="70">
        <v>1</v>
      </c>
      <c r="BU117" s="58">
        <v>2327.0337</v>
      </c>
      <c r="BV117" s="33">
        <v>1</v>
      </c>
      <c r="BW117" s="204">
        <v>2327.0337</v>
      </c>
      <c r="BX117" s="23"/>
      <c r="BY117" s="70">
        <v>1</v>
      </c>
      <c r="BZ117" s="70">
        <v>1.4</v>
      </c>
      <c r="CA117" s="70">
        <v>1.4</v>
      </c>
      <c r="CB117" s="70">
        <v>1.4</v>
      </c>
      <c r="CC117" s="70">
        <f t="shared" si="46"/>
        <v>1.3999999999999997</v>
      </c>
      <c r="CD117" s="70">
        <f t="shared" si="47"/>
        <v>1.4</v>
      </c>
    </row>
    <row r="118" spans="1:82" ht="15.75" customHeight="1" thickBot="1" x14ac:dyDescent="0.3">
      <c r="A118" s="9">
        <v>117</v>
      </c>
      <c r="B118" s="10" t="s">
        <v>283</v>
      </c>
      <c r="C118" s="10" t="s">
        <v>57</v>
      </c>
      <c r="D118" s="10" t="s">
        <v>135</v>
      </c>
      <c r="E118" s="51">
        <v>-6.9805482555505201</v>
      </c>
      <c r="F118" s="51">
        <v>101.75101042138699</v>
      </c>
      <c r="G118" s="51">
        <v>119.45174418604699</v>
      </c>
      <c r="H118" s="51">
        <v>63.5</v>
      </c>
      <c r="I118" s="11">
        <v>0</v>
      </c>
      <c r="J118" s="51">
        <v>8.1948333429490496</v>
      </c>
      <c r="K118" s="249">
        <f>IFERROR(VLOOKUP(C118,Schedule!$T$3:$U$34,2,0),"FA")</f>
        <v>11</v>
      </c>
      <c r="L118" s="10" t="str">
        <f>D118&amp;COUNTIF(D$2:$D118,D118)</f>
        <v>DST17</v>
      </c>
      <c r="M118" s="51">
        <f t="array" ref="M118">IFERROR(F118-AVERAGE(VLOOKUP(D118,$D119:$F$885,3,0),INDEX($F119:$F$885,SMALL(IF(D118=$D119:$D$885,ROW($D119:$D$885)-ROW(D118)),2))),0)</f>
        <v>2.8112437698237471</v>
      </c>
      <c r="N118" s="51">
        <f>IFERROR(IF(VLOOKUP($B118,Input!$AC$2:$AC$162,1,0)=$B118,0),F118)</f>
        <v>101.75101042138699</v>
      </c>
      <c r="O118" s="51">
        <f>IFERROR(IF(VLOOKUP($B118,Input!$AC$2:$AC$162,1,0)=$B118,0,G118),G118)</f>
        <v>119.45174418604699</v>
      </c>
      <c r="P118" s="51">
        <f>IF(N118=0,0,F118-AVERAGE(INDEX(F:F,MATCH(VLOOKUP(D118,Input!$A$14:$L$22,10,0),L:L,0)),INDEX(F:F,MATCH(VLOOKUP(D118,Input!$A$14:$L$22,11,0),L:L,0)),INDEX(F:F,MATCH(VLOOKUP(D118,Input!$A$14:$L$22,12,0),L:L,0)))+(0.01-ROW()*0.01))</f>
        <v>-7.1073765292250197</v>
      </c>
      <c r="Q118" s="107">
        <f t="shared" si="38"/>
        <v>-2.4519947311085837E-3</v>
      </c>
      <c r="R118" s="11">
        <f>IF(VLOOKUP($D118,$X$14:$Y$19,2,0)&lt;=0,1,IF(Q118&lt;0,1,ROUNDUP(IF(Q118*('Draft Center'!$L$28+'Draft Center'!$L$78-'Draft Center'!$L$82)&lt;1,1,Q118*('Draft Center'!$L$28+'Draft Center'!$L$78-'Draft Center'!$L$82)),0)))</f>
        <v>1</v>
      </c>
      <c r="S118" s="11">
        <f>IF(A118&lt;Input!$B$10+0.1,IF(ROUNDUP(R118*Input!$C$10,0)=0,1,ROUNDUP(R118*Input!$C$10,0)),IF(A118&gt;Input!$B$11,IF(ROUNDUP(R118*Input!$C$11,0)=0,1,ROUNDUP(R118*Input!$C$11,0)),IF(ROUNDUP(R118,0)=0,1,ROUNDUP(R118,0))))</f>
        <v>1</v>
      </c>
      <c r="T118" s="11">
        <f t="shared" si="39"/>
        <v>1</v>
      </c>
      <c r="U118" s="11">
        <f>IFERROR(VLOOKUP($B118,Input!$AC$2:$AE$161,3,0),0)</f>
        <v>0</v>
      </c>
      <c r="V118" s="257">
        <f t="shared" si="44"/>
        <v>0</v>
      </c>
      <c r="W118" s="264">
        <f t="shared" si="45"/>
        <v>1.00118</v>
      </c>
      <c r="X118" s="27"/>
      <c r="Y118" s="23"/>
      <c r="Z118" s="23"/>
      <c r="AA118" s="23">
        <v>0</v>
      </c>
      <c r="AB118" s="23" t="str">
        <f t="shared" si="56"/>
        <v/>
      </c>
      <c r="AC118" s="23" t="str">
        <f t="shared" si="56"/>
        <v/>
      </c>
      <c r="AD118" s="23" t="str">
        <f t="shared" si="56"/>
        <v/>
      </c>
      <c r="AE118" s="23" t="str">
        <f t="shared" si="56"/>
        <v/>
      </c>
      <c r="AF118" s="23">
        <f t="shared" si="56"/>
        <v>0</v>
      </c>
      <c r="AG118" s="23" t="str">
        <f t="shared" si="56"/>
        <v/>
      </c>
      <c r="AH118" s="23">
        <f t="shared" si="40"/>
        <v>0</v>
      </c>
      <c r="AI118" s="23">
        <f t="shared" si="41"/>
        <v>0</v>
      </c>
      <c r="AJ118" s="69">
        <v>1</v>
      </c>
      <c r="AK118" s="225">
        <v>2327.0337</v>
      </c>
      <c r="AL118" s="33">
        <v>1</v>
      </c>
      <c r="AM118" s="204">
        <v>2327.0337</v>
      </c>
      <c r="AN118" s="196"/>
      <c r="AO118" s="23"/>
      <c r="AP118" s="23"/>
      <c r="AQ118" s="23"/>
      <c r="AR118" s="23"/>
      <c r="AS118" s="23"/>
      <c r="AT118" s="23"/>
      <c r="AU118" s="23"/>
      <c r="AV118" s="23"/>
      <c r="AW118" s="23"/>
      <c r="AX118" s="23"/>
      <c r="AY118" s="23"/>
      <c r="AZ118" s="196"/>
      <c r="BA118" s="69">
        <f>IF(VLOOKUP($D118,$AO$14:AQ$19,COLUMN()-50,0)&lt;=0,1,IF($Q118&lt;0,1,ROUNDUP(IF($Q118*('Draft Center'!$L$28+'Draft Center'!$L$78-'Draft Center'!$L$82)&lt;1,1,$Q118*('Draft Center'!$L$28+'Draft Center'!$L$78-'Draft Center'!$L$82)),0)))</f>
        <v>1</v>
      </c>
      <c r="BB118" s="69">
        <f>IF(VLOOKUP($D118,$AO$14:AR$19,COLUMN()-50,0)&lt;=0,1,IF($Q118&lt;0,1,ROUNDUP(IF($Q118*('Draft Center'!$L$28+'Draft Center'!$L$78-'Draft Center'!$L$82)&lt;1,1,$Q118*('Draft Center'!$L$28+'Draft Center'!$L$78-'Draft Center'!$L$82)),0)))</f>
        <v>1</v>
      </c>
      <c r="BC118" s="69">
        <f>IF(VLOOKUP($D118,$AO$14:AS$19,COLUMN()-50,0)&lt;=0,1,IF($Q118&lt;0,1,ROUNDUP(IF($Q118*('Draft Center'!$L$28+'Draft Center'!$L$78-'Draft Center'!$L$82)&lt;1,1,$Q118*('Draft Center'!$L$28+'Draft Center'!$L$78-'Draft Center'!$L$82)),0)))</f>
        <v>1</v>
      </c>
      <c r="BD118" s="69">
        <f>IF(VLOOKUP($D118,$AO$14:AT$19,COLUMN()-50,0)&lt;=0,1,IF($Q118&lt;0,1,ROUNDUP(IF($Q118*('Draft Center'!$L$28+'Draft Center'!$L$78-'Draft Center'!$L$82)&lt;1,1,$Q118*('Draft Center'!$L$28+'Draft Center'!$L$78-'Draft Center'!$L$82)),0)))</f>
        <v>1</v>
      </c>
      <c r="BE118" s="69">
        <f>IF(VLOOKUP($D118,$AO$14:AU$19,COLUMN()-50,0)&lt;=0,1,IF($Q118&lt;0,1,ROUNDUP(IF($Q118*('Draft Center'!$L$28+'Draft Center'!$L$78-'Draft Center'!$L$82)&lt;1,1,$Q118*('Draft Center'!$L$28+'Draft Center'!$L$78-'Draft Center'!$L$82)),0)))</f>
        <v>1</v>
      </c>
      <c r="BF118" s="69">
        <f>IF(VLOOKUP($D118,$AO$14:AV$19,COLUMN()-50,0)&lt;=0,1,IF($Q118&lt;0,1,ROUNDUP(IF($Q118*('Draft Center'!$L$28+'Draft Center'!$L$78-'Draft Center'!$L$82)&lt;1,1,$Q118*('Draft Center'!$L$28+'Draft Center'!$L$78-'Draft Center'!$L$82)),0)))</f>
        <v>1</v>
      </c>
      <c r="BG118" s="69">
        <f>IF(VLOOKUP($D118,$AO$14:AW$19,COLUMN()-50,0)&lt;=0,1,IF($Q118&lt;0,1,ROUNDUP(IF($Q118*('Draft Center'!$L$28+'Draft Center'!$L$78-'Draft Center'!$L$82)&lt;1,1,$Q118*('Draft Center'!$L$28+'Draft Center'!$L$78-'Draft Center'!$L$82)),0)))</f>
        <v>1</v>
      </c>
      <c r="BH118" s="69">
        <f>IF(VLOOKUP($D118,$AO$14:AX$19,COLUMN()-50,0)&lt;=0,1,IF($Q118&lt;0,1,ROUNDUP(IF($Q118*('Draft Center'!$L$28+'Draft Center'!$L$78-'Draft Center'!$L$82)&lt;1,1,$Q118*('Draft Center'!$L$28+'Draft Center'!$L$78-'Draft Center'!$L$82)),0)))</f>
        <v>1</v>
      </c>
      <c r="BI118" s="69">
        <f>IF(VLOOKUP($D118,$AO$14:AY$19,COLUMN()-50,0)&lt;=0,1,IF($Q118&lt;0,1,ROUNDUP(IF($Q118*('Draft Center'!$L$28+'Draft Center'!$L$78-'Draft Center'!$L$82)&lt;1,1,$Q118*('Draft Center'!$L$28+'Draft Center'!$L$78-'Draft Center'!$L$82)),0)))</f>
        <v>1</v>
      </c>
      <c r="BJ118" s="196"/>
      <c r="BK118" s="23">
        <v>0</v>
      </c>
      <c r="BL118" s="23" t="str">
        <f t="shared" si="57"/>
        <v/>
      </c>
      <c r="BM118" s="23">
        <v>0</v>
      </c>
      <c r="BN118" s="23" t="str">
        <f t="shared" si="57"/>
        <v/>
      </c>
      <c r="BO118" s="23" t="str">
        <f t="shared" si="57"/>
        <v/>
      </c>
      <c r="BP118" s="23">
        <f t="shared" si="57"/>
        <v>0</v>
      </c>
      <c r="BQ118" s="23" t="str">
        <f t="shared" si="57"/>
        <v/>
      </c>
      <c r="BR118" s="23">
        <f t="shared" si="42"/>
        <v>0</v>
      </c>
      <c r="BS118" s="23">
        <f t="shared" si="43"/>
        <v>0</v>
      </c>
      <c r="BT118" s="69">
        <v>1</v>
      </c>
      <c r="BU118" s="58">
        <v>2327.0337</v>
      </c>
      <c r="BV118" s="33">
        <v>1</v>
      </c>
      <c r="BW118" s="204">
        <v>2327.0337</v>
      </c>
      <c r="BX118" s="23"/>
      <c r="BY118" s="69">
        <v>1</v>
      </c>
      <c r="BZ118" s="69">
        <v>0</v>
      </c>
      <c r="CA118" s="69">
        <v>0</v>
      </c>
      <c r="CB118" s="69">
        <v>0</v>
      </c>
      <c r="CC118" s="69">
        <f t="shared" si="46"/>
        <v>0</v>
      </c>
      <c r="CD118" s="69">
        <f t="shared" si="47"/>
        <v>0</v>
      </c>
    </row>
    <row r="119" spans="1:82" ht="15.75" customHeight="1" thickBot="1" x14ac:dyDescent="0.3">
      <c r="A119" s="6">
        <v>118</v>
      </c>
      <c r="B119" s="7" t="s">
        <v>30</v>
      </c>
      <c r="C119" s="7" t="s">
        <v>93</v>
      </c>
      <c r="D119" s="7" t="s">
        <v>19</v>
      </c>
      <c r="E119" s="50">
        <v>-7.0001773567788597</v>
      </c>
      <c r="F119" s="50">
        <v>162.10222066917299</v>
      </c>
      <c r="G119" s="50">
        <v>184.05386879394601</v>
      </c>
      <c r="H119" s="50">
        <v>116.765873262752</v>
      </c>
      <c r="I119" s="8">
        <v>2.4</v>
      </c>
      <c r="J119" s="50">
        <v>5.5407789311687896</v>
      </c>
      <c r="K119" s="248">
        <f>IFERROR(VLOOKUP(C119,Schedule!$T$3:$U$34,2,0),"FA")</f>
        <v>11</v>
      </c>
      <c r="L119" s="7" t="str">
        <f>D119&amp;COUNTIF(D$2:$D119,D119)</f>
        <v>RB30</v>
      </c>
      <c r="M119" s="50">
        <f t="array" ref="M119">IFERROR(F119-AVERAGE(VLOOKUP(D119,$D120:$F$885,3,0),INDEX($F120:$F$885,SMALL(IF(D119=$D120:$D$885,ROW($D120:$D$885)-ROW(D119)),2))),0)</f>
        <v>1.2027590810369873</v>
      </c>
      <c r="N119" s="50">
        <f>IFERROR(IF(VLOOKUP($B119,Input!$AC$2:$AC$162,1,0)=$B119,0),F119)</f>
        <v>162.10222066917299</v>
      </c>
      <c r="O119" s="50">
        <f>IFERROR(IF(VLOOKUP($B119,Input!$AC$2:$AC$162,1,0)=$B119,0,G119),G119)</f>
        <v>184.05386879394601</v>
      </c>
      <c r="P119" s="50">
        <f>IF(N119=0,0,F119-AVERAGE(INDEX(F:F,MATCH(VLOOKUP(D119,Input!$A$14:$L$22,10,0),L:L,0)),INDEX(F:F,MATCH(VLOOKUP(D119,Input!$A$14:$L$22,11,0),L:L,0)),INDEX(F:F,MATCH(VLOOKUP(D119,Input!$A$14:$L$22,12,0),L:L,0)))+(0.01-ROW()*0.01))</f>
        <v>-8.180177356779005</v>
      </c>
      <c r="Q119" s="106">
        <f t="shared" si="38"/>
        <v>-2.8221034436377241E-3</v>
      </c>
      <c r="R119" s="8">
        <f>IF(VLOOKUP($D119,$X$14:$Y$19,2,0)&lt;=0,1,IF(Q119&lt;0,1,ROUNDUP(IF(Q119*('Draft Center'!$L$28+'Draft Center'!$L$78-'Draft Center'!$L$82)&lt;1,1,Q119*('Draft Center'!$L$28+'Draft Center'!$L$78-'Draft Center'!$L$82)),0)))</f>
        <v>1</v>
      </c>
      <c r="S119" s="8">
        <f>IF(A119&lt;Input!$B$10+0.1,IF(ROUNDUP(R119*Input!$C$10,0)=0,1,ROUNDUP(R119*Input!$C$10,0)),IF(A119&gt;Input!$B$11,IF(ROUNDUP(R119*Input!$C$11,0)=0,1,ROUNDUP(R119*Input!$C$11,0)),IF(ROUNDUP(R119,0)=0,1,ROUNDUP(R119,0))))</f>
        <v>1</v>
      </c>
      <c r="T119" s="8">
        <f t="shared" si="39"/>
        <v>1</v>
      </c>
      <c r="U119" s="8">
        <f>IFERROR(VLOOKUP($B119,Input!$AC$2:$AE$161,3,0),0)</f>
        <v>0</v>
      </c>
      <c r="V119" s="256">
        <f t="shared" si="44"/>
        <v>-0.58214333333333335</v>
      </c>
      <c r="W119" s="263">
        <f t="shared" si="45"/>
        <v>-1.3988099999999999</v>
      </c>
      <c r="X119" s="27"/>
      <c r="Y119" s="23"/>
      <c r="Z119" s="23"/>
      <c r="AA119" s="23">
        <v>0</v>
      </c>
      <c r="AB119" s="23" t="str">
        <f t="shared" si="56"/>
        <v/>
      </c>
      <c r="AC119" s="23">
        <f t="shared" si="56"/>
        <v>0</v>
      </c>
      <c r="AD119" s="23" t="str">
        <f t="shared" si="56"/>
        <v/>
      </c>
      <c r="AE119" s="23" t="str">
        <f t="shared" si="56"/>
        <v/>
      </c>
      <c r="AF119" s="23" t="str">
        <f t="shared" si="56"/>
        <v/>
      </c>
      <c r="AG119" s="23" t="str">
        <f t="shared" si="56"/>
        <v/>
      </c>
      <c r="AH119" s="23">
        <f t="shared" si="40"/>
        <v>0</v>
      </c>
      <c r="AI119" s="23">
        <f t="shared" si="41"/>
        <v>0</v>
      </c>
      <c r="AJ119" s="70">
        <v>1</v>
      </c>
      <c r="AK119" s="225">
        <v>2327.0337</v>
      </c>
      <c r="AL119" s="33">
        <v>1</v>
      </c>
      <c r="AM119" s="204">
        <v>2327.0337</v>
      </c>
      <c r="AN119" s="196"/>
      <c r="AO119" s="23"/>
      <c r="AP119" s="23"/>
      <c r="AQ119" s="23"/>
      <c r="AR119" s="23"/>
      <c r="AS119" s="23"/>
      <c r="AT119" s="23"/>
      <c r="AU119" s="23"/>
      <c r="AV119" s="23"/>
      <c r="AW119" s="23"/>
      <c r="AX119" s="23"/>
      <c r="AY119" s="23"/>
      <c r="AZ119" s="196"/>
      <c r="BA119" s="70">
        <f>IF(VLOOKUP($D119,$AO$14:AQ$19,COLUMN()-50,0)&lt;=0,1,IF($Q119&lt;0,1,ROUNDUP(IF($Q119*('Draft Center'!$L$28+'Draft Center'!$L$78-'Draft Center'!$L$82)&lt;1,1,$Q119*('Draft Center'!$L$28+'Draft Center'!$L$78-'Draft Center'!$L$82)),0)))</f>
        <v>1</v>
      </c>
      <c r="BB119" s="70">
        <f>IF(VLOOKUP($D119,$AO$14:AR$19,COLUMN()-50,0)&lt;=0,1,IF($Q119&lt;0,1,ROUNDUP(IF($Q119*('Draft Center'!$L$28+'Draft Center'!$L$78-'Draft Center'!$L$82)&lt;1,1,$Q119*('Draft Center'!$L$28+'Draft Center'!$L$78-'Draft Center'!$L$82)),0)))</f>
        <v>1</v>
      </c>
      <c r="BC119" s="70">
        <f>IF(VLOOKUP($D119,$AO$14:AS$19,COLUMN()-50,0)&lt;=0,1,IF($Q119&lt;0,1,ROUNDUP(IF($Q119*('Draft Center'!$L$28+'Draft Center'!$L$78-'Draft Center'!$L$82)&lt;1,1,$Q119*('Draft Center'!$L$28+'Draft Center'!$L$78-'Draft Center'!$L$82)),0)))</f>
        <v>1</v>
      </c>
      <c r="BD119" s="70">
        <f>IF(VLOOKUP($D119,$AO$14:AT$19,COLUMN()-50,0)&lt;=0,1,IF($Q119&lt;0,1,ROUNDUP(IF($Q119*('Draft Center'!$L$28+'Draft Center'!$L$78-'Draft Center'!$L$82)&lt;1,1,$Q119*('Draft Center'!$L$28+'Draft Center'!$L$78-'Draft Center'!$L$82)),0)))</f>
        <v>1</v>
      </c>
      <c r="BE119" s="70">
        <f>IF(VLOOKUP($D119,$AO$14:AU$19,COLUMN()-50,0)&lt;=0,1,IF($Q119&lt;0,1,ROUNDUP(IF($Q119*('Draft Center'!$L$28+'Draft Center'!$L$78-'Draft Center'!$L$82)&lt;1,1,$Q119*('Draft Center'!$L$28+'Draft Center'!$L$78-'Draft Center'!$L$82)),0)))</f>
        <v>1</v>
      </c>
      <c r="BF119" s="70">
        <f>IF(VLOOKUP($D119,$AO$14:AV$19,COLUMN()-50,0)&lt;=0,1,IF($Q119&lt;0,1,ROUNDUP(IF($Q119*('Draft Center'!$L$28+'Draft Center'!$L$78-'Draft Center'!$L$82)&lt;1,1,$Q119*('Draft Center'!$L$28+'Draft Center'!$L$78-'Draft Center'!$L$82)),0)))</f>
        <v>1</v>
      </c>
      <c r="BG119" s="70">
        <f>IF(VLOOKUP($D119,$AO$14:AW$19,COLUMN()-50,0)&lt;=0,1,IF($Q119&lt;0,1,ROUNDUP(IF($Q119*('Draft Center'!$L$28+'Draft Center'!$L$78-'Draft Center'!$L$82)&lt;1,1,$Q119*('Draft Center'!$L$28+'Draft Center'!$L$78-'Draft Center'!$L$82)),0)))</f>
        <v>1</v>
      </c>
      <c r="BH119" s="70">
        <f>IF(VLOOKUP($D119,$AO$14:AX$19,COLUMN()-50,0)&lt;=0,1,IF($Q119&lt;0,1,ROUNDUP(IF($Q119*('Draft Center'!$L$28+'Draft Center'!$L$78-'Draft Center'!$L$82)&lt;1,1,$Q119*('Draft Center'!$L$28+'Draft Center'!$L$78-'Draft Center'!$L$82)),0)))</f>
        <v>1</v>
      </c>
      <c r="BI119" s="70">
        <f>IF(VLOOKUP($D119,$AO$14:AY$19,COLUMN()-50,0)&lt;=0,1,IF($Q119&lt;0,1,ROUNDUP(IF($Q119*('Draft Center'!$L$28+'Draft Center'!$L$78-'Draft Center'!$L$82)&lt;1,1,$Q119*('Draft Center'!$L$28+'Draft Center'!$L$78-'Draft Center'!$L$82)),0)))</f>
        <v>1</v>
      </c>
      <c r="BJ119" s="196"/>
      <c r="BK119" s="23">
        <v>0</v>
      </c>
      <c r="BL119" s="23" t="str">
        <f t="shared" si="57"/>
        <v/>
      </c>
      <c r="BM119" s="23">
        <v>0</v>
      </c>
      <c r="BN119" s="23" t="str">
        <f t="shared" si="57"/>
        <v/>
      </c>
      <c r="BO119" s="23" t="str">
        <f t="shared" si="57"/>
        <v/>
      </c>
      <c r="BP119" s="23" t="str">
        <f t="shared" si="57"/>
        <v/>
      </c>
      <c r="BQ119" s="23" t="str">
        <f t="shared" si="57"/>
        <v/>
      </c>
      <c r="BR119" s="23">
        <f t="shared" si="42"/>
        <v>0</v>
      </c>
      <c r="BS119" s="23">
        <f t="shared" si="43"/>
        <v>0</v>
      </c>
      <c r="BT119" s="70">
        <v>1</v>
      </c>
      <c r="BU119" s="58">
        <v>2327.0337</v>
      </c>
      <c r="BV119" s="33">
        <v>1</v>
      </c>
      <c r="BW119" s="204">
        <v>2327.0337</v>
      </c>
      <c r="BX119" s="23"/>
      <c r="BY119" s="70">
        <v>1</v>
      </c>
      <c r="BZ119" s="70">
        <v>2.4</v>
      </c>
      <c r="CA119" s="70">
        <v>2.4</v>
      </c>
      <c r="CB119" s="70">
        <v>2.4</v>
      </c>
      <c r="CC119" s="70">
        <f t="shared" si="46"/>
        <v>2.4</v>
      </c>
      <c r="CD119" s="70">
        <f t="shared" si="47"/>
        <v>2.4</v>
      </c>
    </row>
    <row r="120" spans="1:82" ht="15.75" customHeight="1" thickBot="1" x14ac:dyDescent="0.3">
      <c r="A120" s="9">
        <v>119</v>
      </c>
      <c r="B120" s="10" t="s">
        <v>206</v>
      </c>
      <c r="C120" s="10" t="s">
        <v>66</v>
      </c>
      <c r="D120" s="10" t="s">
        <v>147</v>
      </c>
      <c r="E120" s="51">
        <v>-7.0617496004350198</v>
      </c>
      <c r="F120" s="51">
        <v>124.307238830538</v>
      </c>
      <c r="G120" s="51">
        <v>128.27513347219099</v>
      </c>
      <c r="H120" s="51">
        <v>115.04188965329099</v>
      </c>
      <c r="I120" s="11">
        <v>0</v>
      </c>
      <c r="J120" s="51">
        <v>4.31781508561353</v>
      </c>
      <c r="K120" s="249">
        <f>IFERROR(VLOOKUP(C120,Schedule!$T$3:$U$34,2,0),"FA")</f>
        <v>7</v>
      </c>
      <c r="L120" s="10" t="str">
        <f>D120&amp;COUNTIF(D$2:$D120,D120)</f>
        <v>K17</v>
      </c>
      <c r="M120" s="51">
        <f t="array" ref="M120">IFERROR(F120-AVERAGE(VLOOKUP(D120,$D121:$F$885,3,0),INDEX($F121:$F$885,SMALL(IF(D120=$D121:$D$885,ROW($D121:$D$885)-ROW(D120)),2))),0)</f>
        <v>2.3179245913624982</v>
      </c>
      <c r="N120" s="51">
        <f>IFERROR(IF(VLOOKUP($B120,Input!$AC$2:$AC$162,1,0)=$B120,0),F120)</f>
        <v>124.307238830538</v>
      </c>
      <c r="O120" s="51">
        <f>IFERROR(IF(VLOOKUP($B120,Input!$AC$2:$AC$162,1,0)=$B120,0,G120),G120)</f>
        <v>128.27513347219099</v>
      </c>
      <c r="P120" s="51">
        <f>IF(N120=0,0,F120-AVERAGE(INDEX(F:F,MATCH(VLOOKUP(D120,Input!$A$14:$L$22,10,0),L:L,0)),INDEX(F:F,MATCH(VLOOKUP(D120,Input!$A$14:$L$22,11,0),L:L,0)),INDEX(F:F,MATCH(VLOOKUP(D120,Input!$A$14:$L$22,12,0),L:L,0)))+(0.01-ROW()*0.01))</f>
        <v>-8.4257427515899952</v>
      </c>
      <c r="Q120" s="107">
        <f t="shared" si="38"/>
        <v>-2.90682177138401E-3</v>
      </c>
      <c r="R120" s="11">
        <f>IF(VLOOKUP($D120,$X$14:$Y$19,2,0)&lt;=0,1,IF(Q120&lt;0,1,ROUNDUP(IF(Q120*('Draft Center'!$L$28+'Draft Center'!$L$78-'Draft Center'!$L$82)&lt;1,1,Q120*('Draft Center'!$L$28+'Draft Center'!$L$78-'Draft Center'!$L$82)),0)))</f>
        <v>1</v>
      </c>
      <c r="S120" s="11">
        <f>IF(A120&lt;Input!$B$10+0.1,IF(ROUNDUP(R120*Input!$C$10,0)=0,1,ROUNDUP(R120*Input!$C$10,0)),IF(A120&gt;Input!$B$11,IF(ROUNDUP(R120*Input!$C$11,0)=0,1,ROUNDUP(R120*Input!$C$11,0)),IF(ROUNDUP(R120,0)=0,1,ROUNDUP(R120,0))))</f>
        <v>1</v>
      </c>
      <c r="T120" s="11">
        <f t="shared" si="39"/>
        <v>1</v>
      </c>
      <c r="U120" s="11">
        <f>IFERROR(VLOOKUP($B120,Input!$AC$2:$AE$161,3,0),0)</f>
        <v>0</v>
      </c>
      <c r="V120" s="257">
        <f t="shared" si="44"/>
        <v>0</v>
      </c>
      <c r="W120" s="264">
        <f t="shared" si="45"/>
        <v>1.0012000000000001</v>
      </c>
      <c r="X120" s="27"/>
      <c r="Y120" s="23"/>
      <c r="Z120" s="23"/>
      <c r="AA120" s="23">
        <v>0</v>
      </c>
      <c r="AB120" s="23" t="str">
        <f t="shared" si="56"/>
        <v/>
      </c>
      <c r="AC120" s="23" t="str">
        <f t="shared" si="56"/>
        <v/>
      </c>
      <c r="AD120" s="23" t="str">
        <f t="shared" si="56"/>
        <v/>
      </c>
      <c r="AE120" s="23" t="str">
        <f t="shared" si="56"/>
        <v/>
      </c>
      <c r="AF120" s="23" t="str">
        <f t="shared" si="56"/>
        <v/>
      </c>
      <c r="AG120" s="23">
        <f t="shared" si="56"/>
        <v>0</v>
      </c>
      <c r="AH120" s="23">
        <f t="shared" si="40"/>
        <v>0</v>
      </c>
      <c r="AI120" s="23">
        <f t="shared" si="41"/>
        <v>0</v>
      </c>
      <c r="AJ120" s="69">
        <v>1</v>
      </c>
      <c r="AK120" s="225">
        <v>2327.0337</v>
      </c>
      <c r="AL120" s="33">
        <v>1</v>
      </c>
      <c r="AM120" s="204">
        <v>2327.0337</v>
      </c>
      <c r="AN120" s="196"/>
      <c r="AO120" s="23"/>
      <c r="AP120" s="23"/>
      <c r="AQ120" s="23"/>
      <c r="AR120" s="23"/>
      <c r="AS120" s="23"/>
      <c r="AT120" s="23"/>
      <c r="AU120" s="23"/>
      <c r="AV120" s="23"/>
      <c r="AW120" s="23"/>
      <c r="AX120" s="23"/>
      <c r="AY120" s="23"/>
      <c r="AZ120" s="196"/>
      <c r="BA120" s="69">
        <f>IF(VLOOKUP($D120,$AO$14:AQ$19,COLUMN()-50,0)&lt;=0,1,IF($Q120&lt;0,1,ROUNDUP(IF($Q120*('Draft Center'!$L$28+'Draft Center'!$L$78-'Draft Center'!$L$82)&lt;1,1,$Q120*('Draft Center'!$L$28+'Draft Center'!$L$78-'Draft Center'!$L$82)),0)))</f>
        <v>1</v>
      </c>
      <c r="BB120" s="69">
        <f>IF(VLOOKUP($D120,$AO$14:AR$19,COLUMN()-50,0)&lt;=0,1,IF($Q120&lt;0,1,ROUNDUP(IF($Q120*('Draft Center'!$L$28+'Draft Center'!$L$78-'Draft Center'!$L$82)&lt;1,1,$Q120*('Draft Center'!$L$28+'Draft Center'!$L$78-'Draft Center'!$L$82)),0)))</f>
        <v>1</v>
      </c>
      <c r="BC120" s="69">
        <f>IF(VLOOKUP($D120,$AO$14:AS$19,COLUMN()-50,0)&lt;=0,1,IF($Q120&lt;0,1,ROUNDUP(IF($Q120*('Draft Center'!$L$28+'Draft Center'!$L$78-'Draft Center'!$L$82)&lt;1,1,$Q120*('Draft Center'!$L$28+'Draft Center'!$L$78-'Draft Center'!$L$82)),0)))</f>
        <v>1</v>
      </c>
      <c r="BD120" s="69">
        <f>IF(VLOOKUP($D120,$AO$14:AT$19,COLUMN()-50,0)&lt;=0,1,IF($Q120&lt;0,1,ROUNDUP(IF($Q120*('Draft Center'!$L$28+'Draft Center'!$L$78-'Draft Center'!$L$82)&lt;1,1,$Q120*('Draft Center'!$L$28+'Draft Center'!$L$78-'Draft Center'!$L$82)),0)))</f>
        <v>1</v>
      </c>
      <c r="BE120" s="69">
        <f>IF(VLOOKUP($D120,$AO$14:AU$19,COLUMN()-50,0)&lt;=0,1,IF($Q120&lt;0,1,ROUNDUP(IF($Q120*('Draft Center'!$L$28+'Draft Center'!$L$78-'Draft Center'!$L$82)&lt;1,1,$Q120*('Draft Center'!$L$28+'Draft Center'!$L$78-'Draft Center'!$L$82)),0)))</f>
        <v>1</v>
      </c>
      <c r="BF120" s="69">
        <f>IF(VLOOKUP($D120,$AO$14:AV$19,COLUMN()-50,0)&lt;=0,1,IF($Q120&lt;0,1,ROUNDUP(IF($Q120*('Draft Center'!$L$28+'Draft Center'!$L$78-'Draft Center'!$L$82)&lt;1,1,$Q120*('Draft Center'!$L$28+'Draft Center'!$L$78-'Draft Center'!$L$82)),0)))</f>
        <v>1</v>
      </c>
      <c r="BG120" s="69">
        <f>IF(VLOOKUP($D120,$AO$14:AW$19,COLUMN()-50,0)&lt;=0,1,IF($Q120&lt;0,1,ROUNDUP(IF($Q120*('Draft Center'!$L$28+'Draft Center'!$L$78-'Draft Center'!$L$82)&lt;1,1,$Q120*('Draft Center'!$L$28+'Draft Center'!$L$78-'Draft Center'!$L$82)),0)))</f>
        <v>1</v>
      </c>
      <c r="BH120" s="69">
        <f>IF(VLOOKUP($D120,$AO$14:AX$19,COLUMN()-50,0)&lt;=0,1,IF($Q120&lt;0,1,ROUNDUP(IF($Q120*('Draft Center'!$L$28+'Draft Center'!$L$78-'Draft Center'!$L$82)&lt;1,1,$Q120*('Draft Center'!$L$28+'Draft Center'!$L$78-'Draft Center'!$L$82)),0)))</f>
        <v>1</v>
      </c>
      <c r="BI120" s="69">
        <f>IF(VLOOKUP($D120,$AO$14:AY$19,COLUMN()-50,0)&lt;=0,1,IF($Q120&lt;0,1,ROUNDUP(IF($Q120*('Draft Center'!$L$28+'Draft Center'!$L$78-'Draft Center'!$L$82)&lt;1,1,$Q120*('Draft Center'!$L$28+'Draft Center'!$L$78-'Draft Center'!$L$82)),0)))</f>
        <v>1</v>
      </c>
      <c r="BJ120" s="196"/>
      <c r="BK120" s="23">
        <v>0</v>
      </c>
      <c r="BL120" s="23" t="str">
        <f t="shared" si="57"/>
        <v/>
      </c>
      <c r="BM120" s="23">
        <v>0</v>
      </c>
      <c r="BN120" s="23" t="str">
        <f t="shared" si="57"/>
        <v/>
      </c>
      <c r="BO120" s="23" t="str">
        <f t="shared" si="57"/>
        <v/>
      </c>
      <c r="BP120" s="23" t="str">
        <f t="shared" si="57"/>
        <v/>
      </c>
      <c r="BQ120" s="23">
        <f t="shared" si="57"/>
        <v>0</v>
      </c>
      <c r="BR120" s="23">
        <f t="shared" si="42"/>
        <v>0</v>
      </c>
      <c r="BS120" s="23">
        <f t="shared" si="43"/>
        <v>0</v>
      </c>
      <c r="BT120" s="69">
        <v>1</v>
      </c>
      <c r="BU120" s="58">
        <v>2327.0337</v>
      </c>
      <c r="BV120" s="33">
        <v>1</v>
      </c>
      <c r="BW120" s="204">
        <v>2327.0337</v>
      </c>
      <c r="BX120" s="23"/>
      <c r="BY120" s="69">
        <v>1</v>
      </c>
      <c r="BZ120" s="69">
        <v>0</v>
      </c>
      <c r="CA120" s="69">
        <v>0</v>
      </c>
      <c r="CB120" s="69">
        <v>0</v>
      </c>
      <c r="CC120" s="69">
        <f t="shared" si="46"/>
        <v>0</v>
      </c>
      <c r="CD120" s="69">
        <f t="shared" si="47"/>
        <v>0</v>
      </c>
    </row>
    <row r="121" spans="1:82" ht="15.75" customHeight="1" thickBot="1" x14ac:dyDescent="0.3">
      <c r="A121" s="6">
        <v>120</v>
      </c>
      <c r="B121" s="7" t="s">
        <v>107</v>
      </c>
      <c r="C121" s="7" t="s">
        <v>36</v>
      </c>
      <c r="D121" s="7" t="s">
        <v>19</v>
      </c>
      <c r="E121" s="50">
        <v>-7.9967239909964603</v>
      </c>
      <c r="F121" s="50">
        <v>161.105674034955</v>
      </c>
      <c r="G121" s="50">
        <v>183.260952140374</v>
      </c>
      <c r="H121" s="50">
        <v>142.86225361590999</v>
      </c>
      <c r="I121" s="8">
        <v>3.5</v>
      </c>
      <c r="J121" s="50">
        <v>5.3140376112434904</v>
      </c>
      <c r="K121" s="248">
        <f>IFERROR(VLOOKUP(C121,Schedule!$T$3:$U$34,2,0),"FA")</f>
        <v>7</v>
      </c>
      <c r="L121" s="7" t="str">
        <f>D121&amp;COUNTIF(D$2:$D121,D121)</f>
        <v>RB31</v>
      </c>
      <c r="M121" s="50">
        <f t="array" ref="M121">IFERROR(F121-AVERAGE(VLOOKUP(D121,$D122:$F$885,3,0),INDEX($F122:$F$885,SMALL(IF(D121=$D122:$D$885,ROW($D122:$D$885)-ROW(D121)),2))),0)</f>
        <v>1.7508778330369807</v>
      </c>
      <c r="N121" s="50">
        <f>IFERROR(IF(VLOOKUP($B121,Input!$AC$2:$AC$162,1,0)=$B121,0),F121)</f>
        <v>161.105674034955</v>
      </c>
      <c r="O121" s="50">
        <f>IFERROR(IF(VLOOKUP($B121,Input!$AC$2:$AC$162,1,0)=$B121,0,G121),G121)</f>
        <v>183.260952140374</v>
      </c>
      <c r="P121" s="50">
        <f>IF(N121=0,0,F121-AVERAGE(INDEX(F:F,MATCH(VLOOKUP(D121,Input!$A$14:$L$22,10,0),L:L,0)),INDEX(F:F,MATCH(VLOOKUP(D121,Input!$A$14:$L$22,11,0),L:L,0)),INDEX(F:F,MATCH(VLOOKUP(D121,Input!$A$14:$L$22,12,0),L:L,0)))+(0.01-ROW()*0.01))</f>
        <v>-9.1967239909969969</v>
      </c>
      <c r="Q121" s="106">
        <f t="shared" si="38"/>
        <v>-3.1728048565682794E-3</v>
      </c>
      <c r="R121" s="8">
        <f>IF(VLOOKUP($D121,$X$14:$Y$19,2,0)&lt;=0,1,IF(Q121&lt;0,1,ROUNDUP(IF(Q121*('Draft Center'!$L$28+'Draft Center'!$L$78-'Draft Center'!$L$82)&lt;1,1,Q121*('Draft Center'!$L$28+'Draft Center'!$L$78-'Draft Center'!$L$82)),0)))</f>
        <v>1</v>
      </c>
      <c r="S121" s="8">
        <f>IF(A121&lt;Input!$B$10+0.1,IF(ROUNDUP(R121*Input!$C$10,0)=0,1,ROUNDUP(R121*Input!$C$10,0)),IF(A121&gt;Input!$B$11,IF(ROUNDUP(R121*Input!$C$11,0)=0,1,ROUNDUP(R121*Input!$C$11,0)),IF(ROUNDUP(R121,0)=0,1,ROUNDUP(R121,0))))</f>
        <v>1</v>
      </c>
      <c r="T121" s="8">
        <f t="shared" si="39"/>
        <v>1</v>
      </c>
      <c r="U121" s="8">
        <f>IFERROR(VLOOKUP($B121,Input!$AC$2:$AE$161,3,0),0)</f>
        <v>0</v>
      </c>
      <c r="V121" s="256">
        <f t="shared" si="44"/>
        <v>-0.71307571428571426</v>
      </c>
      <c r="W121" s="263">
        <f t="shared" si="45"/>
        <v>-2.4987900000000001</v>
      </c>
      <c r="X121" s="27"/>
      <c r="Y121" s="23"/>
      <c r="Z121" s="23"/>
      <c r="AA121" s="23">
        <v>0</v>
      </c>
      <c r="AB121" s="23" t="str">
        <f t="shared" si="56"/>
        <v/>
      </c>
      <c r="AC121" s="23">
        <f t="shared" si="56"/>
        <v>0</v>
      </c>
      <c r="AD121" s="23" t="str">
        <f t="shared" si="56"/>
        <v/>
      </c>
      <c r="AE121" s="23" t="str">
        <f t="shared" si="56"/>
        <v/>
      </c>
      <c r="AF121" s="23" t="str">
        <f t="shared" si="56"/>
        <v/>
      </c>
      <c r="AG121" s="23" t="str">
        <f t="shared" si="56"/>
        <v/>
      </c>
      <c r="AH121" s="23">
        <f t="shared" si="40"/>
        <v>0</v>
      </c>
      <c r="AI121" s="23">
        <f t="shared" si="41"/>
        <v>0</v>
      </c>
      <c r="AJ121" s="70">
        <v>1</v>
      </c>
      <c r="AK121" s="225">
        <v>2327.0337</v>
      </c>
      <c r="AL121" s="33">
        <v>1</v>
      </c>
      <c r="AM121" s="204">
        <v>2327.0337</v>
      </c>
      <c r="AN121" s="196"/>
      <c r="AO121" s="23"/>
      <c r="AP121" s="23"/>
      <c r="AQ121" s="23"/>
      <c r="AR121" s="23"/>
      <c r="AS121" s="23"/>
      <c r="AT121" s="23"/>
      <c r="AU121" s="23"/>
      <c r="AV121" s="23"/>
      <c r="AW121" s="23"/>
      <c r="AX121" s="23"/>
      <c r="AY121" s="23"/>
      <c r="AZ121" s="196"/>
      <c r="BA121" s="70">
        <f>IF(VLOOKUP($D121,$AO$14:AQ$19,COLUMN()-50,0)&lt;=0,1,IF($Q121&lt;0,1,ROUNDUP(IF($Q121*('Draft Center'!$L$28+'Draft Center'!$L$78-'Draft Center'!$L$82)&lt;1,1,$Q121*('Draft Center'!$L$28+'Draft Center'!$L$78-'Draft Center'!$L$82)),0)))</f>
        <v>1</v>
      </c>
      <c r="BB121" s="70">
        <f>IF(VLOOKUP($D121,$AO$14:AR$19,COLUMN()-50,0)&lt;=0,1,IF($Q121&lt;0,1,ROUNDUP(IF($Q121*('Draft Center'!$L$28+'Draft Center'!$L$78-'Draft Center'!$L$82)&lt;1,1,$Q121*('Draft Center'!$L$28+'Draft Center'!$L$78-'Draft Center'!$L$82)),0)))</f>
        <v>1</v>
      </c>
      <c r="BC121" s="70">
        <f>IF(VLOOKUP($D121,$AO$14:AS$19,COLUMN()-50,0)&lt;=0,1,IF($Q121&lt;0,1,ROUNDUP(IF($Q121*('Draft Center'!$L$28+'Draft Center'!$L$78-'Draft Center'!$L$82)&lt;1,1,$Q121*('Draft Center'!$L$28+'Draft Center'!$L$78-'Draft Center'!$L$82)),0)))</f>
        <v>1</v>
      </c>
      <c r="BD121" s="70">
        <f>IF(VLOOKUP($D121,$AO$14:AT$19,COLUMN()-50,0)&lt;=0,1,IF($Q121&lt;0,1,ROUNDUP(IF($Q121*('Draft Center'!$L$28+'Draft Center'!$L$78-'Draft Center'!$L$82)&lt;1,1,$Q121*('Draft Center'!$L$28+'Draft Center'!$L$78-'Draft Center'!$L$82)),0)))</f>
        <v>1</v>
      </c>
      <c r="BE121" s="70">
        <f>IF(VLOOKUP($D121,$AO$14:AU$19,COLUMN()-50,0)&lt;=0,1,IF($Q121&lt;0,1,ROUNDUP(IF($Q121*('Draft Center'!$L$28+'Draft Center'!$L$78-'Draft Center'!$L$82)&lt;1,1,$Q121*('Draft Center'!$L$28+'Draft Center'!$L$78-'Draft Center'!$L$82)),0)))</f>
        <v>1</v>
      </c>
      <c r="BF121" s="70">
        <f>IF(VLOOKUP($D121,$AO$14:AV$19,COLUMN()-50,0)&lt;=0,1,IF($Q121&lt;0,1,ROUNDUP(IF($Q121*('Draft Center'!$L$28+'Draft Center'!$L$78-'Draft Center'!$L$82)&lt;1,1,$Q121*('Draft Center'!$L$28+'Draft Center'!$L$78-'Draft Center'!$L$82)),0)))</f>
        <v>1</v>
      </c>
      <c r="BG121" s="70">
        <f>IF(VLOOKUP($D121,$AO$14:AW$19,COLUMN()-50,0)&lt;=0,1,IF($Q121&lt;0,1,ROUNDUP(IF($Q121*('Draft Center'!$L$28+'Draft Center'!$L$78-'Draft Center'!$L$82)&lt;1,1,$Q121*('Draft Center'!$L$28+'Draft Center'!$L$78-'Draft Center'!$L$82)),0)))</f>
        <v>1</v>
      </c>
      <c r="BH121" s="70">
        <f>IF(VLOOKUP($D121,$AO$14:AX$19,COLUMN()-50,0)&lt;=0,1,IF($Q121&lt;0,1,ROUNDUP(IF($Q121*('Draft Center'!$L$28+'Draft Center'!$L$78-'Draft Center'!$L$82)&lt;1,1,$Q121*('Draft Center'!$L$28+'Draft Center'!$L$78-'Draft Center'!$L$82)),0)))</f>
        <v>1</v>
      </c>
      <c r="BI121" s="70">
        <f>IF(VLOOKUP($D121,$AO$14:AY$19,COLUMN()-50,0)&lt;=0,1,IF($Q121&lt;0,1,ROUNDUP(IF($Q121*('Draft Center'!$L$28+'Draft Center'!$L$78-'Draft Center'!$L$82)&lt;1,1,$Q121*('Draft Center'!$L$28+'Draft Center'!$L$78-'Draft Center'!$L$82)),0)))</f>
        <v>1</v>
      </c>
      <c r="BJ121" s="196"/>
      <c r="BK121" s="23">
        <v>0</v>
      </c>
      <c r="BL121" s="23" t="str">
        <f t="shared" si="57"/>
        <v/>
      </c>
      <c r="BM121" s="23">
        <v>0</v>
      </c>
      <c r="BN121" s="23" t="str">
        <f t="shared" si="57"/>
        <v/>
      </c>
      <c r="BO121" s="23" t="str">
        <f t="shared" si="57"/>
        <v/>
      </c>
      <c r="BP121" s="23" t="str">
        <f t="shared" si="57"/>
        <v/>
      </c>
      <c r="BQ121" s="23" t="str">
        <f t="shared" si="57"/>
        <v/>
      </c>
      <c r="BR121" s="23">
        <f t="shared" si="42"/>
        <v>0</v>
      </c>
      <c r="BS121" s="23">
        <f t="shared" si="43"/>
        <v>0</v>
      </c>
      <c r="BT121" s="70">
        <v>1</v>
      </c>
      <c r="BU121" s="58">
        <v>2327.0337</v>
      </c>
      <c r="BV121" s="33">
        <v>1</v>
      </c>
      <c r="BW121" s="204">
        <v>2327.0337</v>
      </c>
      <c r="BX121" s="23"/>
      <c r="BY121" s="70">
        <v>1</v>
      </c>
      <c r="BZ121" s="70">
        <v>3.5</v>
      </c>
      <c r="CA121" s="70">
        <v>3.5</v>
      </c>
      <c r="CB121" s="70">
        <v>3.5</v>
      </c>
      <c r="CC121" s="70">
        <f t="shared" si="46"/>
        <v>3.5</v>
      </c>
      <c r="CD121" s="70">
        <f t="shared" si="47"/>
        <v>3.5</v>
      </c>
    </row>
    <row r="122" spans="1:82" ht="15.75" customHeight="1" thickBot="1" x14ac:dyDescent="0.3">
      <c r="A122" s="9">
        <v>121</v>
      </c>
      <c r="B122" s="10" t="s">
        <v>786</v>
      </c>
      <c r="C122" s="10" t="s">
        <v>927</v>
      </c>
      <c r="D122" s="10" t="s">
        <v>43</v>
      </c>
      <c r="E122" s="51">
        <v>-8.3628136404751405</v>
      </c>
      <c r="F122" s="51">
        <v>145.09810571173401</v>
      </c>
      <c r="G122" s="51">
        <v>165.22749012345699</v>
      </c>
      <c r="H122" s="51">
        <v>95.878290439510593</v>
      </c>
      <c r="I122" s="11">
        <v>1.4</v>
      </c>
      <c r="J122" s="51">
        <v>3.1257214778565099</v>
      </c>
      <c r="K122" s="249">
        <f>IFERROR(VLOOKUP(C122,Schedule!$T$3:$U$34,2,0),"FA")</f>
        <v>9</v>
      </c>
      <c r="L122" s="10" t="str">
        <f>D122&amp;COUNTIF(D$2:$D122,D122)</f>
        <v>TE14</v>
      </c>
      <c r="M122" s="51">
        <f t="array" ref="M122">IFERROR(F122-AVERAGE(VLOOKUP(D122,$D123:$F$885,3,0),INDEX($F123:$F$885,SMALL(IF(D122=$D123:$D$885,ROW($D123:$D$885)-ROW(D122)),2))),0)</f>
        <v>10.268567756658513</v>
      </c>
      <c r="N122" s="51">
        <f>IFERROR(IF(VLOOKUP($B122,Input!$AC$2:$AC$162,1,0)=$B122,0),F122)</f>
        <v>145.09810571173401</v>
      </c>
      <c r="O122" s="51">
        <f>IFERROR(IF(VLOOKUP($B122,Input!$AC$2:$AC$162,1,0)=$B122,0,G122),G122)</f>
        <v>165.22749012345699</v>
      </c>
      <c r="P122" s="51">
        <f>IF(N122=0,0,F122-AVERAGE(INDEX(F:F,MATCH(VLOOKUP(D122,Input!$A$14:$L$22,10,0),L:L,0)),INDEX(F:F,MATCH(VLOOKUP(D122,Input!$A$14:$L$22,11,0),L:L,0)),INDEX(F:F,MATCH(VLOOKUP(D122,Input!$A$14:$L$22,12,0),L:L,0)))+(0.01-ROW()*0.01))</f>
        <v>-9.5728136404753101</v>
      </c>
      <c r="Q122" s="107">
        <f t="shared" si="38"/>
        <v>-3.3025531307948387E-3</v>
      </c>
      <c r="R122" s="11">
        <f>IF(VLOOKUP($D122,$X$14:$Y$19,2,0)&lt;=0,1,IF(Q122&lt;0,1,ROUNDUP(IF(Q122*('Draft Center'!$L$28+'Draft Center'!$L$78-'Draft Center'!$L$82)&lt;1,1,Q122*('Draft Center'!$L$28+'Draft Center'!$L$78-'Draft Center'!$L$82)),0)))</f>
        <v>1</v>
      </c>
      <c r="S122" s="11">
        <f>IF(A122&lt;Input!$B$10+0.1,IF(ROUNDUP(R122*Input!$C$10,0)=0,1,ROUNDUP(R122*Input!$C$10,0)),IF(A122&gt;Input!$B$11,IF(ROUNDUP(R122*Input!$C$11,0)=0,1,ROUNDUP(R122*Input!$C$11,0)),IF(ROUNDUP(R122,0)=0,1,ROUNDUP(R122,0))))</f>
        <v>1</v>
      </c>
      <c r="T122" s="11">
        <f t="shared" si="39"/>
        <v>1</v>
      </c>
      <c r="U122" s="11">
        <f>IFERROR(VLOOKUP($B122,Input!$AC$2:$AE$161,3,0),0)</f>
        <v>0</v>
      </c>
      <c r="V122" s="257">
        <f t="shared" si="44"/>
        <v>-0.28449428571428564</v>
      </c>
      <c r="W122" s="264">
        <f t="shared" si="45"/>
        <v>-0.39877999999999991</v>
      </c>
      <c r="X122" s="27"/>
      <c r="Y122" s="23"/>
      <c r="Z122" s="23"/>
      <c r="AA122" s="23">
        <v>0</v>
      </c>
      <c r="AB122" s="23" t="str">
        <f t="shared" ref="AB122:AG131" si="58">IF($D122=AB$1,1*$AA122,"")</f>
        <v/>
      </c>
      <c r="AC122" s="23" t="str">
        <f t="shared" si="58"/>
        <v/>
      </c>
      <c r="AD122" s="23" t="str">
        <f t="shared" si="58"/>
        <v/>
      </c>
      <c r="AE122" s="23">
        <f t="shared" si="58"/>
        <v>0</v>
      </c>
      <c r="AF122" s="23" t="str">
        <f t="shared" si="58"/>
        <v/>
      </c>
      <c r="AG122" s="23" t="str">
        <f t="shared" si="58"/>
        <v/>
      </c>
      <c r="AH122" s="23">
        <f t="shared" si="40"/>
        <v>0</v>
      </c>
      <c r="AI122" s="23">
        <f t="shared" si="41"/>
        <v>0</v>
      </c>
      <c r="AJ122" s="69">
        <v>1</v>
      </c>
      <c r="AK122" s="225">
        <v>2327.0337</v>
      </c>
      <c r="AL122" s="33">
        <v>1</v>
      </c>
      <c r="AM122" s="204">
        <v>2327.0337</v>
      </c>
      <c r="AN122" s="196"/>
      <c r="AO122" s="23"/>
      <c r="AP122" s="23"/>
      <c r="AQ122" s="23"/>
      <c r="AR122" s="23"/>
      <c r="AS122" s="23"/>
      <c r="AT122" s="23"/>
      <c r="AU122" s="23"/>
      <c r="AV122" s="23"/>
      <c r="AW122" s="23"/>
      <c r="AX122" s="23"/>
      <c r="AY122" s="23"/>
      <c r="AZ122" s="196"/>
      <c r="BA122" s="69">
        <f>IF(VLOOKUP($D122,$AO$14:AQ$19,COLUMN()-50,0)&lt;=0,1,IF($Q122&lt;0,1,ROUNDUP(IF($Q122*('Draft Center'!$L$28+'Draft Center'!$L$78-'Draft Center'!$L$82)&lt;1,1,$Q122*('Draft Center'!$L$28+'Draft Center'!$L$78-'Draft Center'!$L$82)),0)))</f>
        <v>1</v>
      </c>
      <c r="BB122" s="69">
        <f>IF(VLOOKUP($D122,$AO$14:AR$19,COLUMN()-50,0)&lt;=0,1,IF($Q122&lt;0,1,ROUNDUP(IF($Q122*('Draft Center'!$L$28+'Draft Center'!$L$78-'Draft Center'!$L$82)&lt;1,1,$Q122*('Draft Center'!$L$28+'Draft Center'!$L$78-'Draft Center'!$L$82)),0)))</f>
        <v>1</v>
      </c>
      <c r="BC122" s="69">
        <f>IF(VLOOKUP($D122,$AO$14:AS$19,COLUMN()-50,0)&lt;=0,1,IF($Q122&lt;0,1,ROUNDUP(IF($Q122*('Draft Center'!$L$28+'Draft Center'!$L$78-'Draft Center'!$L$82)&lt;1,1,$Q122*('Draft Center'!$L$28+'Draft Center'!$L$78-'Draft Center'!$L$82)),0)))</f>
        <v>1</v>
      </c>
      <c r="BD122" s="69">
        <f>IF(VLOOKUP($D122,$AO$14:AT$19,COLUMN()-50,0)&lt;=0,1,IF($Q122&lt;0,1,ROUNDUP(IF($Q122*('Draft Center'!$L$28+'Draft Center'!$L$78-'Draft Center'!$L$82)&lt;1,1,$Q122*('Draft Center'!$L$28+'Draft Center'!$L$78-'Draft Center'!$L$82)),0)))</f>
        <v>1</v>
      </c>
      <c r="BE122" s="69">
        <f>IF(VLOOKUP($D122,$AO$14:AU$19,COLUMN()-50,0)&lt;=0,1,IF($Q122&lt;0,1,ROUNDUP(IF($Q122*('Draft Center'!$L$28+'Draft Center'!$L$78-'Draft Center'!$L$82)&lt;1,1,$Q122*('Draft Center'!$L$28+'Draft Center'!$L$78-'Draft Center'!$L$82)),0)))</f>
        <v>1</v>
      </c>
      <c r="BF122" s="69">
        <f>IF(VLOOKUP($D122,$AO$14:AV$19,COLUMN()-50,0)&lt;=0,1,IF($Q122&lt;0,1,ROUNDUP(IF($Q122*('Draft Center'!$L$28+'Draft Center'!$L$78-'Draft Center'!$L$82)&lt;1,1,$Q122*('Draft Center'!$L$28+'Draft Center'!$L$78-'Draft Center'!$L$82)),0)))</f>
        <v>1</v>
      </c>
      <c r="BG122" s="69">
        <f>IF(VLOOKUP($D122,$AO$14:AW$19,COLUMN()-50,0)&lt;=0,1,IF($Q122&lt;0,1,ROUNDUP(IF($Q122*('Draft Center'!$L$28+'Draft Center'!$L$78-'Draft Center'!$L$82)&lt;1,1,$Q122*('Draft Center'!$L$28+'Draft Center'!$L$78-'Draft Center'!$L$82)),0)))</f>
        <v>1</v>
      </c>
      <c r="BH122" s="69">
        <f>IF(VLOOKUP($D122,$AO$14:AX$19,COLUMN()-50,0)&lt;=0,1,IF($Q122&lt;0,1,ROUNDUP(IF($Q122*('Draft Center'!$L$28+'Draft Center'!$L$78-'Draft Center'!$L$82)&lt;1,1,$Q122*('Draft Center'!$L$28+'Draft Center'!$L$78-'Draft Center'!$L$82)),0)))</f>
        <v>1</v>
      </c>
      <c r="BI122" s="69">
        <f>IF(VLOOKUP($D122,$AO$14:AY$19,COLUMN()-50,0)&lt;=0,1,IF($Q122&lt;0,1,ROUNDUP(IF($Q122*('Draft Center'!$L$28+'Draft Center'!$L$78-'Draft Center'!$L$82)&lt;1,1,$Q122*('Draft Center'!$L$28+'Draft Center'!$L$78-'Draft Center'!$L$82)),0)))</f>
        <v>1</v>
      </c>
      <c r="BJ122" s="196"/>
      <c r="BK122" s="23">
        <v>0</v>
      </c>
      <c r="BL122" s="23" t="str">
        <f t="shared" ref="BL122:BQ131" si="59">IF($D122=BL$1,1*$BK122,"")</f>
        <v/>
      </c>
      <c r="BM122" s="23">
        <v>0</v>
      </c>
      <c r="BN122" s="23" t="str">
        <f t="shared" si="59"/>
        <v/>
      </c>
      <c r="BO122" s="23">
        <f t="shared" si="59"/>
        <v>0</v>
      </c>
      <c r="BP122" s="23" t="str">
        <f t="shared" si="59"/>
        <v/>
      </c>
      <c r="BQ122" s="23" t="str">
        <f t="shared" si="59"/>
        <v/>
      </c>
      <c r="BR122" s="23">
        <f t="shared" si="42"/>
        <v>0</v>
      </c>
      <c r="BS122" s="23">
        <f t="shared" si="43"/>
        <v>0</v>
      </c>
      <c r="BT122" s="69">
        <v>1</v>
      </c>
      <c r="BU122" s="58">
        <v>2327.0337</v>
      </c>
      <c r="BV122" s="33">
        <v>1</v>
      </c>
      <c r="BW122" s="204">
        <v>2327.0337</v>
      </c>
      <c r="BX122" s="23"/>
      <c r="BY122" s="69">
        <v>1</v>
      </c>
      <c r="BZ122" s="69">
        <v>1.4</v>
      </c>
      <c r="CA122" s="69">
        <v>1.4</v>
      </c>
      <c r="CB122" s="69">
        <v>1.4</v>
      </c>
      <c r="CC122" s="69">
        <f t="shared" si="46"/>
        <v>1.3999999999999997</v>
      </c>
      <c r="CD122" s="69">
        <f t="shared" si="47"/>
        <v>1.4</v>
      </c>
    </row>
    <row r="123" spans="1:82" ht="15.75" customHeight="1" thickBot="1" x14ac:dyDescent="0.3">
      <c r="A123" s="6">
        <v>122</v>
      </c>
      <c r="B123" s="7" t="s">
        <v>251</v>
      </c>
      <c r="C123" s="7" t="s">
        <v>48</v>
      </c>
      <c r="D123" s="7" t="s">
        <v>19</v>
      </c>
      <c r="E123" s="50">
        <v>-8.4091488846350693</v>
      </c>
      <c r="F123" s="50">
        <v>160.69324914131701</v>
      </c>
      <c r="G123" s="50">
        <v>182.50092987719901</v>
      </c>
      <c r="H123" s="50">
        <v>131.76472007874401</v>
      </c>
      <c r="I123" s="8">
        <v>1.9</v>
      </c>
      <c r="J123" s="50">
        <v>4.9616767340524701</v>
      </c>
      <c r="K123" s="248">
        <f>IFERROR(VLOOKUP(C123,Schedule!$T$3:$U$34,2,0),"FA")</f>
        <v>10</v>
      </c>
      <c r="L123" s="7" t="str">
        <f>D123&amp;COUNTIF(D$2:$D123,D123)</f>
        <v>RB32</v>
      </c>
      <c r="M123" s="50">
        <f t="array" ref="M123">IFERROR(F123-AVERAGE(VLOOKUP(D123,$D124:$F$885,3,0),INDEX($F124:$F$885,SMALL(IF(D123=$D124:$D$885,ROW($D124:$D$885)-ROW(D123)),2))),0)</f>
        <v>3.5670343625395162</v>
      </c>
      <c r="N123" s="50">
        <f>IFERROR(IF(VLOOKUP($B123,Input!$AC$2:$AC$162,1,0)=$B123,0),F123)</f>
        <v>160.69324914131701</v>
      </c>
      <c r="O123" s="50">
        <f>IFERROR(IF(VLOOKUP($B123,Input!$AC$2:$AC$162,1,0)=$B123,0,G123),G123)</f>
        <v>182.50092987719901</v>
      </c>
      <c r="P123" s="50">
        <f>IF(N123=0,0,F123-AVERAGE(INDEX(F:F,MATCH(VLOOKUP(D123,Input!$A$14:$L$22,10,0),L:L,0)),INDEX(F:F,MATCH(VLOOKUP(D123,Input!$A$14:$L$22,11,0),L:L,0)),INDEX(F:F,MATCH(VLOOKUP(D123,Input!$A$14:$L$22,12,0),L:L,0)))+(0.01-ROW()*0.01))</f>
        <v>-9.6291488846349882</v>
      </c>
      <c r="Q123" s="106">
        <f t="shared" si="38"/>
        <v>-3.3219883923554508E-3</v>
      </c>
      <c r="R123" s="8">
        <f>IF(VLOOKUP($D123,$X$14:$Y$19,2,0)&lt;=0,1,IF(Q123&lt;0,1,ROUNDUP(IF(Q123*('Draft Center'!$L$28+'Draft Center'!$L$78-'Draft Center'!$L$82)&lt;1,1,Q123*('Draft Center'!$L$28+'Draft Center'!$L$78-'Draft Center'!$L$82)),0)))</f>
        <v>1</v>
      </c>
      <c r="S123" s="8">
        <f>IF(A123&lt;Input!$B$10+0.1,IF(ROUNDUP(R123*Input!$C$10,0)=0,1,ROUNDUP(R123*Input!$C$10,0)),IF(A123&gt;Input!$B$11,IF(ROUNDUP(R123*Input!$C$11,0)=0,1,ROUNDUP(R123*Input!$C$11,0)),IF(ROUNDUP(R123,0)=0,1,ROUNDUP(R123,0))))</f>
        <v>1</v>
      </c>
      <c r="T123" s="8">
        <f t="shared" si="39"/>
        <v>1</v>
      </c>
      <c r="U123" s="8">
        <f>IFERROR(VLOOKUP($B123,Input!$AC$2:$AE$161,3,0),0)</f>
        <v>0</v>
      </c>
      <c r="V123" s="256">
        <f t="shared" si="44"/>
        <v>-0.47245421052631575</v>
      </c>
      <c r="W123" s="263">
        <f t="shared" si="45"/>
        <v>-0.89876999999999996</v>
      </c>
      <c r="X123" s="27"/>
      <c r="Y123" s="23"/>
      <c r="Z123" s="23"/>
      <c r="AA123" s="23">
        <v>0</v>
      </c>
      <c r="AB123" s="23" t="str">
        <f t="shared" si="58"/>
        <v/>
      </c>
      <c r="AC123" s="23">
        <f t="shared" si="58"/>
        <v>0</v>
      </c>
      <c r="AD123" s="23" t="str">
        <f t="shared" si="58"/>
        <v/>
      </c>
      <c r="AE123" s="23" t="str">
        <f t="shared" si="58"/>
        <v/>
      </c>
      <c r="AF123" s="23" t="str">
        <f t="shared" si="58"/>
        <v/>
      </c>
      <c r="AG123" s="23" t="str">
        <f t="shared" si="58"/>
        <v/>
      </c>
      <c r="AH123" s="23">
        <f t="shared" si="40"/>
        <v>0</v>
      </c>
      <c r="AI123" s="23">
        <f t="shared" si="41"/>
        <v>0</v>
      </c>
      <c r="AJ123" s="70">
        <v>1</v>
      </c>
      <c r="AK123" s="225">
        <v>2327.0337</v>
      </c>
      <c r="AL123" s="33">
        <v>1</v>
      </c>
      <c r="AM123" s="204">
        <v>2327.0337</v>
      </c>
      <c r="AN123" s="196"/>
      <c r="AO123" s="23"/>
      <c r="AP123" s="23"/>
      <c r="AQ123" s="23"/>
      <c r="AR123" s="23"/>
      <c r="AS123" s="23"/>
      <c r="AT123" s="23"/>
      <c r="AU123" s="23"/>
      <c r="AV123" s="23"/>
      <c r="AW123" s="23"/>
      <c r="AX123" s="23"/>
      <c r="AY123" s="23"/>
      <c r="AZ123" s="196"/>
      <c r="BA123" s="70">
        <f>IF(VLOOKUP($D123,$AO$14:AQ$19,COLUMN()-50,0)&lt;=0,1,IF($Q123&lt;0,1,ROUNDUP(IF($Q123*('Draft Center'!$L$28+'Draft Center'!$L$78-'Draft Center'!$L$82)&lt;1,1,$Q123*('Draft Center'!$L$28+'Draft Center'!$L$78-'Draft Center'!$L$82)),0)))</f>
        <v>1</v>
      </c>
      <c r="BB123" s="70">
        <f>IF(VLOOKUP($D123,$AO$14:AR$19,COLUMN()-50,0)&lt;=0,1,IF($Q123&lt;0,1,ROUNDUP(IF($Q123*('Draft Center'!$L$28+'Draft Center'!$L$78-'Draft Center'!$L$82)&lt;1,1,$Q123*('Draft Center'!$L$28+'Draft Center'!$L$78-'Draft Center'!$L$82)),0)))</f>
        <v>1</v>
      </c>
      <c r="BC123" s="70">
        <f>IF(VLOOKUP($D123,$AO$14:AS$19,COLUMN()-50,0)&lt;=0,1,IF($Q123&lt;0,1,ROUNDUP(IF($Q123*('Draft Center'!$L$28+'Draft Center'!$L$78-'Draft Center'!$L$82)&lt;1,1,$Q123*('Draft Center'!$L$28+'Draft Center'!$L$78-'Draft Center'!$L$82)),0)))</f>
        <v>1</v>
      </c>
      <c r="BD123" s="70">
        <f>IF(VLOOKUP($D123,$AO$14:AT$19,COLUMN()-50,0)&lt;=0,1,IF($Q123&lt;0,1,ROUNDUP(IF($Q123*('Draft Center'!$L$28+'Draft Center'!$L$78-'Draft Center'!$L$82)&lt;1,1,$Q123*('Draft Center'!$L$28+'Draft Center'!$L$78-'Draft Center'!$L$82)),0)))</f>
        <v>1</v>
      </c>
      <c r="BE123" s="70">
        <f>IF(VLOOKUP($D123,$AO$14:AU$19,COLUMN()-50,0)&lt;=0,1,IF($Q123&lt;0,1,ROUNDUP(IF($Q123*('Draft Center'!$L$28+'Draft Center'!$L$78-'Draft Center'!$L$82)&lt;1,1,$Q123*('Draft Center'!$L$28+'Draft Center'!$L$78-'Draft Center'!$L$82)),0)))</f>
        <v>1</v>
      </c>
      <c r="BF123" s="70">
        <f>IF(VLOOKUP($D123,$AO$14:AV$19,COLUMN()-50,0)&lt;=0,1,IF($Q123&lt;0,1,ROUNDUP(IF($Q123*('Draft Center'!$L$28+'Draft Center'!$L$78-'Draft Center'!$L$82)&lt;1,1,$Q123*('Draft Center'!$L$28+'Draft Center'!$L$78-'Draft Center'!$L$82)),0)))</f>
        <v>1</v>
      </c>
      <c r="BG123" s="70">
        <f>IF(VLOOKUP($D123,$AO$14:AW$19,COLUMN()-50,0)&lt;=0,1,IF($Q123&lt;0,1,ROUNDUP(IF($Q123*('Draft Center'!$L$28+'Draft Center'!$L$78-'Draft Center'!$L$82)&lt;1,1,$Q123*('Draft Center'!$L$28+'Draft Center'!$L$78-'Draft Center'!$L$82)),0)))</f>
        <v>1</v>
      </c>
      <c r="BH123" s="70">
        <f>IF(VLOOKUP($D123,$AO$14:AX$19,COLUMN()-50,0)&lt;=0,1,IF($Q123&lt;0,1,ROUNDUP(IF($Q123*('Draft Center'!$L$28+'Draft Center'!$L$78-'Draft Center'!$L$82)&lt;1,1,$Q123*('Draft Center'!$L$28+'Draft Center'!$L$78-'Draft Center'!$L$82)),0)))</f>
        <v>1</v>
      </c>
      <c r="BI123" s="70">
        <f>IF(VLOOKUP($D123,$AO$14:AY$19,COLUMN()-50,0)&lt;=0,1,IF($Q123&lt;0,1,ROUNDUP(IF($Q123*('Draft Center'!$L$28+'Draft Center'!$L$78-'Draft Center'!$L$82)&lt;1,1,$Q123*('Draft Center'!$L$28+'Draft Center'!$L$78-'Draft Center'!$L$82)),0)))</f>
        <v>1</v>
      </c>
      <c r="BJ123" s="196"/>
      <c r="BK123" s="23">
        <v>0</v>
      </c>
      <c r="BL123" s="23" t="str">
        <f t="shared" si="59"/>
        <v/>
      </c>
      <c r="BM123" s="23">
        <v>0</v>
      </c>
      <c r="BN123" s="23" t="str">
        <f t="shared" si="59"/>
        <v/>
      </c>
      <c r="BO123" s="23" t="str">
        <f t="shared" si="59"/>
        <v/>
      </c>
      <c r="BP123" s="23" t="str">
        <f t="shared" si="59"/>
        <v/>
      </c>
      <c r="BQ123" s="23" t="str">
        <f t="shared" si="59"/>
        <v/>
      </c>
      <c r="BR123" s="23">
        <f t="shared" si="42"/>
        <v>0</v>
      </c>
      <c r="BS123" s="23">
        <f t="shared" si="43"/>
        <v>0</v>
      </c>
      <c r="BT123" s="70">
        <v>1</v>
      </c>
      <c r="BU123" s="58">
        <v>2327.0337</v>
      </c>
      <c r="BV123" s="33">
        <v>1</v>
      </c>
      <c r="BW123" s="204">
        <v>2327.0337</v>
      </c>
      <c r="BX123" s="23"/>
      <c r="BY123" s="70">
        <v>1</v>
      </c>
      <c r="BZ123" s="70">
        <v>1.9</v>
      </c>
      <c r="CA123" s="70">
        <v>1.9</v>
      </c>
      <c r="CB123" s="70">
        <v>1.9</v>
      </c>
      <c r="CC123" s="70">
        <f t="shared" si="46"/>
        <v>1.8999999999999997</v>
      </c>
      <c r="CD123" s="70">
        <f t="shared" si="47"/>
        <v>1.9</v>
      </c>
    </row>
    <row r="124" spans="1:82" ht="15.75" customHeight="1" thickBot="1" x14ac:dyDescent="0.3">
      <c r="A124" s="9">
        <v>123</v>
      </c>
      <c r="B124" s="10" t="s">
        <v>378</v>
      </c>
      <c r="C124" s="10" t="s">
        <v>83</v>
      </c>
      <c r="D124" s="10" t="s">
        <v>17</v>
      </c>
      <c r="E124" s="51">
        <v>-8.8411631900569603</v>
      </c>
      <c r="F124" s="51">
        <v>203.936753079292</v>
      </c>
      <c r="G124" s="51">
        <v>219.321118053877</v>
      </c>
      <c r="H124" s="51">
        <v>164.913942122186</v>
      </c>
      <c r="I124" s="11">
        <v>7</v>
      </c>
      <c r="J124" s="51">
        <v>4.4392397767334799</v>
      </c>
      <c r="K124" s="249">
        <f>IFERROR(VLOOKUP(C124,Schedule!$T$3:$U$34,2,0),"FA")</f>
        <v>5</v>
      </c>
      <c r="L124" s="10" t="str">
        <f>D124&amp;COUNTIF(D$2:$D124,D124)</f>
        <v>WR30</v>
      </c>
      <c r="M124" s="51">
        <f t="array" ref="M124">IFERROR(F124-AVERAGE(VLOOKUP(D124,$D125:$F$885,3,0),INDEX($F125:$F$885,SMALL(IF(D124=$D125:$D$885,ROW($D125:$D$885)-ROW(D124)),2))),0)</f>
        <v>1.3449584711460147</v>
      </c>
      <c r="N124" s="51">
        <f>IFERROR(IF(VLOOKUP($B124,Input!$AC$2:$AC$162,1,0)=$B124,0),F124)</f>
        <v>203.936753079292</v>
      </c>
      <c r="O124" s="51">
        <f>IFERROR(IF(VLOOKUP($B124,Input!$AC$2:$AC$162,1,0)=$B124,0,G124),G124)</f>
        <v>219.321118053877</v>
      </c>
      <c r="P124" s="51">
        <f>IF(N124=0,0,F124-AVERAGE(INDEX(F:F,MATCH(VLOOKUP(D124,Input!$A$14:$L$22,10,0),L:L,0)),INDEX(F:F,MATCH(VLOOKUP(D124,Input!$A$14:$L$22,11,0),L:L,0)),INDEX(F:F,MATCH(VLOOKUP(D124,Input!$A$14:$L$22,12,0),L:L,0)))+(0.01-ROW()*0.01))</f>
        <v>-10.071163190057018</v>
      </c>
      <c r="Q124" s="107">
        <f t="shared" si="38"/>
        <v>-3.4744802075157791E-3</v>
      </c>
      <c r="R124" s="11">
        <f>IF(VLOOKUP($D124,$X$14:$Y$19,2,0)&lt;=0,1,IF(Q124&lt;0,1,ROUNDUP(IF(Q124*('Draft Center'!$L$28+'Draft Center'!$L$78-'Draft Center'!$L$82)&lt;1,1,Q124*('Draft Center'!$L$28+'Draft Center'!$L$78-'Draft Center'!$L$82)),0)))</f>
        <v>1</v>
      </c>
      <c r="S124" s="11">
        <f>IF(A124&lt;Input!$B$10+0.1,IF(ROUNDUP(R124*Input!$C$10,0)=0,1,ROUNDUP(R124*Input!$C$10,0)),IF(A124&gt;Input!$B$11,IF(ROUNDUP(R124*Input!$C$11,0)=0,1,ROUNDUP(R124*Input!$C$11,0)),IF(ROUNDUP(R124,0)=0,1,ROUNDUP(R124,0))))</f>
        <v>1</v>
      </c>
      <c r="T124" s="11">
        <f t="shared" si="39"/>
        <v>1</v>
      </c>
      <c r="U124" s="11">
        <f>IFERROR(VLOOKUP($B124,Input!$AC$2:$AE$161,3,0),0)</f>
        <v>0</v>
      </c>
      <c r="V124" s="257">
        <f t="shared" si="44"/>
        <v>-0.85590285714285708</v>
      </c>
      <c r="W124" s="264">
        <f t="shared" si="45"/>
        <v>-5.9987599999999999</v>
      </c>
      <c r="X124" s="27"/>
      <c r="Y124" s="23"/>
      <c r="Z124" s="23"/>
      <c r="AA124" s="23">
        <v>0</v>
      </c>
      <c r="AB124" s="23" t="str">
        <f t="shared" si="58"/>
        <v/>
      </c>
      <c r="AC124" s="23" t="str">
        <f t="shared" si="58"/>
        <v/>
      </c>
      <c r="AD124" s="23">
        <f t="shared" si="58"/>
        <v>0</v>
      </c>
      <c r="AE124" s="23" t="str">
        <f t="shared" si="58"/>
        <v/>
      </c>
      <c r="AF124" s="23" t="str">
        <f t="shared" si="58"/>
        <v/>
      </c>
      <c r="AG124" s="23" t="str">
        <f t="shared" si="58"/>
        <v/>
      </c>
      <c r="AH124" s="23">
        <f t="shared" si="40"/>
        <v>0</v>
      </c>
      <c r="AI124" s="23">
        <f t="shared" si="41"/>
        <v>0</v>
      </c>
      <c r="AJ124" s="69">
        <v>1</v>
      </c>
      <c r="AK124" s="225">
        <v>2327.0337</v>
      </c>
      <c r="AL124" s="33">
        <v>1</v>
      </c>
      <c r="AM124" s="204">
        <v>2327.0337</v>
      </c>
      <c r="AN124" s="196"/>
      <c r="AO124" s="23"/>
      <c r="AP124" s="23"/>
      <c r="AQ124" s="23"/>
      <c r="AR124" s="23"/>
      <c r="AS124" s="23"/>
      <c r="AT124" s="23"/>
      <c r="AU124" s="23"/>
      <c r="AV124" s="23"/>
      <c r="AW124" s="23"/>
      <c r="AX124" s="23"/>
      <c r="AY124" s="23"/>
      <c r="AZ124" s="196"/>
      <c r="BA124" s="69">
        <f>IF(VLOOKUP($D124,$AO$14:AQ$19,COLUMN()-50,0)&lt;=0,1,IF($Q124&lt;0,1,ROUNDUP(IF($Q124*('Draft Center'!$L$28+'Draft Center'!$L$78-'Draft Center'!$L$82)&lt;1,1,$Q124*('Draft Center'!$L$28+'Draft Center'!$L$78-'Draft Center'!$L$82)),0)))</f>
        <v>1</v>
      </c>
      <c r="BB124" s="69">
        <f>IF(VLOOKUP($D124,$AO$14:AR$19,COLUMN()-50,0)&lt;=0,1,IF($Q124&lt;0,1,ROUNDUP(IF($Q124*('Draft Center'!$L$28+'Draft Center'!$L$78-'Draft Center'!$L$82)&lt;1,1,$Q124*('Draft Center'!$L$28+'Draft Center'!$L$78-'Draft Center'!$L$82)),0)))</f>
        <v>1</v>
      </c>
      <c r="BC124" s="69">
        <f>IF(VLOOKUP($D124,$AO$14:AS$19,COLUMN()-50,0)&lt;=0,1,IF($Q124&lt;0,1,ROUNDUP(IF($Q124*('Draft Center'!$L$28+'Draft Center'!$L$78-'Draft Center'!$L$82)&lt;1,1,$Q124*('Draft Center'!$L$28+'Draft Center'!$L$78-'Draft Center'!$L$82)),0)))</f>
        <v>1</v>
      </c>
      <c r="BD124" s="69">
        <f>IF(VLOOKUP($D124,$AO$14:AT$19,COLUMN()-50,0)&lt;=0,1,IF($Q124&lt;0,1,ROUNDUP(IF($Q124*('Draft Center'!$L$28+'Draft Center'!$L$78-'Draft Center'!$L$82)&lt;1,1,$Q124*('Draft Center'!$L$28+'Draft Center'!$L$78-'Draft Center'!$L$82)),0)))</f>
        <v>1</v>
      </c>
      <c r="BE124" s="69">
        <f>IF(VLOOKUP($D124,$AO$14:AU$19,COLUMN()-50,0)&lt;=0,1,IF($Q124&lt;0,1,ROUNDUP(IF($Q124*('Draft Center'!$L$28+'Draft Center'!$L$78-'Draft Center'!$L$82)&lt;1,1,$Q124*('Draft Center'!$L$28+'Draft Center'!$L$78-'Draft Center'!$L$82)),0)))</f>
        <v>1</v>
      </c>
      <c r="BF124" s="69">
        <f>IF(VLOOKUP($D124,$AO$14:AV$19,COLUMN()-50,0)&lt;=0,1,IF($Q124&lt;0,1,ROUNDUP(IF($Q124*('Draft Center'!$L$28+'Draft Center'!$L$78-'Draft Center'!$L$82)&lt;1,1,$Q124*('Draft Center'!$L$28+'Draft Center'!$L$78-'Draft Center'!$L$82)),0)))</f>
        <v>1</v>
      </c>
      <c r="BG124" s="69">
        <f>IF(VLOOKUP($D124,$AO$14:AW$19,COLUMN()-50,0)&lt;=0,1,IF($Q124&lt;0,1,ROUNDUP(IF($Q124*('Draft Center'!$L$28+'Draft Center'!$L$78-'Draft Center'!$L$82)&lt;1,1,$Q124*('Draft Center'!$L$28+'Draft Center'!$L$78-'Draft Center'!$L$82)),0)))</f>
        <v>1</v>
      </c>
      <c r="BH124" s="69">
        <f>IF(VLOOKUP($D124,$AO$14:AX$19,COLUMN()-50,0)&lt;=0,1,IF($Q124&lt;0,1,ROUNDUP(IF($Q124*('Draft Center'!$L$28+'Draft Center'!$L$78-'Draft Center'!$L$82)&lt;1,1,$Q124*('Draft Center'!$L$28+'Draft Center'!$L$78-'Draft Center'!$L$82)),0)))</f>
        <v>1</v>
      </c>
      <c r="BI124" s="69">
        <f>IF(VLOOKUP($D124,$AO$14:AY$19,COLUMN()-50,0)&lt;=0,1,IF($Q124&lt;0,1,ROUNDUP(IF($Q124*('Draft Center'!$L$28+'Draft Center'!$L$78-'Draft Center'!$L$82)&lt;1,1,$Q124*('Draft Center'!$L$28+'Draft Center'!$L$78-'Draft Center'!$L$82)),0)))</f>
        <v>1</v>
      </c>
      <c r="BJ124" s="196"/>
      <c r="BK124" s="23">
        <v>0</v>
      </c>
      <c r="BL124" s="23" t="str">
        <f t="shared" si="59"/>
        <v/>
      </c>
      <c r="BM124" s="23">
        <v>0</v>
      </c>
      <c r="BN124" s="23">
        <f t="shared" si="59"/>
        <v>0</v>
      </c>
      <c r="BO124" s="23" t="str">
        <f t="shared" si="59"/>
        <v/>
      </c>
      <c r="BP124" s="23" t="str">
        <f t="shared" si="59"/>
        <v/>
      </c>
      <c r="BQ124" s="23" t="str">
        <f t="shared" si="59"/>
        <v/>
      </c>
      <c r="BR124" s="23">
        <f t="shared" si="42"/>
        <v>0</v>
      </c>
      <c r="BS124" s="23">
        <f t="shared" si="43"/>
        <v>0</v>
      </c>
      <c r="BT124" s="69">
        <v>1</v>
      </c>
      <c r="BU124" s="58">
        <v>2327.0337</v>
      </c>
      <c r="BV124" s="33">
        <v>1</v>
      </c>
      <c r="BW124" s="204">
        <v>2327.0337</v>
      </c>
      <c r="BX124" s="23"/>
      <c r="BY124" s="69">
        <v>1</v>
      </c>
      <c r="BZ124" s="69">
        <v>7</v>
      </c>
      <c r="CA124" s="69">
        <v>7</v>
      </c>
      <c r="CB124" s="69">
        <v>7</v>
      </c>
      <c r="CC124" s="69">
        <f t="shared" si="46"/>
        <v>7</v>
      </c>
      <c r="CD124" s="69">
        <f t="shared" si="47"/>
        <v>7</v>
      </c>
    </row>
    <row r="125" spans="1:82" ht="15.75" customHeight="1" thickBot="1" x14ac:dyDescent="0.3">
      <c r="A125" s="6">
        <v>124</v>
      </c>
      <c r="B125" s="7" t="s">
        <v>124</v>
      </c>
      <c r="C125" s="7" t="s">
        <v>80</v>
      </c>
      <c r="D125" s="7" t="s">
        <v>17</v>
      </c>
      <c r="E125" s="50">
        <v>-9.1009308446836297</v>
      </c>
      <c r="F125" s="50">
        <v>203.67698542466499</v>
      </c>
      <c r="G125" s="50">
        <v>223.122924671069</v>
      </c>
      <c r="H125" s="50">
        <v>160.422672684292</v>
      </c>
      <c r="I125" s="8">
        <v>7.1</v>
      </c>
      <c r="J125" s="50">
        <v>5.1012716885103204</v>
      </c>
      <c r="K125" s="248">
        <f>IFERROR(VLOOKUP(C125,Schedule!$T$3:$U$34,2,0),"FA")</f>
        <v>11</v>
      </c>
      <c r="L125" s="7" t="str">
        <f>D125&amp;COUNTIF(D$2:$D125,D125)</f>
        <v>WR31</v>
      </c>
      <c r="M125" s="50">
        <f t="array" ref="M125">IFERROR(F125-AVERAGE(VLOOKUP(D125,$D126:$F$885,3,0),INDEX($F126:$F$885,SMALL(IF(D125=$D126:$D$885,ROW($D126:$D$885)-ROW(D125)),2))),0)</f>
        <v>3.7551742190970003</v>
      </c>
      <c r="N125" s="50">
        <f>IFERROR(IF(VLOOKUP($B125,Input!$AC$2:$AC$162,1,0)=$B125,0),F125)</f>
        <v>203.67698542466499</v>
      </c>
      <c r="O125" s="50">
        <f>IFERROR(IF(VLOOKUP($B125,Input!$AC$2:$AC$162,1,0)=$B125,0,G125),G125)</f>
        <v>223.122924671069</v>
      </c>
      <c r="P125" s="50">
        <f>IF(N125=0,0,F125-AVERAGE(INDEX(F:F,MATCH(VLOOKUP(D125,Input!$A$14:$L$22,10,0),L:L,0)),INDEX(F:F,MATCH(VLOOKUP(D125,Input!$A$14:$L$22,11,0),L:L,0)),INDEX(F:F,MATCH(VLOOKUP(D125,Input!$A$14:$L$22,12,0),L:L,0)))+(0.01-ROW()*0.01))</f>
        <v>-10.34093084468403</v>
      </c>
      <c r="Q125" s="106">
        <f t="shared" si="38"/>
        <v>-3.5675481440531273E-3</v>
      </c>
      <c r="R125" s="8">
        <f>IF(VLOOKUP($D125,$X$14:$Y$19,2,0)&lt;=0,1,IF(Q125&lt;0,1,ROUNDUP(IF(Q125*('Draft Center'!$L$28+'Draft Center'!$L$78-'Draft Center'!$L$82)&lt;1,1,Q125*('Draft Center'!$L$28+'Draft Center'!$L$78-'Draft Center'!$L$82)),0)))</f>
        <v>1</v>
      </c>
      <c r="S125" s="8">
        <f>IF(A125&lt;Input!$B$10+0.1,IF(ROUNDUP(R125*Input!$C$10,0)=0,1,ROUNDUP(R125*Input!$C$10,0)),IF(A125&gt;Input!$B$11,IF(ROUNDUP(R125*Input!$C$11,0)=0,1,ROUNDUP(R125*Input!$C$11,0)),IF(ROUNDUP(R125,0)=0,1,ROUNDUP(R125,0))))</f>
        <v>1</v>
      </c>
      <c r="T125" s="8">
        <f t="shared" si="39"/>
        <v>1</v>
      </c>
      <c r="U125" s="8">
        <f>IFERROR(VLOOKUP($B125,Input!$AC$2:$AE$161,3,0),0)</f>
        <v>0</v>
      </c>
      <c r="V125" s="256">
        <f t="shared" si="44"/>
        <v>-0.85790492957746478</v>
      </c>
      <c r="W125" s="263">
        <f t="shared" si="45"/>
        <v>-6.0987499999999999</v>
      </c>
      <c r="X125" s="27"/>
      <c r="Y125" s="23"/>
      <c r="Z125" s="23"/>
      <c r="AA125" s="23">
        <v>0</v>
      </c>
      <c r="AB125" s="23" t="str">
        <f t="shared" si="58"/>
        <v/>
      </c>
      <c r="AC125" s="23" t="str">
        <f t="shared" si="58"/>
        <v/>
      </c>
      <c r="AD125" s="23">
        <f t="shared" si="58"/>
        <v>0</v>
      </c>
      <c r="AE125" s="23" t="str">
        <f t="shared" si="58"/>
        <v/>
      </c>
      <c r="AF125" s="23" t="str">
        <f t="shared" si="58"/>
        <v/>
      </c>
      <c r="AG125" s="23" t="str">
        <f t="shared" si="58"/>
        <v/>
      </c>
      <c r="AH125" s="23">
        <f t="shared" si="40"/>
        <v>0</v>
      </c>
      <c r="AI125" s="23">
        <f t="shared" si="41"/>
        <v>0</v>
      </c>
      <c r="AJ125" s="70">
        <v>1</v>
      </c>
      <c r="AK125" s="225">
        <v>2327.0337</v>
      </c>
      <c r="AL125" s="33">
        <v>1</v>
      </c>
      <c r="AM125" s="204">
        <v>2327.0337</v>
      </c>
      <c r="AN125" s="196"/>
      <c r="AO125" s="23"/>
      <c r="AP125" s="23"/>
      <c r="AQ125" s="23"/>
      <c r="AR125" s="23"/>
      <c r="AS125" s="23"/>
      <c r="AT125" s="23"/>
      <c r="AU125" s="23"/>
      <c r="AV125" s="23"/>
      <c r="AW125" s="23"/>
      <c r="AX125" s="23"/>
      <c r="AY125" s="23"/>
      <c r="AZ125" s="196"/>
      <c r="BA125" s="70">
        <f>IF(VLOOKUP($D125,$AO$14:AQ$19,COLUMN()-50,0)&lt;=0,1,IF($Q125&lt;0,1,ROUNDUP(IF($Q125*('Draft Center'!$L$28+'Draft Center'!$L$78-'Draft Center'!$L$82)&lt;1,1,$Q125*('Draft Center'!$L$28+'Draft Center'!$L$78-'Draft Center'!$L$82)),0)))</f>
        <v>1</v>
      </c>
      <c r="BB125" s="70">
        <f>IF(VLOOKUP($D125,$AO$14:AR$19,COLUMN()-50,0)&lt;=0,1,IF($Q125&lt;0,1,ROUNDUP(IF($Q125*('Draft Center'!$L$28+'Draft Center'!$L$78-'Draft Center'!$L$82)&lt;1,1,$Q125*('Draft Center'!$L$28+'Draft Center'!$L$78-'Draft Center'!$L$82)),0)))</f>
        <v>1</v>
      </c>
      <c r="BC125" s="70">
        <f>IF(VLOOKUP($D125,$AO$14:AS$19,COLUMN()-50,0)&lt;=0,1,IF($Q125&lt;0,1,ROUNDUP(IF($Q125*('Draft Center'!$L$28+'Draft Center'!$L$78-'Draft Center'!$L$82)&lt;1,1,$Q125*('Draft Center'!$L$28+'Draft Center'!$L$78-'Draft Center'!$L$82)),0)))</f>
        <v>1</v>
      </c>
      <c r="BD125" s="70">
        <f>IF(VLOOKUP($D125,$AO$14:AT$19,COLUMN()-50,0)&lt;=0,1,IF($Q125&lt;0,1,ROUNDUP(IF($Q125*('Draft Center'!$L$28+'Draft Center'!$L$78-'Draft Center'!$L$82)&lt;1,1,$Q125*('Draft Center'!$L$28+'Draft Center'!$L$78-'Draft Center'!$L$82)),0)))</f>
        <v>1</v>
      </c>
      <c r="BE125" s="70">
        <f>IF(VLOOKUP($D125,$AO$14:AU$19,COLUMN()-50,0)&lt;=0,1,IF($Q125&lt;0,1,ROUNDUP(IF($Q125*('Draft Center'!$L$28+'Draft Center'!$L$78-'Draft Center'!$L$82)&lt;1,1,$Q125*('Draft Center'!$L$28+'Draft Center'!$L$78-'Draft Center'!$L$82)),0)))</f>
        <v>1</v>
      </c>
      <c r="BF125" s="70">
        <f>IF(VLOOKUP($D125,$AO$14:AV$19,COLUMN()-50,0)&lt;=0,1,IF($Q125&lt;0,1,ROUNDUP(IF($Q125*('Draft Center'!$L$28+'Draft Center'!$L$78-'Draft Center'!$L$82)&lt;1,1,$Q125*('Draft Center'!$L$28+'Draft Center'!$L$78-'Draft Center'!$L$82)),0)))</f>
        <v>1</v>
      </c>
      <c r="BG125" s="70">
        <f>IF(VLOOKUP($D125,$AO$14:AW$19,COLUMN()-50,0)&lt;=0,1,IF($Q125&lt;0,1,ROUNDUP(IF($Q125*('Draft Center'!$L$28+'Draft Center'!$L$78-'Draft Center'!$L$82)&lt;1,1,$Q125*('Draft Center'!$L$28+'Draft Center'!$L$78-'Draft Center'!$L$82)),0)))</f>
        <v>1</v>
      </c>
      <c r="BH125" s="70">
        <f>IF(VLOOKUP($D125,$AO$14:AX$19,COLUMN()-50,0)&lt;=0,1,IF($Q125&lt;0,1,ROUNDUP(IF($Q125*('Draft Center'!$L$28+'Draft Center'!$L$78-'Draft Center'!$L$82)&lt;1,1,$Q125*('Draft Center'!$L$28+'Draft Center'!$L$78-'Draft Center'!$L$82)),0)))</f>
        <v>1</v>
      </c>
      <c r="BI125" s="70">
        <f>IF(VLOOKUP($D125,$AO$14:AY$19,COLUMN()-50,0)&lt;=0,1,IF($Q125&lt;0,1,ROUNDUP(IF($Q125*('Draft Center'!$L$28+'Draft Center'!$L$78-'Draft Center'!$L$82)&lt;1,1,$Q125*('Draft Center'!$L$28+'Draft Center'!$L$78-'Draft Center'!$L$82)),0)))</f>
        <v>1</v>
      </c>
      <c r="BJ125" s="196"/>
      <c r="BK125" s="23">
        <v>0</v>
      </c>
      <c r="BL125" s="23" t="str">
        <f t="shared" si="59"/>
        <v/>
      </c>
      <c r="BM125" s="23">
        <v>0</v>
      </c>
      <c r="BN125" s="23">
        <f t="shared" si="59"/>
        <v>0</v>
      </c>
      <c r="BO125" s="23" t="str">
        <f t="shared" si="59"/>
        <v/>
      </c>
      <c r="BP125" s="23" t="str">
        <f t="shared" si="59"/>
        <v/>
      </c>
      <c r="BQ125" s="23" t="str">
        <f t="shared" si="59"/>
        <v/>
      </c>
      <c r="BR125" s="23">
        <f t="shared" si="42"/>
        <v>0</v>
      </c>
      <c r="BS125" s="23">
        <f t="shared" si="43"/>
        <v>0</v>
      </c>
      <c r="BT125" s="70">
        <v>1</v>
      </c>
      <c r="BU125" s="58">
        <v>2327.0337</v>
      </c>
      <c r="BV125" s="33">
        <v>1</v>
      </c>
      <c r="BW125" s="204">
        <v>2327.0337</v>
      </c>
      <c r="BX125" s="23"/>
      <c r="BY125" s="70">
        <v>1</v>
      </c>
      <c r="BZ125" s="70">
        <v>7.1</v>
      </c>
      <c r="CA125" s="70">
        <v>7.1</v>
      </c>
      <c r="CB125" s="70">
        <v>7.1</v>
      </c>
      <c r="CC125" s="70">
        <f t="shared" si="46"/>
        <v>7.0999999999999988</v>
      </c>
      <c r="CD125" s="70">
        <f t="shared" si="47"/>
        <v>7.1</v>
      </c>
    </row>
    <row r="126" spans="1:82" ht="15.75" customHeight="1" thickBot="1" x14ac:dyDescent="0.3">
      <c r="A126" s="9">
        <v>125</v>
      </c>
      <c r="B126" s="10" t="s">
        <v>305</v>
      </c>
      <c r="C126" s="10" t="s">
        <v>117</v>
      </c>
      <c r="D126" s="10" t="s">
        <v>135</v>
      </c>
      <c r="E126" s="51">
        <v>-9.1657544177616597</v>
      </c>
      <c r="F126" s="51">
        <v>99.565804259175394</v>
      </c>
      <c r="G126" s="51">
        <v>110.47014244186001</v>
      </c>
      <c r="H126" s="51">
        <v>91.3</v>
      </c>
      <c r="I126" s="11">
        <v>0</v>
      </c>
      <c r="J126" s="51">
        <v>5.5590296534680199</v>
      </c>
      <c r="K126" s="249">
        <f>IFERROR(VLOOKUP(C126,Schedule!$T$3:$U$34,2,0),"FA")</f>
        <v>8</v>
      </c>
      <c r="L126" s="10" t="str">
        <f>D126&amp;COUNTIF(D$2:$D126,D126)</f>
        <v>DST18</v>
      </c>
      <c r="M126" s="51">
        <f t="array" ref="M126">IFERROR(F126-AVERAGE(VLOOKUP(D126,$D127:$F$885,3,0),INDEX($F127:$F$885,SMALL(IF(D126=$D127:$D$885,ROW($D127:$D$885)-ROW(D126)),2))),0)</f>
        <v>1.4868260081559015</v>
      </c>
      <c r="N126" s="51">
        <f>IFERROR(IF(VLOOKUP($B126,Input!$AC$2:$AC$162,1,0)=$B126,0),F126)</f>
        <v>99.565804259175394</v>
      </c>
      <c r="O126" s="51">
        <f>IFERROR(IF(VLOOKUP($B126,Input!$AC$2:$AC$162,1,0)=$B126,0,G126),G126)</f>
        <v>110.47014244186001</v>
      </c>
      <c r="P126" s="51">
        <f>IF(N126=0,0,F126-AVERAGE(INDEX(F:F,MATCH(VLOOKUP(D126,Input!$A$14:$L$22,10,0),L:L,0)),INDEX(F:F,MATCH(VLOOKUP(D126,Input!$A$14:$L$22,11,0),L:L,0)),INDEX(F:F,MATCH(VLOOKUP(D126,Input!$A$14:$L$22,12,0),L:L,0)))+(0.01-ROW()*0.01))</f>
        <v>-9.3725826914366195</v>
      </c>
      <c r="Q126" s="107">
        <f t="shared" si="38"/>
        <v>-3.2334748668209337E-3</v>
      </c>
      <c r="R126" s="11">
        <f>IF(VLOOKUP($D126,$X$14:$Y$19,2,0)&lt;=0,1,IF(Q126&lt;0,1,ROUNDUP(IF(Q126*('Draft Center'!$L$28+'Draft Center'!$L$78-'Draft Center'!$L$82)&lt;1,1,Q126*('Draft Center'!$L$28+'Draft Center'!$L$78-'Draft Center'!$L$82)),0)))</f>
        <v>1</v>
      </c>
      <c r="S126" s="11">
        <f>IF(A126&lt;Input!$B$10+0.1,IF(ROUNDUP(R126*Input!$C$10,0)=0,1,ROUNDUP(R126*Input!$C$10,0)),IF(A126&gt;Input!$B$11,IF(ROUNDUP(R126*Input!$C$11,0)=0,1,ROUNDUP(R126*Input!$C$11,0)),IF(ROUNDUP(R126,0)=0,1,ROUNDUP(R126,0))))</f>
        <v>1</v>
      </c>
      <c r="T126" s="11">
        <f t="shared" si="39"/>
        <v>1</v>
      </c>
      <c r="U126" s="11">
        <f>IFERROR(VLOOKUP($B126,Input!$AC$2:$AE$161,3,0),0)</f>
        <v>0</v>
      </c>
      <c r="V126" s="257">
        <f t="shared" si="44"/>
        <v>0</v>
      </c>
      <c r="W126" s="264">
        <f t="shared" si="45"/>
        <v>1.00126</v>
      </c>
      <c r="X126" s="27"/>
      <c r="Y126" s="23"/>
      <c r="Z126" s="23"/>
      <c r="AA126" s="23">
        <v>0</v>
      </c>
      <c r="AB126" s="23" t="str">
        <f t="shared" si="58"/>
        <v/>
      </c>
      <c r="AC126" s="23" t="str">
        <f t="shared" si="58"/>
        <v/>
      </c>
      <c r="AD126" s="23" t="str">
        <f t="shared" si="58"/>
        <v/>
      </c>
      <c r="AE126" s="23" t="str">
        <f t="shared" si="58"/>
        <v/>
      </c>
      <c r="AF126" s="23">
        <f t="shared" si="58"/>
        <v>0</v>
      </c>
      <c r="AG126" s="23" t="str">
        <f t="shared" si="58"/>
        <v/>
      </c>
      <c r="AH126" s="23">
        <f t="shared" si="40"/>
        <v>0</v>
      </c>
      <c r="AI126" s="23">
        <f t="shared" si="41"/>
        <v>0</v>
      </c>
      <c r="AJ126" s="69">
        <v>1</v>
      </c>
      <c r="AK126" s="225">
        <v>2327.0337</v>
      </c>
      <c r="AL126" s="33">
        <v>1</v>
      </c>
      <c r="AM126" s="204">
        <v>2327.0337</v>
      </c>
      <c r="AN126" s="196"/>
      <c r="AO126" s="23"/>
      <c r="AP126" s="23"/>
      <c r="AQ126" s="23"/>
      <c r="AR126" s="23"/>
      <c r="AS126" s="23"/>
      <c r="AT126" s="23"/>
      <c r="AU126" s="23"/>
      <c r="AV126" s="23"/>
      <c r="AW126" s="23"/>
      <c r="AX126" s="23"/>
      <c r="AY126" s="23"/>
      <c r="AZ126" s="196"/>
      <c r="BA126" s="69">
        <f>IF(VLOOKUP($D126,$AO$14:AQ$19,COLUMN()-50,0)&lt;=0,1,IF($Q126&lt;0,1,ROUNDUP(IF($Q126*('Draft Center'!$L$28+'Draft Center'!$L$78-'Draft Center'!$L$82)&lt;1,1,$Q126*('Draft Center'!$L$28+'Draft Center'!$L$78-'Draft Center'!$L$82)),0)))</f>
        <v>1</v>
      </c>
      <c r="BB126" s="69">
        <f>IF(VLOOKUP($D126,$AO$14:AR$19,COLUMN()-50,0)&lt;=0,1,IF($Q126&lt;0,1,ROUNDUP(IF($Q126*('Draft Center'!$L$28+'Draft Center'!$L$78-'Draft Center'!$L$82)&lt;1,1,$Q126*('Draft Center'!$L$28+'Draft Center'!$L$78-'Draft Center'!$L$82)),0)))</f>
        <v>1</v>
      </c>
      <c r="BC126" s="69">
        <f>IF(VLOOKUP($D126,$AO$14:AS$19,COLUMN()-50,0)&lt;=0,1,IF($Q126&lt;0,1,ROUNDUP(IF($Q126*('Draft Center'!$L$28+'Draft Center'!$L$78-'Draft Center'!$L$82)&lt;1,1,$Q126*('Draft Center'!$L$28+'Draft Center'!$L$78-'Draft Center'!$L$82)),0)))</f>
        <v>1</v>
      </c>
      <c r="BD126" s="69">
        <f>IF(VLOOKUP($D126,$AO$14:AT$19,COLUMN()-50,0)&lt;=0,1,IF($Q126&lt;0,1,ROUNDUP(IF($Q126*('Draft Center'!$L$28+'Draft Center'!$L$78-'Draft Center'!$L$82)&lt;1,1,$Q126*('Draft Center'!$L$28+'Draft Center'!$L$78-'Draft Center'!$L$82)),0)))</f>
        <v>1</v>
      </c>
      <c r="BE126" s="69">
        <f>IF(VLOOKUP($D126,$AO$14:AU$19,COLUMN()-50,0)&lt;=0,1,IF($Q126&lt;0,1,ROUNDUP(IF($Q126*('Draft Center'!$L$28+'Draft Center'!$L$78-'Draft Center'!$L$82)&lt;1,1,$Q126*('Draft Center'!$L$28+'Draft Center'!$L$78-'Draft Center'!$L$82)),0)))</f>
        <v>1</v>
      </c>
      <c r="BF126" s="69">
        <f>IF(VLOOKUP($D126,$AO$14:AV$19,COLUMN()-50,0)&lt;=0,1,IF($Q126&lt;0,1,ROUNDUP(IF($Q126*('Draft Center'!$L$28+'Draft Center'!$L$78-'Draft Center'!$L$82)&lt;1,1,$Q126*('Draft Center'!$L$28+'Draft Center'!$L$78-'Draft Center'!$L$82)),0)))</f>
        <v>1</v>
      </c>
      <c r="BG126" s="69">
        <f>IF(VLOOKUP($D126,$AO$14:AW$19,COLUMN()-50,0)&lt;=0,1,IF($Q126&lt;0,1,ROUNDUP(IF($Q126*('Draft Center'!$L$28+'Draft Center'!$L$78-'Draft Center'!$L$82)&lt;1,1,$Q126*('Draft Center'!$L$28+'Draft Center'!$L$78-'Draft Center'!$L$82)),0)))</f>
        <v>1</v>
      </c>
      <c r="BH126" s="69">
        <f>IF(VLOOKUP($D126,$AO$14:AX$19,COLUMN()-50,0)&lt;=0,1,IF($Q126&lt;0,1,ROUNDUP(IF($Q126*('Draft Center'!$L$28+'Draft Center'!$L$78-'Draft Center'!$L$82)&lt;1,1,$Q126*('Draft Center'!$L$28+'Draft Center'!$L$78-'Draft Center'!$L$82)),0)))</f>
        <v>1</v>
      </c>
      <c r="BI126" s="69">
        <f>IF(VLOOKUP($D126,$AO$14:AY$19,COLUMN()-50,0)&lt;=0,1,IF($Q126&lt;0,1,ROUNDUP(IF($Q126*('Draft Center'!$L$28+'Draft Center'!$L$78-'Draft Center'!$L$82)&lt;1,1,$Q126*('Draft Center'!$L$28+'Draft Center'!$L$78-'Draft Center'!$L$82)),0)))</f>
        <v>1</v>
      </c>
      <c r="BJ126" s="196"/>
      <c r="BK126" s="23">
        <v>0</v>
      </c>
      <c r="BL126" s="23" t="str">
        <f t="shared" si="59"/>
        <v/>
      </c>
      <c r="BM126" s="23">
        <v>0</v>
      </c>
      <c r="BN126" s="23" t="str">
        <f t="shared" si="59"/>
        <v/>
      </c>
      <c r="BO126" s="23" t="str">
        <f t="shared" si="59"/>
        <v/>
      </c>
      <c r="BP126" s="23">
        <f t="shared" si="59"/>
        <v>0</v>
      </c>
      <c r="BQ126" s="23" t="str">
        <f t="shared" si="59"/>
        <v/>
      </c>
      <c r="BR126" s="23">
        <f t="shared" si="42"/>
        <v>0</v>
      </c>
      <c r="BS126" s="23">
        <f t="shared" si="43"/>
        <v>0</v>
      </c>
      <c r="BT126" s="69">
        <v>1</v>
      </c>
      <c r="BU126" s="58">
        <v>2327.0337</v>
      </c>
      <c r="BV126" s="33">
        <v>1</v>
      </c>
      <c r="BW126" s="204">
        <v>2327.0337</v>
      </c>
      <c r="BX126" s="23"/>
      <c r="BY126" s="69">
        <v>1</v>
      </c>
      <c r="BZ126" s="69">
        <v>0</v>
      </c>
      <c r="CA126" s="69">
        <v>0</v>
      </c>
      <c r="CB126" s="69">
        <v>0</v>
      </c>
      <c r="CC126" s="69">
        <f t="shared" si="46"/>
        <v>0</v>
      </c>
      <c r="CD126" s="69">
        <f t="shared" si="47"/>
        <v>0</v>
      </c>
    </row>
    <row r="127" spans="1:82" ht="15.75" customHeight="1" thickBot="1" x14ac:dyDescent="0.3">
      <c r="A127" s="6">
        <v>126</v>
      </c>
      <c r="B127" s="7" t="s">
        <v>238</v>
      </c>
      <c r="C127" s="7" t="s">
        <v>33</v>
      </c>
      <c r="D127" s="7" t="s">
        <v>147</v>
      </c>
      <c r="E127" s="50">
        <v>-9.3774790661348693</v>
      </c>
      <c r="F127" s="50">
        <v>121.991509364838</v>
      </c>
      <c r="G127" s="50">
        <v>128.79543735917801</v>
      </c>
      <c r="H127" s="50">
        <v>108.263667117727</v>
      </c>
      <c r="I127" s="8">
        <v>0</v>
      </c>
      <c r="J127" s="50">
        <v>4.5636619999584402</v>
      </c>
      <c r="K127" s="248">
        <f>IFERROR(VLOOKUP(C127,Schedule!$T$3:$U$34,2,0),"FA")</f>
        <v>9</v>
      </c>
      <c r="L127" s="7" t="str">
        <f>D127&amp;COUNTIF(D$2:$D127,D127)</f>
        <v>K18</v>
      </c>
      <c r="M127" s="50">
        <f t="array" ref="M127">IFERROR(F127-AVERAGE(VLOOKUP(D127,$D128:$F$885,3,0),INDEX($F128:$F$885,SMALL(IF(D127=$D128:$D$885,ROW($D128:$D$885)-ROW(D127)),2))),0)</f>
        <v>1.837740351149364E-2</v>
      </c>
      <c r="N127" s="50">
        <f>IFERROR(IF(VLOOKUP($B127,Input!$AC$2:$AC$162,1,0)=$B127,0),F127)</f>
        <v>121.991509364838</v>
      </c>
      <c r="O127" s="50">
        <f>IFERROR(IF(VLOOKUP($B127,Input!$AC$2:$AC$162,1,0)=$B127,0,G127),G127)</f>
        <v>128.79543735917801</v>
      </c>
      <c r="P127" s="50">
        <f>IF(N127=0,0,F127-AVERAGE(INDEX(F:F,MATCH(VLOOKUP(D127,Input!$A$14:$L$22,10,0),L:L,0)),INDEX(F:F,MATCH(VLOOKUP(D127,Input!$A$14:$L$22,11,0),L:L,0)),INDEX(F:F,MATCH(VLOOKUP(D127,Input!$A$14:$L$22,12,0),L:L,0)))+(0.01-ROW()*0.01))</f>
        <v>-10.811472217289998</v>
      </c>
      <c r="Q127" s="106">
        <f t="shared" si="38"/>
        <v>-3.7298815960173279E-3</v>
      </c>
      <c r="R127" s="8">
        <f>IF(VLOOKUP($D127,$X$14:$Y$19,2,0)&lt;=0,1,IF(Q127&lt;0,1,ROUNDUP(IF(Q127*('Draft Center'!$L$28+'Draft Center'!$L$78-'Draft Center'!$L$82)&lt;1,1,Q127*('Draft Center'!$L$28+'Draft Center'!$L$78-'Draft Center'!$L$82)),0)))</f>
        <v>1</v>
      </c>
      <c r="S127" s="8">
        <f>IF(A127&lt;Input!$B$10+0.1,IF(ROUNDUP(R127*Input!$C$10,0)=0,1,ROUNDUP(R127*Input!$C$10,0)),IF(A127&gt;Input!$B$11,IF(ROUNDUP(R127*Input!$C$11,0)=0,1,ROUNDUP(R127*Input!$C$11,0)),IF(ROUNDUP(R127,0)=0,1,ROUNDUP(R127,0))))</f>
        <v>1</v>
      </c>
      <c r="T127" s="8">
        <f t="shared" si="39"/>
        <v>1</v>
      </c>
      <c r="U127" s="8">
        <f>IFERROR(VLOOKUP($B127,Input!$AC$2:$AE$161,3,0),0)</f>
        <v>0</v>
      </c>
      <c r="V127" s="256">
        <f t="shared" si="44"/>
        <v>0</v>
      </c>
      <c r="W127" s="263">
        <f t="shared" si="45"/>
        <v>1.0012700000000001</v>
      </c>
      <c r="X127" s="27"/>
      <c r="Y127" s="23"/>
      <c r="Z127" s="23"/>
      <c r="AA127" s="23">
        <v>0</v>
      </c>
      <c r="AB127" s="23" t="str">
        <f t="shared" si="58"/>
        <v/>
      </c>
      <c r="AC127" s="23" t="str">
        <f t="shared" si="58"/>
        <v/>
      </c>
      <c r="AD127" s="23" t="str">
        <f t="shared" si="58"/>
        <v/>
      </c>
      <c r="AE127" s="23" t="str">
        <f t="shared" si="58"/>
        <v/>
      </c>
      <c r="AF127" s="23" t="str">
        <f t="shared" si="58"/>
        <v/>
      </c>
      <c r="AG127" s="23">
        <f t="shared" si="58"/>
        <v>0</v>
      </c>
      <c r="AH127" s="23">
        <f t="shared" si="40"/>
        <v>0</v>
      </c>
      <c r="AI127" s="23">
        <f t="shared" si="41"/>
        <v>0</v>
      </c>
      <c r="AJ127" s="70">
        <v>1</v>
      </c>
      <c r="AK127" s="225">
        <v>2327.0337</v>
      </c>
      <c r="AL127" s="33">
        <v>1</v>
      </c>
      <c r="AM127" s="204">
        <v>2327.0337</v>
      </c>
      <c r="AN127" s="196"/>
      <c r="AO127" s="23"/>
      <c r="AP127" s="23"/>
      <c r="AQ127" s="23"/>
      <c r="AR127" s="23"/>
      <c r="AS127" s="23"/>
      <c r="AT127" s="23"/>
      <c r="AU127" s="23"/>
      <c r="AV127" s="23"/>
      <c r="AW127" s="23"/>
      <c r="AX127" s="23"/>
      <c r="AY127" s="23"/>
      <c r="AZ127" s="196"/>
      <c r="BA127" s="70">
        <f>IF(VLOOKUP($D127,$AO$14:AQ$19,COLUMN()-50,0)&lt;=0,1,IF($Q127&lt;0,1,ROUNDUP(IF($Q127*('Draft Center'!$L$28+'Draft Center'!$L$78-'Draft Center'!$L$82)&lt;1,1,$Q127*('Draft Center'!$L$28+'Draft Center'!$L$78-'Draft Center'!$L$82)),0)))</f>
        <v>1</v>
      </c>
      <c r="BB127" s="70">
        <f>IF(VLOOKUP($D127,$AO$14:AR$19,COLUMN()-50,0)&lt;=0,1,IF($Q127&lt;0,1,ROUNDUP(IF($Q127*('Draft Center'!$L$28+'Draft Center'!$L$78-'Draft Center'!$L$82)&lt;1,1,$Q127*('Draft Center'!$L$28+'Draft Center'!$L$78-'Draft Center'!$L$82)),0)))</f>
        <v>1</v>
      </c>
      <c r="BC127" s="70">
        <f>IF(VLOOKUP($D127,$AO$14:AS$19,COLUMN()-50,0)&lt;=0,1,IF($Q127&lt;0,1,ROUNDUP(IF($Q127*('Draft Center'!$L$28+'Draft Center'!$L$78-'Draft Center'!$L$82)&lt;1,1,$Q127*('Draft Center'!$L$28+'Draft Center'!$L$78-'Draft Center'!$L$82)),0)))</f>
        <v>1</v>
      </c>
      <c r="BD127" s="70">
        <f>IF(VLOOKUP($D127,$AO$14:AT$19,COLUMN()-50,0)&lt;=0,1,IF($Q127&lt;0,1,ROUNDUP(IF($Q127*('Draft Center'!$L$28+'Draft Center'!$L$78-'Draft Center'!$L$82)&lt;1,1,$Q127*('Draft Center'!$L$28+'Draft Center'!$L$78-'Draft Center'!$L$82)),0)))</f>
        <v>1</v>
      </c>
      <c r="BE127" s="70">
        <f>IF(VLOOKUP($D127,$AO$14:AU$19,COLUMN()-50,0)&lt;=0,1,IF($Q127&lt;0,1,ROUNDUP(IF($Q127*('Draft Center'!$L$28+'Draft Center'!$L$78-'Draft Center'!$L$82)&lt;1,1,$Q127*('Draft Center'!$L$28+'Draft Center'!$L$78-'Draft Center'!$L$82)),0)))</f>
        <v>1</v>
      </c>
      <c r="BF127" s="70">
        <f>IF(VLOOKUP($D127,$AO$14:AV$19,COLUMN()-50,0)&lt;=0,1,IF($Q127&lt;0,1,ROUNDUP(IF($Q127*('Draft Center'!$L$28+'Draft Center'!$L$78-'Draft Center'!$L$82)&lt;1,1,$Q127*('Draft Center'!$L$28+'Draft Center'!$L$78-'Draft Center'!$L$82)),0)))</f>
        <v>1</v>
      </c>
      <c r="BG127" s="70">
        <f>IF(VLOOKUP($D127,$AO$14:AW$19,COLUMN()-50,0)&lt;=0,1,IF($Q127&lt;0,1,ROUNDUP(IF($Q127*('Draft Center'!$L$28+'Draft Center'!$L$78-'Draft Center'!$L$82)&lt;1,1,$Q127*('Draft Center'!$L$28+'Draft Center'!$L$78-'Draft Center'!$L$82)),0)))</f>
        <v>1</v>
      </c>
      <c r="BH127" s="70">
        <f>IF(VLOOKUP($D127,$AO$14:AX$19,COLUMN()-50,0)&lt;=0,1,IF($Q127&lt;0,1,ROUNDUP(IF($Q127*('Draft Center'!$L$28+'Draft Center'!$L$78-'Draft Center'!$L$82)&lt;1,1,$Q127*('Draft Center'!$L$28+'Draft Center'!$L$78-'Draft Center'!$L$82)),0)))</f>
        <v>1</v>
      </c>
      <c r="BI127" s="70">
        <f>IF(VLOOKUP($D127,$AO$14:AY$19,COLUMN()-50,0)&lt;=0,1,IF($Q127&lt;0,1,ROUNDUP(IF($Q127*('Draft Center'!$L$28+'Draft Center'!$L$78-'Draft Center'!$L$82)&lt;1,1,$Q127*('Draft Center'!$L$28+'Draft Center'!$L$78-'Draft Center'!$L$82)),0)))</f>
        <v>1</v>
      </c>
      <c r="BJ127" s="196"/>
      <c r="BK127" s="23">
        <v>0</v>
      </c>
      <c r="BL127" s="23" t="str">
        <f t="shared" si="59"/>
        <v/>
      </c>
      <c r="BM127" s="23">
        <v>0</v>
      </c>
      <c r="BN127" s="23" t="str">
        <f t="shared" si="59"/>
        <v/>
      </c>
      <c r="BO127" s="23" t="str">
        <f t="shared" si="59"/>
        <v/>
      </c>
      <c r="BP127" s="23" t="str">
        <f t="shared" si="59"/>
        <v/>
      </c>
      <c r="BQ127" s="23">
        <f t="shared" si="59"/>
        <v>0</v>
      </c>
      <c r="BR127" s="23">
        <f t="shared" si="42"/>
        <v>0</v>
      </c>
      <c r="BS127" s="23">
        <f t="shared" si="43"/>
        <v>0</v>
      </c>
      <c r="BT127" s="70">
        <v>1</v>
      </c>
      <c r="BU127" s="58">
        <v>2327.0337</v>
      </c>
      <c r="BV127" s="33">
        <v>1</v>
      </c>
      <c r="BW127" s="204">
        <v>2327.0337</v>
      </c>
      <c r="BX127" s="23"/>
      <c r="BY127" s="70">
        <v>1</v>
      </c>
      <c r="BZ127" s="70">
        <v>0</v>
      </c>
      <c r="CA127" s="70">
        <v>0</v>
      </c>
      <c r="CB127" s="70">
        <v>0</v>
      </c>
      <c r="CC127" s="70">
        <f t="shared" si="46"/>
        <v>0</v>
      </c>
      <c r="CD127" s="70">
        <f t="shared" si="47"/>
        <v>0</v>
      </c>
    </row>
    <row r="128" spans="1:82" ht="15.75" customHeight="1" thickBot="1" x14ac:dyDescent="0.3">
      <c r="A128" s="9">
        <v>127</v>
      </c>
      <c r="B128" s="10" t="s">
        <v>763</v>
      </c>
      <c r="C128" s="10" t="s">
        <v>95</v>
      </c>
      <c r="D128" s="10" t="s">
        <v>147</v>
      </c>
      <c r="E128" s="51">
        <v>-9.3818693174599996</v>
      </c>
      <c r="F128" s="51">
        <v>121.987119113513</v>
      </c>
      <c r="G128" s="51">
        <v>127.585937587838</v>
      </c>
      <c r="H128" s="51">
        <v>112.609294141178</v>
      </c>
      <c r="I128" s="11">
        <v>0</v>
      </c>
      <c r="J128" s="51">
        <v>4.3409499769187301</v>
      </c>
      <c r="K128" s="249">
        <f>IFERROR(VLOOKUP(C128,Schedule!$T$3:$U$34,2,0),"FA")</f>
        <v>8</v>
      </c>
      <c r="L128" s="10" t="str">
        <f>D128&amp;COUNTIF(D$2:$D128,D128)</f>
        <v>K19</v>
      </c>
      <c r="M128" s="51">
        <f t="array" ref="M128">IFERROR(F128-AVERAGE(VLOOKUP(D128,$D129:$F$885,3,0),INDEX($F129:$F$885,SMALL(IF(D128=$D129:$D$885,ROW($D129:$D$885)-ROW(D128)),2))),0)</f>
        <v>0.15008351087151084</v>
      </c>
      <c r="N128" s="51">
        <f>IFERROR(IF(VLOOKUP($B128,Input!$AC$2:$AC$162,1,0)=$B128,0),F128)</f>
        <v>121.987119113513</v>
      </c>
      <c r="O128" s="51">
        <f>IFERROR(IF(VLOOKUP($B128,Input!$AC$2:$AC$162,1,0)=$B128,0,G128),G128)</f>
        <v>127.585937587838</v>
      </c>
      <c r="P128" s="51">
        <f>IF(N128=0,0,F128-AVERAGE(INDEX(F:F,MATCH(VLOOKUP(D128,Input!$A$14:$L$22,10,0),L:L,0)),INDEX(F:F,MATCH(VLOOKUP(D128,Input!$A$14:$L$22,11,0),L:L,0)),INDEX(F:F,MATCH(VLOOKUP(D128,Input!$A$14:$L$22,12,0),L:L,0)))+(0.01-ROW()*0.01))</f>
        <v>-10.825862468614989</v>
      </c>
      <c r="Q128" s="107">
        <f t="shared" si="38"/>
        <v>-3.7348461311426471E-3</v>
      </c>
      <c r="R128" s="11">
        <f>IF(VLOOKUP($D128,$X$14:$Y$19,2,0)&lt;=0,1,IF(Q128&lt;0,1,ROUNDUP(IF(Q128*('Draft Center'!$L$28+'Draft Center'!$L$78-'Draft Center'!$L$82)&lt;1,1,Q128*('Draft Center'!$L$28+'Draft Center'!$L$78-'Draft Center'!$L$82)),0)))</f>
        <v>1</v>
      </c>
      <c r="S128" s="11">
        <f>IF(A128&lt;Input!$B$10+0.1,IF(ROUNDUP(R128*Input!$C$10,0)=0,1,ROUNDUP(R128*Input!$C$10,0)),IF(A128&gt;Input!$B$11,IF(ROUNDUP(R128*Input!$C$11,0)=0,1,ROUNDUP(R128*Input!$C$11,0)),IF(ROUNDUP(R128,0)=0,1,ROUNDUP(R128,0))))</f>
        <v>1</v>
      </c>
      <c r="T128" s="11">
        <f t="shared" si="39"/>
        <v>1</v>
      </c>
      <c r="U128" s="11">
        <f>IFERROR(VLOOKUP($B128,Input!$AC$2:$AE$161,3,0),0)</f>
        <v>0</v>
      </c>
      <c r="V128" s="257">
        <f t="shared" si="44"/>
        <v>0</v>
      </c>
      <c r="W128" s="264">
        <f t="shared" si="45"/>
        <v>1.0012799999999999</v>
      </c>
      <c r="X128" s="27"/>
      <c r="Y128" s="23"/>
      <c r="Z128" s="23"/>
      <c r="AA128" s="23">
        <v>0</v>
      </c>
      <c r="AB128" s="23" t="str">
        <f t="shared" si="58"/>
        <v/>
      </c>
      <c r="AC128" s="23" t="str">
        <f t="shared" si="58"/>
        <v/>
      </c>
      <c r="AD128" s="23" t="str">
        <f t="shared" si="58"/>
        <v/>
      </c>
      <c r="AE128" s="23" t="str">
        <f t="shared" si="58"/>
        <v/>
      </c>
      <c r="AF128" s="23" t="str">
        <f t="shared" si="58"/>
        <v/>
      </c>
      <c r="AG128" s="23">
        <f t="shared" si="58"/>
        <v>0</v>
      </c>
      <c r="AH128" s="23">
        <f t="shared" si="40"/>
        <v>0</v>
      </c>
      <c r="AI128" s="23">
        <f t="shared" si="41"/>
        <v>0</v>
      </c>
      <c r="AJ128" s="69">
        <v>1</v>
      </c>
      <c r="AK128" s="225">
        <v>2327.0337</v>
      </c>
      <c r="AL128" s="33">
        <v>1</v>
      </c>
      <c r="AM128" s="204">
        <v>2327.0337</v>
      </c>
      <c r="AN128" s="196"/>
      <c r="AO128" s="23"/>
      <c r="AP128" s="23"/>
      <c r="AQ128" s="23"/>
      <c r="AR128" s="23"/>
      <c r="AS128" s="23"/>
      <c r="AT128" s="23"/>
      <c r="AU128" s="23"/>
      <c r="AV128" s="23"/>
      <c r="AW128" s="23"/>
      <c r="AX128" s="23"/>
      <c r="AY128" s="23"/>
      <c r="AZ128" s="196"/>
      <c r="BA128" s="69">
        <f>IF(VLOOKUP($D128,$AO$14:AQ$19,COLUMN()-50,0)&lt;=0,1,IF($Q128&lt;0,1,ROUNDUP(IF($Q128*('Draft Center'!$L$28+'Draft Center'!$L$78-'Draft Center'!$L$82)&lt;1,1,$Q128*('Draft Center'!$L$28+'Draft Center'!$L$78-'Draft Center'!$L$82)),0)))</f>
        <v>1</v>
      </c>
      <c r="BB128" s="69">
        <f>IF(VLOOKUP($D128,$AO$14:AR$19,COLUMN()-50,0)&lt;=0,1,IF($Q128&lt;0,1,ROUNDUP(IF($Q128*('Draft Center'!$L$28+'Draft Center'!$L$78-'Draft Center'!$L$82)&lt;1,1,$Q128*('Draft Center'!$L$28+'Draft Center'!$L$78-'Draft Center'!$L$82)),0)))</f>
        <v>1</v>
      </c>
      <c r="BC128" s="69">
        <f>IF(VLOOKUP($D128,$AO$14:AS$19,COLUMN()-50,0)&lt;=0,1,IF($Q128&lt;0,1,ROUNDUP(IF($Q128*('Draft Center'!$L$28+'Draft Center'!$L$78-'Draft Center'!$L$82)&lt;1,1,$Q128*('Draft Center'!$L$28+'Draft Center'!$L$78-'Draft Center'!$L$82)),0)))</f>
        <v>1</v>
      </c>
      <c r="BD128" s="69">
        <f>IF(VLOOKUP($D128,$AO$14:AT$19,COLUMN()-50,0)&lt;=0,1,IF($Q128&lt;0,1,ROUNDUP(IF($Q128*('Draft Center'!$L$28+'Draft Center'!$L$78-'Draft Center'!$L$82)&lt;1,1,$Q128*('Draft Center'!$L$28+'Draft Center'!$L$78-'Draft Center'!$L$82)),0)))</f>
        <v>1</v>
      </c>
      <c r="BE128" s="69">
        <f>IF(VLOOKUP($D128,$AO$14:AU$19,COLUMN()-50,0)&lt;=0,1,IF($Q128&lt;0,1,ROUNDUP(IF($Q128*('Draft Center'!$L$28+'Draft Center'!$L$78-'Draft Center'!$L$82)&lt;1,1,$Q128*('Draft Center'!$L$28+'Draft Center'!$L$78-'Draft Center'!$L$82)),0)))</f>
        <v>1</v>
      </c>
      <c r="BF128" s="69">
        <f>IF(VLOOKUP($D128,$AO$14:AV$19,COLUMN()-50,0)&lt;=0,1,IF($Q128&lt;0,1,ROUNDUP(IF($Q128*('Draft Center'!$L$28+'Draft Center'!$L$78-'Draft Center'!$L$82)&lt;1,1,$Q128*('Draft Center'!$L$28+'Draft Center'!$L$78-'Draft Center'!$L$82)),0)))</f>
        <v>1</v>
      </c>
      <c r="BG128" s="69">
        <f>IF(VLOOKUP($D128,$AO$14:AW$19,COLUMN()-50,0)&lt;=0,1,IF($Q128&lt;0,1,ROUNDUP(IF($Q128*('Draft Center'!$L$28+'Draft Center'!$L$78-'Draft Center'!$L$82)&lt;1,1,$Q128*('Draft Center'!$L$28+'Draft Center'!$L$78-'Draft Center'!$L$82)),0)))</f>
        <v>1</v>
      </c>
      <c r="BH128" s="69">
        <f>IF(VLOOKUP($D128,$AO$14:AX$19,COLUMN()-50,0)&lt;=0,1,IF($Q128&lt;0,1,ROUNDUP(IF($Q128*('Draft Center'!$L$28+'Draft Center'!$L$78-'Draft Center'!$L$82)&lt;1,1,$Q128*('Draft Center'!$L$28+'Draft Center'!$L$78-'Draft Center'!$L$82)),0)))</f>
        <v>1</v>
      </c>
      <c r="BI128" s="69">
        <f>IF(VLOOKUP($D128,$AO$14:AY$19,COLUMN()-50,0)&lt;=0,1,IF($Q128&lt;0,1,ROUNDUP(IF($Q128*('Draft Center'!$L$28+'Draft Center'!$L$78-'Draft Center'!$L$82)&lt;1,1,$Q128*('Draft Center'!$L$28+'Draft Center'!$L$78-'Draft Center'!$L$82)),0)))</f>
        <v>1</v>
      </c>
      <c r="BJ128" s="196"/>
      <c r="BK128" s="23">
        <v>0</v>
      </c>
      <c r="BL128" s="23" t="str">
        <f t="shared" si="59"/>
        <v/>
      </c>
      <c r="BM128" s="23">
        <v>0</v>
      </c>
      <c r="BN128" s="23" t="str">
        <f t="shared" si="59"/>
        <v/>
      </c>
      <c r="BO128" s="23" t="str">
        <f t="shared" si="59"/>
        <v/>
      </c>
      <c r="BP128" s="23" t="str">
        <f t="shared" si="59"/>
        <v/>
      </c>
      <c r="BQ128" s="23">
        <f t="shared" si="59"/>
        <v>0</v>
      </c>
      <c r="BR128" s="23">
        <f t="shared" si="42"/>
        <v>0</v>
      </c>
      <c r="BS128" s="23">
        <f t="shared" si="43"/>
        <v>0</v>
      </c>
      <c r="BT128" s="69">
        <v>1</v>
      </c>
      <c r="BU128" s="58">
        <v>2327.0337</v>
      </c>
      <c r="BV128" s="33">
        <v>1</v>
      </c>
      <c r="BW128" s="204">
        <v>2327.0337</v>
      </c>
      <c r="BX128" s="23"/>
      <c r="BY128" s="69">
        <v>1</v>
      </c>
      <c r="BZ128" s="69">
        <v>0</v>
      </c>
      <c r="CA128" s="69">
        <v>0</v>
      </c>
      <c r="CB128" s="69">
        <v>0</v>
      </c>
      <c r="CC128" s="69">
        <f t="shared" si="46"/>
        <v>0</v>
      </c>
      <c r="CD128" s="69">
        <f t="shared" si="47"/>
        <v>0</v>
      </c>
    </row>
    <row r="129" spans="1:82" ht="15.75" customHeight="1" thickBot="1" x14ac:dyDescent="0.3">
      <c r="A129" s="6">
        <v>128</v>
      </c>
      <c r="B129" s="7" t="s">
        <v>242</v>
      </c>
      <c r="C129" s="7" t="s">
        <v>117</v>
      </c>
      <c r="D129" s="7" t="s">
        <v>147</v>
      </c>
      <c r="E129" s="50">
        <v>-9.4098436218336907</v>
      </c>
      <c r="F129" s="50">
        <v>121.95914480914</v>
      </c>
      <c r="G129" s="50">
        <v>131.78998361091601</v>
      </c>
      <c r="H129" s="50">
        <v>97.9</v>
      </c>
      <c r="I129" s="8">
        <v>0</v>
      </c>
      <c r="J129" s="50">
        <v>5.41374286460728</v>
      </c>
      <c r="K129" s="248">
        <f>IFERROR(VLOOKUP(C129,Schedule!$T$3:$U$34,2,0),"FA")</f>
        <v>8</v>
      </c>
      <c r="L129" s="7" t="str">
        <f>D129&amp;COUNTIF(D$2:$D129,D129)</f>
        <v>K20</v>
      </c>
      <c r="M129" s="50">
        <f t="array" ref="M129">IFERROR(F129-AVERAGE(VLOOKUP(D129,$D130:$F$885,3,0),INDEX($F130:$F$885,SMALL(IF(D129=$D130:$D$885,ROW($D130:$D$885)-ROW(D129)),2))),0)</f>
        <v>0.56617017462600927</v>
      </c>
      <c r="N129" s="50">
        <f>IFERROR(IF(VLOOKUP($B129,Input!$AC$2:$AC$162,1,0)=$B129,0),F129)</f>
        <v>121.95914480914</v>
      </c>
      <c r="O129" s="50">
        <f>IFERROR(IF(VLOOKUP($B129,Input!$AC$2:$AC$162,1,0)=$B129,0,G129),G129)</f>
        <v>131.78998361091601</v>
      </c>
      <c r="P129" s="50">
        <f>IF(N129=0,0,F129-AVERAGE(INDEX(F:F,MATCH(VLOOKUP(D129,Input!$A$14:$L$22,10,0),L:L,0)),INDEX(F:F,MATCH(VLOOKUP(D129,Input!$A$14:$L$22,11,0),L:L,0)),INDEX(F:F,MATCH(VLOOKUP(D129,Input!$A$14:$L$22,12,0),L:L,0)))+(0.01-ROW()*0.01))</f>
        <v>-10.863836772987993</v>
      </c>
      <c r="Q129" s="106">
        <f t="shared" si="38"/>
        <v>-3.7479469980880305E-3</v>
      </c>
      <c r="R129" s="8">
        <f>IF(VLOOKUP($D129,$X$14:$Y$19,2,0)&lt;=0,1,IF(Q129&lt;0,1,ROUNDUP(IF(Q129*('Draft Center'!$L$28+'Draft Center'!$L$78-'Draft Center'!$L$82)&lt;1,1,Q129*('Draft Center'!$L$28+'Draft Center'!$L$78-'Draft Center'!$L$82)),0)))</f>
        <v>1</v>
      </c>
      <c r="S129" s="8">
        <f>IF(A129&lt;Input!$B$10+0.1,IF(ROUNDUP(R129*Input!$C$10,0)=0,1,ROUNDUP(R129*Input!$C$10,0)),IF(A129&gt;Input!$B$11,IF(ROUNDUP(R129*Input!$C$11,0)=0,1,ROUNDUP(R129*Input!$C$11,0)),IF(ROUNDUP(R129,0)=0,1,ROUNDUP(R129,0))))</f>
        <v>1</v>
      </c>
      <c r="T129" s="8">
        <f t="shared" si="39"/>
        <v>1</v>
      </c>
      <c r="U129" s="8">
        <f>IFERROR(VLOOKUP($B129,Input!$AC$2:$AE$161,3,0),0)</f>
        <v>0</v>
      </c>
      <c r="V129" s="256">
        <f t="shared" si="44"/>
        <v>0</v>
      </c>
      <c r="W129" s="263">
        <f t="shared" si="45"/>
        <v>1.00129</v>
      </c>
      <c r="X129" s="27"/>
      <c r="Y129" s="23"/>
      <c r="Z129" s="23"/>
      <c r="AA129" s="23">
        <v>0</v>
      </c>
      <c r="AB129" s="23" t="str">
        <f t="shared" si="58"/>
        <v/>
      </c>
      <c r="AC129" s="23" t="str">
        <f t="shared" si="58"/>
        <v/>
      </c>
      <c r="AD129" s="23" t="str">
        <f t="shared" si="58"/>
        <v/>
      </c>
      <c r="AE129" s="23" t="str">
        <f t="shared" si="58"/>
        <v/>
      </c>
      <c r="AF129" s="23" t="str">
        <f t="shared" si="58"/>
        <v/>
      </c>
      <c r="AG129" s="23">
        <f t="shared" si="58"/>
        <v>0</v>
      </c>
      <c r="AH129" s="23">
        <f t="shared" si="40"/>
        <v>0</v>
      </c>
      <c r="AI129" s="23">
        <f t="shared" si="41"/>
        <v>0</v>
      </c>
      <c r="AJ129" s="70">
        <v>1</v>
      </c>
      <c r="AK129" s="225">
        <v>2327.0337</v>
      </c>
      <c r="AL129" s="33">
        <v>1</v>
      </c>
      <c r="AM129" s="204">
        <v>2327.0337</v>
      </c>
      <c r="AN129" s="196"/>
      <c r="AO129" s="23"/>
      <c r="AP129" s="23"/>
      <c r="AQ129" s="23"/>
      <c r="AR129" s="23"/>
      <c r="AS129" s="23"/>
      <c r="AT129" s="23"/>
      <c r="AU129" s="23"/>
      <c r="AV129" s="23"/>
      <c r="AW129" s="23"/>
      <c r="AX129" s="23"/>
      <c r="AY129" s="23"/>
      <c r="AZ129" s="196"/>
      <c r="BA129" s="70">
        <f>IF(VLOOKUP($D129,$AO$14:AQ$19,COLUMN()-50,0)&lt;=0,1,IF($Q129&lt;0,1,ROUNDUP(IF($Q129*('Draft Center'!$L$28+'Draft Center'!$L$78-'Draft Center'!$L$82)&lt;1,1,$Q129*('Draft Center'!$L$28+'Draft Center'!$L$78-'Draft Center'!$L$82)),0)))</f>
        <v>1</v>
      </c>
      <c r="BB129" s="70">
        <f>IF(VLOOKUP($D129,$AO$14:AR$19,COLUMN()-50,0)&lt;=0,1,IF($Q129&lt;0,1,ROUNDUP(IF($Q129*('Draft Center'!$L$28+'Draft Center'!$L$78-'Draft Center'!$L$82)&lt;1,1,$Q129*('Draft Center'!$L$28+'Draft Center'!$L$78-'Draft Center'!$L$82)),0)))</f>
        <v>1</v>
      </c>
      <c r="BC129" s="70">
        <f>IF(VLOOKUP($D129,$AO$14:AS$19,COLUMN()-50,0)&lt;=0,1,IF($Q129&lt;0,1,ROUNDUP(IF($Q129*('Draft Center'!$L$28+'Draft Center'!$L$78-'Draft Center'!$L$82)&lt;1,1,$Q129*('Draft Center'!$L$28+'Draft Center'!$L$78-'Draft Center'!$L$82)),0)))</f>
        <v>1</v>
      </c>
      <c r="BD129" s="70">
        <f>IF(VLOOKUP($D129,$AO$14:AT$19,COLUMN()-50,0)&lt;=0,1,IF($Q129&lt;0,1,ROUNDUP(IF($Q129*('Draft Center'!$L$28+'Draft Center'!$L$78-'Draft Center'!$L$82)&lt;1,1,$Q129*('Draft Center'!$L$28+'Draft Center'!$L$78-'Draft Center'!$L$82)),0)))</f>
        <v>1</v>
      </c>
      <c r="BE129" s="70">
        <f>IF(VLOOKUP($D129,$AO$14:AU$19,COLUMN()-50,0)&lt;=0,1,IF($Q129&lt;0,1,ROUNDUP(IF($Q129*('Draft Center'!$L$28+'Draft Center'!$L$78-'Draft Center'!$L$82)&lt;1,1,$Q129*('Draft Center'!$L$28+'Draft Center'!$L$78-'Draft Center'!$L$82)),0)))</f>
        <v>1</v>
      </c>
      <c r="BF129" s="70">
        <f>IF(VLOOKUP($D129,$AO$14:AV$19,COLUMN()-50,0)&lt;=0,1,IF($Q129&lt;0,1,ROUNDUP(IF($Q129*('Draft Center'!$L$28+'Draft Center'!$L$78-'Draft Center'!$L$82)&lt;1,1,$Q129*('Draft Center'!$L$28+'Draft Center'!$L$78-'Draft Center'!$L$82)),0)))</f>
        <v>1</v>
      </c>
      <c r="BG129" s="70">
        <f>IF(VLOOKUP($D129,$AO$14:AW$19,COLUMN()-50,0)&lt;=0,1,IF($Q129&lt;0,1,ROUNDUP(IF($Q129*('Draft Center'!$L$28+'Draft Center'!$L$78-'Draft Center'!$L$82)&lt;1,1,$Q129*('Draft Center'!$L$28+'Draft Center'!$L$78-'Draft Center'!$L$82)),0)))</f>
        <v>1</v>
      </c>
      <c r="BH129" s="70">
        <f>IF(VLOOKUP($D129,$AO$14:AX$19,COLUMN()-50,0)&lt;=0,1,IF($Q129&lt;0,1,ROUNDUP(IF($Q129*('Draft Center'!$L$28+'Draft Center'!$L$78-'Draft Center'!$L$82)&lt;1,1,$Q129*('Draft Center'!$L$28+'Draft Center'!$L$78-'Draft Center'!$L$82)),0)))</f>
        <v>1</v>
      </c>
      <c r="BI129" s="70">
        <f>IF(VLOOKUP($D129,$AO$14:AY$19,COLUMN()-50,0)&lt;=0,1,IF($Q129&lt;0,1,ROUNDUP(IF($Q129*('Draft Center'!$L$28+'Draft Center'!$L$78-'Draft Center'!$L$82)&lt;1,1,$Q129*('Draft Center'!$L$28+'Draft Center'!$L$78-'Draft Center'!$L$82)),0)))</f>
        <v>1</v>
      </c>
      <c r="BJ129" s="196"/>
      <c r="BK129" s="23">
        <v>0</v>
      </c>
      <c r="BL129" s="23" t="str">
        <f t="shared" si="59"/>
        <v/>
      </c>
      <c r="BM129" s="23">
        <v>0</v>
      </c>
      <c r="BN129" s="23" t="str">
        <f t="shared" si="59"/>
        <v/>
      </c>
      <c r="BO129" s="23" t="str">
        <f t="shared" si="59"/>
        <v/>
      </c>
      <c r="BP129" s="23" t="str">
        <f t="shared" si="59"/>
        <v/>
      </c>
      <c r="BQ129" s="23">
        <f t="shared" si="59"/>
        <v>0</v>
      </c>
      <c r="BR129" s="23">
        <f t="shared" si="42"/>
        <v>0</v>
      </c>
      <c r="BS129" s="23">
        <f t="shared" si="43"/>
        <v>0</v>
      </c>
      <c r="BT129" s="70">
        <v>1</v>
      </c>
      <c r="BU129" s="58">
        <v>2327.0337</v>
      </c>
      <c r="BV129" s="33">
        <v>1</v>
      </c>
      <c r="BW129" s="204">
        <v>2327.0337</v>
      </c>
      <c r="BX129" s="23"/>
      <c r="BY129" s="70">
        <v>1</v>
      </c>
      <c r="BZ129" s="70">
        <v>0</v>
      </c>
      <c r="CA129" s="70">
        <v>0</v>
      </c>
      <c r="CB129" s="70">
        <v>0</v>
      </c>
      <c r="CC129" s="70">
        <f t="shared" si="46"/>
        <v>0</v>
      </c>
      <c r="CD129" s="70">
        <f t="shared" si="47"/>
        <v>0</v>
      </c>
    </row>
    <row r="130" spans="1:82" ht="15.75" customHeight="1" thickBot="1" x14ac:dyDescent="0.3">
      <c r="A130" s="9">
        <v>129</v>
      </c>
      <c r="B130" s="10" t="s">
        <v>239</v>
      </c>
      <c r="C130" s="10" t="s">
        <v>75</v>
      </c>
      <c r="D130" s="10" t="s">
        <v>53</v>
      </c>
      <c r="E130" s="51">
        <v>-9.4551600738315607</v>
      </c>
      <c r="F130" s="51">
        <v>262.89248355900401</v>
      </c>
      <c r="G130" s="51">
        <v>280.358930917431</v>
      </c>
      <c r="H130" s="51">
        <v>201.9632</v>
      </c>
      <c r="I130" s="11">
        <v>3.5</v>
      </c>
      <c r="J130" s="51">
        <v>5.7710574646164297</v>
      </c>
      <c r="K130" s="249">
        <f>IFERROR(VLOOKUP(C130,Schedule!$T$3:$U$34,2,0),"FA")</f>
        <v>10</v>
      </c>
      <c r="L130" s="10" t="str">
        <f>D130&amp;COUNTIF(D$2:$D130,D130)</f>
        <v>QB14</v>
      </c>
      <c r="M130" s="51">
        <f t="array" ref="M130">IFERROR(F130-AVERAGE(VLOOKUP(D130,$D131:$F$885,3,0),INDEX($F131:$F$885,SMALL(IF(D130=$D131:$D$885,ROW($D131:$D$885)-ROW(D130)),2))),0)</f>
        <v>5.7311170627805268</v>
      </c>
      <c r="N130" s="51">
        <f>IFERROR(IF(VLOOKUP($B130,Input!$AC$2:$AC$162,1,0)=$B130,0),F130)</f>
        <v>262.89248355900401</v>
      </c>
      <c r="O130" s="51">
        <f>IFERROR(IF(VLOOKUP($B130,Input!$AC$2:$AC$162,1,0)=$B130,0,G130),G130)</f>
        <v>280.358930917431</v>
      </c>
      <c r="P130" s="51">
        <f>IF(N130=0,0,F130-AVERAGE(INDEX(F:F,MATCH(VLOOKUP(D130,Input!$A$14:$L$22,10,0),L:L,0)),INDEX(F:F,MATCH(VLOOKUP(D130,Input!$A$14:$L$22,11,0),L:L,0)),INDEX(F:F,MATCH(VLOOKUP(D130,Input!$A$14:$L$22,12,0),L:L,0)))+(0.01-ROW()*0.01))</f>
        <v>-10.74516007383162</v>
      </c>
      <c r="Q130" s="107">
        <f t="shared" ref="Q130:Q193" si="60">IFERROR(P130/SUMIF(P:P,"&gt;0",P:P),0)</f>
        <v>-3.7070043746263025E-3</v>
      </c>
      <c r="R130" s="11">
        <f>IF(VLOOKUP($D130,$X$14:$Y$19,2,0)&lt;=0,1,IF(Q130&lt;0,1,ROUNDUP(IF(Q130*('Draft Center'!$L$28+'Draft Center'!$L$78-'Draft Center'!$L$82)&lt;1,1,Q130*('Draft Center'!$L$28+'Draft Center'!$L$78-'Draft Center'!$L$82)),0)))</f>
        <v>1</v>
      </c>
      <c r="S130" s="11">
        <f>IF(A130&lt;Input!$B$10+0.1,IF(ROUNDUP(R130*Input!$C$10,0)=0,1,ROUNDUP(R130*Input!$C$10,0)),IF(A130&gt;Input!$B$11,IF(ROUNDUP(R130*Input!$C$11,0)=0,1,ROUNDUP(R130*Input!$C$11,0)),IF(ROUNDUP(R130,0)=0,1,ROUNDUP(R130,0))))</f>
        <v>1</v>
      </c>
      <c r="T130" s="11">
        <f t="shared" ref="T130:T193" si="61">IF(U130&gt;0,0,IF(AA130=1,R130,IF(AL130=0,1,AL130)))</f>
        <v>1</v>
      </c>
      <c r="U130" s="11">
        <f>IFERROR(VLOOKUP($B130,Input!$AC$2:$AE$161,3,0),0)</f>
        <v>0</v>
      </c>
      <c r="V130" s="257">
        <f t="shared" si="44"/>
        <v>-0.71298571428571433</v>
      </c>
      <c r="W130" s="264">
        <f t="shared" si="45"/>
        <v>-2.4986999999999999</v>
      </c>
      <c r="X130" s="27"/>
      <c r="Y130" s="23"/>
      <c r="Z130" s="23"/>
      <c r="AA130" s="23">
        <v>0</v>
      </c>
      <c r="AB130" s="23">
        <f t="shared" si="58"/>
        <v>0</v>
      </c>
      <c r="AC130" s="23" t="str">
        <f t="shared" si="58"/>
        <v/>
      </c>
      <c r="AD130" s="23" t="str">
        <f t="shared" si="58"/>
        <v/>
      </c>
      <c r="AE130" s="23" t="str">
        <f t="shared" si="58"/>
        <v/>
      </c>
      <c r="AF130" s="23" t="str">
        <f t="shared" si="58"/>
        <v/>
      </c>
      <c r="AG130" s="23" t="str">
        <f t="shared" si="58"/>
        <v/>
      </c>
      <c r="AH130" s="23">
        <f t="shared" ref="AH130:AH193" si="62">IF($D130=AC$1,1*$AA130,IF($D130=AD$1,1*$AA130,IF($D130=AE$1,1*$AA130,IF($D130=AB$1,1*$AA130,IF($D130=AF$1,1*$AA130,IF($D130=AG$1,1*$AA130,""))))))</f>
        <v>0</v>
      </c>
      <c r="AI130" s="23">
        <f t="shared" ref="AI130:AI193" si="63">IF(AH130=1,B130,0)</f>
        <v>0</v>
      </c>
      <c r="AJ130" s="69">
        <v>1</v>
      </c>
      <c r="AK130" s="225">
        <v>2327.0337</v>
      </c>
      <c r="AL130" s="33">
        <v>1</v>
      </c>
      <c r="AM130" s="204">
        <v>2327.0337</v>
      </c>
      <c r="AN130" s="196"/>
      <c r="AO130" s="23"/>
      <c r="AP130" s="23"/>
      <c r="AQ130" s="23"/>
      <c r="AR130" s="23"/>
      <c r="AS130" s="23"/>
      <c r="AT130" s="23"/>
      <c r="AU130" s="23"/>
      <c r="AV130" s="23"/>
      <c r="AW130" s="23"/>
      <c r="AX130" s="23"/>
      <c r="AY130" s="23"/>
      <c r="AZ130" s="196"/>
      <c r="BA130" s="69">
        <f>IF(VLOOKUP($D130,$AO$14:AQ$19,COLUMN()-50,0)&lt;=0,1,IF($Q130&lt;0,1,ROUNDUP(IF($Q130*('Draft Center'!$L$28+'Draft Center'!$L$78-'Draft Center'!$L$82)&lt;1,1,$Q130*('Draft Center'!$L$28+'Draft Center'!$L$78-'Draft Center'!$L$82)),0)))</f>
        <v>1</v>
      </c>
      <c r="BB130" s="69">
        <f>IF(VLOOKUP($D130,$AO$14:AR$19,COLUMN()-50,0)&lt;=0,1,IF($Q130&lt;0,1,ROUNDUP(IF($Q130*('Draft Center'!$L$28+'Draft Center'!$L$78-'Draft Center'!$L$82)&lt;1,1,$Q130*('Draft Center'!$L$28+'Draft Center'!$L$78-'Draft Center'!$L$82)),0)))</f>
        <v>1</v>
      </c>
      <c r="BC130" s="69">
        <f>IF(VLOOKUP($D130,$AO$14:AS$19,COLUMN()-50,0)&lt;=0,1,IF($Q130&lt;0,1,ROUNDUP(IF($Q130*('Draft Center'!$L$28+'Draft Center'!$L$78-'Draft Center'!$L$82)&lt;1,1,$Q130*('Draft Center'!$L$28+'Draft Center'!$L$78-'Draft Center'!$L$82)),0)))</f>
        <v>1</v>
      </c>
      <c r="BD130" s="69">
        <f>IF(VLOOKUP($D130,$AO$14:AT$19,COLUMN()-50,0)&lt;=0,1,IF($Q130&lt;0,1,ROUNDUP(IF($Q130*('Draft Center'!$L$28+'Draft Center'!$L$78-'Draft Center'!$L$82)&lt;1,1,$Q130*('Draft Center'!$L$28+'Draft Center'!$L$78-'Draft Center'!$L$82)),0)))</f>
        <v>1</v>
      </c>
      <c r="BE130" s="69">
        <f>IF(VLOOKUP($D130,$AO$14:AU$19,COLUMN()-50,0)&lt;=0,1,IF($Q130&lt;0,1,ROUNDUP(IF($Q130*('Draft Center'!$L$28+'Draft Center'!$L$78-'Draft Center'!$L$82)&lt;1,1,$Q130*('Draft Center'!$L$28+'Draft Center'!$L$78-'Draft Center'!$L$82)),0)))</f>
        <v>1</v>
      </c>
      <c r="BF130" s="69">
        <f>IF(VLOOKUP($D130,$AO$14:AV$19,COLUMN()-50,0)&lt;=0,1,IF($Q130&lt;0,1,ROUNDUP(IF($Q130*('Draft Center'!$L$28+'Draft Center'!$L$78-'Draft Center'!$L$82)&lt;1,1,$Q130*('Draft Center'!$L$28+'Draft Center'!$L$78-'Draft Center'!$L$82)),0)))</f>
        <v>1</v>
      </c>
      <c r="BG130" s="69">
        <f>IF(VLOOKUP($D130,$AO$14:AW$19,COLUMN()-50,0)&lt;=0,1,IF($Q130&lt;0,1,ROUNDUP(IF($Q130*('Draft Center'!$L$28+'Draft Center'!$L$78-'Draft Center'!$L$82)&lt;1,1,$Q130*('Draft Center'!$L$28+'Draft Center'!$L$78-'Draft Center'!$L$82)),0)))</f>
        <v>1</v>
      </c>
      <c r="BH130" s="69">
        <f>IF(VLOOKUP($D130,$AO$14:AX$19,COLUMN()-50,0)&lt;=0,1,IF($Q130&lt;0,1,ROUNDUP(IF($Q130*('Draft Center'!$L$28+'Draft Center'!$L$78-'Draft Center'!$L$82)&lt;1,1,$Q130*('Draft Center'!$L$28+'Draft Center'!$L$78-'Draft Center'!$L$82)),0)))</f>
        <v>1</v>
      </c>
      <c r="BI130" s="69">
        <f>IF(VLOOKUP($D130,$AO$14:AY$19,COLUMN()-50,0)&lt;=0,1,IF($Q130&lt;0,1,ROUNDUP(IF($Q130*('Draft Center'!$L$28+'Draft Center'!$L$78-'Draft Center'!$L$82)&lt;1,1,$Q130*('Draft Center'!$L$28+'Draft Center'!$L$78-'Draft Center'!$L$82)),0)))</f>
        <v>1</v>
      </c>
      <c r="BJ130" s="196"/>
      <c r="BK130" s="23">
        <v>0</v>
      </c>
      <c r="BL130" s="23">
        <f t="shared" si="59"/>
        <v>0</v>
      </c>
      <c r="BM130" s="23">
        <v>0</v>
      </c>
      <c r="BN130" s="23" t="str">
        <f t="shared" si="59"/>
        <v/>
      </c>
      <c r="BO130" s="23" t="str">
        <f t="shared" si="59"/>
        <v/>
      </c>
      <c r="BP130" s="23" t="str">
        <f t="shared" si="59"/>
        <v/>
      </c>
      <c r="BQ130" s="23" t="str">
        <f t="shared" si="59"/>
        <v/>
      </c>
      <c r="BR130" s="23">
        <f t="shared" ref="BR130:BR193" si="64">IF($D130=BM$1,1*$BK130,IF($D130=BN$1,1*$BK130,IF($D130=BO$1,1*$BK130,IF($D130=BL$1,1*$BK130,IF($D130=BP$1,1*$BK130,IF($D130=BQ$1,1*$BK130,""))))))</f>
        <v>0</v>
      </c>
      <c r="BS130" s="23">
        <f t="shared" ref="BS130:BS193" si="65">IF(BR130=1,B130,0)</f>
        <v>0</v>
      </c>
      <c r="BT130" s="69">
        <v>1</v>
      </c>
      <c r="BU130" s="58">
        <v>2327.0337</v>
      </c>
      <c r="BV130" s="33">
        <v>1</v>
      </c>
      <c r="BW130" s="204">
        <v>2327.0337</v>
      </c>
      <c r="BX130" s="23"/>
      <c r="BY130" s="69">
        <v>1</v>
      </c>
      <c r="BZ130" s="69">
        <v>3.5</v>
      </c>
      <c r="CA130" s="69">
        <v>3.5</v>
      </c>
      <c r="CB130" s="69">
        <v>3.5</v>
      </c>
      <c r="CC130" s="69">
        <f t="shared" si="46"/>
        <v>3.5</v>
      </c>
      <c r="CD130" s="69">
        <f t="shared" si="47"/>
        <v>3.5</v>
      </c>
    </row>
    <row r="131" spans="1:82" ht="15.75" customHeight="1" thickBot="1" x14ac:dyDescent="0.3">
      <c r="A131" s="6">
        <v>130</v>
      </c>
      <c r="B131" s="7" t="s">
        <v>478</v>
      </c>
      <c r="C131" s="7" t="s">
        <v>927</v>
      </c>
      <c r="D131" s="7" t="s">
        <v>147</v>
      </c>
      <c r="E131" s="50">
        <v>-9.6540620348300195</v>
      </c>
      <c r="F131" s="50">
        <v>121.714926396143</v>
      </c>
      <c r="G131" s="50">
        <v>131.02730881257099</v>
      </c>
      <c r="H131" s="50">
        <v>110</v>
      </c>
      <c r="I131" s="8">
        <v>0</v>
      </c>
      <c r="J131" s="50">
        <v>3.8762583931374102</v>
      </c>
      <c r="K131" s="248">
        <f>IFERROR(VLOOKUP(C131,Schedule!$T$3:$U$34,2,0),"FA")</f>
        <v>9</v>
      </c>
      <c r="L131" s="7" t="str">
        <f>D131&amp;COUNTIF(D$2:$D131,D131)</f>
        <v>K21</v>
      </c>
      <c r="M131" s="50">
        <f t="array" ref="M131">IFERROR(F131-AVERAGE(VLOOKUP(D131,$D132:$F$885,3,0),INDEX($F132:$F$885,SMALL(IF(D131=$D132:$D$885,ROW($D132:$D$885)-ROW(D131)),2))),0)</f>
        <v>2.3804138662764984</v>
      </c>
      <c r="N131" s="50">
        <f>IFERROR(IF(VLOOKUP($B131,Input!$AC$2:$AC$162,1,0)=$B131,0),F131)</f>
        <v>121.714926396143</v>
      </c>
      <c r="O131" s="50">
        <f>IFERROR(IF(VLOOKUP($B131,Input!$AC$2:$AC$162,1,0)=$B131,0,G131),G131)</f>
        <v>131.02730881257099</v>
      </c>
      <c r="P131" s="50">
        <f>IF(N131=0,0,F131-AVERAGE(INDEX(F:F,MATCH(VLOOKUP(D131,Input!$A$14:$L$22,10,0),L:L,0)),INDEX(F:F,MATCH(VLOOKUP(D131,Input!$A$14:$L$22,11,0),L:L,0)),INDEX(F:F,MATCH(VLOOKUP(D131,Input!$A$14:$L$22,12,0),L:L,0)))+(0.01-ROW()*0.01))</f>
        <v>-11.128055185984994</v>
      </c>
      <c r="Q131" s="106">
        <f t="shared" si="60"/>
        <v>-3.8391004854355149E-3</v>
      </c>
      <c r="R131" s="8">
        <f>IF(VLOOKUP($D131,$X$14:$Y$19,2,0)&lt;=0,1,IF(Q131&lt;0,1,ROUNDUP(IF(Q131*('Draft Center'!$L$28+'Draft Center'!$L$78-'Draft Center'!$L$82)&lt;1,1,Q131*('Draft Center'!$L$28+'Draft Center'!$L$78-'Draft Center'!$L$82)),0)))</f>
        <v>1</v>
      </c>
      <c r="S131" s="8">
        <f>IF(A131&lt;Input!$B$10+0.1,IF(ROUNDUP(R131*Input!$C$10,0)=0,1,ROUNDUP(R131*Input!$C$10,0)),IF(A131&gt;Input!$B$11,IF(ROUNDUP(R131*Input!$C$11,0)=0,1,ROUNDUP(R131*Input!$C$11,0)),IF(ROUNDUP(R131,0)=0,1,ROUNDUP(R131,0))))</f>
        <v>1</v>
      </c>
      <c r="T131" s="8">
        <f t="shared" si="61"/>
        <v>1</v>
      </c>
      <c r="U131" s="8">
        <f>IFERROR(VLOOKUP($B131,Input!$AC$2:$AE$161,3,0),0)</f>
        <v>0</v>
      </c>
      <c r="V131" s="256">
        <f t="shared" ref="V131:V194" si="66">IF(R131=0,0,IFERROR(((R131-CD131)/CD131)+(ROW()*0.00001),0))</f>
        <v>0</v>
      </c>
      <c r="W131" s="263">
        <f t="shared" ref="W131:W194" si="67">IF(R131=0,0,IFERROR(((R131-CD131))+(ROW()*0.00001),0))</f>
        <v>1.0013099999999999</v>
      </c>
      <c r="X131" s="27"/>
      <c r="Y131" s="23"/>
      <c r="Z131" s="23"/>
      <c r="AA131" s="23">
        <v>0</v>
      </c>
      <c r="AB131" s="23" t="str">
        <f t="shared" si="58"/>
        <v/>
      </c>
      <c r="AC131" s="23" t="str">
        <f t="shared" si="58"/>
        <v/>
      </c>
      <c r="AD131" s="23" t="str">
        <f t="shared" si="58"/>
        <v/>
      </c>
      <c r="AE131" s="23" t="str">
        <f t="shared" si="58"/>
        <v/>
      </c>
      <c r="AF131" s="23" t="str">
        <f t="shared" si="58"/>
        <v/>
      </c>
      <c r="AG131" s="23">
        <f t="shared" si="58"/>
        <v>0</v>
      </c>
      <c r="AH131" s="23">
        <f t="shared" si="62"/>
        <v>0</v>
      </c>
      <c r="AI131" s="23">
        <f t="shared" si="63"/>
        <v>0</v>
      </c>
      <c r="AJ131" s="70">
        <v>1</v>
      </c>
      <c r="AK131" s="225">
        <v>2327.0337</v>
      </c>
      <c r="AL131" s="33">
        <v>1</v>
      </c>
      <c r="AM131" s="204">
        <v>2327.0337</v>
      </c>
      <c r="AN131" s="196"/>
      <c r="AO131" s="23"/>
      <c r="AP131" s="23"/>
      <c r="AQ131" s="23"/>
      <c r="AR131" s="23"/>
      <c r="AS131" s="23"/>
      <c r="AT131" s="23"/>
      <c r="AU131" s="23"/>
      <c r="AV131" s="23"/>
      <c r="AW131" s="23"/>
      <c r="AX131" s="23"/>
      <c r="AY131" s="23"/>
      <c r="AZ131" s="196"/>
      <c r="BA131" s="70">
        <f>IF(VLOOKUP($D131,$AO$14:AQ$19,COLUMN()-50,0)&lt;=0,1,IF($Q131&lt;0,1,ROUNDUP(IF($Q131*('Draft Center'!$L$28+'Draft Center'!$L$78-'Draft Center'!$L$82)&lt;1,1,$Q131*('Draft Center'!$L$28+'Draft Center'!$L$78-'Draft Center'!$L$82)),0)))</f>
        <v>1</v>
      </c>
      <c r="BB131" s="70">
        <f>IF(VLOOKUP($D131,$AO$14:AR$19,COLUMN()-50,0)&lt;=0,1,IF($Q131&lt;0,1,ROUNDUP(IF($Q131*('Draft Center'!$L$28+'Draft Center'!$L$78-'Draft Center'!$L$82)&lt;1,1,$Q131*('Draft Center'!$L$28+'Draft Center'!$L$78-'Draft Center'!$L$82)),0)))</f>
        <v>1</v>
      </c>
      <c r="BC131" s="70">
        <f>IF(VLOOKUP($D131,$AO$14:AS$19,COLUMN()-50,0)&lt;=0,1,IF($Q131&lt;0,1,ROUNDUP(IF($Q131*('Draft Center'!$L$28+'Draft Center'!$L$78-'Draft Center'!$L$82)&lt;1,1,$Q131*('Draft Center'!$L$28+'Draft Center'!$L$78-'Draft Center'!$L$82)),0)))</f>
        <v>1</v>
      </c>
      <c r="BD131" s="70">
        <f>IF(VLOOKUP($D131,$AO$14:AT$19,COLUMN()-50,0)&lt;=0,1,IF($Q131&lt;0,1,ROUNDUP(IF($Q131*('Draft Center'!$L$28+'Draft Center'!$L$78-'Draft Center'!$L$82)&lt;1,1,$Q131*('Draft Center'!$L$28+'Draft Center'!$L$78-'Draft Center'!$L$82)),0)))</f>
        <v>1</v>
      </c>
      <c r="BE131" s="70">
        <f>IF(VLOOKUP($D131,$AO$14:AU$19,COLUMN()-50,0)&lt;=0,1,IF($Q131&lt;0,1,ROUNDUP(IF($Q131*('Draft Center'!$L$28+'Draft Center'!$L$78-'Draft Center'!$L$82)&lt;1,1,$Q131*('Draft Center'!$L$28+'Draft Center'!$L$78-'Draft Center'!$L$82)),0)))</f>
        <v>1</v>
      </c>
      <c r="BF131" s="70">
        <f>IF(VLOOKUP($D131,$AO$14:AV$19,COLUMN()-50,0)&lt;=0,1,IF($Q131&lt;0,1,ROUNDUP(IF($Q131*('Draft Center'!$L$28+'Draft Center'!$L$78-'Draft Center'!$L$82)&lt;1,1,$Q131*('Draft Center'!$L$28+'Draft Center'!$L$78-'Draft Center'!$L$82)),0)))</f>
        <v>1</v>
      </c>
      <c r="BG131" s="70">
        <f>IF(VLOOKUP($D131,$AO$14:AW$19,COLUMN()-50,0)&lt;=0,1,IF($Q131&lt;0,1,ROUNDUP(IF($Q131*('Draft Center'!$L$28+'Draft Center'!$L$78-'Draft Center'!$L$82)&lt;1,1,$Q131*('Draft Center'!$L$28+'Draft Center'!$L$78-'Draft Center'!$L$82)),0)))</f>
        <v>1</v>
      </c>
      <c r="BH131" s="70">
        <f>IF(VLOOKUP($D131,$AO$14:AX$19,COLUMN()-50,0)&lt;=0,1,IF($Q131&lt;0,1,ROUNDUP(IF($Q131*('Draft Center'!$L$28+'Draft Center'!$L$78-'Draft Center'!$L$82)&lt;1,1,$Q131*('Draft Center'!$L$28+'Draft Center'!$L$78-'Draft Center'!$L$82)),0)))</f>
        <v>1</v>
      </c>
      <c r="BI131" s="70">
        <f>IF(VLOOKUP($D131,$AO$14:AY$19,COLUMN()-50,0)&lt;=0,1,IF($Q131&lt;0,1,ROUNDUP(IF($Q131*('Draft Center'!$L$28+'Draft Center'!$L$78-'Draft Center'!$L$82)&lt;1,1,$Q131*('Draft Center'!$L$28+'Draft Center'!$L$78-'Draft Center'!$L$82)),0)))</f>
        <v>1</v>
      </c>
      <c r="BJ131" s="196"/>
      <c r="BK131" s="23">
        <v>0</v>
      </c>
      <c r="BL131" s="23" t="str">
        <f t="shared" si="59"/>
        <v/>
      </c>
      <c r="BM131" s="23">
        <v>0</v>
      </c>
      <c r="BN131" s="23" t="str">
        <f t="shared" si="59"/>
        <v/>
      </c>
      <c r="BO131" s="23" t="str">
        <f t="shared" si="59"/>
        <v/>
      </c>
      <c r="BP131" s="23" t="str">
        <f t="shared" si="59"/>
        <v/>
      </c>
      <c r="BQ131" s="23">
        <f t="shared" si="59"/>
        <v>0</v>
      </c>
      <c r="BR131" s="23">
        <f t="shared" si="64"/>
        <v>0</v>
      </c>
      <c r="BS131" s="23">
        <f t="shared" si="65"/>
        <v>0</v>
      </c>
      <c r="BT131" s="70">
        <v>1</v>
      </c>
      <c r="BU131" s="58">
        <v>2327.0337</v>
      </c>
      <c r="BV131" s="33">
        <v>1</v>
      </c>
      <c r="BW131" s="204">
        <v>2327.0337</v>
      </c>
      <c r="BX131" s="23"/>
      <c r="BY131" s="70">
        <v>1</v>
      </c>
      <c r="BZ131" s="70">
        <v>0</v>
      </c>
      <c r="CA131" s="70">
        <v>0</v>
      </c>
      <c r="CB131" s="70">
        <v>0</v>
      </c>
      <c r="CC131" s="70">
        <f t="shared" ref="CC131:CC194" si="68">AVERAGE(BZ131:CB131)</f>
        <v>0</v>
      </c>
      <c r="CD131" s="70">
        <f t="shared" ref="CD131:CD194" si="69">IFERROR(HLOOKUP($CD$1,$BZ$1:$CC$930,ROW(),0),"")</f>
        <v>0</v>
      </c>
    </row>
    <row r="132" spans="1:82" ht="15.75" customHeight="1" thickBot="1" x14ac:dyDescent="0.3">
      <c r="A132" s="9">
        <v>131</v>
      </c>
      <c r="B132" s="10" t="s">
        <v>202</v>
      </c>
      <c r="C132" s="10" t="s">
        <v>68</v>
      </c>
      <c r="D132" s="10" t="s">
        <v>147</v>
      </c>
      <c r="E132" s="51">
        <v>-10.297965558088199</v>
      </c>
      <c r="F132" s="51">
        <v>121.071022872885</v>
      </c>
      <c r="G132" s="51">
        <v>129.40781288412299</v>
      </c>
      <c r="H132" s="51">
        <v>96.4</v>
      </c>
      <c r="I132" s="11">
        <v>0</v>
      </c>
      <c r="J132" s="51">
        <v>4.7777806463609904</v>
      </c>
      <c r="K132" s="249">
        <f>IFERROR(VLOOKUP(C132,Schedule!$T$3:$U$34,2,0),"FA")</f>
        <v>8</v>
      </c>
      <c r="L132" s="10" t="str">
        <f>D132&amp;COUNTIF(D$2:$D132,D132)</f>
        <v>K22</v>
      </c>
      <c r="M132" s="51">
        <f t="array" ref="M132">IFERROR(F132-AVERAGE(VLOOKUP(D132,$D133:$F$885,3,0),INDEX($F133:$F$885,SMALL(IF(D132=$D133:$D$885,ROW($D133:$D$885)-ROW(D132)),2))),0)</f>
        <v>8.5763276126244961</v>
      </c>
      <c r="N132" s="51">
        <f>IFERROR(IF(VLOOKUP($B132,Input!$AC$2:$AC$162,1,0)=$B132,0),F132)</f>
        <v>121.071022872885</v>
      </c>
      <c r="O132" s="51">
        <f>IFERROR(IF(VLOOKUP($B132,Input!$AC$2:$AC$162,1,0)=$B132,0,G132),G132)</f>
        <v>129.40781288412299</v>
      </c>
      <c r="P132" s="51">
        <f>IF(N132=0,0,F132-AVERAGE(INDEX(F:F,MATCH(VLOOKUP(D132,Input!$A$14:$L$22,10,0),L:L,0)),INDEX(F:F,MATCH(VLOOKUP(D132,Input!$A$14:$L$22,11,0),L:L,0)),INDEX(F:F,MATCH(VLOOKUP(D132,Input!$A$14:$L$22,12,0),L:L,0)))+(0.01-ROW()*0.01))</f>
        <v>-11.781958709242998</v>
      </c>
      <c r="Q132" s="107">
        <f t="shared" si="60"/>
        <v>-4.0646925850082657E-3</v>
      </c>
      <c r="R132" s="11">
        <f>IF(VLOOKUP($D132,$X$14:$Y$19,2,0)&lt;=0,1,IF(Q132&lt;0,1,ROUNDUP(IF(Q132*('Draft Center'!$L$28+'Draft Center'!$L$78-'Draft Center'!$L$82)&lt;1,1,Q132*('Draft Center'!$L$28+'Draft Center'!$L$78-'Draft Center'!$L$82)),0)))</f>
        <v>1</v>
      </c>
      <c r="S132" s="11">
        <f>IF(A132&lt;Input!$B$10+0.1,IF(ROUNDUP(R132*Input!$C$10,0)=0,1,ROUNDUP(R132*Input!$C$10,0)),IF(A132&gt;Input!$B$11,IF(ROUNDUP(R132*Input!$C$11,0)=0,1,ROUNDUP(R132*Input!$C$11,0)),IF(ROUNDUP(R132,0)=0,1,ROUNDUP(R132,0))))</f>
        <v>1</v>
      </c>
      <c r="T132" s="11">
        <f t="shared" si="61"/>
        <v>1</v>
      </c>
      <c r="U132" s="11">
        <f>IFERROR(VLOOKUP($B132,Input!$AC$2:$AE$161,3,0),0)</f>
        <v>0</v>
      </c>
      <c r="V132" s="257">
        <f t="shared" si="66"/>
        <v>0</v>
      </c>
      <c r="W132" s="264">
        <f t="shared" si="67"/>
        <v>1.00132</v>
      </c>
      <c r="X132" s="27"/>
      <c r="Y132" s="23"/>
      <c r="Z132" s="23"/>
      <c r="AA132" s="23">
        <v>0</v>
      </c>
      <c r="AB132" s="23" t="str">
        <f t="shared" ref="AB132:AG141" si="70">IF($D132=AB$1,1*$AA132,"")</f>
        <v/>
      </c>
      <c r="AC132" s="23" t="str">
        <f t="shared" si="70"/>
        <v/>
      </c>
      <c r="AD132" s="23" t="str">
        <f t="shared" si="70"/>
        <v/>
      </c>
      <c r="AE132" s="23" t="str">
        <f t="shared" si="70"/>
        <v/>
      </c>
      <c r="AF132" s="23" t="str">
        <f t="shared" si="70"/>
        <v/>
      </c>
      <c r="AG132" s="23">
        <f t="shared" si="70"/>
        <v>0</v>
      </c>
      <c r="AH132" s="23">
        <f t="shared" si="62"/>
        <v>0</v>
      </c>
      <c r="AI132" s="23">
        <f t="shared" si="63"/>
        <v>0</v>
      </c>
      <c r="AJ132" s="69">
        <v>1</v>
      </c>
      <c r="AK132" s="225">
        <v>2327.0337</v>
      </c>
      <c r="AL132" s="33">
        <v>1</v>
      </c>
      <c r="AM132" s="204">
        <v>2327.0337</v>
      </c>
      <c r="AN132" s="196"/>
      <c r="AO132" s="23"/>
      <c r="AP132" s="23"/>
      <c r="AQ132" s="23"/>
      <c r="AR132" s="23"/>
      <c r="AS132" s="23"/>
      <c r="AT132" s="23"/>
      <c r="AU132" s="23"/>
      <c r="AV132" s="23"/>
      <c r="AW132" s="23"/>
      <c r="AX132" s="23"/>
      <c r="AY132" s="23"/>
      <c r="AZ132" s="196"/>
      <c r="BA132" s="69">
        <f>IF(VLOOKUP($D132,$AO$14:AQ$19,COLUMN()-50,0)&lt;=0,1,IF($Q132&lt;0,1,ROUNDUP(IF($Q132*('Draft Center'!$L$28+'Draft Center'!$L$78-'Draft Center'!$L$82)&lt;1,1,$Q132*('Draft Center'!$L$28+'Draft Center'!$L$78-'Draft Center'!$L$82)),0)))</f>
        <v>1</v>
      </c>
      <c r="BB132" s="69">
        <f>IF(VLOOKUP($D132,$AO$14:AR$19,COLUMN()-50,0)&lt;=0,1,IF($Q132&lt;0,1,ROUNDUP(IF($Q132*('Draft Center'!$L$28+'Draft Center'!$L$78-'Draft Center'!$L$82)&lt;1,1,$Q132*('Draft Center'!$L$28+'Draft Center'!$L$78-'Draft Center'!$L$82)),0)))</f>
        <v>1</v>
      </c>
      <c r="BC132" s="69">
        <f>IF(VLOOKUP($D132,$AO$14:AS$19,COLUMN()-50,0)&lt;=0,1,IF($Q132&lt;0,1,ROUNDUP(IF($Q132*('Draft Center'!$L$28+'Draft Center'!$L$78-'Draft Center'!$L$82)&lt;1,1,$Q132*('Draft Center'!$L$28+'Draft Center'!$L$78-'Draft Center'!$L$82)),0)))</f>
        <v>1</v>
      </c>
      <c r="BD132" s="69">
        <f>IF(VLOOKUP($D132,$AO$14:AT$19,COLUMN()-50,0)&lt;=0,1,IF($Q132&lt;0,1,ROUNDUP(IF($Q132*('Draft Center'!$L$28+'Draft Center'!$L$78-'Draft Center'!$L$82)&lt;1,1,$Q132*('Draft Center'!$L$28+'Draft Center'!$L$78-'Draft Center'!$L$82)),0)))</f>
        <v>1</v>
      </c>
      <c r="BE132" s="69">
        <f>IF(VLOOKUP($D132,$AO$14:AU$19,COLUMN()-50,0)&lt;=0,1,IF($Q132&lt;0,1,ROUNDUP(IF($Q132*('Draft Center'!$L$28+'Draft Center'!$L$78-'Draft Center'!$L$82)&lt;1,1,$Q132*('Draft Center'!$L$28+'Draft Center'!$L$78-'Draft Center'!$L$82)),0)))</f>
        <v>1</v>
      </c>
      <c r="BF132" s="69">
        <f>IF(VLOOKUP($D132,$AO$14:AV$19,COLUMN()-50,0)&lt;=0,1,IF($Q132&lt;0,1,ROUNDUP(IF($Q132*('Draft Center'!$L$28+'Draft Center'!$L$78-'Draft Center'!$L$82)&lt;1,1,$Q132*('Draft Center'!$L$28+'Draft Center'!$L$78-'Draft Center'!$L$82)),0)))</f>
        <v>1</v>
      </c>
      <c r="BG132" s="69">
        <f>IF(VLOOKUP($D132,$AO$14:AW$19,COLUMN()-50,0)&lt;=0,1,IF($Q132&lt;0,1,ROUNDUP(IF($Q132*('Draft Center'!$L$28+'Draft Center'!$L$78-'Draft Center'!$L$82)&lt;1,1,$Q132*('Draft Center'!$L$28+'Draft Center'!$L$78-'Draft Center'!$L$82)),0)))</f>
        <v>1</v>
      </c>
      <c r="BH132" s="69">
        <f>IF(VLOOKUP($D132,$AO$14:AX$19,COLUMN()-50,0)&lt;=0,1,IF($Q132&lt;0,1,ROUNDUP(IF($Q132*('Draft Center'!$L$28+'Draft Center'!$L$78-'Draft Center'!$L$82)&lt;1,1,$Q132*('Draft Center'!$L$28+'Draft Center'!$L$78-'Draft Center'!$L$82)),0)))</f>
        <v>1</v>
      </c>
      <c r="BI132" s="69">
        <f>IF(VLOOKUP($D132,$AO$14:AY$19,COLUMN()-50,0)&lt;=0,1,IF($Q132&lt;0,1,ROUNDUP(IF($Q132*('Draft Center'!$L$28+'Draft Center'!$L$78-'Draft Center'!$L$82)&lt;1,1,$Q132*('Draft Center'!$L$28+'Draft Center'!$L$78-'Draft Center'!$L$82)),0)))</f>
        <v>1</v>
      </c>
      <c r="BJ132" s="196"/>
      <c r="BK132" s="23">
        <v>0</v>
      </c>
      <c r="BL132" s="23" t="str">
        <f t="shared" ref="BL132:BQ141" si="71">IF($D132=BL$1,1*$BK132,"")</f>
        <v/>
      </c>
      <c r="BM132" s="23">
        <v>0</v>
      </c>
      <c r="BN132" s="23" t="str">
        <f t="shared" si="71"/>
        <v/>
      </c>
      <c r="BO132" s="23" t="str">
        <f t="shared" si="71"/>
        <v/>
      </c>
      <c r="BP132" s="23" t="str">
        <f t="shared" si="71"/>
        <v/>
      </c>
      <c r="BQ132" s="23">
        <f t="shared" si="71"/>
        <v>0</v>
      </c>
      <c r="BR132" s="23">
        <f t="shared" si="64"/>
        <v>0</v>
      </c>
      <c r="BS132" s="23">
        <f t="shared" si="65"/>
        <v>0</v>
      </c>
      <c r="BT132" s="69">
        <v>1</v>
      </c>
      <c r="BU132" s="58">
        <v>2327.0337</v>
      </c>
      <c r="BV132" s="33">
        <v>1</v>
      </c>
      <c r="BW132" s="204">
        <v>2327.0337</v>
      </c>
      <c r="BX132" s="23"/>
      <c r="BY132" s="69">
        <v>1</v>
      </c>
      <c r="BZ132" s="69">
        <v>0</v>
      </c>
      <c r="CA132" s="69">
        <v>0</v>
      </c>
      <c r="CB132" s="69">
        <v>0</v>
      </c>
      <c r="CC132" s="69">
        <f t="shared" si="68"/>
        <v>0</v>
      </c>
      <c r="CD132" s="69">
        <f t="shared" si="69"/>
        <v>0</v>
      </c>
    </row>
    <row r="133" spans="1:82" ht="15.75" customHeight="1" thickBot="1" x14ac:dyDescent="0.3">
      <c r="A133" s="6">
        <v>132</v>
      </c>
      <c r="B133" s="7" t="s">
        <v>197</v>
      </c>
      <c r="C133" s="7" t="s">
        <v>48</v>
      </c>
      <c r="D133" s="7" t="s">
        <v>135</v>
      </c>
      <c r="E133" s="50">
        <v>-10.417829632986001</v>
      </c>
      <c r="F133" s="50">
        <v>98.313729043951099</v>
      </c>
      <c r="G133" s="50">
        <v>113.09331395348801</v>
      </c>
      <c r="H133" s="50">
        <v>75.3</v>
      </c>
      <c r="I133" s="8">
        <v>0</v>
      </c>
      <c r="J133" s="50">
        <v>4.3603517289297304</v>
      </c>
      <c r="K133" s="248">
        <f>IFERROR(VLOOKUP(C133,Schedule!$T$3:$U$34,2,0),"FA")</f>
        <v>10</v>
      </c>
      <c r="L133" s="7" t="str">
        <f>D133&amp;COUNTIF(D$2:$D133,D133)</f>
        <v>DST19</v>
      </c>
      <c r="M133" s="50">
        <f t="array" ref="M133">IFERROR(F133-AVERAGE(VLOOKUP(D133,$D134:$F$885,3,0),INDEX($F134:$F$885,SMALL(IF(D133=$D134:$D$885,ROW($D134:$D$885)-ROW(D133)),2))),0)</f>
        <v>0.56413004077938922</v>
      </c>
      <c r="N133" s="50">
        <f>IFERROR(IF(VLOOKUP($B133,Input!$AC$2:$AC$162,1,0)=$B133,0),F133)</f>
        <v>98.313729043951099</v>
      </c>
      <c r="O133" s="50">
        <f>IFERROR(IF(VLOOKUP($B133,Input!$AC$2:$AC$162,1,0)=$B133,0,G133),G133)</f>
        <v>113.09331395348801</v>
      </c>
      <c r="P133" s="50">
        <f>IF(N133=0,0,F133-AVERAGE(INDEX(F:F,MATCH(VLOOKUP(D133,Input!$A$14:$L$22,10,0),L:L,0)),INDEX(F:F,MATCH(VLOOKUP(D133,Input!$A$14:$L$22,11,0),L:L,0)),INDEX(F:F,MATCH(VLOOKUP(D133,Input!$A$14:$L$22,12,0),L:L,0)))+(0.01-ROW()*0.01))</f>
        <v>-10.694657906660915</v>
      </c>
      <c r="Q133" s="106">
        <f t="shared" si="60"/>
        <v>-3.6895814834507824E-3</v>
      </c>
      <c r="R133" s="8">
        <f>IF(VLOOKUP($D133,$X$14:$Y$19,2,0)&lt;=0,1,IF(Q133&lt;0,1,ROUNDUP(IF(Q133*('Draft Center'!$L$28+'Draft Center'!$L$78-'Draft Center'!$L$82)&lt;1,1,Q133*('Draft Center'!$L$28+'Draft Center'!$L$78-'Draft Center'!$L$82)),0)))</f>
        <v>1</v>
      </c>
      <c r="S133" s="8">
        <f>IF(A133&lt;Input!$B$10+0.1,IF(ROUNDUP(R133*Input!$C$10,0)=0,1,ROUNDUP(R133*Input!$C$10,0)),IF(A133&gt;Input!$B$11,IF(ROUNDUP(R133*Input!$C$11,0)=0,1,ROUNDUP(R133*Input!$C$11,0)),IF(ROUNDUP(R133,0)=0,1,ROUNDUP(R133,0))))</f>
        <v>1</v>
      </c>
      <c r="T133" s="8">
        <f t="shared" si="61"/>
        <v>1</v>
      </c>
      <c r="U133" s="8">
        <f>IFERROR(VLOOKUP($B133,Input!$AC$2:$AE$161,3,0),0)</f>
        <v>0</v>
      </c>
      <c r="V133" s="256">
        <f t="shared" si="66"/>
        <v>0</v>
      </c>
      <c r="W133" s="263">
        <f t="shared" si="67"/>
        <v>1.0013300000000001</v>
      </c>
      <c r="X133" s="27"/>
      <c r="Y133" s="23"/>
      <c r="Z133" s="23"/>
      <c r="AA133" s="23">
        <v>0</v>
      </c>
      <c r="AB133" s="23" t="str">
        <f t="shared" si="70"/>
        <v/>
      </c>
      <c r="AC133" s="23" t="str">
        <f t="shared" si="70"/>
        <v/>
      </c>
      <c r="AD133" s="23" t="str">
        <f t="shared" si="70"/>
        <v/>
      </c>
      <c r="AE133" s="23" t="str">
        <f t="shared" si="70"/>
        <v/>
      </c>
      <c r="AF133" s="23">
        <f t="shared" si="70"/>
        <v>0</v>
      </c>
      <c r="AG133" s="23" t="str">
        <f t="shared" si="70"/>
        <v/>
      </c>
      <c r="AH133" s="23">
        <f t="shared" si="62"/>
        <v>0</v>
      </c>
      <c r="AI133" s="23">
        <f t="shared" si="63"/>
        <v>0</v>
      </c>
      <c r="AJ133" s="70">
        <v>1</v>
      </c>
      <c r="AK133" s="225">
        <v>2327.0337</v>
      </c>
      <c r="AL133" s="33">
        <v>1</v>
      </c>
      <c r="AM133" s="204">
        <v>2327.0337</v>
      </c>
      <c r="AN133" s="196"/>
      <c r="AO133" s="23"/>
      <c r="AP133" s="23"/>
      <c r="AQ133" s="23"/>
      <c r="AR133" s="23"/>
      <c r="AS133" s="23"/>
      <c r="AT133" s="23"/>
      <c r="AU133" s="23"/>
      <c r="AV133" s="23"/>
      <c r="AW133" s="23"/>
      <c r="AX133" s="23"/>
      <c r="AY133" s="23"/>
      <c r="AZ133" s="196"/>
      <c r="BA133" s="70">
        <f>IF(VLOOKUP($D133,$AO$14:AQ$19,COLUMN()-50,0)&lt;=0,1,IF($Q133&lt;0,1,ROUNDUP(IF($Q133*('Draft Center'!$L$28+'Draft Center'!$L$78-'Draft Center'!$L$82)&lt;1,1,$Q133*('Draft Center'!$L$28+'Draft Center'!$L$78-'Draft Center'!$L$82)),0)))</f>
        <v>1</v>
      </c>
      <c r="BB133" s="70">
        <f>IF(VLOOKUP($D133,$AO$14:AR$19,COLUMN()-50,0)&lt;=0,1,IF($Q133&lt;0,1,ROUNDUP(IF($Q133*('Draft Center'!$L$28+'Draft Center'!$L$78-'Draft Center'!$L$82)&lt;1,1,$Q133*('Draft Center'!$L$28+'Draft Center'!$L$78-'Draft Center'!$L$82)),0)))</f>
        <v>1</v>
      </c>
      <c r="BC133" s="70">
        <f>IF(VLOOKUP($D133,$AO$14:AS$19,COLUMN()-50,0)&lt;=0,1,IF($Q133&lt;0,1,ROUNDUP(IF($Q133*('Draft Center'!$L$28+'Draft Center'!$L$78-'Draft Center'!$L$82)&lt;1,1,$Q133*('Draft Center'!$L$28+'Draft Center'!$L$78-'Draft Center'!$L$82)),0)))</f>
        <v>1</v>
      </c>
      <c r="BD133" s="70">
        <f>IF(VLOOKUP($D133,$AO$14:AT$19,COLUMN()-50,0)&lt;=0,1,IF($Q133&lt;0,1,ROUNDUP(IF($Q133*('Draft Center'!$L$28+'Draft Center'!$L$78-'Draft Center'!$L$82)&lt;1,1,$Q133*('Draft Center'!$L$28+'Draft Center'!$L$78-'Draft Center'!$L$82)),0)))</f>
        <v>1</v>
      </c>
      <c r="BE133" s="70">
        <f>IF(VLOOKUP($D133,$AO$14:AU$19,COLUMN()-50,0)&lt;=0,1,IF($Q133&lt;0,1,ROUNDUP(IF($Q133*('Draft Center'!$L$28+'Draft Center'!$L$78-'Draft Center'!$L$82)&lt;1,1,$Q133*('Draft Center'!$L$28+'Draft Center'!$L$78-'Draft Center'!$L$82)),0)))</f>
        <v>1</v>
      </c>
      <c r="BF133" s="70">
        <f>IF(VLOOKUP($D133,$AO$14:AV$19,COLUMN()-50,0)&lt;=0,1,IF($Q133&lt;0,1,ROUNDUP(IF($Q133*('Draft Center'!$L$28+'Draft Center'!$L$78-'Draft Center'!$L$82)&lt;1,1,$Q133*('Draft Center'!$L$28+'Draft Center'!$L$78-'Draft Center'!$L$82)),0)))</f>
        <v>1</v>
      </c>
      <c r="BG133" s="70">
        <f>IF(VLOOKUP($D133,$AO$14:AW$19,COLUMN()-50,0)&lt;=0,1,IF($Q133&lt;0,1,ROUNDUP(IF($Q133*('Draft Center'!$L$28+'Draft Center'!$L$78-'Draft Center'!$L$82)&lt;1,1,$Q133*('Draft Center'!$L$28+'Draft Center'!$L$78-'Draft Center'!$L$82)),0)))</f>
        <v>1</v>
      </c>
      <c r="BH133" s="70">
        <f>IF(VLOOKUP($D133,$AO$14:AX$19,COLUMN()-50,0)&lt;=0,1,IF($Q133&lt;0,1,ROUNDUP(IF($Q133*('Draft Center'!$L$28+'Draft Center'!$L$78-'Draft Center'!$L$82)&lt;1,1,$Q133*('Draft Center'!$L$28+'Draft Center'!$L$78-'Draft Center'!$L$82)),0)))</f>
        <v>1</v>
      </c>
      <c r="BI133" s="70">
        <f>IF(VLOOKUP($D133,$AO$14:AY$19,COLUMN()-50,0)&lt;=0,1,IF($Q133&lt;0,1,ROUNDUP(IF($Q133*('Draft Center'!$L$28+'Draft Center'!$L$78-'Draft Center'!$L$82)&lt;1,1,$Q133*('Draft Center'!$L$28+'Draft Center'!$L$78-'Draft Center'!$L$82)),0)))</f>
        <v>1</v>
      </c>
      <c r="BJ133" s="196"/>
      <c r="BK133" s="23">
        <v>0</v>
      </c>
      <c r="BL133" s="23" t="str">
        <f t="shared" si="71"/>
        <v/>
      </c>
      <c r="BM133" s="23">
        <v>0</v>
      </c>
      <c r="BN133" s="23" t="str">
        <f t="shared" si="71"/>
        <v/>
      </c>
      <c r="BO133" s="23" t="str">
        <f t="shared" si="71"/>
        <v/>
      </c>
      <c r="BP133" s="23">
        <f t="shared" si="71"/>
        <v>0</v>
      </c>
      <c r="BQ133" s="23" t="str">
        <f t="shared" si="71"/>
        <v/>
      </c>
      <c r="BR133" s="23">
        <f t="shared" si="64"/>
        <v>0</v>
      </c>
      <c r="BS133" s="23">
        <f t="shared" si="65"/>
        <v>0</v>
      </c>
      <c r="BT133" s="70">
        <v>1</v>
      </c>
      <c r="BU133" s="58">
        <v>2327.0337</v>
      </c>
      <c r="BV133" s="33">
        <v>1</v>
      </c>
      <c r="BW133" s="204">
        <v>2327.0337</v>
      </c>
      <c r="BX133" s="23"/>
      <c r="BY133" s="70">
        <v>1</v>
      </c>
      <c r="BZ133" s="70">
        <v>0</v>
      </c>
      <c r="CA133" s="70">
        <v>0</v>
      </c>
      <c r="CB133" s="70">
        <v>0</v>
      </c>
      <c r="CC133" s="70">
        <f t="shared" si="68"/>
        <v>0</v>
      </c>
      <c r="CD133" s="70">
        <f t="shared" si="69"/>
        <v>0</v>
      </c>
    </row>
    <row r="134" spans="1:82" ht="15.75" customHeight="1" thickBot="1" x14ac:dyDescent="0.3">
      <c r="A134" s="9">
        <v>133</v>
      </c>
      <c r="B134" s="10" t="s">
        <v>273</v>
      </c>
      <c r="C134" s="10" t="s">
        <v>64</v>
      </c>
      <c r="D134" s="10" t="s">
        <v>135</v>
      </c>
      <c r="E134" s="51">
        <v>-10.8873312188491</v>
      </c>
      <c r="F134" s="51">
        <v>97.8442274580879</v>
      </c>
      <c r="G134" s="51">
        <v>108.225872093023</v>
      </c>
      <c r="H134" s="51">
        <v>81.599999999999994</v>
      </c>
      <c r="I134" s="11">
        <v>0</v>
      </c>
      <c r="J134" s="51">
        <v>4.0580940069167104</v>
      </c>
      <c r="K134" s="249">
        <f>IFERROR(VLOOKUP(C134,Schedule!$T$3:$U$34,2,0),"FA")</f>
        <v>11</v>
      </c>
      <c r="L134" s="10" t="str">
        <f>D134&amp;COUNTIF(D$2:$D134,D134)</f>
        <v>DST20</v>
      </c>
      <c r="M134" s="51">
        <f t="array" ref="M134">IFERROR(F134-AVERAGE(VLOOKUP(D134,$D135:$F$885,3,0),INDEX($F135:$F$885,SMALL(IF(D134=$D135:$D$885,ROW($D135:$D$885)-ROW(D134)),2))),0)</f>
        <v>0.24477571363844675</v>
      </c>
      <c r="N134" s="51">
        <f>IFERROR(IF(VLOOKUP($B134,Input!$AC$2:$AC$162,1,0)=$B134,0),F134)</f>
        <v>97.8442274580879</v>
      </c>
      <c r="O134" s="51">
        <f>IFERROR(IF(VLOOKUP($B134,Input!$AC$2:$AC$162,1,0)=$B134,0,G134),G134)</f>
        <v>108.225872093023</v>
      </c>
      <c r="P134" s="51">
        <f>IF(N134=0,0,F134-AVERAGE(INDEX(F:F,MATCH(VLOOKUP(D134,Input!$A$14:$L$22,10,0),L:L,0)),INDEX(F:F,MATCH(VLOOKUP(D134,Input!$A$14:$L$22,11,0),L:L,0)),INDEX(F:F,MATCH(VLOOKUP(D134,Input!$A$14:$L$22,12,0),L:L,0)))+(0.01-ROW()*0.01))</f>
        <v>-11.174159492524113</v>
      </c>
      <c r="Q134" s="107">
        <f t="shared" si="60"/>
        <v>-3.8550061457379475E-3</v>
      </c>
      <c r="R134" s="11">
        <f>IF(VLOOKUP($D134,$X$14:$Y$19,2,0)&lt;=0,1,IF(Q134&lt;0,1,ROUNDUP(IF(Q134*('Draft Center'!$L$28+'Draft Center'!$L$78-'Draft Center'!$L$82)&lt;1,1,Q134*('Draft Center'!$L$28+'Draft Center'!$L$78-'Draft Center'!$L$82)),0)))</f>
        <v>1</v>
      </c>
      <c r="S134" s="11">
        <f>IF(A134&lt;Input!$B$10+0.1,IF(ROUNDUP(R134*Input!$C$10,0)=0,1,ROUNDUP(R134*Input!$C$10,0)),IF(A134&gt;Input!$B$11,IF(ROUNDUP(R134*Input!$C$11,0)=0,1,ROUNDUP(R134*Input!$C$11,0)),IF(ROUNDUP(R134,0)=0,1,ROUNDUP(R134,0))))</f>
        <v>1</v>
      </c>
      <c r="T134" s="11">
        <f t="shared" si="61"/>
        <v>1</v>
      </c>
      <c r="U134" s="11">
        <f>IFERROR(VLOOKUP($B134,Input!$AC$2:$AE$161,3,0),0)</f>
        <v>0</v>
      </c>
      <c r="V134" s="257">
        <f t="shared" si="66"/>
        <v>0</v>
      </c>
      <c r="W134" s="264">
        <f t="shared" si="67"/>
        <v>1.0013399999999999</v>
      </c>
      <c r="X134" s="27"/>
      <c r="Y134" s="23"/>
      <c r="Z134" s="23"/>
      <c r="AA134" s="23">
        <v>0</v>
      </c>
      <c r="AB134" s="23" t="str">
        <f t="shared" si="70"/>
        <v/>
      </c>
      <c r="AC134" s="23" t="str">
        <f t="shared" si="70"/>
        <v/>
      </c>
      <c r="AD134" s="23" t="str">
        <f t="shared" si="70"/>
        <v/>
      </c>
      <c r="AE134" s="23" t="str">
        <f t="shared" si="70"/>
        <v/>
      </c>
      <c r="AF134" s="23">
        <f t="shared" si="70"/>
        <v>0</v>
      </c>
      <c r="AG134" s="23" t="str">
        <f t="shared" si="70"/>
        <v/>
      </c>
      <c r="AH134" s="23">
        <f t="shared" si="62"/>
        <v>0</v>
      </c>
      <c r="AI134" s="23">
        <f t="shared" si="63"/>
        <v>0</v>
      </c>
      <c r="AJ134" s="69">
        <v>1</v>
      </c>
      <c r="AK134" s="225">
        <v>2327.0337</v>
      </c>
      <c r="AL134" s="33">
        <v>1</v>
      </c>
      <c r="AM134" s="204">
        <v>2327.0337</v>
      </c>
      <c r="AN134" s="196"/>
      <c r="AO134" s="23"/>
      <c r="AP134" s="23"/>
      <c r="AQ134" s="23"/>
      <c r="AR134" s="23"/>
      <c r="AS134" s="23"/>
      <c r="AT134" s="23"/>
      <c r="AU134" s="23"/>
      <c r="AV134" s="23"/>
      <c r="AW134" s="23"/>
      <c r="AX134" s="23"/>
      <c r="AY134" s="23"/>
      <c r="AZ134" s="196"/>
      <c r="BA134" s="69">
        <f>IF(VLOOKUP($D134,$AO$14:AQ$19,COLUMN()-50,0)&lt;=0,1,IF($Q134&lt;0,1,ROUNDUP(IF($Q134*('Draft Center'!$L$28+'Draft Center'!$L$78-'Draft Center'!$L$82)&lt;1,1,$Q134*('Draft Center'!$L$28+'Draft Center'!$L$78-'Draft Center'!$L$82)),0)))</f>
        <v>1</v>
      </c>
      <c r="BB134" s="69">
        <f>IF(VLOOKUP($D134,$AO$14:AR$19,COLUMN()-50,0)&lt;=0,1,IF($Q134&lt;0,1,ROUNDUP(IF($Q134*('Draft Center'!$L$28+'Draft Center'!$L$78-'Draft Center'!$L$82)&lt;1,1,$Q134*('Draft Center'!$L$28+'Draft Center'!$L$78-'Draft Center'!$L$82)),0)))</f>
        <v>1</v>
      </c>
      <c r="BC134" s="69">
        <f>IF(VLOOKUP($D134,$AO$14:AS$19,COLUMN()-50,0)&lt;=0,1,IF($Q134&lt;0,1,ROUNDUP(IF($Q134*('Draft Center'!$L$28+'Draft Center'!$L$78-'Draft Center'!$L$82)&lt;1,1,$Q134*('Draft Center'!$L$28+'Draft Center'!$L$78-'Draft Center'!$L$82)),0)))</f>
        <v>1</v>
      </c>
      <c r="BD134" s="69">
        <f>IF(VLOOKUP($D134,$AO$14:AT$19,COLUMN()-50,0)&lt;=0,1,IF($Q134&lt;0,1,ROUNDUP(IF($Q134*('Draft Center'!$L$28+'Draft Center'!$L$78-'Draft Center'!$L$82)&lt;1,1,$Q134*('Draft Center'!$L$28+'Draft Center'!$L$78-'Draft Center'!$L$82)),0)))</f>
        <v>1</v>
      </c>
      <c r="BE134" s="69">
        <f>IF(VLOOKUP($D134,$AO$14:AU$19,COLUMN()-50,0)&lt;=0,1,IF($Q134&lt;0,1,ROUNDUP(IF($Q134*('Draft Center'!$L$28+'Draft Center'!$L$78-'Draft Center'!$L$82)&lt;1,1,$Q134*('Draft Center'!$L$28+'Draft Center'!$L$78-'Draft Center'!$L$82)),0)))</f>
        <v>1</v>
      </c>
      <c r="BF134" s="69">
        <f>IF(VLOOKUP($D134,$AO$14:AV$19,COLUMN()-50,0)&lt;=0,1,IF($Q134&lt;0,1,ROUNDUP(IF($Q134*('Draft Center'!$L$28+'Draft Center'!$L$78-'Draft Center'!$L$82)&lt;1,1,$Q134*('Draft Center'!$L$28+'Draft Center'!$L$78-'Draft Center'!$L$82)),0)))</f>
        <v>1</v>
      </c>
      <c r="BG134" s="69">
        <f>IF(VLOOKUP($D134,$AO$14:AW$19,COLUMN()-50,0)&lt;=0,1,IF($Q134&lt;0,1,ROUNDUP(IF($Q134*('Draft Center'!$L$28+'Draft Center'!$L$78-'Draft Center'!$L$82)&lt;1,1,$Q134*('Draft Center'!$L$28+'Draft Center'!$L$78-'Draft Center'!$L$82)),0)))</f>
        <v>1</v>
      </c>
      <c r="BH134" s="69">
        <f>IF(VLOOKUP($D134,$AO$14:AX$19,COLUMN()-50,0)&lt;=0,1,IF($Q134&lt;0,1,ROUNDUP(IF($Q134*('Draft Center'!$L$28+'Draft Center'!$L$78-'Draft Center'!$L$82)&lt;1,1,$Q134*('Draft Center'!$L$28+'Draft Center'!$L$78-'Draft Center'!$L$82)),0)))</f>
        <v>1</v>
      </c>
      <c r="BI134" s="69">
        <f>IF(VLOOKUP($D134,$AO$14:AY$19,COLUMN()-50,0)&lt;=0,1,IF($Q134&lt;0,1,ROUNDUP(IF($Q134*('Draft Center'!$L$28+'Draft Center'!$L$78-'Draft Center'!$L$82)&lt;1,1,$Q134*('Draft Center'!$L$28+'Draft Center'!$L$78-'Draft Center'!$L$82)),0)))</f>
        <v>1</v>
      </c>
      <c r="BJ134" s="196"/>
      <c r="BK134" s="23">
        <v>0</v>
      </c>
      <c r="BL134" s="23" t="str">
        <f t="shared" si="71"/>
        <v/>
      </c>
      <c r="BM134" s="23">
        <v>0</v>
      </c>
      <c r="BN134" s="23" t="str">
        <f t="shared" si="71"/>
        <v/>
      </c>
      <c r="BO134" s="23" t="str">
        <f t="shared" si="71"/>
        <v/>
      </c>
      <c r="BP134" s="23">
        <f t="shared" si="71"/>
        <v>0</v>
      </c>
      <c r="BQ134" s="23" t="str">
        <f t="shared" si="71"/>
        <v/>
      </c>
      <c r="BR134" s="23">
        <f t="shared" si="64"/>
        <v>0</v>
      </c>
      <c r="BS134" s="23">
        <f t="shared" si="65"/>
        <v>0</v>
      </c>
      <c r="BT134" s="69">
        <v>1</v>
      </c>
      <c r="BU134" s="58">
        <v>2327.0337</v>
      </c>
      <c r="BV134" s="33">
        <v>1</v>
      </c>
      <c r="BW134" s="204">
        <v>2327.0337</v>
      </c>
      <c r="BX134" s="23"/>
      <c r="BY134" s="69">
        <v>1</v>
      </c>
      <c r="BZ134" s="69">
        <v>0</v>
      </c>
      <c r="CA134" s="69">
        <v>0</v>
      </c>
      <c r="CB134" s="69">
        <v>0</v>
      </c>
      <c r="CC134" s="69">
        <f t="shared" si="68"/>
        <v>0</v>
      </c>
      <c r="CD134" s="69">
        <f t="shared" si="69"/>
        <v>0</v>
      </c>
    </row>
    <row r="135" spans="1:82" ht="15.75" customHeight="1" thickBot="1" x14ac:dyDescent="0.3">
      <c r="A135" s="6">
        <v>134</v>
      </c>
      <c r="B135" s="7" t="s">
        <v>170</v>
      </c>
      <c r="C135" s="7" t="s">
        <v>50</v>
      </c>
      <c r="D135" s="7" t="s">
        <v>135</v>
      </c>
      <c r="E135" s="50">
        <v>-11.0765881286815</v>
      </c>
      <c r="F135" s="50">
        <v>97.654970548255505</v>
      </c>
      <c r="G135" s="50">
        <v>108.37645348837199</v>
      </c>
      <c r="H135" s="50">
        <v>79.8</v>
      </c>
      <c r="I135" s="8">
        <v>0</v>
      </c>
      <c r="J135" s="50">
        <v>4.9369834633823997</v>
      </c>
      <c r="K135" s="248">
        <f>IFERROR(VLOOKUP(C135,Schedule!$T$3:$U$34,2,0),"FA")</f>
        <v>6</v>
      </c>
      <c r="L135" s="7" t="str">
        <f>D135&amp;COUNTIF(D$2:$D135,D135)</f>
        <v>DST21</v>
      </c>
      <c r="M135" s="50">
        <f t="array" ref="M135">IFERROR(F135-AVERAGE(VLOOKUP(D135,$D136:$F$885,3,0),INDEX($F136:$F$885,SMALL(IF(D135=$D136:$D$885,ROW($D136:$D$885)-ROW(D135)),2))),0)</f>
        <v>0.4629202537380479</v>
      </c>
      <c r="N135" s="50">
        <f>IFERROR(IF(VLOOKUP($B135,Input!$AC$2:$AC$162,1,0)=$B135,0),F135)</f>
        <v>97.654970548255505</v>
      </c>
      <c r="O135" s="50">
        <f>IFERROR(IF(VLOOKUP($B135,Input!$AC$2:$AC$162,1,0)=$B135,0,G135),G135)</f>
        <v>108.37645348837199</v>
      </c>
      <c r="P135" s="50">
        <f>IF(N135=0,0,F135-AVERAGE(INDEX(F:F,MATCH(VLOOKUP(D135,Input!$A$14:$L$22,10,0),L:L,0)),INDEX(F:F,MATCH(VLOOKUP(D135,Input!$A$14:$L$22,11,0),L:L,0)),INDEX(F:F,MATCH(VLOOKUP(D135,Input!$A$14:$L$22,12,0),L:L,0)))+(0.01-ROW()*0.01))</f>
        <v>-11.373416402356508</v>
      </c>
      <c r="Q135" s="106">
        <f t="shared" si="60"/>
        <v>-3.9237483730614918E-3</v>
      </c>
      <c r="R135" s="8">
        <f>IF(VLOOKUP($D135,$X$14:$Y$19,2,0)&lt;=0,1,IF(Q135&lt;0,1,ROUNDUP(IF(Q135*('Draft Center'!$L$28+'Draft Center'!$L$78-'Draft Center'!$L$82)&lt;1,1,Q135*('Draft Center'!$L$28+'Draft Center'!$L$78-'Draft Center'!$L$82)),0)))</f>
        <v>1</v>
      </c>
      <c r="S135" s="8">
        <f>IF(A135&lt;Input!$B$10+0.1,IF(ROUNDUP(R135*Input!$C$10,0)=0,1,ROUNDUP(R135*Input!$C$10,0)),IF(A135&gt;Input!$B$11,IF(ROUNDUP(R135*Input!$C$11,0)=0,1,ROUNDUP(R135*Input!$C$11,0)),IF(ROUNDUP(R135,0)=0,1,ROUNDUP(R135,0))))</f>
        <v>1</v>
      </c>
      <c r="T135" s="8">
        <f t="shared" si="61"/>
        <v>1</v>
      </c>
      <c r="U135" s="8">
        <f>IFERROR(VLOOKUP($B135,Input!$AC$2:$AE$161,3,0),0)</f>
        <v>0</v>
      </c>
      <c r="V135" s="256">
        <f t="shared" si="66"/>
        <v>0</v>
      </c>
      <c r="W135" s="263">
        <f t="shared" si="67"/>
        <v>1.00135</v>
      </c>
      <c r="X135" s="27"/>
      <c r="Y135" s="23"/>
      <c r="Z135" s="23"/>
      <c r="AA135" s="23">
        <v>0</v>
      </c>
      <c r="AB135" s="23" t="str">
        <f t="shared" si="70"/>
        <v/>
      </c>
      <c r="AC135" s="23" t="str">
        <f t="shared" si="70"/>
        <v/>
      </c>
      <c r="AD135" s="23" t="str">
        <f t="shared" si="70"/>
        <v/>
      </c>
      <c r="AE135" s="23" t="str">
        <f t="shared" si="70"/>
        <v/>
      </c>
      <c r="AF135" s="23">
        <f t="shared" si="70"/>
        <v>0</v>
      </c>
      <c r="AG135" s="23" t="str">
        <f t="shared" si="70"/>
        <v/>
      </c>
      <c r="AH135" s="23">
        <f t="shared" si="62"/>
        <v>0</v>
      </c>
      <c r="AI135" s="23">
        <f t="shared" si="63"/>
        <v>0</v>
      </c>
      <c r="AJ135" s="70">
        <v>1</v>
      </c>
      <c r="AK135" s="225">
        <v>2327.0337</v>
      </c>
      <c r="AL135" s="33">
        <v>1</v>
      </c>
      <c r="AM135" s="204">
        <v>2327.0337</v>
      </c>
      <c r="AN135" s="196"/>
      <c r="AO135" s="23"/>
      <c r="AP135" s="23"/>
      <c r="AQ135" s="23"/>
      <c r="AR135" s="23"/>
      <c r="AS135" s="23"/>
      <c r="AT135" s="23"/>
      <c r="AU135" s="23"/>
      <c r="AV135" s="23"/>
      <c r="AW135" s="23"/>
      <c r="AX135" s="23"/>
      <c r="AY135" s="23"/>
      <c r="AZ135" s="196"/>
      <c r="BA135" s="70">
        <f>IF(VLOOKUP($D135,$AO$14:AQ$19,COLUMN()-50,0)&lt;=0,1,IF($Q135&lt;0,1,ROUNDUP(IF($Q135*('Draft Center'!$L$28+'Draft Center'!$L$78-'Draft Center'!$L$82)&lt;1,1,$Q135*('Draft Center'!$L$28+'Draft Center'!$L$78-'Draft Center'!$L$82)),0)))</f>
        <v>1</v>
      </c>
      <c r="BB135" s="70">
        <f>IF(VLOOKUP($D135,$AO$14:AR$19,COLUMN()-50,0)&lt;=0,1,IF($Q135&lt;0,1,ROUNDUP(IF($Q135*('Draft Center'!$L$28+'Draft Center'!$L$78-'Draft Center'!$L$82)&lt;1,1,$Q135*('Draft Center'!$L$28+'Draft Center'!$L$78-'Draft Center'!$L$82)),0)))</f>
        <v>1</v>
      </c>
      <c r="BC135" s="70">
        <f>IF(VLOOKUP($D135,$AO$14:AS$19,COLUMN()-50,0)&lt;=0,1,IF($Q135&lt;0,1,ROUNDUP(IF($Q135*('Draft Center'!$L$28+'Draft Center'!$L$78-'Draft Center'!$L$82)&lt;1,1,$Q135*('Draft Center'!$L$28+'Draft Center'!$L$78-'Draft Center'!$L$82)),0)))</f>
        <v>1</v>
      </c>
      <c r="BD135" s="70">
        <f>IF(VLOOKUP($D135,$AO$14:AT$19,COLUMN()-50,0)&lt;=0,1,IF($Q135&lt;0,1,ROUNDUP(IF($Q135*('Draft Center'!$L$28+'Draft Center'!$L$78-'Draft Center'!$L$82)&lt;1,1,$Q135*('Draft Center'!$L$28+'Draft Center'!$L$78-'Draft Center'!$L$82)),0)))</f>
        <v>1</v>
      </c>
      <c r="BE135" s="70">
        <f>IF(VLOOKUP($D135,$AO$14:AU$19,COLUMN()-50,0)&lt;=0,1,IF($Q135&lt;0,1,ROUNDUP(IF($Q135*('Draft Center'!$L$28+'Draft Center'!$L$78-'Draft Center'!$L$82)&lt;1,1,$Q135*('Draft Center'!$L$28+'Draft Center'!$L$78-'Draft Center'!$L$82)),0)))</f>
        <v>1</v>
      </c>
      <c r="BF135" s="70">
        <f>IF(VLOOKUP($D135,$AO$14:AV$19,COLUMN()-50,0)&lt;=0,1,IF($Q135&lt;0,1,ROUNDUP(IF($Q135*('Draft Center'!$L$28+'Draft Center'!$L$78-'Draft Center'!$L$82)&lt;1,1,$Q135*('Draft Center'!$L$28+'Draft Center'!$L$78-'Draft Center'!$L$82)),0)))</f>
        <v>1</v>
      </c>
      <c r="BG135" s="70">
        <f>IF(VLOOKUP($D135,$AO$14:AW$19,COLUMN()-50,0)&lt;=0,1,IF($Q135&lt;0,1,ROUNDUP(IF($Q135*('Draft Center'!$L$28+'Draft Center'!$L$78-'Draft Center'!$L$82)&lt;1,1,$Q135*('Draft Center'!$L$28+'Draft Center'!$L$78-'Draft Center'!$L$82)),0)))</f>
        <v>1</v>
      </c>
      <c r="BH135" s="70">
        <f>IF(VLOOKUP($D135,$AO$14:AX$19,COLUMN()-50,0)&lt;=0,1,IF($Q135&lt;0,1,ROUNDUP(IF($Q135*('Draft Center'!$L$28+'Draft Center'!$L$78-'Draft Center'!$L$82)&lt;1,1,$Q135*('Draft Center'!$L$28+'Draft Center'!$L$78-'Draft Center'!$L$82)),0)))</f>
        <v>1</v>
      </c>
      <c r="BI135" s="70">
        <f>IF(VLOOKUP($D135,$AO$14:AY$19,COLUMN()-50,0)&lt;=0,1,IF($Q135&lt;0,1,ROUNDUP(IF($Q135*('Draft Center'!$L$28+'Draft Center'!$L$78-'Draft Center'!$L$82)&lt;1,1,$Q135*('Draft Center'!$L$28+'Draft Center'!$L$78-'Draft Center'!$L$82)),0)))</f>
        <v>1</v>
      </c>
      <c r="BJ135" s="196"/>
      <c r="BK135" s="23">
        <v>0</v>
      </c>
      <c r="BL135" s="23" t="str">
        <f t="shared" si="71"/>
        <v/>
      </c>
      <c r="BM135" s="23">
        <v>0</v>
      </c>
      <c r="BN135" s="23" t="str">
        <f t="shared" si="71"/>
        <v/>
      </c>
      <c r="BO135" s="23" t="str">
        <f t="shared" si="71"/>
        <v/>
      </c>
      <c r="BP135" s="23">
        <f t="shared" si="71"/>
        <v>0</v>
      </c>
      <c r="BQ135" s="23" t="str">
        <f t="shared" si="71"/>
        <v/>
      </c>
      <c r="BR135" s="23">
        <f t="shared" si="64"/>
        <v>0</v>
      </c>
      <c r="BS135" s="23">
        <f t="shared" si="65"/>
        <v>0</v>
      </c>
      <c r="BT135" s="70">
        <v>1</v>
      </c>
      <c r="BU135" s="58">
        <v>2327.0337</v>
      </c>
      <c r="BV135" s="33">
        <v>1</v>
      </c>
      <c r="BW135" s="204">
        <v>2327.0337</v>
      </c>
      <c r="BX135" s="23"/>
      <c r="BY135" s="70">
        <v>1</v>
      </c>
      <c r="BZ135" s="70">
        <v>0</v>
      </c>
      <c r="CA135" s="70">
        <v>0</v>
      </c>
      <c r="CB135" s="70">
        <v>0</v>
      </c>
      <c r="CC135" s="70">
        <f t="shared" si="68"/>
        <v>0</v>
      </c>
      <c r="CD135" s="70">
        <f t="shared" si="69"/>
        <v>0</v>
      </c>
    </row>
    <row r="136" spans="1:82" ht="15.75" customHeight="1" thickBot="1" x14ac:dyDescent="0.3">
      <c r="A136" s="9">
        <v>135</v>
      </c>
      <c r="B136" s="10" t="s">
        <v>28</v>
      </c>
      <c r="C136" s="10" t="s">
        <v>38</v>
      </c>
      <c r="D136" s="10" t="s">
        <v>19</v>
      </c>
      <c r="E136" s="51">
        <v>-11.0860547634329</v>
      </c>
      <c r="F136" s="51">
        <v>158.016343262519</v>
      </c>
      <c r="G136" s="51">
        <v>169.75584427580799</v>
      </c>
      <c r="H136" s="51">
        <v>130.354156378601</v>
      </c>
      <c r="I136" s="11">
        <v>7.7</v>
      </c>
      <c r="J136" s="51">
        <v>4.8262533150843403</v>
      </c>
      <c r="K136" s="249">
        <f>IFERROR(VLOOKUP(C136,Schedule!$T$3:$U$34,2,0),"FA")</f>
        <v>6</v>
      </c>
      <c r="L136" s="10" t="str">
        <f>D136&amp;COUNTIF(D$2:$D136,D136)</f>
        <v>RB33</v>
      </c>
      <c r="M136" s="51">
        <f t="array" ref="M136">IFERROR(F136-AVERAGE(VLOOKUP(D136,$D137:$F$885,3,0),INDEX($F137:$F$885,SMALL(IF(D136=$D137:$D$885,ROW($D137:$D$885)-ROW(D136)),2))),0)</f>
        <v>3.0743547827705129</v>
      </c>
      <c r="N136" s="51">
        <f>IFERROR(IF(VLOOKUP($B136,Input!$AC$2:$AC$162,1,0)=$B136,0),F136)</f>
        <v>158.016343262519</v>
      </c>
      <c r="O136" s="51">
        <f>IFERROR(IF(VLOOKUP($B136,Input!$AC$2:$AC$162,1,0)=$B136,0,G136),G136)</f>
        <v>169.75584427580799</v>
      </c>
      <c r="P136" s="51">
        <f>IF(N136=0,0,F136-AVERAGE(INDEX(F:F,MATCH(VLOOKUP(D136,Input!$A$14:$L$22,10,0),L:L,0)),INDEX(F:F,MATCH(VLOOKUP(D136,Input!$A$14:$L$22,11,0),L:L,0)),INDEX(F:F,MATCH(VLOOKUP(D136,Input!$A$14:$L$22,12,0),L:L,0)))+(0.01-ROW()*0.01))</f>
        <v>-12.436054763432997</v>
      </c>
      <c r="Q136" s="107">
        <f t="shared" si="60"/>
        <v>-4.2903511063934656E-3</v>
      </c>
      <c r="R136" s="11">
        <f>IF(VLOOKUP($D136,$X$14:$Y$19,2,0)&lt;=0,1,IF(Q136&lt;0,1,ROUNDUP(IF(Q136*('Draft Center'!$L$28+'Draft Center'!$L$78-'Draft Center'!$L$82)&lt;1,1,Q136*('Draft Center'!$L$28+'Draft Center'!$L$78-'Draft Center'!$L$82)),0)))</f>
        <v>1</v>
      </c>
      <c r="S136" s="11">
        <f>IF(A136&lt;Input!$B$10+0.1,IF(ROUNDUP(R136*Input!$C$10,0)=0,1,ROUNDUP(R136*Input!$C$10,0)),IF(A136&gt;Input!$B$11,IF(ROUNDUP(R136*Input!$C$11,0)=0,1,ROUNDUP(R136*Input!$C$11,0)),IF(ROUNDUP(R136,0)=0,1,ROUNDUP(R136,0))))</f>
        <v>1</v>
      </c>
      <c r="T136" s="11">
        <f t="shared" si="61"/>
        <v>1</v>
      </c>
      <c r="U136" s="11">
        <f>IFERROR(VLOOKUP($B136,Input!$AC$2:$AE$161,3,0),0)</f>
        <v>0</v>
      </c>
      <c r="V136" s="257">
        <f t="shared" si="66"/>
        <v>-0.86876987012987006</v>
      </c>
      <c r="W136" s="264">
        <f t="shared" si="67"/>
        <v>-6.6986400000000001</v>
      </c>
      <c r="X136" s="27"/>
      <c r="Y136" s="23"/>
      <c r="Z136" s="23"/>
      <c r="AA136" s="23">
        <v>0</v>
      </c>
      <c r="AB136" s="23" t="str">
        <f t="shared" si="70"/>
        <v/>
      </c>
      <c r="AC136" s="23">
        <f t="shared" si="70"/>
        <v>0</v>
      </c>
      <c r="AD136" s="23" t="str">
        <f t="shared" si="70"/>
        <v/>
      </c>
      <c r="AE136" s="23" t="str">
        <f t="shared" si="70"/>
        <v/>
      </c>
      <c r="AF136" s="23" t="str">
        <f t="shared" si="70"/>
        <v/>
      </c>
      <c r="AG136" s="23" t="str">
        <f t="shared" si="70"/>
        <v/>
      </c>
      <c r="AH136" s="23">
        <f t="shared" si="62"/>
        <v>0</v>
      </c>
      <c r="AI136" s="23">
        <f t="shared" si="63"/>
        <v>0</v>
      </c>
      <c r="AJ136" s="69">
        <v>1</v>
      </c>
      <c r="AK136" s="225">
        <v>2327.0337</v>
      </c>
      <c r="AL136" s="33">
        <v>1</v>
      </c>
      <c r="AM136" s="204">
        <v>2327.0337</v>
      </c>
      <c r="AN136" s="196"/>
      <c r="AO136" s="23"/>
      <c r="AP136" s="23"/>
      <c r="AQ136" s="23"/>
      <c r="AR136" s="23"/>
      <c r="AS136" s="23"/>
      <c r="AT136" s="23"/>
      <c r="AU136" s="23"/>
      <c r="AV136" s="23"/>
      <c r="AW136" s="23"/>
      <c r="AX136" s="23"/>
      <c r="AY136" s="23"/>
      <c r="AZ136" s="196"/>
      <c r="BA136" s="69">
        <f>IF(VLOOKUP($D136,$AO$14:AQ$19,COLUMN()-50,0)&lt;=0,1,IF($Q136&lt;0,1,ROUNDUP(IF($Q136*('Draft Center'!$L$28+'Draft Center'!$L$78-'Draft Center'!$L$82)&lt;1,1,$Q136*('Draft Center'!$L$28+'Draft Center'!$L$78-'Draft Center'!$L$82)),0)))</f>
        <v>1</v>
      </c>
      <c r="BB136" s="69">
        <f>IF(VLOOKUP($D136,$AO$14:AR$19,COLUMN()-50,0)&lt;=0,1,IF($Q136&lt;0,1,ROUNDUP(IF($Q136*('Draft Center'!$L$28+'Draft Center'!$L$78-'Draft Center'!$L$82)&lt;1,1,$Q136*('Draft Center'!$L$28+'Draft Center'!$L$78-'Draft Center'!$L$82)),0)))</f>
        <v>1</v>
      </c>
      <c r="BC136" s="69">
        <f>IF(VLOOKUP($D136,$AO$14:AS$19,COLUMN()-50,0)&lt;=0,1,IF($Q136&lt;0,1,ROUNDUP(IF($Q136*('Draft Center'!$L$28+'Draft Center'!$L$78-'Draft Center'!$L$82)&lt;1,1,$Q136*('Draft Center'!$L$28+'Draft Center'!$L$78-'Draft Center'!$L$82)),0)))</f>
        <v>1</v>
      </c>
      <c r="BD136" s="69">
        <f>IF(VLOOKUP($D136,$AO$14:AT$19,COLUMN()-50,0)&lt;=0,1,IF($Q136&lt;0,1,ROUNDUP(IF($Q136*('Draft Center'!$L$28+'Draft Center'!$L$78-'Draft Center'!$L$82)&lt;1,1,$Q136*('Draft Center'!$L$28+'Draft Center'!$L$78-'Draft Center'!$L$82)),0)))</f>
        <v>1</v>
      </c>
      <c r="BE136" s="69">
        <f>IF(VLOOKUP($D136,$AO$14:AU$19,COLUMN()-50,0)&lt;=0,1,IF($Q136&lt;0,1,ROUNDUP(IF($Q136*('Draft Center'!$L$28+'Draft Center'!$L$78-'Draft Center'!$L$82)&lt;1,1,$Q136*('Draft Center'!$L$28+'Draft Center'!$L$78-'Draft Center'!$L$82)),0)))</f>
        <v>1</v>
      </c>
      <c r="BF136" s="69">
        <f>IF(VLOOKUP($D136,$AO$14:AV$19,COLUMN()-50,0)&lt;=0,1,IF($Q136&lt;0,1,ROUNDUP(IF($Q136*('Draft Center'!$L$28+'Draft Center'!$L$78-'Draft Center'!$L$82)&lt;1,1,$Q136*('Draft Center'!$L$28+'Draft Center'!$L$78-'Draft Center'!$L$82)),0)))</f>
        <v>1</v>
      </c>
      <c r="BG136" s="69">
        <f>IF(VLOOKUP($D136,$AO$14:AW$19,COLUMN()-50,0)&lt;=0,1,IF($Q136&lt;0,1,ROUNDUP(IF($Q136*('Draft Center'!$L$28+'Draft Center'!$L$78-'Draft Center'!$L$82)&lt;1,1,$Q136*('Draft Center'!$L$28+'Draft Center'!$L$78-'Draft Center'!$L$82)),0)))</f>
        <v>1</v>
      </c>
      <c r="BH136" s="69">
        <f>IF(VLOOKUP($D136,$AO$14:AX$19,COLUMN()-50,0)&lt;=0,1,IF($Q136&lt;0,1,ROUNDUP(IF($Q136*('Draft Center'!$L$28+'Draft Center'!$L$78-'Draft Center'!$L$82)&lt;1,1,$Q136*('Draft Center'!$L$28+'Draft Center'!$L$78-'Draft Center'!$L$82)),0)))</f>
        <v>1</v>
      </c>
      <c r="BI136" s="69">
        <f>IF(VLOOKUP($D136,$AO$14:AY$19,COLUMN()-50,0)&lt;=0,1,IF($Q136&lt;0,1,ROUNDUP(IF($Q136*('Draft Center'!$L$28+'Draft Center'!$L$78-'Draft Center'!$L$82)&lt;1,1,$Q136*('Draft Center'!$L$28+'Draft Center'!$L$78-'Draft Center'!$L$82)),0)))</f>
        <v>1</v>
      </c>
      <c r="BJ136" s="196"/>
      <c r="BK136" s="23">
        <v>0</v>
      </c>
      <c r="BL136" s="23" t="str">
        <f t="shared" si="71"/>
        <v/>
      </c>
      <c r="BM136" s="23">
        <v>0</v>
      </c>
      <c r="BN136" s="23" t="str">
        <f t="shared" si="71"/>
        <v/>
      </c>
      <c r="BO136" s="23" t="str">
        <f t="shared" si="71"/>
        <v/>
      </c>
      <c r="BP136" s="23" t="str">
        <f t="shared" si="71"/>
        <v/>
      </c>
      <c r="BQ136" s="23" t="str">
        <f t="shared" si="71"/>
        <v/>
      </c>
      <c r="BR136" s="23">
        <f t="shared" si="64"/>
        <v>0</v>
      </c>
      <c r="BS136" s="23">
        <f t="shared" si="65"/>
        <v>0</v>
      </c>
      <c r="BT136" s="69">
        <v>1</v>
      </c>
      <c r="BU136" s="58">
        <v>2327.0337</v>
      </c>
      <c r="BV136" s="33">
        <v>1</v>
      </c>
      <c r="BW136" s="204">
        <v>2327.0337</v>
      </c>
      <c r="BX136" s="23"/>
      <c r="BY136" s="69">
        <v>1</v>
      </c>
      <c r="BZ136" s="69">
        <v>7.7</v>
      </c>
      <c r="CA136" s="69">
        <v>7.7</v>
      </c>
      <c r="CB136" s="69">
        <v>7.7</v>
      </c>
      <c r="CC136" s="69">
        <f t="shared" si="68"/>
        <v>7.7</v>
      </c>
      <c r="CD136" s="69">
        <f t="shared" si="69"/>
        <v>7.7</v>
      </c>
    </row>
    <row r="137" spans="1:82" ht="15.75" customHeight="1" thickBot="1" x14ac:dyDescent="0.3">
      <c r="A137" s="6">
        <v>136</v>
      </c>
      <c r="B137" s="7" t="s">
        <v>287</v>
      </c>
      <c r="C137" s="7" t="s">
        <v>95</v>
      </c>
      <c r="D137" s="7" t="s">
        <v>135</v>
      </c>
      <c r="E137" s="50">
        <v>-11.187625736293599</v>
      </c>
      <c r="F137" s="50">
        <v>97.543932940643401</v>
      </c>
      <c r="G137" s="50">
        <v>112.364470930233</v>
      </c>
      <c r="H137" s="50">
        <v>73.599999999999994</v>
      </c>
      <c r="I137" s="8">
        <v>1.3</v>
      </c>
      <c r="J137" s="50">
        <v>5.2531158563112204</v>
      </c>
      <c r="K137" s="248">
        <f>IFERROR(VLOOKUP(C137,Schedule!$T$3:$U$34,2,0),"FA")</f>
        <v>8</v>
      </c>
      <c r="L137" s="7" t="str">
        <f>D137&amp;COUNTIF(D$2:$D137,D137)</f>
        <v>DST22</v>
      </c>
      <c r="M137" s="50">
        <f t="array" ref="M137">IFERROR(F137-AVERAGE(VLOOKUP(D137,$D138:$F$885,3,0),INDEX($F138:$F$885,SMALL(IF(D137=$D138:$D$885,ROW($D138:$D$885)-ROW(D137)),2))),0)</f>
        <v>1.5935062438774423</v>
      </c>
      <c r="N137" s="50">
        <f>IFERROR(IF(VLOOKUP($B137,Input!$AC$2:$AC$162,1,0)=$B137,0),F137)</f>
        <v>97.543932940643401</v>
      </c>
      <c r="O137" s="50">
        <f>IFERROR(IF(VLOOKUP($B137,Input!$AC$2:$AC$162,1,0)=$B137,0,G137),G137)</f>
        <v>112.364470930233</v>
      </c>
      <c r="P137" s="50">
        <f>IF(N137=0,0,F137-AVERAGE(INDEX(F:F,MATCH(VLOOKUP(D137,Input!$A$14:$L$22,10,0),L:L,0)),INDEX(F:F,MATCH(VLOOKUP(D137,Input!$A$14:$L$22,11,0),L:L,0)),INDEX(F:F,MATCH(VLOOKUP(D137,Input!$A$14:$L$22,12,0),L:L,0)))+(0.01-ROW()*0.01))</f>
        <v>-11.504454009968612</v>
      </c>
      <c r="Q137" s="106">
        <f t="shared" si="60"/>
        <v>-3.9689554226839197E-3</v>
      </c>
      <c r="R137" s="8">
        <f>IF(VLOOKUP($D137,$X$14:$Y$19,2,0)&lt;=0,1,IF(Q137&lt;0,1,ROUNDUP(IF(Q137*('Draft Center'!$L$28+'Draft Center'!$L$78-'Draft Center'!$L$82)&lt;1,1,Q137*('Draft Center'!$L$28+'Draft Center'!$L$78-'Draft Center'!$L$82)),0)))</f>
        <v>1</v>
      </c>
      <c r="S137" s="8">
        <f>IF(A137&lt;Input!$B$10+0.1,IF(ROUNDUP(R137*Input!$C$10,0)=0,1,ROUNDUP(R137*Input!$C$10,0)),IF(A137&gt;Input!$B$11,IF(ROUNDUP(R137*Input!$C$11,0)=0,1,ROUNDUP(R137*Input!$C$11,0)),IF(ROUNDUP(R137,0)=0,1,ROUNDUP(R137,0))))</f>
        <v>1</v>
      </c>
      <c r="T137" s="8">
        <f t="shared" si="61"/>
        <v>1</v>
      </c>
      <c r="U137" s="8">
        <f>IFERROR(VLOOKUP($B137,Input!$AC$2:$AE$161,3,0),0)</f>
        <v>0</v>
      </c>
      <c r="V137" s="256">
        <f t="shared" si="66"/>
        <v>-0.22939923076923077</v>
      </c>
      <c r="W137" s="263">
        <f t="shared" si="67"/>
        <v>-0.29863000000000006</v>
      </c>
      <c r="X137" s="27"/>
      <c r="Y137" s="23"/>
      <c r="Z137" s="23"/>
      <c r="AA137" s="23">
        <v>0</v>
      </c>
      <c r="AB137" s="23" t="str">
        <f t="shared" si="70"/>
        <v/>
      </c>
      <c r="AC137" s="23" t="str">
        <f t="shared" si="70"/>
        <v/>
      </c>
      <c r="AD137" s="23" t="str">
        <f t="shared" si="70"/>
        <v/>
      </c>
      <c r="AE137" s="23" t="str">
        <f t="shared" si="70"/>
        <v/>
      </c>
      <c r="AF137" s="23">
        <f t="shared" si="70"/>
        <v>0</v>
      </c>
      <c r="AG137" s="23" t="str">
        <f t="shared" si="70"/>
        <v/>
      </c>
      <c r="AH137" s="23">
        <f t="shared" si="62"/>
        <v>0</v>
      </c>
      <c r="AI137" s="23">
        <f t="shared" si="63"/>
        <v>0</v>
      </c>
      <c r="AJ137" s="70">
        <v>1</v>
      </c>
      <c r="AK137" s="225">
        <v>2327.0337</v>
      </c>
      <c r="AL137" s="33">
        <v>1</v>
      </c>
      <c r="AM137" s="204">
        <v>2327.0337</v>
      </c>
      <c r="AN137" s="196"/>
      <c r="AO137" s="23"/>
      <c r="AP137" s="23"/>
      <c r="AQ137" s="23"/>
      <c r="AR137" s="23"/>
      <c r="AS137" s="23"/>
      <c r="AT137" s="23"/>
      <c r="AU137" s="23"/>
      <c r="AV137" s="23"/>
      <c r="AW137" s="23"/>
      <c r="AX137" s="23"/>
      <c r="AY137" s="23"/>
      <c r="AZ137" s="196"/>
      <c r="BA137" s="70">
        <f>IF(VLOOKUP($D137,$AO$14:AQ$19,COLUMN()-50,0)&lt;=0,1,IF($Q137&lt;0,1,ROUNDUP(IF($Q137*('Draft Center'!$L$28+'Draft Center'!$L$78-'Draft Center'!$L$82)&lt;1,1,$Q137*('Draft Center'!$L$28+'Draft Center'!$L$78-'Draft Center'!$L$82)),0)))</f>
        <v>1</v>
      </c>
      <c r="BB137" s="70">
        <f>IF(VLOOKUP($D137,$AO$14:AR$19,COLUMN()-50,0)&lt;=0,1,IF($Q137&lt;0,1,ROUNDUP(IF($Q137*('Draft Center'!$L$28+'Draft Center'!$L$78-'Draft Center'!$L$82)&lt;1,1,$Q137*('Draft Center'!$L$28+'Draft Center'!$L$78-'Draft Center'!$L$82)),0)))</f>
        <v>1</v>
      </c>
      <c r="BC137" s="70">
        <f>IF(VLOOKUP($D137,$AO$14:AS$19,COLUMN()-50,0)&lt;=0,1,IF($Q137&lt;0,1,ROUNDUP(IF($Q137*('Draft Center'!$L$28+'Draft Center'!$L$78-'Draft Center'!$L$82)&lt;1,1,$Q137*('Draft Center'!$L$28+'Draft Center'!$L$78-'Draft Center'!$L$82)),0)))</f>
        <v>1</v>
      </c>
      <c r="BD137" s="70">
        <f>IF(VLOOKUP($D137,$AO$14:AT$19,COLUMN()-50,0)&lt;=0,1,IF($Q137&lt;0,1,ROUNDUP(IF($Q137*('Draft Center'!$L$28+'Draft Center'!$L$78-'Draft Center'!$L$82)&lt;1,1,$Q137*('Draft Center'!$L$28+'Draft Center'!$L$78-'Draft Center'!$L$82)),0)))</f>
        <v>1</v>
      </c>
      <c r="BE137" s="70">
        <f>IF(VLOOKUP($D137,$AO$14:AU$19,COLUMN()-50,0)&lt;=0,1,IF($Q137&lt;0,1,ROUNDUP(IF($Q137*('Draft Center'!$L$28+'Draft Center'!$L$78-'Draft Center'!$L$82)&lt;1,1,$Q137*('Draft Center'!$L$28+'Draft Center'!$L$78-'Draft Center'!$L$82)),0)))</f>
        <v>1</v>
      </c>
      <c r="BF137" s="70">
        <f>IF(VLOOKUP($D137,$AO$14:AV$19,COLUMN()-50,0)&lt;=0,1,IF($Q137&lt;0,1,ROUNDUP(IF($Q137*('Draft Center'!$L$28+'Draft Center'!$L$78-'Draft Center'!$L$82)&lt;1,1,$Q137*('Draft Center'!$L$28+'Draft Center'!$L$78-'Draft Center'!$L$82)),0)))</f>
        <v>1</v>
      </c>
      <c r="BG137" s="70">
        <f>IF(VLOOKUP($D137,$AO$14:AW$19,COLUMN()-50,0)&lt;=0,1,IF($Q137&lt;0,1,ROUNDUP(IF($Q137*('Draft Center'!$L$28+'Draft Center'!$L$78-'Draft Center'!$L$82)&lt;1,1,$Q137*('Draft Center'!$L$28+'Draft Center'!$L$78-'Draft Center'!$L$82)),0)))</f>
        <v>1</v>
      </c>
      <c r="BH137" s="70">
        <f>IF(VLOOKUP($D137,$AO$14:AX$19,COLUMN()-50,0)&lt;=0,1,IF($Q137&lt;0,1,ROUNDUP(IF($Q137*('Draft Center'!$L$28+'Draft Center'!$L$78-'Draft Center'!$L$82)&lt;1,1,$Q137*('Draft Center'!$L$28+'Draft Center'!$L$78-'Draft Center'!$L$82)),0)))</f>
        <v>1</v>
      </c>
      <c r="BI137" s="70">
        <f>IF(VLOOKUP($D137,$AO$14:AY$19,COLUMN()-50,0)&lt;=0,1,IF($Q137&lt;0,1,ROUNDUP(IF($Q137*('Draft Center'!$L$28+'Draft Center'!$L$78-'Draft Center'!$L$82)&lt;1,1,$Q137*('Draft Center'!$L$28+'Draft Center'!$L$78-'Draft Center'!$L$82)),0)))</f>
        <v>1</v>
      </c>
      <c r="BJ137" s="196"/>
      <c r="BK137" s="23">
        <v>0</v>
      </c>
      <c r="BL137" s="23" t="str">
        <f t="shared" si="71"/>
        <v/>
      </c>
      <c r="BM137" s="23">
        <v>0</v>
      </c>
      <c r="BN137" s="23" t="str">
        <f t="shared" si="71"/>
        <v/>
      </c>
      <c r="BO137" s="23" t="str">
        <f t="shared" si="71"/>
        <v/>
      </c>
      <c r="BP137" s="23">
        <f t="shared" si="71"/>
        <v>0</v>
      </c>
      <c r="BQ137" s="23" t="str">
        <f t="shared" si="71"/>
        <v/>
      </c>
      <c r="BR137" s="23">
        <f t="shared" si="64"/>
        <v>0</v>
      </c>
      <c r="BS137" s="23">
        <f t="shared" si="65"/>
        <v>0</v>
      </c>
      <c r="BT137" s="70">
        <v>1</v>
      </c>
      <c r="BU137" s="58">
        <v>2327.0337</v>
      </c>
      <c r="BV137" s="33">
        <v>1</v>
      </c>
      <c r="BW137" s="204">
        <v>2327.0337</v>
      </c>
      <c r="BX137" s="23"/>
      <c r="BY137" s="70">
        <v>1</v>
      </c>
      <c r="BZ137" s="70">
        <v>1.3</v>
      </c>
      <c r="CA137" s="70">
        <v>1.3</v>
      </c>
      <c r="CB137" s="70">
        <v>1.3</v>
      </c>
      <c r="CC137" s="70">
        <f t="shared" si="68"/>
        <v>1.3</v>
      </c>
      <c r="CD137" s="70">
        <f t="shared" si="69"/>
        <v>1.3</v>
      </c>
    </row>
    <row r="138" spans="1:82" ht="15.75" customHeight="1" thickBot="1" x14ac:dyDescent="0.3">
      <c r="A138" s="9">
        <v>137</v>
      </c>
      <c r="B138" s="10" t="s">
        <v>39</v>
      </c>
      <c r="C138" s="10" t="s">
        <v>29</v>
      </c>
      <c r="D138" s="10" t="s">
        <v>17</v>
      </c>
      <c r="E138" s="51">
        <v>-11.2713124777225</v>
      </c>
      <c r="F138" s="51">
        <v>201.50660379162699</v>
      </c>
      <c r="G138" s="51">
        <v>216.293964881487</v>
      </c>
      <c r="H138" s="51">
        <v>186.65351008395501</v>
      </c>
      <c r="I138" s="11">
        <v>1.9</v>
      </c>
      <c r="J138" s="51">
        <v>4.20106865859539</v>
      </c>
      <c r="K138" s="249">
        <f>IFERROR(VLOOKUP(C138,Schedule!$T$3:$U$34,2,0),"FA")</f>
        <v>8</v>
      </c>
      <c r="L138" s="10" t="str">
        <f>D138&amp;COUNTIF(D$2:$D138,D138)</f>
        <v>WR32</v>
      </c>
      <c r="M138" s="51">
        <f t="array" ref="M138">IFERROR(F138-AVERAGE(VLOOKUP(D138,$D139:$F$885,3,0),INDEX($F139:$F$885,SMALL(IF(D138=$D139:$D$885,ROW($D139:$D$885)-ROW(D138)),2))),0)</f>
        <v>4.7764012420344955</v>
      </c>
      <c r="N138" s="51">
        <f>IFERROR(IF(VLOOKUP($B138,Input!$AC$2:$AC$162,1,0)=$B138,0),F138)</f>
        <v>201.50660379162699</v>
      </c>
      <c r="O138" s="51">
        <f>IFERROR(IF(VLOOKUP($B138,Input!$AC$2:$AC$162,1,0)=$B138,0,G138),G138)</f>
        <v>216.293964881487</v>
      </c>
      <c r="P138" s="51">
        <f>IF(N138=0,0,F138-AVERAGE(INDEX(F:F,MATCH(VLOOKUP(D138,Input!$A$14:$L$22,10,0),L:L,0)),INDEX(F:F,MATCH(VLOOKUP(D138,Input!$A$14:$L$22,11,0),L:L,0)),INDEX(F:F,MATCH(VLOOKUP(D138,Input!$A$14:$L$22,12,0),L:L,0)))+(0.01-ROW()*0.01))</f>
        <v>-12.641312477722035</v>
      </c>
      <c r="Q138" s="107">
        <f t="shared" si="60"/>
        <v>-4.3611635688944493E-3</v>
      </c>
      <c r="R138" s="11">
        <f>IF(VLOOKUP($D138,$X$14:$Y$19,2,0)&lt;=0,1,IF(Q138&lt;0,1,ROUNDUP(IF(Q138*('Draft Center'!$L$28+'Draft Center'!$L$78-'Draft Center'!$L$82)&lt;1,1,Q138*('Draft Center'!$L$28+'Draft Center'!$L$78-'Draft Center'!$L$82)),0)))</f>
        <v>1</v>
      </c>
      <c r="S138" s="11">
        <f>IF(A138&lt;Input!$B$10+0.1,IF(ROUNDUP(R138*Input!$C$10,0)=0,1,ROUNDUP(R138*Input!$C$10,0)),IF(A138&gt;Input!$B$11,IF(ROUNDUP(R138*Input!$C$11,0)=0,1,ROUNDUP(R138*Input!$C$11,0)),IF(ROUNDUP(R138,0)=0,1,ROUNDUP(R138,0))))</f>
        <v>1</v>
      </c>
      <c r="T138" s="11">
        <f t="shared" si="61"/>
        <v>1</v>
      </c>
      <c r="U138" s="11">
        <f>IFERROR(VLOOKUP($B138,Input!$AC$2:$AE$161,3,0),0)</f>
        <v>0</v>
      </c>
      <c r="V138" s="257">
        <f t="shared" si="66"/>
        <v>-0.47230421052631577</v>
      </c>
      <c r="W138" s="264">
        <f t="shared" si="67"/>
        <v>-0.89861999999999986</v>
      </c>
      <c r="X138" s="27"/>
      <c r="Y138" s="23"/>
      <c r="Z138" s="23"/>
      <c r="AA138" s="23">
        <v>0</v>
      </c>
      <c r="AB138" s="23" t="str">
        <f t="shared" si="70"/>
        <v/>
      </c>
      <c r="AC138" s="23" t="str">
        <f t="shared" si="70"/>
        <v/>
      </c>
      <c r="AD138" s="23">
        <f t="shared" si="70"/>
        <v>0</v>
      </c>
      <c r="AE138" s="23" t="str">
        <f t="shared" si="70"/>
        <v/>
      </c>
      <c r="AF138" s="23" t="str">
        <f t="shared" si="70"/>
        <v/>
      </c>
      <c r="AG138" s="23" t="str">
        <f t="shared" si="70"/>
        <v/>
      </c>
      <c r="AH138" s="23">
        <f t="shared" si="62"/>
        <v>0</v>
      </c>
      <c r="AI138" s="23">
        <f t="shared" si="63"/>
        <v>0</v>
      </c>
      <c r="AJ138" s="69">
        <v>1</v>
      </c>
      <c r="AK138" s="225">
        <v>2327.0337</v>
      </c>
      <c r="AL138" s="33">
        <v>1</v>
      </c>
      <c r="AM138" s="204">
        <v>2327.0337</v>
      </c>
      <c r="AN138" s="196"/>
      <c r="AO138" s="23"/>
      <c r="AP138" s="23"/>
      <c r="AQ138" s="23"/>
      <c r="AR138" s="23"/>
      <c r="AS138" s="23"/>
      <c r="AT138" s="23"/>
      <c r="AU138" s="23"/>
      <c r="AV138" s="23"/>
      <c r="AW138" s="23"/>
      <c r="AX138" s="23"/>
      <c r="AY138" s="23"/>
      <c r="AZ138" s="196"/>
      <c r="BA138" s="69">
        <f>IF(VLOOKUP($D138,$AO$14:AQ$19,COLUMN()-50,0)&lt;=0,1,IF($Q138&lt;0,1,ROUNDUP(IF($Q138*('Draft Center'!$L$28+'Draft Center'!$L$78-'Draft Center'!$L$82)&lt;1,1,$Q138*('Draft Center'!$L$28+'Draft Center'!$L$78-'Draft Center'!$L$82)),0)))</f>
        <v>1</v>
      </c>
      <c r="BB138" s="69">
        <f>IF(VLOOKUP($D138,$AO$14:AR$19,COLUMN()-50,0)&lt;=0,1,IF($Q138&lt;0,1,ROUNDUP(IF($Q138*('Draft Center'!$L$28+'Draft Center'!$L$78-'Draft Center'!$L$82)&lt;1,1,$Q138*('Draft Center'!$L$28+'Draft Center'!$L$78-'Draft Center'!$L$82)),0)))</f>
        <v>1</v>
      </c>
      <c r="BC138" s="69">
        <f>IF(VLOOKUP($D138,$AO$14:AS$19,COLUMN()-50,0)&lt;=0,1,IF($Q138&lt;0,1,ROUNDUP(IF($Q138*('Draft Center'!$L$28+'Draft Center'!$L$78-'Draft Center'!$L$82)&lt;1,1,$Q138*('Draft Center'!$L$28+'Draft Center'!$L$78-'Draft Center'!$L$82)),0)))</f>
        <v>1</v>
      </c>
      <c r="BD138" s="69">
        <f>IF(VLOOKUP($D138,$AO$14:AT$19,COLUMN()-50,0)&lt;=0,1,IF($Q138&lt;0,1,ROUNDUP(IF($Q138*('Draft Center'!$L$28+'Draft Center'!$L$78-'Draft Center'!$L$82)&lt;1,1,$Q138*('Draft Center'!$L$28+'Draft Center'!$L$78-'Draft Center'!$L$82)),0)))</f>
        <v>1</v>
      </c>
      <c r="BE138" s="69">
        <f>IF(VLOOKUP($D138,$AO$14:AU$19,COLUMN()-50,0)&lt;=0,1,IF($Q138&lt;0,1,ROUNDUP(IF($Q138*('Draft Center'!$L$28+'Draft Center'!$L$78-'Draft Center'!$L$82)&lt;1,1,$Q138*('Draft Center'!$L$28+'Draft Center'!$L$78-'Draft Center'!$L$82)),0)))</f>
        <v>1</v>
      </c>
      <c r="BF138" s="69">
        <f>IF(VLOOKUP($D138,$AO$14:AV$19,COLUMN()-50,0)&lt;=0,1,IF($Q138&lt;0,1,ROUNDUP(IF($Q138*('Draft Center'!$L$28+'Draft Center'!$L$78-'Draft Center'!$L$82)&lt;1,1,$Q138*('Draft Center'!$L$28+'Draft Center'!$L$78-'Draft Center'!$L$82)),0)))</f>
        <v>1</v>
      </c>
      <c r="BG138" s="69">
        <f>IF(VLOOKUP($D138,$AO$14:AW$19,COLUMN()-50,0)&lt;=0,1,IF($Q138&lt;0,1,ROUNDUP(IF($Q138*('Draft Center'!$L$28+'Draft Center'!$L$78-'Draft Center'!$L$82)&lt;1,1,$Q138*('Draft Center'!$L$28+'Draft Center'!$L$78-'Draft Center'!$L$82)),0)))</f>
        <v>1</v>
      </c>
      <c r="BH138" s="69">
        <f>IF(VLOOKUP($D138,$AO$14:AX$19,COLUMN()-50,0)&lt;=0,1,IF($Q138&lt;0,1,ROUNDUP(IF($Q138*('Draft Center'!$L$28+'Draft Center'!$L$78-'Draft Center'!$L$82)&lt;1,1,$Q138*('Draft Center'!$L$28+'Draft Center'!$L$78-'Draft Center'!$L$82)),0)))</f>
        <v>1</v>
      </c>
      <c r="BI138" s="69">
        <f>IF(VLOOKUP($D138,$AO$14:AY$19,COLUMN()-50,0)&lt;=0,1,IF($Q138&lt;0,1,ROUNDUP(IF($Q138*('Draft Center'!$L$28+'Draft Center'!$L$78-'Draft Center'!$L$82)&lt;1,1,$Q138*('Draft Center'!$L$28+'Draft Center'!$L$78-'Draft Center'!$L$82)),0)))</f>
        <v>1</v>
      </c>
      <c r="BJ138" s="196"/>
      <c r="BK138" s="23">
        <v>0</v>
      </c>
      <c r="BL138" s="23" t="str">
        <f t="shared" si="71"/>
        <v/>
      </c>
      <c r="BM138" s="23">
        <v>0</v>
      </c>
      <c r="BN138" s="23">
        <f t="shared" si="71"/>
        <v>0</v>
      </c>
      <c r="BO138" s="23" t="str">
        <f t="shared" si="71"/>
        <v/>
      </c>
      <c r="BP138" s="23" t="str">
        <f t="shared" si="71"/>
        <v/>
      </c>
      <c r="BQ138" s="23" t="str">
        <f t="shared" si="71"/>
        <v/>
      </c>
      <c r="BR138" s="23">
        <f t="shared" si="64"/>
        <v>0</v>
      </c>
      <c r="BS138" s="23">
        <f t="shared" si="65"/>
        <v>0</v>
      </c>
      <c r="BT138" s="69">
        <v>1</v>
      </c>
      <c r="BU138" s="58">
        <v>2327.0337</v>
      </c>
      <c r="BV138" s="33">
        <v>1</v>
      </c>
      <c r="BW138" s="204">
        <v>2327.0337</v>
      </c>
      <c r="BX138" s="23"/>
      <c r="BY138" s="69">
        <v>1</v>
      </c>
      <c r="BZ138" s="69">
        <v>1.9</v>
      </c>
      <c r="CA138" s="69">
        <v>1.9</v>
      </c>
      <c r="CB138" s="69">
        <v>1.9</v>
      </c>
      <c r="CC138" s="69">
        <f t="shared" si="68"/>
        <v>1.8999999999999997</v>
      </c>
      <c r="CD138" s="69">
        <f t="shared" si="69"/>
        <v>1.9</v>
      </c>
    </row>
    <row r="139" spans="1:82" ht="15.75" customHeight="1" thickBot="1" x14ac:dyDescent="0.3">
      <c r="A139" s="6">
        <v>138</v>
      </c>
      <c r="B139" s="7" t="s">
        <v>329</v>
      </c>
      <c r="C139" s="7" t="s">
        <v>75</v>
      </c>
      <c r="D139" s="7" t="s">
        <v>135</v>
      </c>
      <c r="E139" s="50">
        <v>-11.891391028545501</v>
      </c>
      <c r="F139" s="50">
        <v>96.8401676483915</v>
      </c>
      <c r="G139" s="50">
        <v>111.810174418605</v>
      </c>
      <c r="H139" s="50">
        <v>65.7</v>
      </c>
      <c r="I139" s="8">
        <v>0</v>
      </c>
      <c r="J139" s="50">
        <v>5.8654673081031596</v>
      </c>
      <c r="K139" s="248">
        <f>IFERROR(VLOOKUP(C139,Schedule!$T$3:$U$34,2,0),"FA")</f>
        <v>10</v>
      </c>
      <c r="L139" s="7" t="str">
        <f>D139&amp;COUNTIF(D$2:$D139,D139)</f>
        <v>DST23</v>
      </c>
      <c r="M139" s="50">
        <f t="array" ref="M139">IFERROR(F139-AVERAGE(VLOOKUP(D139,$D140:$F$885,3,0),INDEX($F140:$F$885,SMALL(IF(D139=$D140:$D$885,ROW($D140:$D$885)-ROW(D139)),2))),0)</f>
        <v>2.0724822293781386</v>
      </c>
      <c r="N139" s="50">
        <f>IFERROR(IF(VLOOKUP($B139,Input!$AC$2:$AC$162,1,0)=$B139,0),F139)</f>
        <v>96.8401676483915</v>
      </c>
      <c r="O139" s="50">
        <f>IFERROR(IF(VLOOKUP($B139,Input!$AC$2:$AC$162,1,0)=$B139,0,G139),G139)</f>
        <v>111.810174418605</v>
      </c>
      <c r="P139" s="50">
        <f>IF(N139=0,0,F139-AVERAGE(INDEX(F:F,MATCH(VLOOKUP(D139,Input!$A$14:$L$22,10,0),L:L,0)),INDEX(F:F,MATCH(VLOOKUP(D139,Input!$A$14:$L$22,11,0),L:L,0)),INDEX(F:F,MATCH(VLOOKUP(D139,Input!$A$14:$L$22,12,0),L:L,0)))+(0.01-ROW()*0.01))</f>
        <v>-12.228219302220515</v>
      </c>
      <c r="Q139" s="106">
        <f t="shared" si="60"/>
        <v>-4.2186493394003929E-3</v>
      </c>
      <c r="R139" s="8">
        <f>IF(VLOOKUP($D139,$X$14:$Y$19,2,0)&lt;=0,1,IF(Q139&lt;0,1,ROUNDUP(IF(Q139*('Draft Center'!$L$28+'Draft Center'!$L$78-'Draft Center'!$L$82)&lt;1,1,Q139*('Draft Center'!$L$28+'Draft Center'!$L$78-'Draft Center'!$L$82)),0)))</f>
        <v>1</v>
      </c>
      <c r="S139" s="8">
        <f>IF(A139&lt;Input!$B$10+0.1,IF(ROUNDUP(R139*Input!$C$10,0)=0,1,ROUNDUP(R139*Input!$C$10,0)),IF(A139&gt;Input!$B$11,IF(ROUNDUP(R139*Input!$C$11,0)=0,1,ROUNDUP(R139*Input!$C$11,0)),IF(ROUNDUP(R139,0)=0,1,ROUNDUP(R139,0))))</f>
        <v>1</v>
      </c>
      <c r="T139" s="8">
        <f t="shared" si="61"/>
        <v>1</v>
      </c>
      <c r="U139" s="8">
        <f>IFERROR(VLOOKUP($B139,Input!$AC$2:$AE$161,3,0),0)</f>
        <v>0</v>
      </c>
      <c r="V139" s="256">
        <f t="shared" si="66"/>
        <v>0</v>
      </c>
      <c r="W139" s="263">
        <f t="shared" si="67"/>
        <v>1.00139</v>
      </c>
      <c r="X139" s="27"/>
      <c r="Y139" s="23"/>
      <c r="Z139" s="23"/>
      <c r="AA139" s="23">
        <v>0</v>
      </c>
      <c r="AB139" s="23" t="str">
        <f t="shared" si="70"/>
        <v/>
      </c>
      <c r="AC139" s="23" t="str">
        <f t="shared" si="70"/>
        <v/>
      </c>
      <c r="AD139" s="23" t="str">
        <f t="shared" si="70"/>
        <v/>
      </c>
      <c r="AE139" s="23" t="str">
        <f t="shared" si="70"/>
        <v/>
      </c>
      <c r="AF139" s="23">
        <f t="shared" si="70"/>
        <v>0</v>
      </c>
      <c r="AG139" s="23" t="str">
        <f t="shared" si="70"/>
        <v/>
      </c>
      <c r="AH139" s="23">
        <f t="shared" si="62"/>
        <v>0</v>
      </c>
      <c r="AI139" s="23">
        <f t="shared" si="63"/>
        <v>0</v>
      </c>
      <c r="AJ139" s="70">
        <v>1</v>
      </c>
      <c r="AK139" s="225">
        <v>2327.0337</v>
      </c>
      <c r="AL139" s="33">
        <v>1</v>
      </c>
      <c r="AM139" s="204">
        <v>2327.0337</v>
      </c>
      <c r="AN139" s="196"/>
      <c r="AO139" s="23"/>
      <c r="AP139" s="23"/>
      <c r="AQ139" s="23"/>
      <c r="AR139" s="23"/>
      <c r="AS139" s="23"/>
      <c r="AT139" s="23"/>
      <c r="AU139" s="23"/>
      <c r="AV139" s="23"/>
      <c r="AW139" s="23"/>
      <c r="AX139" s="23"/>
      <c r="AY139" s="23"/>
      <c r="AZ139" s="196"/>
      <c r="BA139" s="70">
        <f>IF(VLOOKUP($D139,$AO$14:AQ$19,COLUMN()-50,0)&lt;=0,1,IF($Q139&lt;0,1,ROUNDUP(IF($Q139*('Draft Center'!$L$28+'Draft Center'!$L$78-'Draft Center'!$L$82)&lt;1,1,$Q139*('Draft Center'!$L$28+'Draft Center'!$L$78-'Draft Center'!$L$82)),0)))</f>
        <v>1</v>
      </c>
      <c r="BB139" s="70">
        <f>IF(VLOOKUP($D139,$AO$14:AR$19,COLUMN()-50,0)&lt;=0,1,IF($Q139&lt;0,1,ROUNDUP(IF($Q139*('Draft Center'!$L$28+'Draft Center'!$L$78-'Draft Center'!$L$82)&lt;1,1,$Q139*('Draft Center'!$L$28+'Draft Center'!$L$78-'Draft Center'!$L$82)),0)))</f>
        <v>1</v>
      </c>
      <c r="BC139" s="70">
        <f>IF(VLOOKUP($D139,$AO$14:AS$19,COLUMN()-50,0)&lt;=0,1,IF($Q139&lt;0,1,ROUNDUP(IF($Q139*('Draft Center'!$L$28+'Draft Center'!$L$78-'Draft Center'!$L$82)&lt;1,1,$Q139*('Draft Center'!$L$28+'Draft Center'!$L$78-'Draft Center'!$L$82)),0)))</f>
        <v>1</v>
      </c>
      <c r="BD139" s="70">
        <f>IF(VLOOKUP($D139,$AO$14:AT$19,COLUMN()-50,0)&lt;=0,1,IF($Q139&lt;0,1,ROUNDUP(IF($Q139*('Draft Center'!$L$28+'Draft Center'!$L$78-'Draft Center'!$L$82)&lt;1,1,$Q139*('Draft Center'!$L$28+'Draft Center'!$L$78-'Draft Center'!$L$82)),0)))</f>
        <v>1</v>
      </c>
      <c r="BE139" s="70">
        <f>IF(VLOOKUP($D139,$AO$14:AU$19,COLUMN()-50,0)&lt;=0,1,IF($Q139&lt;0,1,ROUNDUP(IF($Q139*('Draft Center'!$L$28+'Draft Center'!$L$78-'Draft Center'!$L$82)&lt;1,1,$Q139*('Draft Center'!$L$28+'Draft Center'!$L$78-'Draft Center'!$L$82)),0)))</f>
        <v>1</v>
      </c>
      <c r="BF139" s="70">
        <f>IF(VLOOKUP($D139,$AO$14:AV$19,COLUMN()-50,0)&lt;=0,1,IF($Q139&lt;0,1,ROUNDUP(IF($Q139*('Draft Center'!$L$28+'Draft Center'!$L$78-'Draft Center'!$L$82)&lt;1,1,$Q139*('Draft Center'!$L$28+'Draft Center'!$L$78-'Draft Center'!$L$82)),0)))</f>
        <v>1</v>
      </c>
      <c r="BG139" s="70">
        <f>IF(VLOOKUP($D139,$AO$14:AW$19,COLUMN()-50,0)&lt;=0,1,IF($Q139&lt;0,1,ROUNDUP(IF($Q139*('Draft Center'!$L$28+'Draft Center'!$L$78-'Draft Center'!$L$82)&lt;1,1,$Q139*('Draft Center'!$L$28+'Draft Center'!$L$78-'Draft Center'!$L$82)),0)))</f>
        <v>1</v>
      </c>
      <c r="BH139" s="70">
        <f>IF(VLOOKUP($D139,$AO$14:AX$19,COLUMN()-50,0)&lt;=0,1,IF($Q139&lt;0,1,ROUNDUP(IF($Q139*('Draft Center'!$L$28+'Draft Center'!$L$78-'Draft Center'!$L$82)&lt;1,1,$Q139*('Draft Center'!$L$28+'Draft Center'!$L$78-'Draft Center'!$L$82)),0)))</f>
        <v>1</v>
      </c>
      <c r="BI139" s="70">
        <f>IF(VLOOKUP($D139,$AO$14:AY$19,COLUMN()-50,0)&lt;=0,1,IF($Q139&lt;0,1,ROUNDUP(IF($Q139*('Draft Center'!$L$28+'Draft Center'!$L$78-'Draft Center'!$L$82)&lt;1,1,$Q139*('Draft Center'!$L$28+'Draft Center'!$L$78-'Draft Center'!$L$82)),0)))</f>
        <v>1</v>
      </c>
      <c r="BJ139" s="196"/>
      <c r="BK139" s="23">
        <v>0</v>
      </c>
      <c r="BL139" s="23" t="str">
        <f t="shared" si="71"/>
        <v/>
      </c>
      <c r="BM139" s="23">
        <v>0</v>
      </c>
      <c r="BN139" s="23" t="str">
        <f t="shared" si="71"/>
        <v/>
      </c>
      <c r="BO139" s="23" t="str">
        <f t="shared" si="71"/>
        <v/>
      </c>
      <c r="BP139" s="23">
        <f t="shared" si="71"/>
        <v>0</v>
      </c>
      <c r="BQ139" s="23" t="str">
        <f t="shared" si="71"/>
        <v/>
      </c>
      <c r="BR139" s="23">
        <f t="shared" si="64"/>
        <v>0</v>
      </c>
      <c r="BS139" s="23">
        <f t="shared" si="65"/>
        <v>0</v>
      </c>
      <c r="BT139" s="70">
        <v>1</v>
      </c>
      <c r="BU139" s="58">
        <v>2327.0337</v>
      </c>
      <c r="BV139" s="33">
        <v>1</v>
      </c>
      <c r="BW139" s="204">
        <v>2327.0337</v>
      </c>
      <c r="BX139" s="23"/>
      <c r="BY139" s="70">
        <v>1</v>
      </c>
      <c r="BZ139" s="70">
        <v>0</v>
      </c>
      <c r="CA139" s="70">
        <v>0</v>
      </c>
      <c r="CB139" s="70">
        <v>0</v>
      </c>
      <c r="CC139" s="70">
        <f t="shared" si="68"/>
        <v>0</v>
      </c>
      <c r="CD139" s="70">
        <f t="shared" si="69"/>
        <v>0</v>
      </c>
    </row>
    <row r="140" spans="1:82" ht="15.75" customHeight="1" thickBot="1" x14ac:dyDescent="0.3">
      <c r="A140" s="9">
        <v>139</v>
      </c>
      <c r="B140" s="10" t="s">
        <v>280</v>
      </c>
      <c r="C140" s="10" t="s">
        <v>42</v>
      </c>
      <c r="D140" s="10" t="s">
        <v>19</v>
      </c>
      <c r="E140" s="51">
        <v>-12.8663117309155</v>
      </c>
      <c r="F140" s="51">
        <v>156.23608629503599</v>
      </c>
      <c r="G140" s="51">
        <v>177.161600620608</v>
      </c>
      <c r="H140" s="51">
        <v>113.944503704227</v>
      </c>
      <c r="I140" s="11">
        <v>1.4</v>
      </c>
      <c r="J140" s="51">
        <v>5.8261413727274798</v>
      </c>
      <c r="K140" s="249">
        <f>IFERROR(VLOOKUP(C140,Schedule!$T$3:$U$34,2,0),"FA")</f>
        <v>9</v>
      </c>
      <c r="L140" s="10" t="str">
        <f>D140&amp;COUNTIF(D$2:$D140,D140)</f>
        <v>RB34</v>
      </c>
      <c r="M140" s="51">
        <f t="array" ref="M140">IFERROR(F140-AVERAGE(VLOOKUP(D140,$D141:$F$885,3,0),INDEX($F141:$F$885,SMALL(IF(D140=$D141:$D$885,ROW($D141:$D$885)-ROW(D140)),2))),0)</f>
        <v>3.8498141849059948</v>
      </c>
      <c r="N140" s="51">
        <f>IFERROR(IF(VLOOKUP($B140,Input!$AC$2:$AC$162,1,0)=$B140,0),F140)</f>
        <v>156.23608629503599</v>
      </c>
      <c r="O140" s="51">
        <f>IFERROR(IF(VLOOKUP($B140,Input!$AC$2:$AC$162,1,0)=$B140,0,G140),G140)</f>
        <v>177.161600620608</v>
      </c>
      <c r="P140" s="51">
        <f>IF(N140=0,0,F140-AVERAGE(INDEX(F:F,MATCH(VLOOKUP(D140,Input!$A$14:$L$22,10,0),L:L,0)),INDEX(F:F,MATCH(VLOOKUP(D140,Input!$A$14:$L$22,11,0),L:L,0)),INDEX(F:F,MATCH(VLOOKUP(D140,Input!$A$14:$L$22,12,0),L:L,0)))+(0.01-ROW()*0.01))</f>
        <v>-14.256311730916011</v>
      </c>
      <c r="Q140" s="107">
        <f t="shared" si="60"/>
        <v>-4.918326910852317E-3</v>
      </c>
      <c r="R140" s="11">
        <f>IF(VLOOKUP($D140,$X$14:$Y$19,2,0)&lt;=0,1,IF(Q140&lt;0,1,ROUNDUP(IF(Q140*('Draft Center'!$L$28+'Draft Center'!$L$78-'Draft Center'!$L$82)&lt;1,1,Q140*('Draft Center'!$L$28+'Draft Center'!$L$78-'Draft Center'!$L$82)),0)))</f>
        <v>1</v>
      </c>
      <c r="S140" s="11">
        <f>IF(A140&lt;Input!$B$10+0.1,IF(ROUNDUP(R140*Input!$C$10,0)=0,1,ROUNDUP(R140*Input!$C$10,0)),IF(A140&gt;Input!$B$11,IF(ROUNDUP(R140*Input!$C$11,0)=0,1,ROUNDUP(R140*Input!$C$11,0)),IF(ROUNDUP(R140,0)=0,1,ROUNDUP(R140,0))))</f>
        <v>1</v>
      </c>
      <c r="T140" s="11">
        <f t="shared" si="61"/>
        <v>1</v>
      </c>
      <c r="U140" s="11">
        <f>IFERROR(VLOOKUP($B140,Input!$AC$2:$AE$161,3,0),0)</f>
        <v>0</v>
      </c>
      <c r="V140" s="257">
        <f t="shared" si="66"/>
        <v>-0.28431428571428563</v>
      </c>
      <c r="W140" s="264">
        <f t="shared" si="67"/>
        <v>-0.3985999999999999</v>
      </c>
      <c r="X140" s="27"/>
      <c r="Y140" s="23"/>
      <c r="Z140" s="23"/>
      <c r="AA140" s="23">
        <v>0</v>
      </c>
      <c r="AB140" s="23" t="str">
        <f t="shared" si="70"/>
        <v/>
      </c>
      <c r="AC140" s="23">
        <f t="shared" si="70"/>
        <v>0</v>
      </c>
      <c r="AD140" s="23" t="str">
        <f t="shared" si="70"/>
        <v/>
      </c>
      <c r="AE140" s="23" t="str">
        <f t="shared" si="70"/>
        <v/>
      </c>
      <c r="AF140" s="23" t="str">
        <f t="shared" si="70"/>
        <v/>
      </c>
      <c r="AG140" s="23" t="str">
        <f t="shared" si="70"/>
        <v/>
      </c>
      <c r="AH140" s="23">
        <f t="shared" si="62"/>
        <v>0</v>
      </c>
      <c r="AI140" s="23">
        <f t="shared" si="63"/>
        <v>0</v>
      </c>
      <c r="AJ140" s="69">
        <v>1</v>
      </c>
      <c r="AK140" s="225">
        <v>2327.0337</v>
      </c>
      <c r="AL140" s="33">
        <v>1</v>
      </c>
      <c r="AM140" s="204">
        <v>2327.0337</v>
      </c>
      <c r="AN140" s="196"/>
      <c r="AO140" s="23"/>
      <c r="AP140" s="23"/>
      <c r="AQ140" s="23"/>
      <c r="AR140" s="23"/>
      <c r="AS140" s="23"/>
      <c r="AT140" s="23"/>
      <c r="AU140" s="23"/>
      <c r="AV140" s="23"/>
      <c r="AW140" s="23"/>
      <c r="AX140" s="23"/>
      <c r="AY140" s="23"/>
      <c r="AZ140" s="196"/>
      <c r="BA140" s="69">
        <f>IF(VLOOKUP($D140,$AO$14:AQ$19,COLUMN()-50,0)&lt;=0,1,IF($Q140&lt;0,1,ROUNDUP(IF($Q140*('Draft Center'!$L$28+'Draft Center'!$L$78-'Draft Center'!$L$82)&lt;1,1,$Q140*('Draft Center'!$L$28+'Draft Center'!$L$78-'Draft Center'!$L$82)),0)))</f>
        <v>1</v>
      </c>
      <c r="BB140" s="69">
        <f>IF(VLOOKUP($D140,$AO$14:AR$19,COLUMN()-50,0)&lt;=0,1,IF($Q140&lt;0,1,ROUNDUP(IF($Q140*('Draft Center'!$L$28+'Draft Center'!$L$78-'Draft Center'!$L$82)&lt;1,1,$Q140*('Draft Center'!$L$28+'Draft Center'!$L$78-'Draft Center'!$L$82)),0)))</f>
        <v>1</v>
      </c>
      <c r="BC140" s="69">
        <f>IF(VLOOKUP($D140,$AO$14:AS$19,COLUMN()-50,0)&lt;=0,1,IF($Q140&lt;0,1,ROUNDUP(IF($Q140*('Draft Center'!$L$28+'Draft Center'!$L$78-'Draft Center'!$L$82)&lt;1,1,$Q140*('Draft Center'!$L$28+'Draft Center'!$L$78-'Draft Center'!$L$82)),0)))</f>
        <v>1</v>
      </c>
      <c r="BD140" s="69">
        <f>IF(VLOOKUP($D140,$AO$14:AT$19,COLUMN()-50,0)&lt;=0,1,IF($Q140&lt;0,1,ROUNDUP(IF($Q140*('Draft Center'!$L$28+'Draft Center'!$L$78-'Draft Center'!$L$82)&lt;1,1,$Q140*('Draft Center'!$L$28+'Draft Center'!$L$78-'Draft Center'!$L$82)),0)))</f>
        <v>1</v>
      </c>
      <c r="BE140" s="69">
        <f>IF(VLOOKUP($D140,$AO$14:AU$19,COLUMN()-50,0)&lt;=0,1,IF($Q140&lt;0,1,ROUNDUP(IF($Q140*('Draft Center'!$L$28+'Draft Center'!$L$78-'Draft Center'!$L$82)&lt;1,1,$Q140*('Draft Center'!$L$28+'Draft Center'!$L$78-'Draft Center'!$L$82)),0)))</f>
        <v>1</v>
      </c>
      <c r="BF140" s="69">
        <f>IF(VLOOKUP($D140,$AO$14:AV$19,COLUMN()-50,0)&lt;=0,1,IF($Q140&lt;0,1,ROUNDUP(IF($Q140*('Draft Center'!$L$28+'Draft Center'!$L$78-'Draft Center'!$L$82)&lt;1,1,$Q140*('Draft Center'!$L$28+'Draft Center'!$L$78-'Draft Center'!$L$82)),0)))</f>
        <v>1</v>
      </c>
      <c r="BG140" s="69">
        <f>IF(VLOOKUP($D140,$AO$14:AW$19,COLUMN()-50,0)&lt;=0,1,IF($Q140&lt;0,1,ROUNDUP(IF($Q140*('Draft Center'!$L$28+'Draft Center'!$L$78-'Draft Center'!$L$82)&lt;1,1,$Q140*('Draft Center'!$L$28+'Draft Center'!$L$78-'Draft Center'!$L$82)),0)))</f>
        <v>1</v>
      </c>
      <c r="BH140" s="69">
        <f>IF(VLOOKUP($D140,$AO$14:AX$19,COLUMN()-50,0)&lt;=0,1,IF($Q140&lt;0,1,ROUNDUP(IF($Q140*('Draft Center'!$L$28+'Draft Center'!$L$78-'Draft Center'!$L$82)&lt;1,1,$Q140*('Draft Center'!$L$28+'Draft Center'!$L$78-'Draft Center'!$L$82)),0)))</f>
        <v>1</v>
      </c>
      <c r="BI140" s="69">
        <f>IF(VLOOKUP($D140,$AO$14:AY$19,COLUMN()-50,0)&lt;=0,1,IF($Q140&lt;0,1,ROUNDUP(IF($Q140*('Draft Center'!$L$28+'Draft Center'!$L$78-'Draft Center'!$L$82)&lt;1,1,$Q140*('Draft Center'!$L$28+'Draft Center'!$L$78-'Draft Center'!$L$82)),0)))</f>
        <v>1</v>
      </c>
      <c r="BJ140" s="196"/>
      <c r="BK140" s="23">
        <v>0</v>
      </c>
      <c r="BL140" s="23" t="str">
        <f t="shared" si="71"/>
        <v/>
      </c>
      <c r="BM140" s="23">
        <v>0</v>
      </c>
      <c r="BN140" s="23" t="str">
        <f t="shared" si="71"/>
        <v/>
      </c>
      <c r="BO140" s="23" t="str">
        <f t="shared" si="71"/>
        <v/>
      </c>
      <c r="BP140" s="23" t="str">
        <f t="shared" si="71"/>
        <v/>
      </c>
      <c r="BQ140" s="23" t="str">
        <f t="shared" si="71"/>
        <v/>
      </c>
      <c r="BR140" s="23">
        <f t="shared" si="64"/>
        <v>0</v>
      </c>
      <c r="BS140" s="23">
        <f t="shared" si="65"/>
        <v>0</v>
      </c>
      <c r="BT140" s="69">
        <v>1</v>
      </c>
      <c r="BU140" s="58">
        <v>2327.0337</v>
      </c>
      <c r="BV140" s="33">
        <v>1</v>
      </c>
      <c r="BW140" s="204">
        <v>2327.0337</v>
      </c>
      <c r="BX140" s="23"/>
      <c r="BY140" s="69">
        <v>1</v>
      </c>
      <c r="BZ140" s="69">
        <v>1.4</v>
      </c>
      <c r="CA140" s="69">
        <v>1.4</v>
      </c>
      <c r="CB140" s="69">
        <v>1.4</v>
      </c>
      <c r="CC140" s="69">
        <f t="shared" si="68"/>
        <v>1.3999999999999997</v>
      </c>
      <c r="CD140" s="69">
        <f t="shared" si="69"/>
        <v>1.4</v>
      </c>
    </row>
    <row r="141" spans="1:82" ht="15.75" customHeight="1" thickBot="1" x14ac:dyDescent="0.3">
      <c r="A141" s="6">
        <v>140</v>
      </c>
      <c r="B141" s="7" t="s">
        <v>214</v>
      </c>
      <c r="C141" s="7" t="s">
        <v>45</v>
      </c>
      <c r="D141" s="7" t="s">
        <v>53</v>
      </c>
      <c r="E141" s="50">
        <v>-13.419223079180099</v>
      </c>
      <c r="F141" s="50">
        <v>258.92842055365497</v>
      </c>
      <c r="G141" s="50">
        <v>277.85332437491201</v>
      </c>
      <c r="H141" s="50">
        <v>193.1808</v>
      </c>
      <c r="I141" s="8">
        <v>0</v>
      </c>
      <c r="J141" s="50">
        <v>5.6765469445245396</v>
      </c>
      <c r="K141" s="248">
        <f>IFERROR(VLOOKUP(C141,Schedule!$T$3:$U$34,2,0),"FA")</f>
        <v>6</v>
      </c>
      <c r="L141" s="7" t="str">
        <f>D141&amp;COUNTIF(D$2:$D141,D141)</f>
        <v>QB15</v>
      </c>
      <c r="M141" s="50">
        <f t="array" ref="M141">IFERROR(F141-AVERAGE(VLOOKUP(D141,$D142:$F$885,3,0),INDEX($F142:$F$885,SMALL(IF(D141=$D142:$D$885,ROW($D142:$D$885)-ROW(D141)),2))),0)</f>
        <v>4.6665434570139723</v>
      </c>
      <c r="N141" s="50">
        <f>IFERROR(IF(VLOOKUP($B141,Input!$AC$2:$AC$162,1,0)=$B141,0),F141)</f>
        <v>258.92842055365497</v>
      </c>
      <c r="O141" s="50">
        <f>IFERROR(IF(VLOOKUP($B141,Input!$AC$2:$AC$162,1,0)=$B141,0,G141),G141)</f>
        <v>277.85332437491201</v>
      </c>
      <c r="P141" s="50">
        <f>IF(N141=0,0,F141-AVERAGE(INDEX(F:F,MATCH(VLOOKUP(D141,Input!$A$14:$L$22,10,0),L:L,0)),INDEX(F:F,MATCH(VLOOKUP(D141,Input!$A$14:$L$22,11,0),L:L,0)),INDEX(F:F,MATCH(VLOOKUP(D141,Input!$A$14:$L$22,12,0),L:L,0)))+(0.01-ROW()*0.01))</f>
        <v>-14.819223079180654</v>
      </c>
      <c r="Q141" s="106">
        <f t="shared" si="60"/>
        <v>-5.1125273523725629E-3</v>
      </c>
      <c r="R141" s="8">
        <f>IF(VLOOKUP($D141,$X$14:$Y$19,2,0)&lt;=0,1,IF(Q141&lt;0,1,ROUNDUP(IF(Q141*('Draft Center'!$L$28+'Draft Center'!$L$78-'Draft Center'!$L$82)&lt;1,1,Q141*('Draft Center'!$L$28+'Draft Center'!$L$78-'Draft Center'!$L$82)),0)))</f>
        <v>1</v>
      </c>
      <c r="S141" s="8">
        <f>IF(A141&lt;Input!$B$10+0.1,IF(ROUNDUP(R141*Input!$C$10,0)=0,1,ROUNDUP(R141*Input!$C$10,0)),IF(A141&gt;Input!$B$11,IF(ROUNDUP(R141*Input!$C$11,0)=0,1,ROUNDUP(R141*Input!$C$11,0)),IF(ROUNDUP(R141,0)=0,1,ROUNDUP(R141,0))))</f>
        <v>1</v>
      </c>
      <c r="T141" s="8">
        <f t="shared" si="61"/>
        <v>1</v>
      </c>
      <c r="U141" s="8">
        <f>IFERROR(VLOOKUP($B141,Input!$AC$2:$AE$161,3,0),0)</f>
        <v>0</v>
      </c>
      <c r="V141" s="256">
        <f t="shared" si="66"/>
        <v>0</v>
      </c>
      <c r="W141" s="263">
        <f t="shared" si="67"/>
        <v>1.0014099999999999</v>
      </c>
      <c r="X141" s="27"/>
      <c r="Y141" s="23"/>
      <c r="Z141" s="23"/>
      <c r="AA141" s="23">
        <v>0</v>
      </c>
      <c r="AB141" s="23">
        <f t="shared" si="70"/>
        <v>0</v>
      </c>
      <c r="AC141" s="23" t="str">
        <f t="shared" si="70"/>
        <v/>
      </c>
      <c r="AD141" s="23" t="str">
        <f t="shared" si="70"/>
        <v/>
      </c>
      <c r="AE141" s="23" t="str">
        <f t="shared" si="70"/>
        <v/>
      </c>
      <c r="AF141" s="23" t="str">
        <f t="shared" si="70"/>
        <v/>
      </c>
      <c r="AG141" s="23" t="str">
        <f t="shared" si="70"/>
        <v/>
      </c>
      <c r="AH141" s="23">
        <f t="shared" si="62"/>
        <v>0</v>
      </c>
      <c r="AI141" s="23">
        <f t="shared" si="63"/>
        <v>0</v>
      </c>
      <c r="AJ141" s="70">
        <v>1</v>
      </c>
      <c r="AK141" s="225">
        <v>2327.0337</v>
      </c>
      <c r="AL141" s="33">
        <v>1</v>
      </c>
      <c r="AM141" s="204">
        <v>2327.0337</v>
      </c>
      <c r="AN141" s="196"/>
      <c r="AO141" s="23"/>
      <c r="AP141" s="23"/>
      <c r="AQ141" s="23"/>
      <c r="AR141" s="23"/>
      <c r="AS141" s="23"/>
      <c r="AT141" s="23"/>
      <c r="AU141" s="23"/>
      <c r="AV141" s="23"/>
      <c r="AW141" s="23"/>
      <c r="AX141" s="23"/>
      <c r="AY141" s="23"/>
      <c r="AZ141" s="196"/>
      <c r="BA141" s="70">
        <f>IF(VLOOKUP($D141,$AO$14:AQ$19,COLUMN()-50,0)&lt;=0,1,IF($Q141&lt;0,1,ROUNDUP(IF($Q141*('Draft Center'!$L$28+'Draft Center'!$L$78-'Draft Center'!$L$82)&lt;1,1,$Q141*('Draft Center'!$L$28+'Draft Center'!$L$78-'Draft Center'!$L$82)),0)))</f>
        <v>1</v>
      </c>
      <c r="BB141" s="70">
        <f>IF(VLOOKUP($D141,$AO$14:AR$19,COLUMN()-50,0)&lt;=0,1,IF($Q141&lt;0,1,ROUNDUP(IF($Q141*('Draft Center'!$L$28+'Draft Center'!$L$78-'Draft Center'!$L$82)&lt;1,1,$Q141*('Draft Center'!$L$28+'Draft Center'!$L$78-'Draft Center'!$L$82)),0)))</f>
        <v>1</v>
      </c>
      <c r="BC141" s="70">
        <f>IF(VLOOKUP($D141,$AO$14:AS$19,COLUMN()-50,0)&lt;=0,1,IF($Q141&lt;0,1,ROUNDUP(IF($Q141*('Draft Center'!$L$28+'Draft Center'!$L$78-'Draft Center'!$L$82)&lt;1,1,$Q141*('Draft Center'!$L$28+'Draft Center'!$L$78-'Draft Center'!$L$82)),0)))</f>
        <v>1</v>
      </c>
      <c r="BD141" s="70">
        <f>IF(VLOOKUP($D141,$AO$14:AT$19,COLUMN()-50,0)&lt;=0,1,IF($Q141&lt;0,1,ROUNDUP(IF($Q141*('Draft Center'!$L$28+'Draft Center'!$L$78-'Draft Center'!$L$82)&lt;1,1,$Q141*('Draft Center'!$L$28+'Draft Center'!$L$78-'Draft Center'!$L$82)),0)))</f>
        <v>1</v>
      </c>
      <c r="BE141" s="70">
        <f>IF(VLOOKUP($D141,$AO$14:AU$19,COLUMN()-50,0)&lt;=0,1,IF($Q141&lt;0,1,ROUNDUP(IF($Q141*('Draft Center'!$L$28+'Draft Center'!$L$78-'Draft Center'!$L$82)&lt;1,1,$Q141*('Draft Center'!$L$28+'Draft Center'!$L$78-'Draft Center'!$L$82)),0)))</f>
        <v>1</v>
      </c>
      <c r="BF141" s="70">
        <f>IF(VLOOKUP($D141,$AO$14:AV$19,COLUMN()-50,0)&lt;=0,1,IF($Q141&lt;0,1,ROUNDUP(IF($Q141*('Draft Center'!$L$28+'Draft Center'!$L$78-'Draft Center'!$L$82)&lt;1,1,$Q141*('Draft Center'!$L$28+'Draft Center'!$L$78-'Draft Center'!$L$82)),0)))</f>
        <v>1</v>
      </c>
      <c r="BG141" s="70">
        <f>IF(VLOOKUP($D141,$AO$14:AW$19,COLUMN()-50,0)&lt;=0,1,IF($Q141&lt;0,1,ROUNDUP(IF($Q141*('Draft Center'!$L$28+'Draft Center'!$L$78-'Draft Center'!$L$82)&lt;1,1,$Q141*('Draft Center'!$L$28+'Draft Center'!$L$78-'Draft Center'!$L$82)),0)))</f>
        <v>1</v>
      </c>
      <c r="BH141" s="70">
        <f>IF(VLOOKUP($D141,$AO$14:AX$19,COLUMN()-50,0)&lt;=0,1,IF($Q141&lt;0,1,ROUNDUP(IF($Q141*('Draft Center'!$L$28+'Draft Center'!$L$78-'Draft Center'!$L$82)&lt;1,1,$Q141*('Draft Center'!$L$28+'Draft Center'!$L$78-'Draft Center'!$L$82)),0)))</f>
        <v>1</v>
      </c>
      <c r="BI141" s="70">
        <f>IF(VLOOKUP($D141,$AO$14:AY$19,COLUMN()-50,0)&lt;=0,1,IF($Q141&lt;0,1,ROUNDUP(IF($Q141*('Draft Center'!$L$28+'Draft Center'!$L$78-'Draft Center'!$L$82)&lt;1,1,$Q141*('Draft Center'!$L$28+'Draft Center'!$L$78-'Draft Center'!$L$82)),0)))</f>
        <v>1</v>
      </c>
      <c r="BJ141" s="196"/>
      <c r="BK141" s="23">
        <v>0</v>
      </c>
      <c r="BL141" s="23">
        <f t="shared" si="71"/>
        <v>0</v>
      </c>
      <c r="BM141" s="23">
        <v>0</v>
      </c>
      <c r="BN141" s="23" t="str">
        <f t="shared" si="71"/>
        <v/>
      </c>
      <c r="BO141" s="23" t="str">
        <f t="shared" si="71"/>
        <v/>
      </c>
      <c r="BP141" s="23" t="str">
        <f t="shared" si="71"/>
        <v/>
      </c>
      <c r="BQ141" s="23" t="str">
        <f t="shared" si="71"/>
        <v/>
      </c>
      <c r="BR141" s="23">
        <f t="shared" si="64"/>
        <v>0</v>
      </c>
      <c r="BS141" s="23">
        <f t="shared" si="65"/>
        <v>0</v>
      </c>
      <c r="BT141" s="70">
        <v>1</v>
      </c>
      <c r="BU141" s="58">
        <v>2327.0337</v>
      </c>
      <c r="BV141" s="33">
        <v>1</v>
      </c>
      <c r="BW141" s="204">
        <v>2327.0337</v>
      </c>
      <c r="BX141" s="23"/>
      <c r="BY141" s="70">
        <v>1</v>
      </c>
      <c r="BZ141" s="70">
        <v>0</v>
      </c>
      <c r="CA141" s="70">
        <v>0</v>
      </c>
      <c r="CB141" s="70">
        <v>0</v>
      </c>
      <c r="CC141" s="70">
        <f t="shared" si="68"/>
        <v>0</v>
      </c>
      <c r="CD141" s="70">
        <f t="shared" si="69"/>
        <v>0</v>
      </c>
    </row>
    <row r="142" spans="1:82" ht="15.75" customHeight="1" thickBot="1" x14ac:dyDescent="0.3">
      <c r="A142" s="9">
        <v>141</v>
      </c>
      <c r="B142" s="10" t="s">
        <v>320</v>
      </c>
      <c r="C142" s="10" t="s">
        <v>925</v>
      </c>
      <c r="D142" s="10" t="s">
        <v>135</v>
      </c>
      <c r="E142" s="51">
        <v>-13.670872931796699</v>
      </c>
      <c r="F142" s="51">
        <v>95.060685745140404</v>
      </c>
      <c r="G142" s="51">
        <v>147.29589999999999</v>
      </c>
      <c r="H142" s="51">
        <v>99.91</v>
      </c>
      <c r="I142" s="11">
        <v>1.1000000000000001</v>
      </c>
      <c r="J142" s="51">
        <v>9.8677781626939893</v>
      </c>
      <c r="K142" s="249">
        <f>IFERROR(VLOOKUP(C142,Schedule!$T$3:$U$34,2,0),"FA")</f>
        <v>8</v>
      </c>
      <c r="L142" s="10" t="str">
        <f>D142&amp;COUNTIF(D$2:$D142,D142)</f>
        <v>DST24</v>
      </c>
      <c r="M142" s="51">
        <f t="array" ref="M142">IFERROR(F142-AVERAGE(VLOOKUP(D142,$D143:$F$885,3,0),INDEX($F143:$F$885,SMALL(IF(D142=$D143:$D$885,ROW($D143:$D$885)-ROW(D142)),2))),0)</f>
        <v>1.4365262526166021</v>
      </c>
      <c r="N142" s="51">
        <f>IFERROR(IF(VLOOKUP($B142,Input!$AC$2:$AC$162,1,0)=$B142,0),F142)</f>
        <v>95.060685745140404</v>
      </c>
      <c r="O142" s="51">
        <f>IFERROR(IF(VLOOKUP($B142,Input!$AC$2:$AC$162,1,0)=$B142,0,G142),G142)</f>
        <v>147.29589999999999</v>
      </c>
      <c r="P142" s="51">
        <f>IF(N142=0,0,F142-AVERAGE(INDEX(F:F,MATCH(VLOOKUP(D142,Input!$A$14:$L$22,10,0),L:L,0)),INDEX(F:F,MATCH(VLOOKUP(D142,Input!$A$14:$L$22,11,0),L:L,0)),INDEX(F:F,MATCH(VLOOKUP(D142,Input!$A$14:$L$22,12,0),L:L,0)))+(0.01-ROW()*0.01))</f>
        <v>-14.03770120547161</v>
      </c>
      <c r="Q142" s="107">
        <f t="shared" si="60"/>
        <v>-4.842907822761173E-3</v>
      </c>
      <c r="R142" s="11">
        <f>IF(VLOOKUP($D142,$X$14:$Y$19,2,0)&lt;=0,1,IF(Q142&lt;0,1,ROUNDUP(IF(Q142*('Draft Center'!$L$28+'Draft Center'!$L$78-'Draft Center'!$L$82)&lt;1,1,Q142*('Draft Center'!$L$28+'Draft Center'!$L$78-'Draft Center'!$L$82)),0)))</f>
        <v>1</v>
      </c>
      <c r="S142" s="11">
        <f>IF(A142&lt;Input!$B$10+0.1,IF(ROUNDUP(R142*Input!$C$10,0)=0,1,ROUNDUP(R142*Input!$C$10,0)),IF(A142&gt;Input!$B$11,IF(ROUNDUP(R142*Input!$C$11,0)=0,1,ROUNDUP(R142*Input!$C$11,0)),IF(ROUNDUP(R142,0)=0,1,ROUNDUP(R142,0))))</f>
        <v>1</v>
      </c>
      <c r="T142" s="11">
        <f t="shared" si="61"/>
        <v>1</v>
      </c>
      <c r="U142" s="11">
        <f>IFERROR(VLOOKUP($B142,Input!$AC$2:$AE$161,3,0),0)</f>
        <v>0</v>
      </c>
      <c r="V142" s="257">
        <f t="shared" si="66"/>
        <v>-8.9489090909090976E-2</v>
      </c>
      <c r="W142" s="264">
        <f t="shared" si="67"/>
        <v>-9.8580000000000084E-2</v>
      </c>
      <c r="X142" s="27"/>
      <c r="Y142" s="23"/>
      <c r="Z142" s="23"/>
      <c r="AA142" s="23">
        <v>0</v>
      </c>
      <c r="AB142" s="23" t="str">
        <f t="shared" ref="AB142:AG151" si="72">IF($D142=AB$1,1*$AA142,"")</f>
        <v/>
      </c>
      <c r="AC142" s="23" t="str">
        <f t="shared" si="72"/>
        <v/>
      </c>
      <c r="AD142" s="23" t="str">
        <f t="shared" si="72"/>
        <v/>
      </c>
      <c r="AE142" s="23" t="str">
        <f t="shared" si="72"/>
        <v/>
      </c>
      <c r="AF142" s="23">
        <f t="shared" si="72"/>
        <v>0</v>
      </c>
      <c r="AG142" s="23" t="str">
        <f t="shared" si="72"/>
        <v/>
      </c>
      <c r="AH142" s="23">
        <f t="shared" si="62"/>
        <v>0</v>
      </c>
      <c r="AI142" s="23">
        <f t="shared" si="63"/>
        <v>0</v>
      </c>
      <c r="AJ142" s="69">
        <v>1</v>
      </c>
      <c r="AK142" s="225">
        <v>2327.0337</v>
      </c>
      <c r="AL142" s="33">
        <v>1</v>
      </c>
      <c r="AM142" s="204">
        <v>2327.0337</v>
      </c>
      <c r="AN142" s="196"/>
      <c r="AO142" s="23"/>
      <c r="AP142" s="23"/>
      <c r="AQ142" s="23"/>
      <c r="AR142" s="23"/>
      <c r="AS142" s="23"/>
      <c r="AT142" s="23"/>
      <c r="AU142" s="23"/>
      <c r="AV142" s="23"/>
      <c r="AW142" s="23"/>
      <c r="AX142" s="23"/>
      <c r="AY142" s="23"/>
      <c r="AZ142" s="196"/>
      <c r="BA142" s="69">
        <f>IF(VLOOKUP($D142,$AO$14:AQ$19,COLUMN()-50,0)&lt;=0,1,IF($Q142&lt;0,1,ROUNDUP(IF($Q142*('Draft Center'!$L$28+'Draft Center'!$L$78-'Draft Center'!$L$82)&lt;1,1,$Q142*('Draft Center'!$L$28+'Draft Center'!$L$78-'Draft Center'!$L$82)),0)))</f>
        <v>1</v>
      </c>
      <c r="BB142" s="69">
        <f>IF(VLOOKUP($D142,$AO$14:AR$19,COLUMN()-50,0)&lt;=0,1,IF($Q142&lt;0,1,ROUNDUP(IF($Q142*('Draft Center'!$L$28+'Draft Center'!$L$78-'Draft Center'!$L$82)&lt;1,1,$Q142*('Draft Center'!$L$28+'Draft Center'!$L$78-'Draft Center'!$L$82)),0)))</f>
        <v>1</v>
      </c>
      <c r="BC142" s="69">
        <f>IF(VLOOKUP($D142,$AO$14:AS$19,COLUMN()-50,0)&lt;=0,1,IF($Q142&lt;0,1,ROUNDUP(IF($Q142*('Draft Center'!$L$28+'Draft Center'!$L$78-'Draft Center'!$L$82)&lt;1,1,$Q142*('Draft Center'!$L$28+'Draft Center'!$L$78-'Draft Center'!$L$82)),0)))</f>
        <v>1</v>
      </c>
      <c r="BD142" s="69">
        <f>IF(VLOOKUP($D142,$AO$14:AT$19,COLUMN()-50,0)&lt;=0,1,IF($Q142&lt;0,1,ROUNDUP(IF($Q142*('Draft Center'!$L$28+'Draft Center'!$L$78-'Draft Center'!$L$82)&lt;1,1,$Q142*('Draft Center'!$L$28+'Draft Center'!$L$78-'Draft Center'!$L$82)),0)))</f>
        <v>1</v>
      </c>
      <c r="BE142" s="69">
        <f>IF(VLOOKUP($D142,$AO$14:AU$19,COLUMN()-50,0)&lt;=0,1,IF($Q142&lt;0,1,ROUNDUP(IF($Q142*('Draft Center'!$L$28+'Draft Center'!$L$78-'Draft Center'!$L$82)&lt;1,1,$Q142*('Draft Center'!$L$28+'Draft Center'!$L$78-'Draft Center'!$L$82)),0)))</f>
        <v>1</v>
      </c>
      <c r="BF142" s="69">
        <f>IF(VLOOKUP($D142,$AO$14:AV$19,COLUMN()-50,0)&lt;=0,1,IF($Q142&lt;0,1,ROUNDUP(IF($Q142*('Draft Center'!$L$28+'Draft Center'!$L$78-'Draft Center'!$L$82)&lt;1,1,$Q142*('Draft Center'!$L$28+'Draft Center'!$L$78-'Draft Center'!$L$82)),0)))</f>
        <v>1</v>
      </c>
      <c r="BG142" s="69">
        <f>IF(VLOOKUP($D142,$AO$14:AW$19,COLUMN()-50,0)&lt;=0,1,IF($Q142&lt;0,1,ROUNDUP(IF($Q142*('Draft Center'!$L$28+'Draft Center'!$L$78-'Draft Center'!$L$82)&lt;1,1,$Q142*('Draft Center'!$L$28+'Draft Center'!$L$78-'Draft Center'!$L$82)),0)))</f>
        <v>1</v>
      </c>
      <c r="BH142" s="69">
        <f>IF(VLOOKUP($D142,$AO$14:AX$19,COLUMN()-50,0)&lt;=0,1,IF($Q142&lt;0,1,ROUNDUP(IF($Q142*('Draft Center'!$L$28+'Draft Center'!$L$78-'Draft Center'!$L$82)&lt;1,1,$Q142*('Draft Center'!$L$28+'Draft Center'!$L$78-'Draft Center'!$L$82)),0)))</f>
        <v>1</v>
      </c>
      <c r="BI142" s="69">
        <f>IF(VLOOKUP($D142,$AO$14:AY$19,COLUMN()-50,0)&lt;=0,1,IF($Q142&lt;0,1,ROUNDUP(IF($Q142*('Draft Center'!$L$28+'Draft Center'!$L$78-'Draft Center'!$L$82)&lt;1,1,$Q142*('Draft Center'!$L$28+'Draft Center'!$L$78-'Draft Center'!$L$82)),0)))</f>
        <v>1</v>
      </c>
      <c r="BJ142" s="196"/>
      <c r="BK142" s="23">
        <v>0</v>
      </c>
      <c r="BL142" s="23" t="str">
        <f t="shared" ref="BL142:BQ151" si="73">IF($D142=BL$1,1*$BK142,"")</f>
        <v/>
      </c>
      <c r="BM142" s="23">
        <v>0</v>
      </c>
      <c r="BN142" s="23" t="str">
        <f t="shared" si="73"/>
        <v/>
      </c>
      <c r="BO142" s="23" t="str">
        <f t="shared" si="73"/>
        <v/>
      </c>
      <c r="BP142" s="23">
        <f t="shared" si="73"/>
        <v>0</v>
      </c>
      <c r="BQ142" s="23" t="str">
        <f t="shared" si="73"/>
        <v/>
      </c>
      <c r="BR142" s="23">
        <f t="shared" si="64"/>
        <v>0</v>
      </c>
      <c r="BS142" s="23">
        <f t="shared" si="65"/>
        <v>0</v>
      </c>
      <c r="BT142" s="69">
        <v>1</v>
      </c>
      <c r="BU142" s="58">
        <v>2327.0337</v>
      </c>
      <c r="BV142" s="33">
        <v>1</v>
      </c>
      <c r="BW142" s="204">
        <v>2327.0337</v>
      </c>
      <c r="BX142" s="23"/>
      <c r="BY142" s="69">
        <v>1</v>
      </c>
      <c r="BZ142" s="69">
        <v>1.1000000000000001</v>
      </c>
      <c r="CA142" s="69">
        <v>1.1000000000000001</v>
      </c>
      <c r="CB142" s="69">
        <v>1.1000000000000001</v>
      </c>
      <c r="CC142" s="69">
        <f t="shared" si="68"/>
        <v>1.1000000000000001</v>
      </c>
      <c r="CD142" s="69">
        <f t="shared" si="69"/>
        <v>1.1000000000000001</v>
      </c>
    </row>
    <row r="143" spans="1:82" ht="15.75" customHeight="1" thickBot="1" x14ac:dyDescent="0.3">
      <c r="A143" s="6">
        <v>142</v>
      </c>
      <c r="B143" s="7" t="s">
        <v>178</v>
      </c>
      <c r="C143" s="7" t="s">
        <v>50</v>
      </c>
      <c r="D143" s="7" t="s">
        <v>147</v>
      </c>
      <c r="E143" s="50">
        <v>-13.7709862441253</v>
      </c>
      <c r="F143" s="50">
        <v>117.59800218684801</v>
      </c>
      <c r="G143" s="50">
        <v>124.72442886520901</v>
      </c>
      <c r="H143" s="50">
        <v>109.907413781763</v>
      </c>
      <c r="I143" s="8">
        <v>0</v>
      </c>
      <c r="J143" s="50">
        <v>6.1346834325283597</v>
      </c>
      <c r="K143" s="248">
        <f>IFERROR(VLOOKUP(C143,Schedule!$T$3:$U$34,2,0),"FA")</f>
        <v>6</v>
      </c>
      <c r="L143" s="7" t="str">
        <f>D143&amp;COUNTIF(D$2:$D143,D143)</f>
        <v>K23</v>
      </c>
      <c r="M143" s="50">
        <f t="array" ref="M143">IFERROR(F143-AVERAGE(VLOOKUP(D143,$D144:$F$885,3,0),INDEX($F144:$F$885,SMALL(IF(D143=$D144:$D$885,ROW($D144:$D$885)-ROW(D143)),2))),0)</f>
        <v>11.602208284355001</v>
      </c>
      <c r="N143" s="50">
        <f>IFERROR(IF(VLOOKUP($B143,Input!$AC$2:$AC$162,1,0)=$B143,0),F143)</f>
        <v>117.59800218684801</v>
      </c>
      <c r="O143" s="50">
        <f>IFERROR(IF(VLOOKUP($B143,Input!$AC$2:$AC$162,1,0)=$B143,0,G143),G143)</f>
        <v>124.72442886520901</v>
      </c>
      <c r="P143" s="50">
        <f>IF(N143=0,0,F143-AVERAGE(INDEX(F:F,MATCH(VLOOKUP(D143,Input!$A$14:$L$22,10,0),L:L,0)),INDEX(F:F,MATCH(VLOOKUP(D143,Input!$A$14:$L$22,11,0),L:L,0)),INDEX(F:F,MATCH(VLOOKUP(D143,Input!$A$14:$L$22,12,0),L:L,0)))+(0.01-ROW()*0.01))</f>
        <v>-15.364979395279986</v>
      </c>
      <c r="Q143" s="106">
        <f t="shared" si="60"/>
        <v>-5.3008094288943637E-3</v>
      </c>
      <c r="R143" s="8">
        <f>IF(VLOOKUP($D143,$X$14:$Y$19,2,0)&lt;=0,1,IF(Q143&lt;0,1,ROUNDUP(IF(Q143*('Draft Center'!$L$28+'Draft Center'!$L$78-'Draft Center'!$L$82)&lt;1,1,Q143*('Draft Center'!$L$28+'Draft Center'!$L$78-'Draft Center'!$L$82)),0)))</f>
        <v>1</v>
      </c>
      <c r="S143" s="8">
        <f>IF(A143&lt;Input!$B$10+0.1,IF(ROUNDUP(R143*Input!$C$10,0)=0,1,ROUNDUP(R143*Input!$C$10,0)),IF(A143&gt;Input!$B$11,IF(ROUNDUP(R143*Input!$C$11,0)=0,1,ROUNDUP(R143*Input!$C$11,0)),IF(ROUNDUP(R143,0)=0,1,ROUNDUP(R143,0))))</f>
        <v>1</v>
      </c>
      <c r="T143" s="8">
        <f t="shared" si="61"/>
        <v>1</v>
      </c>
      <c r="U143" s="8">
        <f>IFERROR(VLOOKUP($B143,Input!$AC$2:$AE$161,3,0),0)</f>
        <v>0</v>
      </c>
      <c r="V143" s="256">
        <f t="shared" si="66"/>
        <v>0</v>
      </c>
      <c r="W143" s="263">
        <f t="shared" si="67"/>
        <v>1.00143</v>
      </c>
      <c r="X143" s="27"/>
      <c r="Y143" s="23"/>
      <c r="Z143" s="23"/>
      <c r="AA143" s="23">
        <v>0</v>
      </c>
      <c r="AB143" s="23" t="str">
        <f t="shared" si="72"/>
        <v/>
      </c>
      <c r="AC143" s="23" t="str">
        <f t="shared" si="72"/>
        <v/>
      </c>
      <c r="AD143" s="23" t="str">
        <f t="shared" si="72"/>
        <v/>
      </c>
      <c r="AE143" s="23" t="str">
        <f t="shared" si="72"/>
        <v/>
      </c>
      <c r="AF143" s="23" t="str">
        <f t="shared" si="72"/>
        <v/>
      </c>
      <c r="AG143" s="23">
        <f t="shared" si="72"/>
        <v>0</v>
      </c>
      <c r="AH143" s="23">
        <f t="shared" si="62"/>
        <v>0</v>
      </c>
      <c r="AI143" s="23">
        <f t="shared" si="63"/>
        <v>0</v>
      </c>
      <c r="AJ143" s="70">
        <v>1</v>
      </c>
      <c r="AK143" s="225">
        <v>2327.0337</v>
      </c>
      <c r="AL143" s="33">
        <v>1</v>
      </c>
      <c r="AM143" s="204">
        <v>2327.0337</v>
      </c>
      <c r="AN143" s="196"/>
      <c r="AO143" s="23"/>
      <c r="AP143" s="23"/>
      <c r="AQ143" s="23"/>
      <c r="AR143" s="23"/>
      <c r="AS143" s="23"/>
      <c r="AT143" s="23"/>
      <c r="AU143" s="23"/>
      <c r="AV143" s="23"/>
      <c r="AW143" s="23"/>
      <c r="AX143" s="23"/>
      <c r="AY143" s="23"/>
      <c r="AZ143" s="196"/>
      <c r="BA143" s="70">
        <f>IF(VLOOKUP($D143,$AO$14:AQ$19,COLUMN()-50,0)&lt;=0,1,IF($Q143&lt;0,1,ROUNDUP(IF($Q143*('Draft Center'!$L$28+'Draft Center'!$L$78-'Draft Center'!$L$82)&lt;1,1,$Q143*('Draft Center'!$L$28+'Draft Center'!$L$78-'Draft Center'!$L$82)),0)))</f>
        <v>1</v>
      </c>
      <c r="BB143" s="70">
        <f>IF(VLOOKUP($D143,$AO$14:AR$19,COLUMN()-50,0)&lt;=0,1,IF($Q143&lt;0,1,ROUNDUP(IF($Q143*('Draft Center'!$L$28+'Draft Center'!$L$78-'Draft Center'!$L$82)&lt;1,1,$Q143*('Draft Center'!$L$28+'Draft Center'!$L$78-'Draft Center'!$L$82)),0)))</f>
        <v>1</v>
      </c>
      <c r="BC143" s="70">
        <f>IF(VLOOKUP($D143,$AO$14:AS$19,COLUMN()-50,0)&lt;=0,1,IF($Q143&lt;0,1,ROUNDUP(IF($Q143*('Draft Center'!$L$28+'Draft Center'!$L$78-'Draft Center'!$L$82)&lt;1,1,$Q143*('Draft Center'!$L$28+'Draft Center'!$L$78-'Draft Center'!$L$82)),0)))</f>
        <v>1</v>
      </c>
      <c r="BD143" s="70">
        <f>IF(VLOOKUP($D143,$AO$14:AT$19,COLUMN()-50,0)&lt;=0,1,IF($Q143&lt;0,1,ROUNDUP(IF($Q143*('Draft Center'!$L$28+'Draft Center'!$L$78-'Draft Center'!$L$82)&lt;1,1,$Q143*('Draft Center'!$L$28+'Draft Center'!$L$78-'Draft Center'!$L$82)),0)))</f>
        <v>1</v>
      </c>
      <c r="BE143" s="70">
        <f>IF(VLOOKUP($D143,$AO$14:AU$19,COLUMN()-50,0)&lt;=0,1,IF($Q143&lt;0,1,ROUNDUP(IF($Q143*('Draft Center'!$L$28+'Draft Center'!$L$78-'Draft Center'!$L$82)&lt;1,1,$Q143*('Draft Center'!$L$28+'Draft Center'!$L$78-'Draft Center'!$L$82)),0)))</f>
        <v>1</v>
      </c>
      <c r="BF143" s="70">
        <f>IF(VLOOKUP($D143,$AO$14:AV$19,COLUMN()-50,0)&lt;=0,1,IF($Q143&lt;0,1,ROUNDUP(IF($Q143*('Draft Center'!$L$28+'Draft Center'!$L$78-'Draft Center'!$L$82)&lt;1,1,$Q143*('Draft Center'!$L$28+'Draft Center'!$L$78-'Draft Center'!$L$82)),0)))</f>
        <v>1</v>
      </c>
      <c r="BG143" s="70">
        <f>IF(VLOOKUP($D143,$AO$14:AW$19,COLUMN()-50,0)&lt;=0,1,IF($Q143&lt;0,1,ROUNDUP(IF($Q143*('Draft Center'!$L$28+'Draft Center'!$L$78-'Draft Center'!$L$82)&lt;1,1,$Q143*('Draft Center'!$L$28+'Draft Center'!$L$78-'Draft Center'!$L$82)),0)))</f>
        <v>1</v>
      </c>
      <c r="BH143" s="70">
        <f>IF(VLOOKUP($D143,$AO$14:AX$19,COLUMN()-50,0)&lt;=0,1,IF($Q143&lt;0,1,ROUNDUP(IF($Q143*('Draft Center'!$L$28+'Draft Center'!$L$78-'Draft Center'!$L$82)&lt;1,1,$Q143*('Draft Center'!$L$28+'Draft Center'!$L$78-'Draft Center'!$L$82)),0)))</f>
        <v>1</v>
      </c>
      <c r="BI143" s="70">
        <f>IF(VLOOKUP($D143,$AO$14:AY$19,COLUMN()-50,0)&lt;=0,1,IF($Q143&lt;0,1,ROUNDUP(IF($Q143*('Draft Center'!$L$28+'Draft Center'!$L$78-'Draft Center'!$L$82)&lt;1,1,$Q143*('Draft Center'!$L$28+'Draft Center'!$L$78-'Draft Center'!$L$82)),0)))</f>
        <v>1</v>
      </c>
      <c r="BJ143" s="196"/>
      <c r="BK143" s="23">
        <v>0</v>
      </c>
      <c r="BL143" s="23" t="str">
        <f t="shared" si="73"/>
        <v/>
      </c>
      <c r="BM143" s="23">
        <v>0</v>
      </c>
      <c r="BN143" s="23" t="str">
        <f t="shared" si="73"/>
        <v/>
      </c>
      <c r="BO143" s="23" t="str">
        <f t="shared" si="73"/>
        <v/>
      </c>
      <c r="BP143" s="23" t="str">
        <f t="shared" si="73"/>
        <v/>
      </c>
      <c r="BQ143" s="23">
        <f t="shared" si="73"/>
        <v>0</v>
      </c>
      <c r="BR143" s="23">
        <f t="shared" si="64"/>
        <v>0</v>
      </c>
      <c r="BS143" s="23">
        <f t="shared" si="65"/>
        <v>0</v>
      </c>
      <c r="BT143" s="70">
        <v>1</v>
      </c>
      <c r="BU143" s="58">
        <v>2327.0337</v>
      </c>
      <c r="BV143" s="33">
        <v>1</v>
      </c>
      <c r="BW143" s="204">
        <v>2327.0337</v>
      </c>
      <c r="BX143" s="23"/>
      <c r="BY143" s="70">
        <v>1</v>
      </c>
      <c r="BZ143" s="70">
        <v>0</v>
      </c>
      <c r="CA143" s="70">
        <v>0</v>
      </c>
      <c r="CB143" s="70">
        <v>0</v>
      </c>
      <c r="CC143" s="70">
        <f t="shared" si="68"/>
        <v>0</v>
      </c>
      <c r="CD143" s="70">
        <f t="shared" si="69"/>
        <v>0</v>
      </c>
    </row>
    <row r="144" spans="1:82" ht="15.75" customHeight="1" thickBot="1" x14ac:dyDescent="0.3">
      <c r="A144" s="9">
        <v>143</v>
      </c>
      <c r="B144" s="10" t="s">
        <v>193</v>
      </c>
      <c r="C144" s="10" t="s">
        <v>29</v>
      </c>
      <c r="D144" s="10" t="s">
        <v>135</v>
      </c>
      <c r="E144" s="51">
        <v>-14.256873584050799</v>
      </c>
      <c r="F144" s="51">
        <v>94.474685092886304</v>
      </c>
      <c r="G144" s="51">
        <v>105.90121802325601</v>
      </c>
      <c r="H144" s="51">
        <v>71.8</v>
      </c>
      <c r="I144" s="11">
        <v>0</v>
      </c>
      <c r="J144" s="51">
        <v>4.0434205738116198</v>
      </c>
      <c r="K144" s="249">
        <f>IFERROR(VLOOKUP(C144,Schedule!$T$3:$U$34,2,0),"FA")</f>
        <v>8</v>
      </c>
      <c r="L144" s="10" t="str">
        <f>D144&amp;COUNTIF(D$2:$D144,D144)</f>
        <v>DST25</v>
      </c>
      <c r="M144" s="51">
        <f t="array" ref="M144">IFERROR(F144-AVERAGE(VLOOKUP(D144,$D145:$F$885,3,0),INDEX($F145:$F$885,SMALL(IF(D144=$D145:$D$885,ROW($D145:$D$885)-ROW(D144)),2))),0)</f>
        <v>2.0102129587676103</v>
      </c>
      <c r="N144" s="51">
        <f>IFERROR(IF(VLOOKUP($B144,Input!$AC$2:$AC$162,1,0)=$B144,0),F144)</f>
        <v>94.474685092886304</v>
      </c>
      <c r="O144" s="51">
        <f>IFERROR(IF(VLOOKUP($B144,Input!$AC$2:$AC$162,1,0)=$B144,0,G144),G144)</f>
        <v>105.90121802325601</v>
      </c>
      <c r="P144" s="51">
        <f>IF(N144=0,0,F144-AVERAGE(INDEX(F:F,MATCH(VLOOKUP(D144,Input!$A$14:$L$22,10,0),L:L,0)),INDEX(F:F,MATCH(VLOOKUP(D144,Input!$A$14:$L$22,11,0),L:L,0)),INDEX(F:F,MATCH(VLOOKUP(D144,Input!$A$14:$L$22,12,0),L:L,0)))+(0.01-ROW()*0.01))</f>
        <v>-14.643701857725709</v>
      </c>
      <c r="Q144" s="107">
        <f t="shared" si="60"/>
        <v>-5.0519737699873347E-3</v>
      </c>
      <c r="R144" s="11">
        <f>IF(VLOOKUP($D144,$X$14:$Y$19,2,0)&lt;=0,1,IF(Q144&lt;0,1,ROUNDUP(IF(Q144*('Draft Center'!$L$28+'Draft Center'!$L$78-'Draft Center'!$L$82)&lt;1,1,Q144*('Draft Center'!$L$28+'Draft Center'!$L$78-'Draft Center'!$L$82)),0)))</f>
        <v>1</v>
      </c>
      <c r="S144" s="11">
        <f>IF(A144&lt;Input!$B$10+0.1,IF(ROUNDUP(R144*Input!$C$10,0)=0,1,ROUNDUP(R144*Input!$C$10,0)),IF(A144&gt;Input!$B$11,IF(ROUNDUP(R144*Input!$C$11,0)=0,1,ROUNDUP(R144*Input!$C$11,0)),IF(ROUNDUP(R144,0)=0,1,ROUNDUP(R144,0))))</f>
        <v>1</v>
      </c>
      <c r="T144" s="11">
        <f t="shared" si="61"/>
        <v>1</v>
      </c>
      <c r="U144" s="11">
        <f>IFERROR(VLOOKUP($B144,Input!$AC$2:$AE$161,3,0),0)</f>
        <v>0</v>
      </c>
      <c r="V144" s="257">
        <f t="shared" si="66"/>
        <v>0</v>
      </c>
      <c r="W144" s="264">
        <f t="shared" si="67"/>
        <v>1.0014400000000001</v>
      </c>
      <c r="X144" s="27"/>
      <c r="Y144" s="23"/>
      <c r="Z144" s="23"/>
      <c r="AA144" s="23">
        <v>0</v>
      </c>
      <c r="AB144" s="23" t="str">
        <f t="shared" si="72"/>
        <v/>
      </c>
      <c r="AC144" s="23" t="str">
        <f t="shared" si="72"/>
        <v/>
      </c>
      <c r="AD144" s="23" t="str">
        <f t="shared" si="72"/>
        <v/>
      </c>
      <c r="AE144" s="23" t="str">
        <f t="shared" si="72"/>
        <v/>
      </c>
      <c r="AF144" s="23">
        <f t="shared" si="72"/>
        <v>0</v>
      </c>
      <c r="AG144" s="23" t="str">
        <f t="shared" si="72"/>
        <v/>
      </c>
      <c r="AH144" s="23">
        <f t="shared" si="62"/>
        <v>0</v>
      </c>
      <c r="AI144" s="23">
        <f t="shared" si="63"/>
        <v>0</v>
      </c>
      <c r="AJ144" s="69">
        <v>1</v>
      </c>
      <c r="AK144" s="225">
        <v>2327.0337</v>
      </c>
      <c r="AL144" s="33">
        <v>1</v>
      </c>
      <c r="AM144" s="204">
        <v>2327.0337</v>
      </c>
      <c r="AN144" s="196"/>
      <c r="AO144" s="23"/>
      <c r="AP144" s="23"/>
      <c r="AQ144" s="23"/>
      <c r="AR144" s="23"/>
      <c r="AS144" s="23"/>
      <c r="AT144" s="23"/>
      <c r="AU144" s="23"/>
      <c r="AV144" s="23"/>
      <c r="AW144" s="23"/>
      <c r="AX144" s="23"/>
      <c r="AY144" s="23"/>
      <c r="AZ144" s="196"/>
      <c r="BA144" s="69">
        <f>IF(VLOOKUP($D144,$AO$14:AQ$19,COLUMN()-50,0)&lt;=0,1,IF($Q144&lt;0,1,ROUNDUP(IF($Q144*('Draft Center'!$L$28+'Draft Center'!$L$78-'Draft Center'!$L$82)&lt;1,1,$Q144*('Draft Center'!$L$28+'Draft Center'!$L$78-'Draft Center'!$L$82)),0)))</f>
        <v>1</v>
      </c>
      <c r="BB144" s="69">
        <f>IF(VLOOKUP($D144,$AO$14:AR$19,COLUMN()-50,0)&lt;=0,1,IF($Q144&lt;0,1,ROUNDUP(IF($Q144*('Draft Center'!$L$28+'Draft Center'!$L$78-'Draft Center'!$L$82)&lt;1,1,$Q144*('Draft Center'!$L$28+'Draft Center'!$L$78-'Draft Center'!$L$82)),0)))</f>
        <v>1</v>
      </c>
      <c r="BC144" s="69">
        <f>IF(VLOOKUP($D144,$AO$14:AS$19,COLUMN()-50,0)&lt;=0,1,IF($Q144&lt;0,1,ROUNDUP(IF($Q144*('Draft Center'!$L$28+'Draft Center'!$L$78-'Draft Center'!$L$82)&lt;1,1,$Q144*('Draft Center'!$L$28+'Draft Center'!$L$78-'Draft Center'!$L$82)),0)))</f>
        <v>1</v>
      </c>
      <c r="BD144" s="69">
        <f>IF(VLOOKUP($D144,$AO$14:AT$19,COLUMN()-50,0)&lt;=0,1,IF($Q144&lt;0,1,ROUNDUP(IF($Q144*('Draft Center'!$L$28+'Draft Center'!$L$78-'Draft Center'!$L$82)&lt;1,1,$Q144*('Draft Center'!$L$28+'Draft Center'!$L$78-'Draft Center'!$L$82)),0)))</f>
        <v>1</v>
      </c>
      <c r="BE144" s="69">
        <f>IF(VLOOKUP($D144,$AO$14:AU$19,COLUMN()-50,0)&lt;=0,1,IF($Q144&lt;0,1,ROUNDUP(IF($Q144*('Draft Center'!$L$28+'Draft Center'!$L$78-'Draft Center'!$L$82)&lt;1,1,$Q144*('Draft Center'!$L$28+'Draft Center'!$L$78-'Draft Center'!$L$82)),0)))</f>
        <v>1</v>
      </c>
      <c r="BF144" s="69">
        <f>IF(VLOOKUP($D144,$AO$14:AV$19,COLUMN()-50,0)&lt;=0,1,IF($Q144&lt;0,1,ROUNDUP(IF($Q144*('Draft Center'!$L$28+'Draft Center'!$L$78-'Draft Center'!$L$82)&lt;1,1,$Q144*('Draft Center'!$L$28+'Draft Center'!$L$78-'Draft Center'!$L$82)),0)))</f>
        <v>1</v>
      </c>
      <c r="BG144" s="69">
        <f>IF(VLOOKUP($D144,$AO$14:AW$19,COLUMN()-50,0)&lt;=0,1,IF($Q144&lt;0,1,ROUNDUP(IF($Q144*('Draft Center'!$L$28+'Draft Center'!$L$78-'Draft Center'!$L$82)&lt;1,1,$Q144*('Draft Center'!$L$28+'Draft Center'!$L$78-'Draft Center'!$L$82)),0)))</f>
        <v>1</v>
      </c>
      <c r="BH144" s="69">
        <f>IF(VLOOKUP($D144,$AO$14:AX$19,COLUMN()-50,0)&lt;=0,1,IF($Q144&lt;0,1,ROUNDUP(IF($Q144*('Draft Center'!$L$28+'Draft Center'!$L$78-'Draft Center'!$L$82)&lt;1,1,$Q144*('Draft Center'!$L$28+'Draft Center'!$L$78-'Draft Center'!$L$82)),0)))</f>
        <v>1</v>
      </c>
      <c r="BI144" s="69">
        <f>IF(VLOOKUP($D144,$AO$14:AY$19,COLUMN()-50,0)&lt;=0,1,IF($Q144&lt;0,1,ROUNDUP(IF($Q144*('Draft Center'!$L$28+'Draft Center'!$L$78-'Draft Center'!$L$82)&lt;1,1,$Q144*('Draft Center'!$L$28+'Draft Center'!$L$78-'Draft Center'!$L$82)),0)))</f>
        <v>1</v>
      </c>
      <c r="BJ144" s="196"/>
      <c r="BK144" s="23">
        <v>0</v>
      </c>
      <c r="BL144" s="23" t="str">
        <f t="shared" si="73"/>
        <v/>
      </c>
      <c r="BM144" s="23">
        <v>0</v>
      </c>
      <c r="BN144" s="23" t="str">
        <f t="shared" si="73"/>
        <v/>
      </c>
      <c r="BO144" s="23" t="str">
        <f t="shared" si="73"/>
        <v/>
      </c>
      <c r="BP144" s="23">
        <f t="shared" si="73"/>
        <v>0</v>
      </c>
      <c r="BQ144" s="23" t="str">
        <f t="shared" si="73"/>
        <v/>
      </c>
      <c r="BR144" s="23">
        <f t="shared" si="64"/>
        <v>0</v>
      </c>
      <c r="BS144" s="23">
        <f t="shared" si="65"/>
        <v>0</v>
      </c>
      <c r="BT144" s="69">
        <v>1</v>
      </c>
      <c r="BU144" s="58">
        <v>2327.0337</v>
      </c>
      <c r="BV144" s="33">
        <v>1</v>
      </c>
      <c r="BW144" s="204">
        <v>2327.0337</v>
      </c>
      <c r="BX144" s="23"/>
      <c r="BY144" s="69">
        <v>1</v>
      </c>
      <c r="BZ144" s="69">
        <v>0</v>
      </c>
      <c r="CA144" s="69">
        <v>0</v>
      </c>
      <c r="CB144" s="69">
        <v>0</v>
      </c>
      <c r="CC144" s="69">
        <f t="shared" si="68"/>
        <v>0</v>
      </c>
      <c r="CD144" s="69">
        <f t="shared" si="69"/>
        <v>0</v>
      </c>
    </row>
    <row r="145" spans="1:82" ht="15.75" customHeight="1" thickBot="1" x14ac:dyDescent="0.3">
      <c r="A145" s="6">
        <v>144</v>
      </c>
      <c r="B145" s="7" t="s">
        <v>755</v>
      </c>
      <c r="C145" s="7" t="s">
        <v>61</v>
      </c>
      <c r="D145" s="7" t="s">
        <v>17</v>
      </c>
      <c r="E145" s="50">
        <v>-14.4408976498403</v>
      </c>
      <c r="F145" s="50">
        <v>198.337018619509</v>
      </c>
      <c r="G145" s="50">
        <v>209.39730444790399</v>
      </c>
      <c r="H145" s="50">
        <v>181.928891578085</v>
      </c>
      <c r="I145" s="8">
        <v>3.4</v>
      </c>
      <c r="J145" s="50">
        <v>3.61281298682841</v>
      </c>
      <c r="K145" s="248">
        <f>IFERROR(VLOOKUP(C145,Schedule!$T$3:$U$34,2,0),"FA")</f>
        <v>5</v>
      </c>
      <c r="L145" s="7" t="str">
        <f>D145&amp;COUNTIF(D$2:$D145,D145)</f>
        <v>WR33</v>
      </c>
      <c r="M145" s="50">
        <f t="array" ref="M145">IFERROR(F145-AVERAGE(VLOOKUP(D145,$D146:$F$885,3,0),INDEX($F146:$F$885,SMALL(IF(D145=$D146:$D$885,ROW($D146:$D$885)-ROW(D145)),2))),0)</f>
        <v>5.4980411600940045</v>
      </c>
      <c r="N145" s="50">
        <f>IFERROR(IF(VLOOKUP($B145,Input!$AC$2:$AC$162,1,0)=$B145,0),F145)</f>
        <v>198.337018619509</v>
      </c>
      <c r="O145" s="50">
        <f>IFERROR(IF(VLOOKUP($B145,Input!$AC$2:$AC$162,1,0)=$B145,0,G145),G145)</f>
        <v>209.39730444790399</v>
      </c>
      <c r="P145" s="50">
        <f>IF(N145=0,0,F145-AVERAGE(INDEX(F:F,MATCH(VLOOKUP(D145,Input!$A$14:$L$22,10,0),L:L,0)),INDEX(F:F,MATCH(VLOOKUP(D145,Input!$A$14:$L$22,11,0),L:L,0)),INDEX(F:F,MATCH(VLOOKUP(D145,Input!$A$14:$L$22,12,0),L:L,0)))+(0.01-ROW()*0.01))</f>
        <v>-15.880897649840024</v>
      </c>
      <c r="Q145" s="106">
        <f t="shared" si="60"/>
        <v>-5.4787975848140961E-3</v>
      </c>
      <c r="R145" s="8">
        <f>IF(VLOOKUP($D145,$X$14:$Y$19,2,0)&lt;=0,1,IF(Q145&lt;0,1,ROUNDUP(IF(Q145*('Draft Center'!$L$28+'Draft Center'!$L$78-'Draft Center'!$L$82)&lt;1,1,Q145*('Draft Center'!$L$28+'Draft Center'!$L$78-'Draft Center'!$L$82)),0)))</f>
        <v>1</v>
      </c>
      <c r="S145" s="8">
        <f>IF(A145&lt;Input!$B$10+0.1,IF(ROUNDUP(R145*Input!$C$10,0)=0,1,ROUNDUP(R145*Input!$C$10,0)),IF(A145&gt;Input!$B$11,IF(ROUNDUP(R145*Input!$C$11,0)=0,1,ROUNDUP(R145*Input!$C$11,0)),IF(ROUNDUP(R145,0)=0,1,ROUNDUP(R145,0))))</f>
        <v>1</v>
      </c>
      <c r="T145" s="8">
        <f t="shared" si="61"/>
        <v>1</v>
      </c>
      <c r="U145" s="8">
        <f>IFERROR(VLOOKUP($B145,Input!$AC$2:$AE$161,3,0),0)</f>
        <v>0</v>
      </c>
      <c r="V145" s="256">
        <f t="shared" si="66"/>
        <v>-0.70443235294117656</v>
      </c>
      <c r="W145" s="263">
        <f t="shared" si="67"/>
        <v>-2.3985499999999997</v>
      </c>
      <c r="X145" s="27"/>
      <c r="Y145" s="23"/>
      <c r="Z145" s="23"/>
      <c r="AA145" s="23">
        <v>0</v>
      </c>
      <c r="AB145" s="23" t="str">
        <f t="shared" si="72"/>
        <v/>
      </c>
      <c r="AC145" s="23" t="str">
        <f t="shared" si="72"/>
        <v/>
      </c>
      <c r="AD145" s="23">
        <f t="shared" si="72"/>
        <v>0</v>
      </c>
      <c r="AE145" s="23" t="str">
        <f t="shared" si="72"/>
        <v/>
      </c>
      <c r="AF145" s="23" t="str">
        <f t="shared" si="72"/>
        <v/>
      </c>
      <c r="AG145" s="23" t="str">
        <f t="shared" si="72"/>
        <v/>
      </c>
      <c r="AH145" s="23">
        <f t="shared" si="62"/>
        <v>0</v>
      </c>
      <c r="AI145" s="23">
        <f t="shared" si="63"/>
        <v>0</v>
      </c>
      <c r="AJ145" s="70">
        <v>1</v>
      </c>
      <c r="AK145" s="225">
        <v>2327.0337</v>
      </c>
      <c r="AL145" s="33">
        <v>1</v>
      </c>
      <c r="AM145" s="204">
        <v>2327.0337</v>
      </c>
      <c r="AN145" s="196"/>
      <c r="AO145" s="23"/>
      <c r="AP145" s="23"/>
      <c r="AQ145" s="23"/>
      <c r="AR145" s="23"/>
      <c r="AS145" s="23"/>
      <c r="AT145" s="23"/>
      <c r="AU145" s="23"/>
      <c r="AV145" s="23"/>
      <c r="AW145" s="23"/>
      <c r="AX145" s="23"/>
      <c r="AY145" s="23"/>
      <c r="AZ145" s="196"/>
      <c r="BA145" s="70">
        <f>IF(VLOOKUP($D145,$AO$14:AQ$19,COLUMN()-50,0)&lt;=0,1,IF($Q145&lt;0,1,ROUNDUP(IF($Q145*('Draft Center'!$L$28+'Draft Center'!$L$78-'Draft Center'!$L$82)&lt;1,1,$Q145*('Draft Center'!$L$28+'Draft Center'!$L$78-'Draft Center'!$L$82)),0)))</f>
        <v>1</v>
      </c>
      <c r="BB145" s="70">
        <f>IF(VLOOKUP($D145,$AO$14:AR$19,COLUMN()-50,0)&lt;=0,1,IF($Q145&lt;0,1,ROUNDUP(IF($Q145*('Draft Center'!$L$28+'Draft Center'!$L$78-'Draft Center'!$L$82)&lt;1,1,$Q145*('Draft Center'!$L$28+'Draft Center'!$L$78-'Draft Center'!$L$82)),0)))</f>
        <v>1</v>
      </c>
      <c r="BC145" s="70">
        <f>IF(VLOOKUP($D145,$AO$14:AS$19,COLUMN()-50,0)&lt;=0,1,IF($Q145&lt;0,1,ROUNDUP(IF($Q145*('Draft Center'!$L$28+'Draft Center'!$L$78-'Draft Center'!$L$82)&lt;1,1,$Q145*('Draft Center'!$L$28+'Draft Center'!$L$78-'Draft Center'!$L$82)),0)))</f>
        <v>1</v>
      </c>
      <c r="BD145" s="70">
        <f>IF(VLOOKUP($D145,$AO$14:AT$19,COLUMN()-50,0)&lt;=0,1,IF($Q145&lt;0,1,ROUNDUP(IF($Q145*('Draft Center'!$L$28+'Draft Center'!$L$78-'Draft Center'!$L$82)&lt;1,1,$Q145*('Draft Center'!$L$28+'Draft Center'!$L$78-'Draft Center'!$L$82)),0)))</f>
        <v>1</v>
      </c>
      <c r="BE145" s="70">
        <f>IF(VLOOKUP($D145,$AO$14:AU$19,COLUMN()-50,0)&lt;=0,1,IF($Q145&lt;0,1,ROUNDUP(IF($Q145*('Draft Center'!$L$28+'Draft Center'!$L$78-'Draft Center'!$L$82)&lt;1,1,$Q145*('Draft Center'!$L$28+'Draft Center'!$L$78-'Draft Center'!$L$82)),0)))</f>
        <v>1</v>
      </c>
      <c r="BF145" s="70">
        <f>IF(VLOOKUP($D145,$AO$14:AV$19,COLUMN()-50,0)&lt;=0,1,IF($Q145&lt;0,1,ROUNDUP(IF($Q145*('Draft Center'!$L$28+'Draft Center'!$L$78-'Draft Center'!$L$82)&lt;1,1,$Q145*('Draft Center'!$L$28+'Draft Center'!$L$78-'Draft Center'!$L$82)),0)))</f>
        <v>1</v>
      </c>
      <c r="BG145" s="70">
        <f>IF(VLOOKUP($D145,$AO$14:AW$19,COLUMN()-50,0)&lt;=0,1,IF($Q145&lt;0,1,ROUNDUP(IF($Q145*('Draft Center'!$L$28+'Draft Center'!$L$78-'Draft Center'!$L$82)&lt;1,1,$Q145*('Draft Center'!$L$28+'Draft Center'!$L$78-'Draft Center'!$L$82)),0)))</f>
        <v>1</v>
      </c>
      <c r="BH145" s="70">
        <f>IF(VLOOKUP($D145,$AO$14:AX$19,COLUMN()-50,0)&lt;=0,1,IF($Q145&lt;0,1,ROUNDUP(IF($Q145*('Draft Center'!$L$28+'Draft Center'!$L$78-'Draft Center'!$L$82)&lt;1,1,$Q145*('Draft Center'!$L$28+'Draft Center'!$L$78-'Draft Center'!$L$82)),0)))</f>
        <v>1</v>
      </c>
      <c r="BI145" s="70">
        <f>IF(VLOOKUP($D145,$AO$14:AY$19,COLUMN()-50,0)&lt;=0,1,IF($Q145&lt;0,1,ROUNDUP(IF($Q145*('Draft Center'!$L$28+'Draft Center'!$L$78-'Draft Center'!$L$82)&lt;1,1,$Q145*('Draft Center'!$L$28+'Draft Center'!$L$78-'Draft Center'!$L$82)),0)))</f>
        <v>1</v>
      </c>
      <c r="BJ145" s="196"/>
      <c r="BK145" s="23">
        <v>0</v>
      </c>
      <c r="BL145" s="23" t="str">
        <f t="shared" si="73"/>
        <v/>
      </c>
      <c r="BM145" s="23">
        <v>0</v>
      </c>
      <c r="BN145" s="23">
        <f t="shared" si="73"/>
        <v>0</v>
      </c>
      <c r="BO145" s="23" t="str">
        <f t="shared" si="73"/>
        <v/>
      </c>
      <c r="BP145" s="23" t="str">
        <f t="shared" si="73"/>
        <v/>
      </c>
      <c r="BQ145" s="23" t="str">
        <f t="shared" si="73"/>
        <v/>
      </c>
      <c r="BR145" s="23">
        <f t="shared" si="64"/>
        <v>0</v>
      </c>
      <c r="BS145" s="23">
        <f t="shared" si="65"/>
        <v>0</v>
      </c>
      <c r="BT145" s="70">
        <v>1</v>
      </c>
      <c r="BU145" s="58">
        <v>2327.0337</v>
      </c>
      <c r="BV145" s="33">
        <v>1</v>
      </c>
      <c r="BW145" s="204">
        <v>2327.0337</v>
      </c>
      <c r="BX145" s="23"/>
      <c r="BY145" s="70">
        <v>1</v>
      </c>
      <c r="BZ145" s="70">
        <v>3.4</v>
      </c>
      <c r="CA145" s="70">
        <v>3.4</v>
      </c>
      <c r="CB145" s="70">
        <v>3.4</v>
      </c>
      <c r="CC145" s="70">
        <f t="shared" si="68"/>
        <v>3.4</v>
      </c>
      <c r="CD145" s="70">
        <f t="shared" si="69"/>
        <v>3.4</v>
      </c>
    </row>
    <row r="146" spans="1:82" ht="15.75" customHeight="1" thickBot="1" x14ac:dyDescent="0.3">
      <c r="A146" s="9">
        <v>145</v>
      </c>
      <c r="B146" s="10" t="s">
        <v>445</v>
      </c>
      <c r="C146" s="10" t="s">
        <v>42</v>
      </c>
      <c r="D146" s="10" t="s">
        <v>19</v>
      </c>
      <c r="E146" s="51">
        <v>-15.4545073614914</v>
      </c>
      <c r="F146" s="51">
        <v>153.64789066446099</v>
      </c>
      <c r="G146" s="51">
        <v>165.75425739483799</v>
      </c>
      <c r="H146" s="51">
        <v>13.170774807430901</v>
      </c>
      <c r="I146" s="11">
        <v>6.1</v>
      </c>
      <c r="J146" s="51">
        <v>8.3412672129771206</v>
      </c>
      <c r="K146" s="249">
        <f>IFERROR(VLOOKUP(C146,Schedule!$T$3:$U$34,2,0),"FA")</f>
        <v>9</v>
      </c>
      <c r="L146" s="10" t="str">
        <f>D146&amp;COUNTIF(D$2:$D146,D146)</f>
        <v>RB35</v>
      </c>
      <c r="M146" s="51">
        <f t="array" ref="M146">IFERROR(F146-AVERAGE(VLOOKUP(D146,$D147:$F$885,3,0),INDEX($F147:$F$885,SMALL(IF(D146=$D147:$D$885,ROW($D147:$D$885)-ROW(D146)),2))),0)</f>
        <v>3.9270263356519877</v>
      </c>
      <c r="N146" s="51">
        <f>IFERROR(IF(VLOOKUP($B146,Input!$AC$2:$AC$162,1,0)=$B146,0),F146)</f>
        <v>153.64789066446099</v>
      </c>
      <c r="O146" s="51">
        <f>IFERROR(IF(VLOOKUP($B146,Input!$AC$2:$AC$162,1,0)=$B146,0,G146),G146)</f>
        <v>165.75425739483799</v>
      </c>
      <c r="P146" s="51">
        <f>IF(N146=0,0,F146-AVERAGE(INDEX(F:F,MATCH(VLOOKUP(D146,Input!$A$14:$L$22,10,0),L:L,0)),INDEX(F:F,MATCH(VLOOKUP(D146,Input!$A$14:$L$22,11,0),L:L,0)),INDEX(F:F,MATCH(VLOOKUP(D146,Input!$A$14:$L$22,12,0),L:L,0)))+(0.01-ROW()*0.01))</f>
        <v>-16.90450736149101</v>
      </c>
      <c r="Q146" s="107">
        <f t="shared" si="60"/>
        <v>-5.8319357096002708E-3</v>
      </c>
      <c r="R146" s="11">
        <f>IF(VLOOKUP($D146,$X$14:$Y$19,2,0)&lt;=0,1,IF(Q146&lt;0,1,ROUNDUP(IF(Q146*('Draft Center'!$L$28+'Draft Center'!$L$78-'Draft Center'!$L$82)&lt;1,1,Q146*('Draft Center'!$L$28+'Draft Center'!$L$78-'Draft Center'!$L$82)),0)))</f>
        <v>1</v>
      </c>
      <c r="S146" s="11">
        <f>IF(A146&lt;Input!$B$10+0.1,IF(ROUNDUP(R146*Input!$C$10,0)=0,1,ROUNDUP(R146*Input!$C$10,0)),IF(A146&gt;Input!$B$11,IF(ROUNDUP(R146*Input!$C$11,0)=0,1,ROUNDUP(R146*Input!$C$11,0)),IF(ROUNDUP(R146,0)=0,1,ROUNDUP(R146,0))))</f>
        <v>1</v>
      </c>
      <c r="T146" s="11">
        <f t="shared" si="61"/>
        <v>1</v>
      </c>
      <c r="U146" s="11">
        <f>IFERROR(VLOOKUP($B146,Input!$AC$2:$AE$161,3,0),0)</f>
        <v>0</v>
      </c>
      <c r="V146" s="257">
        <f t="shared" si="66"/>
        <v>-0.83460557377049183</v>
      </c>
      <c r="W146" s="264">
        <f t="shared" si="67"/>
        <v>-5.0985399999999998</v>
      </c>
      <c r="X146" s="27"/>
      <c r="Y146" s="23"/>
      <c r="Z146" s="23"/>
      <c r="AA146" s="23">
        <v>0</v>
      </c>
      <c r="AB146" s="23" t="str">
        <f t="shared" si="72"/>
        <v/>
      </c>
      <c r="AC146" s="23">
        <f t="shared" si="72"/>
        <v>0</v>
      </c>
      <c r="AD146" s="23" t="str">
        <f t="shared" si="72"/>
        <v/>
      </c>
      <c r="AE146" s="23" t="str">
        <f t="shared" si="72"/>
        <v/>
      </c>
      <c r="AF146" s="23" t="str">
        <f t="shared" si="72"/>
        <v/>
      </c>
      <c r="AG146" s="23" t="str">
        <f t="shared" si="72"/>
        <v/>
      </c>
      <c r="AH146" s="23">
        <f t="shared" si="62"/>
        <v>0</v>
      </c>
      <c r="AI146" s="23">
        <f t="shared" si="63"/>
        <v>0</v>
      </c>
      <c r="AJ146" s="69">
        <v>1</v>
      </c>
      <c r="AK146" s="225">
        <v>2327.0337</v>
      </c>
      <c r="AL146" s="33">
        <v>1</v>
      </c>
      <c r="AM146" s="204">
        <v>2327.0337</v>
      </c>
      <c r="AN146" s="196"/>
      <c r="AO146" s="23"/>
      <c r="AP146" s="23"/>
      <c r="AQ146" s="23"/>
      <c r="AR146" s="23"/>
      <c r="AS146" s="23"/>
      <c r="AT146" s="23"/>
      <c r="AU146" s="23"/>
      <c r="AV146" s="23"/>
      <c r="AW146" s="23"/>
      <c r="AX146" s="23"/>
      <c r="AY146" s="23"/>
      <c r="AZ146" s="196"/>
      <c r="BA146" s="69">
        <f>IF(VLOOKUP($D146,$AO$14:AQ$19,COLUMN()-50,0)&lt;=0,1,IF($Q146&lt;0,1,ROUNDUP(IF($Q146*('Draft Center'!$L$28+'Draft Center'!$L$78-'Draft Center'!$L$82)&lt;1,1,$Q146*('Draft Center'!$L$28+'Draft Center'!$L$78-'Draft Center'!$L$82)),0)))</f>
        <v>1</v>
      </c>
      <c r="BB146" s="69">
        <f>IF(VLOOKUP($D146,$AO$14:AR$19,COLUMN()-50,0)&lt;=0,1,IF($Q146&lt;0,1,ROUNDUP(IF($Q146*('Draft Center'!$L$28+'Draft Center'!$L$78-'Draft Center'!$L$82)&lt;1,1,$Q146*('Draft Center'!$L$28+'Draft Center'!$L$78-'Draft Center'!$L$82)),0)))</f>
        <v>1</v>
      </c>
      <c r="BC146" s="69">
        <f>IF(VLOOKUP($D146,$AO$14:AS$19,COLUMN()-50,0)&lt;=0,1,IF($Q146&lt;0,1,ROUNDUP(IF($Q146*('Draft Center'!$L$28+'Draft Center'!$L$78-'Draft Center'!$L$82)&lt;1,1,$Q146*('Draft Center'!$L$28+'Draft Center'!$L$78-'Draft Center'!$L$82)),0)))</f>
        <v>1</v>
      </c>
      <c r="BD146" s="69">
        <f>IF(VLOOKUP($D146,$AO$14:AT$19,COLUMN()-50,0)&lt;=0,1,IF($Q146&lt;0,1,ROUNDUP(IF($Q146*('Draft Center'!$L$28+'Draft Center'!$L$78-'Draft Center'!$L$82)&lt;1,1,$Q146*('Draft Center'!$L$28+'Draft Center'!$L$78-'Draft Center'!$L$82)),0)))</f>
        <v>1</v>
      </c>
      <c r="BE146" s="69">
        <f>IF(VLOOKUP($D146,$AO$14:AU$19,COLUMN()-50,0)&lt;=0,1,IF($Q146&lt;0,1,ROUNDUP(IF($Q146*('Draft Center'!$L$28+'Draft Center'!$L$78-'Draft Center'!$L$82)&lt;1,1,$Q146*('Draft Center'!$L$28+'Draft Center'!$L$78-'Draft Center'!$L$82)),0)))</f>
        <v>1</v>
      </c>
      <c r="BF146" s="69">
        <f>IF(VLOOKUP($D146,$AO$14:AV$19,COLUMN()-50,0)&lt;=0,1,IF($Q146&lt;0,1,ROUNDUP(IF($Q146*('Draft Center'!$L$28+'Draft Center'!$L$78-'Draft Center'!$L$82)&lt;1,1,$Q146*('Draft Center'!$L$28+'Draft Center'!$L$78-'Draft Center'!$L$82)),0)))</f>
        <v>1</v>
      </c>
      <c r="BG146" s="69">
        <f>IF(VLOOKUP($D146,$AO$14:AW$19,COLUMN()-50,0)&lt;=0,1,IF($Q146&lt;0,1,ROUNDUP(IF($Q146*('Draft Center'!$L$28+'Draft Center'!$L$78-'Draft Center'!$L$82)&lt;1,1,$Q146*('Draft Center'!$L$28+'Draft Center'!$L$78-'Draft Center'!$L$82)),0)))</f>
        <v>1</v>
      </c>
      <c r="BH146" s="69">
        <f>IF(VLOOKUP($D146,$AO$14:AX$19,COLUMN()-50,0)&lt;=0,1,IF($Q146&lt;0,1,ROUNDUP(IF($Q146*('Draft Center'!$L$28+'Draft Center'!$L$78-'Draft Center'!$L$82)&lt;1,1,$Q146*('Draft Center'!$L$28+'Draft Center'!$L$78-'Draft Center'!$L$82)),0)))</f>
        <v>1</v>
      </c>
      <c r="BI146" s="69">
        <f>IF(VLOOKUP($D146,$AO$14:AY$19,COLUMN()-50,0)&lt;=0,1,IF($Q146&lt;0,1,ROUNDUP(IF($Q146*('Draft Center'!$L$28+'Draft Center'!$L$78-'Draft Center'!$L$82)&lt;1,1,$Q146*('Draft Center'!$L$28+'Draft Center'!$L$78-'Draft Center'!$L$82)),0)))</f>
        <v>1</v>
      </c>
      <c r="BJ146" s="196"/>
      <c r="BK146" s="23">
        <v>0</v>
      </c>
      <c r="BL146" s="23" t="str">
        <f t="shared" si="73"/>
        <v/>
      </c>
      <c r="BM146" s="23">
        <v>0</v>
      </c>
      <c r="BN146" s="23" t="str">
        <f t="shared" si="73"/>
        <v/>
      </c>
      <c r="BO146" s="23" t="str">
        <f t="shared" si="73"/>
        <v/>
      </c>
      <c r="BP146" s="23" t="str">
        <f t="shared" si="73"/>
        <v/>
      </c>
      <c r="BQ146" s="23" t="str">
        <f t="shared" si="73"/>
        <v/>
      </c>
      <c r="BR146" s="23">
        <f t="shared" si="64"/>
        <v>0</v>
      </c>
      <c r="BS146" s="23">
        <f t="shared" si="65"/>
        <v>0</v>
      </c>
      <c r="BT146" s="69">
        <v>1</v>
      </c>
      <c r="BU146" s="58">
        <v>2327.0337</v>
      </c>
      <c r="BV146" s="33">
        <v>1</v>
      </c>
      <c r="BW146" s="204">
        <v>2327.0337</v>
      </c>
      <c r="BX146" s="23"/>
      <c r="BY146" s="69">
        <v>1</v>
      </c>
      <c r="BZ146" s="69">
        <v>6.1</v>
      </c>
      <c r="CA146" s="69">
        <v>6.1</v>
      </c>
      <c r="CB146" s="69">
        <v>6.1</v>
      </c>
      <c r="CC146" s="69">
        <f t="shared" si="68"/>
        <v>6.0999999999999988</v>
      </c>
      <c r="CD146" s="69">
        <f t="shared" si="69"/>
        <v>6.1</v>
      </c>
    </row>
    <row r="147" spans="1:82" ht="15.75" customHeight="1" thickBot="1" x14ac:dyDescent="0.3">
      <c r="A147" s="6">
        <v>146</v>
      </c>
      <c r="B147" s="7" t="s">
        <v>279</v>
      </c>
      <c r="C147" s="7" t="s">
        <v>35</v>
      </c>
      <c r="D147" s="7" t="s">
        <v>135</v>
      </c>
      <c r="E147" s="50">
        <v>-15.957924784775701</v>
      </c>
      <c r="F147" s="50">
        <v>92.7736338921613</v>
      </c>
      <c r="G147" s="50">
        <v>103.225872093023</v>
      </c>
      <c r="H147" s="50">
        <v>74.900000000000006</v>
      </c>
      <c r="I147" s="8">
        <v>0</v>
      </c>
      <c r="J147" s="50">
        <v>3.9655166788524898</v>
      </c>
      <c r="K147" s="248">
        <f>IFERROR(VLOOKUP(C147,Schedule!$T$3:$U$34,2,0),"FA")</f>
        <v>6</v>
      </c>
      <c r="L147" s="7" t="str">
        <f>D147&amp;COUNTIF(D$2:$D147,D147)</f>
        <v>DST26</v>
      </c>
      <c r="M147" s="50">
        <f t="array" ref="M147">IFERROR(F147-AVERAGE(VLOOKUP(D147,$D148:$F$885,3,0),INDEX($F148:$F$885,SMALL(IF(D147=$D148:$D$885,ROW($D148:$D$885)-ROW(D147)),2))),0)</f>
        <v>2.0923380154055593</v>
      </c>
      <c r="N147" s="50">
        <f>IFERROR(IF(VLOOKUP($B147,Input!$AC$2:$AC$162,1,0)=$B147,0),F147)</f>
        <v>92.7736338921613</v>
      </c>
      <c r="O147" s="50">
        <f>IFERROR(IF(VLOOKUP($B147,Input!$AC$2:$AC$162,1,0)=$B147,0,G147),G147)</f>
        <v>103.225872093023</v>
      </c>
      <c r="P147" s="50">
        <f>IF(N147=0,0,F147-AVERAGE(INDEX(F:F,MATCH(VLOOKUP(D147,Input!$A$14:$L$22,10,0),L:L,0)),INDEX(F:F,MATCH(VLOOKUP(D147,Input!$A$14:$L$22,11,0),L:L,0)),INDEX(F:F,MATCH(VLOOKUP(D147,Input!$A$14:$L$22,12,0),L:L,0)))+(0.01-ROW()*0.01))</f>
        <v>-16.374753058450715</v>
      </c>
      <c r="Q147" s="106">
        <f t="shared" si="60"/>
        <v>-5.6491742146244951E-3</v>
      </c>
      <c r="R147" s="8">
        <f>IF(VLOOKUP($D147,$X$14:$Y$19,2,0)&lt;=0,1,IF(Q147&lt;0,1,ROUNDUP(IF(Q147*('Draft Center'!$L$28+'Draft Center'!$L$78-'Draft Center'!$L$82)&lt;1,1,Q147*('Draft Center'!$L$28+'Draft Center'!$L$78-'Draft Center'!$L$82)),0)))</f>
        <v>1</v>
      </c>
      <c r="S147" s="8">
        <f>IF(A147&lt;Input!$B$10+0.1,IF(ROUNDUP(R147*Input!$C$10,0)=0,1,ROUNDUP(R147*Input!$C$10,0)),IF(A147&gt;Input!$B$11,IF(ROUNDUP(R147*Input!$C$11,0)=0,1,ROUNDUP(R147*Input!$C$11,0)),IF(ROUNDUP(R147,0)=0,1,ROUNDUP(R147,0))))</f>
        <v>1</v>
      </c>
      <c r="T147" s="8">
        <f t="shared" si="61"/>
        <v>1</v>
      </c>
      <c r="U147" s="8">
        <f>IFERROR(VLOOKUP($B147,Input!$AC$2:$AE$161,3,0),0)</f>
        <v>0</v>
      </c>
      <c r="V147" s="256">
        <f t="shared" si="66"/>
        <v>0</v>
      </c>
      <c r="W147" s="263">
        <f t="shared" si="67"/>
        <v>1.0014700000000001</v>
      </c>
      <c r="X147" s="27"/>
      <c r="Y147" s="23"/>
      <c r="Z147" s="23"/>
      <c r="AA147" s="23">
        <v>0</v>
      </c>
      <c r="AB147" s="23" t="str">
        <f t="shared" si="72"/>
        <v/>
      </c>
      <c r="AC147" s="23" t="str">
        <f t="shared" si="72"/>
        <v/>
      </c>
      <c r="AD147" s="23" t="str">
        <f t="shared" si="72"/>
        <v/>
      </c>
      <c r="AE147" s="23" t="str">
        <f t="shared" si="72"/>
        <v/>
      </c>
      <c r="AF147" s="23">
        <f t="shared" si="72"/>
        <v>0</v>
      </c>
      <c r="AG147" s="23" t="str">
        <f t="shared" si="72"/>
        <v/>
      </c>
      <c r="AH147" s="23">
        <f t="shared" si="62"/>
        <v>0</v>
      </c>
      <c r="AI147" s="23">
        <f t="shared" si="63"/>
        <v>0</v>
      </c>
      <c r="AJ147" s="70">
        <v>1</v>
      </c>
      <c r="AK147" s="225">
        <v>2327.0337</v>
      </c>
      <c r="AL147" s="33">
        <v>1</v>
      </c>
      <c r="AM147" s="204">
        <v>2327.0337</v>
      </c>
      <c r="AN147" s="196"/>
      <c r="AO147" s="23"/>
      <c r="AP147" s="23"/>
      <c r="AQ147" s="23"/>
      <c r="AR147" s="23"/>
      <c r="AS147" s="23"/>
      <c r="AT147" s="23"/>
      <c r="AU147" s="23"/>
      <c r="AV147" s="23"/>
      <c r="AW147" s="23"/>
      <c r="AX147" s="23"/>
      <c r="AY147" s="23"/>
      <c r="AZ147" s="196"/>
      <c r="BA147" s="70">
        <f>IF(VLOOKUP($D147,$AO$14:AQ$19,COLUMN()-50,0)&lt;=0,1,IF($Q147&lt;0,1,ROUNDUP(IF($Q147*('Draft Center'!$L$28+'Draft Center'!$L$78-'Draft Center'!$L$82)&lt;1,1,$Q147*('Draft Center'!$L$28+'Draft Center'!$L$78-'Draft Center'!$L$82)),0)))</f>
        <v>1</v>
      </c>
      <c r="BB147" s="70">
        <f>IF(VLOOKUP($D147,$AO$14:AR$19,COLUMN()-50,0)&lt;=0,1,IF($Q147&lt;0,1,ROUNDUP(IF($Q147*('Draft Center'!$L$28+'Draft Center'!$L$78-'Draft Center'!$L$82)&lt;1,1,$Q147*('Draft Center'!$L$28+'Draft Center'!$L$78-'Draft Center'!$L$82)),0)))</f>
        <v>1</v>
      </c>
      <c r="BC147" s="70">
        <f>IF(VLOOKUP($D147,$AO$14:AS$19,COLUMN()-50,0)&lt;=0,1,IF($Q147&lt;0,1,ROUNDUP(IF($Q147*('Draft Center'!$L$28+'Draft Center'!$L$78-'Draft Center'!$L$82)&lt;1,1,$Q147*('Draft Center'!$L$28+'Draft Center'!$L$78-'Draft Center'!$L$82)),0)))</f>
        <v>1</v>
      </c>
      <c r="BD147" s="70">
        <f>IF(VLOOKUP($D147,$AO$14:AT$19,COLUMN()-50,0)&lt;=0,1,IF($Q147&lt;0,1,ROUNDUP(IF($Q147*('Draft Center'!$L$28+'Draft Center'!$L$78-'Draft Center'!$L$82)&lt;1,1,$Q147*('Draft Center'!$L$28+'Draft Center'!$L$78-'Draft Center'!$L$82)),0)))</f>
        <v>1</v>
      </c>
      <c r="BE147" s="70">
        <f>IF(VLOOKUP($D147,$AO$14:AU$19,COLUMN()-50,0)&lt;=0,1,IF($Q147&lt;0,1,ROUNDUP(IF($Q147*('Draft Center'!$L$28+'Draft Center'!$L$78-'Draft Center'!$L$82)&lt;1,1,$Q147*('Draft Center'!$L$28+'Draft Center'!$L$78-'Draft Center'!$L$82)),0)))</f>
        <v>1</v>
      </c>
      <c r="BF147" s="70">
        <f>IF(VLOOKUP($D147,$AO$14:AV$19,COLUMN()-50,0)&lt;=0,1,IF($Q147&lt;0,1,ROUNDUP(IF($Q147*('Draft Center'!$L$28+'Draft Center'!$L$78-'Draft Center'!$L$82)&lt;1,1,$Q147*('Draft Center'!$L$28+'Draft Center'!$L$78-'Draft Center'!$L$82)),0)))</f>
        <v>1</v>
      </c>
      <c r="BG147" s="70">
        <f>IF(VLOOKUP($D147,$AO$14:AW$19,COLUMN()-50,0)&lt;=0,1,IF($Q147&lt;0,1,ROUNDUP(IF($Q147*('Draft Center'!$L$28+'Draft Center'!$L$78-'Draft Center'!$L$82)&lt;1,1,$Q147*('Draft Center'!$L$28+'Draft Center'!$L$78-'Draft Center'!$L$82)),0)))</f>
        <v>1</v>
      </c>
      <c r="BH147" s="70">
        <f>IF(VLOOKUP($D147,$AO$14:AX$19,COLUMN()-50,0)&lt;=0,1,IF($Q147&lt;0,1,ROUNDUP(IF($Q147*('Draft Center'!$L$28+'Draft Center'!$L$78-'Draft Center'!$L$82)&lt;1,1,$Q147*('Draft Center'!$L$28+'Draft Center'!$L$78-'Draft Center'!$L$82)),0)))</f>
        <v>1</v>
      </c>
      <c r="BI147" s="70">
        <f>IF(VLOOKUP($D147,$AO$14:AY$19,COLUMN()-50,0)&lt;=0,1,IF($Q147&lt;0,1,ROUNDUP(IF($Q147*('Draft Center'!$L$28+'Draft Center'!$L$78-'Draft Center'!$L$82)&lt;1,1,$Q147*('Draft Center'!$L$28+'Draft Center'!$L$78-'Draft Center'!$L$82)),0)))</f>
        <v>1</v>
      </c>
      <c r="BJ147" s="196"/>
      <c r="BK147" s="23">
        <v>0</v>
      </c>
      <c r="BL147" s="23" t="str">
        <f t="shared" si="73"/>
        <v/>
      </c>
      <c r="BM147" s="23">
        <v>0</v>
      </c>
      <c r="BN147" s="23" t="str">
        <f t="shared" si="73"/>
        <v/>
      </c>
      <c r="BO147" s="23" t="str">
        <f t="shared" si="73"/>
        <v/>
      </c>
      <c r="BP147" s="23">
        <f t="shared" si="73"/>
        <v>0</v>
      </c>
      <c r="BQ147" s="23" t="str">
        <f t="shared" si="73"/>
        <v/>
      </c>
      <c r="BR147" s="23">
        <f t="shared" si="64"/>
        <v>0</v>
      </c>
      <c r="BS147" s="23">
        <f t="shared" si="65"/>
        <v>0</v>
      </c>
      <c r="BT147" s="70">
        <v>1</v>
      </c>
      <c r="BU147" s="58">
        <v>2327.0337</v>
      </c>
      <c r="BV147" s="33">
        <v>1</v>
      </c>
      <c r="BW147" s="204">
        <v>2327.0337</v>
      </c>
      <c r="BX147" s="23"/>
      <c r="BY147" s="70">
        <v>1</v>
      </c>
      <c r="BZ147" s="70">
        <v>0</v>
      </c>
      <c r="CA147" s="70">
        <v>0</v>
      </c>
      <c r="CB147" s="70">
        <v>0</v>
      </c>
      <c r="CC147" s="70">
        <f t="shared" si="68"/>
        <v>0</v>
      </c>
      <c r="CD147" s="70">
        <f t="shared" si="69"/>
        <v>0</v>
      </c>
    </row>
    <row r="148" spans="1:82" ht="15.75" customHeight="1" thickBot="1" x14ac:dyDescent="0.3">
      <c r="A148" s="9">
        <v>147</v>
      </c>
      <c r="B148" s="10" t="s">
        <v>221</v>
      </c>
      <c r="C148" s="10" t="s">
        <v>52</v>
      </c>
      <c r="D148" s="10" t="s">
        <v>135</v>
      </c>
      <c r="E148" s="51">
        <v>-16.5762483008609</v>
      </c>
      <c r="F148" s="51">
        <v>92.155310376076102</v>
      </c>
      <c r="G148" s="51">
        <v>108.112561046512</v>
      </c>
      <c r="H148" s="51">
        <v>76.3</v>
      </c>
      <c r="I148" s="11">
        <v>0</v>
      </c>
      <c r="J148" s="51">
        <v>5.2780905383705496</v>
      </c>
      <c r="K148" s="249">
        <f>IFERROR(VLOOKUP(C148,Schedule!$T$3:$U$34,2,0),"FA")</f>
        <v>11</v>
      </c>
      <c r="L148" s="10" t="str">
        <f>D148&amp;COUNTIF(D$2:$D148,D148)</f>
        <v>DST27</v>
      </c>
      <c r="M148" s="51">
        <f t="array" ref="M148">IFERROR(F148-AVERAGE(VLOOKUP(D148,$D149:$F$885,3,0),INDEX($F149:$F$885,SMALL(IF(D148=$D149:$D$885,ROW($D149:$D$885)-ROW(D148)),2))),0)</f>
        <v>6.1657408246488501</v>
      </c>
      <c r="N148" s="51">
        <f>IFERROR(IF(VLOOKUP($B148,Input!$AC$2:$AC$162,1,0)=$B148,0),F148)</f>
        <v>92.155310376076102</v>
      </c>
      <c r="O148" s="51">
        <f>IFERROR(IF(VLOOKUP($B148,Input!$AC$2:$AC$162,1,0)=$B148,0,G148),G148)</f>
        <v>108.112561046512</v>
      </c>
      <c r="P148" s="51">
        <f>IF(N148=0,0,F148-AVERAGE(INDEX(F:F,MATCH(VLOOKUP(D148,Input!$A$14:$L$22,10,0),L:L,0)),INDEX(F:F,MATCH(VLOOKUP(D148,Input!$A$14:$L$22,11,0),L:L,0)),INDEX(F:F,MATCH(VLOOKUP(D148,Input!$A$14:$L$22,12,0),L:L,0)))+(0.01-ROW()*0.01))</f>
        <v>-17.00307657453591</v>
      </c>
      <c r="Q148" s="107">
        <f t="shared" si="60"/>
        <v>-5.8659413922937092E-3</v>
      </c>
      <c r="R148" s="11">
        <f>IF(VLOOKUP($D148,$X$14:$Y$19,2,0)&lt;=0,1,IF(Q148&lt;0,1,ROUNDUP(IF(Q148*('Draft Center'!$L$28+'Draft Center'!$L$78-'Draft Center'!$L$82)&lt;1,1,Q148*('Draft Center'!$L$28+'Draft Center'!$L$78-'Draft Center'!$L$82)),0)))</f>
        <v>1</v>
      </c>
      <c r="S148" s="11">
        <f>IF(A148&lt;Input!$B$10+0.1,IF(ROUNDUP(R148*Input!$C$10,0)=0,1,ROUNDUP(R148*Input!$C$10,0)),IF(A148&gt;Input!$B$11,IF(ROUNDUP(R148*Input!$C$11,0)=0,1,ROUNDUP(R148*Input!$C$11,0)),IF(ROUNDUP(R148,0)=0,1,ROUNDUP(R148,0))))</f>
        <v>1</v>
      </c>
      <c r="T148" s="11">
        <f t="shared" si="61"/>
        <v>1</v>
      </c>
      <c r="U148" s="11">
        <f>IFERROR(VLOOKUP($B148,Input!$AC$2:$AE$161,3,0),0)</f>
        <v>0</v>
      </c>
      <c r="V148" s="257">
        <f t="shared" si="66"/>
        <v>0</v>
      </c>
      <c r="W148" s="264">
        <f t="shared" si="67"/>
        <v>1.0014799999999999</v>
      </c>
      <c r="X148" s="27"/>
      <c r="Y148" s="23"/>
      <c r="Z148" s="23"/>
      <c r="AA148" s="23">
        <v>0</v>
      </c>
      <c r="AB148" s="23" t="str">
        <f t="shared" si="72"/>
        <v/>
      </c>
      <c r="AC148" s="23" t="str">
        <f t="shared" si="72"/>
        <v/>
      </c>
      <c r="AD148" s="23" t="str">
        <f t="shared" si="72"/>
        <v/>
      </c>
      <c r="AE148" s="23" t="str">
        <f t="shared" si="72"/>
        <v/>
      </c>
      <c r="AF148" s="23">
        <f t="shared" si="72"/>
        <v>0</v>
      </c>
      <c r="AG148" s="23" t="str">
        <f t="shared" si="72"/>
        <v/>
      </c>
      <c r="AH148" s="23">
        <f t="shared" si="62"/>
        <v>0</v>
      </c>
      <c r="AI148" s="23">
        <f t="shared" si="63"/>
        <v>0</v>
      </c>
      <c r="AJ148" s="69">
        <v>1</v>
      </c>
      <c r="AK148" s="225">
        <v>2327.0337</v>
      </c>
      <c r="AL148" s="33">
        <v>1</v>
      </c>
      <c r="AM148" s="204">
        <v>2327.0337</v>
      </c>
      <c r="AN148" s="196"/>
      <c r="AO148" s="23"/>
      <c r="AP148" s="23"/>
      <c r="AQ148" s="23"/>
      <c r="AR148" s="23"/>
      <c r="AS148" s="23"/>
      <c r="AT148" s="23"/>
      <c r="AU148" s="23"/>
      <c r="AV148" s="23"/>
      <c r="AW148" s="23"/>
      <c r="AX148" s="23"/>
      <c r="AY148" s="23"/>
      <c r="AZ148" s="196"/>
      <c r="BA148" s="69">
        <f>IF(VLOOKUP($D148,$AO$14:AQ$19,COLUMN()-50,0)&lt;=0,1,IF($Q148&lt;0,1,ROUNDUP(IF($Q148*('Draft Center'!$L$28+'Draft Center'!$L$78-'Draft Center'!$L$82)&lt;1,1,$Q148*('Draft Center'!$L$28+'Draft Center'!$L$78-'Draft Center'!$L$82)),0)))</f>
        <v>1</v>
      </c>
      <c r="BB148" s="69">
        <f>IF(VLOOKUP($D148,$AO$14:AR$19,COLUMN()-50,0)&lt;=0,1,IF($Q148&lt;0,1,ROUNDUP(IF($Q148*('Draft Center'!$L$28+'Draft Center'!$L$78-'Draft Center'!$L$82)&lt;1,1,$Q148*('Draft Center'!$L$28+'Draft Center'!$L$78-'Draft Center'!$L$82)),0)))</f>
        <v>1</v>
      </c>
      <c r="BC148" s="69">
        <f>IF(VLOOKUP($D148,$AO$14:AS$19,COLUMN()-50,0)&lt;=0,1,IF($Q148&lt;0,1,ROUNDUP(IF($Q148*('Draft Center'!$L$28+'Draft Center'!$L$78-'Draft Center'!$L$82)&lt;1,1,$Q148*('Draft Center'!$L$28+'Draft Center'!$L$78-'Draft Center'!$L$82)),0)))</f>
        <v>1</v>
      </c>
      <c r="BD148" s="69">
        <f>IF(VLOOKUP($D148,$AO$14:AT$19,COLUMN()-50,0)&lt;=0,1,IF($Q148&lt;0,1,ROUNDUP(IF($Q148*('Draft Center'!$L$28+'Draft Center'!$L$78-'Draft Center'!$L$82)&lt;1,1,$Q148*('Draft Center'!$L$28+'Draft Center'!$L$78-'Draft Center'!$L$82)),0)))</f>
        <v>1</v>
      </c>
      <c r="BE148" s="69">
        <f>IF(VLOOKUP($D148,$AO$14:AU$19,COLUMN()-50,0)&lt;=0,1,IF($Q148&lt;0,1,ROUNDUP(IF($Q148*('Draft Center'!$L$28+'Draft Center'!$L$78-'Draft Center'!$L$82)&lt;1,1,$Q148*('Draft Center'!$L$28+'Draft Center'!$L$78-'Draft Center'!$L$82)),0)))</f>
        <v>1</v>
      </c>
      <c r="BF148" s="69">
        <f>IF(VLOOKUP($D148,$AO$14:AV$19,COLUMN()-50,0)&lt;=0,1,IF($Q148&lt;0,1,ROUNDUP(IF($Q148*('Draft Center'!$L$28+'Draft Center'!$L$78-'Draft Center'!$L$82)&lt;1,1,$Q148*('Draft Center'!$L$28+'Draft Center'!$L$78-'Draft Center'!$L$82)),0)))</f>
        <v>1</v>
      </c>
      <c r="BG148" s="69">
        <f>IF(VLOOKUP($D148,$AO$14:AW$19,COLUMN()-50,0)&lt;=0,1,IF($Q148&lt;0,1,ROUNDUP(IF($Q148*('Draft Center'!$L$28+'Draft Center'!$L$78-'Draft Center'!$L$82)&lt;1,1,$Q148*('Draft Center'!$L$28+'Draft Center'!$L$78-'Draft Center'!$L$82)),0)))</f>
        <v>1</v>
      </c>
      <c r="BH148" s="69">
        <f>IF(VLOOKUP($D148,$AO$14:AX$19,COLUMN()-50,0)&lt;=0,1,IF($Q148&lt;0,1,ROUNDUP(IF($Q148*('Draft Center'!$L$28+'Draft Center'!$L$78-'Draft Center'!$L$82)&lt;1,1,$Q148*('Draft Center'!$L$28+'Draft Center'!$L$78-'Draft Center'!$L$82)),0)))</f>
        <v>1</v>
      </c>
      <c r="BI148" s="69">
        <f>IF(VLOOKUP($D148,$AO$14:AY$19,COLUMN()-50,0)&lt;=0,1,IF($Q148&lt;0,1,ROUNDUP(IF($Q148*('Draft Center'!$L$28+'Draft Center'!$L$78-'Draft Center'!$L$82)&lt;1,1,$Q148*('Draft Center'!$L$28+'Draft Center'!$L$78-'Draft Center'!$L$82)),0)))</f>
        <v>1</v>
      </c>
      <c r="BJ148" s="196"/>
      <c r="BK148" s="23">
        <v>0</v>
      </c>
      <c r="BL148" s="23" t="str">
        <f t="shared" si="73"/>
        <v/>
      </c>
      <c r="BM148" s="23">
        <v>0</v>
      </c>
      <c r="BN148" s="23" t="str">
        <f t="shared" si="73"/>
        <v/>
      </c>
      <c r="BO148" s="23" t="str">
        <f t="shared" si="73"/>
        <v/>
      </c>
      <c r="BP148" s="23">
        <f t="shared" si="73"/>
        <v>0</v>
      </c>
      <c r="BQ148" s="23" t="str">
        <f t="shared" si="73"/>
        <v/>
      </c>
      <c r="BR148" s="23">
        <f t="shared" si="64"/>
        <v>0</v>
      </c>
      <c r="BS148" s="23">
        <f t="shared" si="65"/>
        <v>0</v>
      </c>
      <c r="BT148" s="69">
        <v>1</v>
      </c>
      <c r="BU148" s="58">
        <v>2327.0337</v>
      </c>
      <c r="BV148" s="33">
        <v>1</v>
      </c>
      <c r="BW148" s="204">
        <v>2327.0337</v>
      </c>
      <c r="BX148" s="23"/>
      <c r="BY148" s="69">
        <v>1</v>
      </c>
      <c r="BZ148" s="69">
        <v>0</v>
      </c>
      <c r="CA148" s="69">
        <v>0</v>
      </c>
      <c r="CB148" s="69">
        <v>0</v>
      </c>
      <c r="CC148" s="69">
        <f t="shared" si="68"/>
        <v>0</v>
      </c>
      <c r="CD148" s="69">
        <f t="shared" si="69"/>
        <v>0</v>
      </c>
    </row>
    <row r="149" spans="1:82" ht="15.75" customHeight="1" thickBot="1" x14ac:dyDescent="0.3">
      <c r="A149" s="6">
        <v>148</v>
      </c>
      <c r="B149" s="7" t="s">
        <v>127</v>
      </c>
      <c r="C149" s="7" t="s">
        <v>927</v>
      </c>
      <c r="D149" s="7" t="s">
        <v>53</v>
      </c>
      <c r="E149" s="50">
        <v>-16.953331194043098</v>
      </c>
      <c r="F149" s="50">
        <v>255.39431243879201</v>
      </c>
      <c r="G149" s="50">
        <v>272.02975475357198</v>
      </c>
      <c r="H149" s="50">
        <v>183.94499999999999</v>
      </c>
      <c r="I149" s="8">
        <v>1.6</v>
      </c>
      <c r="J149" s="50">
        <v>6.1869257799437598</v>
      </c>
      <c r="K149" s="248">
        <f>IFERROR(VLOOKUP(C149,Schedule!$T$3:$U$34,2,0),"FA")</f>
        <v>9</v>
      </c>
      <c r="L149" s="7" t="str">
        <f>D149&amp;COUNTIF(D$2:$D149,D149)</f>
        <v>QB16</v>
      </c>
      <c r="M149" s="50">
        <f t="array" ref="M149">IFERROR(F149-AVERAGE(VLOOKUP(D149,$D150:$F$885,3,0),INDEX($F150:$F$885,SMALL(IF(D149=$D150:$D$885,ROW($D150:$D$885)-ROW(D149)),2))),0)</f>
        <v>4.3622047814220366</v>
      </c>
      <c r="N149" s="50">
        <f>IFERROR(IF(VLOOKUP($B149,Input!$AC$2:$AC$162,1,0)=$B149,0),F149)</f>
        <v>255.39431243879201</v>
      </c>
      <c r="O149" s="50">
        <f>IFERROR(IF(VLOOKUP($B149,Input!$AC$2:$AC$162,1,0)=$B149,0,G149),G149)</f>
        <v>272.02975475357198</v>
      </c>
      <c r="P149" s="50">
        <f>IF(N149=0,0,F149-AVERAGE(INDEX(F:F,MATCH(VLOOKUP(D149,Input!$A$14:$L$22,10,0),L:L,0)),INDEX(F:F,MATCH(VLOOKUP(D149,Input!$A$14:$L$22,11,0),L:L,0)),INDEX(F:F,MATCH(VLOOKUP(D149,Input!$A$14:$L$22,12,0),L:L,0)))+(0.01-ROW()*0.01))</f>
        <v>-18.433331194043614</v>
      </c>
      <c r="Q149" s="106">
        <f t="shared" si="60"/>
        <v>-6.3593691397552604E-3</v>
      </c>
      <c r="R149" s="8">
        <f>IF(VLOOKUP($D149,$X$14:$Y$19,2,0)&lt;=0,1,IF(Q149&lt;0,1,ROUNDUP(IF(Q149*('Draft Center'!$L$28+'Draft Center'!$L$78-'Draft Center'!$L$82)&lt;1,1,Q149*('Draft Center'!$L$28+'Draft Center'!$L$78-'Draft Center'!$L$82)),0)))</f>
        <v>1</v>
      </c>
      <c r="S149" s="8">
        <f>IF(A149&lt;Input!$B$10+0.1,IF(ROUNDUP(R149*Input!$C$10,0)=0,1,ROUNDUP(R149*Input!$C$10,0)),IF(A149&gt;Input!$B$11,IF(ROUNDUP(R149*Input!$C$11,0)=0,1,ROUNDUP(R149*Input!$C$11,0)),IF(ROUNDUP(R149,0)=0,1,ROUNDUP(R149,0))))</f>
        <v>1</v>
      </c>
      <c r="T149" s="8">
        <f t="shared" si="61"/>
        <v>1</v>
      </c>
      <c r="U149" s="8">
        <f>IFERROR(VLOOKUP($B149,Input!$AC$2:$AE$161,3,0),0)</f>
        <v>0</v>
      </c>
      <c r="V149" s="256">
        <f t="shared" si="66"/>
        <v>-0.37351000000000006</v>
      </c>
      <c r="W149" s="263">
        <f t="shared" si="67"/>
        <v>-0.5985100000000001</v>
      </c>
      <c r="X149" s="27"/>
      <c r="Y149" s="23"/>
      <c r="Z149" s="23"/>
      <c r="AA149" s="23">
        <v>0</v>
      </c>
      <c r="AB149" s="23">
        <f t="shared" si="72"/>
        <v>0</v>
      </c>
      <c r="AC149" s="23" t="str">
        <f t="shared" si="72"/>
        <v/>
      </c>
      <c r="AD149" s="23" t="str">
        <f t="shared" si="72"/>
        <v/>
      </c>
      <c r="AE149" s="23" t="str">
        <f t="shared" si="72"/>
        <v/>
      </c>
      <c r="AF149" s="23" t="str">
        <f t="shared" si="72"/>
        <v/>
      </c>
      <c r="AG149" s="23" t="str">
        <f t="shared" si="72"/>
        <v/>
      </c>
      <c r="AH149" s="23">
        <f t="shared" si="62"/>
        <v>0</v>
      </c>
      <c r="AI149" s="23">
        <f t="shared" si="63"/>
        <v>0</v>
      </c>
      <c r="AJ149" s="70">
        <v>1</v>
      </c>
      <c r="AK149" s="225">
        <v>2327.0337</v>
      </c>
      <c r="AL149" s="33">
        <v>1</v>
      </c>
      <c r="AM149" s="204">
        <v>2327.0337</v>
      </c>
      <c r="AN149" s="196"/>
      <c r="AO149" s="23"/>
      <c r="AP149" s="23"/>
      <c r="AQ149" s="23"/>
      <c r="AR149" s="23"/>
      <c r="AS149" s="23"/>
      <c r="AT149" s="23"/>
      <c r="AU149" s="23"/>
      <c r="AV149" s="23"/>
      <c r="AW149" s="23"/>
      <c r="AX149" s="23"/>
      <c r="AY149" s="23"/>
      <c r="AZ149" s="196"/>
      <c r="BA149" s="70">
        <f>IF(VLOOKUP($D149,$AO$14:AQ$19,COLUMN()-50,0)&lt;=0,1,IF($Q149&lt;0,1,ROUNDUP(IF($Q149*('Draft Center'!$L$28+'Draft Center'!$L$78-'Draft Center'!$L$82)&lt;1,1,$Q149*('Draft Center'!$L$28+'Draft Center'!$L$78-'Draft Center'!$L$82)),0)))</f>
        <v>1</v>
      </c>
      <c r="BB149" s="70">
        <f>IF(VLOOKUP($D149,$AO$14:AR$19,COLUMN()-50,0)&lt;=0,1,IF($Q149&lt;0,1,ROUNDUP(IF($Q149*('Draft Center'!$L$28+'Draft Center'!$L$78-'Draft Center'!$L$82)&lt;1,1,$Q149*('Draft Center'!$L$28+'Draft Center'!$L$78-'Draft Center'!$L$82)),0)))</f>
        <v>1</v>
      </c>
      <c r="BC149" s="70">
        <f>IF(VLOOKUP($D149,$AO$14:AS$19,COLUMN()-50,0)&lt;=0,1,IF($Q149&lt;0,1,ROUNDUP(IF($Q149*('Draft Center'!$L$28+'Draft Center'!$L$78-'Draft Center'!$L$82)&lt;1,1,$Q149*('Draft Center'!$L$28+'Draft Center'!$L$78-'Draft Center'!$L$82)),0)))</f>
        <v>1</v>
      </c>
      <c r="BD149" s="70">
        <f>IF(VLOOKUP($D149,$AO$14:AT$19,COLUMN()-50,0)&lt;=0,1,IF($Q149&lt;0,1,ROUNDUP(IF($Q149*('Draft Center'!$L$28+'Draft Center'!$L$78-'Draft Center'!$L$82)&lt;1,1,$Q149*('Draft Center'!$L$28+'Draft Center'!$L$78-'Draft Center'!$L$82)),0)))</f>
        <v>1</v>
      </c>
      <c r="BE149" s="70">
        <f>IF(VLOOKUP($D149,$AO$14:AU$19,COLUMN()-50,0)&lt;=0,1,IF($Q149&lt;0,1,ROUNDUP(IF($Q149*('Draft Center'!$L$28+'Draft Center'!$L$78-'Draft Center'!$L$82)&lt;1,1,$Q149*('Draft Center'!$L$28+'Draft Center'!$L$78-'Draft Center'!$L$82)),0)))</f>
        <v>1</v>
      </c>
      <c r="BF149" s="70">
        <f>IF(VLOOKUP($D149,$AO$14:AV$19,COLUMN()-50,0)&lt;=0,1,IF($Q149&lt;0,1,ROUNDUP(IF($Q149*('Draft Center'!$L$28+'Draft Center'!$L$78-'Draft Center'!$L$82)&lt;1,1,$Q149*('Draft Center'!$L$28+'Draft Center'!$L$78-'Draft Center'!$L$82)),0)))</f>
        <v>1</v>
      </c>
      <c r="BG149" s="70">
        <f>IF(VLOOKUP($D149,$AO$14:AW$19,COLUMN()-50,0)&lt;=0,1,IF($Q149&lt;0,1,ROUNDUP(IF($Q149*('Draft Center'!$L$28+'Draft Center'!$L$78-'Draft Center'!$L$82)&lt;1,1,$Q149*('Draft Center'!$L$28+'Draft Center'!$L$78-'Draft Center'!$L$82)),0)))</f>
        <v>1</v>
      </c>
      <c r="BH149" s="70">
        <f>IF(VLOOKUP($D149,$AO$14:AX$19,COLUMN()-50,0)&lt;=0,1,IF($Q149&lt;0,1,ROUNDUP(IF($Q149*('Draft Center'!$L$28+'Draft Center'!$L$78-'Draft Center'!$L$82)&lt;1,1,$Q149*('Draft Center'!$L$28+'Draft Center'!$L$78-'Draft Center'!$L$82)),0)))</f>
        <v>1</v>
      </c>
      <c r="BI149" s="70">
        <f>IF(VLOOKUP($D149,$AO$14:AY$19,COLUMN()-50,0)&lt;=0,1,IF($Q149&lt;0,1,ROUNDUP(IF($Q149*('Draft Center'!$L$28+'Draft Center'!$L$78-'Draft Center'!$L$82)&lt;1,1,$Q149*('Draft Center'!$L$28+'Draft Center'!$L$78-'Draft Center'!$L$82)),0)))</f>
        <v>1</v>
      </c>
      <c r="BJ149" s="196"/>
      <c r="BK149" s="23">
        <v>0</v>
      </c>
      <c r="BL149" s="23">
        <f t="shared" si="73"/>
        <v>0</v>
      </c>
      <c r="BM149" s="23">
        <v>0</v>
      </c>
      <c r="BN149" s="23" t="str">
        <f t="shared" si="73"/>
        <v/>
      </c>
      <c r="BO149" s="23" t="str">
        <f t="shared" si="73"/>
        <v/>
      </c>
      <c r="BP149" s="23" t="str">
        <f t="shared" si="73"/>
        <v/>
      </c>
      <c r="BQ149" s="23" t="str">
        <f t="shared" si="73"/>
        <v/>
      </c>
      <c r="BR149" s="23">
        <f t="shared" si="64"/>
        <v>0</v>
      </c>
      <c r="BS149" s="23">
        <f t="shared" si="65"/>
        <v>0</v>
      </c>
      <c r="BT149" s="70">
        <v>1</v>
      </c>
      <c r="BU149" s="58">
        <v>2327.0337</v>
      </c>
      <c r="BV149" s="33">
        <v>1</v>
      </c>
      <c r="BW149" s="204">
        <v>2327.0337</v>
      </c>
      <c r="BX149" s="23"/>
      <c r="BY149" s="70">
        <v>1</v>
      </c>
      <c r="BZ149" s="70">
        <v>1.6</v>
      </c>
      <c r="CA149" s="70">
        <v>1.6</v>
      </c>
      <c r="CB149" s="70">
        <v>1.6</v>
      </c>
      <c r="CC149" s="70">
        <f t="shared" si="68"/>
        <v>1.6000000000000003</v>
      </c>
      <c r="CD149" s="70">
        <f t="shared" si="69"/>
        <v>1.6</v>
      </c>
    </row>
    <row r="150" spans="1:82" ht="15.75" customHeight="1" thickBot="1" x14ac:dyDescent="0.3">
      <c r="A150" s="9">
        <v>149</v>
      </c>
      <c r="B150" s="10" t="s">
        <v>799</v>
      </c>
      <c r="C150" s="10" t="s">
        <v>31</v>
      </c>
      <c r="D150" s="10" t="s">
        <v>17</v>
      </c>
      <c r="E150" s="51">
        <v>-17.6545297896736</v>
      </c>
      <c r="F150" s="51">
        <v>195.12338647967599</v>
      </c>
      <c r="G150" s="51">
        <v>205.267286635858</v>
      </c>
      <c r="H150" s="51">
        <v>176.12575531550101</v>
      </c>
      <c r="I150" s="11">
        <v>1.7</v>
      </c>
      <c r="J150" s="51">
        <v>4.1196342605702903</v>
      </c>
      <c r="K150" s="249">
        <f>IFERROR(VLOOKUP(C150,Schedule!$T$3:$U$34,2,0),"FA")</f>
        <v>9</v>
      </c>
      <c r="L150" s="10" t="str">
        <f>D150&amp;COUNTIF(D$2:$D150,D150)</f>
        <v>WR34</v>
      </c>
      <c r="M150" s="51">
        <f t="array" ref="M150">IFERROR(F150-AVERAGE(VLOOKUP(D150,$D151:$F$885,3,0),INDEX($F151:$F$885,SMALL(IF(D150=$D151:$D$885,ROW($D151:$D$885)-ROW(D150)),2))),0)</f>
        <v>4.6256041285034826</v>
      </c>
      <c r="N150" s="51">
        <f>IFERROR(IF(VLOOKUP($B150,Input!$AC$2:$AC$162,1,0)=$B150,0),F150)</f>
        <v>195.12338647967599</v>
      </c>
      <c r="O150" s="51">
        <f>IFERROR(IF(VLOOKUP($B150,Input!$AC$2:$AC$162,1,0)=$B150,0,G150),G150)</f>
        <v>205.267286635858</v>
      </c>
      <c r="P150" s="51">
        <f>IF(N150=0,0,F150-AVERAGE(INDEX(F:F,MATCH(VLOOKUP(D150,Input!$A$14:$L$22,10,0),L:L,0)),INDEX(F:F,MATCH(VLOOKUP(D150,Input!$A$14:$L$22,11,0),L:L,0)),INDEX(F:F,MATCH(VLOOKUP(D150,Input!$A$14:$L$22,12,0),L:L,0)))+(0.01-ROW()*0.01))</f>
        <v>-19.144529789673033</v>
      </c>
      <c r="Q150" s="107">
        <f t="shared" si="60"/>
        <v>-6.6047276348461777E-3</v>
      </c>
      <c r="R150" s="11">
        <f>IF(VLOOKUP($D150,$X$14:$Y$19,2,0)&lt;=0,1,IF(Q150&lt;0,1,ROUNDUP(IF(Q150*('Draft Center'!$L$28+'Draft Center'!$L$78-'Draft Center'!$L$82)&lt;1,1,Q150*('Draft Center'!$L$28+'Draft Center'!$L$78-'Draft Center'!$L$82)),0)))</f>
        <v>1</v>
      </c>
      <c r="S150" s="11">
        <f>IF(A150&lt;Input!$B$10+0.1,IF(ROUNDUP(R150*Input!$C$10,0)=0,1,ROUNDUP(R150*Input!$C$10,0)),IF(A150&gt;Input!$B$11,IF(ROUNDUP(R150*Input!$C$11,0)=0,1,ROUNDUP(R150*Input!$C$11,0)),IF(ROUNDUP(R150,0)=0,1,ROUNDUP(R150,0))))</f>
        <v>1</v>
      </c>
      <c r="T150" s="11">
        <f t="shared" si="61"/>
        <v>1</v>
      </c>
      <c r="U150" s="11">
        <f>IFERROR(VLOOKUP($B150,Input!$AC$2:$AE$161,3,0),0)</f>
        <v>0</v>
      </c>
      <c r="V150" s="257">
        <f t="shared" si="66"/>
        <v>-0.41026470588235292</v>
      </c>
      <c r="W150" s="264">
        <f t="shared" si="67"/>
        <v>-0.69850000000000001</v>
      </c>
      <c r="X150" s="27"/>
      <c r="Y150" s="23"/>
      <c r="Z150" s="23"/>
      <c r="AA150" s="23">
        <v>0</v>
      </c>
      <c r="AB150" s="23" t="str">
        <f t="shared" si="72"/>
        <v/>
      </c>
      <c r="AC150" s="23" t="str">
        <f t="shared" si="72"/>
        <v/>
      </c>
      <c r="AD150" s="23">
        <f t="shared" si="72"/>
        <v>0</v>
      </c>
      <c r="AE150" s="23" t="str">
        <f t="shared" si="72"/>
        <v/>
      </c>
      <c r="AF150" s="23" t="str">
        <f t="shared" si="72"/>
        <v/>
      </c>
      <c r="AG150" s="23" t="str">
        <f t="shared" si="72"/>
        <v/>
      </c>
      <c r="AH150" s="23">
        <f t="shared" si="62"/>
        <v>0</v>
      </c>
      <c r="AI150" s="23">
        <f t="shared" si="63"/>
        <v>0</v>
      </c>
      <c r="AJ150" s="69">
        <v>1</v>
      </c>
      <c r="AK150" s="225">
        <v>2327.0337</v>
      </c>
      <c r="AL150" s="33">
        <v>1</v>
      </c>
      <c r="AM150" s="204">
        <v>2327.0337</v>
      </c>
      <c r="AN150" s="196"/>
      <c r="AO150" s="23"/>
      <c r="AP150" s="23"/>
      <c r="AQ150" s="23"/>
      <c r="AR150" s="23"/>
      <c r="AS150" s="23"/>
      <c r="AT150" s="23"/>
      <c r="AU150" s="23"/>
      <c r="AV150" s="23"/>
      <c r="AW150" s="23"/>
      <c r="AX150" s="23"/>
      <c r="AY150" s="23"/>
      <c r="AZ150" s="196"/>
      <c r="BA150" s="69">
        <f>IF(VLOOKUP($D150,$AO$14:AQ$19,COLUMN()-50,0)&lt;=0,1,IF($Q150&lt;0,1,ROUNDUP(IF($Q150*('Draft Center'!$L$28+'Draft Center'!$L$78-'Draft Center'!$L$82)&lt;1,1,$Q150*('Draft Center'!$L$28+'Draft Center'!$L$78-'Draft Center'!$L$82)),0)))</f>
        <v>1</v>
      </c>
      <c r="BB150" s="69">
        <f>IF(VLOOKUP($D150,$AO$14:AR$19,COLUMN()-50,0)&lt;=0,1,IF($Q150&lt;0,1,ROUNDUP(IF($Q150*('Draft Center'!$L$28+'Draft Center'!$L$78-'Draft Center'!$L$82)&lt;1,1,$Q150*('Draft Center'!$L$28+'Draft Center'!$L$78-'Draft Center'!$L$82)),0)))</f>
        <v>1</v>
      </c>
      <c r="BC150" s="69">
        <f>IF(VLOOKUP($D150,$AO$14:AS$19,COLUMN()-50,0)&lt;=0,1,IF($Q150&lt;0,1,ROUNDUP(IF($Q150*('Draft Center'!$L$28+'Draft Center'!$L$78-'Draft Center'!$L$82)&lt;1,1,$Q150*('Draft Center'!$L$28+'Draft Center'!$L$78-'Draft Center'!$L$82)),0)))</f>
        <v>1</v>
      </c>
      <c r="BD150" s="69">
        <f>IF(VLOOKUP($D150,$AO$14:AT$19,COLUMN()-50,0)&lt;=0,1,IF($Q150&lt;0,1,ROUNDUP(IF($Q150*('Draft Center'!$L$28+'Draft Center'!$L$78-'Draft Center'!$L$82)&lt;1,1,$Q150*('Draft Center'!$L$28+'Draft Center'!$L$78-'Draft Center'!$L$82)),0)))</f>
        <v>1</v>
      </c>
      <c r="BE150" s="69">
        <f>IF(VLOOKUP($D150,$AO$14:AU$19,COLUMN()-50,0)&lt;=0,1,IF($Q150&lt;0,1,ROUNDUP(IF($Q150*('Draft Center'!$L$28+'Draft Center'!$L$78-'Draft Center'!$L$82)&lt;1,1,$Q150*('Draft Center'!$L$28+'Draft Center'!$L$78-'Draft Center'!$L$82)),0)))</f>
        <v>1</v>
      </c>
      <c r="BF150" s="69">
        <f>IF(VLOOKUP($D150,$AO$14:AV$19,COLUMN()-50,0)&lt;=0,1,IF($Q150&lt;0,1,ROUNDUP(IF($Q150*('Draft Center'!$L$28+'Draft Center'!$L$78-'Draft Center'!$L$82)&lt;1,1,$Q150*('Draft Center'!$L$28+'Draft Center'!$L$78-'Draft Center'!$L$82)),0)))</f>
        <v>1</v>
      </c>
      <c r="BG150" s="69">
        <f>IF(VLOOKUP($D150,$AO$14:AW$19,COLUMN()-50,0)&lt;=0,1,IF($Q150&lt;0,1,ROUNDUP(IF($Q150*('Draft Center'!$L$28+'Draft Center'!$L$78-'Draft Center'!$L$82)&lt;1,1,$Q150*('Draft Center'!$L$28+'Draft Center'!$L$78-'Draft Center'!$L$82)),0)))</f>
        <v>1</v>
      </c>
      <c r="BH150" s="69">
        <f>IF(VLOOKUP($D150,$AO$14:AX$19,COLUMN()-50,0)&lt;=0,1,IF($Q150&lt;0,1,ROUNDUP(IF($Q150*('Draft Center'!$L$28+'Draft Center'!$L$78-'Draft Center'!$L$82)&lt;1,1,$Q150*('Draft Center'!$L$28+'Draft Center'!$L$78-'Draft Center'!$L$82)),0)))</f>
        <v>1</v>
      </c>
      <c r="BI150" s="69">
        <f>IF(VLOOKUP($D150,$AO$14:AY$19,COLUMN()-50,0)&lt;=0,1,IF($Q150&lt;0,1,ROUNDUP(IF($Q150*('Draft Center'!$L$28+'Draft Center'!$L$78-'Draft Center'!$L$82)&lt;1,1,$Q150*('Draft Center'!$L$28+'Draft Center'!$L$78-'Draft Center'!$L$82)),0)))</f>
        <v>1</v>
      </c>
      <c r="BJ150" s="196"/>
      <c r="BK150" s="23">
        <v>0</v>
      </c>
      <c r="BL150" s="23" t="str">
        <f t="shared" si="73"/>
        <v/>
      </c>
      <c r="BM150" s="23">
        <v>0</v>
      </c>
      <c r="BN150" s="23">
        <f t="shared" si="73"/>
        <v>0</v>
      </c>
      <c r="BO150" s="23" t="str">
        <f t="shared" si="73"/>
        <v/>
      </c>
      <c r="BP150" s="23" t="str">
        <f t="shared" si="73"/>
        <v/>
      </c>
      <c r="BQ150" s="23" t="str">
        <f t="shared" si="73"/>
        <v/>
      </c>
      <c r="BR150" s="23">
        <f t="shared" si="64"/>
        <v>0</v>
      </c>
      <c r="BS150" s="23">
        <f t="shared" si="65"/>
        <v>0</v>
      </c>
      <c r="BT150" s="69">
        <v>1</v>
      </c>
      <c r="BU150" s="58">
        <v>2327.0337</v>
      </c>
      <c r="BV150" s="33">
        <v>1</v>
      </c>
      <c r="BW150" s="204">
        <v>2327.0337</v>
      </c>
      <c r="BX150" s="23"/>
      <c r="BY150" s="69">
        <v>1</v>
      </c>
      <c r="BZ150" s="69">
        <v>1.7</v>
      </c>
      <c r="CA150" s="69">
        <v>1.7</v>
      </c>
      <c r="CB150" s="69">
        <v>1.7</v>
      </c>
      <c r="CC150" s="69">
        <f t="shared" si="68"/>
        <v>1.7</v>
      </c>
      <c r="CD150" s="69">
        <f t="shared" si="69"/>
        <v>1.7</v>
      </c>
    </row>
    <row r="151" spans="1:82" ht="15.75" customHeight="1" thickBot="1" x14ac:dyDescent="0.3">
      <c r="A151" s="6">
        <v>150</v>
      </c>
      <c r="B151" s="7" t="s">
        <v>32</v>
      </c>
      <c r="C151" s="7" t="s">
        <v>61</v>
      </c>
      <c r="D151" s="7" t="s">
        <v>19</v>
      </c>
      <c r="E151" s="50">
        <v>-17.977744470153301</v>
      </c>
      <c r="F151" s="50">
        <v>151.124653555799</v>
      </c>
      <c r="G151" s="50">
        <v>193.072524132106</v>
      </c>
      <c r="H151" s="50">
        <v>113.42987438204101</v>
      </c>
      <c r="I151" s="8">
        <v>7.3</v>
      </c>
      <c r="J151" s="50">
        <v>5.9141811304477203</v>
      </c>
      <c r="K151" s="248">
        <f>IFERROR(VLOOKUP(C151,Schedule!$T$3:$U$34,2,0),"FA")</f>
        <v>5</v>
      </c>
      <c r="L151" s="7" t="str">
        <f>D151&amp;COUNTIF(D$2:$D151,D151)</f>
        <v>RB36</v>
      </c>
      <c r="M151" s="50">
        <f t="array" ref="M151">IFERROR(F151-AVERAGE(VLOOKUP(D151,$D152:$F$885,3,0),INDEX($F152:$F$885,SMALL(IF(D151=$D152:$D$885,ROW($D152:$D$885)-ROW(D151)),2))),0)</f>
        <v>7.8023670137289969</v>
      </c>
      <c r="N151" s="50">
        <f>IFERROR(IF(VLOOKUP($B151,Input!$AC$2:$AC$162,1,0)=$B151,0),F151)</f>
        <v>151.124653555799</v>
      </c>
      <c r="O151" s="50">
        <f>IFERROR(IF(VLOOKUP($B151,Input!$AC$2:$AC$162,1,0)=$B151,0,G151),G151)</f>
        <v>193.072524132106</v>
      </c>
      <c r="P151" s="50">
        <f>IF(N151=0,0,F151-AVERAGE(INDEX(F:F,MATCH(VLOOKUP(D151,Input!$A$14:$L$22,10,0),L:L,0)),INDEX(F:F,MATCH(VLOOKUP(D151,Input!$A$14:$L$22,11,0),L:L,0)),INDEX(F:F,MATCH(VLOOKUP(D151,Input!$A$14:$L$22,12,0),L:L,0)))+(0.01-ROW()*0.01))</f>
        <v>-19.477744470152999</v>
      </c>
      <c r="Q151" s="106">
        <f t="shared" si="60"/>
        <v>-6.7196843474257488E-3</v>
      </c>
      <c r="R151" s="8">
        <f>IF(VLOOKUP($D151,$X$14:$Y$19,2,0)&lt;=0,1,IF(Q151&lt;0,1,ROUNDUP(IF(Q151*('Draft Center'!$L$28+'Draft Center'!$L$78-'Draft Center'!$L$82)&lt;1,1,Q151*('Draft Center'!$L$28+'Draft Center'!$L$78-'Draft Center'!$L$82)),0)))</f>
        <v>1</v>
      </c>
      <c r="S151" s="8">
        <f>IF(A151&lt;Input!$B$10+0.1,IF(ROUNDUP(R151*Input!$C$10,0)=0,1,ROUNDUP(R151*Input!$C$10,0)),IF(A151&gt;Input!$B$11,IF(ROUNDUP(R151*Input!$C$11,0)=0,1,ROUNDUP(R151*Input!$C$11,0)),IF(ROUNDUP(R151,0)=0,1,ROUNDUP(R151,0))))</f>
        <v>1</v>
      </c>
      <c r="T151" s="8">
        <f t="shared" si="61"/>
        <v>1</v>
      </c>
      <c r="U151" s="8">
        <f>IFERROR(VLOOKUP($B151,Input!$AC$2:$AE$161,3,0),0)</f>
        <v>0</v>
      </c>
      <c r="V151" s="256">
        <f t="shared" si="66"/>
        <v>-0.86150369863013698</v>
      </c>
      <c r="W151" s="263">
        <f t="shared" si="67"/>
        <v>-6.2984900000000001</v>
      </c>
      <c r="X151" s="27"/>
      <c r="Y151" s="23"/>
      <c r="Z151" s="23"/>
      <c r="AA151" s="23">
        <v>0</v>
      </c>
      <c r="AB151" s="23" t="str">
        <f t="shared" si="72"/>
        <v/>
      </c>
      <c r="AC151" s="23">
        <f t="shared" si="72"/>
        <v>0</v>
      </c>
      <c r="AD151" s="23" t="str">
        <f t="shared" si="72"/>
        <v/>
      </c>
      <c r="AE151" s="23" t="str">
        <f t="shared" si="72"/>
        <v/>
      </c>
      <c r="AF151" s="23" t="str">
        <f t="shared" si="72"/>
        <v/>
      </c>
      <c r="AG151" s="23" t="str">
        <f t="shared" si="72"/>
        <v/>
      </c>
      <c r="AH151" s="23">
        <f t="shared" si="62"/>
        <v>0</v>
      </c>
      <c r="AI151" s="23">
        <f t="shared" si="63"/>
        <v>0</v>
      </c>
      <c r="AJ151" s="70">
        <v>1</v>
      </c>
      <c r="AK151" s="225">
        <v>2327.0337</v>
      </c>
      <c r="AL151" s="33">
        <v>1</v>
      </c>
      <c r="AM151" s="204">
        <v>2327.0337</v>
      </c>
      <c r="AN151" s="196"/>
      <c r="AO151" s="23"/>
      <c r="AP151" s="23"/>
      <c r="AQ151" s="23"/>
      <c r="AR151" s="23"/>
      <c r="AS151" s="23"/>
      <c r="AT151" s="23"/>
      <c r="AU151" s="23"/>
      <c r="AV151" s="23"/>
      <c r="AW151" s="23"/>
      <c r="AX151" s="23"/>
      <c r="AY151" s="23"/>
      <c r="AZ151" s="196"/>
      <c r="BA151" s="70">
        <f>IF(VLOOKUP($D151,$AO$14:AQ$19,COLUMN()-50,0)&lt;=0,1,IF($Q151&lt;0,1,ROUNDUP(IF($Q151*('Draft Center'!$L$28+'Draft Center'!$L$78-'Draft Center'!$L$82)&lt;1,1,$Q151*('Draft Center'!$L$28+'Draft Center'!$L$78-'Draft Center'!$L$82)),0)))</f>
        <v>1</v>
      </c>
      <c r="BB151" s="70">
        <f>IF(VLOOKUP($D151,$AO$14:AR$19,COLUMN()-50,0)&lt;=0,1,IF($Q151&lt;0,1,ROUNDUP(IF($Q151*('Draft Center'!$L$28+'Draft Center'!$L$78-'Draft Center'!$L$82)&lt;1,1,$Q151*('Draft Center'!$L$28+'Draft Center'!$L$78-'Draft Center'!$L$82)),0)))</f>
        <v>1</v>
      </c>
      <c r="BC151" s="70">
        <f>IF(VLOOKUP($D151,$AO$14:AS$19,COLUMN()-50,0)&lt;=0,1,IF($Q151&lt;0,1,ROUNDUP(IF($Q151*('Draft Center'!$L$28+'Draft Center'!$L$78-'Draft Center'!$L$82)&lt;1,1,$Q151*('Draft Center'!$L$28+'Draft Center'!$L$78-'Draft Center'!$L$82)),0)))</f>
        <v>1</v>
      </c>
      <c r="BD151" s="70">
        <f>IF(VLOOKUP($D151,$AO$14:AT$19,COLUMN()-50,0)&lt;=0,1,IF($Q151&lt;0,1,ROUNDUP(IF($Q151*('Draft Center'!$L$28+'Draft Center'!$L$78-'Draft Center'!$L$82)&lt;1,1,$Q151*('Draft Center'!$L$28+'Draft Center'!$L$78-'Draft Center'!$L$82)),0)))</f>
        <v>1</v>
      </c>
      <c r="BE151" s="70">
        <f>IF(VLOOKUP($D151,$AO$14:AU$19,COLUMN()-50,0)&lt;=0,1,IF($Q151&lt;0,1,ROUNDUP(IF($Q151*('Draft Center'!$L$28+'Draft Center'!$L$78-'Draft Center'!$L$82)&lt;1,1,$Q151*('Draft Center'!$L$28+'Draft Center'!$L$78-'Draft Center'!$L$82)),0)))</f>
        <v>1</v>
      </c>
      <c r="BF151" s="70">
        <f>IF(VLOOKUP($D151,$AO$14:AV$19,COLUMN()-50,0)&lt;=0,1,IF($Q151&lt;0,1,ROUNDUP(IF($Q151*('Draft Center'!$L$28+'Draft Center'!$L$78-'Draft Center'!$L$82)&lt;1,1,$Q151*('Draft Center'!$L$28+'Draft Center'!$L$78-'Draft Center'!$L$82)),0)))</f>
        <v>1</v>
      </c>
      <c r="BG151" s="70">
        <f>IF(VLOOKUP($D151,$AO$14:AW$19,COLUMN()-50,0)&lt;=0,1,IF($Q151&lt;0,1,ROUNDUP(IF($Q151*('Draft Center'!$L$28+'Draft Center'!$L$78-'Draft Center'!$L$82)&lt;1,1,$Q151*('Draft Center'!$L$28+'Draft Center'!$L$78-'Draft Center'!$L$82)),0)))</f>
        <v>1</v>
      </c>
      <c r="BH151" s="70">
        <f>IF(VLOOKUP($D151,$AO$14:AX$19,COLUMN()-50,0)&lt;=0,1,IF($Q151&lt;0,1,ROUNDUP(IF($Q151*('Draft Center'!$L$28+'Draft Center'!$L$78-'Draft Center'!$L$82)&lt;1,1,$Q151*('Draft Center'!$L$28+'Draft Center'!$L$78-'Draft Center'!$L$82)),0)))</f>
        <v>1</v>
      </c>
      <c r="BI151" s="70">
        <f>IF(VLOOKUP($D151,$AO$14:AY$19,COLUMN()-50,0)&lt;=0,1,IF($Q151&lt;0,1,ROUNDUP(IF($Q151*('Draft Center'!$L$28+'Draft Center'!$L$78-'Draft Center'!$L$82)&lt;1,1,$Q151*('Draft Center'!$L$28+'Draft Center'!$L$78-'Draft Center'!$L$82)),0)))</f>
        <v>1</v>
      </c>
      <c r="BJ151" s="196"/>
      <c r="BK151" s="23">
        <v>0</v>
      </c>
      <c r="BL151" s="23" t="str">
        <f t="shared" si="73"/>
        <v/>
      </c>
      <c r="BM151" s="23">
        <v>0</v>
      </c>
      <c r="BN151" s="23" t="str">
        <f t="shared" si="73"/>
        <v/>
      </c>
      <c r="BO151" s="23" t="str">
        <f t="shared" si="73"/>
        <v/>
      </c>
      <c r="BP151" s="23" t="str">
        <f t="shared" si="73"/>
        <v/>
      </c>
      <c r="BQ151" s="23" t="str">
        <f t="shared" si="73"/>
        <v/>
      </c>
      <c r="BR151" s="23">
        <f t="shared" si="64"/>
        <v>0</v>
      </c>
      <c r="BS151" s="23">
        <f t="shared" si="65"/>
        <v>0</v>
      </c>
      <c r="BT151" s="70">
        <v>1</v>
      </c>
      <c r="BU151" s="58">
        <v>2327.0337</v>
      </c>
      <c r="BV151" s="33">
        <v>1</v>
      </c>
      <c r="BW151" s="204">
        <v>2327.0337</v>
      </c>
      <c r="BX151" s="23"/>
      <c r="BY151" s="70">
        <v>1</v>
      </c>
      <c r="BZ151" s="70">
        <v>7.3</v>
      </c>
      <c r="CA151" s="70">
        <v>7.3</v>
      </c>
      <c r="CB151" s="70">
        <v>7.3</v>
      </c>
      <c r="CC151" s="70">
        <f t="shared" si="68"/>
        <v>7.3</v>
      </c>
      <c r="CD151" s="70">
        <f t="shared" si="69"/>
        <v>7.3</v>
      </c>
    </row>
    <row r="152" spans="1:82" ht="15.75" customHeight="1" thickBot="1" x14ac:dyDescent="0.3">
      <c r="A152" s="9">
        <v>151</v>
      </c>
      <c r="B152" s="10" t="s">
        <v>785</v>
      </c>
      <c r="C152" s="10" t="s">
        <v>57</v>
      </c>
      <c r="D152" s="10" t="s">
        <v>43</v>
      </c>
      <c r="E152" s="51">
        <v>-18.585709944464998</v>
      </c>
      <c r="F152" s="51">
        <v>134.87520940774399</v>
      </c>
      <c r="G152" s="51">
        <v>148.50154158404499</v>
      </c>
      <c r="H152" s="51">
        <v>116.333323365694</v>
      </c>
      <c r="I152" s="11">
        <v>0</v>
      </c>
      <c r="J152" s="51">
        <v>3.73280676091778</v>
      </c>
      <c r="K152" s="249">
        <f>IFERROR(VLOOKUP(C152,Schedule!$T$3:$U$34,2,0),"FA")</f>
        <v>11</v>
      </c>
      <c r="L152" s="10" t="str">
        <f>D152&amp;COUNTIF(D$2:$D152,D152)</f>
        <v>TE15</v>
      </c>
      <c r="M152" s="51">
        <f t="array" ref="M152">IFERROR(F152-AVERAGE(VLOOKUP(D152,$D153:$F$885,3,0),INDEX($F153:$F$885,SMALL(IF(D152=$D153:$D$885,ROW($D153:$D$885)-ROW(D152)),2))),0)</f>
        <v>1.3509268249115109</v>
      </c>
      <c r="N152" s="51">
        <f>IFERROR(IF(VLOOKUP($B152,Input!$AC$2:$AC$162,1,0)=$B152,0),F152)</f>
        <v>134.87520940774399</v>
      </c>
      <c r="O152" s="51">
        <f>IFERROR(IF(VLOOKUP($B152,Input!$AC$2:$AC$162,1,0)=$B152,0,G152),G152)</f>
        <v>148.50154158404499</v>
      </c>
      <c r="P152" s="51">
        <f>IF(N152=0,0,F152-AVERAGE(INDEX(F:F,MATCH(VLOOKUP(D152,Input!$A$14:$L$22,10,0),L:L,0)),INDEX(F:F,MATCH(VLOOKUP(D152,Input!$A$14:$L$22,11,0),L:L,0)),INDEX(F:F,MATCH(VLOOKUP(D152,Input!$A$14:$L$22,12,0),L:L,0)))+(0.01-ROW()*0.01))</f>
        <v>-20.095709944465323</v>
      </c>
      <c r="Q152" s="107">
        <f t="shared" si="60"/>
        <v>-6.9328780738014718E-3</v>
      </c>
      <c r="R152" s="11">
        <f>IF(VLOOKUP($D152,$X$14:$Y$19,2,0)&lt;=0,1,IF(Q152&lt;0,1,ROUNDUP(IF(Q152*('Draft Center'!$L$28+'Draft Center'!$L$78-'Draft Center'!$L$82)&lt;1,1,Q152*('Draft Center'!$L$28+'Draft Center'!$L$78-'Draft Center'!$L$82)),0)))</f>
        <v>1</v>
      </c>
      <c r="S152" s="11">
        <f>IF(A152&lt;Input!$B$10+0.1,IF(ROUNDUP(R152*Input!$C$10,0)=0,1,ROUNDUP(R152*Input!$C$10,0)),IF(A152&gt;Input!$B$11,IF(ROUNDUP(R152*Input!$C$11,0)=0,1,ROUNDUP(R152*Input!$C$11,0)),IF(ROUNDUP(R152,0)=0,1,ROUNDUP(R152,0))))</f>
        <v>1</v>
      </c>
      <c r="T152" s="11">
        <f t="shared" si="61"/>
        <v>1</v>
      </c>
      <c r="U152" s="11">
        <f>IFERROR(VLOOKUP($B152,Input!$AC$2:$AE$161,3,0),0)</f>
        <v>0</v>
      </c>
      <c r="V152" s="257">
        <f t="shared" si="66"/>
        <v>0</v>
      </c>
      <c r="W152" s="264">
        <f t="shared" si="67"/>
        <v>1.00152</v>
      </c>
      <c r="X152" s="27"/>
      <c r="Y152" s="23"/>
      <c r="Z152" s="23"/>
      <c r="AA152" s="23">
        <v>0</v>
      </c>
      <c r="AB152" s="23" t="str">
        <f t="shared" ref="AB152:AG161" si="74">IF($D152=AB$1,1*$AA152,"")</f>
        <v/>
      </c>
      <c r="AC152" s="23" t="str">
        <f t="shared" si="74"/>
        <v/>
      </c>
      <c r="AD152" s="23" t="str">
        <f t="shared" si="74"/>
        <v/>
      </c>
      <c r="AE152" s="23">
        <f t="shared" si="74"/>
        <v>0</v>
      </c>
      <c r="AF152" s="23" t="str">
        <f t="shared" si="74"/>
        <v/>
      </c>
      <c r="AG152" s="23" t="str">
        <f t="shared" si="74"/>
        <v/>
      </c>
      <c r="AH152" s="23">
        <f t="shared" si="62"/>
        <v>0</v>
      </c>
      <c r="AI152" s="23">
        <f t="shared" si="63"/>
        <v>0</v>
      </c>
      <c r="AJ152" s="69">
        <v>1</v>
      </c>
      <c r="AK152" s="225">
        <v>2327.0337</v>
      </c>
      <c r="AL152" s="33">
        <v>1</v>
      </c>
      <c r="AM152" s="204">
        <v>2327.0337</v>
      </c>
      <c r="AN152" s="196"/>
      <c r="AO152" s="23"/>
      <c r="AP152" s="23"/>
      <c r="AQ152" s="23"/>
      <c r="AR152" s="23"/>
      <c r="AS152" s="23"/>
      <c r="AT152" s="23"/>
      <c r="AU152" s="23"/>
      <c r="AV152" s="23"/>
      <c r="AW152" s="23"/>
      <c r="AX152" s="23"/>
      <c r="AY152" s="23"/>
      <c r="AZ152" s="196"/>
      <c r="BA152" s="69">
        <f>IF(VLOOKUP($D152,$AO$14:AQ$19,COLUMN()-50,0)&lt;=0,1,IF($Q152&lt;0,1,ROUNDUP(IF($Q152*('Draft Center'!$L$28+'Draft Center'!$L$78-'Draft Center'!$L$82)&lt;1,1,$Q152*('Draft Center'!$L$28+'Draft Center'!$L$78-'Draft Center'!$L$82)),0)))</f>
        <v>1</v>
      </c>
      <c r="BB152" s="69">
        <f>IF(VLOOKUP($D152,$AO$14:AR$19,COLUMN()-50,0)&lt;=0,1,IF($Q152&lt;0,1,ROUNDUP(IF($Q152*('Draft Center'!$L$28+'Draft Center'!$L$78-'Draft Center'!$L$82)&lt;1,1,$Q152*('Draft Center'!$L$28+'Draft Center'!$L$78-'Draft Center'!$L$82)),0)))</f>
        <v>1</v>
      </c>
      <c r="BC152" s="69">
        <f>IF(VLOOKUP($D152,$AO$14:AS$19,COLUMN()-50,0)&lt;=0,1,IF($Q152&lt;0,1,ROUNDUP(IF($Q152*('Draft Center'!$L$28+'Draft Center'!$L$78-'Draft Center'!$L$82)&lt;1,1,$Q152*('Draft Center'!$L$28+'Draft Center'!$L$78-'Draft Center'!$L$82)),0)))</f>
        <v>1</v>
      </c>
      <c r="BD152" s="69">
        <f>IF(VLOOKUP($D152,$AO$14:AT$19,COLUMN()-50,0)&lt;=0,1,IF($Q152&lt;0,1,ROUNDUP(IF($Q152*('Draft Center'!$L$28+'Draft Center'!$L$78-'Draft Center'!$L$82)&lt;1,1,$Q152*('Draft Center'!$L$28+'Draft Center'!$L$78-'Draft Center'!$L$82)),0)))</f>
        <v>1</v>
      </c>
      <c r="BE152" s="69">
        <f>IF(VLOOKUP($D152,$AO$14:AU$19,COLUMN()-50,0)&lt;=0,1,IF($Q152&lt;0,1,ROUNDUP(IF($Q152*('Draft Center'!$L$28+'Draft Center'!$L$78-'Draft Center'!$L$82)&lt;1,1,$Q152*('Draft Center'!$L$28+'Draft Center'!$L$78-'Draft Center'!$L$82)),0)))</f>
        <v>1</v>
      </c>
      <c r="BF152" s="69">
        <f>IF(VLOOKUP($D152,$AO$14:AV$19,COLUMN()-50,0)&lt;=0,1,IF($Q152&lt;0,1,ROUNDUP(IF($Q152*('Draft Center'!$L$28+'Draft Center'!$L$78-'Draft Center'!$L$82)&lt;1,1,$Q152*('Draft Center'!$L$28+'Draft Center'!$L$78-'Draft Center'!$L$82)),0)))</f>
        <v>1</v>
      </c>
      <c r="BG152" s="69">
        <f>IF(VLOOKUP($D152,$AO$14:AW$19,COLUMN()-50,0)&lt;=0,1,IF($Q152&lt;0,1,ROUNDUP(IF($Q152*('Draft Center'!$L$28+'Draft Center'!$L$78-'Draft Center'!$L$82)&lt;1,1,$Q152*('Draft Center'!$L$28+'Draft Center'!$L$78-'Draft Center'!$L$82)),0)))</f>
        <v>1</v>
      </c>
      <c r="BH152" s="69">
        <f>IF(VLOOKUP($D152,$AO$14:AX$19,COLUMN()-50,0)&lt;=0,1,IF($Q152&lt;0,1,ROUNDUP(IF($Q152*('Draft Center'!$L$28+'Draft Center'!$L$78-'Draft Center'!$L$82)&lt;1,1,$Q152*('Draft Center'!$L$28+'Draft Center'!$L$78-'Draft Center'!$L$82)),0)))</f>
        <v>1</v>
      </c>
      <c r="BI152" s="69">
        <f>IF(VLOOKUP($D152,$AO$14:AY$19,COLUMN()-50,0)&lt;=0,1,IF($Q152&lt;0,1,ROUNDUP(IF($Q152*('Draft Center'!$L$28+'Draft Center'!$L$78-'Draft Center'!$L$82)&lt;1,1,$Q152*('Draft Center'!$L$28+'Draft Center'!$L$78-'Draft Center'!$L$82)),0)))</f>
        <v>1</v>
      </c>
      <c r="BJ152" s="196"/>
      <c r="BK152" s="23">
        <v>0</v>
      </c>
      <c r="BL152" s="23" t="str">
        <f t="shared" ref="BL152:BQ161" si="75">IF($D152=BL$1,1*$BK152,"")</f>
        <v/>
      </c>
      <c r="BM152" s="23">
        <v>0</v>
      </c>
      <c r="BN152" s="23" t="str">
        <f t="shared" si="75"/>
        <v/>
      </c>
      <c r="BO152" s="23">
        <f t="shared" si="75"/>
        <v>0</v>
      </c>
      <c r="BP152" s="23" t="str">
        <f t="shared" si="75"/>
        <v/>
      </c>
      <c r="BQ152" s="23" t="str">
        <f t="shared" si="75"/>
        <v/>
      </c>
      <c r="BR152" s="23">
        <f t="shared" si="64"/>
        <v>0</v>
      </c>
      <c r="BS152" s="23">
        <f t="shared" si="65"/>
        <v>0</v>
      </c>
      <c r="BT152" s="69">
        <v>1</v>
      </c>
      <c r="BU152" s="58">
        <v>2327.0337</v>
      </c>
      <c r="BV152" s="33">
        <v>1</v>
      </c>
      <c r="BW152" s="204">
        <v>2327.0337</v>
      </c>
      <c r="BX152" s="23"/>
      <c r="BY152" s="69">
        <v>1</v>
      </c>
      <c r="BZ152" s="69">
        <v>0</v>
      </c>
      <c r="CA152" s="69">
        <v>0</v>
      </c>
      <c r="CB152" s="69">
        <v>0</v>
      </c>
      <c r="CC152" s="69">
        <f t="shared" si="68"/>
        <v>0</v>
      </c>
      <c r="CD152" s="69">
        <f t="shared" si="69"/>
        <v>0</v>
      </c>
    </row>
    <row r="153" spans="1:82" ht="15.75" customHeight="1" thickBot="1" x14ac:dyDescent="0.3">
      <c r="A153" s="6">
        <v>152</v>
      </c>
      <c r="B153" s="7" t="s">
        <v>172</v>
      </c>
      <c r="C153" s="7" t="s">
        <v>61</v>
      </c>
      <c r="D153" s="7" t="s">
        <v>43</v>
      </c>
      <c r="E153" s="50">
        <v>-18.6770528498018</v>
      </c>
      <c r="F153" s="50">
        <v>134.78386650240699</v>
      </c>
      <c r="G153" s="50">
        <v>148.42174816553899</v>
      </c>
      <c r="H153" s="50">
        <v>117.14485953783399</v>
      </c>
      <c r="I153" s="8">
        <v>0</v>
      </c>
      <c r="J153" s="50">
        <v>3.4993124212788298</v>
      </c>
      <c r="K153" s="248">
        <f>IFERROR(VLOOKUP(C153,Schedule!$T$3:$U$34,2,0),"FA")</f>
        <v>5</v>
      </c>
      <c r="L153" s="7" t="str">
        <f>D153&amp;COUNTIF(D$2:$D153,D153)</f>
        <v>TE16</v>
      </c>
      <c r="M153" s="50">
        <f t="array" ref="M153">IFERROR(F153-AVERAGE(VLOOKUP(D153,$D154:$F$885,3,0),INDEX($F154:$F$885,SMALL(IF(D153=$D154:$D$885,ROW($D154:$D$885)-ROW(D153)),2))),0)</f>
        <v>2.7954697551669767</v>
      </c>
      <c r="N153" s="50">
        <f>IFERROR(IF(VLOOKUP($B153,Input!$AC$2:$AC$162,1,0)=$B153,0),F153)</f>
        <v>134.78386650240699</v>
      </c>
      <c r="O153" s="50">
        <f>IFERROR(IF(VLOOKUP($B153,Input!$AC$2:$AC$162,1,0)=$B153,0,G153),G153)</f>
        <v>148.42174816553899</v>
      </c>
      <c r="P153" s="50">
        <f>IF(N153=0,0,F153-AVERAGE(INDEX(F:F,MATCH(VLOOKUP(D153,Input!$A$14:$L$22,10,0),L:L,0)),INDEX(F:F,MATCH(VLOOKUP(D153,Input!$A$14:$L$22,11,0),L:L,0)),INDEX(F:F,MATCH(VLOOKUP(D153,Input!$A$14:$L$22,12,0),L:L,0)))+(0.01-ROW()*0.01))</f>
        <v>-20.197052849802322</v>
      </c>
      <c r="Q153" s="106">
        <f t="shared" si="60"/>
        <v>-6.9678406607559936E-3</v>
      </c>
      <c r="R153" s="8">
        <f>IF(VLOOKUP($D153,$X$14:$Y$19,2,0)&lt;=0,1,IF(Q153&lt;0,1,ROUNDUP(IF(Q153*('Draft Center'!$L$28+'Draft Center'!$L$78-'Draft Center'!$L$82)&lt;1,1,Q153*('Draft Center'!$L$28+'Draft Center'!$L$78-'Draft Center'!$L$82)),0)))</f>
        <v>1</v>
      </c>
      <c r="S153" s="8">
        <f>IF(A153&lt;Input!$B$10+0.1,IF(ROUNDUP(R153*Input!$C$10,0)=0,1,ROUNDUP(R153*Input!$C$10,0)),IF(A153&gt;Input!$B$11,IF(ROUNDUP(R153*Input!$C$11,0)=0,1,ROUNDUP(R153*Input!$C$11,0)),IF(ROUNDUP(R153,0)=0,1,ROUNDUP(R153,0))))</f>
        <v>1</v>
      </c>
      <c r="T153" s="8">
        <f t="shared" si="61"/>
        <v>1</v>
      </c>
      <c r="U153" s="8">
        <f>IFERROR(VLOOKUP($B153,Input!$AC$2:$AE$161,3,0),0)</f>
        <v>0</v>
      </c>
      <c r="V153" s="256">
        <f t="shared" si="66"/>
        <v>0</v>
      </c>
      <c r="W153" s="263">
        <f t="shared" si="67"/>
        <v>1.00153</v>
      </c>
      <c r="X153" s="27"/>
      <c r="Y153" s="23"/>
      <c r="Z153" s="23"/>
      <c r="AA153" s="23">
        <v>0</v>
      </c>
      <c r="AB153" s="23" t="str">
        <f t="shared" si="74"/>
        <v/>
      </c>
      <c r="AC153" s="23" t="str">
        <f t="shared" si="74"/>
        <v/>
      </c>
      <c r="AD153" s="23" t="str">
        <f t="shared" si="74"/>
        <v/>
      </c>
      <c r="AE153" s="23">
        <f t="shared" si="74"/>
        <v>0</v>
      </c>
      <c r="AF153" s="23" t="str">
        <f t="shared" si="74"/>
        <v/>
      </c>
      <c r="AG153" s="23" t="str">
        <f t="shared" si="74"/>
        <v/>
      </c>
      <c r="AH153" s="23">
        <f t="shared" si="62"/>
        <v>0</v>
      </c>
      <c r="AI153" s="23">
        <f t="shared" si="63"/>
        <v>0</v>
      </c>
      <c r="AJ153" s="70">
        <v>1</v>
      </c>
      <c r="AK153" s="225">
        <v>2327.0337</v>
      </c>
      <c r="AL153" s="33">
        <v>1</v>
      </c>
      <c r="AM153" s="204">
        <v>2327.0337</v>
      </c>
      <c r="AN153" s="196"/>
      <c r="AO153" s="23"/>
      <c r="AP153" s="23"/>
      <c r="AQ153" s="23"/>
      <c r="AR153" s="23"/>
      <c r="AS153" s="23"/>
      <c r="AT153" s="23"/>
      <c r="AU153" s="23"/>
      <c r="AV153" s="23"/>
      <c r="AW153" s="23"/>
      <c r="AX153" s="23"/>
      <c r="AY153" s="23"/>
      <c r="AZ153" s="196"/>
      <c r="BA153" s="70">
        <f>IF(VLOOKUP($D153,$AO$14:AQ$19,COLUMN()-50,0)&lt;=0,1,IF($Q153&lt;0,1,ROUNDUP(IF($Q153*('Draft Center'!$L$28+'Draft Center'!$L$78-'Draft Center'!$L$82)&lt;1,1,$Q153*('Draft Center'!$L$28+'Draft Center'!$L$78-'Draft Center'!$L$82)),0)))</f>
        <v>1</v>
      </c>
      <c r="BB153" s="70">
        <f>IF(VLOOKUP($D153,$AO$14:AR$19,COLUMN()-50,0)&lt;=0,1,IF($Q153&lt;0,1,ROUNDUP(IF($Q153*('Draft Center'!$L$28+'Draft Center'!$L$78-'Draft Center'!$L$82)&lt;1,1,$Q153*('Draft Center'!$L$28+'Draft Center'!$L$78-'Draft Center'!$L$82)),0)))</f>
        <v>1</v>
      </c>
      <c r="BC153" s="70">
        <f>IF(VLOOKUP($D153,$AO$14:AS$19,COLUMN()-50,0)&lt;=0,1,IF($Q153&lt;0,1,ROUNDUP(IF($Q153*('Draft Center'!$L$28+'Draft Center'!$L$78-'Draft Center'!$L$82)&lt;1,1,$Q153*('Draft Center'!$L$28+'Draft Center'!$L$78-'Draft Center'!$L$82)),0)))</f>
        <v>1</v>
      </c>
      <c r="BD153" s="70">
        <f>IF(VLOOKUP($D153,$AO$14:AT$19,COLUMN()-50,0)&lt;=0,1,IF($Q153&lt;0,1,ROUNDUP(IF($Q153*('Draft Center'!$L$28+'Draft Center'!$L$78-'Draft Center'!$L$82)&lt;1,1,$Q153*('Draft Center'!$L$28+'Draft Center'!$L$78-'Draft Center'!$L$82)),0)))</f>
        <v>1</v>
      </c>
      <c r="BE153" s="70">
        <f>IF(VLOOKUP($D153,$AO$14:AU$19,COLUMN()-50,0)&lt;=0,1,IF($Q153&lt;0,1,ROUNDUP(IF($Q153*('Draft Center'!$L$28+'Draft Center'!$L$78-'Draft Center'!$L$82)&lt;1,1,$Q153*('Draft Center'!$L$28+'Draft Center'!$L$78-'Draft Center'!$L$82)),0)))</f>
        <v>1</v>
      </c>
      <c r="BF153" s="70">
        <f>IF(VLOOKUP($D153,$AO$14:AV$19,COLUMN()-50,0)&lt;=0,1,IF($Q153&lt;0,1,ROUNDUP(IF($Q153*('Draft Center'!$L$28+'Draft Center'!$L$78-'Draft Center'!$L$82)&lt;1,1,$Q153*('Draft Center'!$L$28+'Draft Center'!$L$78-'Draft Center'!$L$82)),0)))</f>
        <v>1</v>
      </c>
      <c r="BG153" s="70">
        <f>IF(VLOOKUP($D153,$AO$14:AW$19,COLUMN()-50,0)&lt;=0,1,IF($Q153&lt;0,1,ROUNDUP(IF($Q153*('Draft Center'!$L$28+'Draft Center'!$L$78-'Draft Center'!$L$82)&lt;1,1,$Q153*('Draft Center'!$L$28+'Draft Center'!$L$78-'Draft Center'!$L$82)),0)))</f>
        <v>1</v>
      </c>
      <c r="BH153" s="70">
        <f>IF(VLOOKUP($D153,$AO$14:AX$19,COLUMN()-50,0)&lt;=0,1,IF($Q153&lt;0,1,ROUNDUP(IF($Q153*('Draft Center'!$L$28+'Draft Center'!$L$78-'Draft Center'!$L$82)&lt;1,1,$Q153*('Draft Center'!$L$28+'Draft Center'!$L$78-'Draft Center'!$L$82)),0)))</f>
        <v>1</v>
      </c>
      <c r="BI153" s="70">
        <f>IF(VLOOKUP($D153,$AO$14:AY$19,COLUMN()-50,0)&lt;=0,1,IF($Q153&lt;0,1,ROUNDUP(IF($Q153*('Draft Center'!$L$28+'Draft Center'!$L$78-'Draft Center'!$L$82)&lt;1,1,$Q153*('Draft Center'!$L$28+'Draft Center'!$L$78-'Draft Center'!$L$82)),0)))</f>
        <v>1</v>
      </c>
      <c r="BJ153" s="196"/>
      <c r="BK153" s="23">
        <v>0</v>
      </c>
      <c r="BL153" s="23" t="str">
        <f t="shared" si="75"/>
        <v/>
      </c>
      <c r="BM153" s="23">
        <v>0</v>
      </c>
      <c r="BN153" s="23" t="str">
        <f t="shared" si="75"/>
        <v/>
      </c>
      <c r="BO153" s="23">
        <f t="shared" si="75"/>
        <v>0</v>
      </c>
      <c r="BP153" s="23" t="str">
        <f t="shared" si="75"/>
        <v/>
      </c>
      <c r="BQ153" s="23" t="str">
        <f t="shared" si="75"/>
        <v/>
      </c>
      <c r="BR153" s="23">
        <f t="shared" si="64"/>
        <v>0</v>
      </c>
      <c r="BS153" s="23">
        <f t="shared" si="65"/>
        <v>0</v>
      </c>
      <c r="BT153" s="70">
        <v>1</v>
      </c>
      <c r="BU153" s="58">
        <v>2327.0337</v>
      </c>
      <c r="BV153" s="33">
        <v>1</v>
      </c>
      <c r="BW153" s="204">
        <v>2327.0337</v>
      </c>
      <c r="BX153" s="23"/>
      <c r="BY153" s="70">
        <v>1</v>
      </c>
      <c r="BZ153" s="70">
        <v>0</v>
      </c>
      <c r="CA153" s="70">
        <v>0</v>
      </c>
      <c r="CB153" s="70">
        <v>0</v>
      </c>
      <c r="CC153" s="70">
        <f t="shared" si="68"/>
        <v>0</v>
      </c>
      <c r="CD153" s="70">
        <f t="shared" si="69"/>
        <v>0</v>
      </c>
    </row>
    <row r="154" spans="1:82" ht="15.75" customHeight="1" thickBot="1" x14ac:dyDescent="0.3">
      <c r="A154" s="9">
        <v>153</v>
      </c>
      <c r="B154" s="10" t="s">
        <v>103</v>
      </c>
      <c r="C154" s="10" t="s">
        <v>16</v>
      </c>
      <c r="D154" s="10" t="s">
        <v>53</v>
      </c>
      <c r="E154" s="51">
        <v>-19.2182018783455</v>
      </c>
      <c r="F154" s="51">
        <v>253.12944175448999</v>
      </c>
      <c r="G154" s="51">
        <v>269.07007314700297</v>
      </c>
      <c r="H154" s="51">
        <v>202.767429355281</v>
      </c>
      <c r="I154" s="11">
        <v>2.6</v>
      </c>
      <c r="J154" s="51">
        <v>5.7173122908937399</v>
      </c>
      <c r="K154" s="249">
        <f>IFERROR(VLOOKUP(C154,Schedule!$T$3:$U$34,2,0),"FA")</f>
        <v>9</v>
      </c>
      <c r="L154" s="10" t="str">
        <f>D154&amp;COUNTIF(D$2:$D154,D154)</f>
        <v>QB17</v>
      </c>
      <c r="M154" s="51">
        <f t="array" ref="M154">IFERROR(F154-AVERAGE(VLOOKUP(D154,$D155:$F$885,3,0),INDEX($F155:$F$885,SMALL(IF(D154=$D155:$D$885,ROW($D155:$D$885)-ROW(D154)),2))),0)</f>
        <v>8.1178875620364863</v>
      </c>
      <c r="N154" s="51">
        <f>IFERROR(IF(VLOOKUP($B154,Input!$AC$2:$AC$162,1,0)=$B154,0),F154)</f>
        <v>253.12944175448999</v>
      </c>
      <c r="O154" s="51">
        <f>IFERROR(IF(VLOOKUP($B154,Input!$AC$2:$AC$162,1,0)=$B154,0,G154),G154)</f>
        <v>269.07007314700297</v>
      </c>
      <c r="P154" s="51">
        <f>IF(N154=0,0,F154-AVERAGE(INDEX(F:F,MATCH(VLOOKUP(D154,Input!$A$14:$L$22,10,0),L:L,0)),INDEX(F:F,MATCH(VLOOKUP(D154,Input!$A$14:$L$22,11,0),L:L,0)),INDEX(F:F,MATCH(VLOOKUP(D154,Input!$A$14:$L$22,12,0),L:L,0)))+(0.01-ROW()*0.01))</f>
        <v>-20.74820187834564</v>
      </c>
      <c r="Q154" s="107">
        <f t="shared" si="60"/>
        <v>-7.1579831850034298E-3</v>
      </c>
      <c r="R154" s="11">
        <f>IF(VLOOKUP($D154,$X$14:$Y$19,2,0)&lt;=0,1,IF(Q154&lt;0,1,ROUNDUP(IF(Q154*('Draft Center'!$L$28+'Draft Center'!$L$78-'Draft Center'!$L$82)&lt;1,1,Q154*('Draft Center'!$L$28+'Draft Center'!$L$78-'Draft Center'!$L$82)),0)))</f>
        <v>1</v>
      </c>
      <c r="S154" s="11">
        <f>IF(A154&lt;Input!$B$10+0.1,IF(ROUNDUP(R154*Input!$C$10,0)=0,1,ROUNDUP(R154*Input!$C$10,0)),IF(A154&gt;Input!$B$11,IF(ROUNDUP(R154*Input!$C$11,0)=0,1,ROUNDUP(R154*Input!$C$11,0)),IF(ROUNDUP(R154,0)=0,1,ROUNDUP(R154,0))))</f>
        <v>1</v>
      </c>
      <c r="T154" s="11">
        <f t="shared" si="61"/>
        <v>1</v>
      </c>
      <c r="U154" s="11">
        <f>IFERROR(VLOOKUP($B154,Input!$AC$2:$AE$161,3,0),0)</f>
        <v>0</v>
      </c>
      <c r="V154" s="257">
        <f t="shared" si="66"/>
        <v>-0.61384461538461543</v>
      </c>
      <c r="W154" s="264">
        <f t="shared" si="67"/>
        <v>-1.59846</v>
      </c>
      <c r="X154" s="27"/>
      <c r="Y154" s="23"/>
      <c r="Z154" s="23"/>
      <c r="AA154" s="23">
        <v>0</v>
      </c>
      <c r="AB154" s="23">
        <f t="shared" si="74"/>
        <v>0</v>
      </c>
      <c r="AC154" s="23" t="str">
        <f t="shared" si="74"/>
        <v/>
      </c>
      <c r="AD154" s="23" t="str">
        <f t="shared" si="74"/>
        <v/>
      </c>
      <c r="AE154" s="23" t="str">
        <f t="shared" si="74"/>
        <v/>
      </c>
      <c r="AF154" s="23" t="str">
        <f t="shared" si="74"/>
        <v/>
      </c>
      <c r="AG154" s="23" t="str">
        <f t="shared" si="74"/>
        <v/>
      </c>
      <c r="AH154" s="23">
        <f t="shared" si="62"/>
        <v>0</v>
      </c>
      <c r="AI154" s="23">
        <f t="shared" si="63"/>
        <v>0</v>
      </c>
      <c r="AJ154" s="69">
        <v>1</v>
      </c>
      <c r="AK154" s="225">
        <v>2327.0337</v>
      </c>
      <c r="AL154" s="33">
        <v>1</v>
      </c>
      <c r="AM154" s="204">
        <v>2327.0337</v>
      </c>
      <c r="AN154" s="196"/>
      <c r="AO154" s="23"/>
      <c r="AP154" s="23"/>
      <c r="AQ154" s="23"/>
      <c r="AR154" s="23"/>
      <c r="AS154" s="23"/>
      <c r="AT154" s="23"/>
      <c r="AU154" s="23"/>
      <c r="AV154" s="23"/>
      <c r="AW154" s="23"/>
      <c r="AX154" s="23"/>
      <c r="AY154" s="23"/>
      <c r="AZ154" s="196"/>
      <c r="BA154" s="69">
        <f>IF(VLOOKUP($D154,$AO$14:AQ$19,COLUMN()-50,0)&lt;=0,1,IF($Q154&lt;0,1,ROUNDUP(IF($Q154*('Draft Center'!$L$28+'Draft Center'!$L$78-'Draft Center'!$L$82)&lt;1,1,$Q154*('Draft Center'!$L$28+'Draft Center'!$L$78-'Draft Center'!$L$82)),0)))</f>
        <v>1</v>
      </c>
      <c r="BB154" s="69">
        <f>IF(VLOOKUP($D154,$AO$14:AR$19,COLUMN()-50,0)&lt;=0,1,IF($Q154&lt;0,1,ROUNDUP(IF($Q154*('Draft Center'!$L$28+'Draft Center'!$L$78-'Draft Center'!$L$82)&lt;1,1,$Q154*('Draft Center'!$L$28+'Draft Center'!$L$78-'Draft Center'!$L$82)),0)))</f>
        <v>1</v>
      </c>
      <c r="BC154" s="69">
        <f>IF(VLOOKUP($D154,$AO$14:AS$19,COLUMN()-50,0)&lt;=0,1,IF($Q154&lt;0,1,ROUNDUP(IF($Q154*('Draft Center'!$L$28+'Draft Center'!$L$78-'Draft Center'!$L$82)&lt;1,1,$Q154*('Draft Center'!$L$28+'Draft Center'!$L$78-'Draft Center'!$L$82)),0)))</f>
        <v>1</v>
      </c>
      <c r="BD154" s="69">
        <f>IF(VLOOKUP($D154,$AO$14:AT$19,COLUMN()-50,0)&lt;=0,1,IF($Q154&lt;0,1,ROUNDUP(IF($Q154*('Draft Center'!$L$28+'Draft Center'!$L$78-'Draft Center'!$L$82)&lt;1,1,$Q154*('Draft Center'!$L$28+'Draft Center'!$L$78-'Draft Center'!$L$82)),0)))</f>
        <v>1</v>
      </c>
      <c r="BE154" s="69">
        <f>IF(VLOOKUP($D154,$AO$14:AU$19,COLUMN()-50,0)&lt;=0,1,IF($Q154&lt;0,1,ROUNDUP(IF($Q154*('Draft Center'!$L$28+'Draft Center'!$L$78-'Draft Center'!$L$82)&lt;1,1,$Q154*('Draft Center'!$L$28+'Draft Center'!$L$78-'Draft Center'!$L$82)),0)))</f>
        <v>1</v>
      </c>
      <c r="BF154" s="69">
        <f>IF(VLOOKUP($D154,$AO$14:AV$19,COLUMN()-50,0)&lt;=0,1,IF($Q154&lt;0,1,ROUNDUP(IF($Q154*('Draft Center'!$L$28+'Draft Center'!$L$78-'Draft Center'!$L$82)&lt;1,1,$Q154*('Draft Center'!$L$28+'Draft Center'!$L$78-'Draft Center'!$L$82)),0)))</f>
        <v>1</v>
      </c>
      <c r="BG154" s="69">
        <f>IF(VLOOKUP($D154,$AO$14:AW$19,COLUMN()-50,0)&lt;=0,1,IF($Q154&lt;0,1,ROUNDUP(IF($Q154*('Draft Center'!$L$28+'Draft Center'!$L$78-'Draft Center'!$L$82)&lt;1,1,$Q154*('Draft Center'!$L$28+'Draft Center'!$L$78-'Draft Center'!$L$82)),0)))</f>
        <v>1</v>
      </c>
      <c r="BH154" s="69">
        <f>IF(VLOOKUP($D154,$AO$14:AX$19,COLUMN()-50,0)&lt;=0,1,IF($Q154&lt;0,1,ROUNDUP(IF($Q154*('Draft Center'!$L$28+'Draft Center'!$L$78-'Draft Center'!$L$82)&lt;1,1,$Q154*('Draft Center'!$L$28+'Draft Center'!$L$78-'Draft Center'!$L$82)),0)))</f>
        <v>1</v>
      </c>
      <c r="BI154" s="69">
        <f>IF(VLOOKUP($D154,$AO$14:AY$19,COLUMN()-50,0)&lt;=0,1,IF($Q154&lt;0,1,ROUNDUP(IF($Q154*('Draft Center'!$L$28+'Draft Center'!$L$78-'Draft Center'!$L$82)&lt;1,1,$Q154*('Draft Center'!$L$28+'Draft Center'!$L$78-'Draft Center'!$L$82)),0)))</f>
        <v>1</v>
      </c>
      <c r="BJ154" s="196"/>
      <c r="BK154" s="23">
        <v>0</v>
      </c>
      <c r="BL154" s="23">
        <f t="shared" si="75"/>
        <v>0</v>
      </c>
      <c r="BM154" s="23">
        <v>0</v>
      </c>
      <c r="BN154" s="23" t="str">
        <f t="shared" si="75"/>
        <v/>
      </c>
      <c r="BO154" s="23" t="str">
        <f t="shared" si="75"/>
        <v/>
      </c>
      <c r="BP154" s="23" t="str">
        <f t="shared" si="75"/>
        <v/>
      </c>
      <c r="BQ154" s="23" t="str">
        <f t="shared" si="75"/>
        <v/>
      </c>
      <c r="BR154" s="23">
        <f t="shared" si="64"/>
        <v>0</v>
      </c>
      <c r="BS154" s="23">
        <f t="shared" si="65"/>
        <v>0</v>
      </c>
      <c r="BT154" s="69">
        <v>1</v>
      </c>
      <c r="BU154" s="58">
        <v>2327.0337</v>
      </c>
      <c r="BV154" s="33">
        <v>1</v>
      </c>
      <c r="BW154" s="204">
        <v>2327.0337</v>
      </c>
      <c r="BX154" s="23"/>
      <c r="BY154" s="69">
        <v>1</v>
      </c>
      <c r="BZ154" s="69">
        <v>2.6</v>
      </c>
      <c r="CA154" s="69">
        <v>2.6</v>
      </c>
      <c r="CB154" s="69">
        <v>2.6</v>
      </c>
      <c r="CC154" s="69">
        <f t="shared" si="68"/>
        <v>2.6</v>
      </c>
      <c r="CD154" s="69">
        <f t="shared" si="69"/>
        <v>2.6</v>
      </c>
    </row>
    <row r="155" spans="1:82" ht="15.75" customHeight="1" thickBot="1" x14ac:dyDescent="0.3">
      <c r="A155" s="6">
        <v>154</v>
      </c>
      <c r="B155" s="7" t="s">
        <v>304</v>
      </c>
      <c r="C155" s="7" t="s">
        <v>61</v>
      </c>
      <c r="D155" s="7" t="s">
        <v>135</v>
      </c>
      <c r="E155" s="50">
        <v>-19.524277299501598</v>
      </c>
      <c r="F155" s="50">
        <v>89.207281377435393</v>
      </c>
      <c r="G155" s="50">
        <v>103.939712209302</v>
      </c>
      <c r="H155" s="50">
        <v>73.400000000000006</v>
      </c>
      <c r="I155" s="8">
        <v>0</v>
      </c>
      <c r="J155" s="50">
        <v>2.8047048544766802</v>
      </c>
      <c r="K155" s="248">
        <f>IFERROR(VLOOKUP(C155,Schedule!$T$3:$U$34,2,0),"FA")</f>
        <v>5</v>
      </c>
      <c r="L155" s="7" t="str">
        <f>D155&amp;COUNTIF(D$2:$D155,D155)</f>
        <v>DST28</v>
      </c>
      <c r="M155" s="50">
        <f t="array" ref="M155">IFERROR(F155-AVERAGE(VLOOKUP(D155,$D156:$F$885,3,0),INDEX($F156:$F$885,SMALL(IF(D155=$D156:$D$885,ROW($D156:$D$885)-ROW(D155)),2))),0)</f>
        <v>7.0775894879926966</v>
      </c>
      <c r="N155" s="50">
        <f>IFERROR(IF(VLOOKUP($B155,Input!$AC$2:$AC$162,1,0)=$B155,0),F155)</f>
        <v>89.207281377435393</v>
      </c>
      <c r="O155" s="50">
        <f>IFERROR(IF(VLOOKUP($B155,Input!$AC$2:$AC$162,1,0)=$B155,0,G155),G155)</f>
        <v>103.939712209302</v>
      </c>
      <c r="P155" s="50">
        <f>IF(N155=0,0,F155-AVERAGE(INDEX(F:F,MATCH(VLOOKUP(D155,Input!$A$14:$L$22,10,0),L:L,0)),INDEX(F:F,MATCH(VLOOKUP(D155,Input!$A$14:$L$22,11,0),L:L,0)),INDEX(F:F,MATCH(VLOOKUP(D155,Input!$A$14:$L$22,12,0),L:L,0)))+(0.01-ROW()*0.01))</f>
        <v>-20.021105573176619</v>
      </c>
      <c r="Q155" s="106">
        <f t="shared" si="60"/>
        <v>-6.9071400923444073E-3</v>
      </c>
      <c r="R155" s="8">
        <f>IF(VLOOKUP($D155,$X$14:$Y$19,2,0)&lt;=0,1,IF(Q155&lt;0,1,ROUNDUP(IF(Q155*('Draft Center'!$L$28+'Draft Center'!$L$78-'Draft Center'!$L$82)&lt;1,1,Q155*('Draft Center'!$L$28+'Draft Center'!$L$78-'Draft Center'!$L$82)),0)))</f>
        <v>1</v>
      </c>
      <c r="S155" s="8">
        <f>IF(A155&lt;Input!$B$10+0.1,IF(ROUNDUP(R155*Input!$C$10,0)=0,1,ROUNDUP(R155*Input!$C$10,0)),IF(A155&gt;Input!$B$11,IF(ROUNDUP(R155*Input!$C$11,0)=0,1,ROUNDUP(R155*Input!$C$11,0)),IF(ROUNDUP(R155,0)=0,1,ROUNDUP(R155,0))))</f>
        <v>1</v>
      </c>
      <c r="T155" s="8">
        <f t="shared" si="61"/>
        <v>1</v>
      </c>
      <c r="U155" s="8">
        <f>IFERROR(VLOOKUP($B155,Input!$AC$2:$AE$161,3,0),0)</f>
        <v>0</v>
      </c>
      <c r="V155" s="256">
        <f t="shared" si="66"/>
        <v>0</v>
      </c>
      <c r="W155" s="263">
        <f t="shared" si="67"/>
        <v>1.0015499999999999</v>
      </c>
      <c r="X155" s="27"/>
      <c r="Y155" s="23"/>
      <c r="Z155" s="23"/>
      <c r="AA155" s="23">
        <v>0</v>
      </c>
      <c r="AB155" s="23" t="str">
        <f t="shared" si="74"/>
        <v/>
      </c>
      <c r="AC155" s="23" t="str">
        <f t="shared" si="74"/>
        <v/>
      </c>
      <c r="AD155" s="23" t="str">
        <f t="shared" si="74"/>
        <v/>
      </c>
      <c r="AE155" s="23" t="str">
        <f t="shared" si="74"/>
        <v/>
      </c>
      <c r="AF155" s="23">
        <f t="shared" si="74"/>
        <v>0</v>
      </c>
      <c r="AG155" s="23" t="str">
        <f t="shared" si="74"/>
        <v/>
      </c>
      <c r="AH155" s="23">
        <f t="shared" si="62"/>
        <v>0</v>
      </c>
      <c r="AI155" s="23">
        <f t="shared" si="63"/>
        <v>0</v>
      </c>
      <c r="AJ155" s="70">
        <v>1</v>
      </c>
      <c r="AK155" s="225">
        <v>2327.0337</v>
      </c>
      <c r="AL155" s="33">
        <v>1</v>
      </c>
      <c r="AM155" s="204">
        <v>2327.0337</v>
      </c>
      <c r="AN155" s="196"/>
      <c r="AO155" s="23"/>
      <c r="AP155" s="23"/>
      <c r="AQ155" s="23"/>
      <c r="AR155" s="23"/>
      <c r="AS155" s="23"/>
      <c r="AT155" s="23"/>
      <c r="AU155" s="23"/>
      <c r="AV155" s="23"/>
      <c r="AW155" s="23"/>
      <c r="AX155" s="23"/>
      <c r="AY155" s="23"/>
      <c r="AZ155" s="196"/>
      <c r="BA155" s="70">
        <f>IF(VLOOKUP($D155,$AO$14:AQ$19,COLUMN()-50,0)&lt;=0,1,IF($Q155&lt;0,1,ROUNDUP(IF($Q155*('Draft Center'!$L$28+'Draft Center'!$L$78-'Draft Center'!$L$82)&lt;1,1,$Q155*('Draft Center'!$L$28+'Draft Center'!$L$78-'Draft Center'!$L$82)),0)))</f>
        <v>1</v>
      </c>
      <c r="BB155" s="70">
        <f>IF(VLOOKUP($D155,$AO$14:AR$19,COLUMN()-50,0)&lt;=0,1,IF($Q155&lt;0,1,ROUNDUP(IF($Q155*('Draft Center'!$L$28+'Draft Center'!$L$78-'Draft Center'!$L$82)&lt;1,1,$Q155*('Draft Center'!$L$28+'Draft Center'!$L$78-'Draft Center'!$L$82)),0)))</f>
        <v>1</v>
      </c>
      <c r="BC155" s="70">
        <f>IF(VLOOKUP($D155,$AO$14:AS$19,COLUMN()-50,0)&lt;=0,1,IF($Q155&lt;0,1,ROUNDUP(IF($Q155*('Draft Center'!$L$28+'Draft Center'!$L$78-'Draft Center'!$L$82)&lt;1,1,$Q155*('Draft Center'!$L$28+'Draft Center'!$L$78-'Draft Center'!$L$82)),0)))</f>
        <v>1</v>
      </c>
      <c r="BD155" s="70">
        <f>IF(VLOOKUP($D155,$AO$14:AT$19,COLUMN()-50,0)&lt;=0,1,IF($Q155&lt;0,1,ROUNDUP(IF($Q155*('Draft Center'!$L$28+'Draft Center'!$L$78-'Draft Center'!$L$82)&lt;1,1,$Q155*('Draft Center'!$L$28+'Draft Center'!$L$78-'Draft Center'!$L$82)),0)))</f>
        <v>1</v>
      </c>
      <c r="BE155" s="70">
        <f>IF(VLOOKUP($D155,$AO$14:AU$19,COLUMN()-50,0)&lt;=0,1,IF($Q155&lt;0,1,ROUNDUP(IF($Q155*('Draft Center'!$L$28+'Draft Center'!$L$78-'Draft Center'!$L$82)&lt;1,1,$Q155*('Draft Center'!$L$28+'Draft Center'!$L$78-'Draft Center'!$L$82)),0)))</f>
        <v>1</v>
      </c>
      <c r="BF155" s="70">
        <f>IF(VLOOKUP($D155,$AO$14:AV$19,COLUMN()-50,0)&lt;=0,1,IF($Q155&lt;0,1,ROUNDUP(IF($Q155*('Draft Center'!$L$28+'Draft Center'!$L$78-'Draft Center'!$L$82)&lt;1,1,$Q155*('Draft Center'!$L$28+'Draft Center'!$L$78-'Draft Center'!$L$82)),0)))</f>
        <v>1</v>
      </c>
      <c r="BG155" s="70">
        <f>IF(VLOOKUP($D155,$AO$14:AW$19,COLUMN()-50,0)&lt;=0,1,IF($Q155&lt;0,1,ROUNDUP(IF($Q155*('Draft Center'!$L$28+'Draft Center'!$L$78-'Draft Center'!$L$82)&lt;1,1,$Q155*('Draft Center'!$L$28+'Draft Center'!$L$78-'Draft Center'!$L$82)),0)))</f>
        <v>1</v>
      </c>
      <c r="BH155" s="70">
        <f>IF(VLOOKUP($D155,$AO$14:AX$19,COLUMN()-50,0)&lt;=0,1,IF($Q155&lt;0,1,ROUNDUP(IF($Q155*('Draft Center'!$L$28+'Draft Center'!$L$78-'Draft Center'!$L$82)&lt;1,1,$Q155*('Draft Center'!$L$28+'Draft Center'!$L$78-'Draft Center'!$L$82)),0)))</f>
        <v>1</v>
      </c>
      <c r="BI155" s="70">
        <f>IF(VLOOKUP($D155,$AO$14:AY$19,COLUMN()-50,0)&lt;=0,1,IF($Q155&lt;0,1,ROUNDUP(IF($Q155*('Draft Center'!$L$28+'Draft Center'!$L$78-'Draft Center'!$L$82)&lt;1,1,$Q155*('Draft Center'!$L$28+'Draft Center'!$L$78-'Draft Center'!$L$82)),0)))</f>
        <v>1</v>
      </c>
      <c r="BJ155" s="196"/>
      <c r="BK155" s="23">
        <v>0</v>
      </c>
      <c r="BL155" s="23" t="str">
        <f t="shared" si="75"/>
        <v/>
      </c>
      <c r="BM155" s="23">
        <v>0</v>
      </c>
      <c r="BN155" s="23" t="str">
        <f t="shared" si="75"/>
        <v/>
      </c>
      <c r="BO155" s="23" t="str">
        <f t="shared" si="75"/>
        <v/>
      </c>
      <c r="BP155" s="23">
        <f t="shared" si="75"/>
        <v>0</v>
      </c>
      <c r="BQ155" s="23" t="str">
        <f t="shared" si="75"/>
        <v/>
      </c>
      <c r="BR155" s="23">
        <f t="shared" si="64"/>
        <v>0</v>
      </c>
      <c r="BS155" s="23">
        <f t="shared" si="65"/>
        <v>0</v>
      </c>
      <c r="BT155" s="70">
        <v>1</v>
      </c>
      <c r="BU155" s="58">
        <v>2327.0337</v>
      </c>
      <c r="BV155" s="33">
        <v>1</v>
      </c>
      <c r="BW155" s="204">
        <v>2327.0337</v>
      </c>
      <c r="BX155" s="23"/>
      <c r="BY155" s="70">
        <v>1</v>
      </c>
      <c r="BZ155" s="70">
        <v>0</v>
      </c>
      <c r="CA155" s="70">
        <v>0</v>
      </c>
      <c r="CB155" s="70">
        <v>0</v>
      </c>
      <c r="CC155" s="70">
        <f t="shared" si="68"/>
        <v>0</v>
      </c>
      <c r="CD155" s="70">
        <f t="shared" si="69"/>
        <v>0</v>
      </c>
    </row>
    <row r="156" spans="1:82" ht="15.75" customHeight="1" thickBot="1" x14ac:dyDescent="0.3">
      <c r="A156" s="9">
        <v>155</v>
      </c>
      <c r="B156" s="10" t="s">
        <v>171</v>
      </c>
      <c r="C156" s="10" t="s">
        <v>47</v>
      </c>
      <c r="D156" s="10" t="s">
        <v>19</v>
      </c>
      <c r="E156" s="51">
        <v>-20.7853229241327</v>
      </c>
      <c r="F156" s="51">
        <v>148.317075101819</v>
      </c>
      <c r="G156" s="51">
        <v>152.150530021017</v>
      </c>
      <c r="H156" s="51">
        <v>141.30000000000001</v>
      </c>
      <c r="I156" s="11">
        <v>1.2</v>
      </c>
      <c r="J156" s="51">
        <v>4.0167042661700298</v>
      </c>
      <c r="K156" s="249">
        <f>IFERROR(VLOOKUP(C156,Schedule!$T$3:$U$34,2,0),"FA")</f>
        <v>10</v>
      </c>
      <c r="L156" s="10" t="str">
        <f>D156&amp;COUNTIF(D$2:$D156,D156)</f>
        <v>RB37</v>
      </c>
      <c r="M156" s="51">
        <f t="array" ref="M156">IFERROR(F156-AVERAGE(VLOOKUP(D156,$D157:$F$885,3,0),INDEX($F157:$F$885,SMALL(IF(D156=$D157:$D$885,ROW($D157:$D$885)-ROW(D156)),2))),0)</f>
        <v>10.330330992421011</v>
      </c>
      <c r="N156" s="51">
        <f>IFERROR(IF(VLOOKUP($B156,Input!$AC$2:$AC$162,1,0)=$B156,0),F156)</f>
        <v>148.317075101819</v>
      </c>
      <c r="O156" s="51">
        <f>IFERROR(IF(VLOOKUP($B156,Input!$AC$2:$AC$162,1,0)=$B156,0,G156),G156)</f>
        <v>152.150530021017</v>
      </c>
      <c r="P156" s="51">
        <f>IF(N156=0,0,F156-AVERAGE(INDEX(F:F,MATCH(VLOOKUP(D156,Input!$A$14:$L$22,10,0),L:L,0)),INDEX(F:F,MATCH(VLOOKUP(D156,Input!$A$14:$L$22,11,0),L:L,0)),INDEX(F:F,MATCH(VLOOKUP(D156,Input!$A$14:$L$22,12,0),L:L,0)))+(0.01-ROW()*0.01))</f>
        <v>-22.335322924132999</v>
      </c>
      <c r="Q156" s="107">
        <f t="shared" si="60"/>
        <v>-7.7055287422002549E-3</v>
      </c>
      <c r="R156" s="11">
        <f>IF(VLOOKUP($D156,$X$14:$Y$19,2,0)&lt;=0,1,IF(Q156&lt;0,1,ROUNDUP(IF(Q156*('Draft Center'!$L$28+'Draft Center'!$L$78-'Draft Center'!$L$82)&lt;1,1,Q156*('Draft Center'!$L$28+'Draft Center'!$L$78-'Draft Center'!$L$82)),0)))</f>
        <v>1</v>
      </c>
      <c r="S156" s="11">
        <f>IF(A156&lt;Input!$B$10+0.1,IF(ROUNDUP(R156*Input!$C$10,0)=0,1,ROUNDUP(R156*Input!$C$10,0)),IF(A156&gt;Input!$B$11,IF(ROUNDUP(R156*Input!$C$11,0)=0,1,ROUNDUP(R156*Input!$C$11,0)),IF(ROUNDUP(R156,0)=0,1,ROUNDUP(R156,0))))</f>
        <v>1</v>
      </c>
      <c r="T156" s="11">
        <f t="shared" si="61"/>
        <v>1</v>
      </c>
      <c r="U156" s="11">
        <f>IFERROR(VLOOKUP($B156,Input!$AC$2:$AE$161,3,0),0)</f>
        <v>0</v>
      </c>
      <c r="V156" s="257">
        <f t="shared" si="66"/>
        <v>-0.16510666666666662</v>
      </c>
      <c r="W156" s="264">
        <f t="shared" si="67"/>
        <v>-0.19843999999999995</v>
      </c>
      <c r="X156" s="27"/>
      <c r="Y156" s="23"/>
      <c r="Z156" s="23"/>
      <c r="AA156" s="23">
        <v>0</v>
      </c>
      <c r="AB156" s="23" t="str">
        <f t="shared" si="74"/>
        <v/>
      </c>
      <c r="AC156" s="23">
        <f t="shared" si="74"/>
        <v>0</v>
      </c>
      <c r="AD156" s="23" t="str">
        <f t="shared" si="74"/>
        <v/>
      </c>
      <c r="AE156" s="23" t="str">
        <f t="shared" si="74"/>
        <v/>
      </c>
      <c r="AF156" s="23" t="str">
        <f t="shared" si="74"/>
        <v/>
      </c>
      <c r="AG156" s="23" t="str">
        <f t="shared" si="74"/>
        <v/>
      </c>
      <c r="AH156" s="23">
        <f t="shared" si="62"/>
        <v>0</v>
      </c>
      <c r="AI156" s="23">
        <f t="shared" si="63"/>
        <v>0</v>
      </c>
      <c r="AJ156" s="69">
        <v>1</v>
      </c>
      <c r="AK156" s="225">
        <v>2327.0337</v>
      </c>
      <c r="AL156" s="33">
        <v>1</v>
      </c>
      <c r="AM156" s="204">
        <v>2327.0337</v>
      </c>
      <c r="AN156" s="196"/>
      <c r="AO156" s="23"/>
      <c r="AP156" s="23"/>
      <c r="AQ156" s="23"/>
      <c r="AR156" s="23"/>
      <c r="AS156" s="23"/>
      <c r="AT156" s="23"/>
      <c r="AU156" s="23"/>
      <c r="AV156" s="23"/>
      <c r="AW156" s="23"/>
      <c r="AX156" s="23"/>
      <c r="AY156" s="23"/>
      <c r="AZ156" s="196"/>
      <c r="BA156" s="69">
        <f>IF(VLOOKUP($D156,$AO$14:AQ$19,COLUMN()-50,0)&lt;=0,1,IF($Q156&lt;0,1,ROUNDUP(IF($Q156*('Draft Center'!$L$28+'Draft Center'!$L$78-'Draft Center'!$L$82)&lt;1,1,$Q156*('Draft Center'!$L$28+'Draft Center'!$L$78-'Draft Center'!$L$82)),0)))</f>
        <v>1</v>
      </c>
      <c r="BB156" s="69">
        <f>IF(VLOOKUP($D156,$AO$14:AR$19,COLUMN()-50,0)&lt;=0,1,IF($Q156&lt;0,1,ROUNDUP(IF($Q156*('Draft Center'!$L$28+'Draft Center'!$L$78-'Draft Center'!$L$82)&lt;1,1,$Q156*('Draft Center'!$L$28+'Draft Center'!$L$78-'Draft Center'!$L$82)),0)))</f>
        <v>1</v>
      </c>
      <c r="BC156" s="69">
        <f>IF(VLOOKUP($D156,$AO$14:AS$19,COLUMN()-50,0)&lt;=0,1,IF($Q156&lt;0,1,ROUNDUP(IF($Q156*('Draft Center'!$L$28+'Draft Center'!$L$78-'Draft Center'!$L$82)&lt;1,1,$Q156*('Draft Center'!$L$28+'Draft Center'!$L$78-'Draft Center'!$L$82)),0)))</f>
        <v>1</v>
      </c>
      <c r="BD156" s="69">
        <f>IF(VLOOKUP($D156,$AO$14:AT$19,COLUMN()-50,0)&lt;=0,1,IF($Q156&lt;0,1,ROUNDUP(IF($Q156*('Draft Center'!$L$28+'Draft Center'!$L$78-'Draft Center'!$L$82)&lt;1,1,$Q156*('Draft Center'!$L$28+'Draft Center'!$L$78-'Draft Center'!$L$82)),0)))</f>
        <v>1</v>
      </c>
      <c r="BE156" s="69">
        <f>IF(VLOOKUP($D156,$AO$14:AU$19,COLUMN()-50,0)&lt;=0,1,IF($Q156&lt;0,1,ROUNDUP(IF($Q156*('Draft Center'!$L$28+'Draft Center'!$L$78-'Draft Center'!$L$82)&lt;1,1,$Q156*('Draft Center'!$L$28+'Draft Center'!$L$78-'Draft Center'!$L$82)),0)))</f>
        <v>1</v>
      </c>
      <c r="BF156" s="69">
        <f>IF(VLOOKUP($D156,$AO$14:AV$19,COLUMN()-50,0)&lt;=0,1,IF($Q156&lt;0,1,ROUNDUP(IF($Q156*('Draft Center'!$L$28+'Draft Center'!$L$78-'Draft Center'!$L$82)&lt;1,1,$Q156*('Draft Center'!$L$28+'Draft Center'!$L$78-'Draft Center'!$L$82)),0)))</f>
        <v>1</v>
      </c>
      <c r="BG156" s="69">
        <f>IF(VLOOKUP($D156,$AO$14:AW$19,COLUMN()-50,0)&lt;=0,1,IF($Q156&lt;0,1,ROUNDUP(IF($Q156*('Draft Center'!$L$28+'Draft Center'!$L$78-'Draft Center'!$L$82)&lt;1,1,$Q156*('Draft Center'!$L$28+'Draft Center'!$L$78-'Draft Center'!$L$82)),0)))</f>
        <v>1</v>
      </c>
      <c r="BH156" s="69">
        <f>IF(VLOOKUP($D156,$AO$14:AX$19,COLUMN()-50,0)&lt;=0,1,IF($Q156&lt;0,1,ROUNDUP(IF($Q156*('Draft Center'!$L$28+'Draft Center'!$L$78-'Draft Center'!$L$82)&lt;1,1,$Q156*('Draft Center'!$L$28+'Draft Center'!$L$78-'Draft Center'!$L$82)),0)))</f>
        <v>1</v>
      </c>
      <c r="BI156" s="69">
        <f>IF(VLOOKUP($D156,$AO$14:AY$19,COLUMN()-50,0)&lt;=0,1,IF($Q156&lt;0,1,ROUNDUP(IF($Q156*('Draft Center'!$L$28+'Draft Center'!$L$78-'Draft Center'!$L$82)&lt;1,1,$Q156*('Draft Center'!$L$28+'Draft Center'!$L$78-'Draft Center'!$L$82)),0)))</f>
        <v>1</v>
      </c>
      <c r="BJ156" s="196"/>
      <c r="BK156" s="23">
        <v>0</v>
      </c>
      <c r="BL156" s="23" t="str">
        <f t="shared" si="75"/>
        <v/>
      </c>
      <c r="BM156" s="23">
        <v>0</v>
      </c>
      <c r="BN156" s="23" t="str">
        <f t="shared" si="75"/>
        <v/>
      </c>
      <c r="BO156" s="23" t="str">
        <f t="shared" si="75"/>
        <v/>
      </c>
      <c r="BP156" s="23" t="str">
        <f t="shared" si="75"/>
        <v/>
      </c>
      <c r="BQ156" s="23" t="str">
        <f t="shared" si="75"/>
        <v/>
      </c>
      <c r="BR156" s="23">
        <f t="shared" si="64"/>
        <v>0</v>
      </c>
      <c r="BS156" s="23">
        <f t="shared" si="65"/>
        <v>0</v>
      </c>
      <c r="BT156" s="69">
        <v>1</v>
      </c>
      <c r="BU156" s="58">
        <v>2327.0337</v>
      </c>
      <c r="BV156" s="33">
        <v>1</v>
      </c>
      <c r="BW156" s="204">
        <v>2327.0337</v>
      </c>
      <c r="BX156" s="23"/>
      <c r="BY156" s="69">
        <v>1</v>
      </c>
      <c r="BZ156" s="69">
        <v>1.2</v>
      </c>
      <c r="CA156" s="69">
        <v>1.2</v>
      </c>
      <c r="CB156" s="69">
        <v>1.2</v>
      </c>
      <c r="CC156" s="69">
        <f t="shared" si="68"/>
        <v>1.2</v>
      </c>
      <c r="CD156" s="69">
        <f t="shared" si="69"/>
        <v>1.2</v>
      </c>
    </row>
    <row r="157" spans="1:82" ht="15.75" customHeight="1" thickBot="1" x14ac:dyDescent="0.3">
      <c r="A157" s="6">
        <v>156</v>
      </c>
      <c r="B157" s="7" t="s">
        <v>154</v>
      </c>
      <c r="C157" s="7" t="s">
        <v>50</v>
      </c>
      <c r="D157" s="7" t="s">
        <v>43</v>
      </c>
      <c r="E157" s="50">
        <v>-21.196220688951499</v>
      </c>
      <c r="F157" s="50">
        <v>132.264698663258</v>
      </c>
      <c r="G157" s="50">
        <v>143.525552304554</v>
      </c>
      <c r="H157" s="50">
        <v>114.67220850480101</v>
      </c>
      <c r="I157" s="8">
        <v>0</v>
      </c>
      <c r="J157" s="50">
        <v>4.0596988364123101</v>
      </c>
      <c r="K157" s="248">
        <f>IFERROR(VLOOKUP(C157,Schedule!$T$3:$U$34,2,0),"FA")</f>
        <v>6</v>
      </c>
      <c r="L157" s="7" t="str">
        <f>D157&amp;COUNTIF(D$2:$D157,D157)</f>
        <v>TE17</v>
      </c>
      <c r="M157" s="50">
        <f t="array" ref="M157">IFERROR(F157-AVERAGE(VLOOKUP(D157,$D158:$F$885,3,0),INDEX($F158:$F$885,SMALL(IF(D157=$D158:$D$885,ROW($D158:$D$885)-ROW(D157)),2))),0)</f>
        <v>4.3857409435555041</v>
      </c>
      <c r="N157" s="50">
        <f>IFERROR(IF(VLOOKUP($B157,Input!$AC$2:$AC$162,1,0)=$B157,0),F157)</f>
        <v>132.264698663258</v>
      </c>
      <c r="O157" s="50">
        <f>IFERROR(IF(VLOOKUP($B157,Input!$AC$2:$AC$162,1,0)=$B157,0,G157),G157)</f>
        <v>143.525552304554</v>
      </c>
      <c r="P157" s="50">
        <f>IF(N157=0,0,F157-AVERAGE(INDEX(F:F,MATCH(VLOOKUP(D157,Input!$A$14:$L$22,10,0),L:L,0)),INDEX(F:F,MATCH(VLOOKUP(D157,Input!$A$14:$L$22,11,0),L:L,0)),INDEX(F:F,MATCH(VLOOKUP(D157,Input!$A$14:$L$22,12,0),L:L,0)))+(0.01-ROW()*0.01))</f>
        <v>-22.756220688951313</v>
      </c>
      <c r="Q157" s="106">
        <f t="shared" si="60"/>
        <v>-7.8507354999154573E-3</v>
      </c>
      <c r="R157" s="8">
        <f>IF(VLOOKUP($D157,$X$14:$Y$19,2,0)&lt;=0,1,IF(Q157&lt;0,1,ROUNDUP(IF(Q157*('Draft Center'!$L$28+'Draft Center'!$L$78-'Draft Center'!$L$82)&lt;1,1,Q157*('Draft Center'!$L$28+'Draft Center'!$L$78-'Draft Center'!$L$82)),0)))</f>
        <v>1</v>
      </c>
      <c r="S157" s="8">
        <f>IF(A157&lt;Input!$B$10+0.1,IF(ROUNDUP(R157*Input!$C$10,0)=0,1,ROUNDUP(R157*Input!$C$10,0)),IF(A157&gt;Input!$B$11,IF(ROUNDUP(R157*Input!$C$11,0)=0,1,ROUNDUP(R157*Input!$C$11,0)),IF(ROUNDUP(R157,0)=0,1,ROUNDUP(R157,0))))</f>
        <v>1</v>
      </c>
      <c r="T157" s="8">
        <f t="shared" si="61"/>
        <v>1</v>
      </c>
      <c r="U157" s="8">
        <f>IFERROR(VLOOKUP($B157,Input!$AC$2:$AE$161,3,0),0)</f>
        <v>0</v>
      </c>
      <c r="V157" s="256">
        <f t="shared" si="66"/>
        <v>0</v>
      </c>
      <c r="W157" s="263">
        <f t="shared" si="67"/>
        <v>1.0015700000000001</v>
      </c>
      <c r="X157" s="27"/>
      <c r="Y157" s="23"/>
      <c r="Z157" s="23"/>
      <c r="AA157" s="23">
        <v>0</v>
      </c>
      <c r="AB157" s="23" t="str">
        <f t="shared" si="74"/>
        <v/>
      </c>
      <c r="AC157" s="23" t="str">
        <f t="shared" si="74"/>
        <v/>
      </c>
      <c r="AD157" s="23" t="str">
        <f t="shared" si="74"/>
        <v/>
      </c>
      <c r="AE157" s="23">
        <f t="shared" si="74"/>
        <v>0</v>
      </c>
      <c r="AF157" s="23" t="str">
        <f t="shared" si="74"/>
        <v/>
      </c>
      <c r="AG157" s="23" t="str">
        <f t="shared" si="74"/>
        <v/>
      </c>
      <c r="AH157" s="23">
        <f t="shared" si="62"/>
        <v>0</v>
      </c>
      <c r="AI157" s="23">
        <f t="shared" si="63"/>
        <v>0</v>
      </c>
      <c r="AJ157" s="70">
        <v>1</v>
      </c>
      <c r="AK157" s="225">
        <v>2327.0337</v>
      </c>
      <c r="AL157" s="33">
        <v>1</v>
      </c>
      <c r="AM157" s="204">
        <v>2327.0337</v>
      </c>
      <c r="AN157" s="196"/>
      <c r="AO157" s="23"/>
      <c r="AP157" s="23"/>
      <c r="AQ157" s="23"/>
      <c r="AR157" s="23"/>
      <c r="AS157" s="23"/>
      <c r="AT157" s="23"/>
      <c r="AU157" s="23"/>
      <c r="AV157" s="23"/>
      <c r="AW157" s="23"/>
      <c r="AX157" s="23"/>
      <c r="AY157" s="23"/>
      <c r="AZ157" s="196"/>
      <c r="BA157" s="70">
        <f>IF(VLOOKUP($D157,$AO$14:AQ$19,COLUMN()-50,0)&lt;=0,1,IF($Q157&lt;0,1,ROUNDUP(IF($Q157*('Draft Center'!$L$28+'Draft Center'!$L$78-'Draft Center'!$L$82)&lt;1,1,$Q157*('Draft Center'!$L$28+'Draft Center'!$L$78-'Draft Center'!$L$82)),0)))</f>
        <v>1</v>
      </c>
      <c r="BB157" s="70">
        <f>IF(VLOOKUP($D157,$AO$14:AR$19,COLUMN()-50,0)&lt;=0,1,IF($Q157&lt;0,1,ROUNDUP(IF($Q157*('Draft Center'!$L$28+'Draft Center'!$L$78-'Draft Center'!$L$82)&lt;1,1,$Q157*('Draft Center'!$L$28+'Draft Center'!$L$78-'Draft Center'!$L$82)),0)))</f>
        <v>1</v>
      </c>
      <c r="BC157" s="70">
        <f>IF(VLOOKUP($D157,$AO$14:AS$19,COLUMN()-50,0)&lt;=0,1,IF($Q157&lt;0,1,ROUNDUP(IF($Q157*('Draft Center'!$L$28+'Draft Center'!$L$78-'Draft Center'!$L$82)&lt;1,1,$Q157*('Draft Center'!$L$28+'Draft Center'!$L$78-'Draft Center'!$L$82)),0)))</f>
        <v>1</v>
      </c>
      <c r="BD157" s="70">
        <f>IF(VLOOKUP($D157,$AO$14:AT$19,COLUMN()-50,0)&lt;=0,1,IF($Q157&lt;0,1,ROUNDUP(IF($Q157*('Draft Center'!$L$28+'Draft Center'!$L$78-'Draft Center'!$L$82)&lt;1,1,$Q157*('Draft Center'!$L$28+'Draft Center'!$L$78-'Draft Center'!$L$82)),0)))</f>
        <v>1</v>
      </c>
      <c r="BE157" s="70">
        <f>IF(VLOOKUP($D157,$AO$14:AU$19,COLUMN()-50,0)&lt;=0,1,IF($Q157&lt;0,1,ROUNDUP(IF($Q157*('Draft Center'!$L$28+'Draft Center'!$L$78-'Draft Center'!$L$82)&lt;1,1,$Q157*('Draft Center'!$L$28+'Draft Center'!$L$78-'Draft Center'!$L$82)),0)))</f>
        <v>1</v>
      </c>
      <c r="BF157" s="70">
        <f>IF(VLOOKUP($D157,$AO$14:AV$19,COLUMN()-50,0)&lt;=0,1,IF($Q157&lt;0,1,ROUNDUP(IF($Q157*('Draft Center'!$L$28+'Draft Center'!$L$78-'Draft Center'!$L$82)&lt;1,1,$Q157*('Draft Center'!$L$28+'Draft Center'!$L$78-'Draft Center'!$L$82)),0)))</f>
        <v>1</v>
      </c>
      <c r="BG157" s="70">
        <f>IF(VLOOKUP($D157,$AO$14:AW$19,COLUMN()-50,0)&lt;=0,1,IF($Q157&lt;0,1,ROUNDUP(IF($Q157*('Draft Center'!$L$28+'Draft Center'!$L$78-'Draft Center'!$L$82)&lt;1,1,$Q157*('Draft Center'!$L$28+'Draft Center'!$L$78-'Draft Center'!$L$82)),0)))</f>
        <v>1</v>
      </c>
      <c r="BH157" s="70">
        <f>IF(VLOOKUP($D157,$AO$14:AX$19,COLUMN()-50,0)&lt;=0,1,IF($Q157&lt;0,1,ROUNDUP(IF($Q157*('Draft Center'!$L$28+'Draft Center'!$L$78-'Draft Center'!$L$82)&lt;1,1,$Q157*('Draft Center'!$L$28+'Draft Center'!$L$78-'Draft Center'!$L$82)),0)))</f>
        <v>1</v>
      </c>
      <c r="BI157" s="70">
        <f>IF(VLOOKUP($D157,$AO$14:AY$19,COLUMN()-50,0)&lt;=0,1,IF($Q157&lt;0,1,ROUNDUP(IF($Q157*('Draft Center'!$L$28+'Draft Center'!$L$78-'Draft Center'!$L$82)&lt;1,1,$Q157*('Draft Center'!$L$28+'Draft Center'!$L$78-'Draft Center'!$L$82)),0)))</f>
        <v>1</v>
      </c>
      <c r="BJ157" s="196"/>
      <c r="BK157" s="23">
        <v>0</v>
      </c>
      <c r="BL157" s="23" t="str">
        <f t="shared" si="75"/>
        <v/>
      </c>
      <c r="BM157" s="23">
        <v>0</v>
      </c>
      <c r="BN157" s="23" t="str">
        <f t="shared" si="75"/>
        <v/>
      </c>
      <c r="BO157" s="23">
        <f t="shared" si="75"/>
        <v>0</v>
      </c>
      <c r="BP157" s="23" t="str">
        <f t="shared" si="75"/>
        <v/>
      </c>
      <c r="BQ157" s="23" t="str">
        <f t="shared" si="75"/>
        <v/>
      </c>
      <c r="BR157" s="23">
        <f t="shared" si="64"/>
        <v>0</v>
      </c>
      <c r="BS157" s="23">
        <f t="shared" si="65"/>
        <v>0</v>
      </c>
      <c r="BT157" s="70">
        <v>1</v>
      </c>
      <c r="BU157" s="58">
        <v>2327.0337</v>
      </c>
      <c r="BV157" s="33">
        <v>1</v>
      </c>
      <c r="BW157" s="204">
        <v>2327.0337</v>
      </c>
      <c r="BX157" s="23"/>
      <c r="BY157" s="70">
        <v>1</v>
      </c>
      <c r="BZ157" s="70">
        <v>0</v>
      </c>
      <c r="CA157" s="70">
        <v>0</v>
      </c>
      <c r="CB157" s="70">
        <v>0</v>
      </c>
      <c r="CC157" s="70">
        <f t="shared" si="68"/>
        <v>0</v>
      </c>
      <c r="CD157" s="70">
        <f t="shared" si="69"/>
        <v>0</v>
      </c>
    </row>
    <row r="158" spans="1:82" ht="15.75" customHeight="1" thickBot="1" x14ac:dyDescent="0.3">
      <c r="A158" s="9">
        <v>157</v>
      </c>
      <c r="B158" s="10" t="s">
        <v>356</v>
      </c>
      <c r="C158" s="10" t="s">
        <v>66</v>
      </c>
      <c r="D158" s="10" t="s">
        <v>43</v>
      </c>
      <c r="E158" s="51">
        <v>-21.748824520987299</v>
      </c>
      <c r="F158" s="51">
        <v>131.712094831222</v>
      </c>
      <c r="G158" s="51">
        <v>143.91750841152299</v>
      </c>
      <c r="H158" s="51">
        <v>109.202146992319</v>
      </c>
      <c r="I158" s="11">
        <v>0</v>
      </c>
      <c r="J158" s="51">
        <v>4.3865909119068398</v>
      </c>
      <c r="K158" s="249">
        <f>IFERROR(VLOOKUP(C158,Schedule!$T$3:$U$34,2,0),"FA")</f>
        <v>7</v>
      </c>
      <c r="L158" s="10" t="str">
        <f>D158&amp;COUNTIF(D$2:$D158,D158)</f>
        <v>TE18</v>
      </c>
      <c r="M158" s="51">
        <f t="array" ref="M158">IFERROR(F158-AVERAGE(VLOOKUP(D158,$D159:$F$885,3,0),INDEX($F159:$F$885,SMALL(IF(D158=$D159:$D$885,ROW($D159:$D$885)-ROW(D158)),2))),0)</f>
        <v>8.2327691219599899</v>
      </c>
      <c r="N158" s="51">
        <f>IFERROR(IF(VLOOKUP($B158,Input!$AC$2:$AC$162,1,0)=$B158,0),F158)</f>
        <v>131.712094831222</v>
      </c>
      <c r="O158" s="51">
        <f>IFERROR(IF(VLOOKUP($B158,Input!$AC$2:$AC$162,1,0)=$B158,0,G158),G158)</f>
        <v>143.91750841152299</v>
      </c>
      <c r="P158" s="51">
        <f>IF(N158=0,0,F158-AVERAGE(INDEX(F:F,MATCH(VLOOKUP(D158,Input!$A$14:$L$22,10,0),L:L,0)),INDEX(F:F,MATCH(VLOOKUP(D158,Input!$A$14:$L$22,11,0),L:L,0)),INDEX(F:F,MATCH(VLOOKUP(D158,Input!$A$14:$L$22,12,0),L:L,0)))+(0.01-ROW()*0.01))</f>
        <v>-23.318824520987313</v>
      </c>
      <c r="Q158" s="107">
        <f t="shared" si="60"/>
        <v>-8.0448298505076E-3</v>
      </c>
      <c r="R158" s="11">
        <f>IF(VLOOKUP($D158,$X$14:$Y$19,2,0)&lt;=0,1,IF(Q158&lt;0,1,ROUNDUP(IF(Q158*('Draft Center'!$L$28+'Draft Center'!$L$78-'Draft Center'!$L$82)&lt;1,1,Q158*('Draft Center'!$L$28+'Draft Center'!$L$78-'Draft Center'!$L$82)),0)))</f>
        <v>1</v>
      </c>
      <c r="S158" s="11">
        <f>IF(A158&lt;Input!$B$10+0.1,IF(ROUNDUP(R158*Input!$C$10,0)=0,1,ROUNDUP(R158*Input!$C$10,0)),IF(A158&gt;Input!$B$11,IF(ROUNDUP(R158*Input!$C$11,0)=0,1,ROUNDUP(R158*Input!$C$11,0)),IF(ROUNDUP(R158,0)=0,1,ROUNDUP(R158,0))))</f>
        <v>1</v>
      </c>
      <c r="T158" s="11">
        <f t="shared" si="61"/>
        <v>1</v>
      </c>
      <c r="U158" s="11">
        <f>IFERROR(VLOOKUP($B158,Input!$AC$2:$AE$161,3,0),0)</f>
        <v>0</v>
      </c>
      <c r="V158" s="257">
        <f t="shared" si="66"/>
        <v>0</v>
      </c>
      <c r="W158" s="264">
        <f t="shared" si="67"/>
        <v>1.0015799999999999</v>
      </c>
      <c r="X158" s="27"/>
      <c r="Y158" s="23"/>
      <c r="Z158" s="23"/>
      <c r="AA158" s="23">
        <v>0</v>
      </c>
      <c r="AB158" s="23" t="str">
        <f t="shared" si="74"/>
        <v/>
      </c>
      <c r="AC158" s="23" t="str">
        <f t="shared" si="74"/>
        <v/>
      </c>
      <c r="AD158" s="23" t="str">
        <f t="shared" si="74"/>
        <v/>
      </c>
      <c r="AE158" s="23">
        <f t="shared" si="74"/>
        <v>0</v>
      </c>
      <c r="AF158" s="23" t="str">
        <f t="shared" si="74"/>
        <v/>
      </c>
      <c r="AG158" s="23" t="str">
        <f t="shared" si="74"/>
        <v/>
      </c>
      <c r="AH158" s="23">
        <f t="shared" si="62"/>
        <v>0</v>
      </c>
      <c r="AI158" s="23">
        <f t="shared" si="63"/>
        <v>0</v>
      </c>
      <c r="AJ158" s="69">
        <v>1</v>
      </c>
      <c r="AK158" s="225">
        <v>2327.0337</v>
      </c>
      <c r="AL158" s="33">
        <v>1</v>
      </c>
      <c r="AM158" s="204">
        <v>2327.0337</v>
      </c>
      <c r="AN158" s="196"/>
      <c r="AO158" s="23"/>
      <c r="AP158" s="23"/>
      <c r="AQ158" s="23"/>
      <c r="AR158" s="23"/>
      <c r="AS158" s="23"/>
      <c r="AT158" s="23"/>
      <c r="AU158" s="23"/>
      <c r="AV158" s="23"/>
      <c r="AW158" s="23"/>
      <c r="AX158" s="23"/>
      <c r="AY158" s="23"/>
      <c r="AZ158" s="196"/>
      <c r="BA158" s="69">
        <f>IF(VLOOKUP($D158,$AO$14:AQ$19,COLUMN()-50,0)&lt;=0,1,IF($Q158&lt;0,1,ROUNDUP(IF($Q158*('Draft Center'!$L$28+'Draft Center'!$L$78-'Draft Center'!$L$82)&lt;1,1,$Q158*('Draft Center'!$L$28+'Draft Center'!$L$78-'Draft Center'!$L$82)),0)))</f>
        <v>1</v>
      </c>
      <c r="BB158" s="69">
        <f>IF(VLOOKUP($D158,$AO$14:AR$19,COLUMN()-50,0)&lt;=0,1,IF($Q158&lt;0,1,ROUNDUP(IF($Q158*('Draft Center'!$L$28+'Draft Center'!$L$78-'Draft Center'!$L$82)&lt;1,1,$Q158*('Draft Center'!$L$28+'Draft Center'!$L$78-'Draft Center'!$L$82)),0)))</f>
        <v>1</v>
      </c>
      <c r="BC158" s="69">
        <f>IF(VLOOKUP($D158,$AO$14:AS$19,COLUMN()-50,0)&lt;=0,1,IF($Q158&lt;0,1,ROUNDUP(IF($Q158*('Draft Center'!$L$28+'Draft Center'!$L$78-'Draft Center'!$L$82)&lt;1,1,$Q158*('Draft Center'!$L$28+'Draft Center'!$L$78-'Draft Center'!$L$82)),0)))</f>
        <v>1</v>
      </c>
      <c r="BD158" s="69">
        <f>IF(VLOOKUP($D158,$AO$14:AT$19,COLUMN()-50,0)&lt;=0,1,IF($Q158&lt;0,1,ROUNDUP(IF($Q158*('Draft Center'!$L$28+'Draft Center'!$L$78-'Draft Center'!$L$82)&lt;1,1,$Q158*('Draft Center'!$L$28+'Draft Center'!$L$78-'Draft Center'!$L$82)),0)))</f>
        <v>1</v>
      </c>
      <c r="BE158" s="69">
        <f>IF(VLOOKUP($D158,$AO$14:AU$19,COLUMN()-50,0)&lt;=0,1,IF($Q158&lt;0,1,ROUNDUP(IF($Q158*('Draft Center'!$L$28+'Draft Center'!$L$78-'Draft Center'!$L$82)&lt;1,1,$Q158*('Draft Center'!$L$28+'Draft Center'!$L$78-'Draft Center'!$L$82)),0)))</f>
        <v>1</v>
      </c>
      <c r="BF158" s="69">
        <f>IF(VLOOKUP($D158,$AO$14:AV$19,COLUMN()-50,0)&lt;=0,1,IF($Q158&lt;0,1,ROUNDUP(IF($Q158*('Draft Center'!$L$28+'Draft Center'!$L$78-'Draft Center'!$L$82)&lt;1,1,$Q158*('Draft Center'!$L$28+'Draft Center'!$L$78-'Draft Center'!$L$82)),0)))</f>
        <v>1</v>
      </c>
      <c r="BG158" s="69">
        <f>IF(VLOOKUP($D158,$AO$14:AW$19,COLUMN()-50,0)&lt;=0,1,IF($Q158&lt;0,1,ROUNDUP(IF($Q158*('Draft Center'!$L$28+'Draft Center'!$L$78-'Draft Center'!$L$82)&lt;1,1,$Q158*('Draft Center'!$L$28+'Draft Center'!$L$78-'Draft Center'!$L$82)),0)))</f>
        <v>1</v>
      </c>
      <c r="BH158" s="69">
        <f>IF(VLOOKUP($D158,$AO$14:AX$19,COLUMN()-50,0)&lt;=0,1,IF($Q158&lt;0,1,ROUNDUP(IF($Q158*('Draft Center'!$L$28+'Draft Center'!$L$78-'Draft Center'!$L$82)&lt;1,1,$Q158*('Draft Center'!$L$28+'Draft Center'!$L$78-'Draft Center'!$L$82)),0)))</f>
        <v>1</v>
      </c>
      <c r="BI158" s="69">
        <f>IF(VLOOKUP($D158,$AO$14:AY$19,COLUMN()-50,0)&lt;=0,1,IF($Q158&lt;0,1,ROUNDUP(IF($Q158*('Draft Center'!$L$28+'Draft Center'!$L$78-'Draft Center'!$L$82)&lt;1,1,$Q158*('Draft Center'!$L$28+'Draft Center'!$L$78-'Draft Center'!$L$82)),0)))</f>
        <v>1</v>
      </c>
      <c r="BJ158" s="196"/>
      <c r="BK158" s="23">
        <v>0</v>
      </c>
      <c r="BL158" s="23" t="str">
        <f t="shared" si="75"/>
        <v/>
      </c>
      <c r="BM158" s="23">
        <v>0</v>
      </c>
      <c r="BN158" s="23" t="str">
        <f t="shared" si="75"/>
        <v/>
      </c>
      <c r="BO158" s="23">
        <f t="shared" si="75"/>
        <v>0</v>
      </c>
      <c r="BP158" s="23" t="str">
        <f t="shared" si="75"/>
        <v/>
      </c>
      <c r="BQ158" s="23" t="str">
        <f t="shared" si="75"/>
        <v/>
      </c>
      <c r="BR158" s="23">
        <f t="shared" si="64"/>
        <v>0</v>
      </c>
      <c r="BS158" s="23">
        <f t="shared" si="65"/>
        <v>0</v>
      </c>
      <c r="BT158" s="69">
        <v>1</v>
      </c>
      <c r="BU158" s="58">
        <v>2327.0337</v>
      </c>
      <c r="BV158" s="33">
        <v>1</v>
      </c>
      <c r="BW158" s="204">
        <v>2327.0337</v>
      </c>
      <c r="BX158" s="23"/>
      <c r="BY158" s="69">
        <v>1</v>
      </c>
      <c r="BZ158" s="69">
        <v>0</v>
      </c>
      <c r="CA158" s="69">
        <v>0</v>
      </c>
      <c r="CB158" s="69">
        <v>0</v>
      </c>
      <c r="CC158" s="69">
        <f t="shared" si="68"/>
        <v>0</v>
      </c>
      <c r="CD158" s="69">
        <f t="shared" si="69"/>
        <v>0</v>
      </c>
    </row>
    <row r="159" spans="1:82" ht="15.75" customHeight="1" thickBot="1" x14ac:dyDescent="0.3">
      <c r="A159" s="6">
        <v>158</v>
      </c>
      <c r="B159" s="7" t="s">
        <v>109</v>
      </c>
      <c r="C159" s="7" t="s">
        <v>117</v>
      </c>
      <c r="D159" s="7" t="s">
        <v>17</v>
      </c>
      <c r="E159" s="50">
        <v>-22.2233478301955</v>
      </c>
      <c r="F159" s="50">
        <v>190.554568439154</v>
      </c>
      <c r="G159" s="50">
        <v>206.477233096308</v>
      </c>
      <c r="H159" s="50">
        <v>159.994125617272</v>
      </c>
      <c r="I159" s="8">
        <v>3</v>
      </c>
      <c r="J159" s="50">
        <v>4.6329449440990498</v>
      </c>
      <c r="K159" s="248">
        <f>IFERROR(VLOOKUP(C159,Schedule!$T$3:$U$34,2,0),"FA")</f>
        <v>8</v>
      </c>
      <c r="L159" s="7" t="str">
        <f>D159&amp;COUNTIF(D$2:$D159,D159)</f>
        <v>WR35</v>
      </c>
      <c r="M159" s="50">
        <f t="array" ref="M159">IFERROR(F159-AVERAGE(VLOOKUP(D159,$D160:$F$885,3,0),INDEX($F160:$F$885,SMALL(IF(D159=$D160:$D$885,ROW($D160:$D$885)-ROW(D159)),2))),0)</f>
        <v>0.31827227444600226</v>
      </c>
      <c r="N159" s="50">
        <f>IFERROR(IF(VLOOKUP($B159,Input!$AC$2:$AC$162,1,0)=$B159,0),F159)</f>
        <v>190.554568439154</v>
      </c>
      <c r="O159" s="50">
        <f>IFERROR(IF(VLOOKUP($B159,Input!$AC$2:$AC$162,1,0)=$B159,0,G159),G159)</f>
        <v>206.477233096308</v>
      </c>
      <c r="P159" s="50">
        <f>IF(N159=0,0,F159-AVERAGE(INDEX(F:F,MATCH(VLOOKUP(D159,Input!$A$14:$L$22,10,0),L:L,0)),INDEX(F:F,MATCH(VLOOKUP(D159,Input!$A$14:$L$22,11,0),L:L,0)),INDEX(F:F,MATCH(VLOOKUP(D159,Input!$A$14:$L$22,12,0),L:L,0)))+(0.01-ROW()*0.01))</f>
        <v>-23.803347830195023</v>
      </c>
      <c r="Q159" s="106">
        <f t="shared" si="60"/>
        <v>-8.2119869718999209E-3</v>
      </c>
      <c r="R159" s="8">
        <f>IF(VLOOKUP($D159,$X$14:$Y$19,2,0)&lt;=0,1,IF(Q159&lt;0,1,ROUNDUP(IF(Q159*('Draft Center'!$L$28+'Draft Center'!$L$78-'Draft Center'!$L$82)&lt;1,1,Q159*('Draft Center'!$L$28+'Draft Center'!$L$78-'Draft Center'!$L$82)),0)))</f>
        <v>1</v>
      </c>
      <c r="S159" s="8">
        <f>IF(A159&lt;Input!$B$10+0.1,IF(ROUNDUP(R159*Input!$C$10,0)=0,1,ROUNDUP(R159*Input!$C$10,0)),IF(A159&gt;Input!$B$11,IF(ROUNDUP(R159*Input!$C$11,0)=0,1,ROUNDUP(R159*Input!$C$11,0)),IF(ROUNDUP(R159,0)=0,1,ROUNDUP(R159,0))))</f>
        <v>1</v>
      </c>
      <c r="T159" s="8">
        <f t="shared" si="61"/>
        <v>1</v>
      </c>
      <c r="U159" s="8">
        <f>IFERROR(VLOOKUP($B159,Input!$AC$2:$AE$161,3,0),0)</f>
        <v>0</v>
      </c>
      <c r="V159" s="256">
        <f t="shared" si="66"/>
        <v>-0.66507666666666665</v>
      </c>
      <c r="W159" s="263">
        <f t="shared" si="67"/>
        <v>-1.99841</v>
      </c>
      <c r="X159" s="27"/>
      <c r="Y159" s="23"/>
      <c r="Z159" s="23"/>
      <c r="AA159" s="23">
        <v>0</v>
      </c>
      <c r="AB159" s="23" t="str">
        <f t="shared" si="74"/>
        <v/>
      </c>
      <c r="AC159" s="23" t="str">
        <f t="shared" si="74"/>
        <v/>
      </c>
      <c r="AD159" s="23">
        <f t="shared" si="74"/>
        <v>0</v>
      </c>
      <c r="AE159" s="23" t="str">
        <f t="shared" si="74"/>
        <v/>
      </c>
      <c r="AF159" s="23" t="str">
        <f t="shared" si="74"/>
        <v/>
      </c>
      <c r="AG159" s="23" t="str">
        <f t="shared" si="74"/>
        <v/>
      </c>
      <c r="AH159" s="23">
        <f t="shared" si="62"/>
        <v>0</v>
      </c>
      <c r="AI159" s="23">
        <f t="shared" si="63"/>
        <v>0</v>
      </c>
      <c r="AJ159" s="70">
        <v>1</v>
      </c>
      <c r="AK159" s="225">
        <v>2327.0337</v>
      </c>
      <c r="AL159" s="33">
        <v>1</v>
      </c>
      <c r="AM159" s="204">
        <v>2327.0337</v>
      </c>
      <c r="AN159" s="196"/>
      <c r="AO159" s="23"/>
      <c r="AP159" s="23"/>
      <c r="AQ159" s="23"/>
      <c r="AR159" s="23"/>
      <c r="AS159" s="23"/>
      <c r="AT159" s="23"/>
      <c r="AU159" s="23"/>
      <c r="AV159" s="23"/>
      <c r="AW159" s="23"/>
      <c r="AX159" s="23"/>
      <c r="AY159" s="23"/>
      <c r="AZ159" s="196"/>
      <c r="BA159" s="70">
        <f>IF(VLOOKUP($D159,$AO$14:AQ$19,COLUMN()-50,0)&lt;=0,1,IF($Q159&lt;0,1,ROUNDUP(IF($Q159*('Draft Center'!$L$28+'Draft Center'!$L$78-'Draft Center'!$L$82)&lt;1,1,$Q159*('Draft Center'!$L$28+'Draft Center'!$L$78-'Draft Center'!$L$82)),0)))</f>
        <v>1</v>
      </c>
      <c r="BB159" s="70">
        <f>IF(VLOOKUP($D159,$AO$14:AR$19,COLUMN()-50,0)&lt;=0,1,IF($Q159&lt;0,1,ROUNDUP(IF($Q159*('Draft Center'!$L$28+'Draft Center'!$L$78-'Draft Center'!$L$82)&lt;1,1,$Q159*('Draft Center'!$L$28+'Draft Center'!$L$78-'Draft Center'!$L$82)),0)))</f>
        <v>1</v>
      </c>
      <c r="BC159" s="70">
        <f>IF(VLOOKUP($D159,$AO$14:AS$19,COLUMN()-50,0)&lt;=0,1,IF($Q159&lt;0,1,ROUNDUP(IF($Q159*('Draft Center'!$L$28+'Draft Center'!$L$78-'Draft Center'!$L$82)&lt;1,1,$Q159*('Draft Center'!$L$28+'Draft Center'!$L$78-'Draft Center'!$L$82)),0)))</f>
        <v>1</v>
      </c>
      <c r="BD159" s="70">
        <f>IF(VLOOKUP($D159,$AO$14:AT$19,COLUMN()-50,0)&lt;=0,1,IF($Q159&lt;0,1,ROUNDUP(IF($Q159*('Draft Center'!$L$28+'Draft Center'!$L$78-'Draft Center'!$L$82)&lt;1,1,$Q159*('Draft Center'!$L$28+'Draft Center'!$L$78-'Draft Center'!$L$82)),0)))</f>
        <v>1</v>
      </c>
      <c r="BE159" s="70">
        <f>IF(VLOOKUP($D159,$AO$14:AU$19,COLUMN()-50,0)&lt;=0,1,IF($Q159&lt;0,1,ROUNDUP(IF($Q159*('Draft Center'!$L$28+'Draft Center'!$L$78-'Draft Center'!$L$82)&lt;1,1,$Q159*('Draft Center'!$L$28+'Draft Center'!$L$78-'Draft Center'!$L$82)),0)))</f>
        <v>1</v>
      </c>
      <c r="BF159" s="70">
        <f>IF(VLOOKUP($D159,$AO$14:AV$19,COLUMN()-50,0)&lt;=0,1,IF($Q159&lt;0,1,ROUNDUP(IF($Q159*('Draft Center'!$L$28+'Draft Center'!$L$78-'Draft Center'!$L$82)&lt;1,1,$Q159*('Draft Center'!$L$28+'Draft Center'!$L$78-'Draft Center'!$L$82)),0)))</f>
        <v>1</v>
      </c>
      <c r="BG159" s="70">
        <f>IF(VLOOKUP($D159,$AO$14:AW$19,COLUMN()-50,0)&lt;=0,1,IF($Q159&lt;0,1,ROUNDUP(IF($Q159*('Draft Center'!$L$28+'Draft Center'!$L$78-'Draft Center'!$L$82)&lt;1,1,$Q159*('Draft Center'!$L$28+'Draft Center'!$L$78-'Draft Center'!$L$82)),0)))</f>
        <v>1</v>
      </c>
      <c r="BH159" s="70">
        <f>IF(VLOOKUP($D159,$AO$14:AX$19,COLUMN()-50,0)&lt;=0,1,IF($Q159&lt;0,1,ROUNDUP(IF($Q159*('Draft Center'!$L$28+'Draft Center'!$L$78-'Draft Center'!$L$82)&lt;1,1,$Q159*('Draft Center'!$L$28+'Draft Center'!$L$78-'Draft Center'!$L$82)),0)))</f>
        <v>1</v>
      </c>
      <c r="BI159" s="70">
        <f>IF(VLOOKUP($D159,$AO$14:AY$19,COLUMN()-50,0)&lt;=0,1,IF($Q159&lt;0,1,ROUNDUP(IF($Q159*('Draft Center'!$L$28+'Draft Center'!$L$78-'Draft Center'!$L$82)&lt;1,1,$Q159*('Draft Center'!$L$28+'Draft Center'!$L$78-'Draft Center'!$L$82)),0)))</f>
        <v>1</v>
      </c>
      <c r="BJ159" s="196"/>
      <c r="BK159" s="23">
        <v>0</v>
      </c>
      <c r="BL159" s="23" t="str">
        <f t="shared" si="75"/>
        <v/>
      </c>
      <c r="BM159" s="23">
        <v>0</v>
      </c>
      <c r="BN159" s="23">
        <f t="shared" si="75"/>
        <v>0</v>
      </c>
      <c r="BO159" s="23" t="str">
        <f t="shared" si="75"/>
        <v/>
      </c>
      <c r="BP159" s="23" t="str">
        <f t="shared" si="75"/>
        <v/>
      </c>
      <c r="BQ159" s="23" t="str">
        <f t="shared" si="75"/>
        <v/>
      </c>
      <c r="BR159" s="23">
        <f t="shared" si="64"/>
        <v>0</v>
      </c>
      <c r="BS159" s="23">
        <f t="shared" si="65"/>
        <v>0</v>
      </c>
      <c r="BT159" s="70">
        <v>1</v>
      </c>
      <c r="BU159" s="58">
        <v>2327.0337</v>
      </c>
      <c r="BV159" s="33">
        <v>1</v>
      </c>
      <c r="BW159" s="204">
        <v>2327.0337</v>
      </c>
      <c r="BX159" s="23"/>
      <c r="BY159" s="70">
        <v>1</v>
      </c>
      <c r="BZ159" s="70">
        <v>3</v>
      </c>
      <c r="CA159" s="70">
        <v>3</v>
      </c>
      <c r="CB159" s="70">
        <v>3</v>
      </c>
      <c r="CC159" s="70">
        <f t="shared" si="68"/>
        <v>3</v>
      </c>
      <c r="CD159" s="70">
        <f t="shared" si="69"/>
        <v>3</v>
      </c>
    </row>
    <row r="160" spans="1:82" ht="15.75" customHeight="1" thickBot="1" x14ac:dyDescent="0.3">
      <c r="A160" s="9">
        <v>159</v>
      </c>
      <c r="B160" s="10" t="s">
        <v>245</v>
      </c>
      <c r="C160" s="10" t="s">
        <v>52</v>
      </c>
      <c r="D160" s="10" t="s">
        <v>17</v>
      </c>
      <c r="E160" s="51">
        <v>-22.336920006157801</v>
      </c>
      <c r="F160" s="51">
        <v>190.44099626319101</v>
      </c>
      <c r="G160" s="51">
        <v>214.82099892922301</v>
      </c>
      <c r="H160" s="51">
        <v>167.463945337621</v>
      </c>
      <c r="I160" s="11">
        <v>4.9000000000000004</v>
      </c>
      <c r="J160" s="51">
        <v>4.3477014768022801</v>
      </c>
      <c r="K160" s="249">
        <f>IFERROR(VLOOKUP(C160,Schedule!$T$3:$U$34,2,0),"FA")</f>
        <v>11</v>
      </c>
      <c r="L160" s="10" t="str">
        <f>D160&amp;COUNTIF(D$2:$D160,D160)</f>
        <v>WR36</v>
      </c>
      <c r="M160" s="51">
        <f t="array" ref="M160">IFERROR(F160-AVERAGE(VLOOKUP(D160,$D161:$F$885,3,0),INDEX($F161:$F$885,SMALL(IF(D160=$D161:$D$885,ROW($D161:$D$885)-ROW(D160)),2))),0)</f>
        <v>0.49843947665149813</v>
      </c>
      <c r="N160" s="51">
        <f>IFERROR(IF(VLOOKUP($B160,Input!$AC$2:$AC$162,1,0)=$B160,0),F160)</f>
        <v>190.44099626319101</v>
      </c>
      <c r="O160" s="51">
        <f>IFERROR(IF(VLOOKUP($B160,Input!$AC$2:$AC$162,1,0)=$B160,0,G160),G160)</f>
        <v>214.82099892922301</v>
      </c>
      <c r="P160" s="51">
        <f>IF(N160=0,0,F160-AVERAGE(INDEX(F:F,MATCH(VLOOKUP(D160,Input!$A$14:$L$22,10,0),L:L,0)),INDEX(F:F,MATCH(VLOOKUP(D160,Input!$A$14:$L$22,11,0),L:L,0)),INDEX(F:F,MATCH(VLOOKUP(D160,Input!$A$14:$L$22,12,0),L:L,0)))+(0.01-ROW()*0.01))</f>
        <v>-23.92692000615801</v>
      </c>
      <c r="Q160" s="107">
        <f t="shared" si="60"/>
        <v>-8.2546185003024141E-3</v>
      </c>
      <c r="R160" s="11">
        <f>IF(VLOOKUP($D160,$X$14:$Y$19,2,0)&lt;=0,1,IF(Q160&lt;0,1,ROUNDUP(IF(Q160*('Draft Center'!$L$28+'Draft Center'!$L$78-'Draft Center'!$L$82)&lt;1,1,Q160*('Draft Center'!$L$28+'Draft Center'!$L$78-'Draft Center'!$L$82)),0)))</f>
        <v>1</v>
      </c>
      <c r="S160" s="11">
        <f>IF(A160&lt;Input!$B$10+0.1,IF(ROUNDUP(R160*Input!$C$10,0)=0,1,ROUNDUP(R160*Input!$C$10,0)),IF(A160&gt;Input!$B$11,IF(ROUNDUP(R160*Input!$C$11,0)=0,1,ROUNDUP(R160*Input!$C$11,0)),IF(ROUNDUP(R160,0)=0,1,ROUNDUP(R160,0))))</f>
        <v>1</v>
      </c>
      <c r="T160" s="11">
        <f t="shared" si="61"/>
        <v>1</v>
      </c>
      <c r="U160" s="11">
        <f>IFERROR(VLOOKUP($B160,Input!$AC$2:$AE$161,3,0),0)</f>
        <v>0</v>
      </c>
      <c r="V160" s="257">
        <f t="shared" si="66"/>
        <v>-0.79431836734693873</v>
      </c>
      <c r="W160" s="264">
        <f t="shared" si="67"/>
        <v>-3.8984000000000005</v>
      </c>
      <c r="X160" s="27"/>
      <c r="Y160" s="23"/>
      <c r="Z160" s="23"/>
      <c r="AA160" s="23">
        <v>0</v>
      </c>
      <c r="AB160" s="23" t="str">
        <f t="shared" si="74"/>
        <v/>
      </c>
      <c r="AC160" s="23" t="str">
        <f t="shared" si="74"/>
        <v/>
      </c>
      <c r="AD160" s="23">
        <f t="shared" si="74"/>
        <v>0</v>
      </c>
      <c r="AE160" s="23" t="str">
        <f t="shared" si="74"/>
        <v/>
      </c>
      <c r="AF160" s="23" t="str">
        <f t="shared" si="74"/>
        <v/>
      </c>
      <c r="AG160" s="23" t="str">
        <f t="shared" si="74"/>
        <v/>
      </c>
      <c r="AH160" s="23">
        <f t="shared" si="62"/>
        <v>0</v>
      </c>
      <c r="AI160" s="23">
        <f t="shared" si="63"/>
        <v>0</v>
      </c>
      <c r="AJ160" s="69">
        <v>1</v>
      </c>
      <c r="AK160" s="225">
        <v>2327.0337</v>
      </c>
      <c r="AL160" s="33">
        <v>1</v>
      </c>
      <c r="AM160" s="204">
        <v>2327.0337</v>
      </c>
      <c r="AN160" s="196"/>
      <c r="AO160" s="23"/>
      <c r="AP160" s="23"/>
      <c r="AQ160" s="23"/>
      <c r="AR160" s="23"/>
      <c r="AS160" s="23"/>
      <c r="AT160" s="23"/>
      <c r="AU160" s="23"/>
      <c r="AV160" s="23"/>
      <c r="AW160" s="23"/>
      <c r="AX160" s="23"/>
      <c r="AY160" s="23"/>
      <c r="AZ160" s="196"/>
      <c r="BA160" s="69">
        <f>IF(VLOOKUP($D160,$AO$14:AQ$19,COLUMN()-50,0)&lt;=0,1,IF($Q160&lt;0,1,ROUNDUP(IF($Q160*('Draft Center'!$L$28+'Draft Center'!$L$78-'Draft Center'!$L$82)&lt;1,1,$Q160*('Draft Center'!$L$28+'Draft Center'!$L$78-'Draft Center'!$L$82)),0)))</f>
        <v>1</v>
      </c>
      <c r="BB160" s="69">
        <f>IF(VLOOKUP($D160,$AO$14:AR$19,COLUMN()-50,0)&lt;=0,1,IF($Q160&lt;0,1,ROUNDUP(IF($Q160*('Draft Center'!$L$28+'Draft Center'!$L$78-'Draft Center'!$L$82)&lt;1,1,$Q160*('Draft Center'!$L$28+'Draft Center'!$L$78-'Draft Center'!$L$82)),0)))</f>
        <v>1</v>
      </c>
      <c r="BC160" s="69">
        <f>IF(VLOOKUP($D160,$AO$14:AS$19,COLUMN()-50,0)&lt;=0,1,IF($Q160&lt;0,1,ROUNDUP(IF($Q160*('Draft Center'!$L$28+'Draft Center'!$L$78-'Draft Center'!$L$82)&lt;1,1,$Q160*('Draft Center'!$L$28+'Draft Center'!$L$78-'Draft Center'!$L$82)),0)))</f>
        <v>1</v>
      </c>
      <c r="BD160" s="69">
        <f>IF(VLOOKUP($D160,$AO$14:AT$19,COLUMN()-50,0)&lt;=0,1,IF($Q160&lt;0,1,ROUNDUP(IF($Q160*('Draft Center'!$L$28+'Draft Center'!$L$78-'Draft Center'!$L$82)&lt;1,1,$Q160*('Draft Center'!$L$28+'Draft Center'!$L$78-'Draft Center'!$L$82)),0)))</f>
        <v>1</v>
      </c>
      <c r="BE160" s="69">
        <f>IF(VLOOKUP($D160,$AO$14:AU$19,COLUMN()-50,0)&lt;=0,1,IF($Q160&lt;0,1,ROUNDUP(IF($Q160*('Draft Center'!$L$28+'Draft Center'!$L$78-'Draft Center'!$L$82)&lt;1,1,$Q160*('Draft Center'!$L$28+'Draft Center'!$L$78-'Draft Center'!$L$82)),0)))</f>
        <v>1</v>
      </c>
      <c r="BF160" s="69">
        <f>IF(VLOOKUP($D160,$AO$14:AV$19,COLUMN()-50,0)&lt;=0,1,IF($Q160&lt;0,1,ROUNDUP(IF($Q160*('Draft Center'!$L$28+'Draft Center'!$L$78-'Draft Center'!$L$82)&lt;1,1,$Q160*('Draft Center'!$L$28+'Draft Center'!$L$78-'Draft Center'!$L$82)),0)))</f>
        <v>1</v>
      </c>
      <c r="BG160" s="69">
        <f>IF(VLOOKUP($D160,$AO$14:AW$19,COLUMN()-50,0)&lt;=0,1,IF($Q160&lt;0,1,ROUNDUP(IF($Q160*('Draft Center'!$L$28+'Draft Center'!$L$78-'Draft Center'!$L$82)&lt;1,1,$Q160*('Draft Center'!$L$28+'Draft Center'!$L$78-'Draft Center'!$L$82)),0)))</f>
        <v>1</v>
      </c>
      <c r="BH160" s="69">
        <f>IF(VLOOKUP($D160,$AO$14:AX$19,COLUMN()-50,0)&lt;=0,1,IF($Q160&lt;0,1,ROUNDUP(IF($Q160*('Draft Center'!$L$28+'Draft Center'!$L$78-'Draft Center'!$L$82)&lt;1,1,$Q160*('Draft Center'!$L$28+'Draft Center'!$L$78-'Draft Center'!$L$82)),0)))</f>
        <v>1</v>
      </c>
      <c r="BI160" s="69">
        <f>IF(VLOOKUP($D160,$AO$14:AY$19,COLUMN()-50,0)&lt;=0,1,IF($Q160&lt;0,1,ROUNDUP(IF($Q160*('Draft Center'!$L$28+'Draft Center'!$L$78-'Draft Center'!$L$82)&lt;1,1,$Q160*('Draft Center'!$L$28+'Draft Center'!$L$78-'Draft Center'!$L$82)),0)))</f>
        <v>1</v>
      </c>
      <c r="BJ160" s="196"/>
      <c r="BK160" s="23">
        <v>0</v>
      </c>
      <c r="BL160" s="23" t="str">
        <f t="shared" si="75"/>
        <v/>
      </c>
      <c r="BM160" s="23">
        <v>0</v>
      </c>
      <c r="BN160" s="23">
        <f t="shared" si="75"/>
        <v>0</v>
      </c>
      <c r="BO160" s="23" t="str">
        <f t="shared" si="75"/>
        <v/>
      </c>
      <c r="BP160" s="23" t="str">
        <f t="shared" si="75"/>
        <v/>
      </c>
      <c r="BQ160" s="23" t="str">
        <f t="shared" si="75"/>
        <v/>
      </c>
      <c r="BR160" s="23">
        <f t="shared" si="64"/>
        <v>0</v>
      </c>
      <c r="BS160" s="23">
        <f t="shared" si="65"/>
        <v>0</v>
      </c>
      <c r="BT160" s="69">
        <v>1</v>
      </c>
      <c r="BU160" s="58">
        <v>2327.0337</v>
      </c>
      <c r="BV160" s="33">
        <v>1</v>
      </c>
      <c r="BW160" s="204">
        <v>2327.0337</v>
      </c>
      <c r="BX160" s="23"/>
      <c r="BY160" s="69">
        <v>1</v>
      </c>
      <c r="BZ160" s="69">
        <v>4.9000000000000004</v>
      </c>
      <c r="CA160" s="69">
        <v>4.9000000000000004</v>
      </c>
      <c r="CB160" s="69">
        <v>4.9000000000000004</v>
      </c>
      <c r="CC160" s="69">
        <f t="shared" si="68"/>
        <v>4.9000000000000004</v>
      </c>
      <c r="CD160" s="69">
        <f t="shared" si="69"/>
        <v>4.9000000000000004</v>
      </c>
    </row>
    <row r="161" spans="1:82" ht="15.75" customHeight="1" thickBot="1" x14ac:dyDescent="0.3">
      <c r="A161" s="6">
        <v>160</v>
      </c>
      <c r="B161" s="7" t="s">
        <v>92</v>
      </c>
      <c r="C161" s="7" t="s">
        <v>27</v>
      </c>
      <c r="D161" s="7" t="s">
        <v>17</v>
      </c>
      <c r="E161" s="50">
        <v>-22.7463202031241</v>
      </c>
      <c r="F161" s="50">
        <v>190.03159606622501</v>
      </c>
      <c r="G161" s="50">
        <v>205.28208672749099</v>
      </c>
      <c r="H161" s="50">
        <v>169.65708795958599</v>
      </c>
      <c r="I161" s="8">
        <v>6.3</v>
      </c>
      <c r="J161" s="50">
        <v>4.0387079983710104</v>
      </c>
      <c r="K161" s="248">
        <f>IFERROR(VLOOKUP(C161,Schedule!$T$3:$U$34,2,0),"FA")</f>
        <v>8</v>
      </c>
      <c r="L161" s="7" t="str">
        <f>D161&amp;COUNTIF(D$2:$D161,D161)</f>
        <v>WR37</v>
      </c>
      <c r="M161" s="50">
        <f t="array" ref="M161">IFERROR(F161-AVERAGE(VLOOKUP(D161,$D162:$F$885,3,0),INDEX($F162:$F$885,SMALL(IF(D161=$D162:$D$885,ROW($D162:$D$885)-ROW(D161)),2))),0)</f>
        <v>0.80118622385202798</v>
      </c>
      <c r="N161" s="50">
        <f>IFERROR(IF(VLOOKUP($B161,Input!$AC$2:$AC$162,1,0)=$B161,0),F161)</f>
        <v>190.03159606622501</v>
      </c>
      <c r="O161" s="50">
        <f>IFERROR(IF(VLOOKUP($B161,Input!$AC$2:$AC$162,1,0)=$B161,0,G161),G161)</f>
        <v>205.28208672749099</v>
      </c>
      <c r="P161" s="50">
        <f>IF(N161=0,0,F161-AVERAGE(INDEX(F:F,MATCH(VLOOKUP(D161,Input!$A$14:$L$22,10,0),L:L,0)),INDEX(F:F,MATCH(VLOOKUP(D161,Input!$A$14:$L$22,11,0),L:L,0)),INDEX(F:F,MATCH(VLOOKUP(D161,Input!$A$14:$L$22,12,0),L:L,0)))+(0.01-ROW()*0.01))</f>
        <v>-24.346320203124016</v>
      </c>
      <c r="Q161" s="106">
        <f t="shared" si="60"/>
        <v>-8.3993086076800064E-3</v>
      </c>
      <c r="R161" s="8">
        <f>IF(VLOOKUP($D161,$X$14:$Y$19,2,0)&lt;=0,1,IF(Q161&lt;0,1,ROUNDUP(IF(Q161*('Draft Center'!$L$28+'Draft Center'!$L$78-'Draft Center'!$L$82)&lt;1,1,Q161*('Draft Center'!$L$28+'Draft Center'!$L$78-'Draft Center'!$L$82)),0)))</f>
        <v>1</v>
      </c>
      <c r="S161" s="8">
        <f>IF(A161&lt;Input!$B$10+0.1,IF(ROUNDUP(R161*Input!$C$10,0)=0,1,ROUNDUP(R161*Input!$C$10,0)),IF(A161&gt;Input!$B$11,IF(ROUNDUP(R161*Input!$C$11,0)=0,1,ROUNDUP(R161*Input!$C$11,0)),IF(ROUNDUP(R161,0)=0,1,ROUNDUP(R161,0))))</f>
        <v>1</v>
      </c>
      <c r="T161" s="8">
        <f t="shared" si="61"/>
        <v>1</v>
      </c>
      <c r="U161" s="8">
        <f>IFERROR(VLOOKUP($B161,Input!$AC$2:$AE$161,3,0),0)</f>
        <v>0</v>
      </c>
      <c r="V161" s="256">
        <f t="shared" si="66"/>
        <v>-0.83965984126984128</v>
      </c>
      <c r="W161" s="263">
        <f t="shared" si="67"/>
        <v>-5.2983899999999995</v>
      </c>
      <c r="X161" s="27"/>
      <c r="Y161" s="23"/>
      <c r="Z161" s="23"/>
      <c r="AA161" s="23">
        <v>0</v>
      </c>
      <c r="AB161" s="23" t="str">
        <f t="shared" si="74"/>
        <v/>
      </c>
      <c r="AC161" s="23" t="str">
        <f t="shared" si="74"/>
        <v/>
      </c>
      <c r="AD161" s="23">
        <f t="shared" si="74"/>
        <v>0</v>
      </c>
      <c r="AE161" s="23" t="str">
        <f t="shared" si="74"/>
        <v/>
      </c>
      <c r="AF161" s="23" t="str">
        <f t="shared" si="74"/>
        <v/>
      </c>
      <c r="AG161" s="23" t="str">
        <f t="shared" si="74"/>
        <v/>
      </c>
      <c r="AH161" s="23">
        <f t="shared" si="62"/>
        <v>0</v>
      </c>
      <c r="AI161" s="23">
        <f t="shared" si="63"/>
        <v>0</v>
      </c>
      <c r="AJ161" s="70">
        <v>1</v>
      </c>
      <c r="AK161" s="225">
        <v>2327.0337</v>
      </c>
      <c r="AL161" s="33">
        <v>1</v>
      </c>
      <c r="AM161" s="204">
        <v>2327.0337</v>
      </c>
      <c r="AN161" s="196"/>
      <c r="AO161" s="23"/>
      <c r="AP161" s="23"/>
      <c r="AQ161" s="23"/>
      <c r="AR161" s="23"/>
      <c r="AS161" s="23"/>
      <c r="AT161" s="23"/>
      <c r="AU161" s="23"/>
      <c r="AV161" s="23"/>
      <c r="AW161" s="23"/>
      <c r="AX161" s="23"/>
      <c r="AY161" s="23"/>
      <c r="AZ161" s="196"/>
      <c r="BA161" s="70">
        <f>IF(VLOOKUP($D161,$AO$14:AQ$19,COLUMN()-50,0)&lt;=0,1,IF($Q161&lt;0,1,ROUNDUP(IF($Q161*('Draft Center'!$L$28+'Draft Center'!$L$78-'Draft Center'!$L$82)&lt;1,1,$Q161*('Draft Center'!$L$28+'Draft Center'!$L$78-'Draft Center'!$L$82)),0)))</f>
        <v>1</v>
      </c>
      <c r="BB161" s="70">
        <f>IF(VLOOKUP($D161,$AO$14:AR$19,COLUMN()-50,0)&lt;=0,1,IF($Q161&lt;0,1,ROUNDUP(IF($Q161*('Draft Center'!$L$28+'Draft Center'!$L$78-'Draft Center'!$L$82)&lt;1,1,$Q161*('Draft Center'!$L$28+'Draft Center'!$L$78-'Draft Center'!$L$82)),0)))</f>
        <v>1</v>
      </c>
      <c r="BC161" s="70">
        <f>IF(VLOOKUP($D161,$AO$14:AS$19,COLUMN()-50,0)&lt;=0,1,IF($Q161&lt;0,1,ROUNDUP(IF($Q161*('Draft Center'!$L$28+'Draft Center'!$L$78-'Draft Center'!$L$82)&lt;1,1,$Q161*('Draft Center'!$L$28+'Draft Center'!$L$78-'Draft Center'!$L$82)),0)))</f>
        <v>1</v>
      </c>
      <c r="BD161" s="70">
        <f>IF(VLOOKUP($D161,$AO$14:AT$19,COLUMN()-50,0)&lt;=0,1,IF($Q161&lt;0,1,ROUNDUP(IF($Q161*('Draft Center'!$L$28+'Draft Center'!$L$78-'Draft Center'!$L$82)&lt;1,1,$Q161*('Draft Center'!$L$28+'Draft Center'!$L$78-'Draft Center'!$L$82)),0)))</f>
        <v>1</v>
      </c>
      <c r="BE161" s="70">
        <f>IF(VLOOKUP($D161,$AO$14:AU$19,COLUMN()-50,0)&lt;=0,1,IF($Q161&lt;0,1,ROUNDUP(IF($Q161*('Draft Center'!$L$28+'Draft Center'!$L$78-'Draft Center'!$L$82)&lt;1,1,$Q161*('Draft Center'!$L$28+'Draft Center'!$L$78-'Draft Center'!$L$82)),0)))</f>
        <v>1</v>
      </c>
      <c r="BF161" s="70">
        <f>IF(VLOOKUP($D161,$AO$14:AV$19,COLUMN()-50,0)&lt;=0,1,IF($Q161&lt;0,1,ROUNDUP(IF($Q161*('Draft Center'!$L$28+'Draft Center'!$L$78-'Draft Center'!$L$82)&lt;1,1,$Q161*('Draft Center'!$L$28+'Draft Center'!$L$78-'Draft Center'!$L$82)),0)))</f>
        <v>1</v>
      </c>
      <c r="BG161" s="70">
        <f>IF(VLOOKUP($D161,$AO$14:AW$19,COLUMN()-50,0)&lt;=0,1,IF($Q161&lt;0,1,ROUNDUP(IF($Q161*('Draft Center'!$L$28+'Draft Center'!$L$78-'Draft Center'!$L$82)&lt;1,1,$Q161*('Draft Center'!$L$28+'Draft Center'!$L$78-'Draft Center'!$L$82)),0)))</f>
        <v>1</v>
      </c>
      <c r="BH161" s="70">
        <f>IF(VLOOKUP($D161,$AO$14:AX$19,COLUMN()-50,0)&lt;=0,1,IF($Q161&lt;0,1,ROUNDUP(IF($Q161*('Draft Center'!$L$28+'Draft Center'!$L$78-'Draft Center'!$L$82)&lt;1,1,$Q161*('Draft Center'!$L$28+'Draft Center'!$L$78-'Draft Center'!$L$82)),0)))</f>
        <v>1</v>
      </c>
      <c r="BI161" s="70">
        <f>IF(VLOOKUP($D161,$AO$14:AY$19,COLUMN()-50,0)&lt;=0,1,IF($Q161&lt;0,1,ROUNDUP(IF($Q161*('Draft Center'!$L$28+'Draft Center'!$L$78-'Draft Center'!$L$82)&lt;1,1,$Q161*('Draft Center'!$L$28+'Draft Center'!$L$78-'Draft Center'!$L$82)),0)))</f>
        <v>1</v>
      </c>
      <c r="BJ161" s="196"/>
      <c r="BK161" s="23">
        <v>0</v>
      </c>
      <c r="BL161" s="23" t="str">
        <f t="shared" si="75"/>
        <v/>
      </c>
      <c r="BM161" s="23">
        <v>0</v>
      </c>
      <c r="BN161" s="23">
        <f t="shared" si="75"/>
        <v>0</v>
      </c>
      <c r="BO161" s="23" t="str">
        <f t="shared" si="75"/>
        <v/>
      </c>
      <c r="BP161" s="23" t="str">
        <f t="shared" si="75"/>
        <v/>
      </c>
      <c r="BQ161" s="23" t="str">
        <f t="shared" si="75"/>
        <v/>
      </c>
      <c r="BR161" s="23">
        <f t="shared" si="64"/>
        <v>0</v>
      </c>
      <c r="BS161" s="23">
        <f t="shared" si="65"/>
        <v>0</v>
      </c>
      <c r="BT161" s="70">
        <v>1</v>
      </c>
      <c r="BU161" s="58">
        <v>2327.0337</v>
      </c>
      <c r="BV161" s="33">
        <v>1</v>
      </c>
      <c r="BW161" s="204">
        <v>2327.0337</v>
      </c>
      <c r="BX161" s="23"/>
      <c r="BY161" s="70">
        <v>1</v>
      </c>
      <c r="BZ161" s="70">
        <v>6.3</v>
      </c>
      <c r="CA161" s="70">
        <v>6.3</v>
      </c>
      <c r="CB161" s="70">
        <v>6.3</v>
      </c>
      <c r="CC161" s="70">
        <f t="shared" si="68"/>
        <v>6.3</v>
      </c>
      <c r="CD161" s="70">
        <f t="shared" si="69"/>
        <v>6.3</v>
      </c>
    </row>
    <row r="162" spans="1:82" ht="15.75" customHeight="1" thickBot="1" x14ac:dyDescent="0.3">
      <c r="A162" s="9">
        <v>161</v>
      </c>
      <c r="B162" s="10" t="s">
        <v>133</v>
      </c>
      <c r="C162" s="10" t="s">
        <v>16</v>
      </c>
      <c r="D162" s="10" t="s">
        <v>17</v>
      </c>
      <c r="E162" s="51">
        <v>-22.924398762495301</v>
      </c>
      <c r="F162" s="51">
        <v>189.85351750685399</v>
      </c>
      <c r="G162" s="51">
        <v>219.79043826344599</v>
      </c>
      <c r="H162" s="51">
        <v>162.12215638702301</v>
      </c>
      <c r="I162" s="11">
        <v>6.8</v>
      </c>
      <c r="J162" s="51">
        <v>4.8215135029327802</v>
      </c>
      <c r="K162" s="249">
        <f>IFERROR(VLOOKUP(C162,Schedule!$T$3:$U$34,2,0),"FA")</f>
        <v>9</v>
      </c>
      <c r="L162" s="10" t="str">
        <f>D162&amp;COUNTIF(D$2:$D162,D162)</f>
        <v>WR38</v>
      </c>
      <c r="M162" s="51">
        <f t="array" ref="M162">IFERROR(F162-AVERAGE(VLOOKUP(D162,$D163:$F$885,3,0),INDEX($F163:$F$885,SMALL(IF(D162=$D163:$D$885,ROW($D163:$D$885)-ROW(D162)),2))),0)</f>
        <v>2.5138316915364953</v>
      </c>
      <c r="N162" s="51">
        <f>IFERROR(IF(VLOOKUP($B162,Input!$AC$2:$AC$162,1,0)=$B162,0),F162)</f>
        <v>189.85351750685399</v>
      </c>
      <c r="O162" s="51">
        <f>IFERROR(IF(VLOOKUP($B162,Input!$AC$2:$AC$162,1,0)=$B162,0,G162),G162)</f>
        <v>219.79043826344599</v>
      </c>
      <c r="P162" s="51">
        <f>IF(N162=0,0,F162-AVERAGE(INDEX(F:F,MATCH(VLOOKUP(D162,Input!$A$14:$L$22,10,0),L:L,0)),INDEX(F:F,MATCH(VLOOKUP(D162,Input!$A$14:$L$22,11,0),L:L,0)),INDEX(F:F,MATCH(VLOOKUP(D162,Input!$A$14:$L$22,12,0),L:L,0)))+(0.01-ROW()*0.01))</f>
        <v>-24.53439876249503</v>
      </c>
      <c r="Q162" s="107">
        <f t="shared" si="60"/>
        <v>-8.4641943830031409E-3</v>
      </c>
      <c r="R162" s="11">
        <f>IF(VLOOKUP($D162,$X$14:$Y$19,2,0)&lt;=0,1,IF(Q162&lt;0,1,ROUNDUP(IF(Q162*('Draft Center'!$L$28+'Draft Center'!$L$78-'Draft Center'!$L$82)&lt;1,1,Q162*('Draft Center'!$L$28+'Draft Center'!$L$78-'Draft Center'!$L$82)),0)))</f>
        <v>1</v>
      </c>
      <c r="S162" s="11">
        <f>IF(A162&lt;Input!$B$10+0.1,IF(ROUNDUP(R162*Input!$C$10,0)=0,1,ROUNDUP(R162*Input!$C$10,0)),IF(A162&gt;Input!$B$11,IF(ROUNDUP(R162*Input!$C$11,0)=0,1,ROUNDUP(R162*Input!$C$11,0)),IF(ROUNDUP(R162,0)=0,1,ROUNDUP(R162,0))))</f>
        <v>1</v>
      </c>
      <c r="T162" s="11">
        <f t="shared" si="61"/>
        <v>1</v>
      </c>
      <c r="U162" s="11">
        <f>IFERROR(VLOOKUP($B162,Input!$AC$2:$AE$161,3,0),0)</f>
        <v>0</v>
      </c>
      <c r="V162" s="257">
        <f t="shared" si="66"/>
        <v>-0.85132117647058825</v>
      </c>
      <c r="W162" s="264">
        <f t="shared" si="67"/>
        <v>-5.7983799999999999</v>
      </c>
      <c r="X162" s="27"/>
      <c r="Y162" s="23"/>
      <c r="Z162" s="23"/>
      <c r="AA162" s="23">
        <v>0</v>
      </c>
      <c r="AB162" s="23" t="str">
        <f t="shared" ref="AB162:AG171" si="76">IF($D162=AB$1,1*$AA162,"")</f>
        <v/>
      </c>
      <c r="AC162" s="23" t="str">
        <f t="shared" si="76"/>
        <v/>
      </c>
      <c r="AD162" s="23">
        <f t="shared" si="76"/>
        <v>0</v>
      </c>
      <c r="AE162" s="23" t="str">
        <f t="shared" si="76"/>
        <v/>
      </c>
      <c r="AF162" s="23" t="str">
        <f t="shared" si="76"/>
        <v/>
      </c>
      <c r="AG162" s="23" t="str">
        <f t="shared" si="76"/>
        <v/>
      </c>
      <c r="AH162" s="23">
        <f t="shared" si="62"/>
        <v>0</v>
      </c>
      <c r="AI162" s="23">
        <f t="shared" si="63"/>
        <v>0</v>
      </c>
      <c r="AJ162" s="69">
        <v>1</v>
      </c>
      <c r="AK162" s="225">
        <v>2327.0337</v>
      </c>
      <c r="AL162" s="33">
        <v>1</v>
      </c>
      <c r="AM162" s="204">
        <v>2327.0337</v>
      </c>
      <c r="AN162" s="196"/>
      <c r="AO162" s="23"/>
      <c r="AP162" s="23"/>
      <c r="AQ162" s="23"/>
      <c r="AR162" s="23"/>
      <c r="AS162" s="23"/>
      <c r="AT162" s="23"/>
      <c r="AU162" s="23"/>
      <c r="AV162" s="23"/>
      <c r="AW162" s="23"/>
      <c r="AX162" s="23"/>
      <c r="AY162" s="23"/>
      <c r="AZ162" s="196"/>
      <c r="BA162" s="69">
        <f>IF(VLOOKUP($D162,$AO$14:AQ$19,COLUMN()-50,0)&lt;=0,1,IF($Q162&lt;0,1,ROUNDUP(IF($Q162*('Draft Center'!$L$28+'Draft Center'!$L$78-'Draft Center'!$L$82)&lt;1,1,$Q162*('Draft Center'!$L$28+'Draft Center'!$L$78-'Draft Center'!$L$82)),0)))</f>
        <v>1</v>
      </c>
      <c r="BB162" s="69">
        <f>IF(VLOOKUP($D162,$AO$14:AR$19,COLUMN()-50,0)&lt;=0,1,IF($Q162&lt;0,1,ROUNDUP(IF($Q162*('Draft Center'!$L$28+'Draft Center'!$L$78-'Draft Center'!$L$82)&lt;1,1,$Q162*('Draft Center'!$L$28+'Draft Center'!$L$78-'Draft Center'!$L$82)),0)))</f>
        <v>1</v>
      </c>
      <c r="BC162" s="69">
        <f>IF(VLOOKUP($D162,$AO$14:AS$19,COLUMN()-50,0)&lt;=0,1,IF($Q162&lt;0,1,ROUNDUP(IF($Q162*('Draft Center'!$L$28+'Draft Center'!$L$78-'Draft Center'!$L$82)&lt;1,1,$Q162*('Draft Center'!$L$28+'Draft Center'!$L$78-'Draft Center'!$L$82)),0)))</f>
        <v>1</v>
      </c>
      <c r="BD162" s="69">
        <f>IF(VLOOKUP($D162,$AO$14:AT$19,COLUMN()-50,0)&lt;=0,1,IF($Q162&lt;0,1,ROUNDUP(IF($Q162*('Draft Center'!$L$28+'Draft Center'!$L$78-'Draft Center'!$L$82)&lt;1,1,$Q162*('Draft Center'!$L$28+'Draft Center'!$L$78-'Draft Center'!$L$82)),0)))</f>
        <v>1</v>
      </c>
      <c r="BE162" s="69">
        <f>IF(VLOOKUP($D162,$AO$14:AU$19,COLUMN()-50,0)&lt;=0,1,IF($Q162&lt;0,1,ROUNDUP(IF($Q162*('Draft Center'!$L$28+'Draft Center'!$L$78-'Draft Center'!$L$82)&lt;1,1,$Q162*('Draft Center'!$L$28+'Draft Center'!$L$78-'Draft Center'!$L$82)),0)))</f>
        <v>1</v>
      </c>
      <c r="BF162" s="69">
        <f>IF(VLOOKUP($D162,$AO$14:AV$19,COLUMN()-50,0)&lt;=0,1,IF($Q162&lt;0,1,ROUNDUP(IF($Q162*('Draft Center'!$L$28+'Draft Center'!$L$78-'Draft Center'!$L$82)&lt;1,1,$Q162*('Draft Center'!$L$28+'Draft Center'!$L$78-'Draft Center'!$L$82)),0)))</f>
        <v>1</v>
      </c>
      <c r="BG162" s="69">
        <f>IF(VLOOKUP($D162,$AO$14:AW$19,COLUMN()-50,0)&lt;=0,1,IF($Q162&lt;0,1,ROUNDUP(IF($Q162*('Draft Center'!$L$28+'Draft Center'!$L$78-'Draft Center'!$L$82)&lt;1,1,$Q162*('Draft Center'!$L$28+'Draft Center'!$L$78-'Draft Center'!$L$82)),0)))</f>
        <v>1</v>
      </c>
      <c r="BH162" s="69">
        <f>IF(VLOOKUP($D162,$AO$14:AX$19,COLUMN()-50,0)&lt;=0,1,IF($Q162&lt;0,1,ROUNDUP(IF($Q162*('Draft Center'!$L$28+'Draft Center'!$L$78-'Draft Center'!$L$82)&lt;1,1,$Q162*('Draft Center'!$L$28+'Draft Center'!$L$78-'Draft Center'!$L$82)),0)))</f>
        <v>1</v>
      </c>
      <c r="BI162" s="69">
        <f>IF(VLOOKUP($D162,$AO$14:AY$19,COLUMN()-50,0)&lt;=0,1,IF($Q162&lt;0,1,ROUNDUP(IF($Q162*('Draft Center'!$L$28+'Draft Center'!$L$78-'Draft Center'!$L$82)&lt;1,1,$Q162*('Draft Center'!$L$28+'Draft Center'!$L$78-'Draft Center'!$L$82)),0)))</f>
        <v>1</v>
      </c>
      <c r="BJ162" s="196"/>
      <c r="BK162" s="23">
        <v>0</v>
      </c>
      <c r="BL162" s="23" t="str">
        <f t="shared" ref="BL162:BQ171" si="77">IF($D162=BL$1,1*$BK162,"")</f>
        <v/>
      </c>
      <c r="BM162" s="23">
        <v>0</v>
      </c>
      <c r="BN162" s="23">
        <f t="shared" si="77"/>
        <v>0</v>
      </c>
      <c r="BO162" s="23" t="str">
        <f t="shared" si="77"/>
        <v/>
      </c>
      <c r="BP162" s="23" t="str">
        <f t="shared" si="77"/>
        <v/>
      </c>
      <c r="BQ162" s="23" t="str">
        <f t="shared" si="77"/>
        <v/>
      </c>
      <c r="BR162" s="23">
        <f t="shared" si="64"/>
        <v>0</v>
      </c>
      <c r="BS162" s="23">
        <f t="shared" si="65"/>
        <v>0</v>
      </c>
      <c r="BT162" s="69">
        <v>1</v>
      </c>
      <c r="BU162" s="58">
        <v>2327.0337</v>
      </c>
      <c r="BV162" s="33">
        <v>1</v>
      </c>
      <c r="BW162" s="204">
        <v>2327.0337</v>
      </c>
      <c r="BX162" s="23"/>
      <c r="BY162" s="69">
        <v>1</v>
      </c>
      <c r="BZ162" s="69">
        <v>6.8</v>
      </c>
      <c r="CA162" s="69">
        <v>6.8</v>
      </c>
      <c r="CB162" s="69">
        <v>6.8</v>
      </c>
      <c r="CC162" s="69">
        <f t="shared" si="68"/>
        <v>6.8</v>
      </c>
      <c r="CD162" s="69">
        <f t="shared" si="69"/>
        <v>6.8</v>
      </c>
    </row>
    <row r="163" spans="1:82" ht="15.75" customHeight="1" thickBot="1" x14ac:dyDescent="0.3">
      <c r="A163" s="6">
        <v>162</v>
      </c>
      <c r="B163" s="7" t="s">
        <v>234</v>
      </c>
      <c r="C163" s="7" t="s">
        <v>95</v>
      </c>
      <c r="D163" s="7" t="s">
        <v>53</v>
      </c>
      <c r="E163" s="50">
        <v>-23.412870072585701</v>
      </c>
      <c r="F163" s="50">
        <v>248.93477356024999</v>
      </c>
      <c r="G163" s="50">
        <v>266.66386102980601</v>
      </c>
      <c r="H163" s="50">
        <v>194.35300000000001</v>
      </c>
      <c r="I163" s="8">
        <v>0</v>
      </c>
      <c r="J163" s="50">
        <v>5.3516518461974298</v>
      </c>
      <c r="K163" s="248">
        <f>IFERROR(VLOOKUP(C163,Schedule!$T$3:$U$34,2,0),"FA")</f>
        <v>8</v>
      </c>
      <c r="L163" s="7" t="str">
        <f>D163&amp;COUNTIF(D$2:$D163,D163)</f>
        <v>QB18</v>
      </c>
      <c r="M163" s="50">
        <f t="array" ref="M163">IFERROR(F163-AVERAGE(VLOOKUP(D163,$D164:$F$885,3,0),INDEX($F164:$F$885,SMALL(IF(D163=$D164:$D$885,ROW($D164:$D$885)-ROW(D163)),2))),0)</f>
        <v>7.8577573234815077</v>
      </c>
      <c r="N163" s="50">
        <f>IFERROR(IF(VLOOKUP($B163,Input!$AC$2:$AC$162,1,0)=$B163,0),F163)</f>
        <v>248.93477356024999</v>
      </c>
      <c r="O163" s="50">
        <f>IFERROR(IF(VLOOKUP($B163,Input!$AC$2:$AC$162,1,0)=$B163,0,G163),G163)</f>
        <v>266.66386102980601</v>
      </c>
      <c r="P163" s="50">
        <f>IF(N163=0,0,F163-AVERAGE(INDEX(F:F,MATCH(VLOOKUP(D163,Input!$A$14:$L$22,10,0),L:L,0)),INDEX(F:F,MATCH(VLOOKUP(D163,Input!$A$14:$L$22,11,0),L:L,0)),INDEX(F:F,MATCH(VLOOKUP(D163,Input!$A$14:$L$22,12,0),L:L,0)))+(0.01-ROW()*0.01))</f>
        <v>-25.032870072585634</v>
      </c>
      <c r="Q163" s="106">
        <f t="shared" si="60"/>
        <v>-8.6361634662401356E-3</v>
      </c>
      <c r="R163" s="8">
        <f>IF(VLOOKUP($D163,$X$14:$Y$19,2,0)&lt;=0,1,IF(Q163&lt;0,1,ROUNDUP(IF(Q163*('Draft Center'!$L$28+'Draft Center'!$L$78-'Draft Center'!$L$82)&lt;1,1,Q163*('Draft Center'!$L$28+'Draft Center'!$L$78-'Draft Center'!$L$82)),0)))</f>
        <v>1</v>
      </c>
      <c r="S163" s="8">
        <f>IF(A163&lt;Input!$B$10+0.1,IF(ROUNDUP(R163*Input!$C$10,0)=0,1,ROUNDUP(R163*Input!$C$10,0)),IF(A163&gt;Input!$B$11,IF(ROUNDUP(R163*Input!$C$11,0)=0,1,ROUNDUP(R163*Input!$C$11,0)),IF(ROUNDUP(R163,0)=0,1,ROUNDUP(R163,0))))</f>
        <v>1</v>
      </c>
      <c r="T163" s="8">
        <f t="shared" si="61"/>
        <v>1</v>
      </c>
      <c r="U163" s="8">
        <f>IFERROR(VLOOKUP($B163,Input!$AC$2:$AE$161,3,0),0)</f>
        <v>0</v>
      </c>
      <c r="V163" s="256">
        <f t="shared" si="66"/>
        <v>0</v>
      </c>
      <c r="W163" s="263">
        <f t="shared" si="67"/>
        <v>1.00163</v>
      </c>
      <c r="X163" s="27"/>
      <c r="Y163" s="23"/>
      <c r="Z163" s="23"/>
      <c r="AA163" s="23">
        <v>0</v>
      </c>
      <c r="AB163" s="23">
        <f t="shared" si="76"/>
        <v>0</v>
      </c>
      <c r="AC163" s="23" t="str">
        <f t="shared" si="76"/>
        <v/>
      </c>
      <c r="AD163" s="23" t="str">
        <f t="shared" si="76"/>
        <v/>
      </c>
      <c r="AE163" s="23" t="str">
        <f t="shared" si="76"/>
        <v/>
      </c>
      <c r="AF163" s="23" t="str">
        <f t="shared" si="76"/>
        <v/>
      </c>
      <c r="AG163" s="23" t="str">
        <f t="shared" si="76"/>
        <v/>
      </c>
      <c r="AH163" s="23">
        <f t="shared" si="62"/>
        <v>0</v>
      </c>
      <c r="AI163" s="23">
        <f t="shared" si="63"/>
        <v>0</v>
      </c>
      <c r="AJ163" s="70">
        <v>1</v>
      </c>
      <c r="AK163" s="225">
        <v>2327.0337</v>
      </c>
      <c r="AL163" s="33">
        <v>1</v>
      </c>
      <c r="AM163" s="204">
        <v>2327.0337</v>
      </c>
      <c r="AN163" s="196"/>
      <c r="AO163" s="23"/>
      <c r="AP163" s="23"/>
      <c r="AQ163" s="23"/>
      <c r="AR163" s="23"/>
      <c r="AS163" s="23"/>
      <c r="AT163" s="23"/>
      <c r="AU163" s="23"/>
      <c r="AV163" s="23"/>
      <c r="AW163" s="23"/>
      <c r="AX163" s="23"/>
      <c r="AY163" s="23"/>
      <c r="AZ163" s="196"/>
      <c r="BA163" s="70">
        <f>IF(VLOOKUP($D163,$AO$14:AQ$19,COLUMN()-50,0)&lt;=0,1,IF($Q163&lt;0,1,ROUNDUP(IF($Q163*('Draft Center'!$L$28+'Draft Center'!$L$78-'Draft Center'!$L$82)&lt;1,1,$Q163*('Draft Center'!$L$28+'Draft Center'!$L$78-'Draft Center'!$L$82)),0)))</f>
        <v>1</v>
      </c>
      <c r="BB163" s="70">
        <f>IF(VLOOKUP($D163,$AO$14:AR$19,COLUMN()-50,0)&lt;=0,1,IF($Q163&lt;0,1,ROUNDUP(IF($Q163*('Draft Center'!$L$28+'Draft Center'!$L$78-'Draft Center'!$L$82)&lt;1,1,$Q163*('Draft Center'!$L$28+'Draft Center'!$L$78-'Draft Center'!$L$82)),0)))</f>
        <v>1</v>
      </c>
      <c r="BC163" s="70">
        <f>IF(VLOOKUP($D163,$AO$14:AS$19,COLUMN()-50,0)&lt;=0,1,IF($Q163&lt;0,1,ROUNDUP(IF($Q163*('Draft Center'!$L$28+'Draft Center'!$L$78-'Draft Center'!$L$82)&lt;1,1,$Q163*('Draft Center'!$L$28+'Draft Center'!$L$78-'Draft Center'!$L$82)),0)))</f>
        <v>1</v>
      </c>
      <c r="BD163" s="70">
        <f>IF(VLOOKUP($D163,$AO$14:AT$19,COLUMN()-50,0)&lt;=0,1,IF($Q163&lt;0,1,ROUNDUP(IF($Q163*('Draft Center'!$L$28+'Draft Center'!$L$78-'Draft Center'!$L$82)&lt;1,1,$Q163*('Draft Center'!$L$28+'Draft Center'!$L$78-'Draft Center'!$L$82)),0)))</f>
        <v>1</v>
      </c>
      <c r="BE163" s="70">
        <f>IF(VLOOKUP($D163,$AO$14:AU$19,COLUMN()-50,0)&lt;=0,1,IF($Q163&lt;0,1,ROUNDUP(IF($Q163*('Draft Center'!$L$28+'Draft Center'!$L$78-'Draft Center'!$L$82)&lt;1,1,$Q163*('Draft Center'!$L$28+'Draft Center'!$L$78-'Draft Center'!$L$82)),0)))</f>
        <v>1</v>
      </c>
      <c r="BF163" s="70">
        <f>IF(VLOOKUP($D163,$AO$14:AV$19,COLUMN()-50,0)&lt;=0,1,IF($Q163&lt;0,1,ROUNDUP(IF($Q163*('Draft Center'!$L$28+'Draft Center'!$L$78-'Draft Center'!$L$82)&lt;1,1,$Q163*('Draft Center'!$L$28+'Draft Center'!$L$78-'Draft Center'!$L$82)),0)))</f>
        <v>1</v>
      </c>
      <c r="BG163" s="70">
        <f>IF(VLOOKUP($D163,$AO$14:AW$19,COLUMN()-50,0)&lt;=0,1,IF($Q163&lt;0,1,ROUNDUP(IF($Q163*('Draft Center'!$L$28+'Draft Center'!$L$78-'Draft Center'!$L$82)&lt;1,1,$Q163*('Draft Center'!$L$28+'Draft Center'!$L$78-'Draft Center'!$L$82)),0)))</f>
        <v>1</v>
      </c>
      <c r="BH163" s="70">
        <f>IF(VLOOKUP($D163,$AO$14:AX$19,COLUMN()-50,0)&lt;=0,1,IF($Q163&lt;0,1,ROUNDUP(IF($Q163*('Draft Center'!$L$28+'Draft Center'!$L$78-'Draft Center'!$L$82)&lt;1,1,$Q163*('Draft Center'!$L$28+'Draft Center'!$L$78-'Draft Center'!$L$82)),0)))</f>
        <v>1</v>
      </c>
      <c r="BI163" s="70">
        <f>IF(VLOOKUP($D163,$AO$14:AY$19,COLUMN()-50,0)&lt;=0,1,IF($Q163&lt;0,1,ROUNDUP(IF($Q163*('Draft Center'!$L$28+'Draft Center'!$L$78-'Draft Center'!$L$82)&lt;1,1,$Q163*('Draft Center'!$L$28+'Draft Center'!$L$78-'Draft Center'!$L$82)),0)))</f>
        <v>1</v>
      </c>
      <c r="BJ163" s="196"/>
      <c r="BK163" s="23">
        <v>0</v>
      </c>
      <c r="BL163" s="23">
        <f t="shared" si="77"/>
        <v>0</v>
      </c>
      <c r="BM163" s="23">
        <v>0</v>
      </c>
      <c r="BN163" s="23" t="str">
        <f t="shared" si="77"/>
        <v/>
      </c>
      <c r="BO163" s="23" t="str">
        <f t="shared" si="77"/>
        <v/>
      </c>
      <c r="BP163" s="23" t="str">
        <f t="shared" si="77"/>
        <v/>
      </c>
      <c r="BQ163" s="23" t="str">
        <f t="shared" si="77"/>
        <v/>
      </c>
      <c r="BR163" s="23">
        <f t="shared" si="64"/>
        <v>0</v>
      </c>
      <c r="BS163" s="23">
        <f t="shared" si="65"/>
        <v>0</v>
      </c>
      <c r="BT163" s="70">
        <v>1</v>
      </c>
      <c r="BU163" s="58">
        <v>2327.0337</v>
      </c>
      <c r="BV163" s="33">
        <v>1</v>
      </c>
      <c r="BW163" s="204">
        <v>2327.0337</v>
      </c>
      <c r="BX163" s="23"/>
      <c r="BY163" s="70">
        <v>1</v>
      </c>
      <c r="BZ163" s="70">
        <v>0</v>
      </c>
      <c r="CA163" s="70">
        <v>0</v>
      </c>
      <c r="CB163" s="70">
        <v>0</v>
      </c>
      <c r="CC163" s="70">
        <f t="shared" si="68"/>
        <v>0</v>
      </c>
      <c r="CD163" s="70">
        <f t="shared" si="69"/>
        <v>0</v>
      </c>
    </row>
    <row r="164" spans="1:82" ht="15.75" customHeight="1" thickBot="1" x14ac:dyDescent="0.3">
      <c r="A164" s="9">
        <v>163</v>
      </c>
      <c r="B164" s="10" t="s">
        <v>236</v>
      </c>
      <c r="C164" s="10" t="s">
        <v>80</v>
      </c>
      <c r="D164" s="10" t="s">
        <v>147</v>
      </c>
      <c r="E164" s="51">
        <v>-23.977600097300702</v>
      </c>
      <c r="F164" s="51">
        <v>107.39138833367301</v>
      </c>
      <c r="G164" s="51">
        <v>114.533772001214</v>
      </c>
      <c r="H164" s="51">
        <v>90.2</v>
      </c>
      <c r="I164" s="11">
        <v>0</v>
      </c>
      <c r="J164" s="51">
        <v>4.9862210534658997</v>
      </c>
      <c r="K164" s="249">
        <f>IFERROR(VLOOKUP(C164,Schedule!$T$3:$U$34,2,0),"FA")</f>
        <v>11</v>
      </c>
      <c r="L164" s="10" t="str">
        <f>D164&amp;COUNTIF(D$2:$D164,D164)</f>
        <v>K24</v>
      </c>
      <c r="M164" s="51">
        <f t="array" ref="M164">IFERROR(F164-AVERAGE(VLOOKUP(D164,$D165:$F$885,3,0),INDEX($F165:$F$885,SMALL(IF(D164=$D165:$D$885,ROW($D165:$D$885)-ROW(D164)),2))),0)</f>
        <v>3.1593802380135116</v>
      </c>
      <c r="N164" s="51">
        <f>IFERROR(IF(VLOOKUP($B164,Input!$AC$2:$AC$162,1,0)=$B164,0),F164)</f>
        <v>107.39138833367301</v>
      </c>
      <c r="O164" s="51">
        <f>IFERROR(IF(VLOOKUP($B164,Input!$AC$2:$AC$162,1,0)=$B164,0,G164),G164)</f>
        <v>114.533772001214</v>
      </c>
      <c r="P164" s="51">
        <f>IF(N164=0,0,F164-AVERAGE(INDEX(F:F,MATCH(VLOOKUP(D164,Input!$A$14:$L$22,10,0),L:L,0)),INDEX(F:F,MATCH(VLOOKUP(D164,Input!$A$14:$L$22,11,0),L:L,0)),INDEX(F:F,MATCH(VLOOKUP(D164,Input!$A$14:$L$22,12,0),L:L,0)))+(0.01-ROW()*0.01))</f>
        <v>-25.781593248454985</v>
      </c>
      <c r="Q164" s="107">
        <f t="shared" si="60"/>
        <v>-8.8944676766251618E-3</v>
      </c>
      <c r="R164" s="11">
        <f>IF(VLOOKUP($D164,$X$14:$Y$19,2,0)&lt;=0,1,IF(Q164&lt;0,1,ROUNDUP(IF(Q164*('Draft Center'!$L$28+'Draft Center'!$L$78-'Draft Center'!$L$82)&lt;1,1,Q164*('Draft Center'!$L$28+'Draft Center'!$L$78-'Draft Center'!$L$82)),0)))</f>
        <v>1</v>
      </c>
      <c r="S164" s="11">
        <f>IF(A164&lt;Input!$B$10+0.1,IF(ROUNDUP(R164*Input!$C$10,0)=0,1,ROUNDUP(R164*Input!$C$10,0)),IF(A164&gt;Input!$B$11,IF(ROUNDUP(R164*Input!$C$11,0)=0,1,ROUNDUP(R164*Input!$C$11,0)),IF(ROUNDUP(R164,0)=0,1,ROUNDUP(R164,0))))</f>
        <v>1</v>
      </c>
      <c r="T164" s="11">
        <f t="shared" si="61"/>
        <v>1</v>
      </c>
      <c r="U164" s="11">
        <f>IFERROR(VLOOKUP($B164,Input!$AC$2:$AE$161,3,0),0)</f>
        <v>0</v>
      </c>
      <c r="V164" s="257">
        <f t="shared" si="66"/>
        <v>0</v>
      </c>
      <c r="W164" s="264">
        <f t="shared" si="67"/>
        <v>1.0016400000000001</v>
      </c>
      <c r="X164" s="27"/>
      <c r="Y164" s="23"/>
      <c r="Z164" s="23"/>
      <c r="AA164" s="23">
        <v>0</v>
      </c>
      <c r="AB164" s="23" t="str">
        <f t="shared" si="76"/>
        <v/>
      </c>
      <c r="AC164" s="23" t="str">
        <f t="shared" si="76"/>
        <v/>
      </c>
      <c r="AD164" s="23" t="str">
        <f t="shared" si="76"/>
        <v/>
      </c>
      <c r="AE164" s="23" t="str">
        <f t="shared" si="76"/>
        <v/>
      </c>
      <c r="AF164" s="23" t="str">
        <f t="shared" si="76"/>
        <v/>
      </c>
      <c r="AG164" s="23">
        <f t="shared" si="76"/>
        <v>0</v>
      </c>
      <c r="AH164" s="23">
        <f t="shared" si="62"/>
        <v>0</v>
      </c>
      <c r="AI164" s="23">
        <f t="shared" si="63"/>
        <v>0</v>
      </c>
      <c r="AJ164" s="69">
        <v>1</v>
      </c>
      <c r="AK164" s="225">
        <v>2327.0337</v>
      </c>
      <c r="AL164" s="33">
        <v>1</v>
      </c>
      <c r="AM164" s="204">
        <v>2327.0337</v>
      </c>
      <c r="AN164" s="196"/>
      <c r="AO164" s="23"/>
      <c r="AP164" s="23"/>
      <c r="AQ164" s="23"/>
      <c r="AR164" s="23"/>
      <c r="AS164" s="23"/>
      <c r="AT164" s="23"/>
      <c r="AU164" s="23"/>
      <c r="AV164" s="23"/>
      <c r="AW164" s="23"/>
      <c r="AX164" s="23"/>
      <c r="AY164" s="23"/>
      <c r="AZ164" s="196"/>
      <c r="BA164" s="69">
        <f>IF(VLOOKUP($D164,$AO$14:AQ$19,COLUMN()-50,0)&lt;=0,1,IF($Q164&lt;0,1,ROUNDUP(IF($Q164*('Draft Center'!$L$28+'Draft Center'!$L$78-'Draft Center'!$L$82)&lt;1,1,$Q164*('Draft Center'!$L$28+'Draft Center'!$L$78-'Draft Center'!$L$82)),0)))</f>
        <v>1</v>
      </c>
      <c r="BB164" s="69">
        <f>IF(VLOOKUP($D164,$AO$14:AR$19,COLUMN()-50,0)&lt;=0,1,IF($Q164&lt;0,1,ROUNDUP(IF($Q164*('Draft Center'!$L$28+'Draft Center'!$L$78-'Draft Center'!$L$82)&lt;1,1,$Q164*('Draft Center'!$L$28+'Draft Center'!$L$78-'Draft Center'!$L$82)),0)))</f>
        <v>1</v>
      </c>
      <c r="BC164" s="69">
        <f>IF(VLOOKUP($D164,$AO$14:AS$19,COLUMN()-50,0)&lt;=0,1,IF($Q164&lt;0,1,ROUNDUP(IF($Q164*('Draft Center'!$L$28+'Draft Center'!$L$78-'Draft Center'!$L$82)&lt;1,1,$Q164*('Draft Center'!$L$28+'Draft Center'!$L$78-'Draft Center'!$L$82)),0)))</f>
        <v>1</v>
      </c>
      <c r="BD164" s="69">
        <f>IF(VLOOKUP($D164,$AO$14:AT$19,COLUMN()-50,0)&lt;=0,1,IF($Q164&lt;0,1,ROUNDUP(IF($Q164*('Draft Center'!$L$28+'Draft Center'!$L$78-'Draft Center'!$L$82)&lt;1,1,$Q164*('Draft Center'!$L$28+'Draft Center'!$L$78-'Draft Center'!$L$82)),0)))</f>
        <v>1</v>
      </c>
      <c r="BE164" s="69">
        <f>IF(VLOOKUP($D164,$AO$14:AU$19,COLUMN()-50,0)&lt;=0,1,IF($Q164&lt;0,1,ROUNDUP(IF($Q164*('Draft Center'!$L$28+'Draft Center'!$L$78-'Draft Center'!$L$82)&lt;1,1,$Q164*('Draft Center'!$L$28+'Draft Center'!$L$78-'Draft Center'!$L$82)),0)))</f>
        <v>1</v>
      </c>
      <c r="BF164" s="69">
        <f>IF(VLOOKUP($D164,$AO$14:AV$19,COLUMN()-50,0)&lt;=0,1,IF($Q164&lt;0,1,ROUNDUP(IF($Q164*('Draft Center'!$L$28+'Draft Center'!$L$78-'Draft Center'!$L$82)&lt;1,1,$Q164*('Draft Center'!$L$28+'Draft Center'!$L$78-'Draft Center'!$L$82)),0)))</f>
        <v>1</v>
      </c>
      <c r="BG164" s="69">
        <f>IF(VLOOKUP($D164,$AO$14:AW$19,COLUMN()-50,0)&lt;=0,1,IF($Q164&lt;0,1,ROUNDUP(IF($Q164*('Draft Center'!$L$28+'Draft Center'!$L$78-'Draft Center'!$L$82)&lt;1,1,$Q164*('Draft Center'!$L$28+'Draft Center'!$L$78-'Draft Center'!$L$82)),0)))</f>
        <v>1</v>
      </c>
      <c r="BH164" s="69">
        <f>IF(VLOOKUP($D164,$AO$14:AX$19,COLUMN()-50,0)&lt;=0,1,IF($Q164&lt;0,1,ROUNDUP(IF($Q164*('Draft Center'!$L$28+'Draft Center'!$L$78-'Draft Center'!$L$82)&lt;1,1,$Q164*('Draft Center'!$L$28+'Draft Center'!$L$78-'Draft Center'!$L$82)),0)))</f>
        <v>1</v>
      </c>
      <c r="BI164" s="69">
        <f>IF(VLOOKUP($D164,$AO$14:AY$19,COLUMN()-50,0)&lt;=0,1,IF($Q164&lt;0,1,ROUNDUP(IF($Q164*('Draft Center'!$L$28+'Draft Center'!$L$78-'Draft Center'!$L$82)&lt;1,1,$Q164*('Draft Center'!$L$28+'Draft Center'!$L$78-'Draft Center'!$L$82)),0)))</f>
        <v>1</v>
      </c>
      <c r="BJ164" s="196"/>
      <c r="BK164" s="23">
        <v>0</v>
      </c>
      <c r="BL164" s="23" t="str">
        <f t="shared" si="77"/>
        <v/>
      </c>
      <c r="BM164" s="23">
        <v>0</v>
      </c>
      <c r="BN164" s="23" t="str">
        <f t="shared" si="77"/>
        <v/>
      </c>
      <c r="BO164" s="23" t="str">
        <f t="shared" si="77"/>
        <v/>
      </c>
      <c r="BP164" s="23" t="str">
        <f t="shared" si="77"/>
        <v/>
      </c>
      <c r="BQ164" s="23">
        <f t="shared" si="77"/>
        <v>0</v>
      </c>
      <c r="BR164" s="23">
        <f t="shared" si="64"/>
        <v>0</v>
      </c>
      <c r="BS164" s="23">
        <f t="shared" si="65"/>
        <v>0</v>
      </c>
      <c r="BT164" s="69">
        <v>1</v>
      </c>
      <c r="BU164" s="58">
        <v>2327.0337</v>
      </c>
      <c r="BV164" s="33">
        <v>1</v>
      </c>
      <c r="BW164" s="204">
        <v>2327.0337</v>
      </c>
      <c r="BX164" s="23"/>
      <c r="BY164" s="69">
        <v>1</v>
      </c>
      <c r="BZ164" s="69">
        <v>0</v>
      </c>
      <c r="CA164" s="69">
        <v>0</v>
      </c>
      <c r="CB164" s="69">
        <v>0</v>
      </c>
      <c r="CC164" s="69">
        <f t="shared" si="68"/>
        <v>0</v>
      </c>
      <c r="CD164" s="69">
        <f t="shared" si="69"/>
        <v>0</v>
      </c>
    </row>
    <row r="165" spans="1:82" ht="15.75" customHeight="1" thickBot="1" x14ac:dyDescent="0.3">
      <c r="A165" s="6">
        <v>164</v>
      </c>
      <c r="B165" s="7" t="s">
        <v>199</v>
      </c>
      <c r="C165" s="7" t="s">
        <v>64</v>
      </c>
      <c r="D165" s="7" t="s">
        <v>17</v>
      </c>
      <c r="E165" s="50">
        <v>-24.170614091456901</v>
      </c>
      <c r="F165" s="50">
        <v>188.607302177892</v>
      </c>
      <c r="G165" s="50">
        <v>215.85142169851201</v>
      </c>
      <c r="H165" s="50">
        <v>171.00943674037899</v>
      </c>
      <c r="I165" s="8">
        <v>2.2000000000000002</v>
      </c>
      <c r="J165" s="50">
        <v>4.70914465445279</v>
      </c>
      <c r="K165" s="248">
        <f>IFERROR(VLOOKUP(C165,Schedule!$T$3:$U$34,2,0),"FA")</f>
        <v>11</v>
      </c>
      <c r="L165" s="7" t="str">
        <f>D165&amp;COUNTIF(D$2:$D165,D165)</f>
        <v>WR39</v>
      </c>
      <c r="M165" s="50">
        <f t="array" ref="M165">IFERROR(F165-AVERAGE(VLOOKUP(D165,$D166:$F$885,3,0),INDEX($F166:$F$885,SMALL(IF(D165=$D166:$D$885,ROW($D166:$D$885)-ROW(D165)),2))),0)</f>
        <v>3.4635992593329945</v>
      </c>
      <c r="N165" s="50">
        <f>IFERROR(IF(VLOOKUP($B165,Input!$AC$2:$AC$162,1,0)=$B165,0),F165)</f>
        <v>188.607302177892</v>
      </c>
      <c r="O165" s="50">
        <f>IFERROR(IF(VLOOKUP($B165,Input!$AC$2:$AC$162,1,0)=$B165,0,G165),G165)</f>
        <v>215.85142169851201</v>
      </c>
      <c r="P165" s="50">
        <f>IF(N165=0,0,F165-AVERAGE(INDEX(F:F,MATCH(VLOOKUP(D165,Input!$A$14:$L$22,10,0),L:L,0)),INDEX(F:F,MATCH(VLOOKUP(D165,Input!$A$14:$L$22,11,0),L:L,0)),INDEX(F:F,MATCH(VLOOKUP(D165,Input!$A$14:$L$22,12,0),L:L,0)))+(0.01-ROW()*0.01))</f>
        <v>-25.810614091457026</v>
      </c>
      <c r="Q165" s="106">
        <f t="shared" si="60"/>
        <v>-8.9044796626006808E-3</v>
      </c>
      <c r="R165" s="8">
        <f>IF(VLOOKUP($D165,$X$14:$Y$19,2,0)&lt;=0,1,IF(Q165&lt;0,1,ROUNDUP(IF(Q165*('Draft Center'!$L$28+'Draft Center'!$L$78-'Draft Center'!$L$82)&lt;1,1,Q165*('Draft Center'!$L$28+'Draft Center'!$L$78-'Draft Center'!$L$82)),0)))</f>
        <v>1</v>
      </c>
      <c r="S165" s="8">
        <f>IF(A165&lt;Input!$B$10+0.1,IF(ROUNDUP(R165*Input!$C$10,0)=0,1,ROUNDUP(R165*Input!$C$10,0)),IF(A165&gt;Input!$B$11,IF(ROUNDUP(R165*Input!$C$11,0)=0,1,ROUNDUP(R165*Input!$C$11,0)),IF(ROUNDUP(R165,0)=0,1,ROUNDUP(R165,0))))</f>
        <v>1</v>
      </c>
      <c r="T165" s="8">
        <f t="shared" si="61"/>
        <v>1</v>
      </c>
      <c r="U165" s="8">
        <f>IFERROR(VLOOKUP($B165,Input!$AC$2:$AE$161,3,0),0)</f>
        <v>0</v>
      </c>
      <c r="V165" s="256">
        <f t="shared" si="66"/>
        <v>-0.54380454545454548</v>
      </c>
      <c r="W165" s="263">
        <f t="shared" si="67"/>
        <v>-1.1983500000000002</v>
      </c>
      <c r="X165" s="27"/>
      <c r="Y165" s="23"/>
      <c r="Z165" s="23"/>
      <c r="AA165" s="23">
        <v>0</v>
      </c>
      <c r="AB165" s="23" t="str">
        <f t="shared" si="76"/>
        <v/>
      </c>
      <c r="AC165" s="23" t="str">
        <f t="shared" si="76"/>
        <v/>
      </c>
      <c r="AD165" s="23">
        <f t="shared" si="76"/>
        <v>0</v>
      </c>
      <c r="AE165" s="23" t="str">
        <f t="shared" si="76"/>
        <v/>
      </c>
      <c r="AF165" s="23" t="str">
        <f t="shared" si="76"/>
        <v/>
      </c>
      <c r="AG165" s="23" t="str">
        <f t="shared" si="76"/>
        <v/>
      </c>
      <c r="AH165" s="23">
        <f t="shared" si="62"/>
        <v>0</v>
      </c>
      <c r="AI165" s="23">
        <f t="shared" si="63"/>
        <v>0</v>
      </c>
      <c r="AJ165" s="70">
        <v>1</v>
      </c>
      <c r="AK165" s="225">
        <v>2327.0337</v>
      </c>
      <c r="AL165" s="33">
        <v>1</v>
      </c>
      <c r="AM165" s="204">
        <v>2327.0337</v>
      </c>
      <c r="AN165" s="196"/>
      <c r="AO165" s="23"/>
      <c r="AP165" s="23"/>
      <c r="AQ165" s="23"/>
      <c r="AR165" s="23"/>
      <c r="AS165" s="23"/>
      <c r="AT165" s="23"/>
      <c r="AU165" s="23"/>
      <c r="AV165" s="23"/>
      <c r="AW165" s="23"/>
      <c r="AX165" s="23"/>
      <c r="AY165" s="23"/>
      <c r="AZ165" s="196"/>
      <c r="BA165" s="70">
        <f>IF(VLOOKUP($D165,$AO$14:AQ$19,COLUMN()-50,0)&lt;=0,1,IF($Q165&lt;0,1,ROUNDUP(IF($Q165*('Draft Center'!$L$28+'Draft Center'!$L$78-'Draft Center'!$L$82)&lt;1,1,$Q165*('Draft Center'!$L$28+'Draft Center'!$L$78-'Draft Center'!$L$82)),0)))</f>
        <v>1</v>
      </c>
      <c r="BB165" s="70">
        <f>IF(VLOOKUP($D165,$AO$14:AR$19,COLUMN()-50,0)&lt;=0,1,IF($Q165&lt;0,1,ROUNDUP(IF($Q165*('Draft Center'!$L$28+'Draft Center'!$L$78-'Draft Center'!$L$82)&lt;1,1,$Q165*('Draft Center'!$L$28+'Draft Center'!$L$78-'Draft Center'!$L$82)),0)))</f>
        <v>1</v>
      </c>
      <c r="BC165" s="70">
        <f>IF(VLOOKUP($D165,$AO$14:AS$19,COLUMN()-50,0)&lt;=0,1,IF($Q165&lt;0,1,ROUNDUP(IF($Q165*('Draft Center'!$L$28+'Draft Center'!$L$78-'Draft Center'!$L$82)&lt;1,1,$Q165*('Draft Center'!$L$28+'Draft Center'!$L$78-'Draft Center'!$L$82)),0)))</f>
        <v>1</v>
      </c>
      <c r="BD165" s="70">
        <f>IF(VLOOKUP($D165,$AO$14:AT$19,COLUMN()-50,0)&lt;=0,1,IF($Q165&lt;0,1,ROUNDUP(IF($Q165*('Draft Center'!$L$28+'Draft Center'!$L$78-'Draft Center'!$L$82)&lt;1,1,$Q165*('Draft Center'!$L$28+'Draft Center'!$L$78-'Draft Center'!$L$82)),0)))</f>
        <v>1</v>
      </c>
      <c r="BE165" s="70">
        <f>IF(VLOOKUP($D165,$AO$14:AU$19,COLUMN()-50,0)&lt;=0,1,IF($Q165&lt;0,1,ROUNDUP(IF($Q165*('Draft Center'!$L$28+'Draft Center'!$L$78-'Draft Center'!$L$82)&lt;1,1,$Q165*('Draft Center'!$L$28+'Draft Center'!$L$78-'Draft Center'!$L$82)),0)))</f>
        <v>1</v>
      </c>
      <c r="BF165" s="70">
        <f>IF(VLOOKUP($D165,$AO$14:AV$19,COLUMN()-50,0)&lt;=0,1,IF($Q165&lt;0,1,ROUNDUP(IF($Q165*('Draft Center'!$L$28+'Draft Center'!$L$78-'Draft Center'!$L$82)&lt;1,1,$Q165*('Draft Center'!$L$28+'Draft Center'!$L$78-'Draft Center'!$L$82)),0)))</f>
        <v>1</v>
      </c>
      <c r="BG165" s="70">
        <f>IF(VLOOKUP($D165,$AO$14:AW$19,COLUMN()-50,0)&lt;=0,1,IF($Q165&lt;0,1,ROUNDUP(IF($Q165*('Draft Center'!$L$28+'Draft Center'!$L$78-'Draft Center'!$L$82)&lt;1,1,$Q165*('Draft Center'!$L$28+'Draft Center'!$L$78-'Draft Center'!$L$82)),0)))</f>
        <v>1</v>
      </c>
      <c r="BH165" s="70">
        <f>IF(VLOOKUP($D165,$AO$14:AX$19,COLUMN()-50,0)&lt;=0,1,IF($Q165&lt;0,1,ROUNDUP(IF($Q165*('Draft Center'!$L$28+'Draft Center'!$L$78-'Draft Center'!$L$82)&lt;1,1,$Q165*('Draft Center'!$L$28+'Draft Center'!$L$78-'Draft Center'!$L$82)),0)))</f>
        <v>1</v>
      </c>
      <c r="BI165" s="70">
        <f>IF(VLOOKUP($D165,$AO$14:AY$19,COLUMN()-50,0)&lt;=0,1,IF($Q165&lt;0,1,ROUNDUP(IF($Q165*('Draft Center'!$L$28+'Draft Center'!$L$78-'Draft Center'!$L$82)&lt;1,1,$Q165*('Draft Center'!$L$28+'Draft Center'!$L$78-'Draft Center'!$L$82)),0)))</f>
        <v>1</v>
      </c>
      <c r="BJ165" s="196"/>
      <c r="BK165" s="23">
        <v>0</v>
      </c>
      <c r="BL165" s="23" t="str">
        <f t="shared" si="77"/>
        <v/>
      </c>
      <c r="BM165" s="23">
        <v>0</v>
      </c>
      <c r="BN165" s="23">
        <f t="shared" si="77"/>
        <v>0</v>
      </c>
      <c r="BO165" s="23" t="str">
        <f t="shared" si="77"/>
        <v/>
      </c>
      <c r="BP165" s="23" t="str">
        <f t="shared" si="77"/>
        <v/>
      </c>
      <c r="BQ165" s="23" t="str">
        <f t="shared" si="77"/>
        <v/>
      </c>
      <c r="BR165" s="23">
        <f t="shared" si="64"/>
        <v>0</v>
      </c>
      <c r="BS165" s="23">
        <f t="shared" si="65"/>
        <v>0</v>
      </c>
      <c r="BT165" s="70">
        <v>1</v>
      </c>
      <c r="BU165" s="58">
        <v>2327.0337</v>
      </c>
      <c r="BV165" s="33">
        <v>1</v>
      </c>
      <c r="BW165" s="204">
        <v>2327.0337</v>
      </c>
      <c r="BX165" s="23"/>
      <c r="BY165" s="70">
        <v>1</v>
      </c>
      <c r="BZ165" s="70">
        <v>2.2000000000000002</v>
      </c>
      <c r="CA165" s="70">
        <v>2.2000000000000002</v>
      </c>
      <c r="CB165" s="70">
        <v>2.2000000000000002</v>
      </c>
      <c r="CC165" s="70">
        <f t="shared" si="68"/>
        <v>2.2000000000000002</v>
      </c>
      <c r="CD165" s="70">
        <f t="shared" si="69"/>
        <v>2.2000000000000002</v>
      </c>
    </row>
    <row r="166" spans="1:82" ht="15.75" customHeight="1" thickBot="1" x14ac:dyDescent="0.3">
      <c r="A166" s="9">
        <v>165</v>
      </c>
      <c r="B166" s="10" t="s">
        <v>294</v>
      </c>
      <c r="C166" s="10" t="s">
        <v>31</v>
      </c>
      <c r="D166" s="10" t="s">
        <v>135</v>
      </c>
      <c r="E166" s="51">
        <v>-25.959700951517899</v>
      </c>
      <c r="F166" s="51">
        <v>82.771857725419096</v>
      </c>
      <c r="G166" s="51">
        <v>98.603808510638302</v>
      </c>
      <c r="H166" s="51">
        <v>68</v>
      </c>
      <c r="I166" s="11">
        <v>0</v>
      </c>
      <c r="J166" s="51">
        <v>4.9213175640970697</v>
      </c>
      <c r="K166" s="249">
        <f>IFERROR(VLOOKUP(C166,Schedule!$T$3:$U$34,2,0),"FA")</f>
        <v>9</v>
      </c>
      <c r="L166" s="10" t="str">
        <f>D166&amp;COUNTIF(D$2:$D166,D166)</f>
        <v>DST29</v>
      </c>
      <c r="M166" s="51">
        <f t="array" ref="M166">IFERROR(F166-AVERAGE(VLOOKUP(D166,$D167:$F$885,3,0),INDEX($F167:$F$885,SMALL(IF(D166=$D167:$D$885,ROW($D167:$D$885)-ROW(D166)),2))),0)</f>
        <v>1.8687856819210964</v>
      </c>
      <c r="N166" s="51">
        <f>IFERROR(IF(VLOOKUP($B166,Input!$AC$2:$AC$162,1,0)=$B166,0),F166)</f>
        <v>82.771857725419096</v>
      </c>
      <c r="O166" s="51">
        <f>IFERROR(IF(VLOOKUP($B166,Input!$AC$2:$AC$162,1,0)=$B166,0,G166),G166)</f>
        <v>98.603808510638302</v>
      </c>
      <c r="P166" s="51">
        <f>IF(N166=0,0,F166-AVERAGE(INDEX(F:F,MATCH(VLOOKUP(D166,Input!$A$14:$L$22,10,0),L:L,0)),INDEX(F:F,MATCH(VLOOKUP(D166,Input!$A$14:$L$22,11,0),L:L,0)),INDEX(F:F,MATCH(VLOOKUP(D166,Input!$A$14:$L$22,12,0),L:L,0)))+(0.01-ROW()*0.01))</f>
        <v>-26.566529225192916</v>
      </c>
      <c r="Q166" s="107">
        <f t="shared" si="60"/>
        <v>-9.1652650476811218E-3</v>
      </c>
      <c r="R166" s="11">
        <f>IF(VLOOKUP($D166,$X$14:$Y$19,2,0)&lt;=0,1,IF(Q166&lt;0,1,ROUNDUP(IF(Q166*('Draft Center'!$L$28+'Draft Center'!$L$78-'Draft Center'!$L$82)&lt;1,1,Q166*('Draft Center'!$L$28+'Draft Center'!$L$78-'Draft Center'!$L$82)),0)))</f>
        <v>1</v>
      </c>
      <c r="S166" s="11">
        <f>IF(A166&lt;Input!$B$10+0.1,IF(ROUNDUP(R166*Input!$C$10,0)=0,1,ROUNDUP(R166*Input!$C$10,0)),IF(A166&gt;Input!$B$11,IF(ROUNDUP(R166*Input!$C$11,0)=0,1,ROUNDUP(R166*Input!$C$11,0)),IF(ROUNDUP(R166,0)=0,1,ROUNDUP(R166,0))))</f>
        <v>1</v>
      </c>
      <c r="T166" s="11">
        <f t="shared" si="61"/>
        <v>1</v>
      </c>
      <c r="U166" s="11">
        <f>IFERROR(VLOOKUP($B166,Input!$AC$2:$AE$161,3,0),0)</f>
        <v>0</v>
      </c>
      <c r="V166" s="257">
        <f t="shared" si="66"/>
        <v>0</v>
      </c>
      <c r="W166" s="264">
        <f t="shared" si="67"/>
        <v>1.00166</v>
      </c>
      <c r="X166" s="27"/>
      <c r="Y166" s="23"/>
      <c r="Z166" s="23"/>
      <c r="AA166" s="23">
        <v>0</v>
      </c>
      <c r="AB166" s="23" t="str">
        <f t="shared" si="76"/>
        <v/>
      </c>
      <c r="AC166" s="23" t="str">
        <f t="shared" si="76"/>
        <v/>
      </c>
      <c r="AD166" s="23" t="str">
        <f t="shared" si="76"/>
        <v/>
      </c>
      <c r="AE166" s="23" t="str">
        <f t="shared" si="76"/>
        <v/>
      </c>
      <c r="AF166" s="23">
        <f t="shared" si="76"/>
        <v>0</v>
      </c>
      <c r="AG166" s="23" t="str">
        <f t="shared" si="76"/>
        <v/>
      </c>
      <c r="AH166" s="23">
        <f t="shared" si="62"/>
        <v>0</v>
      </c>
      <c r="AI166" s="23">
        <f t="shared" si="63"/>
        <v>0</v>
      </c>
      <c r="AJ166" s="69">
        <v>1</v>
      </c>
      <c r="AK166" s="225">
        <v>2327.0337</v>
      </c>
      <c r="AL166" s="33">
        <v>1</v>
      </c>
      <c r="AM166" s="204">
        <v>2327.0337</v>
      </c>
      <c r="AN166" s="196"/>
      <c r="AO166" s="23"/>
      <c r="AP166" s="23"/>
      <c r="AQ166" s="23"/>
      <c r="AR166" s="23"/>
      <c r="AS166" s="23"/>
      <c r="AT166" s="23"/>
      <c r="AU166" s="23"/>
      <c r="AV166" s="23"/>
      <c r="AW166" s="23"/>
      <c r="AX166" s="23"/>
      <c r="AY166" s="23"/>
      <c r="AZ166" s="196"/>
      <c r="BA166" s="69">
        <f>IF(VLOOKUP($D166,$AO$14:AQ$19,COLUMN()-50,0)&lt;=0,1,IF($Q166&lt;0,1,ROUNDUP(IF($Q166*('Draft Center'!$L$28+'Draft Center'!$L$78-'Draft Center'!$L$82)&lt;1,1,$Q166*('Draft Center'!$L$28+'Draft Center'!$L$78-'Draft Center'!$L$82)),0)))</f>
        <v>1</v>
      </c>
      <c r="BB166" s="69">
        <f>IF(VLOOKUP($D166,$AO$14:AR$19,COLUMN()-50,0)&lt;=0,1,IF($Q166&lt;0,1,ROUNDUP(IF($Q166*('Draft Center'!$L$28+'Draft Center'!$L$78-'Draft Center'!$L$82)&lt;1,1,$Q166*('Draft Center'!$L$28+'Draft Center'!$L$78-'Draft Center'!$L$82)),0)))</f>
        <v>1</v>
      </c>
      <c r="BC166" s="69">
        <f>IF(VLOOKUP($D166,$AO$14:AS$19,COLUMN()-50,0)&lt;=0,1,IF($Q166&lt;0,1,ROUNDUP(IF($Q166*('Draft Center'!$L$28+'Draft Center'!$L$78-'Draft Center'!$L$82)&lt;1,1,$Q166*('Draft Center'!$L$28+'Draft Center'!$L$78-'Draft Center'!$L$82)),0)))</f>
        <v>1</v>
      </c>
      <c r="BD166" s="69">
        <f>IF(VLOOKUP($D166,$AO$14:AT$19,COLUMN()-50,0)&lt;=0,1,IF($Q166&lt;0,1,ROUNDUP(IF($Q166*('Draft Center'!$L$28+'Draft Center'!$L$78-'Draft Center'!$L$82)&lt;1,1,$Q166*('Draft Center'!$L$28+'Draft Center'!$L$78-'Draft Center'!$L$82)),0)))</f>
        <v>1</v>
      </c>
      <c r="BE166" s="69">
        <f>IF(VLOOKUP($D166,$AO$14:AU$19,COLUMN()-50,0)&lt;=0,1,IF($Q166&lt;0,1,ROUNDUP(IF($Q166*('Draft Center'!$L$28+'Draft Center'!$L$78-'Draft Center'!$L$82)&lt;1,1,$Q166*('Draft Center'!$L$28+'Draft Center'!$L$78-'Draft Center'!$L$82)),0)))</f>
        <v>1</v>
      </c>
      <c r="BF166" s="69">
        <f>IF(VLOOKUP($D166,$AO$14:AV$19,COLUMN()-50,0)&lt;=0,1,IF($Q166&lt;0,1,ROUNDUP(IF($Q166*('Draft Center'!$L$28+'Draft Center'!$L$78-'Draft Center'!$L$82)&lt;1,1,$Q166*('Draft Center'!$L$28+'Draft Center'!$L$78-'Draft Center'!$L$82)),0)))</f>
        <v>1</v>
      </c>
      <c r="BG166" s="69">
        <f>IF(VLOOKUP($D166,$AO$14:AW$19,COLUMN()-50,0)&lt;=0,1,IF($Q166&lt;0,1,ROUNDUP(IF($Q166*('Draft Center'!$L$28+'Draft Center'!$L$78-'Draft Center'!$L$82)&lt;1,1,$Q166*('Draft Center'!$L$28+'Draft Center'!$L$78-'Draft Center'!$L$82)),0)))</f>
        <v>1</v>
      </c>
      <c r="BH166" s="69">
        <f>IF(VLOOKUP($D166,$AO$14:AX$19,COLUMN()-50,0)&lt;=0,1,IF($Q166&lt;0,1,ROUNDUP(IF($Q166*('Draft Center'!$L$28+'Draft Center'!$L$78-'Draft Center'!$L$82)&lt;1,1,$Q166*('Draft Center'!$L$28+'Draft Center'!$L$78-'Draft Center'!$L$82)),0)))</f>
        <v>1</v>
      </c>
      <c r="BI166" s="69">
        <f>IF(VLOOKUP($D166,$AO$14:AY$19,COLUMN()-50,0)&lt;=0,1,IF($Q166&lt;0,1,ROUNDUP(IF($Q166*('Draft Center'!$L$28+'Draft Center'!$L$78-'Draft Center'!$L$82)&lt;1,1,$Q166*('Draft Center'!$L$28+'Draft Center'!$L$78-'Draft Center'!$L$82)),0)))</f>
        <v>1</v>
      </c>
      <c r="BJ166" s="196"/>
      <c r="BK166" s="23">
        <v>0</v>
      </c>
      <c r="BL166" s="23" t="str">
        <f t="shared" si="77"/>
        <v/>
      </c>
      <c r="BM166" s="23">
        <v>0</v>
      </c>
      <c r="BN166" s="23" t="str">
        <f t="shared" si="77"/>
        <v/>
      </c>
      <c r="BO166" s="23" t="str">
        <f t="shared" si="77"/>
        <v/>
      </c>
      <c r="BP166" s="23">
        <f t="shared" si="77"/>
        <v>0</v>
      </c>
      <c r="BQ166" s="23" t="str">
        <f t="shared" si="77"/>
        <v/>
      </c>
      <c r="BR166" s="23">
        <f t="shared" si="64"/>
        <v>0</v>
      </c>
      <c r="BS166" s="23">
        <f t="shared" si="65"/>
        <v>0</v>
      </c>
      <c r="BT166" s="69">
        <v>1</v>
      </c>
      <c r="BU166" s="58">
        <v>2327.0337</v>
      </c>
      <c r="BV166" s="33">
        <v>1</v>
      </c>
      <c r="BW166" s="204">
        <v>2327.0337</v>
      </c>
      <c r="BX166" s="23"/>
      <c r="BY166" s="69">
        <v>1</v>
      </c>
      <c r="BZ166" s="69">
        <v>0</v>
      </c>
      <c r="CA166" s="69">
        <v>0</v>
      </c>
      <c r="CB166" s="69">
        <v>0</v>
      </c>
      <c r="CC166" s="69">
        <f t="shared" si="68"/>
        <v>0</v>
      </c>
      <c r="CD166" s="69">
        <f t="shared" si="69"/>
        <v>0</v>
      </c>
    </row>
    <row r="167" spans="1:82" ht="15.75" customHeight="1" thickBot="1" x14ac:dyDescent="0.3">
      <c r="A167" s="6">
        <v>166</v>
      </c>
      <c r="B167" s="7" t="s">
        <v>91</v>
      </c>
      <c r="C167" s="7" t="s">
        <v>57</v>
      </c>
      <c r="D167" s="7" t="s">
        <v>17</v>
      </c>
      <c r="E167" s="50">
        <v>-26.705846816606499</v>
      </c>
      <c r="F167" s="50">
        <v>186.07206945274299</v>
      </c>
      <c r="G167" s="50">
        <v>200.996079020096</v>
      </c>
      <c r="H167" s="50">
        <v>164.84483413026399</v>
      </c>
      <c r="I167" s="8">
        <v>4.0999999999999996</v>
      </c>
      <c r="J167" s="50">
        <v>3.9274730476405502</v>
      </c>
      <c r="K167" s="248">
        <f>IFERROR(VLOOKUP(C167,Schedule!$T$3:$U$34,2,0),"FA")</f>
        <v>11</v>
      </c>
      <c r="L167" s="7" t="str">
        <f>D167&amp;COUNTIF(D$2:$D167,D167)</f>
        <v>WR40</v>
      </c>
      <c r="M167" s="50">
        <f t="array" ref="M167">IFERROR(F167-AVERAGE(VLOOKUP(D167,$D168:$F$885,3,0),INDEX($F168:$F$885,SMALL(IF(D167=$D168:$D$885,ROW($D168:$D$885)-ROW(D167)),2))),0)</f>
        <v>2.2076559118214902</v>
      </c>
      <c r="N167" s="50">
        <f>IFERROR(IF(VLOOKUP($B167,Input!$AC$2:$AC$162,1,0)=$B167,0),F167)</f>
        <v>186.07206945274299</v>
      </c>
      <c r="O167" s="50">
        <f>IFERROR(IF(VLOOKUP($B167,Input!$AC$2:$AC$162,1,0)=$B167,0,G167),G167)</f>
        <v>200.996079020096</v>
      </c>
      <c r="P167" s="50">
        <f>IF(N167=0,0,F167-AVERAGE(INDEX(F:F,MATCH(VLOOKUP(D167,Input!$A$14:$L$22,10,0),L:L,0)),INDEX(F:F,MATCH(VLOOKUP(D167,Input!$A$14:$L$22,11,0),L:L,0)),INDEX(F:F,MATCH(VLOOKUP(D167,Input!$A$14:$L$22,12,0),L:L,0)))+(0.01-ROW()*0.01))</f>
        <v>-28.365846816606027</v>
      </c>
      <c r="Q167" s="106">
        <f t="shared" si="60"/>
        <v>-9.786016915208395E-3</v>
      </c>
      <c r="R167" s="8">
        <f>IF(VLOOKUP($D167,$X$14:$Y$19,2,0)&lt;=0,1,IF(Q167&lt;0,1,ROUNDUP(IF(Q167*('Draft Center'!$L$28+'Draft Center'!$L$78-'Draft Center'!$L$82)&lt;1,1,Q167*('Draft Center'!$L$28+'Draft Center'!$L$78-'Draft Center'!$L$82)),0)))</f>
        <v>1</v>
      </c>
      <c r="S167" s="8">
        <f>IF(A167&lt;Input!$B$10+0.1,IF(ROUNDUP(R167*Input!$C$10,0)=0,1,ROUNDUP(R167*Input!$C$10,0)),IF(A167&gt;Input!$B$11,IF(ROUNDUP(R167*Input!$C$11,0)=0,1,ROUNDUP(R167*Input!$C$11,0)),IF(ROUNDUP(R167,0)=0,1,ROUNDUP(R167,0))))</f>
        <v>1</v>
      </c>
      <c r="T167" s="8">
        <f t="shared" si="61"/>
        <v>1</v>
      </c>
      <c r="U167" s="8">
        <f>IFERROR(VLOOKUP($B167,Input!$AC$2:$AE$161,3,0),0)</f>
        <v>0</v>
      </c>
      <c r="V167" s="256">
        <f t="shared" si="66"/>
        <v>-0.75442756097560981</v>
      </c>
      <c r="W167" s="263">
        <f t="shared" si="67"/>
        <v>-3.0983299999999998</v>
      </c>
      <c r="X167" s="27"/>
      <c r="Y167" s="23"/>
      <c r="Z167" s="23"/>
      <c r="AA167" s="23">
        <v>0</v>
      </c>
      <c r="AB167" s="23" t="str">
        <f t="shared" si="76"/>
        <v/>
      </c>
      <c r="AC167" s="23" t="str">
        <f t="shared" si="76"/>
        <v/>
      </c>
      <c r="AD167" s="23">
        <f t="shared" si="76"/>
        <v>0</v>
      </c>
      <c r="AE167" s="23" t="str">
        <f t="shared" si="76"/>
        <v/>
      </c>
      <c r="AF167" s="23" t="str">
        <f t="shared" si="76"/>
        <v/>
      </c>
      <c r="AG167" s="23" t="str">
        <f t="shared" si="76"/>
        <v/>
      </c>
      <c r="AH167" s="23">
        <f t="shared" si="62"/>
        <v>0</v>
      </c>
      <c r="AI167" s="23">
        <f t="shared" si="63"/>
        <v>0</v>
      </c>
      <c r="AJ167" s="70">
        <v>1</v>
      </c>
      <c r="AK167" s="225">
        <v>2327.0337</v>
      </c>
      <c r="AL167" s="33">
        <v>1</v>
      </c>
      <c r="AM167" s="204">
        <v>2327.0337</v>
      </c>
      <c r="AN167" s="196"/>
      <c r="AO167" s="23"/>
      <c r="AP167" s="23"/>
      <c r="AQ167" s="23"/>
      <c r="AR167" s="23"/>
      <c r="AS167" s="23"/>
      <c r="AT167" s="23"/>
      <c r="AU167" s="23"/>
      <c r="AV167" s="23"/>
      <c r="AW167" s="23"/>
      <c r="AX167" s="23"/>
      <c r="AY167" s="23"/>
      <c r="AZ167" s="196"/>
      <c r="BA167" s="70">
        <f>IF(VLOOKUP($D167,$AO$14:AQ$19,COLUMN()-50,0)&lt;=0,1,IF($Q167&lt;0,1,ROUNDUP(IF($Q167*('Draft Center'!$L$28+'Draft Center'!$L$78-'Draft Center'!$L$82)&lt;1,1,$Q167*('Draft Center'!$L$28+'Draft Center'!$L$78-'Draft Center'!$L$82)),0)))</f>
        <v>1</v>
      </c>
      <c r="BB167" s="70">
        <f>IF(VLOOKUP($D167,$AO$14:AR$19,COLUMN()-50,0)&lt;=0,1,IF($Q167&lt;0,1,ROUNDUP(IF($Q167*('Draft Center'!$L$28+'Draft Center'!$L$78-'Draft Center'!$L$82)&lt;1,1,$Q167*('Draft Center'!$L$28+'Draft Center'!$L$78-'Draft Center'!$L$82)),0)))</f>
        <v>1</v>
      </c>
      <c r="BC167" s="70">
        <f>IF(VLOOKUP($D167,$AO$14:AS$19,COLUMN()-50,0)&lt;=0,1,IF($Q167&lt;0,1,ROUNDUP(IF($Q167*('Draft Center'!$L$28+'Draft Center'!$L$78-'Draft Center'!$L$82)&lt;1,1,$Q167*('Draft Center'!$L$28+'Draft Center'!$L$78-'Draft Center'!$L$82)),0)))</f>
        <v>1</v>
      </c>
      <c r="BD167" s="70">
        <f>IF(VLOOKUP($D167,$AO$14:AT$19,COLUMN()-50,0)&lt;=0,1,IF($Q167&lt;0,1,ROUNDUP(IF($Q167*('Draft Center'!$L$28+'Draft Center'!$L$78-'Draft Center'!$L$82)&lt;1,1,$Q167*('Draft Center'!$L$28+'Draft Center'!$L$78-'Draft Center'!$L$82)),0)))</f>
        <v>1</v>
      </c>
      <c r="BE167" s="70">
        <f>IF(VLOOKUP($D167,$AO$14:AU$19,COLUMN()-50,0)&lt;=0,1,IF($Q167&lt;0,1,ROUNDUP(IF($Q167*('Draft Center'!$L$28+'Draft Center'!$L$78-'Draft Center'!$L$82)&lt;1,1,$Q167*('Draft Center'!$L$28+'Draft Center'!$L$78-'Draft Center'!$L$82)),0)))</f>
        <v>1</v>
      </c>
      <c r="BF167" s="70">
        <f>IF(VLOOKUP($D167,$AO$14:AV$19,COLUMN()-50,0)&lt;=0,1,IF($Q167&lt;0,1,ROUNDUP(IF($Q167*('Draft Center'!$L$28+'Draft Center'!$L$78-'Draft Center'!$L$82)&lt;1,1,$Q167*('Draft Center'!$L$28+'Draft Center'!$L$78-'Draft Center'!$L$82)),0)))</f>
        <v>1</v>
      </c>
      <c r="BG167" s="70">
        <f>IF(VLOOKUP($D167,$AO$14:AW$19,COLUMN()-50,0)&lt;=0,1,IF($Q167&lt;0,1,ROUNDUP(IF($Q167*('Draft Center'!$L$28+'Draft Center'!$L$78-'Draft Center'!$L$82)&lt;1,1,$Q167*('Draft Center'!$L$28+'Draft Center'!$L$78-'Draft Center'!$L$82)),0)))</f>
        <v>1</v>
      </c>
      <c r="BH167" s="70">
        <f>IF(VLOOKUP($D167,$AO$14:AX$19,COLUMN()-50,0)&lt;=0,1,IF($Q167&lt;0,1,ROUNDUP(IF($Q167*('Draft Center'!$L$28+'Draft Center'!$L$78-'Draft Center'!$L$82)&lt;1,1,$Q167*('Draft Center'!$L$28+'Draft Center'!$L$78-'Draft Center'!$L$82)),0)))</f>
        <v>1</v>
      </c>
      <c r="BI167" s="70">
        <f>IF(VLOOKUP($D167,$AO$14:AY$19,COLUMN()-50,0)&lt;=0,1,IF($Q167&lt;0,1,ROUNDUP(IF($Q167*('Draft Center'!$L$28+'Draft Center'!$L$78-'Draft Center'!$L$82)&lt;1,1,$Q167*('Draft Center'!$L$28+'Draft Center'!$L$78-'Draft Center'!$L$82)),0)))</f>
        <v>1</v>
      </c>
      <c r="BJ167" s="196"/>
      <c r="BK167" s="23">
        <v>0</v>
      </c>
      <c r="BL167" s="23" t="str">
        <f t="shared" si="77"/>
        <v/>
      </c>
      <c r="BM167" s="23">
        <v>0</v>
      </c>
      <c r="BN167" s="23">
        <f t="shared" si="77"/>
        <v>0</v>
      </c>
      <c r="BO167" s="23" t="str">
        <f t="shared" si="77"/>
        <v/>
      </c>
      <c r="BP167" s="23" t="str">
        <f t="shared" si="77"/>
        <v/>
      </c>
      <c r="BQ167" s="23" t="str">
        <f t="shared" si="77"/>
        <v/>
      </c>
      <c r="BR167" s="23">
        <f t="shared" si="64"/>
        <v>0</v>
      </c>
      <c r="BS167" s="23">
        <f t="shared" si="65"/>
        <v>0</v>
      </c>
      <c r="BT167" s="70">
        <v>1</v>
      </c>
      <c r="BU167" s="58">
        <v>2327.0337</v>
      </c>
      <c r="BV167" s="33">
        <v>1</v>
      </c>
      <c r="BW167" s="204">
        <v>2327.0337</v>
      </c>
      <c r="BX167" s="23"/>
      <c r="BY167" s="70">
        <v>1</v>
      </c>
      <c r="BZ167" s="70">
        <v>4.0999999999999996</v>
      </c>
      <c r="CA167" s="70">
        <v>4.0999999999999996</v>
      </c>
      <c r="CB167" s="70">
        <v>4.0999999999999996</v>
      </c>
      <c r="CC167" s="70">
        <f t="shared" si="68"/>
        <v>4.0999999999999996</v>
      </c>
      <c r="CD167" s="70">
        <f t="shared" si="69"/>
        <v>4.0999999999999996</v>
      </c>
    </row>
    <row r="168" spans="1:82" ht="15.75" customHeight="1" thickBot="1" x14ac:dyDescent="0.3">
      <c r="A168" s="9">
        <v>167</v>
      </c>
      <c r="B168" s="10" t="s">
        <v>167</v>
      </c>
      <c r="C168" s="10" t="s">
        <v>31</v>
      </c>
      <c r="D168" s="10" t="s">
        <v>147</v>
      </c>
      <c r="E168" s="51">
        <v>-26.768788959660402</v>
      </c>
      <c r="F168" s="51">
        <v>104.600199471313</v>
      </c>
      <c r="G168" s="51">
        <v>116.763401007924</v>
      </c>
      <c r="H168" s="51">
        <v>87.2</v>
      </c>
      <c r="I168" s="11">
        <v>0</v>
      </c>
      <c r="J168" s="51">
        <v>3.9327162409932401</v>
      </c>
      <c r="K168" s="249">
        <f>IFERROR(VLOOKUP(C168,Schedule!$T$3:$U$34,2,0),"FA")</f>
        <v>9</v>
      </c>
      <c r="L168" s="10" t="str">
        <f>D168&amp;COUNTIF(D$2:$D168,D168)</f>
        <v>K25</v>
      </c>
      <c r="M168" s="51">
        <f t="array" ref="M168">IFERROR(F168-AVERAGE(VLOOKUP(D168,$D169:$F$885,3,0),INDEX($F169:$F$885,SMALL(IF(D168=$D169:$D$885,ROW($D169:$D$885)-ROW(D168)),2))),0)</f>
        <v>2.5600647363609994</v>
      </c>
      <c r="N168" s="51">
        <f>IFERROR(IF(VLOOKUP($B168,Input!$AC$2:$AC$162,1,0)=$B168,0),F168)</f>
        <v>104.600199471313</v>
      </c>
      <c r="O168" s="51">
        <f>IFERROR(IF(VLOOKUP($B168,Input!$AC$2:$AC$162,1,0)=$B168,0,G168),G168)</f>
        <v>116.763401007924</v>
      </c>
      <c r="P168" s="51">
        <f>IF(N168=0,0,F168-AVERAGE(INDEX(F:F,MATCH(VLOOKUP(D168,Input!$A$14:$L$22,10,0),L:L,0)),INDEX(F:F,MATCH(VLOOKUP(D168,Input!$A$14:$L$22,11,0),L:L,0)),INDEX(F:F,MATCH(VLOOKUP(D168,Input!$A$14:$L$22,12,0),L:L,0)))+(0.01-ROW()*0.01))</f>
        <v>-28.61278211081499</v>
      </c>
      <c r="Q168" s="107">
        <f t="shared" si="60"/>
        <v>-9.8712078485767643E-3</v>
      </c>
      <c r="R168" s="11">
        <f>IF(VLOOKUP($D168,$X$14:$Y$19,2,0)&lt;=0,1,IF(Q168&lt;0,1,ROUNDUP(IF(Q168*('Draft Center'!$L$28+'Draft Center'!$L$78-'Draft Center'!$L$82)&lt;1,1,Q168*('Draft Center'!$L$28+'Draft Center'!$L$78-'Draft Center'!$L$82)),0)))</f>
        <v>1</v>
      </c>
      <c r="S168" s="11">
        <f>IF(A168&lt;Input!$B$10+0.1,IF(ROUNDUP(R168*Input!$C$10,0)=0,1,ROUNDUP(R168*Input!$C$10,0)),IF(A168&gt;Input!$B$11,IF(ROUNDUP(R168*Input!$C$11,0)=0,1,ROUNDUP(R168*Input!$C$11,0)),IF(ROUNDUP(R168,0)=0,1,ROUNDUP(R168,0))))</f>
        <v>1</v>
      </c>
      <c r="T168" s="11">
        <f t="shared" si="61"/>
        <v>1</v>
      </c>
      <c r="U168" s="11">
        <f>IFERROR(VLOOKUP($B168,Input!$AC$2:$AE$161,3,0),0)</f>
        <v>0</v>
      </c>
      <c r="V168" s="257">
        <f t="shared" si="66"/>
        <v>0</v>
      </c>
      <c r="W168" s="264">
        <f t="shared" si="67"/>
        <v>1.0016799999999999</v>
      </c>
      <c r="X168" s="27"/>
      <c r="Y168" s="23"/>
      <c r="Z168" s="23"/>
      <c r="AA168" s="23">
        <v>0</v>
      </c>
      <c r="AB168" s="23" t="str">
        <f t="shared" si="76"/>
        <v/>
      </c>
      <c r="AC168" s="23" t="str">
        <f t="shared" si="76"/>
        <v/>
      </c>
      <c r="AD168" s="23" t="str">
        <f t="shared" si="76"/>
        <v/>
      </c>
      <c r="AE168" s="23" t="str">
        <f t="shared" si="76"/>
        <v/>
      </c>
      <c r="AF168" s="23" t="str">
        <f t="shared" si="76"/>
        <v/>
      </c>
      <c r="AG168" s="23">
        <f t="shared" si="76"/>
        <v>0</v>
      </c>
      <c r="AH168" s="23">
        <f t="shared" si="62"/>
        <v>0</v>
      </c>
      <c r="AI168" s="23">
        <f t="shared" si="63"/>
        <v>0</v>
      </c>
      <c r="AJ168" s="69">
        <v>1</v>
      </c>
      <c r="AK168" s="225">
        <v>2327.0337</v>
      </c>
      <c r="AL168" s="33">
        <v>1</v>
      </c>
      <c r="AM168" s="204">
        <v>2327.0337</v>
      </c>
      <c r="AN168" s="196"/>
      <c r="AO168" s="23"/>
      <c r="AP168" s="23"/>
      <c r="AQ168" s="23"/>
      <c r="AR168" s="23"/>
      <c r="AS168" s="23"/>
      <c r="AT168" s="23"/>
      <c r="AU168" s="23"/>
      <c r="AV168" s="23"/>
      <c r="AW168" s="23"/>
      <c r="AX168" s="23"/>
      <c r="AY168" s="23"/>
      <c r="AZ168" s="196"/>
      <c r="BA168" s="69">
        <f>IF(VLOOKUP($D168,$AO$14:AQ$19,COLUMN()-50,0)&lt;=0,1,IF($Q168&lt;0,1,ROUNDUP(IF($Q168*('Draft Center'!$L$28+'Draft Center'!$L$78-'Draft Center'!$L$82)&lt;1,1,$Q168*('Draft Center'!$L$28+'Draft Center'!$L$78-'Draft Center'!$L$82)),0)))</f>
        <v>1</v>
      </c>
      <c r="BB168" s="69">
        <f>IF(VLOOKUP($D168,$AO$14:AR$19,COLUMN()-50,0)&lt;=0,1,IF($Q168&lt;0,1,ROUNDUP(IF($Q168*('Draft Center'!$L$28+'Draft Center'!$L$78-'Draft Center'!$L$82)&lt;1,1,$Q168*('Draft Center'!$L$28+'Draft Center'!$L$78-'Draft Center'!$L$82)),0)))</f>
        <v>1</v>
      </c>
      <c r="BC168" s="69">
        <f>IF(VLOOKUP($D168,$AO$14:AS$19,COLUMN()-50,0)&lt;=0,1,IF($Q168&lt;0,1,ROUNDUP(IF($Q168*('Draft Center'!$L$28+'Draft Center'!$L$78-'Draft Center'!$L$82)&lt;1,1,$Q168*('Draft Center'!$L$28+'Draft Center'!$L$78-'Draft Center'!$L$82)),0)))</f>
        <v>1</v>
      </c>
      <c r="BD168" s="69">
        <f>IF(VLOOKUP($D168,$AO$14:AT$19,COLUMN()-50,0)&lt;=0,1,IF($Q168&lt;0,1,ROUNDUP(IF($Q168*('Draft Center'!$L$28+'Draft Center'!$L$78-'Draft Center'!$L$82)&lt;1,1,$Q168*('Draft Center'!$L$28+'Draft Center'!$L$78-'Draft Center'!$L$82)),0)))</f>
        <v>1</v>
      </c>
      <c r="BE168" s="69">
        <f>IF(VLOOKUP($D168,$AO$14:AU$19,COLUMN()-50,0)&lt;=0,1,IF($Q168&lt;0,1,ROUNDUP(IF($Q168*('Draft Center'!$L$28+'Draft Center'!$L$78-'Draft Center'!$L$82)&lt;1,1,$Q168*('Draft Center'!$L$28+'Draft Center'!$L$78-'Draft Center'!$L$82)),0)))</f>
        <v>1</v>
      </c>
      <c r="BF168" s="69">
        <f>IF(VLOOKUP($D168,$AO$14:AV$19,COLUMN()-50,0)&lt;=0,1,IF($Q168&lt;0,1,ROUNDUP(IF($Q168*('Draft Center'!$L$28+'Draft Center'!$L$78-'Draft Center'!$L$82)&lt;1,1,$Q168*('Draft Center'!$L$28+'Draft Center'!$L$78-'Draft Center'!$L$82)),0)))</f>
        <v>1</v>
      </c>
      <c r="BG168" s="69">
        <f>IF(VLOOKUP($D168,$AO$14:AW$19,COLUMN()-50,0)&lt;=0,1,IF($Q168&lt;0,1,ROUNDUP(IF($Q168*('Draft Center'!$L$28+'Draft Center'!$L$78-'Draft Center'!$L$82)&lt;1,1,$Q168*('Draft Center'!$L$28+'Draft Center'!$L$78-'Draft Center'!$L$82)),0)))</f>
        <v>1</v>
      </c>
      <c r="BH168" s="69">
        <f>IF(VLOOKUP($D168,$AO$14:AX$19,COLUMN()-50,0)&lt;=0,1,IF($Q168&lt;0,1,ROUNDUP(IF($Q168*('Draft Center'!$L$28+'Draft Center'!$L$78-'Draft Center'!$L$82)&lt;1,1,$Q168*('Draft Center'!$L$28+'Draft Center'!$L$78-'Draft Center'!$L$82)),0)))</f>
        <v>1</v>
      </c>
      <c r="BI168" s="69">
        <f>IF(VLOOKUP($D168,$AO$14:AY$19,COLUMN()-50,0)&lt;=0,1,IF($Q168&lt;0,1,ROUNDUP(IF($Q168*('Draft Center'!$L$28+'Draft Center'!$L$78-'Draft Center'!$L$82)&lt;1,1,$Q168*('Draft Center'!$L$28+'Draft Center'!$L$78-'Draft Center'!$L$82)),0)))</f>
        <v>1</v>
      </c>
      <c r="BJ168" s="196"/>
      <c r="BK168" s="23">
        <v>0</v>
      </c>
      <c r="BL168" s="23" t="str">
        <f t="shared" si="77"/>
        <v/>
      </c>
      <c r="BM168" s="23">
        <v>0</v>
      </c>
      <c r="BN168" s="23" t="str">
        <f t="shared" si="77"/>
        <v/>
      </c>
      <c r="BO168" s="23" t="str">
        <f t="shared" si="77"/>
        <v/>
      </c>
      <c r="BP168" s="23" t="str">
        <f t="shared" si="77"/>
        <v/>
      </c>
      <c r="BQ168" s="23">
        <f t="shared" si="77"/>
        <v>0</v>
      </c>
      <c r="BR168" s="23">
        <f t="shared" si="64"/>
        <v>0</v>
      </c>
      <c r="BS168" s="23">
        <f t="shared" si="65"/>
        <v>0</v>
      </c>
      <c r="BT168" s="69">
        <v>1</v>
      </c>
      <c r="BU168" s="58">
        <v>2327.0337</v>
      </c>
      <c r="BV168" s="33">
        <v>1</v>
      </c>
      <c r="BW168" s="204">
        <v>2327.0337</v>
      </c>
      <c r="BX168" s="23"/>
      <c r="BY168" s="69">
        <v>1</v>
      </c>
      <c r="BZ168" s="69">
        <v>0</v>
      </c>
      <c r="CA168" s="69">
        <v>0</v>
      </c>
      <c r="CB168" s="69">
        <v>0</v>
      </c>
      <c r="CC168" s="69">
        <f t="shared" si="68"/>
        <v>0</v>
      </c>
      <c r="CD168" s="69">
        <f t="shared" si="69"/>
        <v>0</v>
      </c>
    </row>
    <row r="169" spans="1:82" ht="15.75" customHeight="1" thickBot="1" x14ac:dyDescent="0.3">
      <c r="A169" s="6">
        <v>168</v>
      </c>
      <c r="B169" s="7" t="s">
        <v>292</v>
      </c>
      <c r="C169" s="7" t="s">
        <v>93</v>
      </c>
      <c r="D169" s="7" t="s">
        <v>135</v>
      </c>
      <c r="E169" s="50">
        <v>-27.244032623470801</v>
      </c>
      <c r="F169" s="50">
        <v>81.487526053466297</v>
      </c>
      <c r="G169" s="50">
        <v>99.928578488372096</v>
      </c>
      <c r="H169" s="50">
        <v>60</v>
      </c>
      <c r="I169" s="8">
        <v>0</v>
      </c>
      <c r="J169" s="50">
        <v>8.4184007477213108</v>
      </c>
      <c r="K169" s="248">
        <f>IFERROR(VLOOKUP(C169,Schedule!$T$3:$U$34,2,0),"FA")</f>
        <v>11</v>
      </c>
      <c r="L169" s="7" t="str">
        <f>D169&amp;COUNTIF(D$2:$D169,D169)</f>
        <v>DST30</v>
      </c>
      <c r="M169" s="50">
        <f t="array" ref="M169">IFERROR(F169-AVERAGE(VLOOKUP(D169,$D170:$F$885,3,0),INDEX($F170:$F$885,SMALL(IF(D169=$D170:$D$885,ROW($D170:$D$885)-ROW(D169)),2))),0)</f>
        <v>2.4798210240145409</v>
      </c>
      <c r="N169" s="50">
        <f>IFERROR(IF(VLOOKUP($B169,Input!$AC$2:$AC$162,1,0)=$B169,0),F169)</f>
        <v>81.487526053466297</v>
      </c>
      <c r="O169" s="50">
        <f>IFERROR(IF(VLOOKUP($B169,Input!$AC$2:$AC$162,1,0)=$B169,0,G169),G169)</f>
        <v>99.928578488372096</v>
      </c>
      <c r="P169" s="50">
        <f>IF(N169=0,0,F169-AVERAGE(INDEX(F:F,MATCH(VLOOKUP(D169,Input!$A$14:$L$22,10,0),L:L,0)),INDEX(F:F,MATCH(VLOOKUP(D169,Input!$A$14:$L$22,11,0),L:L,0)),INDEX(F:F,MATCH(VLOOKUP(D169,Input!$A$14:$L$22,12,0),L:L,0)))+(0.01-ROW()*0.01))</f>
        <v>-27.880860897145716</v>
      </c>
      <c r="Q169" s="106">
        <f t="shared" si="60"/>
        <v>-9.6187001965445246E-3</v>
      </c>
      <c r="R169" s="8">
        <f>IF(VLOOKUP($D169,$X$14:$Y$19,2,0)&lt;=0,1,IF(Q169&lt;0,1,ROUNDUP(IF(Q169*('Draft Center'!$L$28+'Draft Center'!$L$78-'Draft Center'!$L$82)&lt;1,1,Q169*('Draft Center'!$L$28+'Draft Center'!$L$78-'Draft Center'!$L$82)),0)))</f>
        <v>1</v>
      </c>
      <c r="S169" s="8">
        <f>IF(A169&lt;Input!$B$10+0.1,IF(ROUNDUP(R169*Input!$C$10,0)=0,1,ROUNDUP(R169*Input!$C$10,0)),IF(A169&gt;Input!$B$11,IF(ROUNDUP(R169*Input!$C$11,0)=0,1,ROUNDUP(R169*Input!$C$11,0)),IF(ROUNDUP(R169,0)=0,1,ROUNDUP(R169,0))))</f>
        <v>1</v>
      </c>
      <c r="T169" s="8">
        <f t="shared" si="61"/>
        <v>1</v>
      </c>
      <c r="U169" s="8">
        <f>IFERROR(VLOOKUP($B169,Input!$AC$2:$AE$161,3,0),0)</f>
        <v>0</v>
      </c>
      <c r="V169" s="256">
        <f t="shared" si="66"/>
        <v>0</v>
      </c>
      <c r="W169" s="263">
        <f t="shared" si="67"/>
        <v>1.00169</v>
      </c>
      <c r="X169" s="27"/>
      <c r="Y169" s="23"/>
      <c r="Z169" s="23"/>
      <c r="AA169" s="23">
        <v>0</v>
      </c>
      <c r="AB169" s="23" t="str">
        <f t="shared" si="76"/>
        <v/>
      </c>
      <c r="AC169" s="23" t="str">
        <f t="shared" si="76"/>
        <v/>
      </c>
      <c r="AD169" s="23" t="str">
        <f t="shared" si="76"/>
        <v/>
      </c>
      <c r="AE169" s="23" t="str">
        <f t="shared" si="76"/>
        <v/>
      </c>
      <c r="AF169" s="23">
        <f t="shared" si="76"/>
        <v>0</v>
      </c>
      <c r="AG169" s="23" t="str">
        <f t="shared" si="76"/>
        <v/>
      </c>
      <c r="AH169" s="23">
        <f t="shared" si="62"/>
        <v>0</v>
      </c>
      <c r="AI169" s="23">
        <f t="shared" si="63"/>
        <v>0</v>
      </c>
      <c r="AJ169" s="70">
        <v>1</v>
      </c>
      <c r="AK169" s="225">
        <v>2327.0337</v>
      </c>
      <c r="AL169" s="33">
        <v>1</v>
      </c>
      <c r="AM169" s="204">
        <v>2327.0337</v>
      </c>
      <c r="AN169" s="196"/>
      <c r="AO169" s="23"/>
      <c r="AP169" s="23"/>
      <c r="AQ169" s="23"/>
      <c r="AR169" s="23"/>
      <c r="AS169" s="23"/>
      <c r="AT169" s="23"/>
      <c r="AU169" s="23"/>
      <c r="AV169" s="23"/>
      <c r="AW169" s="23"/>
      <c r="AX169" s="23"/>
      <c r="AY169" s="23"/>
      <c r="AZ169" s="196"/>
      <c r="BA169" s="70">
        <f>IF(VLOOKUP($D169,$AO$14:AQ$19,COLUMN()-50,0)&lt;=0,1,IF($Q169&lt;0,1,ROUNDUP(IF($Q169*('Draft Center'!$L$28+'Draft Center'!$L$78-'Draft Center'!$L$82)&lt;1,1,$Q169*('Draft Center'!$L$28+'Draft Center'!$L$78-'Draft Center'!$L$82)),0)))</f>
        <v>1</v>
      </c>
      <c r="BB169" s="70">
        <f>IF(VLOOKUP($D169,$AO$14:AR$19,COLUMN()-50,0)&lt;=0,1,IF($Q169&lt;0,1,ROUNDUP(IF($Q169*('Draft Center'!$L$28+'Draft Center'!$L$78-'Draft Center'!$L$82)&lt;1,1,$Q169*('Draft Center'!$L$28+'Draft Center'!$L$78-'Draft Center'!$L$82)),0)))</f>
        <v>1</v>
      </c>
      <c r="BC169" s="70">
        <f>IF(VLOOKUP($D169,$AO$14:AS$19,COLUMN()-50,0)&lt;=0,1,IF($Q169&lt;0,1,ROUNDUP(IF($Q169*('Draft Center'!$L$28+'Draft Center'!$L$78-'Draft Center'!$L$82)&lt;1,1,$Q169*('Draft Center'!$L$28+'Draft Center'!$L$78-'Draft Center'!$L$82)),0)))</f>
        <v>1</v>
      </c>
      <c r="BD169" s="70">
        <f>IF(VLOOKUP($D169,$AO$14:AT$19,COLUMN()-50,0)&lt;=0,1,IF($Q169&lt;0,1,ROUNDUP(IF($Q169*('Draft Center'!$L$28+'Draft Center'!$L$78-'Draft Center'!$L$82)&lt;1,1,$Q169*('Draft Center'!$L$28+'Draft Center'!$L$78-'Draft Center'!$L$82)),0)))</f>
        <v>1</v>
      </c>
      <c r="BE169" s="70">
        <f>IF(VLOOKUP($D169,$AO$14:AU$19,COLUMN()-50,0)&lt;=0,1,IF($Q169&lt;0,1,ROUNDUP(IF($Q169*('Draft Center'!$L$28+'Draft Center'!$L$78-'Draft Center'!$L$82)&lt;1,1,$Q169*('Draft Center'!$L$28+'Draft Center'!$L$78-'Draft Center'!$L$82)),0)))</f>
        <v>1</v>
      </c>
      <c r="BF169" s="70">
        <f>IF(VLOOKUP($D169,$AO$14:AV$19,COLUMN()-50,0)&lt;=0,1,IF($Q169&lt;0,1,ROUNDUP(IF($Q169*('Draft Center'!$L$28+'Draft Center'!$L$78-'Draft Center'!$L$82)&lt;1,1,$Q169*('Draft Center'!$L$28+'Draft Center'!$L$78-'Draft Center'!$L$82)),0)))</f>
        <v>1</v>
      </c>
      <c r="BG169" s="70">
        <f>IF(VLOOKUP($D169,$AO$14:AW$19,COLUMN()-50,0)&lt;=0,1,IF($Q169&lt;0,1,ROUNDUP(IF($Q169*('Draft Center'!$L$28+'Draft Center'!$L$78-'Draft Center'!$L$82)&lt;1,1,$Q169*('Draft Center'!$L$28+'Draft Center'!$L$78-'Draft Center'!$L$82)),0)))</f>
        <v>1</v>
      </c>
      <c r="BH169" s="70">
        <f>IF(VLOOKUP($D169,$AO$14:AX$19,COLUMN()-50,0)&lt;=0,1,IF($Q169&lt;0,1,ROUNDUP(IF($Q169*('Draft Center'!$L$28+'Draft Center'!$L$78-'Draft Center'!$L$82)&lt;1,1,$Q169*('Draft Center'!$L$28+'Draft Center'!$L$78-'Draft Center'!$L$82)),0)))</f>
        <v>1</v>
      </c>
      <c r="BI169" s="70">
        <f>IF(VLOOKUP($D169,$AO$14:AY$19,COLUMN()-50,0)&lt;=0,1,IF($Q169&lt;0,1,ROUNDUP(IF($Q169*('Draft Center'!$L$28+'Draft Center'!$L$78-'Draft Center'!$L$82)&lt;1,1,$Q169*('Draft Center'!$L$28+'Draft Center'!$L$78-'Draft Center'!$L$82)),0)))</f>
        <v>1</v>
      </c>
      <c r="BJ169" s="196"/>
      <c r="BK169" s="23">
        <v>0</v>
      </c>
      <c r="BL169" s="23" t="str">
        <f t="shared" si="77"/>
        <v/>
      </c>
      <c r="BM169" s="23">
        <v>0</v>
      </c>
      <c r="BN169" s="23" t="str">
        <f t="shared" si="77"/>
        <v/>
      </c>
      <c r="BO169" s="23" t="str">
        <f t="shared" si="77"/>
        <v/>
      </c>
      <c r="BP169" s="23">
        <f t="shared" si="77"/>
        <v>0</v>
      </c>
      <c r="BQ169" s="23" t="str">
        <f t="shared" si="77"/>
        <v/>
      </c>
      <c r="BR169" s="23">
        <f t="shared" si="64"/>
        <v>0</v>
      </c>
      <c r="BS169" s="23">
        <f t="shared" si="65"/>
        <v>0</v>
      </c>
      <c r="BT169" s="70">
        <v>1</v>
      </c>
      <c r="BU169" s="58">
        <v>2327.0337</v>
      </c>
      <c r="BV169" s="33">
        <v>1</v>
      </c>
      <c r="BW169" s="204">
        <v>2327.0337</v>
      </c>
      <c r="BX169" s="23"/>
      <c r="BY169" s="70">
        <v>1</v>
      </c>
      <c r="BZ169" s="70">
        <v>0</v>
      </c>
      <c r="CA169" s="70">
        <v>0</v>
      </c>
      <c r="CB169" s="70">
        <v>0</v>
      </c>
      <c r="CC169" s="70">
        <f t="shared" si="68"/>
        <v>0</v>
      </c>
      <c r="CD169" s="70">
        <f t="shared" si="69"/>
        <v>0</v>
      </c>
    </row>
    <row r="170" spans="1:82" ht="15.75" customHeight="1" thickBot="1" x14ac:dyDescent="0.3">
      <c r="A170" s="9">
        <v>169</v>
      </c>
      <c r="B170" s="10" t="s">
        <v>194</v>
      </c>
      <c r="C170" s="10" t="s">
        <v>93</v>
      </c>
      <c r="D170" s="10" t="s">
        <v>147</v>
      </c>
      <c r="E170" s="51">
        <v>-27.505171710967499</v>
      </c>
      <c r="F170" s="51">
        <v>103.863816720006</v>
      </c>
      <c r="G170" s="51">
        <v>110.388575157898</v>
      </c>
      <c r="H170" s="51">
        <v>91.621850361320099</v>
      </c>
      <c r="I170" s="11">
        <v>0</v>
      </c>
      <c r="J170" s="51">
        <v>7.6388235791637404</v>
      </c>
      <c r="K170" s="249">
        <f>IFERROR(VLOOKUP(C170,Schedule!$T$3:$U$34,2,0),"FA")</f>
        <v>11</v>
      </c>
      <c r="L170" s="10" t="str">
        <f>D170&amp;COUNTIF(D$2:$D170,D170)</f>
        <v>K26</v>
      </c>
      <c r="M170" s="51">
        <f t="array" ref="M170">IFERROR(F170-AVERAGE(VLOOKUP(D170,$D171:$F$885,3,0),INDEX($F171:$F$885,SMALL(IF(D170=$D171:$D$885,ROW($D171:$D$885)-ROW(D170)),2))),0)</f>
        <v>4.1355108328310592</v>
      </c>
      <c r="N170" s="51">
        <f>IFERROR(IF(VLOOKUP($B170,Input!$AC$2:$AC$162,1,0)=$B170,0),F170)</f>
        <v>103.863816720006</v>
      </c>
      <c r="O170" s="51">
        <f>IFERROR(IF(VLOOKUP($B170,Input!$AC$2:$AC$162,1,0)=$B170,0,G170),G170)</f>
        <v>110.388575157898</v>
      </c>
      <c r="P170" s="51">
        <f>IF(N170=0,0,F170-AVERAGE(INDEX(F:F,MATCH(VLOOKUP(D170,Input!$A$14:$L$22,10,0),L:L,0)),INDEX(F:F,MATCH(VLOOKUP(D170,Input!$A$14:$L$22,11,0),L:L,0)),INDEX(F:F,MATCH(VLOOKUP(D170,Input!$A$14:$L$22,12,0),L:L,0)))+(0.01-ROW()*0.01))</f>
        <v>-29.369164862121995</v>
      </c>
      <c r="Q170" s="107">
        <f t="shared" si="60"/>
        <v>-1.0132154558418295E-2</v>
      </c>
      <c r="R170" s="11">
        <f>IF(VLOOKUP($D170,$X$14:$Y$19,2,0)&lt;=0,1,IF(Q170&lt;0,1,ROUNDUP(IF(Q170*('Draft Center'!$L$28+'Draft Center'!$L$78-'Draft Center'!$L$82)&lt;1,1,Q170*('Draft Center'!$L$28+'Draft Center'!$L$78-'Draft Center'!$L$82)),0)))</f>
        <v>1</v>
      </c>
      <c r="S170" s="11">
        <f>IF(A170&lt;Input!$B$10+0.1,IF(ROUNDUP(R170*Input!$C$10,0)=0,1,ROUNDUP(R170*Input!$C$10,0)),IF(A170&gt;Input!$B$11,IF(ROUNDUP(R170*Input!$C$11,0)=0,1,ROUNDUP(R170*Input!$C$11,0)),IF(ROUNDUP(R170,0)=0,1,ROUNDUP(R170,0))))</f>
        <v>1</v>
      </c>
      <c r="T170" s="11">
        <f t="shared" si="61"/>
        <v>1</v>
      </c>
      <c r="U170" s="11">
        <f>IFERROR(VLOOKUP($B170,Input!$AC$2:$AE$161,3,0),0)</f>
        <v>0</v>
      </c>
      <c r="V170" s="257">
        <f t="shared" si="66"/>
        <v>0</v>
      </c>
      <c r="W170" s="264">
        <f t="shared" si="67"/>
        <v>1.0017</v>
      </c>
      <c r="X170" s="27"/>
      <c r="Y170" s="23"/>
      <c r="Z170" s="23"/>
      <c r="AA170" s="23">
        <v>0</v>
      </c>
      <c r="AB170" s="23" t="str">
        <f t="shared" si="76"/>
        <v/>
      </c>
      <c r="AC170" s="23" t="str">
        <f t="shared" si="76"/>
        <v/>
      </c>
      <c r="AD170" s="23" t="str">
        <f t="shared" si="76"/>
        <v/>
      </c>
      <c r="AE170" s="23" t="str">
        <f t="shared" si="76"/>
        <v/>
      </c>
      <c r="AF170" s="23" t="str">
        <f t="shared" si="76"/>
        <v/>
      </c>
      <c r="AG170" s="23">
        <f t="shared" si="76"/>
        <v>0</v>
      </c>
      <c r="AH170" s="23">
        <f t="shared" si="62"/>
        <v>0</v>
      </c>
      <c r="AI170" s="23">
        <f t="shared" si="63"/>
        <v>0</v>
      </c>
      <c r="AJ170" s="69">
        <v>1</v>
      </c>
      <c r="AK170" s="225">
        <v>2327.0337</v>
      </c>
      <c r="AL170" s="33">
        <v>1</v>
      </c>
      <c r="AM170" s="204">
        <v>2327.0337</v>
      </c>
      <c r="AN170" s="196"/>
      <c r="AO170" s="23"/>
      <c r="AP170" s="23"/>
      <c r="AQ170" s="23"/>
      <c r="AR170" s="23"/>
      <c r="AS170" s="23"/>
      <c r="AT170" s="23"/>
      <c r="AU170" s="23"/>
      <c r="AV170" s="23"/>
      <c r="AW170" s="23"/>
      <c r="AX170" s="23"/>
      <c r="AY170" s="23"/>
      <c r="AZ170" s="196"/>
      <c r="BA170" s="69">
        <f>IF(VLOOKUP($D170,$AO$14:AQ$19,COLUMN()-50,0)&lt;=0,1,IF($Q170&lt;0,1,ROUNDUP(IF($Q170*('Draft Center'!$L$28+'Draft Center'!$L$78-'Draft Center'!$L$82)&lt;1,1,$Q170*('Draft Center'!$L$28+'Draft Center'!$L$78-'Draft Center'!$L$82)),0)))</f>
        <v>1</v>
      </c>
      <c r="BB170" s="69">
        <f>IF(VLOOKUP($D170,$AO$14:AR$19,COLUMN()-50,0)&lt;=0,1,IF($Q170&lt;0,1,ROUNDUP(IF($Q170*('Draft Center'!$L$28+'Draft Center'!$L$78-'Draft Center'!$L$82)&lt;1,1,$Q170*('Draft Center'!$L$28+'Draft Center'!$L$78-'Draft Center'!$L$82)),0)))</f>
        <v>1</v>
      </c>
      <c r="BC170" s="69">
        <f>IF(VLOOKUP($D170,$AO$14:AS$19,COLUMN()-50,0)&lt;=0,1,IF($Q170&lt;0,1,ROUNDUP(IF($Q170*('Draft Center'!$L$28+'Draft Center'!$L$78-'Draft Center'!$L$82)&lt;1,1,$Q170*('Draft Center'!$L$28+'Draft Center'!$L$78-'Draft Center'!$L$82)),0)))</f>
        <v>1</v>
      </c>
      <c r="BD170" s="69">
        <f>IF(VLOOKUP($D170,$AO$14:AT$19,COLUMN()-50,0)&lt;=0,1,IF($Q170&lt;0,1,ROUNDUP(IF($Q170*('Draft Center'!$L$28+'Draft Center'!$L$78-'Draft Center'!$L$82)&lt;1,1,$Q170*('Draft Center'!$L$28+'Draft Center'!$L$78-'Draft Center'!$L$82)),0)))</f>
        <v>1</v>
      </c>
      <c r="BE170" s="69">
        <f>IF(VLOOKUP($D170,$AO$14:AU$19,COLUMN()-50,0)&lt;=0,1,IF($Q170&lt;0,1,ROUNDUP(IF($Q170*('Draft Center'!$L$28+'Draft Center'!$L$78-'Draft Center'!$L$82)&lt;1,1,$Q170*('Draft Center'!$L$28+'Draft Center'!$L$78-'Draft Center'!$L$82)),0)))</f>
        <v>1</v>
      </c>
      <c r="BF170" s="69">
        <f>IF(VLOOKUP($D170,$AO$14:AV$19,COLUMN()-50,0)&lt;=0,1,IF($Q170&lt;0,1,ROUNDUP(IF($Q170*('Draft Center'!$L$28+'Draft Center'!$L$78-'Draft Center'!$L$82)&lt;1,1,$Q170*('Draft Center'!$L$28+'Draft Center'!$L$78-'Draft Center'!$L$82)),0)))</f>
        <v>1</v>
      </c>
      <c r="BG170" s="69">
        <f>IF(VLOOKUP($D170,$AO$14:AW$19,COLUMN()-50,0)&lt;=0,1,IF($Q170&lt;0,1,ROUNDUP(IF($Q170*('Draft Center'!$L$28+'Draft Center'!$L$78-'Draft Center'!$L$82)&lt;1,1,$Q170*('Draft Center'!$L$28+'Draft Center'!$L$78-'Draft Center'!$L$82)),0)))</f>
        <v>1</v>
      </c>
      <c r="BH170" s="69">
        <f>IF(VLOOKUP($D170,$AO$14:AX$19,COLUMN()-50,0)&lt;=0,1,IF($Q170&lt;0,1,ROUNDUP(IF($Q170*('Draft Center'!$L$28+'Draft Center'!$L$78-'Draft Center'!$L$82)&lt;1,1,$Q170*('Draft Center'!$L$28+'Draft Center'!$L$78-'Draft Center'!$L$82)),0)))</f>
        <v>1</v>
      </c>
      <c r="BI170" s="69">
        <f>IF(VLOOKUP($D170,$AO$14:AY$19,COLUMN()-50,0)&lt;=0,1,IF($Q170&lt;0,1,ROUNDUP(IF($Q170*('Draft Center'!$L$28+'Draft Center'!$L$78-'Draft Center'!$L$82)&lt;1,1,$Q170*('Draft Center'!$L$28+'Draft Center'!$L$78-'Draft Center'!$L$82)),0)))</f>
        <v>1</v>
      </c>
      <c r="BJ170" s="196"/>
      <c r="BK170" s="23">
        <v>0</v>
      </c>
      <c r="BL170" s="23" t="str">
        <f t="shared" si="77"/>
        <v/>
      </c>
      <c r="BM170" s="23">
        <v>0</v>
      </c>
      <c r="BN170" s="23" t="str">
        <f t="shared" si="77"/>
        <v/>
      </c>
      <c r="BO170" s="23" t="str">
        <f t="shared" si="77"/>
        <v/>
      </c>
      <c r="BP170" s="23" t="str">
        <f t="shared" si="77"/>
        <v/>
      </c>
      <c r="BQ170" s="23">
        <f t="shared" si="77"/>
        <v>0</v>
      </c>
      <c r="BR170" s="23">
        <f t="shared" si="64"/>
        <v>0</v>
      </c>
      <c r="BS170" s="23">
        <f t="shared" si="65"/>
        <v>0</v>
      </c>
      <c r="BT170" s="69">
        <v>1</v>
      </c>
      <c r="BU170" s="58">
        <v>2327.0337</v>
      </c>
      <c r="BV170" s="33">
        <v>1</v>
      </c>
      <c r="BW170" s="204">
        <v>2327.0337</v>
      </c>
      <c r="BX170" s="23"/>
      <c r="BY170" s="69">
        <v>1</v>
      </c>
      <c r="BZ170" s="69">
        <v>0</v>
      </c>
      <c r="CA170" s="69">
        <v>0</v>
      </c>
      <c r="CB170" s="69">
        <v>0</v>
      </c>
      <c r="CC170" s="69">
        <f t="shared" si="68"/>
        <v>0</v>
      </c>
      <c r="CD170" s="69">
        <f t="shared" si="69"/>
        <v>0</v>
      </c>
    </row>
    <row r="171" spans="1:82" ht="15.75" customHeight="1" thickBot="1" x14ac:dyDescent="0.3">
      <c r="A171" s="6">
        <v>170</v>
      </c>
      <c r="B171" s="7" t="s">
        <v>203</v>
      </c>
      <c r="C171" s="7" t="s">
        <v>36</v>
      </c>
      <c r="D171" s="7" t="s">
        <v>135</v>
      </c>
      <c r="E171" s="50">
        <v>-28.4129406434073</v>
      </c>
      <c r="F171" s="50">
        <v>80.318618033529702</v>
      </c>
      <c r="G171" s="50">
        <v>97.595814589665693</v>
      </c>
      <c r="H171" s="50">
        <v>49.1</v>
      </c>
      <c r="I171" s="8">
        <v>0</v>
      </c>
      <c r="J171" s="50">
        <v>4.7024178876770497</v>
      </c>
      <c r="K171" s="248">
        <f>IFERROR(VLOOKUP(C171,Schedule!$T$3:$U$34,2,0),"FA")</f>
        <v>7</v>
      </c>
      <c r="L171" s="7" t="str">
        <f>D171&amp;COUNTIF(D$2:$D171,D171)</f>
        <v>DST31</v>
      </c>
      <c r="M171" s="50">
        <f t="array" ref="M171">IFERROR(F171-AVERAGE(VLOOKUP(D171,$D172:$F$885,3,0),INDEX($F172:$F$885,SMALL(IF(D171=$D172:$D$885,ROW($D172:$D$885)-ROW(D171)),2))),0)</f>
        <v>0</v>
      </c>
      <c r="N171" s="50">
        <f>IFERROR(IF(VLOOKUP($B171,Input!$AC$2:$AC$162,1,0)=$B171,0),F171)</f>
        <v>80.318618033529702</v>
      </c>
      <c r="O171" s="50">
        <f>IFERROR(IF(VLOOKUP($B171,Input!$AC$2:$AC$162,1,0)=$B171,0,G171),G171)</f>
        <v>97.595814589665693</v>
      </c>
      <c r="P171" s="50">
        <f>IF(N171=0,0,F171-AVERAGE(INDEX(F:F,MATCH(VLOOKUP(D171,Input!$A$14:$L$22,10,0),L:L,0)),INDEX(F:F,MATCH(VLOOKUP(D171,Input!$A$14:$L$22,11,0),L:L,0)),INDEX(F:F,MATCH(VLOOKUP(D171,Input!$A$14:$L$22,12,0),L:L,0)))+(0.01-ROW()*0.01))</f>
        <v>-29.06976891708231</v>
      </c>
      <c r="Q171" s="106">
        <f t="shared" si="60"/>
        <v>-1.0028865070836775E-2</v>
      </c>
      <c r="R171" s="8">
        <f>IF(VLOOKUP($D171,$X$14:$Y$19,2,0)&lt;=0,1,IF(Q171&lt;0,1,ROUNDUP(IF(Q171*('Draft Center'!$L$28+'Draft Center'!$L$78-'Draft Center'!$L$82)&lt;1,1,Q171*('Draft Center'!$L$28+'Draft Center'!$L$78-'Draft Center'!$L$82)),0)))</f>
        <v>1</v>
      </c>
      <c r="S171" s="8">
        <f>IF(A171&lt;Input!$B$10+0.1,IF(ROUNDUP(R171*Input!$C$10,0)=0,1,ROUNDUP(R171*Input!$C$10,0)),IF(A171&gt;Input!$B$11,IF(ROUNDUP(R171*Input!$C$11,0)=0,1,ROUNDUP(R171*Input!$C$11,0)),IF(ROUNDUP(R171,0)=0,1,ROUNDUP(R171,0))))</f>
        <v>1</v>
      </c>
      <c r="T171" s="8">
        <f t="shared" si="61"/>
        <v>1</v>
      </c>
      <c r="U171" s="8">
        <f>IFERROR(VLOOKUP($B171,Input!$AC$2:$AE$161,3,0),0)</f>
        <v>0</v>
      </c>
      <c r="V171" s="256">
        <f t="shared" si="66"/>
        <v>0</v>
      </c>
      <c r="W171" s="263">
        <f t="shared" si="67"/>
        <v>1.0017100000000001</v>
      </c>
      <c r="X171" s="27"/>
      <c r="Y171" s="23"/>
      <c r="Z171" s="23"/>
      <c r="AA171" s="23">
        <v>0</v>
      </c>
      <c r="AB171" s="23" t="str">
        <f t="shared" si="76"/>
        <v/>
      </c>
      <c r="AC171" s="23" t="str">
        <f t="shared" si="76"/>
        <v/>
      </c>
      <c r="AD171" s="23" t="str">
        <f t="shared" si="76"/>
        <v/>
      </c>
      <c r="AE171" s="23" t="str">
        <f t="shared" si="76"/>
        <v/>
      </c>
      <c r="AF171" s="23">
        <f t="shared" si="76"/>
        <v>0</v>
      </c>
      <c r="AG171" s="23" t="str">
        <f t="shared" si="76"/>
        <v/>
      </c>
      <c r="AH171" s="23">
        <f t="shared" si="62"/>
        <v>0</v>
      </c>
      <c r="AI171" s="23">
        <f t="shared" si="63"/>
        <v>0</v>
      </c>
      <c r="AJ171" s="70">
        <v>1</v>
      </c>
      <c r="AK171" s="225">
        <v>2327.0337</v>
      </c>
      <c r="AL171" s="33">
        <v>1</v>
      </c>
      <c r="AM171" s="204">
        <v>2327.0337</v>
      </c>
      <c r="AN171" s="196"/>
      <c r="AO171" s="23"/>
      <c r="AP171" s="23"/>
      <c r="AQ171" s="23"/>
      <c r="AR171" s="23"/>
      <c r="AS171" s="23"/>
      <c r="AT171" s="23"/>
      <c r="AU171" s="23"/>
      <c r="AV171" s="23"/>
      <c r="AW171" s="23"/>
      <c r="AX171" s="23"/>
      <c r="AY171" s="23"/>
      <c r="AZ171" s="196"/>
      <c r="BA171" s="70">
        <f>IF(VLOOKUP($D171,$AO$14:AQ$19,COLUMN()-50,0)&lt;=0,1,IF($Q171&lt;0,1,ROUNDUP(IF($Q171*('Draft Center'!$L$28+'Draft Center'!$L$78-'Draft Center'!$L$82)&lt;1,1,$Q171*('Draft Center'!$L$28+'Draft Center'!$L$78-'Draft Center'!$L$82)),0)))</f>
        <v>1</v>
      </c>
      <c r="BB171" s="70">
        <f>IF(VLOOKUP($D171,$AO$14:AR$19,COLUMN()-50,0)&lt;=0,1,IF($Q171&lt;0,1,ROUNDUP(IF($Q171*('Draft Center'!$L$28+'Draft Center'!$L$78-'Draft Center'!$L$82)&lt;1,1,$Q171*('Draft Center'!$L$28+'Draft Center'!$L$78-'Draft Center'!$L$82)),0)))</f>
        <v>1</v>
      </c>
      <c r="BC171" s="70">
        <f>IF(VLOOKUP($D171,$AO$14:AS$19,COLUMN()-50,0)&lt;=0,1,IF($Q171&lt;0,1,ROUNDUP(IF($Q171*('Draft Center'!$L$28+'Draft Center'!$L$78-'Draft Center'!$L$82)&lt;1,1,$Q171*('Draft Center'!$L$28+'Draft Center'!$L$78-'Draft Center'!$L$82)),0)))</f>
        <v>1</v>
      </c>
      <c r="BD171" s="70">
        <f>IF(VLOOKUP($D171,$AO$14:AT$19,COLUMN()-50,0)&lt;=0,1,IF($Q171&lt;0,1,ROUNDUP(IF($Q171*('Draft Center'!$L$28+'Draft Center'!$L$78-'Draft Center'!$L$82)&lt;1,1,$Q171*('Draft Center'!$L$28+'Draft Center'!$L$78-'Draft Center'!$L$82)),0)))</f>
        <v>1</v>
      </c>
      <c r="BE171" s="70">
        <f>IF(VLOOKUP($D171,$AO$14:AU$19,COLUMN()-50,0)&lt;=0,1,IF($Q171&lt;0,1,ROUNDUP(IF($Q171*('Draft Center'!$L$28+'Draft Center'!$L$78-'Draft Center'!$L$82)&lt;1,1,$Q171*('Draft Center'!$L$28+'Draft Center'!$L$78-'Draft Center'!$L$82)),0)))</f>
        <v>1</v>
      </c>
      <c r="BF171" s="70">
        <f>IF(VLOOKUP($D171,$AO$14:AV$19,COLUMN()-50,0)&lt;=0,1,IF($Q171&lt;0,1,ROUNDUP(IF($Q171*('Draft Center'!$L$28+'Draft Center'!$L$78-'Draft Center'!$L$82)&lt;1,1,$Q171*('Draft Center'!$L$28+'Draft Center'!$L$78-'Draft Center'!$L$82)),0)))</f>
        <v>1</v>
      </c>
      <c r="BG171" s="70">
        <f>IF(VLOOKUP($D171,$AO$14:AW$19,COLUMN()-50,0)&lt;=0,1,IF($Q171&lt;0,1,ROUNDUP(IF($Q171*('Draft Center'!$L$28+'Draft Center'!$L$78-'Draft Center'!$L$82)&lt;1,1,$Q171*('Draft Center'!$L$28+'Draft Center'!$L$78-'Draft Center'!$L$82)),0)))</f>
        <v>1</v>
      </c>
      <c r="BH171" s="70">
        <f>IF(VLOOKUP($D171,$AO$14:AX$19,COLUMN()-50,0)&lt;=0,1,IF($Q171&lt;0,1,ROUNDUP(IF($Q171*('Draft Center'!$L$28+'Draft Center'!$L$78-'Draft Center'!$L$82)&lt;1,1,$Q171*('Draft Center'!$L$28+'Draft Center'!$L$78-'Draft Center'!$L$82)),0)))</f>
        <v>1</v>
      </c>
      <c r="BI171" s="70">
        <f>IF(VLOOKUP($D171,$AO$14:AY$19,COLUMN()-50,0)&lt;=0,1,IF($Q171&lt;0,1,ROUNDUP(IF($Q171*('Draft Center'!$L$28+'Draft Center'!$L$78-'Draft Center'!$L$82)&lt;1,1,$Q171*('Draft Center'!$L$28+'Draft Center'!$L$78-'Draft Center'!$L$82)),0)))</f>
        <v>1</v>
      </c>
      <c r="BJ171" s="196"/>
      <c r="BK171" s="23">
        <v>0</v>
      </c>
      <c r="BL171" s="23" t="str">
        <f t="shared" si="77"/>
        <v/>
      </c>
      <c r="BM171" s="23">
        <v>0</v>
      </c>
      <c r="BN171" s="23" t="str">
        <f t="shared" si="77"/>
        <v/>
      </c>
      <c r="BO171" s="23" t="str">
        <f t="shared" si="77"/>
        <v/>
      </c>
      <c r="BP171" s="23">
        <f t="shared" si="77"/>
        <v>0</v>
      </c>
      <c r="BQ171" s="23" t="str">
        <f t="shared" si="77"/>
        <v/>
      </c>
      <c r="BR171" s="23">
        <f t="shared" si="64"/>
        <v>0</v>
      </c>
      <c r="BS171" s="23">
        <f t="shared" si="65"/>
        <v>0</v>
      </c>
      <c r="BT171" s="70">
        <v>1</v>
      </c>
      <c r="BU171" s="58">
        <v>2327.0337</v>
      </c>
      <c r="BV171" s="33">
        <v>1</v>
      </c>
      <c r="BW171" s="204">
        <v>2327.0337</v>
      </c>
      <c r="BX171" s="23"/>
      <c r="BY171" s="70">
        <v>1</v>
      </c>
      <c r="BZ171" s="70">
        <v>0</v>
      </c>
      <c r="CA171" s="70">
        <v>0</v>
      </c>
      <c r="CB171" s="70">
        <v>0</v>
      </c>
      <c r="CC171" s="70">
        <f t="shared" si="68"/>
        <v>0</v>
      </c>
      <c r="CD171" s="70">
        <f t="shared" si="69"/>
        <v>0</v>
      </c>
    </row>
    <row r="172" spans="1:82" ht="15.75" customHeight="1" thickBot="1" x14ac:dyDescent="0.3">
      <c r="A172" s="9">
        <v>171</v>
      </c>
      <c r="B172" s="10" t="s">
        <v>120</v>
      </c>
      <c r="C172" s="10" t="s">
        <v>48</v>
      </c>
      <c r="D172" s="10" t="s">
        <v>17</v>
      </c>
      <c r="E172" s="51">
        <v>-28.562579884974301</v>
      </c>
      <c r="F172" s="51">
        <v>184.21533638437501</v>
      </c>
      <c r="G172" s="51">
        <v>200.03851194496701</v>
      </c>
      <c r="H172" s="51">
        <v>155.899525723473</v>
      </c>
      <c r="I172" s="11">
        <v>2.6</v>
      </c>
      <c r="J172" s="51">
        <v>4.3035789124966</v>
      </c>
      <c r="K172" s="249">
        <f>IFERROR(VLOOKUP(C172,Schedule!$T$3:$U$34,2,0),"FA")</f>
        <v>10</v>
      </c>
      <c r="L172" s="10" t="str">
        <f>D172&amp;COUNTIF(D$2:$D172,D172)</f>
        <v>WR41</v>
      </c>
      <c r="M172" s="51">
        <f t="array" ref="M172">IFERROR(F172-AVERAGE(VLOOKUP(D172,$D173:$F$885,3,0),INDEX($F173:$F$885,SMALL(IF(D172=$D173:$D$885,ROW($D173:$D$885)-ROW(D172)),2))),0)</f>
        <v>1.017437643869016</v>
      </c>
      <c r="N172" s="51">
        <f>IFERROR(IF(VLOOKUP($B172,Input!$AC$2:$AC$162,1,0)=$B172,0),F172)</f>
        <v>184.21533638437501</v>
      </c>
      <c r="O172" s="51">
        <f>IFERROR(IF(VLOOKUP($B172,Input!$AC$2:$AC$162,1,0)=$B172,0,G172),G172)</f>
        <v>200.03851194496701</v>
      </c>
      <c r="P172" s="51">
        <f>IF(N172=0,0,F172-AVERAGE(INDEX(F:F,MATCH(VLOOKUP(D172,Input!$A$14:$L$22,10,0),L:L,0)),INDEX(F:F,MATCH(VLOOKUP(D172,Input!$A$14:$L$22,11,0),L:L,0)),INDEX(F:F,MATCH(VLOOKUP(D172,Input!$A$14:$L$22,12,0),L:L,0)))+(0.01-ROW()*0.01))</f>
        <v>-30.272579884974014</v>
      </c>
      <c r="Q172" s="107">
        <f t="shared" si="60"/>
        <v>-1.0443826364031643E-2</v>
      </c>
      <c r="R172" s="11">
        <f>IF(VLOOKUP($D172,$X$14:$Y$19,2,0)&lt;=0,1,IF(Q172&lt;0,1,ROUNDUP(IF(Q172*('Draft Center'!$L$28+'Draft Center'!$L$78-'Draft Center'!$L$82)&lt;1,1,Q172*('Draft Center'!$L$28+'Draft Center'!$L$78-'Draft Center'!$L$82)),0)))</f>
        <v>1</v>
      </c>
      <c r="S172" s="11">
        <f>IF(A172&lt;Input!$B$10+0.1,IF(ROUNDUP(R172*Input!$C$10,0)=0,1,ROUNDUP(R172*Input!$C$10,0)),IF(A172&gt;Input!$B$11,IF(ROUNDUP(R172*Input!$C$11,0)=0,1,ROUNDUP(R172*Input!$C$11,0)),IF(ROUNDUP(R172,0)=0,1,ROUNDUP(R172,0))))</f>
        <v>1</v>
      </c>
      <c r="T172" s="11">
        <f t="shared" si="61"/>
        <v>1</v>
      </c>
      <c r="U172" s="11">
        <f>IFERROR(VLOOKUP($B172,Input!$AC$2:$AE$161,3,0),0)</f>
        <v>0</v>
      </c>
      <c r="V172" s="257">
        <f t="shared" si="66"/>
        <v>-0.61366461538461536</v>
      </c>
      <c r="W172" s="264">
        <f t="shared" si="67"/>
        <v>-1.5982800000000001</v>
      </c>
      <c r="X172" s="27"/>
      <c r="Y172" s="23"/>
      <c r="Z172" s="23"/>
      <c r="AA172" s="23">
        <v>0</v>
      </c>
      <c r="AB172" s="23" t="str">
        <f t="shared" ref="AB172:AG181" si="78">IF($D172=AB$1,1*$AA172,"")</f>
        <v/>
      </c>
      <c r="AC172" s="23" t="str">
        <f t="shared" si="78"/>
        <v/>
      </c>
      <c r="AD172" s="23">
        <f t="shared" si="78"/>
        <v>0</v>
      </c>
      <c r="AE172" s="23" t="str">
        <f t="shared" si="78"/>
        <v/>
      </c>
      <c r="AF172" s="23" t="str">
        <f t="shared" si="78"/>
        <v/>
      </c>
      <c r="AG172" s="23" t="str">
        <f t="shared" si="78"/>
        <v/>
      </c>
      <c r="AH172" s="23">
        <f t="shared" si="62"/>
        <v>0</v>
      </c>
      <c r="AI172" s="23">
        <f t="shared" si="63"/>
        <v>0</v>
      </c>
      <c r="AJ172" s="69">
        <v>1</v>
      </c>
      <c r="AK172" s="225">
        <v>2327.0337</v>
      </c>
      <c r="AL172" s="33">
        <v>1</v>
      </c>
      <c r="AM172" s="204">
        <v>2327.0337</v>
      </c>
      <c r="AN172" s="196"/>
      <c r="AO172" s="23"/>
      <c r="AP172" s="23"/>
      <c r="AQ172" s="23"/>
      <c r="AR172" s="23"/>
      <c r="AS172" s="23"/>
      <c r="AT172" s="23"/>
      <c r="AU172" s="23"/>
      <c r="AV172" s="23"/>
      <c r="AW172" s="23"/>
      <c r="AX172" s="23"/>
      <c r="AY172" s="23"/>
      <c r="AZ172" s="196"/>
      <c r="BA172" s="69">
        <f>IF(VLOOKUP($D172,$AO$14:AQ$19,COLUMN()-50,0)&lt;=0,1,IF($Q172&lt;0,1,ROUNDUP(IF($Q172*('Draft Center'!$L$28+'Draft Center'!$L$78-'Draft Center'!$L$82)&lt;1,1,$Q172*('Draft Center'!$L$28+'Draft Center'!$L$78-'Draft Center'!$L$82)),0)))</f>
        <v>1</v>
      </c>
      <c r="BB172" s="69">
        <f>IF(VLOOKUP($D172,$AO$14:AR$19,COLUMN()-50,0)&lt;=0,1,IF($Q172&lt;0,1,ROUNDUP(IF($Q172*('Draft Center'!$L$28+'Draft Center'!$L$78-'Draft Center'!$L$82)&lt;1,1,$Q172*('Draft Center'!$L$28+'Draft Center'!$L$78-'Draft Center'!$L$82)),0)))</f>
        <v>1</v>
      </c>
      <c r="BC172" s="69">
        <f>IF(VLOOKUP($D172,$AO$14:AS$19,COLUMN()-50,0)&lt;=0,1,IF($Q172&lt;0,1,ROUNDUP(IF($Q172*('Draft Center'!$L$28+'Draft Center'!$L$78-'Draft Center'!$L$82)&lt;1,1,$Q172*('Draft Center'!$L$28+'Draft Center'!$L$78-'Draft Center'!$L$82)),0)))</f>
        <v>1</v>
      </c>
      <c r="BD172" s="69">
        <f>IF(VLOOKUP($D172,$AO$14:AT$19,COLUMN()-50,0)&lt;=0,1,IF($Q172&lt;0,1,ROUNDUP(IF($Q172*('Draft Center'!$L$28+'Draft Center'!$L$78-'Draft Center'!$L$82)&lt;1,1,$Q172*('Draft Center'!$L$28+'Draft Center'!$L$78-'Draft Center'!$L$82)),0)))</f>
        <v>1</v>
      </c>
      <c r="BE172" s="69">
        <f>IF(VLOOKUP($D172,$AO$14:AU$19,COLUMN()-50,0)&lt;=0,1,IF($Q172&lt;0,1,ROUNDUP(IF($Q172*('Draft Center'!$L$28+'Draft Center'!$L$78-'Draft Center'!$L$82)&lt;1,1,$Q172*('Draft Center'!$L$28+'Draft Center'!$L$78-'Draft Center'!$L$82)),0)))</f>
        <v>1</v>
      </c>
      <c r="BF172" s="69">
        <f>IF(VLOOKUP($D172,$AO$14:AV$19,COLUMN()-50,0)&lt;=0,1,IF($Q172&lt;0,1,ROUNDUP(IF($Q172*('Draft Center'!$L$28+'Draft Center'!$L$78-'Draft Center'!$L$82)&lt;1,1,$Q172*('Draft Center'!$L$28+'Draft Center'!$L$78-'Draft Center'!$L$82)),0)))</f>
        <v>1</v>
      </c>
      <c r="BG172" s="69">
        <f>IF(VLOOKUP($D172,$AO$14:AW$19,COLUMN()-50,0)&lt;=0,1,IF($Q172&lt;0,1,ROUNDUP(IF($Q172*('Draft Center'!$L$28+'Draft Center'!$L$78-'Draft Center'!$L$82)&lt;1,1,$Q172*('Draft Center'!$L$28+'Draft Center'!$L$78-'Draft Center'!$L$82)),0)))</f>
        <v>1</v>
      </c>
      <c r="BH172" s="69">
        <f>IF(VLOOKUP($D172,$AO$14:AX$19,COLUMN()-50,0)&lt;=0,1,IF($Q172&lt;0,1,ROUNDUP(IF($Q172*('Draft Center'!$L$28+'Draft Center'!$L$78-'Draft Center'!$L$82)&lt;1,1,$Q172*('Draft Center'!$L$28+'Draft Center'!$L$78-'Draft Center'!$L$82)),0)))</f>
        <v>1</v>
      </c>
      <c r="BI172" s="69">
        <f>IF(VLOOKUP($D172,$AO$14:AY$19,COLUMN()-50,0)&lt;=0,1,IF($Q172&lt;0,1,ROUNDUP(IF($Q172*('Draft Center'!$L$28+'Draft Center'!$L$78-'Draft Center'!$L$82)&lt;1,1,$Q172*('Draft Center'!$L$28+'Draft Center'!$L$78-'Draft Center'!$L$82)),0)))</f>
        <v>1</v>
      </c>
      <c r="BJ172" s="196"/>
      <c r="BK172" s="23">
        <v>0</v>
      </c>
      <c r="BL172" s="23" t="str">
        <f t="shared" ref="BL172:BQ181" si="79">IF($D172=BL$1,1*$BK172,"")</f>
        <v/>
      </c>
      <c r="BM172" s="23">
        <v>0</v>
      </c>
      <c r="BN172" s="23">
        <f t="shared" si="79"/>
        <v>0</v>
      </c>
      <c r="BO172" s="23" t="str">
        <f t="shared" si="79"/>
        <v/>
      </c>
      <c r="BP172" s="23" t="str">
        <f t="shared" si="79"/>
        <v/>
      </c>
      <c r="BQ172" s="23" t="str">
        <f t="shared" si="79"/>
        <v/>
      </c>
      <c r="BR172" s="23">
        <f t="shared" si="64"/>
        <v>0</v>
      </c>
      <c r="BS172" s="23">
        <f t="shared" si="65"/>
        <v>0</v>
      </c>
      <c r="BT172" s="69">
        <v>1</v>
      </c>
      <c r="BU172" s="58">
        <v>2327.0337</v>
      </c>
      <c r="BV172" s="33">
        <v>1</v>
      </c>
      <c r="BW172" s="204">
        <v>2327.0337</v>
      </c>
      <c r="BX172" s="23"/>
      <c r="BY172" s="69">
        <v>1</v>
      </c>
      <c r="BZ172" s="69">
        <v>2.6</v>
      </c>
      <c r="CA172" s="69">
        <v>2.6</v>
      </c>
      <c r="CB172" s="69">
        <v>2.6</v>
      </c>
      <c r="CC172" s="69">
        <f t="shared" si="68"/>
        <v>2.6</v>
      </c>
      <c r="CD172" s="69">
        <f t="shared" si="69"/>
        <v>2.6</v>
      </c>
    </row>
    <row r="173" spans="1:82" ht="15.75" customHeight="1" thickBot="1" x14ac:dyDescent="0.3">
      <c r="A173" s="6">
        <v>172</v>
      </c>
      <c r="B173" s="7" t="s">
        <v>523</v>
      </c>
      <c r="C173" s="7" t="s">
        <v>927</v>
      </c>
      <c r="D173" s="7" t="s">
        <v>17</v>
      </c>
      <c r="E173" s="50">
        <v>-29.2644255718807</v>
      </c>
      <c r="F173" s="50">
        <v>183.513490697468</v>
      </c>
      <c r="G173" s="50">
        <v>201.46077750000001</v>
      </c>
      <c r="H173" s="50">
        <v>164.5</v>
      </c>
      <c r="I173" s="8">
        <v>1.2</v>
      </c>
      <c r="J173" s="50">
        <v>5.5005814573452803</v>
      </c>
      <c r="K173" s="248">
        <f>IFERROR(VLOOKUP(C173,Schedule!$T$3:$U$34,2,0),"FA")</f>
        <v>9</v>
      </c>
      <c r="L173" s="7" t="str">
        <f>D173&amp;COUNTIF(D$2:$D173,D173)</f>
        <v>WR42</v>
      </c>
      <c r="M173" s="50">
        <f t="array" ref="M173">IFERROR(F173-AVERAGE(VLOOKUP(D173,$D174:$F$885,3,0),INDEX($F174:$F$885,SMALL(IF(D173=$D174:$D$885,ROW($D174:$D$885)-ROW(D173)),2))),0)</f>
        <v>1.3219168926650013</v>
      </c>
      <c r="N173" s="50">
        <f>IFERROR(IF(VLOOKUP($B173,Input!$AC$2:$AC$162,1,0)=$B173,0),F173)</f>
        <v>183.513490697468</v>
      </c>
      <c r="O173" s="50">
        <f>IFERROR(IF(VLOOKUP($B173,Input!$AC$2:$AC$162,1,0)=$B173,0,G173),G173)</f>
        <v>201.46077750000001</v>
      </c>
      <c r="P173" s="50">
        <f>IF(N173=0,0,F173-AVERAGE(INDEX(F:F,MATCH(VLOOKUP(D173,Input!$A$14:$L$22,10,0),L:L,0)),INDEX(F:F,MATCH(VLOOKUP(D173,Input!$A$14:$L$22,11,0),L:L,0)),INDEX(F:F,MATCH(VLOOKUP(D173,Input!$A$14:$L$22,12,0),L:L,0)))+(0.01-ROW()*0.01))</f>
        <v>-30.984425571881019</v>
      </c>
      <c r="Q173" s="106">
        <f t="shared" si="60"/>
        <v>-1.0689408101045465E-2</v>
      </c>
      <c r="R173" s="8">
        <f>IF(VLOOKUP($D173,$X$14:$Y$19,2,0)&lt;=0,1,IF(Q173&lt;0,1,ROUNDUP(IF(Q173*('Draft Center'!$L$28+'Draft Center'!$L$78-'Draft Center'!$L$82)&lt;1,1,Q173*('Draft Center'!$L$28+'Draft Center'!$L$78-'Draft Center'!$L$82)),0)))</f>
        <v>1</v>
      </c>
      <c r="S173" s="8">
        <f>IF(A173&lt;Input!$B$10+0.1,IF(ROUNDUP(R173*Input!$C$10,0)=0,1,ROUNDUP(R173*Input!$C$10,0)),IF(A173&gt;Input!$B$11,IF(ROUNDUP(R173*Input!$C$11,0)=0,1,ROUNDUP(R173*Input!$C$11,0)),IF(ROUNDUP(R173,0)=0,1,ROUNDUP(R173,0))))</f>
        <v>1</v>
      </c>
      <c r="T173" s="8">
        <f t="shared" si="61"/>
        <v>1</v>
      </c>
      <c r="U173" s="8">
        <f>IFERROR(VLOOKUP($B173,Input!$AC$2:$AE$161,3,0),0)</f>
        <v>0</v>
      </c>
      <c r="V173" s="256">
        <f t="shared" si="66"/>
        <v>-0.16493666666666662</v>
      </c>
      <c r="W173" s="263">
        <f t="shared" si="67"/>
        <v>-0.19826999999999995</v>
      </c>
      <c r="X173" s="27"/>
      <c r="Y173" s="23"/>
      <c r="Z173" s="23"/>
      <c r="AA173" s="23">
        <v>0</v>
      </c>
      <c r="AB173" s="23" t="str">
        <f t="shared" si="78"/>
        <v/>
      </c>
      <c r="AC173" s="23" t="str">
        <f t="shared" si="78"/>
        <v/>
      </c>
      <c r="AD173" s="23">
        <f t="shared" si="78"/>
        <v>0</v>
      </c>
      <c r="AE173" s="23" t="str">
        <f t="shared" si="78"/>
        <v/>
      </c>
      <c r="AF173" s="23" t="str">
        <f t="shared" si="78"/>
        <v/>
      </c>
      <c r="AG173" s="23" t="str">
        <f t="shared" si="78"/>
        <v/>
      </c>
      <c r="AH173" s="23">
        <f t="shared" si="62"/>
        <v>0</v>
      </c>
      <c r="AI173" s="23">
        <f t="shared" si="63"/>
        <v>0</v>
      </c>
      <c r="AJ173" s="70">
        <v>1</v>
      </c>
      <c r="AK173" s="225">
        <v>2327.0337</v>
      </c>
      <c r="AL173" s="33">
        <v>1</v>
      </c>
      <c r="AM173" s="204">
        <v>2327.0337</v>
      </c>
      <c r="AN173" s="196"/>
      <c r="AO173" s="23"/>
      <c r="AP173" s="23"/>
      <c r="AQ173" s="23"/>
      <c r="AR173" s="23"/>
      <c r="AS173" s="23"/>
      <c r="AT173" s="23"/>
      <c r="AU173" s="23"/>
      <c r="AV173" s="23"/>
      <c r="AW173" s="23"/>
      <c r="AX173" s="23"/>
      <c r="AY173" s="23"/>
      <c r="AZ173" s="196"/>
      <c r="BA173" s="70">
        <f>IF(VLOOKUP($D173,$AO$14:AQ$19,COLUMN()-50,0)&lt;=0,1,IF($Q173&lt;0,1,ROUNDUP(IF($Q173*('Draft Center'!$L$28+'Draft Center'!$L$78-'Draft Center'!$L$82)&lt;1,1,$Q173*('Draft Center'!$L$28+'Draft Center'!$L$78-'Draft Center'!$L$82)),0)))</f>
        <v>1</v>
      </c>
      <c r="BB173" s="70">
        <f>IF(VLOOKUP($D173,$AO$14:AR$19,COLUMN()-50,0)&lt;=0,1,IF($Q173&lt;0,1,ROUNDUP(IF($Q173*('Draft Center'!$L$28+'Draft Center'!$L$78-'Draft Center'!$L$82)&lt;1,1,$Q173*('Draft Center'!$L$28+'Draft Center'!$L$78-'Draft Center'!$L$82)),0)))</f>
        <v>1</v>
      </c>
      <c r="BC173" s="70">
        <f>IF(VLOOKUP($D173,$AO$14:AS$19,COLUMN()-50,0)&lt;=0,1,IF($Q173&lt;0,1,ROUNDUP(IF($Q173*('Draft Center'!$L$28+'Draft Center'!$L$78-'Draft Center'!$L$82)&lt;1,1,$Q173*('Draft Center'!$L$28+'Draft Center'!$L$78-'Draft Center'!$L$82)),0)))</f>
        <v>1</v>
      </c>
      <c r="BD173" s="70">
        <f>IF(VLOOKUP($D173,$AO$14:AT$19,COLUMN()-50,0)&lt;=0,1,IF($Q173&lt;0,1,ROUNDUP(IF($Q173*('Draft Center'!$L$28+'Draft Center'!$L$78-'Draft Center'!$L$82)&lt;1,1,$Q173*('Draft Center'!$L$28+'Draft Center'!$L$78-'Draft Center'!$L$82)),0)))</f>
        <v>1</v>
      </c>
      <c r="BE173" s="70">
        <f>IF(VLOOKUP($D173,$AO$14:AU$19,COLUMN()-50,0)&lt;=0,1,IF($Q173&lt;0,1,ROUNDUP(IF($Q173*('Draft Center'!$L$28+'Draft Center'!$L$78-'Draft Center'!$L$82)&lt;1,1,$Q173*('Draft Center'!$L$28+'Draft Center'!$L$78-'Draft Center'!$L$82)),0)))</f>
        <v>1</v>
      </c>
      <c r="BF173" s="70">
        <f>IF(VLOOKUP($D173,$AO$14:AV$19,COLUMN()-50,0)&lt;=0,1,IF($Q173&lt;0,1,ROUNDUP(IF($Q173*('Draft Center'!$L$28+'Draft Center'!$L$78-'Draft Center'!$L$82)&lt;1,1,$Q173*('Draft Center'!$L$28+'Draft Center'!$L$78-'Draft Center'!$L$82)),0)))</f>
        <v>1</v>
      </c>
      <c r="BG173" s="70">
        <f>IF(VLOOKUP($D173,$AO$14:AW$19,COLUMN()-50,0)&lt;=0,1,IF($Q173&lt;0,1,ROUNDUP(IF($Q173*('Draft Center'!$L$28+'Draft Center'!$L$78-'Draft Center'!$L$82)&lt;1,1,$Q173*('Draft Center'!$L$28+'Draft Center'!$L$78-'Draft Center'!$L$82)),0)))</f>
        <v>1</v>
      </c>
      <c r="BH173" s="70">
        <f>IF(VLOOKUP($D173,$AO$14:AX$19,COLUMN()-50,0)&lt;=0,1,IF($Q173&lt;0,1,ROUNDUP(IF($Q173*('Draft Center'!$L$28+'Draft Center'!$L$78-'Draft Center'!$L$82)&lt;1,1,$Q173*('Draft Center'!$L$28+'Draft Center'!$L$78-'Draft Center'!$L$82)),0)))</f>
        <v>1</v>
      </c>
      <c r="BI173" s="70">
        <f>IF(VLOOKUP($D173,$AO$14:AY$19,COLUMN()-50,0)&lt;=0,1,IF($Q173&lt;0,1,ROUNDUP(IF($Q173*('Draft Center'!$L$28+'Draft Center'!$L$78-'Draft Center'!$L$82)&lt;1,1,$Q173*('Draft Center'!$L$28+'Draft Center'!$L$78-'Draft Center'!$L$82)),0)))</f>
        <v>1</v>
      </c>
      <c r="BJ173" s="196"/>
      <c r="BK173" s="23">
        <v>0</v>
      </c>
      <c r="BL173" s="23" t="str">
        <f t="shared" si="79"/>
        <v/>
      </c>
      <c r="BM173" s="23">
        <v>0</v>
      </c>
      <c r="BN173" s="23">
        <f t="shared" si="79"/>
        <v>0</v>
      </c>
      <c r="BO173" s="23" t="str">
        <f t="shared" si="79"/>
        <v/>
      </c>
      <c r="BP173" s="23" t="str">
        <f t="shared" si="79"/>
        <v/>
      </c>
      <c r="BQ173" s="23" t="str">
        <f t="shared" si="79"/>
        <v/>
      </c>
      <c r="BR173" s="23">
        <f t="shared" si="64"/>
        <v>0</v>
      </c>
      <c r="BS173" s="23">
        <f t="shared" si="65"/>
        <v>0</v>
      </c>
      <c r="BT173" s="70">
        <v>1</v>
      </c>
      <c r="BU173" s="58">
        <v>2327.0337</v>
      </c>
      <c r="BV173" s="33">
        <v>1</v>
      </c>
      <c r="BW173" s="204">
        <v>2327.0337</v>
      </c>
      <c r="BX173" s="23"/>
      <c r="BY173" s="70">
        <v>1</v>
      </c>
      <c r="BZ173" s="70">
        <v>1.2</v>
      </c>
      <c r="CA173" s="70">
        <v>1.2</v>
      </c>
      <c r="CB173" s="70">
        <v>1.2</v>
      </c>
      <c r="CC173" s="70">
        <f t="shared" si="68"/>
        <v>1.2</v>
      </c>
      <c r="CD173" s="70">
        <f t="shared" si="69"/>
        <v>1.2</v>
      </c>
    </row>
    <row r="174" spans="1:82" ht="15.75" customHeight="1" thickBot="1" x14ac:dyDescent="0.3">
      <c r="A174" s="9">
        <v>173</v>
      </c>
      <c r="B174" s="10" t="s">
        <v>179</v>
      </c>
      <c r="C174" s="10" t="s">
        <v>75</v>
      </c>
      <c r="D174" s="10" t="s">
        <v>43</v>
      </c>
      <c r="E174" s="51">
        <v>-29.415098744026398</v>
      </c>
      <c r="F174" s="51">
        <v>124.04582060818301</v>
      </c>
      <c r="G174" s="51">
        <v>139.20027030264501</v>
      </c>
      <c r="H174" s="51">
        <v>102.37220850480099</v>
      </c>
      <c r="I174" s="11">
        <v>0</v>
      </c>
      <c r="J174" s="51">
        <v>3.5927101571344102</v>
      </c>
      <c r="K174" s="249">
        <f>IFERROR(VLOOKUP(C174,Schedule!$T$3:$U$34,2,0),"FA")</f>
        <v>10</v>
      </c>
      <c r="L174" s="10" t="str">
        <f>D174&amp;COUNTIF(D$2:$D174,D174)</f>
        <v>TE19</v>
      </c>
      <c r="M174" s="51">
        <f t="array" ref="M174">IFERROR(F174-AVERAGE(VLOOKUP(D174,$D175:$F$885,3,0),INDEX($F175:$F$885,SMALL(IF(D174=$D175:$D$885,ROW($D175:$D$885)-ROW(D174)),2))),0)</f>
        <v>1.440181521579504</v>
      </c>
      <c r="N174" s="51">
        <f>IFERROR(IF(VLOOKUP($B174,Input!$AC$2:$AC$162,1,0)=$B174,0),F174)</f>
        <v>124.04582060818301</v>
      </c>
      <c r="O174" s="51">
        <f>IFERROR(IF(VLOOKUP($B174,Input!$AC$2:$AC$162,1,0)=$B174,0,G174),G174)</f>
        <v>139.20027030264501</v>
      </c>
      <c r="P174" s="51">
        <f>IF(N174=0,0,F174-AVERAGE(INDEX(F:F,MATCH(VLOOKUP(D174,Input!$A$14:$L$22,10,0),L:L,0)),INDEX(F:F,MATCH(VLOOKUP(D174,Input!$A$14:$L$22,11,0),L:L,0)),INDEX(F:F,MATCH(VLOOKUP(D174,Input!$A$14:$L$22,12,0),L:L,0)))+(0.01-ROW()*0.01))</f>
        <v>-31.14509874402631</v>
      </c>
      <c r="Q174" s="107">
        <f t="shared" si="60"/>
        <v>-1.0744839211232295E-2</v>
      </c>
      <c r="R174" s="11">
        <f>IF(VLOOKUP($D174,$X$14:$Y$19,2,0)&lt;=0,1,IF(Q174&lt;0,1,ROUNDUP(IF(Q174*('Draft Center'!$L$28+'Draft Center'!$L$78-'Draft Center'!$L$82)&lt;1,1,Q174*('Draft Center'!$L$28+'Draft Center'!$L$78-'Draft Center'!$L$82)),0)))</f>
        <v>1</v>
      </c>
      <c r="S174" s="11">
        <f>IF(A174&lt;Input!$B$10+0.1,IF(ROUNDUP(R174*Input!$C$10,0)=0,1,ROUNDUP(R174*Input!$C$10,0)),IF(A174&gt;Input!$B$11,IF(ROUNDUP(R174*Input!$C$11,0)=0,1,ROUNDUP(R174*Input!$C$11,0)),IF(ROUNDUP(R174,0)=0,1,ROUNDUP(R174,0))))</f>
        <v>1</v>
      </c>
      <c r="T174" s="11">
        <f t="shared" si="61"/>
        <v>1</v>
      </c>
      <c r="U174" s="11">
        <f>IFERROR(VLOOKUP($B174,Input!$AC$2:$AE$161,3,0),0)</f>
        <v>0</v>
      </c>
      <c r="V174" s="257">
        <f t="shared" si="66"/>
        <v>0</v>
      </c>
      <c r="W174" s="264">
        <f t="shared" si="67"/>
        <v>1.0017400000000001</v>
      </c>
      <c r="X174" s="27"/>
      <c r="Y174" s="23"/>
      <c r="Z174" s="23"/>
      <c r="AA174" s="23">
        <v>0</v>
      </c>
      <c r="AB174" s="23" t="str">
        <f t="shared" si="78"/>
        <v/>
      </c>
      <c r="AC174" s="23" t="str">
        <f t="shared" si="78"/>
        <v/>
      </c>
      <c r="AD174" s="23" t="str">
        <f t="shared" si="78"/>
        <v/>
      </c>
      <c r="AE174" s="23">
        <f t="shared" si="78"/>
        <v>0</v>
      </c>
      <c r="AF174" s="23" t="str">
        <f t="shared" si="78"/>
        <v/>
      </c>
      <c r="AG174" s="23" t="str">
        <f t="shared" si="78"/>
        <v/>
      </c>
      <c r="AH174" s="23">
        <f t="shared" si="62"/>
        <v>0</v>
      </c>
      <c r="AI174" s="23">
        <f t="shared" si="63"/>
        <v>0</v>
      </c>
      <c r="AJ174" s="69">
        <v>1</v>
      </c>
      <c r="AK174" s="225">
        <v>2327.0337</v>
      </c>
      <c r="AL174" s="33">
        <v>1</v>
      </c>
      <c r="AM174" s="204">
        <v>2327.0337</v>
      </c>
      <c r="AN174" s="196"/>
      <c r="AO174" s="23"/>
      <c r="AP174" s="23"/>
      <c r="AQ174" s="23"/>
      <c r="AR174" s="23"/>
      <c r="AS174" s="23"/>
      <c r="AT174" s="23"/>
      <c r="AU174" s="23"/>
      <c r="AV174" s="23"/>
      <c r="AW174" s="23"/>
      <c r="AX174" s="23"/>
      <c r="AY174" s="23"/>
      <c r="AZ174" s="196"/>
      <c r="BA174" s="69">
        <f>IF(VLOOKUP($D174,$AO$14:AQ$19,COLUMN()-50,0)&lt;=0,1,IF($Q174&lt;0,1,ROUNDUP(IF($Q174*('Draft Center'!$L$28+'Draft Center'!$L$78-'Draft Center'!$L$82)&lt;1,1,$Q174*('Draft Center'!$L$28+'Draft Center'!$L$78-'Draft Center'!$L$82)),0)))</f>
        <v>1</v>
      </c>
      <c r="BB174" s="69">
        <f>IF(VLOOKUP($D174,$AO$14:AR$19,COLUMN()-50,0)&lt;=0,1,IF($Q174&lt;0,1,ROUNDUP(IF($Q174*('Draft Center'!$L$28+'Draft Center'!$L$78-'Draft Center'!$L$82)&lt;1,1,$Q174*('Draft Center'!$L$28+'Draft Center'!$L$78-'Draft Center'!$L$82)),0)))</f>
        <v>1</v>
      </c>
      <c r="BC174" s="69">
        <f>IF(VLOOKUP($D174,$AO$14:AS$19,COLUMN()-50,0)&lt;=0,1,IF($Q174&lt;0,1,ROUNDUP(IF($Q174*('Draft Center'!$L$28+'Draft Center'!$L$78-'Draft Center'!$L$82)&lt;1,1,$Q174*('Draft Center'!$L$28+'Draft Center'!$L$78-'Draft Center'!$L$82)),0)))</f>
        <v>1</v>
      </c>
      <c r="BD174" s="69">
        <f>IF(VLOOKUP($D174,$AO$14:AT$19,COLUMN()-50,0)&lt;=0,1,IF($Q174&lt;0,1,ROUNDUP(IF($Q174*('Draft Center'!$L$28+'Draft Center'!$L$78-'Draft Center'!$L$82)&lt;1,1,$Q174*('Draft Center'!$L$28+'Draft Center'!$L$78-'Draft Center'!$L$82)),0)))</f>
        <v>1</v>
      </c>
      <c r="BE174" s="69">
        <f>IF(VLOOKUP($D174,$AO$14:AU$19,COLUMN()-50,0)&lt;=0,1,IF($Q174&lt;0,1,ROUNDUP(IF($Q174*('Draft Center'!$L$28+'Draft Center'!$L$78-'Draft Center'!$L$82)&lt;1,1,$Q174*('Draft Center'!$L$28+'Draft Center'!$L$78-'Draft Center'!$L$82)),0)))</f>
        <v>1</v>
      </c>
      <c r="BF174" s="69">
        <f>IF(VLOOKUP($D174,$AO$14:AV$19,COLUMN()-50,0)&lt;=0,1,IF($Q174&lt;0,1,ROUNDUP(IF($Q174*('Draft Center'!$L$28+'Draft Center'!$L$78-'Draft Center'!$L$82)&lt;1,1,$Q174*('Draft Center'!$L$28+'Draft Center'!$L$78-'Draft Center'!$L$82)),0)))</f>
        <v>1</v>
      </c>
      <c r="BG174" s="69">
        <f>IF(VLOOKUP($D174,$AO$14:AW$19,COLUMN()-50,0)&lt;=0,1,IF($Q174&lt;0,1,ROUNDUP(IF($Q174*('Draft Center'!$L$28+'Draft Center'!$L$78-'Draft Center'!$L$82)&lt;1,1,$Q174*('Draft Center'!$L$28+'Draft Center'!$L$78-'Draft Center'!$L$82)),0)))</f>
        <v>1</v>
      </c>
      <c r="BH174" s="69">
        <f>IF(VLOOKUP($D174,$AO$14:AX$19,COLUMN()-50,0)&lt;=0,1,IF($Q174&lt;0,1,ROUNDUP(IF($Q174*('Draft Center'!$L$28+'Draft Center'!$L$78-'Draft Center'!$L$82)&lt;1,1,$Q174*('Draft Center'!$L$28+'Draft Center'!$L$78-'Draft Center'!$L$82)),0)))</f>
        <v>1</v>
      </c>
      <c r="BI174" s="69">
        <f>IF(VLOOKUP($D174,$AO$14:AY$19,COLUMN()-50,0)&lt;=0,1,IF($Q174&lt;0,1,ROUNDUP(IF($Q174*('Draft Center'!$L$28+'Draft Center'!$L$78-'Draft Center'!$L$82)&lt;1,1,$Q174*('Draft Center'!$L$28+'Draft Center'!$L$78-'Draft Center'!$L$82)),0)))</f>
        <v>1</v>
      </c>
      <c r="BJ174" s="196"/>
      <c r="BK174" s="23">
        <v>0</v>
      </c>
      <c r="BL174" s="23" t="str">
        <f t="shared" si="79"/>
        <v/>
      </c>
      <c r="BM174" s="23">
        <v>0</v>
      </c>
      <c r="BN174" s="23" t="str">
        <f t="shared" si="79"/>
        <v/>
      </c>
      <c r="BO174" s="23">
        <f t="shared" si="79"/>
        <v>0</v>
      </c>
      <c r="BP174" s="23" t="str">
        <f t="shared" si="79"/>
        <v/>
      </c>
      <c r="BQ174" s="23" t="str">
        <f t="shared" si="79"/>
        <v/>
      </c>
      <c r="BR174" s="23">
        <f t="shared" si="64"/>
        <v>0</v>
      </c>
      <c r="BS174" s="23">
        <f t="shared" si="65"/>
        <v>0</v>
      </c>
      <c r="BT174" s="69">
        <v>1</v>
      </c>
      <c r="BU174" s="58">
        <v>2327.0337</v>
      </c>
      <c r="BV174" s="33">
        <v>1</v>
      </c>
      <c r="BW174" s="204">
        <v>2327.0337</v>
      </c>
      <c r="BX174" s="23"/>
      <c r="BY174" s="69">
        <v>1</v>
      </c>
      <c r="BZ174" s="69">
        <v>0</v>
      </c>
      <c r="CA174" s="69">
        <v>0</v>
      </c>
      <c r="CB174" s="69">
        <v>0</v>
      </c>
      <c r="CC174" s="69">
        <f t="shared" si="68"/>
        <v>0</v>
      </c>
      <c r="CD174" s="69">
        <f t="shared" si="69"/>
        <v>0</v>
      </c>
    </row>
    <row r="175" spans="1:82" ht="15.75" customHeight="1" thickBot="1" x14ac:dyDescent="0.3">
      <c r="A175" s="6">
        <v>174</v>
      </c>
      <c r="B175" s="7" t="s">
        <v>464</v>
      </c>
      <c r="C175" s="7" t="s">
        <v>117</v>
      </c>
      <c r="D175" s="7" t="s">
        <v>17</v>
      </c>
      <c r="E175" s="50">
        <v>-29.895609485804702</v>
      </c>
      <c r="F175" s="50">
        <v>182.88230678354401</v>
      </c>
      <c r="G175" s="50">
        <v>203.442454121785</v>
      </c>
      <c r="H175" s="50">
        <v>157.54027137681501</v>
      </c>
      <c r="I175" s="8">
        <v>3.6</v>
      </c>
      <c r="J175" s="50">
        <v>5.1061410179696303</v>
      </c>
      <c r="K175" s="248">
        <f>IFERROR(VLOOKUP(C175,Schedule!$T$3:$U$34,2,0),"FA")</f>
        <v>8</v>
      </c>
      <c r="L175" s="7" t="str">
        <f>D175&amp;COUNTIF(D$2:$D175,D175)</f>
        <v>WR43</v>
      </c>
      <c r="M175" s="50">
        <f t="array" ref="M175">IFERROR(F175-AVERAGE(VLOOKUP(D175,$D176:$F$885,3,0),INDEX($F176:$F$885,SMALL(IF(D175=$D176:$D$885,ROW($D176:$D$885)-ROW(D175)),2))),0)</f>
        <v>2.9587065548030012</v>
      </c>
      <c r="N175" s="50">
        <f>IFERROR(IF(VLOOKUP($B175,Input!$AC$2:$AC$162,1,0)=$B175,0),F175)</f>
        <v>182.88230678354401</v>
      </c>
      <c r="O175" s="50">
        <f>IFERROR(IF(VLOOKUP($B175,Input!$AC$2:$AC$162,1,0)=$B175,0,G175),G175)</f>
        <v>203.442454121785</v>
      </c>
      <c r="P175" s="50">
        <f>IF(N175=0,0,F175-AVERAGE(INDEX(F:F,MATCH(VLOOKUP(D175,Input!$A$14:$L$22,10,0),L:L,0)),INDEX(F:F,MATCH(VLOOKUP(D175,Input!$A$14:$L$22,11,0),L:L,0)),INDEX(F:F,MATCH(VLOOKUP(D175,Input!$A$14:$L$22,12,0),L:L,0)))+(0.01-ROW()*0.01))</f>
        <v>-31.635609485805009</v>
      </c>
      <c r="Q175" s="106">
        <f t="shared" si="60"/>
        <v>-1.0914061954595896E-2</v>
      </c>
      <c r="R175" s="8">
        <f>IF(VLOOKUP($D175,$X$14:$Y$19,2,0)&lt;=0,1,IF(Q175&lt;0,1,ROUNDUP(IF(Q175*('Draft Center'!$L$28+'Draft Center'!$L$78-'Draft Center'!$L$82)&lt;1,1,Q175*('Draft Center'!$L$28+'Draft Center'!$L$78-'Draft Center'!$L$82)),0)))</f>
        <v>1</v>
      </c>
      <c r="S175" s="8">
        <f>IF(A175&lt;Input!$B$10+0.1,IF(ROUNDUP(R175*Input!$C$10,0)=0,1,ROUNDUP(R175*Input!$C$10,0)),IF(A175&gt;Input!$B$11,IF(ROUNDUP(R175*Input!$C$11,0)=0,1,ROUNDUP(R175*Input!$C$11,0)),IF(ROUNDUP(R175,0)=0,1,ROUNDUP(R175,0))))</f>
        <v>1</v>
      </c>
      <c r="T175" s="8">
        <f t="shared" si="61"/>
        <v>1</v>
      </c>
      <c r="U175" s="8">
        <f>IFERROR(VLOOKUP($B175,Input!$AC$2:$AE$161,3,0),0)</f>
        <v>0</v>
      </c>
      <c r="V175" s="256">
        <f t="shared" si="66"/>
        <v>-0.72047222222222218</v>
      </c>
      <c r="W175" s="263">
        <f t="shared" si="67"/>
        <v>-2.5982500000000002</v>
      </c>
      <c r="X175" s="27"/>
      <c r="Y175" s="23"/>
      <c r="Z175" s="23"/>
      <c r="AA175" s="23">
        <v>0</v>
      </c>
      <c r="AB175" s="23" t="str">
        <f t="shared" si="78"/>
        <v/>
      </c>
      <c r="AC175" s="23" t="str">
        <f t="shared" si="78"/>
        <v/>
      </c>
      <c r="AD175" s="23">
        <f t="shared" si="78"/>
        <v>0</v>
      </c>
      <c r="AE175" s="23" t="str">
        <f t="shared" si="78"/>
        <v/>
      </c>
      <c r="AF175" s="23" t="str">
        <f t="shared" si="78"/>
        <v/>
      </c>
      <c r="AG175" s="23" t="str">
        <f t="shared" si="78"/>
        <v/>
      </c>
      <c r="AH175" s="23">
        <f t="shared" si="62"/>
        <v>0</v>
      </c>
      <c r="AI175" s="23">
        <f t="shared" si="63"/>
        <v>0</v>
      </c>
      <c r="AJ175" s="70">
        <v>1</v>
      </c>
      <c r="AK175" s="225">
        <v>2327.0337</v>
      </c>
      <c r="AL175" s="33">
        <v>1</v>
      </c>
      <c r="AM175" s="204">
        <v>2327.0337</v>
      </c>
      <c r="AN175" s="196"/>
      <c r="AO175" s="23"/>
      <c r="AP175" s="23"/>
      <c r="AQ175" s="23"/>
      <c r="AR175" s="23"/>
      <c r="AS175" s="23"/>
      <c r="AT175" s="23"/>
      <c r="AU175" s="23"/>
      <c r="AV175" s="23"/>
      <c r="AW175" s="23"/>
      <c r="AX175" s="23"/>
      <c r="AY175" s="23"/>
      <c r="AZ175" s="196"/>
      <c r="BA175" s="70">
        <f>IF(VLOOKUP($D175,$AO$14:AQ$19,COLUMN()-50,0)&lt;=0,1,IF($Q175&lt;0,1,ROUNDUP(IF($Q175*('Draft Center'!$L$28+'Draft Center'!$L$78-'Draft Center'!$L$82)&lt;1,1,$Q175*('Draft Center'!$L$28+'Draft Center'!$L$78-'Draft Center'!$L$82)),0)))</f>
        <v>1</v>
      </c>
      <c r="BB175" s="70">
        <f>IF(VLOOKUP($D175,$AO$14:AR$19,COLUMN()-50,0)&lt;=0,1,IF($Q175&lt;0,1,ROUNDUP(IF($Q175*('Draft Center'!$L$28+'Draft Center'!$L$78-'Draft Center'!$L$82)&lt;1,1,$Q175*('Draft Center'!$L$28+'Draft Center'!$L$78-'Draft Center'!$L$82)),0)))</f>
        <v>1</v>
      </c>
      <c r="BC175" s="70">
        <f>IF(VLOOKUP($D175,$AO$14:AS$19,COLUMN()-50,0)&lt;=0,1,IF($Q175&lt;0,1,ROUNDUP(IF($Q175*('Draft Center'!$L$28+'Draft Center'!$L$78-'Draft Center'!$L$82)&lt;1,1,$Q175*('Draft Center'!$L$28+'Draft Center'!$L$78-'Draft Center'!$L$82)),0)))</f>
        <v>1</v>
      </c>
      <c r="BD175" s="70">
        <f>IF(VLOOKUP($D175,$AO$14:AT$19,COLUMN()-50,0)&lt;=0,1,IF($Q175&lt;0,1,ROUNDUP(IF($Q175*('Draft Center'!$L$28+'Draft Center'!$L$78-'Draft Center'!$L$82)&lt;1,1,$Q175*('Draft Center'!$L$28+'Draft Center'!$L$78-'Draft Center'!$L$82)),0)))</f>
        <v>1</v>
      </c>
      <c r="BE175" s="70">
        <f>IF(VLOOKUP($D175,$AO$14:AU$19,COLUMN()-50,0)&lt;=0,1,IF($Q175&lt;0,1,ROUNDUP(IF($Q175*('Draft Center'!$L$28+'Draft Center'!$L$78-'Draft Center'!$L$82)&lt;1,1,$Q175*('Draft Center'!$L$28+'Draft Center'!$L$78-'Draft Center'!$L$82)),0)))</f>
        <v>1</v>
      </c>
      <c r="BF175" s="70">
        <f>IF(VLOOKUP($D175,$AO$14:AV$19,COLUMN()-50,0)&lt;=0,1,IF($Q175&lt;0,1,ROUNDUP(IF($Q175*('Draft Center'!$L$28+'Draft Center'!$L$78-'Draft Center'!$L$82)&lt;1,1,$Q175*('Draft Center'!$L$28+'Draft Center'!$L$78-'Draft Center'!$L$82)),0)))</f>
        <v>1</v>
      </c>
      <c r="BG175" s="70">
        <f>IF(VLOOKUP($D175,$AO$14:AW$19,COLUMN()-50,0)&lt;=0,1,IF($Q175&lt;0,1,ROUNDUP(IF($Q175*('Draft Center'!$L$28+'Draft Center'!$L$78-'Draft Center'!$L$82)&lt;1,1,$Q175*('Draft Center'!$L$28+'Draft Center'!$L$78-'Draft Center'!$L$82)),0)))</f>
        <v>1</v>
      </c>
      <c r="BH175" s="70">
        <f>IF(VLOOKUP($D175,$AO$14:AX$19,COLUMN()-50,0)&lt;=0,1,IF($Q175&lt;0,1,ROUNDUP(IF($Q175*('Draft Center'!$L$28+'Draft Center'!$L$78-'Draft Center'!$L$82)&lt;1,1,$Q175*('Draft Center'!$L$28+'Draft Center'!$L$78-'Draft Center'!$L$82)),0)))</f>
        <v>1</v>
      </c>
      <c r="BI175" s="70">
        <f>IF(VLOOKUP($D175,$AO$14:AY$19,COLUMN()-50,0)&lt;=0,1,IF($Q175&lt;0,1,ROUNDUP(IF($Q175*('Draft Center'!$L$28+'Draft Center'!$L$78-'Draft Center'!$L$82)&lt;1,1,$Q175*('Draft Center'!$L$28+'Draft Center'!$L$78-'Draft Center'!$L$82)),0)))</f>
        <v>1</v>
      </c>
      <c r="BJ175" s="196"/>
      <c r="BK175" s="23">
        <v>0</v>
      </c>
      <c r="BL175" s="23" t="str">
        <f t="shared" si="79"/>
        <v/>
      </c>
      <c r="BM175" s="23">
        <v>0</v>
      </c>
      <c r="BN175" s="23">
        <f t="shared" si="79"/>
        <v>0</v>
      </c>
      <c r="BO175" s="23" t="str">
        <f t="shared" si="79"/>
        <v/>
      </c>
      <c r="BP175" s="23" t="str">
        <f t="shared" si="79"/>
        <v/>
      </c>
      <c r="BQ175" s="23" t="str">
        <f t="shared" si="79"/>
        <v/>
      </c>
      <c r="BR175" s="23">
        <f t="shared" si="64"/>
        <v>0</v>
      </c>
      <c r="BS175" s="23">
        <f t="shared" si="65"/>
        <v>0</v>
      </c>
      <c r="BT175" s="70">
        <v>1</v>
      </c>
      <c r="BU175" s="58">
        <v>2327.0337</v>
      </c>
      <c r="BV175" s="33">
        <v>1</v>
      </c>
      <c r="BW175" s="204">
        <v>2327.0337</v>
      </c>
      <c r="BX175" s="23"/>
      <c r="BY175" s="70">
        <v>1</v>
      </c>
      <c r="BZ175" s="70">
        <v>3.6</v>
      </c>
      <c r="CA175" s="70">
        <v>3.6</v>
      </c>
      <c r="CB175" s="70">
        <v>3.6</v>
      </c>
      <c r="CC175" s="70">
        <f t="shared" si="68"/>
        <v>3.6</v>
      </c>
      <c r="CD175" s="70">
        <f t="shared" si="69"/>
        <v>3.6</v>
      </c>
    </row>
    <row r="176" spans="1:82" ht="15.75" customHeight="1" thickBot="1" x14ac:dyDescent="0.3">
      <c r="A176" s="9">
        <v>175</v>
      </c>
      <c r="B176" s="10" t="s">
        <v>121</v>
      </c>
      <c r="C176" s="10" t="s">
        <v>64</v>
      </c>
      <c r="D176" s="10" t="s">
        <v>43</v>
      </c>
      <c r="E176" s="51">
        <v>-30.548088541868001</v>
      </c>
      <c r="F176" s="51">
        <v>122.91283081034101</v>
      </c>
      <c r="G176" s="51">
        <v>134.48554738985101</v>
      </c>
      <c r="H176" s="51">
        <v>113.20922780982001</v>
      </c>
      <c r="I176" s="11">
        <v>0</v>
      </c>
      <c r="J176" s="51">
        <v>3.8262044967733599</v>
      </c>
      <c r="K176" s="249">
        <f>IFERROR(VLOOKUP(C176,Schedule!$T$3:$U$34,2,0),"FA")</f>
        <v>11</v>
      </c>
      <c r="L176" s="10" t="str">
        <f>D176&amp;COUNTIF(D$2:$D176,D176)</f>
        <v>TE20</v>
      </c>
      <c r="M176" s="51">
        <f t="array" ref="M176">IFERROR(F176-AVERAGE(VLOOKUP(D176,$D177:$F$885,3,0),INDEX($F177:$F$885,SMALL(IF(D176=$D177:$D$885,ROW($D177:$D$885)-ROW(D176)),2))),0)</f>
        <v>2.3808641654370035</v>
      </c>
      <c r="N176" s="51">
        <f>IFERROR(IF(VLOOKUP($B176,Input!$AC$2:$AC$162,1,0)=$B176,0),F176)</f>
        <v>122.91283081034101</v>
      </c>
      <c r="O176" s="51">
        <f>IFERROR(IF(VLOOKUP($B176,Input!$AC$2:$AC$162,1,0)=$B176,0,G176),G176)</f>
        <v>134.48554738985101</v>
      </c>
      <c r="P176" s="51">
        <f>IF(N176=0,0,F176-AVERAGE(INDEX(F:F,MATCH(VLOOKUP(D176,Input!$A$14:$L$22,10,0),L:L,0)),INDEX(F:F,MATCH(VLOOKUP(D176,Input!$A$14:$L$22,11,0),L:L,0)),INDEX(F:F,MATCH(VLOOKUP(D176,Input!$A$14:$L$22,12,0),L:L,0)))+(0.01-ROW()*0.01))</f>
        <v>-32.29808854186831</v>
      </c>
      <c r="Q176" s="107">
        <f t="shared" si="60"/>
        <v>-1.1142612552451182E-2</v>
      </c>
      <c r="R176" s="11">
        <f>IF(VLOOKUP($D176,$X$14:$Y$19,2,0)&lt;=0,1,IF(Q176&lt;0,1,ROUNDUP(IF(Q176*('Draft Center'!$L$28+'Draft Center'!$L$78-'Draft Center'!$L$82)&lt;1,1,Q176*('Draft Center'!$L$28+'Draft Center'!$L$78-'Draft Center'!$L$82)),0)))</f>
        <v>1</v>
      </c>
      <c r="S176" s="11">
        <f>IF(A176&lt;Input!$B$10+0.1,IF(ROUNDUP(R176*Input!$C$10,0)=0,1,ROUNDUP(R176*Input!$C$10,0)),IF(A176&gt;Input!$B$11,IF(ROUNDUP(R176*Input!$C$11,0)=0,1,ROUNDUP(R176*Input!$C$11,0)),IF(ROUNDUP(R176,0)=0,1,ROUNDUP(R176,0))))</f>
        <v>1</v>
      </c>
      <c r="T176" s="11">
        <f t="shared" si="61"/>
        <v>1</v>
      </c>
      <c r="U176" s="11">
        <f>IFERROR(VLOOKUP($B176,Input!$AC$2:$AE$161,3,0),0)</f>
        <v>0</v>
      </c>
      <c r="V176" s="257">
        <f t="shared" si="66"/>
        <v>0</v>
      </c>
      <c r="W176" s="264">
        <f t="shared" si="67"/>
        <v>1.00176</v>
      </c>
      <c r="X176" s="27"/>
      <c r="Y176" s="23"/>
      <c r="Z176" s="23"/>
      <c r="AA176" s="23">
        <v>0</v>
      </c>
      <c r="AB176" s="23" t="str">
        <f t="shared" si="78"/>
        <v/>
      </c>
      <c r="AC176" s="23" t="str">
        <f t="shared" si="78"/>
        <v/>
      </c>
      <c r="AD176" s="23" t="str">
        <f t="shared" si="78"/>
        <v/>
      </c>
      <c r="AE176" s="23">
        <f t="shared" si="78"/>
        <v>0</v>
      </c>
      <c r="AF176" s="23" t="str">
        <f t="shared" si="78"/>
        <v/>
      </c>
      <c r="AG176" s="23" t="str">
        <f t="shared" si="78"/>
        <v/>
      </c>
      <c r="AH176" s="23">
        <f t="shared" si="62"/>
        <v>0</v>
      </c>
      <c r="AI176" s="23">
        <f t="shared" si="63"/>
        <v>0</v>
      </c>
      <c r="AJ176" s="69">
        <v>1</v>
      </c>
      <c r="AK176" s="225">
        <v>2327.0337</v>
      </c>
      <c r="AL176" s="33">
        <v>1</v>
      </c>
      <c r="AM176" s="204">
        <v>2327.0337</v>
      </c>
      <c r="AN176" s="196"/>
      <c r="AO176" s="23"/>
      <c r="AP176" s="23"/>
      <c r="AQ176" s="23"/>
      <c r="AR176" s="23"/>
      <c r="AS176" s="23"/>
      <c r="AT176" s="23"/>
      <c r="AU176" s="23"/>
      <c r="AV176" s="23"/>
      <c r="AW176" s="23"/>
      <c r="AX176" s="23"/>
      <c r="AY176" s="23"/>
      <c r="AZ176" s="196"/>
      <c r="BA176" s="69">
        <f>IF(VLOOKUP($D176,$AO$14:AQ$19,COLUMN()-50,0)&lt;=0,1,IF($Q176&lt;0,1,ROUNDUP(IF($Q176*('Draft Center'!$L$28+'Draft Center'!$L$78-'Draft Center'!$L$82)&lt;1,1,$Q176*('Draft Center'!$L$28+'Draft Center'!$L$78-'Draft Center'!$L$82)),0)))</f>
        <v>1</v>
      </c>
      <c r="BB176" s="69">
        <f>IF(VLOOKUP($D176,$AO$14:AR$19,COLUMN()-50,0)&lt;=0,1,IF($Q176&lt;0,1,ROUNDUP(IF($Q176*('Draft Center'!$L$28+'Draft Center'!$L$78-'Draft Center'!$L$82)&lt;1,1,$Q176*('Draft Center'!$L$28+'Draft Center'!$L$78-'Draft Center'!$L$82)),0)))</f>
        <v>1</v>
      </c>
      <c r="BC176" s="69">
        <f>IF(VLOOKUP($D176,$AO$14:AS$19,COLUMN()-50,0)&lt;=0,1,IF($Q176&lt;0,1,ROUNDUP(IF($Q176*('Draft Center'!$L$28+'Draft Center'!$L$78-'Draft Center'!$L$82)&lt;1,1,$Q176*('Draft Center'!$L$28+'Draft Center'!$L$78-'Draft Center'!$L$82)),0)))</f>
        <v>1</v>
      </c>
      <c r="BD176" s="69">
        <f>IF(VLOOKUP($D176,$AO$14:AT$19,COLUMN()-50,0)&lt;=0,1,IF($Q176&lt;0,1,ROUNDUP(IF($Q176*('Draft Center'!$L$28+'Draft Center'!$L$78-'Draft Center'!$L$82)&lt;1,1,$Q176*('Draft Center'!$L$28+'Draft Center'!$L$78-'Draft Center'!$L$82)),0)))</f>
        <v>1</v>
      </c>
      <c r="BE176" s="69">
        <f>IF(VLOOKUP($D176,$AO$14:AU$19,COLUMN()-50,0)&lt;=0,1,IF($Q176&lt;0,1,ROUNDUP(IF($Q176*('Draft Center'!$L$28+'Draft Center'!$L$78-'Draft Center'!$L$82)&lt;1,1,$Q176*('Draft Center'!$L$28+'Draft Center'!$L$78-'Draft Center'!$L$82)),0)))</f>
        <v>1</v>
      </c>
      <c r="BF176" s="69">
        <f>IF(VLOOKUP($D176,$AO$14:AV$19,COLUMN()-50,0)&lt;=0,1,IF($Q176&lt;0,1,ROUNDUP(IF($Q176*('Draft Center'!$L$28+'Draft Center'!$L$78-'Draft Center'!$L$82)&lt;1,1,$Q176*('Draft Center'!$L$28+'Draft Center'!$L$78-'Draft Center'!$L$82)),0)))</f>
        <v>1</v>
      </c>
      <c r="BG176" s="69">
        <f>IF(VLOOKUP($D176,$AO$14:AW$19,COLUMN()-50,0)&lt;=0,1,IF($Q176&lt;0,1,ROUNDUP(IF($Q176*('Draft Center'!$L$28+'Draft Center'!$L$78-'Draft Center'!$L$82)&lt;1,1,$Q176*('Draft Center'!$L$28+'Draft Center'!$L$78-'Draft Center'!$L$82)),0)))</f>
        <v>1</v>
      </c>
      <c r="BH176" s="69">
        <f>IF(VLOOKUP($D176,$AO$14:AX$19,COLUMN()-50,0)&lt;=0,1,IF($Q176&lt;0,1,ROUNDUP(IF($Q176*('Draft Center'!$L$28+'Draft Center'!$L$78-'Draft Center'!$L$82)&lt;1,1,$Q176*('Draft Center'!$L$28+'Draft Center'!$L$78-'Draft Center'!$L$82)),0)))</f>
        <v>1</v>
      </c>
      <c r="BI176" s="69">
        <f>IF(VLOOKUP($D176,$AO$14:AY$19,COLUMN()-50,0)&lt;=0,1,IF($Q176&lt;0,1,ROUNDUP(IF($Q176*('Draft Center'!$L$28+'Draft Center'!$L$78-'Draft Center'!$L$82)&lt;1,1,$Q176*('Draft Center'!$L$28+'Draft Center'!$L$78-'Draft Center'!$L$82)),0)))</f>
        <v>1</v>
      </c>
      <c r="BJ176" s="196"/>
      <c r="BK176" s="23">
        <v>0</v>
      </c>
      <c r="BL176" s="23" t="str">
        <f t="shared" si="79"/>
        <v/>
      </c>
      <c r="BM176" s="23">
        <v>0</v>
      </c>
      <c r="BN176" s="23" t="str">
        <f t="shared" si="79"/>
        <v/>
      </c>
      <c r="BO176" s="23">
        <f t="shared" si="79"/>
        <v>0</v>
      </c>
      <c r="BP176" s="23" t="str">
        <f t="shared" si="79"/>
        <v/>
      </c>
      <c r="BQ176" s="23" t="str">
        <f t="shared" si="79"/>
        <v/>
      </c>
      <c r="BR176" s="23">
        <f t="shared" si="64"/>
        <v>0</v>
      </c>
      <c r="BS176" s="23">
        <f t="shared" si="65"/>
        <v>0</v>
      </c>
      <c r="BT176" s="69">
        <v>1</v>
      </c>
      <c r="BU176" s="58">
        <v>2327.0337</v>
      </c>
      <c r="BV176" s="33">
        <v>1</v>
      </c>
      <c r="BW176" s="204">
        <v>2327.0337</v>
      </c>
      <c r="BX176" s="23"/>
      <c r="BY176" s="69">
        <v>1</v>
      </c>
      <c r="BZ176" s="69">
        <v>0</v>
      </c>
      <c r="CA176" s="69">
        <v>0</v>
      </c>
      <c r="CB176" s="69">
        <v>0</v>
      </c>
      <c r="CC176" s="69">
        <f t="shared" si="68"/>
        <v>0</v>
      </c>
      <c r="CD176" s="69">
        <f t="shared" si="69"/>
        <v>0</v>
      </c>
    </row>
    <row r="177" spans="1:82" ht="15.75" customHeight="1" thickBot="1" x14ac:dyDescent="0.3">
      <c r="A177" s="6">
        <v>176</v>
      </c>
      <c r="B177" s="7" t="s">
        <v>132</v>
      </c>
      <c r="C177" s="7" t="s">
        <v>47</v>
      </c>
      <c r="D177" s="7" t="s">
        <v>19</v>
      </c>
      <c r="E177" s="50">
        <v>-30.774900043630499</v>
      </c>
      <c r="F177" s="50">
        <v>138.32749798232101</v>
      </c>
      <c r="G177" s="50">
        <v>162.701374071163</v>
      </c>
      <c r="H177" s="50">
        <v>109.42576157201</v>
      </c>
      <c r="I177" s="8">
        <v>5.5</v>
      </c>
      <c r="J177" s="50">
        <v>5.2970338962572603</v>
      </c>
      <c r="K177" s="248">
        <f>IFERROR(VLOOKUP(C177,Schedule!$T$3:$U$34,2,0),"FA")</f>
        <v>10</v>
      </c>
      <c r="L177" s="7" t="str">
        <f>D177&amp;COUNTIF(D$2:$D177,D177)</f>
        <v>RB38</v>
      </c>
      <c r="M177" s="50">
        <f t="array" ref="M177">IFERROR(F177-AVERAGE(VLOOKUP(D177,$D178:$F$885,3,0),INDEX($F178:$F$885,SMALL(IF(D177=$D178:$D$885,ROW($D178:$D$885)-ROW(D177)),2))),0)</f>
        <v>0.94406914841499656</v>
      </c>
      <c r="N177" s="50">
        <f>IFERROR(IF(VLOOKUP($B177,Input!$AC$2:$AC$162,1,0)=$B177,0),F177)</f>
        <v>138.32749798232101</v>
      </c>
      <c r="O177" s="50">
        <f>IFERROR(IF(VLOOKUP($B177,Input!$AC$2:$AC$162,1,0)=$B177,0,G177),G177)</f>
        <v>162.701374071163</v>
      </c>
      <c r="P177" s="50">
        <f>IF(N177=0,0,F177-AVERAGE(INDEX(F:F,MATCH(VLOOKUP(D177,Input!$A$14:$L$22,10,0),L:L,0)),INDEX(F:F,MATCH(VLOOKUP(D177,Input!$A$14:$L$22,11,0),L:L,0)),INDEX(F:F,MATCH(VLOOKUP(D177,Input!$A$14:$L$22,12,0),L:L,0)))+(0.01-ROW()*0.01))</f>
        <v>-32.534900043630991</v>
      </c>
      <c r="Q177" s="106">
        <f t="shared" si="60"/>
        <v>-1.1224310848890152E-2</v>
      </c>
      <c r="R177" s="8">
        <f>IF(VLOOKUP($D177,$X$14:$Y$19,2,0)&lt;=0,1,IF(Q177&lt;0,1,ROUNDUP(IF(Q177*('Draft Center'!$L$28+'Draft Center'!$L$78-'Draft Center'!$L$82)&lt;1,1,Q177*('Draft Center'!$L$28+'Draft Center'!$L$78-'Draft Center'!$L$82)),0)))</f>
        <v>1</v>
      </c>
      <c r="S177" s="8">
        <f>IF(A177&lt;Input!$B$10+0.1,IF(ROUNDUP(R177*Input!$C$10,0)=0,1,ROUNDUP(R177*Input!$C$10,0)),IF(A177&gt;Input!$B$11,IF(ROUNDUP(R177*Input!$C$11,0)=0,1,ROUNDUP(R177*Input!$C$11,0)),IF(ROUNDUP(R177,0)=0,1,ROUNDUP(R177,0))))</f>
        <v>1</v>
      </c>
      <c r="T177" s="8">
        <f t="shared" si="61"/>
        <v>1</v>
      </c>
      <c r="U177" s="8">
        <f>IFERROR(VLOOKUP($B177,Input!$AC$2:$AE$161,3,0),0)</f>
        <v>0</v>
      </c>
      <c r="V177" s="256">
        <f t="shared" si="66"/>
        <v>-0.81641181818181818</v>
      </c>
      <c r="W177" s="263">
        <f t="shared" si="67"/>
        <v>-4.4982300000000004</v>
      </c>
      <c r="X177" s="27"/>
      <c r="Y177" s="23"/>
      <c r="Z177" s="23"/>
      <c r="AA177" s="23">
        <v>0</v>
      </c>
      <c r="AB177" s="23" t="str">
        <f t="shared" si="78"/>
        <v/>
      </c>
      <c r="AC177" s="23">
        <f t="shared" si="78"/>
        <v>0</v>
      </c>
      <c r="AD177" s="23" t="str">
        <f t="shared" si="78"/>
        <v/>
      </c>
      <c r="AE177" s="23" t="str">
        <f t="shared" si="78"/>
        <v/>
      </c>
      <c r="AF177" s="23" t="str">
        <f t="shared" si="78"/>
        <v/>
      </c>
      <c r="AG177" s="23" t="str">
        <f t="shared" si="78"/>
        <v/>
      </c>
      <c r="AH177" s="23">
        <f t="shared" si="62"/>
        <v>0</v>
      </c>
      <c r="AI177" s="23">
        <f t="shared" si="63"/>
        <v>0</v>
      </c>
      <c r="AJ177" s="70">
        <v>1</v>
      </c>
      <c r="AK177" s="225">
        <v>2327.0337</v>
      </c>
      <c r="AL177" s="33">
        <v>1</v>
      </c>
      <c r="AM177" s="204">
        <v>2327.0337</v>
      </c>
      <c r="AN177" s="196"/>
      <c r="AO177" s="23"/>
      <c r="AP177" s="23"/>
      <c r="AQ177" s="23"/>
      <c r="AR177" s="23"/>
      <c r="AS177" s="23"/>
      <c r="AT177" s="23"/>
      <c r="AU177" s="23"/>
      <c r="AV177" s="23"/>
      <c r="AW177" s="23"/>
      <c r="AX177" s="23"/>
      <c r="AY177" s="23"/>
      <c r="AZ177" s="196"/>
      <c r="BA177" s="70">
        <f>IF(VLOOKUP($D177,$AO$14:AQ$19,COLUMN()-50,0)&lt;=0,1,IF($Q177&lt;0,1,ROUNDUP(IF($Q177*('Draft Center'!$L$28+'Draft Center'!$L$78-'Draft Center'!$L$82)&lt;1,1,$Q177*('Draft Center'!$L$28+'Draft Center'!$L$78-'Draft Center'!$L$82)),0)))</f>
        <v>1</v>
      </c>
      <c r="BB177" s="70">
        <f>IF(VLOOKUP($D177,$AO$14:AR$19,COLUMN()-50,0)&lt;=0,1,IF($Q177&lt;0,1,ROUNDUP(IF($Q177*('Draft Center'!$L$28+'Draft Center'!$L$78-'Draft Center'!$L$82)&lt;1,1,$Q177*('Draft Center'!$L$28+'Draft Center'!$L$78-'Draft Center'!$L$82)),0)))</f>
        <v>1</v>
      </c>
      <c r="BC177" s="70">
        <f>IF(VLOOKUP($D177,$AO$14:AS$19,COLUMN()-50,0)&lt;=0,1,IF($Q177&lt;0,1,ROUNDUP(IF($Q177*('Draft Center'!$L$28+'Draft Center'!$L$78-'Draft Center'!$L$82)&lt;1,1,$Q177*('Draft Center'!$L$28+'Draft Center'!$L$78-'Draft Center'!$L$82)),0)))</f>
        <v>1</v>
      </c>
      <c r="BD177" s="70">
        <f>IF(VLOOKUP($D177,$AO$14:AT$19,COLUMN()-50,0)&lt;=0,1,IF($Q177&lt;0,1,ROUNDUP(IF($Q177*('Draft Center'!$L$28+'Draft Center'!$L$78-'Draft Center'!$L$82)&lt;1,1,$Q177*('Draft Center'!$L$28+'Draft Center'!$L$78-'Draft Center'!$L$82)),0)))</f>
        <v>1</v>
      </c>
      <c r="BE177" s="70">
        <f>IF(VLOOKUP($D177,$AO$14:AU$19,COLUMN()-50,0)&lt;=0,1,IF($Q177&lt;0,1,ROUNDUP(IF($Q177*('Draft Center'!$L$28+'Draft Center'!$L$78-'Draft Center'!$L$82)&lt;1,1,$Q177*('Draft Center'!$L$28+'Draft Center'!$L$78-'Draft Center'!$L$82)),0)))</f>
        <v>1</v>
      </c>
      <c r="BF177" s="70">
        <f>IF(VLOOKUP($D177,$AO$14:AV$19,COLUMN()-50,0)&lt;=0,1,IF($Q177&lt;0,1,ROUNDUP(IF($Q177*('Draft Center'!$L$28+'Draft Center'!$L$78-'Draft Center'!$L$82)&lt;1,1,$Q177*('Draft Center'!$L$28+'Draft Center'!$L$78-'Draft Center'!$L$82)),0)))</f>
        <v>1</v>
      </c>
      <c r="BG177" s="70">
        <f>IF(VLOOKUP($D177,$AO$14:AW$19,COLUMN()-50,0)&lt;=0,1,IF($Q177&lt;0,1,ROUNDUP(IF($Q177*('Draft Center'!$L$28+'Draft Center'!$L$78-'Draft Center'!$L$82)&lt;1,1,$Q177*('Draft Center'!$L$28+'Draft Center'!$L$78-'Draft Center'!$L$82)),0)))</f>
        <v>1</v>
      </c>
      <c r="BH177" s="70">
        <f>IF(VLOOKUP($D177,$AO$14:AX$19,COLUMN()-50,0)&lt;=0,1,IF($Q177&lt;0,1,ROUNDUP(IF($Q177*('Draft Center'!$L$28+'Draft Center'!$L$78-'Draft Center'!$L$82)&lt;1,1,$Q177*('Draft Center'!$L$28+'Draft Center'!$L$78-'Draft Center'!$L$82)),0)))</f>
        <v>1</v>
      </c>
      <c r="BI177" s="70">
        <f>IF(VLOOKUP($D177,$AO$14:AY$19,COLUMN()-50,0)&lt;=0,1,IF($Q177&lt;0,1,ROUNDUP(IF($Q177*('Draft Center'!$L$28+'Draft Center'!$L$78-'Draft Center'!$L$82)&lt;1,1,$Q177*('Draft Center'!$L$28+'Draft Center'!$L$78-'Draft Center'!$L$82)),0)))</f>
        <v>1</v>
      </c>
      <c r="BJ177" s="196"/>
      <c r="BK177" s="23">
        <v>0</v>
      </c>
      <c r="BL177" s="23" t="str">
        <f t="shared" si="79"/>
        <v/>
      </c>
      <c r="BM177" s="23">
        <v>0</v>
      </c>
      <c r="BN177" s="23" t="str">
        <f t="shared" si="79"/>
        <v/>
      </c>
      <c r="BO177" s="23" t="str">
        <f t="shared" si="79"/>
        <v/>
      </c>
      <c r="BP177" s="23" t="str">
        <f t="shared" si="79"/>
        <v/>
      </c>
      <c r="BQ177" s="23" t="str">
        <f t="shared" si="79"/>
        <v/>
      </c>
      <c r="BR177" s="23">
        <f t="shared" si="64"/>
        <v>0</v>
      </c>
      <c r="BS177" s="23">
        <f t="shared" si="65"/>
        <v>0</v>
      </c>
      <c r="BT177" s="70">
        <v>1</v>
      </c>
      <c r="BU177" s="58">
        <v>2327.0337</v>
      </c>
      <c r="BV177" s="33">
        <v>1</v>
      </c>
      <c r="BW177" s="204">
        <v>2327.0337</v>
      </c>
      <c r="BX177" s="23"/>
      <c r="BY177" s="70">
        <v>1</v>
      </c>
      <c r="BZ177" s="70">
        <v>5.5</v>
      </c>
      <c r="CA177" s="70">
        <v>5.5</v>
      </c>
      <c r="CB177" s="70">
        <v>5.5</v>
      </c>
      <c r="CC177" s="70">
        <f t="shared" si="68"/>
        <v>5.5</v>
      </c>
      <c r="CD177" s="70">
        <f t="shared" si="69"/>
        <v>5.5</v>
      </c>
    </row>
    <row r="178" spans="1:82" ht="15.75" customHeight="1" thickBot="1" x14ac:dyDescent="0.3">
      <c r="A178" s="9">
        <v>177</v>
      </c>
      <c r="B178" s="10" t="s">
        <v>229</v>
      </c>
      <c r="C178" s="10" t="s">
        <v>143</v>
      </c>
      <c r="D178" s="10" t="s">
        <v>135</v>
      </c>
      <c r="E178" s="51">
        <v>-31.034766651563199</v>
      </c>
      <c r="F178" s="51">
        <v>77.696792025373796</v>
      </c>
      <c r="G178" s="51">
        <v>95.281441860465094</v>
      </c>
      <c r="H178" s="51">
        <v>55.9</v>
      </c>
      <c r="I178" s="11">
        <v>0</v>
      </c>
      <c r="J178" s="51">
        <v>3.2338841639826401</v>
      </c>
      <c r="K178" s="249">
        <f>IFERROR(VLOOKUP(C178,Schedule!$T$3:$U$34,2,0),"FA")</f>
        <v>9</v>
      </c>
      <c r="L178" s="10" t="str">
        <f>D178&amp;COUNTIF(D$2:$D178,D178)</f>
        <v>DST32</v>
      </c>
      <c r="M178" s="51">
        <f t="array" ref="M178">IFERROR(F178-AVERAGE(VLOOKUP(D178,$D179:$F$885,3,0),INDEX($F179:$F$885,SMALL(IF(D178=$D179:$D$885,ROW($D179:$D$885)-ROW(D178)),2))),0)</f>
        <v>0</v>
      </c>
      <c r="N178" s="51">
        <f>IFERROR(IF(VLOOKUP($B178,Input!$AC$2:$AC$162,1,0)=$B178,0),F178)</f>
        <v>77.696792025373796</v>
      </c>
      <c r="O178" s="51">
        <f>IFERROR(IF(VLOOKUP($B178,Input!$AC$2:$AC$162,1,0)=$B178,0,G178),G178)</f>
        <v>95.281441860465094</v>
      </c>
      <c r="P178" s="51">
        <f>IF(N178=0,0,F178-AVERAGE(INDEX(F:F,MATCH(VLOOKUP(D178,Input!$A$14:$L$22,10,0),L:L,0)),INDEX(F:F,MATCH(VLOOKUP(D178,Input!$A$14:$L$22,11,0),L:L,0)),INDEX(F:F,MATCH(VLOOKUP(D178,Input!$A$14:$L$22,12,0),L:L,0)))+(0.01-ROW()*0.01))</f>
        <v>-31.761594925238217</v>
      </c>
      <c r="Q178" s="107">
        <f t="shared" si="60"/>
        <v>-1.0957526041860219E-2</v>
      </c>
      <c r="R178" s="11">
        <f>IF(VLOOKUP($D178,$X$14:$Y$19,2,0)&lt;=0,1,IF(Q178&lt;0,1,ROUNDUP(IF(Q178*('Draft Center'!$L$28+'Draft Center'!$L$78-'Draft Center'!$L$82)&lt;1,1,Q178*('Draft Center'!$L$28+'Draft Center'!$L$78-'Draft Center'!$L$82)),0)))</f>
        <v>1</v>
      </c>
      <c r="S178" s="11">
        <f>IF(A178&lt;Input!$B$10+0.1,IF(ROUNDUP(R178*Input!$C$10,0)=0,1,ROUNDUP(R178*Input!$C$10,0)),IF(A178&gt;Input!$B$11,IF(ROUNDUP(R178*Input!$C$11,0)=0,1,ROUNDUP(R178*Input!$C$11,0)),IF(ROUNDUP(R178,0)=0,1,ROUNDUP(R178,0))))</f>
        <v>1</v>
      </c>
      <c r="T178" s="11">
        <f t="shared" si="61"/>
        <v>1</v>
      </c>
      <c r="U178" s="11">
        <f>IFERROR(VLOOKUP($B178,Input!$AC$2:$AE$161,3,0),0)</f>
        <v>0</v>
      </c>
      <c r="V178" s="257">
        <f t="shared" si="66"/>
        <v>0</v>
      </c>
      <c r="W178" s="264">
        <f t="shared" si="67"/>
        <v>1.0017799999999999</v>
      </c>
      <c r="X178" s="27"/>
      <c r="Y178" s="23"/>
      <c r="Z178" s="23"/>
      <c r="AA178" s="23">
        <v>0</v>
      </c>
      <c r="AB178" s="23" t="str">
        <f t="shared" si="78"/>
        <v/>
      </c>
      <c r="AC178" s="23" t="str">
        <f t="shared" si="78"/>
        <v/>
      </c>
      <c r="AD178" s="23" t="str">
        <f t="shared" si="78"/>
        <v/>
      </c>
      <c r="AE178" s="23" t="str">
        <f t="shared" si="78"/>
        <v/>
      </c>
      <c r="AF178" s="23">
        <f t="shared" si="78"/>
        <v>0</v>
      </c>
      <c r="AG178" s="23" t="str">
        <f t="shared" si="78"/>
        <v/>
      </c>
      <c r="AH178" s="23">
        <f t="shared" si="62"/>
        <v>0</v>
      </c>
      <c r="AI178" s="23">
        <f t="shared" si="63"/>
        <v>0</v>
      </c>
      <c r="AJ178" s="69">
        <v>1</v>
      </c>
      <c r="AK178" s="225">
        <v>2327.0337</v>
      </c>
      <c r="AL178" s="33">
        <v>1</v>
      </c>
      <c r="AM178" s="204">
        <v>2327.0337</v>
      </c>
      <c r="AN178" s="196"/>
      <c r="AO178" s="23"/>
      <c r="AP178" s="23"/>
      <c r="AQ178" s="23"/>
      <c r="AR178" s="23"/>
      <c r="AS178" s="23"/>
      <c r="AT178" s="23"/>
      <c r="AU178" s="23"/>
      <c r="AV178" s="23"/>
      <c r="AW178" s="23"/>
      <c r="AX178" s="23"/>
      <c r="AY178" s="23"/>
      <c r="AZ178" s="196"/>
      <c r="BA178" s="69">
        <f>IF(VLOOKUP($D178,$AO$14:AQ$19,COLUMN()-50,0)&lt;=0,1,IF($Q178&lt;0,1,ROUNDUP(IF($Q178*('Draft Center'!$L$28+'Draft Center'!$L$78-'Draft Center'!$L$82)&lt;1,1,$Q178*('Draft Center'!$L$28+'Draft Center'!$L$78-'Draft Center'!$L$82)),0)))</f>
        <v>1</v>
      </c>
      <c r="BB178" s="69">
        <f>IF(VLOOKUP($D178,$AO$14:AR$19,COLUMN()-50,0)&lt;=0,1,IF($Q178&lt;0,1,ROUNDUP(IF($Q178*('Draft Center'!$L$28+'Draft Center'!$L$78-'Draft Center'!$L$82)&lt;1,1,$Q178*('Draft Center'!$L$28+'Draft Center'!$L$78-'Draft Center'!$L$82)),0)))</f>
        <v>1</v>
      </c>
      <c r="BC178" s="69">
        <f>IF(VLOOKUP($D178,$AO$14:AS$19,COLUMN()-50,0)&lt;=0,1,IF($Q178&lt;0,1,ROUNDUP(IF($Q178*('Draft Center'!$L$28+'Draft Center'!$L$78-'Draft Center'!$L$82)&lt;1,1,$Q178*('Draft Center'!$L$28+'Draft Center'!$L$78-'Draft Center'!$L$82)),0)))</f>
        <v>1</v>
      </c>
      <c r="BD178" s="69">
        <f>IF(VLOOKUP($D178,$AO$14:AT$19,COLUMN()-50,0)&lt;=0,1,IF($Q178&lt;0,1,ROUNDUP(IF($Q178*('Draft Center'!$L$28+'Draft Center'!$L$78-'Draft Center'!$L$82)&lt;1,1,$Q178*('Draft Center'!$L$28+'Draft Center'!$L$78-'Draft Center'!$L$82)),0)))</f>
        <v>1</v>
      </c>
      <c r="BE178" s="69">
        <f>IF(VLOOKUP($D178,$AO$14:AU$19,COLUMN()-50,0)&lt;=0,1,IF($Q178&lt;0,1,ROUNDUP(IF($Q178*('Draft Center'!$L$28+'Draft Center'!$L$78-'Draft Center'!$L$82)&lt;1,1,$Q178*('Draft Center'!$L$28+'Draft Center'!$L$78-'Draft Center'!$L$82)),0)))</f>
        <v>1</v>
      </c>
      <c r="BF178" s="69">
        <f>IF(VLOOKUP($D178,$AO$14:AV$19,COLUMN()-50,0)&lt;=0,1,IF($Q178&lt;0,1,ROUNDUP(IF($Q178*('Draft Center'!$L$28+'Draft Center'!$L$78-'Draft Center'!$L$82)&lt;1,1,$Q178*('Draft Center'!$L$28+'Draft Center'!$L$78-'Draft Center'!$L$82)),0)))</f>
        <v>1</v>
      </c>
      <c r="BG178" s="69">
        <f>IF(VLOOKUP($D178,$AO$14:AW$19,COLUMN()-50,0)&lt;=0,1,IF($Q178&lt;0,1,ROUNDUP(IF($Q178*('Draft Center'!$L$28+'Draft Center'!$L$78-'Draft Center'!$L$82)&lt;1,1,$Q178*('Draft Center'!$L$28+'Draft Center'!$L$78-'Draft Center'!$L$82)),0)))</f>
        <v>1</v>
      </c>
      <c r="BH178" s="69">
        <f>IF(VLOOKUP($D178,$AO$14:AX$19,COLUMN()-50,0)&lt;=0,1,IF($Q178&lt;0,1,ROUNDUP(IF($Q178*('Draft Center'!$L$28+'Draft Center'!$L$78-'Draft Center'!$L$82)&lt;1,1,$Q178*('Draft Center'!$L$28+'Draft Center'!$L$78-'Draft Center'!$L$82)),0)))</f>
        <v>1</v>
      </c>
      <c r="BI178" s="69">
        <f>IF(VLOOKUP($D178,$AO$14:AY$19,COLUMN()-50,0)&lt;=0,1,IF($Q178&lt;0,1,ROUNDUP(IF($Q178*('Draft Center'!$L$28+'Draft Center'!$L$78-'Draft Center'!$L$82)&lt;1,1,$Q178*('Draft Center'!$L$28+'Draft Center'!$L$78-'Draft Center'!$L$82)),0)))</f>
        <v>1</v>
      </c>
      <c r="BJ178" s="196"/>
      <c r="BK178" s="23">
        <v>0</v>
      </c>
      <c r="BL178" s="23" t="str">
        <f t="shared" si="79"/>
        <v/>
      </c>
      <c r="BM178" s="23">
        <v>0</v>
      </c>
      <c r="BN178" s="23" t="str">
        <f t="shared" si="79"/>
        <v/>
      </c>
      <c r="BO178" s="23" t="str">
        <f t="shared" si="79"/>
        <v/>
      </c>
      <c r="BP178" s="23">
        <f t="shared" si="79"/>
        <v>0</v>
      </c>
      <c r="BQ178" s="23" t="str">
        <f t="shared" si="79"/>
        <v/>
      </c>
      <c r="BR178" s="23">
        <f t="shared" si="64"/>
        <v>0</v>
      </c>
      <c r="BS178" s="23">
        <f t="shared" si="65"/>
        <v>0</v>
      </c>
      <c r="BT178" s="69">
        <v>1</v>
      </c>
      <c r="BU178" s="58">
        <v>2327.0337</v>
      </c>
      <c r="BV178" s="33">
        <v>1</v>
      </c>
      <c r="BW178" s="204">
        <v>2327.0337</v>
      </c>
      <c r="BX178" s="23"/>
      <c r="BY178" s="69">
        <v>1</v>
      </c>
      <c r="BZ178" s="69">
        <v>0</v>
      </c>
      <c r="CA178" s="69">
        <v>0</v>
      </c>
      <c r="CB178" s="69">
        <v>0</v>
      </c>
      <c r="CC178" s="69">
        <f t="shared" si="68"/>
        <v>0</v>
      </c>
      <c r="CD178" s="69">
        <f t="shared" si="69"/>
        <v>0</v>
      </c>
    </row>
    <row r="179" spans="1:82" ht="15.75" customHeight="1" thickBot="1" x14ac:dyDescent="0.3">
      <c r="A179" s="6">
        <v>178</v>
      </c>
      <c r="B179" s="7" t="s">
        <v>224</v>
      </c>
      <c r="C179" s="7" t="s">
        <v>925</v>
      </c>
      <c r="D179" s="7" t="s">
        <v>147</v>
      </c>
      <c r="E179" s="50">
        <v>-31.152535681075399</v>
      </c>
      <c r="F179" s="50">
        <v>100.216452749898</v>
      </c>
      <c r="G179" s="50">
        <v>110.574987671362</v>
      </c>
      <c r="H179" s="50">
        <v>78.8</v>
      </c>
      <c r="I179" s="8">
        <v>0</v>
      </c>
      <c r="J179" s="50">
        <v>4.0715005448691803</v>
      </c>
      <c r="K179" s="248">
        <f>IFERROR(VLOOKUP(C179,Schedule!$T$3:$U$34,2,0),"FA")</f>
        <v>8</v>
      </c>
      <c r="L179" s="7" t="str">
        <f>D179&amp;COUNTIF(D$2:$D179,D179)</f>
        <v>K27</v>
      </c>
      <c r="M179" s="50">
        <f t="array" ref="M179">IFERROR(F179-AVERAGE(VLOOKUP(D179,$D180:$F$885,3,0),INDEX($F180:$F$885,SMALL(IF(D179=$D180:$D$885,ROW($D180:$D$885)-ROW(D179)),2))),0)</f>
        <v>4.1638779738432561</v>
      </c>
      <c r="N179" s="50">
        <f>IFERROR(IF(VLOOKUP($B179,Input!$AC$2:$AC$162,1,0)=$B179,0),F179)</f>
        <v>100.216452749898</v>
      </c>
      <c r="O179" s="50">
        <f>IFERROR(IF(VLOOKUP($B179,Input!$AC$2:$AC$162,1,0)=$B179,0,G179),G179)</f>
        <v>110.574987671362</v>
      </c>
      <c r="P179" s="50">
        <f>IF(N179=0,0,F179-AVERAGE(INDEX(F:F,MATCH(VLOOKUP(D179,Input!$A$14:$L$22,10,0),L:L,0)),INDEX(F:F,MATCH(VLOOKUP(D179,Input!$A$14:$L$22,11,0),L:L,0)),INDEX(F:F,MATCH(VLOOKUP(D179,Input!$A$14:$L$22,12,0),L:L,0)))+(0.01-ROW()*0.01))</f>
        <v>-33.106528832229998</v>
      </c>
      <c r="Q179" s="106">
        <f t="shared" si="60"/>
        <v>-1.1421518745788726E-2</v>
      </c>
      <c r="R179" s="8">
        <f>IF(VLOOKUP($D179,$X$14:$Y$19,2,0)&lt;=0,1,IF(Q179&lt;0,1,ROUNDUP(IF(Q179*('Draft Center'!$L$28+'Draft Center'!$L$78-'Draft Center'!$L$82)&lt;1,1,Q179*('Draft Center'!$L$28+'Draft Center'!$L$78-'Draft Center'!$L$82)),0)))</f>
        <v>1</v>
      </c>
      <c r="S179" s="8">
        <f>IF(A179&lt;Input!$B$10+0.1,IF(ROUNDUP(R179*Input!$C$10,0)=0,1,ROUNDUP(R179*Input!$C$10,0)),IF(A179&gt;Input!$B$11,IF(ROUNDUP(R179*Input!$C$11,0)=0,1,ROUNDUP(R179*Input!$C$11,0)),IF(ROUNDUP(R179,0)=0,1,ROUNDUP(R179,0))))</f>
        <v>1</v>
      </c>
      <c r="T179" s="8">
        <f t="shared" si="61"/>
        <v>1</v>
      </c>
      <c r="U179" s="8">
        <f>IFERROR(VLOOKUP($B179,Input!$AC$2:$AE$161,3,0),0)</f>
        <v>0</v>
      </c>
      <c r="V179" s="256">
        <f t="shared" si="66"/>
        <v>0</v>
      </c>
      <c r="W179" s="263">
        <f t="shared" si="67"/>
        <v>1.00179</v>
      </c>
      <c r="X179" s="27"/>
      <c r="Y179" s="23"/>
      <c r="Z179" s="23"/>
      <c r="AA179" s="23">
        <v>0</v>
      </c>
      <c r="AB179" s="23" t="str">
        <f t="shared" si="78"/>
        <v/>
      </c>
      <c r="AC179" s="23" t="str">
        <f t="shared" si="78"/>
        <v/>
      </c>
      <c r="AD179" s="23" t="str">
        <f t="shared" si="78"/>
        <v/>
      </c>
      <c r="AE179" s="23" t="str">
        <f t="shared" si="78"/>
        <v/>
      </c>
      <c r="AF179" s="23" t="str">
        <f t="shared" si="78"/>
        <v/>
      </c>
      <c r="AG179" s="23">
        <f t="shared" si="78"/>
        <v>0</v>
      </c>
      <c r="AH179" s="23">
        <f t="shared" si="62"/>
        <v>0</v>
      </c>
      <c r="AI179" s="23">
        <f t="shared" si="63"/>
        <v>0</v>
      </c>
      <c r="AJ179" s="70">
        <v>1</v>
      </c>
      <c r="AK179" s="225">
        <v>2327.0337</v>
      </c>
      <c r="AL179" s="33">
        <v>1</v>
      </c>
      <c r="AM179" s="204">
        <v>2327.0337</v>
      </c>
      <c r="AN179" s="196"/>
      <c r="AO179" s="23"/>
      <c r="AP179" s="23"/>
      <c r="AQ179" s="23"/>
      <c r="AR179" s="23"/>
      <c r="AS179" s="23"/>
      <c r="AT179" s="23"/>
      <c r="AU179" s="23"/>
      <c r="AV179" s="23"/>
      <c r="AW179" s="23"/>
      <c r="AX179" s="23"/>
      <c r="AY179" s="23"/>
      <c r="AZ179" s="196"/>
      <c r="BA179" s="70">
        <f>IF(VLOOKUP($D179,$AO$14:AQ$19,COLUMN()-50,0)&lt;=0,1,IF($Q179&lt;0,1,ROUNDUP(IF($Q179*('Draft Center'!$L$28+'Draft Center'!$L$78-'Draft Center'!$L$82)&lt;1,1,$Q179*('Draft Center'!$L$28+'Draft Center'!$L$78-'Draft Center'!$L$82)),0)))</f>
        <v>1</v>
      </c>
      <c r="BB179" s="70">
        <f>IF(VLOOKUP($D179,$AO$14:AR$19,COLUMN()-50,0)&lt;=0,1,IF($Q179&lt;0,1,ROUNDUP(IF($Q179*('Draft Center'!$L$28+'Draft Center'!$L$78-'Draft Center'!$L$82)&lt;1,1,$Q179*('Draft Center'!$L$28+'Draft Center'!$L$78-'Draft Center'!$L$82)),0)))</f>
        <v>1</v>
      </c>
      <c r="BC179" s="70">
        <f>IF(VLOOKUP($D179,$AO$14:AS$19,COLUMN()-50,0)&lt;=0,1,IF($Q179&lt;0,1,ROUNDUP(IF($Q179*('Draft Center'!$L$28+'Draft Center'!$L$78-'Draft Center'!$L$82)&lt;1,1,$Q179*('Draft Center'!$L$28+'Draft Center'!$L$78-'Draft Center'!$L$82)),0)))</f>
        <v>1</v>
      </c>
      <c r="BD179" s="70">
        <f>IF(VLOOKUP($D179,$AO$14:AT$19,COLUMN()-50,0)&lt;=0,1,IF($Q179&lt;0,1,ROUNDUP(IF($Q179*('Draft Center'!$L$28+'Draft Center'!$L$78-'Draft Center'!$L$82)&lt;1,1,$Q179*('Draft Center'!$L$28+'Draft Center'!$L$78-'Draft Center'!$L$82)),0)))</f>
        <v>1</v>
      </c>
      <c r="BE179" s="70">
        <f>IF(VLOOKUP($D179,$AO$14:AU$19,COLUMN()-50,0)&lt;=0,1,IF($Q179&lt;0,1,ROUNDUP(IF($Q179*('Draft Center'!$L$28+'Draft Center'!$L$78-'Draft Center'!$L$82)&lt;1,1,$Q179*('Draft Center'!$L$28+'Draft Center'!$L$78-'Draft Center'!$L$82)),0)))</f>
        <v>1</v>
      </c>
      <c r="BF179" s="70">
        <f>IF(VLOOKUP($D179,$AO$14:AV$19,COLUMN()-50,0)&lt;=0,1,IF($Q179&lt;0,1,ROUNDUP(IF($Q179*('Draft Center'!$L$28+'Draft Center'!$L$78-'Draft Center'!$L$82)&lt;1,1,$Q179*('Draft Center'!$L$28+'Draft Center'!$L$78-'Draft Center'!$L$82)),0)))</f>
        <v>1</v>
      </c>
      <c r="BG179" s="70">
        <f>IF(VLOOKUP($D179,$AO$14:AW$19,COLUMN()-50,0)&lt;=0,1,IF($Q179&lt;0,1,ROUNDUP(IF($Q179*('Draft Center'!$L$28+'Draft Center'!$L$78-'Draft Center'!$L$82)&lt;1,1,$Q179*('Draft Center'!$L$28+'Draft Center'!$L$78-'Draft Center'!$L$82)),0)))</f>
        <v>1</v>
      </c>
      <c r="BH179" s="70">
        <f>IF(VLOOKUP($D179,$AO$14:AX$19,COLUMN()-50,0)&lt;=0,1,IF($Q179&lt;0,1,ROUNDUP(IF($Q179*('Draft Center'!$L$28+'Draft Center'!$L$78-'Draft Center'!$L$82)&lt;1,1,$Q179*('Draft Center'!$L$28+'Draft Center'!$L$78-'Draft Center'!$L$82)),0)))</f>
        <v>1</v>
      </c>
      <c r="BI179" s="70">
        <f>IF(VLOOKUP($D179,$AO$14:AY$19,COLUMN()-50,0)&lt;=0,1,IF($Q179&lt;0,1,ROUNDUP(IF($Q179*('Draft Center'!$L$28+'Draft Center'!$L$78-'Draft Center'!$L$82)&lt;1,1,$Q179*('Draft Center'!$L$28+'Draft Center'!$L$78-'Draft Center'!$L$82)),0)))</f>
        <v>1</v>
      </c>
      <c r="BJ179" s="196"/>
      <c r="BK179" s="23">
        <v>0</v>
      </c>
      <c r="BL179" s="23" t="str">
        <f t="shared" si="79"/>
        <v/>
      </c>
      <c r="BM179" s="23">
        <v>0</v>
      </c>
      <c r="BN179" s="23" t="str">
        <f t="shared" si="79"/>
        <v/>
      </c>
      <c r="BO179" s="23" t="str">
        <f t="shared" si="79"/>
        <v/>
      </c>
      <c r="BP179" s="23" t="str">
        <f t="shared" si="79"/>
        <v/>
      </c>
      <c r="BQ179" s="23">
        <f t="shared" si="79"/>
        <v>0</v>
      </c>
      <c r="BR179" s="23">
        <f t="shared" si="64"/>
        <v>0</v>
      </c>
      <c r="BS179" s="23">
        <f t="shared" si="65"/>
        <v>0</v>
      </c>
      <c r="BT179" s="70">
        <v>1</v>
      </c>
      <c r="BU179" s="58">
        <v>2327.0337</v>
      </c>
      <c r="BV179" s="33">
        <v>1</v>
      </c>
      <c r="BW179" s="204">
        <v>2327.0337</v>
      </c>
      <c r="BX179" s="23"/>
      <c r="BY179" s="70">
        <v>1</v>
      </c>
      <c r="BZ179" s="70">
        <v>0</v>
      </c>
      <c r="CA179" s="70">
        <v>0</v>
      </c>
      <c r="CB179" s="70">
        <v>0</v>
      </c>
      <c r="CC179" s="70">
        <f t="shared" si="68"/>
        <v>0</v>
      </c>
      <c r="CD179" s="70">
        <f t="shared" si="69"/>
        <v>0</v>
      </c>
    </row>
    <row r="180" spans="1:82" ht="15.75" customHeight="1" thickBot="1" x14ac:dyDescent="0.3">
      <c r="A180" s="9">
        <v>179</v>
      </c>
      <c r="B180" s="10" t="s">
        <v>173</v>
      </c>
      <c r="C180" s="10" t="s">
        <v>927</v>
      </c>
      <c r="D180" s="10" t="s">
        <v>43</v>
      </c>
      <c r="E180" s="51">
        <v>-31.1624719893431</v>
      </c>
      <c r="F180" s="51">
        <v>122.298447362866</v>
      </c>
      <c r="G180" s="51">
        <v>132.663564095986</v>
      </c>
      <c r="H180" s="51">
        <v>102.92819581486199</v>
      </c>
      <c r="I180" s="11">
        <v>0</v>
      </c>
      <c r="J180" s="51">
        <v>3.3125169495676698</v>
      </c>
      <c r="K180" s="249">
        <f>IFERROR(VLOOKUP(C180,Schedule!$T$3:$U$34,2,0),"FA")</f>
        <v>9</v>
      </c>
      <c r="L180" s="10" t="str">
        <f>D180&amp;COUNTIF(D$2:$D180,D180)</f>
        <v>TE21</v>
      </c>
      <c r="M180" s="51">
        <f t="array" ref="M180">IFERROR(F180-AVERAGE(VLOOKUP(D180,$D181:$F$885,3,0),INDEX($F181:$F$885,SMALL(IF(D180=$D181:$D$885,ROW($D181:$D$885)-ROW(D180)),2))),0)</f>
        <v>5.6562033991604892</v>
      </c>
      <c r="N180" s="51">
        <f>IFERROR(IF(VLOOKUP($B180,Input!$AC$2:$AC$162,1,0)=$B180,0),F180)</f>
        <v>122.298447362866</v>
      </c>
      <c r="O180" s="51">
        <f>IFERROR(IF(VLOOKUP($B180,Input!$AC$2:$AC$162,1,0)=$B180,0,G180),G180)</f>
        <v>132.663564095986</v>
      </c>
      <c r="P180" s="51">
        <f>IF(N180=0,0,F180-AVERAGE(INDEX(F:F,MATCH(VLOOKUP(D180,Input!$A$14:$L$22,10,0),L:L,0)),INDEX(F:F,MATCH(VLOOKUP(D180,Input!$A$14:$L$22,11,0),L:L,0)),INDEX(F:F,MATCH(VLOOKUP(D180,Input!$A$14:$L$22,12,0),L:L,0)))+(0.01-ROW()*0.01))</f>
        <v>-32.952471989343316</v>
      </c>
      <c r="Q180" s="107">
        <f t="shared" si="60"/>
        <v>-1.136837022249098E-2</v>
      </c>
      <c r="R180" s="11">
        <f>IF(VLOOKUP($D180,$X$14:$Y$19,2,0)&lt;=0,1,IF(Q180&lt;0,1,ROUNDUP(IF(Q180*('Draft Center'!$L$28+'Draft Center'!$L$78-'Draft Center'!$L$82)&lt;1,1,Q180*('Draft Center'!$L$28+'Draft Center'!$L$78-'Draft Center'!$L$82)),0)))</f>
        <v>1</v>
      </c>
      <c r="S180" s="11">
        <f>IF(A180&lt;Input!$B$10+0.1,IF(ROUNDUP(R180*Input!$C$10,0)=0,1,ROUNDUP(R180*Input!$C$10,0)),IF(A180&gt;Input!$B$11,IF(ROUNDUP(R180*Input!$C$11,0)=0,1,ROUNDUP(R180*Input!$C$11,0)),IF(ROUNDUP(R180,0)=0,1,ROUNDUP(R180,0))))</f>
        <v>1</v>
      </c>
      <c r="T180" s="11">
        <f t="shared" si="61"/>
        <v>1</v>
      </c>
      <c r="U180" s="11">
        <f>IFERROR(VLOOKUP($B180,Input!$AC$2:$AE$161,3,0),0)</f>
        <v>0</v>
      </c>
      <c r="V180" s="257">
        <f t="shared" si="66"/>
        <v>0</v>
      </c>
      <c r="W180" s="264">
        <f t="shared" si="67"/>
        <v>1.0018</v>
      </c>
      <c r="X180" s="27"/>
      <c r="Y180" s="23"/>
      <c r="Z180" s="23"/>
      <c r="AA180" s="23">
        <v>0</v>
      </c>
      <c r="AB180" s="23" t="str">
        <f t="shared" si="78"/>
        <v/>
      </c>
      <c r="AC180" s="23" t="str">
        <f t="shared" si="78"/>
        <v/>
      </c>
      <c r="AD180" s="23" t="str">
        <f t="shared" si="78"/>
        <v/>
      </c>
      <c r="AE180" s="23">
        <f t="shared" si="78"/>
        <v>0</v>
      </c>
      <c r="AF180" s="23" t="str">
        <f t="shared" si="78"/>
        <v/>
      </c>
      <c r="AG180" s="23" t="str">
        <f t="shared" si="78"/>
        <v/>
      </c>
      <c r="AH180" s="23">
        <f t="shared" si="62"/>
        <v>0</v>
      </c>
      <c r="AI180" s="23">
        <f t="shared" si="63"/>
        <v>0</v>
      </c>
      <c r="AJ180" s="69">
        <v>1</v>
      </c>
      <c r="AK180" s="225">
        <v>2327.0337</v>
      </c>
      <c r="AL180" s="33">
        <v>1</v>
      </c>
      <c r="AM180" s="204">
        <v>2327.0337</v>
      </c>
      <c r="AN180" s="196"/>
      <c r="AO180" s="23"/>
      <c r="AP180" s="23"/>
      <c r="AQ180" s="23"/>
      <c r="AR180" s="23"/>
      <c r="AS180" s="23"/>
      <c r="AT180" s="23"/>
      <c r="AU180" s="23"/>
      <c r="AV180" s="23"/>
      <c r="AW180" s="23"/>
      <c r="AX180" s="23"/>
      <c r="AY180" s="23"/>
      <c r="AZ180" s="196"/>
      <c r="BA180" s="69">
        <f>IF(VLOOKUP($D180,$AO$14:AQ$19,COLUMN()-50,0)&lt;=0,1,IF($Q180&lt;0,1,ROUNDUP(IF($Q180*('Draft Center'!$L$28+'Draft Center'!$L$78-'Draft Center'!$L$82)&lt;1,1,$Q180*('Draft Center'!$L$28+'Draft Center'!$L$78-'Draft Center'!$L$82)),0)))</f>
        <v>1</v>
      </c>
      <c r="BB180" s="69">
        <f>IF(VLOOKUP($D180,$AO$14:AR$19,COLUMN()-50,0)&lt;=0,1,IF($Q180&lt;0,1,ROUNDUP(IF($Q180*('Draft Center'!$L$28+'Draft Center'!$L$78-'Draft Center'!$L$82)&lt;1,1,$Q180*('Draft Center'!$L$28+'Draft Center'!$L$78-'Draft Center'!$L$82)),0)))</f>
        <v>1</v>
      </c>
      <c r="BC180" s="69">
        <f>IF(VLOOKUP($D180,$AO$14:AS$19,COLUMN()-50,0)&lt;=0,1,IF($Q180&lt;0,1,ROUNDUP(IF($Q180*('Draft Center'!$L$28+'Draft Center'!$L$78-'Draft Center'!$L$82)&lt;1,1,$Q180*('Draft Center'!$L$28+'Draft Center'!$L$78-'Draft Center'!$L$82)),0)))</f>
        <v>1</v>
      </c>
      <c r="BD180" s="69">
        <f>IF(VLOOKUP($D180,$AO$14:AT$19,COLUMN()-50,0)&lt;=0,1,IF($Q180&lt;0,1,ROUNDUP(IF($Q180*('Draft Center'!$L$28+'Draft Center'!$L$78-'Draft Center'!$L$82)&lt;1,1,$Q180*('Draft Center'!$L$28+'Draft Center'!$L$78-'Draft Center'!$L$82)),0)))</f>
        <v>1</v>
      </c>
      <c r="BE180" s="69">
        <f>IF(VLOOKUP($D180,$AO$14:AU$19,COLUMN()-50,0)&lt;=0,1,IF($Q180&lt;0,1,ROUNDUP(IF($Q180*('Draft Center'!$L$28+'Draft Center'!$L$78-'Draft Center'!$L$82)&lt;1,1,$Q180*('Draft Center'!$L$28+'Draft Center'!$L$78-'Draft Center'!$L$82)),0)))</f>
        <v>1</v>
      </c>
      <c r="BF180" s="69">
        <f>IF(VLOOKUP($D180,$AO$14:AV$19,COLUMN()-50,0)&lt;=0,1,IF($Q180&lt;0,1,ROUNDUP(IF($Q180*('Draft Center'!$L$28+'Draft Center'!$L$78-'Draft Center'!$L$82)&lt;1,1,$Q180*('Draft Center'!$L$28+'Draft Center'!$L$78-'Draft Center'!$L$82)),0)))</f>
        <v>1</v>
      </c>
      <c r="BG180" s="69">
        <f>IF(VLOOKUP($D180,$AO$14:AW$19,COLUMN()-50,0)&lt;=0,1,IF($Q180&lt;0,1,ROUNDUP(IF($Q180*('Draft Center'!$L$28+'Draft Center'!$L$78-'Draft Center'!$L$82)&lt;1,1,$Q180*('Draft Center'!$L$28+'Draft Center'!$L$78-'Draft Center'!$L$82)),0)))</f>
        <v>1</v>
      </c>
      <c r="BH180" s="69">
        <f>IF(VLOOKUP($D180,$AO$14:AX$19,COLUMN()-50,0)&lt;=0,1,IF($Q180&lt;0,1,ROUNDUP(IF($Q180*('Draft Center'!$L$28+'Draft Center'!$L$78-'Draft Center'!$L$82)&lt;1,1,$Q180*('Draft Center'!$L$28+'Draft Center'!$L$78-'Draft Center'!$L$82)),0)))</f>
        <v>1</v>
      </c>
      <c r="BI180" s="69">
        <f>IF(VLOOKUP($D180,$AO$14:AY$19,COLUMN()-50,0)&lt;=0,1,IF($Q180&lt;0,1,ROUNDUP(IF($Q180*('Draft Center'!$L$28+'Draft Center'!$L$78-'Draft Center'!$L$82)&lt;1,1,$Q180*('Draft Center'!$L$28+'Draft Center'!$L$78-'Draft Center'!$L$82)),0)))</f>
        <v>1</v>
      </c>
      <c r="BJ180" s="196"/>
      <c r="BK180" s="23">
        <v>0</v>
      </c>
      <c r="BL180" s="23" t="str">
        <f t="shared" si="79"/>
        <v/>
      </c>
      <c r="BM180" s="23">
        <v>0</v>
      </c>
      <c r="BN180" s="23" t="str">
        <f t="shared" si="79"/>
        <v/>
      </c>
      <c r="BO180" s="23">
        <f t="shared" si="79"/>
        <v>0</v>
      </c>
      <c r="BP180" s="23" t="str">
        <f t="shared" si="79"/>
        <v/>
      </c>
      <c r="BQ180" s="23" t="str">
        <f t="shared" si="79"/>
        <v/>
      </c>
      <c r="BR180" s="23">
        <f t="shared" si="64"/>
        <v>0</v>
      </c>
      <c r="BS180" s="23">
        <f t="shared" si="65"/>
        <v>0</v>
      </c>
      <c r="BT180" s="69">
        <v>1</v>
      </c>
      <c r="BU180" s="58">
        <v>2327.0337</v>
      </c>
      <c r="BV180" s="33">
        <v>1</v>
      </c>
      <c r="BW180" s="204">
        <v>2327.0337</v>
      </c>
      <c r="BX180" s="23"/>
      <c r="BY180" s="69">
        <v>1</v>
      </c>
      <c r="BZ180" s="69">
        <v>0</v>
      </c>
      <c r="CA180" s="69">
        <v>0</v>
      </c>
      <c r="CB180" s="69">
        <v>0</v>
      </c>
      <c r="CC180" s="69">
        <f t="shared" si="68"/>
        <v>0</v>
      </c>
      <c r="CD180" s="69">
        <f t="shared" si="69"/>
        <v>0</v>
      </c>
    </row>
    <row r="181" spans="1:82" ht="15.75" customHeight="1" thickBot="1" x14ac:dyDescent="0.3">
      <c r="A181" s="6">
        <v>180</v>
      </c>
      <c r="B181" s="7" t="s">
        <v>812</v>
      </c>
      <c r="C181" s="7" t="s">
        <v>47</v>
      </c>
      <c r="D181" s="7" t="s">
        <v>53</v>
      </c>
      <c r="E181" s="50">
        <v>-31.259308808178801</v>
      </c>
      <c r="F181" s="50">
        <v>241.08833482465701</v>
      </c>
      <c r="G181" s="50">
        <v>262.50118715131799</v>
      </c>
      <c r="H181" s="50">
        <v>176.4846</v>
      </c>
      <c r="I181" s="8">
        <v>1.5</v>
      </c>
      <c r="J181" s="50">
        <v>5.8617917144729397</v>
      </c>
      <c r="K181" s="248">
        <f>IFERROR(VLOOKUP(C181,Schedule!$T$3:$U$34,2,0),"FA")</f>
        <v>10</v>
      </c>
      <c r="L181" s="7" t="str">
        <f>D181&amp;COUNTIF(D$2:$D181,D181)</f>
        <v>QB19</v>
      </c>
      <c r="M181" s="50">
        <f t="array" ref="M181">IFERROR(F181-AVERAGE(VLOOKUP(D181,$D182:$F$885,3,0),INDEX($F182:$F$885,SMALL(IF(D181=$D182:$D$885,ROW($D182:$D$885)-ROW(D181)),2))),0)</f>
        <v>1.7322156700095093</v>
      </c>
      <c r="N181" s="50">
        <f>IFERROR(IF(VLOOKUP($B181,Input!$AC$2:$AC$162,1,0)=$B181,0),F181)</f>
        <v>241.08833482465701</v>
      </c>
      <c r="O181" s="50">
        <f>IFERROR(IF(VLOOKUP($B181,Input!$AC$2:$AC$162,1,0)=$B181,0,G181),G181)</f>
        <v>262.50118715131799</v>
      </c>
      <c r="P181" s="50">
        <f>IF(N181=0,0,F181-AVERAGE(INDEX(F:F,MATCH(VLOOKUP(D181,Input!$A$14:$L$22,10,0),L:L,0)),INDEX(F:F,MATCH(VLOOKUP(D181,Input!$A$14:$L$22,11,0),L:L,0)),INDEX(F:F,MATCH(VLOOKUP(D181,Input!$A$14:$L$22,12,0),L:L,0)))+(0.01-ROW()*0.01))</f>
        <v>-33.059308808178614</v>
      </c>
      <c r="Q181" s="106">
        <f t="shared" si="60"/>
        <v>-1.140522817082049E-2</v>
      </c>
      <c r="R181" s="8">
        <f>IF(VLOOKUP($D181,$X$14:$Y$19,2,0)&lt;=0,1,IF(Q181&lt;0,1,ROUNDUP(IF(Q181*('Draft Center'!$L$28+'Draft Center'!$L$78-'Draft Center'!$L$82)&lt;1,1,Q181*('Draft Center'!$L$28+'Draft Center'!$L$78-'Draft Center'!$L$82)),0)))</f>
        <v>1</v>
      </c>
      <c r="S181" s="8">
        <f>IF(A181&lt;Input!$B$10+0.1,IF(ROUNDUP(R181*Input!$C$10,0)=0,1,ROUNDUP(R181*Input!$C$10,0)),IF(A181&gt;Input!$B$11,IF(ROUNDUP(R181*Input!$C$11,0)=0,1,ROUNDUP(R181*Input!$C$11,0)),IF(ROUNDUP(R181,0)=0,1,ROUNDUP(R181,0))))</f>
        <v>1</v>
      </c>
      <c r="T181" s="8">
        <f t="shared" si="61"/>
        <v>1</v>
      </c>
      <c r="U181" s="8">
        <f>IFERROR(VLOOKUP($B181,Input!$AC$2:$AE$161,3,0),0)</f>
        <v>0</v>
      </c>
      <c r="V181" s="256">
        <f t="shared" si="66"/>
        <v>-0.33152333333333334</v>
      </c>
      <c r="W181" s="263">
        <f t="shared" si="67"/>
        <v>-0.49819000000000002</v>
      </c>
      <c r="X181" s="27"/>
      <c r="Y181" s="23"/>
      <c r="Z181" s="23"/>
      <c r="AA181" s="23">
        <v>0</v>
      </c>
      <c r="AB181" s="23">
        <f t="shared" si="78"/>
        <v>0</v>
      </c>
      <c r="AC181" s="23" t="str">
        <f t="shared" si="78"/>
        <v/>
      </c>
      <c r="AD181" s="23" t="str">
        <f t="shared" si="78"/>
        <v/>
      </c>
      <c r="AE181" s="23" t="str">
        <f t="shared" si="78"/>
        <v/>
      </c>
      <c r="AF181" s="23" t="str">
        <f t="shared" si="78"/>
        <v/>
      </c>
      <c r="AG181" s="23" t="str">
        <f t="shared" si="78"/>
        <v/>
      </c>
      <c r="AH181" s="23">
        <f t="shared" si="62"/>
        <v>0</v>
      </c>
      <c r="AI181" s="23">
        <f t="shared" si="63"/>
        <v>0</v>
      </c>
      <c r="AJ181" s="70">
        <v>1</v>
      </c>
      <c r="AK181" s="225">
        <v>2327.0337</v>
      </c>
      <c r="AL181" s="33">
        <v>1</v>
      </c>
      <c r="AM181" s="204">
        <v>2327.0337</v>
      </c>
      <c r="AN181" s="196"/>
      <c r="AO181" s="23"/>
      <c r="AP181" s="23"/>
      <c r="AQ181" s="23"/>
      <c r="AR181" s="23"/>
      <c r="AS181" s="23"/>
      <c r="AT181" s="23"/>
      <c r="AU181" s="23"/>
      <c r="AV181" s="23"/>
      <c r="AW181" s="23"/>
      <c r="AX181" s="23"/>
      <c r="AY181" s="23"/>
      <c r="AZ181" s="196"/>
      <c r="BA181" s="70">
        <f>IF(VLOOKUP($D181,$AO$14:AQ$19,COLUMN()-50,0)&lt;=0,1,IF($Q181&lt;0,1,ROUNDUP(IF($Q181*('Draft Center'!$L$28+'Draft Center'!$L$78-'Draft Center'!$L$82)&lt;1,1,$Q181*('Draft Center'!$L$28+'Draft Center'!$L$78-'Draft Center'!$L$82)),0)))</f>
        <v>1</v>
      </c>
      <c r="BB181" s="70">
        <f>IF(VLOOKUP($D181,$AO$14:AR$19,COLUMN()-50,0)&lt;=0,1,IF($Q181&lt;0,1,ROUNDUP(IF($Q181*('Draft Center'!$L$28+'Draft Center'!$L$78-'Draft Center'!$L$82)&lt;1,1,$Q181*('Draft Center'!$L$28+'Draft Center'!$L$78-'Draft Center'!$L$82)),0)))</f>
        <v>1</v>
      </c>
      <c r="BC181" s="70">
        <f>IF(VLOOKUP($D181,$AO$14:AS$19,COLUMN()-50,0)&lt;=0,1,IF($Q181&lt;0,1,ROUNDUP(IF($Q181*('Draft Center'!$L$28+'Draft Center'!$L$78-'Draft Center'!$L$82)&lt;1,1,$Q181*('Draft Center'!$L$28+'Draft Center'!$L$78-'Draft Center'!$L$82)),0)))</f>
        <v>1</v>
      </c>
      <c r="BD181" s="70">
        <f>IF(VLOOKUP($D181,$AO$14:AT$19,COLUMN()-50,0)&lt;=0,1,IF($Q181&lt;0,1,ROUNDUP(IF($Q181*('Draft Center'!$L$28+'Draft Center'!$L$78-'Draft Center'!$L$82)&lt;1,1,$Q181*('Draft Center'!$L$28+'Draft Center'!$L$78-'Draft Center'!$L$82)),0)))</f>
        <v>1</v>
      </c>
      <c r="BE181" s="70">
        <f>IF(VLOOKUP($D181,$AO$14:AU$19,COLUMN()-50,0)&lt;=0,1,IF($Q181&lt;0,1,ROUNDUP(IF($Q181*('Draft Center'!$L$28+'Draft Center'!$L$78-'Draft Center'!$L$82)&lt;1,1,$Q181*('Draft Center'!$L$28+'Draft Center'!$L$78-'Draft Center'!$L$82)),0)))</f>
        <v>1</v>
      </c>
      <c r="BF181" s="70">
        <f>IF(VLOOKUP($D181,$AO$14:AV$19,COLUMN()-50,0)&lt;=0,1,IF($Q181&lt;0,1,ROUNDUP(IF($Q181*('Draft Center'!$L$28+'Draft Center'!$L$78-'Draft Center'!$L$82)&lt;1,1,$Q181*('Draft Center'!$L$28+'Draft Center'!$L$78-'Draft Center'!$L$82)),0)))</f>
        <v>1</v>
      </c>
      <c r="BG181" s="70">
        <f>IF(VLOOKUP($D181,$AO$14:AW$19,COLUMN()-50,0)&lt;=0,1,IF($Q181&lt;0,1,ROUNDUP(IF($Q181*('Draft Center'!$L$28+'Draft Center'!$L$78-'Draft Center'!$L$82)&lt;1,1,$Q181*('Draft Center'!$L$28+'Draft Center'!$L$78-'Draft Center'!$L$82)),0)))</f>
        <v>1</v>
      </c>
      <c r="BH181" s="70">
        <f>IF(VLOOKUP($D181,$AO$14:AX$19,COLUMN()-50,0)&lt;=0,1,IF($Q181&lt;0,1,ROUNDUP(IF($Q181*('Draft Center'!$L$28+'Draft Center'!$L$78-'Draft Center'!$L$82)&lt;1,1,$Q181*('Draft Center'!$L$28+'Draft Center'!$L$78-'Draft Center'!$L$82)),0)))</f>
        <v>1</v>
      </c>
      <c r="BI181" s="70">
        <f>IF(VLOOKUP($D181,$AO$14:AY$19,COLUMN()-50,0)&lt;=0,1,IF($Q181&lt;0,1,ROUNDUP(IF($Q181*('Draft Center'!$L$28+'Draft Center'!$L$78-'Draft Center'!$L$82)&lt;1,1,$Q181*('Draft Center'!$L$28+'Draft Center'!$L$78-'Draft Center'!$L$82)),0)))</f>
        <v>1</v>
      </c>
      <c r="BJ181" s="196"/>
      <c r="BK181" s="23">
        <v>0</v>
      </c>
      <c r="BL181" s="23">
        <f t="shared" si="79"/>
        <v>0</v>
      </c>
      <c r="BM181" s="23">
        <v>0</v>
      </c>
      <c r="BN181" s="23" t="str">
        <f t="shared" si="79"/>
        <v/>
      </c>
      <c r="BO181" s="23" t="str">
        <f t="shared" si="79"/>
        <v/>
      </c>
      <c r="BP181" s="23" t="str">
        <f t="shared" si="79"/>
        <v/>
      </c>
      <c r="BQ181" s="23" t="str">
        <f t="shared" si="79"/>
        <v/>
      </c>
      <c r="BR181" s="23">
        <f t="shared" si="64"/>
        <v>0</v>
      </c>
      <c r="BS181" s="23">
        <f t="shared" si="65"/>
        <v>0</v>
      </c>
      <c r="BT181" s="70">
        <v>1</v>
      </c>
      <c r="BU181" s="58">
        <v>2327.0337</v>
      </c>
      <c r="BV181" s="33">
        <v>1</v>
      </c>
      <c r="BW181" s="204">
        <v>2327.0337</v>
      </c>
      <c r="BX181" s="23"/>
      <c r="BY181" s="70">
        <v>1</v>
      </c>
      <c r="BZ181" s="70">
        <v>1.5</v>
      </c>
      <c r="CA181" s="70">
        <v>1.5</v>
      </c>
      <c r="CB181" s="70">
        <v>1.5</v>
      </c>
      <c r="CC181" s="70">
        <f t="shared" si="68"/>
        <v>1.5</v>
      </c>
      <c r="CD181" s="70">
        <f t="shared" si="69"/>
        <v>1.5</v>
      </c>
    </row>
    <row r="182" spans="1:82" ht="15.75" customHeight="1" thickBot="1" x14ac:dyDescent="0.3">
      <c r="A182" s="9">
        <v>181</v>
      </c>
      <c r="B182" s="10" t="s">
        <v>102</v>
      </c>
      <c r="C182" s="10" t="s">
        <v>48</v>
      </c>
      <c r="D182" s="10" t="s">
        <v>17</v>
      </c>
      <c r="E182" s="51">
        <v>-31.277075443286702</v>
      </c>
      <c r="F182" s="51">
        <v>181.50084082606199</v>
      </c>
      <c r="G182" s="51">
        <v>208.67611196645001</v>
      </c>
      <c r="H182" s="51">
        <v>150.39649597932501</v>
      </c>
      <c r="I182" s="11">
        <v>1.9</v>
      </c>
      <c r="J182" s="51">
        <v>4.70625455280745</v>
      </c>
      <c r="K182" s="249">
        <f>IFERROR(VLOOKUP(C182,Schedule!$T$3:$U$34,2,0),"FA")</f>
        <v>10</v>
      </c>
      <c r="L182" s="10" t="str">
        <f>D182&amp;COUNTIF(D$2:$D182,D182)</f>
        <v>WR44</v>
      </c>
      <c r="M182" s="51">
        <f t="array" ref="M182">IFERROR(F182-AVERAGE(VLOOKUP(D182,$D183:$F$885,3,0),INDEX($F183:$F$885,SMALL(IF(D182=$D183:$D$885,ROW($D183:$D$885)-ROW(D182)),2))),0)</f>
        <v>5.2515445358369846</v>
      </c>
      <c r="N182" s="51">
        <f>IFERROR(IF(VLOOKUP($B182,Input!$AC$2:$AC$162,1,0)=$B182,0),F182)</f>
        <v>181.50084082606199</v>
      </c>
      <c r="O182" s="51">
        <f>IFERROR(IF(VLOOKUP($B182,Input!$AC$2:$AC$162,1,0)=$B182,0,G182),G182)</f>
        <v>208.67611196645001</v>
      </c>
      <c r="P182" s="51">
        <f>IF(N182=0,0,F182-AVERAGE(INDEX(F:F,MATCH(VLOOKUP(D182,Input!$A$14:$L$22,10,0),L:L,0)),INDEX(F:F,MATCH(VLOOKUP(D182,Input!$A$14:$L$22,11,0),L:L,0)),INDEX(F:F,MATCH(VLOOKUP(D182,Input!$A$14:$L$22,12,0),L:L,0)))+(0.01-ROW()*0.01))</f>
        <v>-33.087075443287034</v>
      </c>
      <c r="Q182" s="107">
        <f t="shared" si="60"/>
        <v>-1.1414807463926252E-2</v>
      </c>
      <c r="R182" s="11">
        <f>IF(VLOOKUP($D182,$X$14:$Y$19,2,0)&lt;=0,1,IF(Q182&lt;0,1,ROUNDUP(IF(Q182*('Draft Center'!$L$28+'Draft Center'!$L$78-'Draft Center'!$L$82)&lt;1,1,Q182*('Draft Center'!$L$28+'Draft Center'!$L$78-'Draft Center'!$L$82)),0)))</f>
        <v>1</v>
      </c>
      <c r="S182" s="11">
        <f>IF(A182&lt;Input!$B$10+0.1,IF(ROUNDUP(R182*Input!$C$10,0)=0,1,ROUNDUP(R182*Input!$C$10,0)),IF(A182&gt;Input!$B$11,IF(ROUNDUP(R182*Input!$C$11,0)=0,1,ROUNDUP(R182*Input!$C$11,0)),IF(ROUNDUP(R182,0)=0,1,ROUNDUP(R182,0))))</f>
        <v>1</v>
      </c>
      <c r="T182" s="11">
        <f t="shared" si="61"/>
        <v>1</v>
      </c>
      <c r="U182" s="11">
        <f>IFERROR(VLOOKUP($B182,Input!$AC$2:$AE$161,3,0),0)</f>
        <v>0</v>
      </c>
      <c r="V182" s="257">
        <f t="shared" si="66"/>
        <v>-0.47186421052631577</v>
      </c>
      <c r="W182" s="264">
        <f t="shared" si="67"/>
        <v>-0.89817999999999987</v>
      </c>
      <c r="X182" s="27"/>
      <c r="Y182" s="23"/>
      <c r="Z182" s="23"/>
      <c r="AA182" s="23">
        <v>0</v>
      </c>
      <c r="AB182" s="23" t="str">
        <f t="shared" ref="AB182:AG191" si="80">IF($D182=AB$1,1*$AA182,"")</f>
        <v/>
      </c>
      <c r="AC182" s="23" t="str">
        <f t="shared" si="80"/>
        <v/>
      </c>
      <c r="AD182" s="23">
        <f t="shared" si="80"/>
        <v>0</v>
      </c>
      <c r="AE182" s="23" t="str">
        <f t="shared" si="80"/>
        <v/>
      </c>
      <c r="AF182" s="23" t="str">
        <f t="shared" si="80"/>
        <v/>
      </c>
      <c r="AG182" s="23" t="str">
        <f t="shared" si="80"/>
        <v/>
      </c>
      <c r="AH182" s="23">
        <f t="shared" si="62"/>
        <v>0</v>
      </c>
      <c r="AI182" s="23">
        <f t="shared" si="63"/>
        <v>0</v>
      </c>
      <c r="AJ182" s="71">
        <v>1</v>
      </c>
      <c r="AK182" s="225">
        <v>2327.0337</v>
      </c>
      <c r="AL182" s="33">
        <v>1</v>
      </c>
      <c r="AM182" s="204">
        <v>2327.0337</v>
      </c>
      <c r="AN182" s="196"/>
      <c r="AO182" s="23"/>
      <c r="AP182" s="23"/>
      <c r="AQ182" s="23"/>
      <c r="AR182" s="23"/>
      <c r="AS182" s="23"/>
      <c r="AT182" s="23"/>
      <c r="AU182" s="23"/>
      <c r="AV182" s="23"/>
      <c r="AW182" s="23"/>
      <c r="AX182" s="23"/>
      <c r="AY182" s="23"/>
      <c r="AZ182" s="196"/>
      <c r="BA182" s="71">
        <f>IF(VLOOKUP($D182,$AO$14:AQ$19,COLUMN()-50,0)&lt;=0,1,IF($Q182&lt;0,1,ROUNDUP(IF($Q182*('Draft Center'!$L$28+'Draft Center'!$L$78-'Draft Center'!$L$82)&lt;1,1,$Q182*('Draft Center'!$L$28+'Draft Center'!$L$78-'Draft Center'!$L$82)),0)))</f>
        <v>1</v>
      </c>
      <c r="BB182" s="71">
        <f>IF(VLOOKUP($D182,$AO$14:AR$19,COLUMN()-50,0)&lt;=0,1,IF($Q182&lt;0,1,ROUNDUP(IF($Q182*('Draft Center'!$L$28+'Draft Center'!$L$78-'Draft Center'!$L$82)&lt;1,1,$Q182*('Draft Center'!$L$28+'Draft Center'!$L$78-'Draft Center'!$L$82)),0)))</f>
        <v>1</v>
      </c>
      <c r="BC182" s="71">
        <f>IF(VLOOKUP($D182,$AO$14:AS$19,COLUMN()-50,0)&lt;=0,1,IF($Q182&lt;0,1,ROUNDUP(IF($Q182*('Draft Center'!$L$28+'Draft Center'!$L$78-'Draft Center'!$L$82)&lt;1,1,$Q182*('Draft Center'!$L$28+'Draft Center'!$L$78-'Draft Center'!$L$82)),0)))</f>
        <v>1</v>
      </c>
      <c r="BD182" s="71">
        <f>IF(VLOOKUP($D182,$AO$14:AT$19,COLUMN()-50,0)&lt;=0,1,IF($Q182&lt;0,1,ROUNDUP(IF($Q182*('Draft Center'!$L$28+'Draft Center'!$L$78-'Draft Center'!$L$82)&lt;1,1,$Q182*('Draft Center'!$L$28+'Draft Center'!$L$78-'Draft Center'!$L$82)),0)))</f>
        <v>1</v>
      </c>
      <c r="BE182" s="71">
        <f>IF(VLOOKUP($D182,$AO$14:AU$19,COLUMN()-50,0)&lt;=0,1,IF($Q182&lt;0,1,ROUNDUP(IF($Q182*('Draft Center'!$L$28+'Draft Center'!$L$78-'Draft Center'!$L$82)&lt;1,1,$Q182*('Draft Center'!$L$28+'Draft Center'!$L$78-'Draft Center'!$L$82)),0)))</f>
        <v>1</v>
      </c>
      <c r="BF182" s="71">
        <f>IF(VLOOKUP($D182,$AO$14:AV$19,COLUMN()-50,0)&lt;=0,1,IF($Q182&lt;0,1,ROUNDUP(IF($Q182*('Draft Center'!$L$28+'Draft Center'!$L$78-'Draft Center'!$L$82)&lt;1,1,$Q182*('Draft Center'!$L$28+'Draft Center'!$L$78-'Draft Center'!$L$82)),0)))</f>
        <v>1</v>
      </c>
      <c r="BG182" s="71">
        <f>IF(VLOOKUP($D182,$AO$14:AW$19,COLUMN()-50,0)&lt;=0,1,IF($Q182&lt;0,1,ROUNDUP(IF($Q182*('Draft Center'!$L$28+'Draft Center'!$L$78-'Draft Center'!$L$82)&lt;1,1,$Q182*('Draft Center'!$L$28+'Draft Center'!$L$78-'Draft Center'!$L$82)),0)))</f>
        <v>1</v>
      </c>
      <c r="BH182" s="71">
        <f>IF(VLOOKUP($D182,$AO$14:AX$19,COLUMN()-50,0)&lt;=0,1,IF($Q182&lt;0,1,ROUNDUP(IF($Q182*('Draft Center'!$L$28+'Draft Center'!$L$78-'Draft Center'!$L$82)&lt;1,1,$Q182*('Draft Center'!$L$28+'Draft Center'!$L$78-'Draft Center'!$L$82)),0)))</f>
        <v>1</v>
      </c>
      <c r="BI182" s="71">
        <f>IF(VLOOKUP($D182,$AO$14:AY$19,COLUMN()-50,0)&lt;=0,1,IF($Q182&lt;0,1,ROUNDUP(IF($Q182*('Draft Center'!$L$28+'Draft Center'!$L$78-'Draft Center'!$L$82)&lt;1,1,$Q182*('Draft Center'!$L$28+'Draft Center'!$L$78-'Draft Center'!$L$82)),0)))</f>
        <v>1</v>
      </c>
      <c r="BJ182" s="196"/>
      <c r="BK182" s="23">
        <v>0</v>
      </c>
      <c r="BL182" s="23" t="str">
        <f t="shared" ref="BL182:BQ191" si="81">IF($D182=BL$1,1*$BK182,"")</f>
        <v/>
      </c>
      <c r="BM182" s="23">
        <v>0</v>
      </c>
      <c r="BN182" s="23">
        <f t="shared" si="81"/>
        <v>0</v>
      </c>
      <c r="BO182" s="23" t="str">
        <f t="shared" si="81"/>
        <v/>
      </c>
      <c r="BP182" s="23" t="str">
        <f t="shared" si="81"/>
        <v/>
      </c>
      <c r="BQ182" s="23" t="str">
        <f t="shared" si="81"/>
        <v/>
      </c>
      <c r="BR182" s="23">
        <f t="shared" si="64"/>
        <v>0</v>
      </c>
      <c r="BS182" s="23">
        <f t="shared" si="65"/>
        <v>0</v>
      </c>
      <c r="BT182" s="71">
        <v>1</v>
      </c>
      <c r="BU182" s="58">
        <v>2327.0337</v>
      </c>
      <c r="BV182" s="33">
        <v>1</v>
      </c>
      <c r="BW182" s="204">
        <v>2327.0337</v>
      </c>
      <c r="BX182" s="23"/>
      <c r="BY182" s="69">
        <v>1</v>
      </c>
      <c r="BZ182" s="69">
        <v>1.9</v>
      </c>
      <c r="CA182" s="69">
        <v>1.9</v>
      </c>
      <c r="CB182" s="69">
        <v>1.9</v>
      </c>
      <c r="CC182" s="69">
        <f t="shared" si="68"/>
        <v>1.8999999999999997</v>
      </c>
      <c r="CD182" s="69">
        <f t="shared" si="69"/>
        <v>1.9</v>
      </c>
    </row>
    <row r="183" spans="1:82" ht="15.75" customHeight="1" thickBot="1" x14ac:dyDescent="0.3">
      <c r="A183" s="6">
        <v>182</v>
      </c>
      <c r="B183" s="7" t="s">
        <v>185</v>
      </c>
      <c r="C183" s="7" t="s">
        <v>68</v>
      </c>
      <c r="D183" s="7" t="s">
        <v>53</v>
      </c>
      <c r="E183" s="50">
        <v>-31.2819459839552</v>
      </c>
      <c r="F183" s="50">
        <v>241.06569764887999</v>
      </c>
      <c r="G183" s="50">
        <v>263.49083908771098</v>
      </c>
      <c r="H183" s="50">
        <v>210.28139999999999</v>
      </c>
      <c r="I183" s="8">
        <v>0</v>
      </c>
      <c r="J183" s="50">
        <v>4.5177160912016001</v>
      </c>
      <c r="K183" s="248">
        <f>IFERROR(VLOOKUP(C183,Schedule!$T$3:$U$34,2,0),"FA")</f>
        <v>8</v>
      </c>
      <c r="L183" s="7" t="str">
        <f>D183&amp;COUNTIF(D$2:$D183,D183)</f>
        <v>QB20</v>
      </c>
      <c r="M183" s="50">
        <f t="array" ref="M183">IFERROR(F183-AVERAGE(VLOOKUP(D183,$D184:$F$885,3,0),INDEX($F184:$F$885,SMALL(IF(D183=$D184:$D$885,ROW($D184:$D$885)-ROW(D183)),2))),0)</f>
        <v>3.9310207621709878</v>
      </c>
      <c r="N183" s="50">
        <f>IFERROR(IF(VLOOKUP($B183,Input!$AC$2:$AC$162,1,0)=$B183,0),F183)</f>
        <v>241.06569764887999</v>
      </c>
      <c r="O183" s="50">
        <f>IFERROR(IF(VLOOKUP($B183,Input!$AC$2:$AC$162,1,0)=$B183,0,G183),G183)</f>
        <v>263.49083908771098</v>
      </c>
      <c r="P183" s="50">
        <f>IF(N183=0,0,F183-AVERAGE(INDEX(F:F,MATCH(VLOOKUP(D183,Input!$A$14:$L$22,10,0),L:L,0)),INDEX(F:F,MATCH(VLOOKUP(D183,Input!$A$14:$L$22,11,0),L:L,0)),INDEX(F:F,MATCH(VLOOKUP(D183,Input!$A$14:$L$22,12,0),L:L,0)))+(0.01-ROW()*0.01))</f>
        <v>-33.101945983955638</v>
      </c>
      <c r="Q183" s="106">
        <f t="shared" si="60"/>
        <v>-1.1419937695484722E-2</v>
      </c>
      <c r="R183" s="8">
        <f>IF(VLOOKUP($D183,$X$14:$Y$19,2,0)&lt;=0,1,IF(Q183&lt;0,1,ROUNDUP(IF(Q183*('Draft Center'!$L$28+'Draft Center'!$L$78-'Draft Center'!$L$82)&lt;1,1,Q183*('Draft Center'!$L$28+'Draft Center'!$L$78-'Draft Center'!$L$82)),0)))</f>
        <v>1</v>
      </c>
      <c r="S183" s="8">
        <f>IF(A183&lt;Input!$B$10+0.1,IF(ROUNDUP(R183*Input!$C$10,0)=0,1,ROUNDUP(R183*Input!$C$10,0)),IF(A183&gt;Input!$B$11,IF(ROUNDUP(R183*Input!$C$11,0)=0,1,ROUNDUP(R183*Input!$C$11,0)),IF(ROUNDUP(R183,0)=0,1,ROUNDUP(R183,0))))</f>
        <v>1</v>
      </c>
      <c r="T183" s="8">
        <f t="shared" si="61"/>
        <v>1</v>
      </c>
      <c r="U183" s="8">
        <f>IFERROR(VLOOKUP($B183,Input!$AC$2:$AE$161,3,0),0)</f>
        <v>0</v>
      </c>
      <c r="V183" s="256">
        <f t="shared" si="66"/>
        <v>0</v>
      </c>
      <c r="W183" s="263">
        <f t="shared" si="67"/>
        <v>1.00183</v>
      </c>
      <c r="X183" s="27"/>
      <c r="Y183" s="23"/>
      <c r="Z183" s="23"/>
      <c r="AA183" s="23">
        <v>0</v>
      </c>
      <c r="AB183" s="23">
        <f t="shared" si="80"/>
        <v>0</v>
      </c>
      <c r="AC183" s="23" t="str">
        <f t="shared" si="80"/>
        <v/>
      </c>
      <c r="AD183" s="23" t="str">
        <f t="shared" si="80"/>
        <v/>
      </c>
      <c r="AE183" s="23" t="str">
        <f t="shared" si="80"/>
        <v/>
      </c>
      <c r="AF183" s="23" t="str">
        <f t="shared" si="80"/>
        <v/>
      </c>
      <c r="AG183" s="23" t="str">
        <f t="shared" si="80"/>
        <v/>
      </c>
      <c r="AH183" s="23">
        <f t="shared" si="62"/>
        <v>0</v>
      </c>
      <c r="AI183" s="23">
        <f t="shared" si="63"/>
        <v>0</v>
      </c>
      <c r="AJ183" s="73">
        <v>1</v>
      </c>
      <c r="AK183" s="225">
        <v>2327.0337</v>
      </c>
      <c r="AL183" s="33">
        <v>1</v>
      </c>
      <c r="AM183" s="204">
        <v>2327.0337</v>
      </c>
      <c r="AN183" s="196"/>
      <c r="AO183" s="23"/>
      <c r="AP183" s="23"/>
      <c r="AQ183" s="23"/>
      <c r="AR183" s="23"/>
      <c r="AS183" s="23"/>
      <c r="AT183" s="23"/>
      <c r="AU183" s="23"/>
      <c r="AV183" s="23"/>
      <c r="AW183" s="23"/>
      <c r="AX183" s="23"/>
      <c r="AY183" s="23"/>
      <c r="AZ183" s="196"/>
      <c r="BA183" s="73">
        <f>IF(VLOOKUP($D183,$AO$14:AQ$19,COLUMN()-50,0)&lt;=0,1,IF($Q183&lt;0,1,ROUNDUP(IF($Q183*('Draft Center'!$L$28+'Draft Center'!$L$78-'Draft Center'!$L$82)&lt;1,1,$Q183*('Draft Center'!$L$28+'Draft Center'!$L$78-'Draft Center'!$L$82)),0)))</f>
        <v>1</v>
      </c>
      <c r="BB183" s="73">
        <f>IF(VLOOKUP($D183,$AO$14:AR$19,COLUMN()-50,0)&lt;=0,1,IF($Q183&lt;0,1,ROUNDUP(IF($Q183*('Draft Center'!$L$28+'Draft Center'!$L$78-'Draft Center'!$L$82)&lt;1,1,$Q183*('Draft Center'!$L$28+'Draft Center'!$L$78-'Draft Center'!$L$82)),0)))</f>
        <v>1</v>
      </c>
      <c r="BC183" s="73">
        <f>IF(VLOOKUP($D183,$AO$14:AS$19,COLUMN()-50,0)&lt;=0,1,IF($Q183&lt;0,1,ROUNDUP(IF($Q183*('Draft Center'!$L$28+'Draft Center'!$L$78-'Draft Center'!$L$82)&lt;1,1,$Q183*('Draft Center'!$L$28+'Draft Center'!$L$78-'Draft Center'!$L$82)),0)))</f>
        <v>1</v>
      </c>
      <c r="BD183" s="73">
        <f>IF(VLOOKUP($D183,$AO$14:AT$19,COLUMN()-50,0)&lt;=0,1,IF($Q183&lt;0,1,ROUNDUP(IF($Q183*('Draft Center'!$L$28+'Draft Center'!$L$78-'Draft Center'!$L$82)&lt;1,1,$Q183*('Draft Center'!$L$28+'Draft Center'!$L$78-'Draft Center'!$L$82)),0)))</f>
        <v>1</v>
      </c>
      <c r="BE183" s="73">
        <f>IF(VLOOKUP($D183,$AO$14:AU$19,COLUMN()-50,0)&lt;=0,1,IF($Q183&lt;0,1,ROUNDUP(IF($Q183*('Draft Center'!$L$28+'Draft Center'!$L$78-'Draft Center'!$L$82)&lt;1,1,$Q183*('Draft Center'!$L$28+'Draft Center'!$L$78-'Draft Center'!$L$82)),0)))</f>
        <v>1</v>
      </c>
      <c r="BF183" s="73">
        <f>IF(VLOOKUP($D183,$AO$14:AV$19,COLUMN()-50,0)&lt;=0,1,IF($Q183&lt;0,1,ROUNDUP(IF($Q183*('Draft Center'!$L$28+'Draft Center'!$L$78-'Draft Center'!$L$82)&lt;1,1,$Q183*('Draft Center'!$L$28+'Draft Center'!$L$78-'Draft Center'!$L$82)),0)))</f>
        <v>1</v>
      </c>
      <c r="BG183" s="73">
        <f>IF(VLOOKUP($D183,$AO$14:AW$19,COLUMN()-50,0)&lt;=0,1,IF($Q183&lt;0,1,ROUNDUP(IF($Q183*('Draft Center'!$L$28+'Draft Center'!$L$78-'Draft Center'!$L$82)&lt;1,1,$Q183*('Draft Center'!$L$28+'Draft Center'!$L$78-'Draft Center'!$L$82)),0)))</f>
        <v>1</v>
      </c>
      <c r="BH183" s="73">
        <f>IF(VLOOKUP($D183,$AO$14:AX$19,COLUMN()-50,0)&lt;=0,1,IF($Q183&lt;0,1,ROUNDUP(IF($Q183*('Draft Center'!$L$28+'Draft Center'!$L$78-'Draft Center'!$L$82)&lt;1,1,$Q183*('Draft Center'!$L$28+'Draft Center'!$L$78-'Draft Center'!$L$82)),0)))</f>
        <v>1</v>
      </c>
      <c r="BI183" s="73">
        <f>IF(VLOOKUP($D183,$AO$14:AY$19,COLUMN()-50,0)&lt;=0,1,IF($Q183&lt;0,1,ROUNDUP(IF($Q183*('Draft Center'!$L$28+'Draft Center'!$L$78-'Draft Center'!$L$82)&lt;1,1,$Q183*('Draft Center'!$L$28+'Draft Center'!$L$78-'Draft Center'!$L$82)),0)))</f>
        <v>1</v>
      </c>
      <c r="BJ183" s="196"/>
      <c r="BK183" s="23">
        <v>0</v>
      </c>
      <c r="BL183" s="23">
        <f t="shared" si="81"/>
        <v>0</v>
      </c>
      <c r="BM183" s="23">
        <v>0</v>
      </c>
      <c r="BN183" s="23" t="str">
        <f t="shared" si="81"/>
        <v/>
      </c>
      <c r="BO183" s="23" t="str">
        <f t="shared" si="81"/>
        <v/>
      </c>
      <c r="BP183" s="23" t="str">
        <f t="shared" si="81"/>
        <v/>
      </c>
      <c r="BQ183" s="23" t="str">
        <f t="shared" si="81"/>
        <v/>
      </c>
      <c r="BR183" s="23">
        <f t="shared" si="64"/>
        <v>0</v>
      </c>
      <c r="BS183" s="23">
        <f t="shared" si="65"/>
        <v>0</v>
      </c>
      <c r="BT183" s="73">
        <v>1</v>
      </c>
      <c r="BU183" s="58">
        <v>2327.0337</v>
      </c>
      <c r="BV183" s="33">
        <v>1</v>
      </c>
      <c r="BW183" s="204">
        <v>2327.0337</v>
      </c>
      <c r="BX183" s="23"/>
      <c r="BY183" s="70">
        <v>1</v>
      </c>
      <c r="BZ183" s="70">
        <v>0</v>
      </c>
      <c r="CA183" s="70">
        <v>0</v>
      </c>
      <c r="CB183" s="70">
        <v>0</v>
      </c>
      <c r="CC183" s="70">
        <f t="shared" si="68"/>
        <v>0</v>
      </c>
      <c r="CD183" s="70">
        <f t="shared" si="69"/>
        <v>0</v>
      </c>
    </row>
    <row r="184" spans="1:82" ht="15.75" customHeight="1" thickBot="1" x14ac:dyDescent="0.3">
      <c r="A184" s="9">
        <v>183</v>
      </c>
      <c r="B184" s="10" t="s">
        <v>371</v>
      </c>
      <c r="C184" s="10" t="s">
        <v>83</v>
      </c>
      <c r="D184" s="10" t="s">
        <v>19</v>
      </c>
      <c r="E184" s="51">
        <v>-31.456407789477101</v>
      </c>
      <c r="F184" s="51">
        <v>137.645990236475</v>
      </c>
      <c r="G184" s="51">
        <v>147.24426042335199</v>
      </c>
      <c r="H184" s="51">
        <v>124.901503215434</v>
      </c>
      <c r="I184" s="11">
        <v>0</v>
      </c>
      <c r="J184" s="51">
        <v>5.0532786845506701</v>
      </c>
      <c r="K184" s="249">
        <f>IFERROR(VLOOKUP(C184,Schedule!$T$3:$U$34,2,0),"FA")</f>
        <v>5</v>
      </c>
      <c r="L184" s="10" t="str">
        <f>D184&amp;COUNTIF(D$2:$D184,D184)</f>
        <v>RB39</v>
      </c>
      <c r="M184" s="51">
        <f t="array" ref="M184">IFERROR(F184-AVERAGE(VLOOKUP(D184,$D185:$F$885,3,0),INDEX($F185:$F$885,SMALL(IF(D184=$D185:$D$885,ROW($D185:$D$885)-ROW(D184)),2))),0)</f>
        <v>0.71200298915550775</v>
      </c>
      <c r="N184" s="51">
        <f>IFERROR(IF(VLOOKUP($B184,Input!$AC$2:$AC$162,1,0)=$B184,0),F184)</f>
        <v>137.645990236475</v>
      </c>
      <c r="O184" s="51">
        <f>IFERROR(IF(VLOOKUP($B184,Input!$AC$2:$AC$162,1,0)=$B184,0,G184),G184)</f>
        <v>147.24426042335199</v>
      </c>
      <c r="P184" s="51">
        <f>IF(N184=0,0,F184-AVERAGE(INDEX(F:F,MATCH(VLOOKUP(D184,Input!$A$14:$L$22,10,0),L:L,0)),INDEX(F:F,MATCH(VLOOKUP(D184,Input!$A$14:$L$22,11,0),L:L,0)),INDEX(F:F,MATCH(VLOOKUP(D184,Input!$A$14:$L$22,12,0),L:L,0)))+(0.01-ROW()*0.01))</f>
        <v>-33.286407789476996</v>
      </c>
      <c r="Q184" s="107">
        <f t="shared" si="60"/>
        <v>-1.1483575716260647E-2</v>
      </c>
      <c r="R184" s="11">
        <f>IF(VLOOKUP($D184,$X$14:$Y$19,2,0)&lt;=0,1,IF(Q184&lt;0,1,ROUNDUP(IF(Q184*('Draft Center'!$L$28+'Draft Center'!$L$78-'Draft Center'!$L$82)&lt;1,1,Q184*('Draft Center'!$L$28+'Draft Center'!$L$78-'Draft Center'!$L$82)),0)))</f>
        <v>1</v>
      </c>
      <c r="S184" s="11">
        <f>IF(A184&lt;Input!$B$10+0.1,IF(ROUNDUP(R184*Input!$C$10,0)=0,1,ROUNDUP(R184*Input!$C$10,0)),IF(A184&gt;Input!$B$11,IF(ROUNDUP(R184*Input!$C$11,0)=0,1,ROUNDUP(R184*Input!$C$11,0)),IF(ROUNDUP(R184,0)=0,1,ROUNDUP(R184,0))))</f>
        <v>1</v>
      </c>
      <c r="T184" s="11">
        <f t="shared" si="61"/>
        <v>1</v>
      </c>
      <c r="U184" s="11">
        <f>IFERROR(VLOOKUP($B184,Input!$AC$2:$AE$161,3,0),0)</f>
        <v>0</v>
      </c>
      <c r="V184" s="257">
        <f t="shared" si="66"/>
        <v>0</v>
      </c>
      <c r="W184" s="264">
        <f t="shared" si="67"/>
        <v>1.0018400000000001</v>
      </c>
      <c r="X184" s="27"/>
      <c r="Y184" s="23"/>
      <c r="Z184" s="23"/>
      <c r="AA184" s="23">
        <v>0</v>
      </c>
      <c r="AB184" s="23" t="str">
        <f t="shared" si="80"/>
        <v/>
      </c>
      <c r="AC184" s="23">
        <f t="shared" si="80"/>
        <v>0</v>
      </c>
      <c r="AD184" s="23" t="str">
        <f t="shared" si="80"/>
        <v/>
      </c>
      <c r="AE184" s="23" t="str">
        <f t="shared" si="80"/>
        <v/>
      </c>
      <c r="AF184" s="23" t="str">
        <f t="shared" si="80"/>
        <v/>
      </c>
      <c r="AG184" s="23" t="str">
        <f t="shared" si="80"/>
        <v/>
      </c>
      <c r="AH184" s="23">
        <f t="shared" si="62"/>
        <v>0</v>
      </c>
      <c r="AI184" s="23">
        <f t="shared" si="63"/>
        <v>0</v>
      </c>
      <c r="AJ184" s="71">
        <v>1</v>
      </c>
      <c r="AK184" s="225">
        <v>2327.0337</v>
      </c>
      <c r="AL184" s="33">
        <v>1</v>
      </c>
      <c r="AM184" s="204">
        <v>2327.0337</v>
      </c>
      <c r="AN184" s="196"/>
      <c r="AO184" s="23"/>
      <c r="AP184" s="23"/>
      <c r="AQ184" s="23"/>
      <c r="AR184" s="23"/>
      <c r="AS184" s="23"/>
      <c r="AT184" s="23"/>
      <c r="AU184" s="23"/>
      <c r="AV184" s="23"/>
      <c r="AW184" s="23"/>
      <c r="AX184" s="23"/>
      <c r="AY184" s="23"/>
      <c r="AZ184" s="196"/>
      <c r="BA184" s="71">
        <f>IF(VLOOKUP($D184,$AO$14:AQ$19,COLUMN()-50,0)&lt;=0,1,IF($Q184&lt;0,1,ROUNDUP(IF($Q184*('Draft Center'!$L$28+'Draft Center'!$L$78-'Draft Center'!$L$82)&lt;1,1,$Q184*('Draft Center'!$L$28+'Draft Center'!$L$78-'Draft Center'!$L$82)),0)))</f>
        <v>1</v>
      </c>
      <c r="BB184" s="71">
        <f>IF(VLOOKUP($D184,$AO$14:AR$19,COLUMN()-50,0)&lt;=0,1,IF($Q184&lt;0,1,ROUNDUP(IF($Q184*('Draft Center'!$L$28+'Draft Center'!$L$78-'Draft Center'!$L$82)&lt;1,1,$Q184*('Draft Center'!$L$28+'Draft Center'!$L$78-'Draft Center'!$L$82)),0)))</f>
        <v>1</v>
      </c>
      <c r="BC184" s="71">
        <f>IF(VLOOKUP($D184,$AO$14:AS$19,COLUMN()-50,0)&lt;=0,1,IF($Q184&lt;0,1,ROUNDUP(IF($Q184*('Draft Center'!$L$28+'Draft Center'!$L$78-'Draft Center'!$L$82)&lt;1,1,$Q184*('Draft Center'!$L$28+'Draft Center'!$L$78-'Draft Center'!$L$82)),0)))</f>
        <v>1</v>
      </c>
      <c r="BD184" s="71">
        <f>IF(VLOOKUP($D184,$AO$14:AT$19,COLUMN()-50,0)&lt;=0,1,IF($Q184&lt;0,1,ROUNDUP(IF($Q184*('Draft Center'!$L$28+'Draft Center'!$L$78-'Draft Center'!$L$82)&lt;1,1,$Q184*('Draft Center'!$L$28+'Draft Center'!$L$78-'Draft Center'!$L$82)),0)))</f>
        <v>1</v>
      </c>
      <c r="BE184" s="71">
        <f>IF(VLOOKUP($D184,$AO$14:AU$19,COLUMN()-50,0)&lt;=0,1,IF($Q184&lt;0,1,ROUNDUP(IF($Q184*('Draft Center'!$L$28+'Draft Center'!$L$78-'Draft Center'!$L$82)&lt;1,1,$Q184*('Draft Center'!$L$28+'Draft Center'!$L$78-'Draft Center'!$L$82)),0)))</f>
        <v>1</v>
      </c>
      <c r="BF184" s="71">
        <f>IF(VLOOKUP($D184,$AO$14:AV$19,COLUMN()-50,0)&lt;=0,1,IF($Q184&lt;0,1,ROUNDUP(IF($Q184*('Draft Center'!$L$28+'Draft Center'!$L$78-'Draft Center'!$L$82)&lt;1,1,$Q184*('Draft Center'!$L$28+'Draft Center'!$L$78-'Draft Center'!$L$82)),0)))</f>
        <v>1</v>
      </c>
      <c r="BG184" s="71">
        <f>IF(VLOOKUP($D184,$AO$14:AW$19,COLUMN()-50,0)&lt;=0,1,IF($Q184&lt;0,1,ROUNDUP(IF($Q184*('Draft Center'!$L$28+'Draft Center'!$L$78-'Draft Center'!$L$82)&lt;1,1,$Q184*('Draft Center'!$L$28+'Draft Center'!$L$78-'Draft Center'!$L$82)),0)))</f>
        <v>1</v>
      </c>
      <c r="BH184" s="71">
        <f>IF(VLOOKUP($D184,$AO$14:AX$19,COLUMN()-50,0)&lt;=0,1,IF($Q184&lt;0,1,ROUNDUP(IF($Q184*('Draft Center'!$L$28+'Draft Center'!$L$78-'Draft Center'!$L$82)&lt;1,1,$Q184*('Draft Center'!$L$28+'Draft Center'!$L$78-'Draft Center'!$L$82)),0)))</f>
        <v>1</v>
      </c>
      <c r="BI184" s="71">
        <f>IF(VLOOKUP($D184,$AO$14:AY$19,COLUMN()-50,0)&lt;=0,1,IF($Q184&lt;0,1,ROUNDUP(IF($Q184*('Draft Center'!$L$28+'Draft Center'!$L$78-'Draft Center'!$L$82)&lt;1,1,$Q184*('Draft Center'!$L$28+'Draft Center'!$L$78-'Draft Center'!$L$82)),0)))</f>
        <v>1</v>
      </c>
      <c r="BJ184" s="196"/>
      <c r="BK184" s="23">
        <v>0</v>
      </c>
      <c r="BL184" s="23" t="str">
        <f t="shared" si="81"/>
        <v/>
      </c>
      <c r="BM184" s="23">
        <v>0</v>
      </c>
      <c r="BN184" s="23" t="str">
        <f t="shared" si="81"/>
        <v/>
      </c>
      <c r="BO184" s="23" t="str">
        <f t="shared" si="81"/>
        <v/>
      </c>
      <c r="BP184" s="23" t="str">
        <f t="shared" si="81"/>
        <v/>
      </c>
      <c r="BQ184" s="23" t="str">
        <f t="shared" si="81"/>
        <v/>
      </c>
      <c r="BR184" s="23">
        <f t="shared" si="64"/>
        <v>0</v>
      </c>
      <c r="BS184" s="23">
        <f t="shared" si="65"/>
        <v>0</v>
      </c>
      <c r="BT184" s="71">
        <v>1</v>
      </c>
      <c r="BU184" s="58">
        <v>2327.0337</v>
      </c>
      <c r="BV184" s="33">
        <v>1</v>
      </c>
      <c r="BW184" s="204">
        <v>2327.0337</v>
      </c>
      <c r="BX184" s="23"/>
      <c r="BY184" s="69">
        <v>1</v>
      </c>
      <c r="BZ184" s="69">
        <v>0</v>
      </c>
      <c r="CA184" s="69">
        <v>0</v>
      </c>
      <c r="CB184" s="69">
        <v>0</v>
      </c>
      <c r="CC184" s="69">
        <f t="shared" si="68"/>
        <v>0</v>
      </c>
      <c r="CD184" s="69">
        <f t="shared" si="69"/>
        <v>0</v>
      </c>
    </row>
    <row r="185" spans="1:82" ht="15.75" customHeight="1" thickBot="1" x14ac:dyDescent="0.3">
      <c r="A185" s="6">
        <v>184</v>
      </c>
      <c r="B185" s="7" t="s">
        <v>140</v>
      </c>
      <c r="C185" s="7" t="s">
        <v>57</v>
      </c>
      <c r="D185" s="7" t="s">
        <v>19</v>
      </c>
      <c r="E185" s="50">
        <v>-31.981530594614799</v>
      </c>
      <c r="F185" s="50">
        <v>137.12086743133699</v>
      </c>
      <c r="G185" s="50">
        <v>172.87289079561</v>
      </c>
      <c r="H185" s="50">
        <v>26.872717041800598</v>
      </c>
      <c r="I185" s="8">
        <v>3.3</v>
      </c>
      <c r="J185" s="50">
        <v>7.5164575155871498</v>
      </c>
      <c r="K185" s="248">
        <f>IFERROR(VLOOKUP(C185,Schedule!$T$3:$U$34,2,0),"FA")</f>
        <v>11</v>
      </c>
      <c r="L185" s="7" t="str">
        <f>D185&amp;COUNTIF(D$2:$D185,D185)</f>
        <v>RB40</v>
      </c>
      <c r="M185" s="50">
        <f t="array" ref="M185">IFERROR(F185-AVERAGE(VLOOKUP(D185,$D186:$F$885,3,0),INDEX($F186:$F$885,SMALL(IF(D185=$D186:$D$885,ROW($D186:$D$885)-ROW(D185)),2))),0)</f>
        <v>1.5637831232035069</v>
      </c>
      <c r="N185" s="50">
        <f>IFERROR(IF(VLOOKUP($B185,Input!$AC$2:$AC$162,1,0)=$B185,0),F185)</f>
        <v>137.12086743133699</v>
      </c>
      <c r="O185" s="50">
        <f>IFERROR(IF(VLOOKUP($B185,Input!$AC$2:$AC$162,1,0)=$B185,0,G185),G185)</f>
        <v>172.87289079561</v>
      </c>
      <c r="P185" s="50">
        <f>IF(N185=0,0,F185-AVERAGE(INDEX(F:F,MATCH(VLOOKUP(D185,Input!$A$14:$L$22,10,0),L:L,0)),INDEX(F:F,MATCH(VLOOKUP(D185,Input!$A$14:$L$22,11,0),L:L,0)),INDEX(F:F,MATCH(VLOOKUP(D185,Input!$A$14:$L$22,12,0),L:L,0)))+(0.01-ROW()*0.01))</f>
        <v>-33.821530594615012</v>
      </c>
      <c r="Q185" s="106">
        <f t="shared" si="60"/>
        <v>-1.1668189306563501E-2</v>
      </c>
      <c r="R185" s="8">
        <f>IF(VLOOKUP($D185,$X$14:$Y$19,2,0)&lt;=0,1,IF(Q185&lt;0,1,ROUNDUP(IF(Q185*('Draft Center'!$L$28+'Draft Center'!$L$78-'Draft Center'!$L$82)&lt;1,1,Q185*('Draft Center'!$L$28+'Draft Center'!$L$78-'Draft Center'!$L$82)),0)))</f>
        <v>1</v>
      </c>
      <c r="S185" s="8">
        <f>IF(A185&lt;Input!$B$10+0.1,IF(ROUNDUP(R185*Input!$C$10,0)=0,1,ROUNDUP(R185*Input!$C$10,0)),IF(A185&gt;Input!$B$11,IF(ROUNDUP(R185*Input!$C$11,0)=0,1,ROUNDUP(R185*Input!$C$11,0)),IF(ROUNDUP(R185,0)=0,1,ROUNDUP(R185,0))))</f>
        <v>1</v>
      </c>
      <c r="T185" s="8">
        <f t="shared" si="61"/>
        <v>1</v>
      </c>
      <c r="U185" s="8">
        <f>IFERROR(VLOOKUP($B185,Input!$AC$2:$AE$161,3,0),0)</f>
        <v>0</v>
      </c>
      <c r="V185" s="256">
        <f t="shared" si="66"/>
        <v>-0.69511969696969689</v>
      </c>
      <c r="W185" s="263">
        <f t="shared" si="67"/>
        <v>-2.2981499999999997</v>
      </c>
      <c r="X185" s="27"/>
      <c r="Y185" s="23"/>
      <c r="Z185" s="23"/>
      <c r="AA185" s="23">
        <v>0</v>
      </c>
      <c r="AB185" s="23" t="str">
        <f t="shared" si="80"/>
        <v/>
      </c>
      <c r="AC185" s="23">
        <f t="shared" si="80"/>
        <v>0</v>
      </c>
      <c r="AD185" s="23" t="str">
        <f t="shared" si="80"/>
        <v/>
      </c>
      <c r="AE185" s="23" t="str">
        <f t="shared" si="80"/>
        <v/>
      </c>
      <c r="AF185" s="23" t="str">
        <f t="shared" si="80"/>
        <v/>
      </c>
      <c r="AG185" s="23" t="str">
        <f t="shared" si="80"/>
        <v/>
      </c>
      <c r="AH185" s="23">
        <f t="shared" si="62"/>
        <v>0</v>
      </c>
      <c r="AI185" s="23">
        <f t="shared" si="63"/>
        <v>0</v>
      </c>
      <c r="AJ185" s="73">
        <v>1</v>
      </c>
      <c r="AK185" s="225">
        <v>2327.0337</v>
      </c>
      <c r="AL185" s="33">
        <v>1</v>
      </c>
      <c r="AM185" s="204">
        <v>2327.0337</v>
      </c>
      <c r="AN185" s="196"/>
      <c r="AO185" s="30"/>
      <c r="AP185" s="30"/>
      <c r="AQ185" s="30"/>
      <c r="AR185" s="30"/>
      <c r="AS185" s="30"/>
      <c r="AT185" s="30"/>
      <c r="AU185" s="30"/>
      <c r="AV185" s="30"/>
      <c r="AW185" s="30"/>
      <c r="AX185" s="30"/>
      <c r="AY185" s="30"/>
      <c r="AZ185" s="196"/>
      <c r="BA185" s="73">
        <f>IF(VLOOKUP($D185,$AO$14:AQ$19,COLUMN()-50,0)&lt;=0,1,IF($Q185&lt;0,1,ROUNDUP(IF($Q185*('Draft Center'!$L$28+'Draft Center'!$L$78-'Draft Center'!$L$82)&lt;1,1,$Q185*('Draft Center'!$L$28+'Draft Center'!$L$78-'Draft Center'!$L$82)),0)))</f>
        <v>1</v>
      </c>
      <c r="BB185" s="73">
        <f>IF(VLOOKUP($D185,$AO$14:AR$19,COLUMN()-50,0)&lt;=0,1,IF($Q185&lt;0,1,ROUNDUP(IF($Q185*('Draft Center'!$L$28+'Draft Center'!$L$78-'Draft Center'!$L$82)&lt;1,1,$Q185*('Draft Center'!$L$28+'Draft Center'!$L$78-'Draft Center'!$L$82)),0)))</f>
        <v>1</v>
      </c>
      <c r="BC185" s="73">
        <f>IF(VLOOKUP($D185,$AO$14:AS$19,COLUMN()-50,0)&lt;=0,1,IF($Q185&lt;0,1,ROUNDUP(IF($Q185*('Draft Center'!$L$28+'Draft Center'!$L$78-'Draft Center'!$L$82)&lt;1,1,$Q185*('Draft Center'!$L$28+'Draft Center'!$L$78-'Draft Center'!$L$82)),0)))</f>
        <v>1</v>
      </c>
      <c r="BD185" s="73">
        <f>IF(VLOOKUP($D185,$AO$14:AT$19,COLUMN()-50,0)&lt;=0,1,IF($Q185&lt;0,1,ROUNDUP(IF($Q185*('Draft Center'!$L$28+'Draft Center'!$L$78-'Draft Center'!$L$82)&lt;1,1,$Q185*('Draft Center'!$L$28+'Draft Center'!$L$78-'Draft Center'!$L$82)),0)))</f>
        <v>1</v>
      </c>
      <c r="BE185" s="73">
        <f>IF(VLOOKUP($D185,$AO$14:AU$19,COLUMN()-50,0)&lt;=0,1,IF($Q185&lt;0,1,ROUNDUP(IF($Q185*('Draft Center'!$L$28+'Draft Center'!$L$78-'Draft Center'!$L$82)&lt;1,1,$Q185*('Draft Center'!$L$28+'Draft Center'!$L$78-'Draft Center'!$L$82)),0)))</f>
        <v>1</v>
      </c>
      <c r="BF185" s="73">
        <f>IF(VLOOKUP($D185,$AO$14:AV$19,COLUMN()-50,0)&lt;=0,1,IF($Q185&lt;0,1,ROUNDUP(IF($Q185*('Draft Center'!$L$28+'Draft Center'!$L$78-'Draft Center'!$L$82)&lt;1,1,$Q185*('Draft Center'!$L$28+'Draft Center'!$L$78-'Draft Center'!$L$82)),0)))</f>
        <v>1</v>
      </c>
      <c r="BG185" s="73">
        <f>IF(VLOOKUP($D185,$AO$14:AW$19,COLUMN()-50,0)&lt;=0,1,IF($Q185&lt;0,1,ROUNDUP(IF($Q185*('Draft Center'!$L$28+'Draft Center'!$L$78-'Draft Center'!$L$82)&lt;1,1,$Q185*('Draft Center'!$L$28+'Draft Center'!$L$78-'Draft Center'!$L$82)),0)))</f>
        <v>1</v>
      </c>
      <c r="BH185" s="73">
        <f>IF(VLOOKUP($D185,$AO$14:AX$19,COLUMN()-50,0)&lt;=0,1,IF($Q185&lt;0,1,ROUNDUP(IF($Q185*('Draft Center'!$L$28+'Draft Center'!$L$78-'Draft Center'!$L$82)&lt;1,1,$Q185*('Draft Center'!$L$28+'Draft Center'!$L$78-'Draft Center'!$L$82)),0)))</f>
        <v>1</v>
      </c>
      <c r="BI185" s="73">
        <f>IF(VLOOKUP($D185,$AO$14:AY$19,COLUMN()-50,0)&lt;=0,1,IF($Q185&lt;0,1,ROUNDUP(IF($Q185*('Draft Center'!$L$28+'Draft Center'!$L$78-'Draft Center'!$L$82)&lt;1,1,$Q185*('Draft Center'!$L$28+'Draft Center'!$L$78-'Draft Center'!$L$82)),0)))</f>
        <v>1</v>
      </c>
      <c r="BJ185" s="196"/>
      <c r="BK185" s="23">
        <v>0</v>
      </c>
      <c r="BL185" s="23" t="str">
        <f t="shared" si="81"/>
        <v/>
      </c>
      <c r="BM185" s="23">
        <v>0</v>
      </c>
      <c r="BN185" s="23" t="str">
        <f t="shared" si="81"/>
        <v/>
      </c>
      <c r="BO185" s="23" t="str">
        <f t="shared" si="81"/>
        <v/>
      </c>
      <c r="BP185" s="23" t="str">
        <f t="shared" si="81"/>
        <v/>
      </c>
      <c r="BQ185" s="23" t="str">
        <f t="shared" si="81"/>
        <v/>
      </c>
      <c r="BR185" s="23">
        <f t="shared" si="64"/>
        <v>0</v>
      </c>
      <c r="BS185" s="23">
        <f t="shared" si="65"/>
        <v>0</v>
      </c>
      <c r="BT185" s="73">
        <v>1</v>
      </c>
      <c r="BU185" s="58">
        <v>2327.0337</v>
      </c>
      <c r="BV185" s="33">
        <v>1</v>
      </c>
      <c r="BW185" s="204">
        <v>2327.0337</v>
      </c>
      <c r="BX185" s="23"/>
      <c r="BY185" s="70">
        <v>1</v>
      </c>
      <c r="BZ185" s="70">
        <v>3.3</v>
      </c>
      <c r="CA185" s="70">
        <v>3.3</v>
      </c>
      <c r="CB185" s="70">
        <v>3.3</v>
      </c>
      <c r="CC185" s="70">
        <f t="shared" si="68"/>
        <v>3.2999999999999994</v>
      </c>
      <c r="CD185" s="70">
        <f t="shared" si="69"/>
        <v>3.3</v>
      </c>
    </row>
    <row r="186" spans="1:82" ht="15.75" customHeight="1" thickBot="1" x14ac:dyDescent="0.3">
      <c r="A186" s="9">
        <v>185</v>
      </c>
      <c r="B186" s="10" t="s">
        <v>477</v>
      </c>
      <c r="C186" s="10" t="s">
        <v>64</v>
      </c>
      <c r="D186" s="10" t="s">
        <v>147</v>
      </c>
      <c r="E186" s="51">
        <v>-32.128829406521398</v>
      </c>
      <c r="F186" s="51">
        <v>99.240159024451899</v>
      </c>
      <c r="G186" s="51">
        <v>109.17984431164599</v>
      </c>
      <c r="H186" s="51">
        <v>79.3</v>
      </c>
      <c r="I186" s="11">
        <v>0</v>
      </c>
      <c r="J186" s="51">
        <v>4.4388392167804902</v>
      </c>
      <c r="K186" s="249">
        <f>IFERROR(VLOOKUP(C186,Schedule!$T$3:$U$34,2,0),"FA")</f>
        <v>11</v>
      </c>
      <c r="L186" s="10" t="str">
        <f>D186&amp;COUNTIF(D$2:$D186,D186)</f>
        <v>K28</v>
      </c>
      <c r="M186" s="51">
        <f t="array" ref="M186">IFERROR(F186-AVERAGE(VLOOKUP(D186,$D187:$F$885,3,0),INDEX($F187:$F$885,SMALL(IF(D186=$D187:$D$885,ROW($D187:$D$885)-ROW(D186)),2))),0)</f>
        <v>8.0032835828711484</v>
      </c>
      <c r="N186" s="51">
        <f>IFERROR(IF(VLOOKUP($B186,Input!$AC$2:$AC$162,1,0)=$B186,0),F186)</f>
        <v>99.240159024451899</v>
      </c>
      <c r="O186" s="51">
        <f>IFERROR(IF(VLOOKUP($B186,Input!$AC$2:$AC$162,1,0)=$B186,0,G186),G186)</f>
        <v>109.17984431164599</v>
      </c>
      <c r="P186" s="51">
        <f>IF(N186=0,0,F186-AVERAGE(INDEX(F:F,MATCH(VLOOKUP(D186,Input!$A$14:$L$22,10,0),L:L,0)),INDEX(F:F,MATCH(VLOOKUP(D186,Input!$A$14:$L$22,11,0),L:L,0)),INDEX(F:F,MATCH(VLOOKUP(D186,Input!$A$14:$L$22,12,0),L:L,0)))+(0.01-ROW()*0.01))</f>
        <v>-34.152822557676096</v>
      </c>
      <c r="Q186" s="107">
        <f t="shared" si="60"/>
        <v>-1.1782482695206155E-2</v>
      </c>
      <c r="R186" s="11">
        <f>IF(VLOOKUP($D186,$X$14:$Y$19,2,0)&lt;=0,1,IF(Q186&lt;0,1,ROUNDUP(IF(Q186*('Draft Center'!$L$28+'Draft Center'!$L$78-'Draft Center'!$L$82)&lt;1,1,Q186*('Draft Center'!$L$28+'Draft Center'!$L$78-'Draft Center'!$L$82)),0)))</f>
        <v>1</v>
      </c>
      <c r="S186" s="11">
        <f>IF(A186&lt;Input!$B$10+0.1,IF(ROUNDUP(R186*Input!$C$10,0)=0,1,ROUNDUP(R186*Input!$C$10,0)),IF(A186&gt;Input!$B$11,IF(ROUNDUP(R186*Input!$C$11,0)=0,1,ROUNDUP(R186*Input!$C$11,0)),IF(ROUNDUP(R186,0)=0,1,ROUNDUP(R186,0))))</f>
        <v>1</v>
      </c>
      <c r="T186" s="11">
        <f t="shared" si="61"/>
        <v>1</v>
      </c>
      <c r="U186" s="11">
        <f>IFERROR(VLOOKUP($B186,Input!$AC$2:$AE$161,3,0),0)</f>
        <v>0</v>
      </c>
      <c r="V186" s="257">
        <f t="shared" si="66"/>
        <v>0</v>
      </c>
      <c r="W186" s="264">
        <f t="shared" si="67"/>
        <v>1.00186</v>
      </c>
      <c r="X186" s="27"/>
      <c r="Y186" s="23"/>
      <c r="Z186" s="23"/>
      <c r="AA186" s="23">
        <v>0</v>
      </c>
      <c r="AB186" s="23" t="str">
        <f t="shared" si="80"/>
        <v/>
      </c>
      <c r="AC186" s="23" t="str">
        <f t="shared" si="80"/>
        <v/>
      </c>
      <c r="AD186" s="23" t="str">
        <f t="shared" si="80"/>
        <v/>
      </c>
      <c r="AE186" s="23" t="str">
        <f t="shared" si="80"/>
        <v/>
      </c>
      <c r="AF186" s="23" t="str">
        <f t="shared" si="80"/>
        <v/>
      </c>
      <c r="AG186" s="23">
        <f t="shared" si="80"/>
        <v>0</v>
      </c>
      <c r="AH186" s="23">
        <f t="shared" si="62"/>
        <v>0</v>
      </c>
      <c r="AI186" s="23">
        <f t="shared" si="63"/>
        <v>0</v>
      </c>
      <c r="AJ186" s="71">
        <v>1</v>
      </c>
      <c r="AK186" s="225">
        <v>2327.0337</v>
      </c>
      <c r="AL186" s="33">
        <v>1</v>
      </c>
      <c r="AM186" s="204">
        <v>2327.0337</v>
      </c>
      <c r="AN186" s="196"/>
      <c r="AO186" s="68"/>
      <c r="AQ186" s="68"/>
      <c r="AR186" s="68"/>
      <c r="AS186" s="68"/>
      <c r="AT186" s="68"/>
      <c r="AU186" s="68"/>
      <c r="AV186" s="68"/>
      <c r="AW186" s="68"/>
      <c r="AX186" s="68"/>
      <c r="AY186" s="68"/>
      <c r="AZ186" s="196"/>
      <c r="BA186" s="71">
        <f>IF(VLOOKUP($D186,$AO$14:AQ$19,COLUMN()-50,0)&lt;=0,1,IF($Q186&lt;0,1,ROUNDUP(IF($Q186*('Draft Center'!$L$28+'Draft Center'!$L$78-'Draft Center'!$L$82)&lt;1,1,$Q186*('Draft Center'!$L$28+'Draft Center'!$L$78-'Draft Center'!$L$82)),0)))</f>
        <v>1</v>
      </c>
      <c r="BB186" s="71">
        <f>IF(VLOOKUP($D186,$AO$14:AR$19,COLUMN()-50,0)&lt;=0,1,IF($Q186&lt;0,1,ROUNDUP(IF($Q186*('Draft Center'!$L$28+'Draft Center'!$L$78-'Draft Center'!$L$82)&lt;1,1,$Q186*('Draft Center'!$L$28+'Draft Center'!$L$78-'Draft Center'!$L$82)),0)))</f>
        <v>1</v>
      </c>
      <c r="BC186" s="71">
        <f>IF(VLOOKUP($D186,$AO$14:AS$19,COLUMN()-50,0)&lt;=0,1,IF($Q186&lt;0,1,ROUNDUP(IF($Q186*('Draft Center'!$L$28+'Draft Center'!$L$78-'Draft Center'!$L$82)&lt;1,1,$Q186*('Draft Center'!$L$28+'Draft Center'!$L$78-'Draft Center'!$L$82)),0)))</f>
        <v>1</v>
      </c>
      <c r="BD186" s="71">
        <f>IF(VLOOKUP($D186,$AO$14:AT$19,COLUMN()-50,0)&lt;=0,1,IF($Q186&lt;0,1,ROUNDUP(IF($Q186*('Draft Center'!$L$28+'Draft Center'!$L$78-'Draft Center'!$L$82)&lt;1,1,$Q186*('Draft Center'!$L$28+'Draft Center'!$L$78-'Draft Center'!$L$82)),0)))</f>
        <v>1</v>
      </c>
      <c r="BE186" s="71">
        <f>IF(VLOOKUP($D186,$AO$14:AU$19,COLUMN()-50,0)&lt;=0,1,IF($Q186&lt;0,1,ROUNDUP(IF($Q186*('Draft Center'!$L$28+'Draft Center'!$L$78-'Draft Center'!$L$82)&lt;1,1,$Q186*('Draft Center'!$L$28+'Draft Center'!$L$78-'Draft Center'!$L$82)),0)))</f>
        <v>1</v>
      </c>
      <c r="BF186" s="71">
        <f>IF(VLOOKUP($D186,$AO$14:AV$19,COLUMN()-50,0)&lt;=0,1,IF($Q186&lt;0,1,ROUNDUP(IF($Q186*('Draft Center'!$L$28+'Draft Center'!$L$78-'Draft Center'!$L$82)&lt;1,1,$Q186*('Draft Center'!$L$28+'Draft Center'!$L$78-'Draft Center'!$L$82)),0)))</f>
        <v>1</v>
      </c>
      <c r="BG186" s="71">
        <f>IF(VLOOKUP($D186,$AO$14:AW$19,COLUMN()-50,0)&lt;=0,1,IF($Q186&lt;0,1,ROUNDUP(IF($Q186*('Draft Center'!$L$28+'Draft Center'!$L$78-'Draft Center'!$L$82)&lt;1,1,$Q186*('Draft Center'!$L$28+'Draft Center'!$L$78-'Draft Center'!$L$82)),0)))</f>
        <v>1</v>
      </c>
      <c r="BH186" s="71">
        <f>IF(VLOOKUP($D186,$AO$14:AX$19,COLUMN()-50,0)&lt;=0,1,IF($Q186&lt;0,1,ROUNDUP(IF($Q186*('Draft Center'!$L$28+'Draft Center'!$L$78-'Draft Center'!$L$82)&lt;1,1,$Q186*('Draft Center'!$L$28+'Draft Center'!$L$78-'Draft Center'!$L$82)),0)))</f>
        <v>1</v>
      </c>
      <c r="BI186" s="71">
        <f>IF(VLOOKUP($D186,$AO$14:AY$19,COLUMN()-50,0)&lt;=0,1,IF($Q186&lt;0,1,ROUNDUP(IF($Q186*('Draft Center'!$L$28+'Draft Center'!$L$78-'Draft Center'!$L$82)&lt;1,1,$Q186*('Draft Center'!$L$28+'Draft Center'!$L$78-'Draft Center'!$L$82)),0)))</f>
        <v>1</v>
      </c>
      <c r="BJ186" s="196"/>
      <c r="BK186" s="23">
        <v>0</v>
      </c>
      <c r="BL186" s="23" t="str">
        <f t="shared" si="81"/>
        <v/>
      </c>
      <c r="BM186" s="23">
        <v>0</v>
      </c>
      <c r="BN186" s="23" t="str">
        <f t="shared" si="81"/>
        <v/>
      </c>
      <c r="BO186" s="23" t="str">
        <f t="shared" si="81"/>
        <v/>
      </c>
      <c r="BP186" s="23" t="str">
        <f t="shared" si="81"/>
        <v/>
      </c>
      <c r="BQ186" s="23">
        <f t="shared" si="81"/>
        <v>0</v>
      </c>
      <c r="BR186" s="23">
        <f t="shared" si="64"/>
        <v>0</v>
      </c>
      <c r="BS186" s="23">
        <f t="shared" si="65"/>
        <v>0</v>
      </c>
      <c r="BT186" s="71">
        <v>1</v>
      </c>
      <c r="BU186" s="58">
        <v>2327.0337</v>
      </c>
      <c r="BV186" s="33">
        <v>1</v>
      </c>
      <c r="BW186" s="204">
        <v>2327.0337</v>
      </c>
      <c r="BX186" s="23"/>
      <c r="BY186" s="69">
        <v>1</v>
      </c>
      <c r="BZ186" s="69">
        <v>0</v>
      </c>
      <c r="CA186" s="69">
        <v>0</v>
      </c>
      <c r="CB186" s="69">
        <v>0</v>
      </c>
      <c r="CC186" s="69">
        <f t="shared" si="68"/>
        <v>0</v>
      </c>
      <c r="CD186" s="69">
        <f t="shared" si="69"/>
        <v>0</v>
      </c>
    </row>
    <row r="187" spans="1:82" ht="15.75" customHeight="1" thickBot="1" x14ac:dyDescent="0.3">
      <c r="A187" s="6">
        <v>186</v>
      </c>
      <c r="B187" s="7" t="s">
        <v>88</v>
      </c>
      <c r="C187" s="7" t="s">
        <v>85</v>
      </c>
      <c r="D187" s="7" t="s">
        <v>19</v>
      </c>
      <c r="E187" s="50">
        <v>-32.355290962649399</v>
      </c>
      <c r="F187" s="50">
        <v>136.747107063302</v>
      </c>
      <c r="G187" s="50">
        <v>156.848724234966</v>
      </c>
      <c r="H187" s="50">
        <v>105.86</v>
      </c>
      <c r="I187" s="8">
        <v>1.6</v>
      </c>
      <c r="J187" s="50">
        <v>5.2646028565198604</v>
      </c>
      <c r="K187" s="248">
        <f>IFERROR(VLOOKUP(C187,Schedule!$T$3:$U$34,2,0),"FA")</f>
        <v>11</v>
      </c>
      <c r="L187" s="7" t="str">
        <f>D187&amp;COUNTIF(D$2:$D187,D187)</f>
        <v>RB41</v>
      </c>
      <c r="M187" s="50">
        <f t="array" ref="M187">IFERROR(F187-AVERAGE(VLOOKUP(D187,$D188:$F$885,3,0),INDEX($F188:$F$885,SMALL(IF(D187=$D188:$D$885,ROW($D188:$D$885)-ROW(D187)),2))),0)</f>
        <v>2.6136749239104802</v>
      </c>
      <c r="N187" s="50">
        <f>IFERROR(IF(VLOOKUP($B187,Input!$AC$2:$AC$162,1,0)=$B187,0),F187)</f>
        <v>136.747107063302</v>
      </c>
      <c r="O187" s="50">
        <f>IFERROR(IF(VLOOKUP($B187,Input!$AC$2:$AC$162,1,0)=$B187,0,G187),G187)</f>
        <v>156.848724234966</v>
      </c>
      <c r="P187" s="50">
        <f>IF(N187=0,0,F187-AVERAGE(INDEX(F:F,MATCH(VLOOKUP(D187,Input!$A$14:$L$22,10,0),L:L,0)),INDEX(F:F,MATCH(VLOOKUP(D187,Input!$A$14:$L$22,11,0),L:L,0)),INDEX(F:F,MATCH(VLOOKUP(D187,Input!$A$14:$L$22,12,0),L:L,0)))+(0.01-ROW()*0.01))</f>
        <v>-34.215290962650002</v>
      </c>
      <c r="Q187" s="106">
        <f t="shared" si="60"/>
        <v>-1.1804033853953259E-2</v>
      </c>
      <c r="R187" s="8">
        <f>IF(VLOOKUP($D187,$X$14:$Y$19,2,0)&lt;=0,1,IF(Q187&lt;0,1,ROUNDUP(IF(Q187*('Draft Center'!$L$28+'Draft Center'!$L$78-'Draft Center'!$L$82)&lt;1,1,Q187*('Draft Center'!$L$28+'Draft Center'!$L$78-'Draft Center'!$L$82)),0)))</f>
        <v>1</v>
      </c>
      <c r="S187" s="8">
        <f>IF(A187&lt;Input!$B$10+0.1,IF(ROUNDUP(R187*Input!$C$10,0)=0,1,ROUNDUP(R187*Input!$C$10,0)),IF(A187&gt;Input!$B$11,IF(ROUNDUP(R187*Input!$C$11,0)=0,1,ROUNDUP(R187*Input!$C$11,0)),IF(ROUNDUP(R187,0)=0,1,ROUNDUP(R187,0))))</f>
        <v>1</v>
      </c>
      <c r="T187" s="8">
        <f t="shared" si="61"/>
        <v>1</v>
      </c>
      <c r="U187" s="8">
        <f>IFERROR(VLOOKUP($B187,Input!$AC$2:$AE$161,3,0),0)</f>
        <v>0</v>
      </c>
      <c r="V187" s="256">
        <f t="shared" si="66"/>
        <v>-0.37313000000000007</v>
      </c>
      <c r="W187" s="263">
        <f t="shared" si="67"/>
        <v>-0.59813000000000005</v>
      </c>
      <c r="X187" s="27"/>
      <c r="Y187" s="23"/>
      <c r="Z187" s="23"/>
      <c r="AA187" s="23">
        <v>0</v>
      </c>
      <c r="AB187" s="23" t="str">
        <f t="shared" si="80"/>
        <v/>
      </c>
      <c r="AC187" s="23">
        <f t="shared" si="80"/>
        <v>0</v>
      </c>
      <c r="AD187" s="23" t="str">
        <f t="shared" si="80"/>
        <v/>
      </c>
      <c r="AE187" s="23" t="str">
        <f t="shared" si="80"/>
        <v/>
      </c>
      <c r="AF187" s="23" t="str">
        <f t="shared" si="80"/>
        <v/>
      </c>
      <c r="AG187" s="23" t="str">
        <f t="shared" si="80"/>
        <v/>
      </c>
      <c r="AH187" s="23">
        <f t="shared" si="62"/>
        <v>0</v>
      </c>
      <c r="AI187" s="23">
        <f t="shared" si="63"/>
        <v>0</v>
      </c>
      <c r="AJ187" s="73">
        <v>1</v>
      </c>
      <c r="AK187" s="225">
        <v>2327.0337</v>
      </c>
      <c r="AL187" s="33">
        <v>1</v>
      </c>
      <c r="AM187" s="204">
        <v>2327.0337</v>
      </c>
      <c r="AN187" s="196"/>
      <c r="AO187" s="68"/>
      <c r="AQ187" s="68"/>
      <c r="AR187" s="68"/>
      <c r="AS187" s="68"/>
      <c r="AT187" s="68"/>
      <c r="AU187" s="68"/>
      <c r="AV187" s="68"/>
      <c r="AW187" s="68"/>
      <c r="AX187" s="68"/>
      <c r="AY187" s="68"/>
      <c r="AZ187" s="196"/>
      <c r="BA187" s="73">
        <f>IF(VLOOKUP($D187,$AO$14:AQ$19,COLUMN()-50,0)&lt;=0,1,IF($Q187&lt;0,1,ROUNDUP(IF($Q187*('Draft Center'!$L$28+'Draft Center'!$L$78-'Draft Center'!$L$82)&lt;1,1,$Q187*('Draft Center'!$L$28+'Draft Center'!$L$78-'Draft Center'!$L$82)),0)))</f>
        <v>1</v>
      </c>
      <c r="BB187" s="73">
        <f>IF(VLOOKUP($D187,$AO$14:AR$19,COLUMN()-50,0)&lt;=0,1,IF($Q187&lt;0,1,ROUNDUP(IF($Q187*('Draft Center'!$L$28+'Draft Center'!$L$78-'Draft Center'!$L$82)&lt;1,1,$Q187*('Draft Center'!$L$28+'Draft Center'!$L$78-'Draft Center'!$L$82)),0)))</f>
        <v>1</v>
      </c>
      <c r="BC187" s="73">
        <f>IF(VLOOKUP($D187,$AO$14:AS$19,COLUMN()-50,0)&lt;=0,1,IF($Q187&lt;0,1,ROUNDUP(IF($Q187*('Draft Center'!$L$28+'Draft Center'!$L$78-'Draft Center'!$L$82)&lt;1,1,$Q187*('Draft Center'!$L$28+'Draft Center'!$L$78-'Draft Center'!$L$82)),0)))</f>
        <v>1</v>
      </c>
      <c r="BD187" s="73">
        <f>IF(VLOOKUP($D187,$AO$14:AT$19,COLUMN()-50,0)&lt;=0,1,IF($Q187&lt;0,1,ROUNDUP(IF($Q187*('Draft Center'!$L$28+'Draft Center'!$L$78-'Draft Center'!$L$82)&lt;1,1,$Q187*('Draft Center'!$L$28+'Draft Center'!$L$78-'Draft Center'!$L$82)),0)))</f>
        <v>1</v>
      </c>
      <c r="BE187" s="73">
        <f>IF(VLOOKUP($D187,$AO$14:AU$19,COLUMN()-50,0)&lt;=0,1,IF($Q187&lt;0,1,ROUNDUP(IF($Q187*('Draft Center'!$L$28+'Draft Center'!$L$78-'Draft Center'!$L$82)&lt;1,1,$Q187*('Draft Center'!$L$28+'Draft Center'!$L$78-'Draft Center'!$L$82)),0)))</f>
        <v>1</v>
      </c>
      <c r="BF187" s="73">
        <f>IF(VLOOKUP($D187,$AO$14:AV$19,COLUMN()-50,0)&lt;=0,1,IF($Q187&lt;0,1,ROUNDUP(IF($Q187*('Draft Center'!$L$28+'Draft Center'!$L$78-'Draft Center'!$L$82)&lt;1,1,$Q187*('Draft Center'!$L$28+'Draft Center'!$L$78-'Draft Center'!$L$82)),0)))</f>
        <v>1</v>
      </c>
      <c r="BG187" s="73">
        <f>IF(VLOOKUP($D187,$AO$14:AW$19,COLUMN()-50,0)&lt;=0,1,IF($Q187&lt;0,1,ROUNDUP(IF($Q187*('Draft Center'!$L$28+'Draft Center'!$L$78-'Draft Center'!$L$82)&lt;1,1,$Q187*('Draft Center'!$L$28+'Draft Center'!$L$78-'Draft Center'!$L$82)),0)))</f>
        <v>1</v>
      </c>
      <c r="BH187" s="73">
        <f>IF(VLOOKUP($D187,$AO$14:AX$19,COLUMN()-50,0)&lt;=0,1,IF($Q187&lt;0,1,ROUNDUP(IF($Q187*('Draft Center'!$L$28+'Draft Center'!$L$78-'Draft Center'!$L$82)&lt;1,1,$Q187*('Draft Center'!$L$28+'Draft Center'!$L$78-'Draft Center'!$L$82)),0)))</f>
        <v>1</v>
      </c>
      <c r="BI187" s="73">
        <f>IF(VLOOKUP($D187,$AO$14:AY$19,COLUMN()-50,0)&lt;=0,1,IF($Q187&lt;0,1,ROUNDUP(IF($Q187*('Draft Center'!$L$28+'Draft Center'!$L$78-'Draft Center'!$L$82)&lt;1,1,$Q187*('Draft Center'!$L$28+'Draft Center'!$L$78-'Draft Center'!$L$82)),0)))</f>
        <v>1</v>
      </c>
      <c r="BJ187" s="196"/>
      <c r="BK187" s="23">
        <v>0</v>
      </c>
      <c r="BL187" s="23" t="str">
        <f t="shared" si="81"/>
        <v/>
      </c>
      <c r="BM187" s="23">
        <v>0</v>
      </c>
      <c r="BN187" s="23" t="str">
        <f t="shared" si="81"/>
        <v/>
      </c>
      <c r="BO187" s="23" t="str">
        <f t="shared" si="81"/>
        <v/>
      </c>
      <c r="BP187" s="23" t="str">
        <f t="shared" si="81"/>
        <v/>
      </c>
      <c r="BQ187" s="23" t="str">
        <f t="shared" si="81"/>
        <v/>
      </c>
      <c r="BR187" s="23">
        <f t="shared" si="64"/>
        <v>0</v>
      </c>
      <c r="BS187" s="23">
        <f t="shared" si="65"/>
        <v>0</v>
      </c>
      <c r="BT187" s="73">
        <v>1</v>
      </c>
      <c r="BU187" s="58">
        <v>2327.0337</v>
      </c>
      <c r="BV187" s="33">
        <v>1</v>
      </c>
      <c r="BW187" s="204">
        <v>2327.0337</v>
      </c>
      <c r="BX187" s="23"/>
      <c r="BY187" s="70">
        <v>1</v>
      </c>
      <c r="BZ187" s="70">
        <v>1.6</v>
      </c>
      <c r="CA187" s="70">
        <v>1.6</v>
      </c>
      <c r="CB187" s="70">
        <v>1.6</v>
      </c>
      <c r="CC187" s="70">
        <f t="shared" si="68"/>
        <v>1.6000000000000003</v>
      </c>
      <c r="CD187" s="70">
        <f t="shared" si="69"/>
        <v>1.6</v>
      </c>
    </row>
    <row r="188" spans="1:82" ht="15.75" customHeight="1" thickBot="1" x14ac:dyDescent="0.3">
      <c r="A188" s="9">
        <v>187</v>
      </c>
      <c r="B188" s="10" t="s">
        <v>180</v>
      </c>
      <c r="C188" s="10" t="s">
        <v>143</v>
      </c>
      <c r="D188" s="10" t="s">
        <v>17</v>
      </c>
      <c r="E188" s="51">
        <v>-34.431556637929198</v>
      </c>
      <c r="F188" s="51">
        <v>178.34635963142</v>
      </c>
      <c r="G188" s="51">
        <v>196.05190518296601</v>
      </c>
      <c r="H188" s="51">
        <v>119.470260631001</v>
      </c>
      <c r="I188" s="11">
        <v>1.7</v>
      </c>
      <c r="J188" s="51">
        <v>5.0573237549197403</v>
      </c>
      <c r="K188" s="249">
        <f>IFERROR(VLOOKUP(C188,Schedule!$T$3:$U$34,2,0),"FA")</f>
        <v>9</v>
      </c>
      <c r="L188" s="10" t="str">
        <f>D188&amp;COUNTIF(D$2:$D188,D188)</f>
        <v>WR45</v>
      </c>
      <c r="M188" s="51">
        <f t="array" ref="M188">IFERROR(F188-AVERAGE(VLOOKUP(D188,$D189:$F$885,3,0),INDEX($F189:$F$885,SMALL(IF(D188=$D189:$D$885,ROW($D189:$D$885)-ROW(D188)),2))),0)</f>
        <v>4.7104653899795039</v>
      </c>
      <c r="N188" s="51">
        <f>IFERROR(IF(VLOOKUP($B188,Input!$AC$2:$AC$162,1,0)=$B188,0),F188)</f>
        <v>178.34635963142</v>
      </c>
      <c r="O188" s="51">
        <f>IFERROR(IF(VLOOKUP($B188,Input!$AC$2:$AC$162,1,0)=$B188,0,G188),G188)</f>
        <v>196.05190518296601</v>
      </c>
      <c r="P188" s="51">
        <f>IF(N188=0,0,F188-AVERAGE(INDEX(F:F,MATCH(VLOOKUP(D188,Input!$A$14:$L$22,10,0),L:L,0)),INDEX(F:F,MATCH(VLOOKUP(D188,Input!$A$14:$L$22,11,0),L:L,0)),INDEX(F:F,MATCH(VLOOKUP(D188,Input!$A$14:$L$22,12,0),L:L,0)))+(0.01-ROW()*0.01))</f>
        <v>-36.301556637929018</v>
      </c>
      <c r="Q188" s="107">
        <f t="shared" si="60"/>
        <v>-1.2523780784827432E-2</v>
      </c>
      <c r="R188" s="11">
        <f>IF(VLOOKUP($D188,$X$14:$Y$19,2,0)&lt;=0,1,IF(Q188&lt;0,1,ROUNDUP(IF(Q188*('Draft Center'!$L$28+'Draft Center'!$L$78-'Draft Center'!$L$82)&lt;1,1,Q188*('Draft Center'!$L$28+'Draft Center'!$L$78-'Draft Center'!$L$82)),0)))</f>
        <v>1</v>
      </c>
      <c r="S188" s="11">
        <f>IF(A188&lt;Input!$B$10+0.1,IF(ROUNDUP(R188*Input!$C$10,0)=0,1,ROUNDUP(R188*Input!$C$10,0)),IF(A188&gt;Input!$B$11,IF(ROUNDUP(R188*Input!$C$11,0)=0,1,ROUNDUP(R188*Input!$C$11,0)),IF(ROUNDUP(R188,0)=0,1,ROUNDUP(R188,0))))</f>
        <v>1</v>
      </c>
      <c r="T188" s="11">
        <f t="shared" si="61"/>
        <v>1</v>
      </c>
      <c r="U188" s="11">
        <f>IFERROR(VLOOKUP($B188,Input!$AC$2:$AE$161,3,0),0)</f>
        <v>0</v>
      </c>
      <c r="V188" s="257">
        <f t="shared" si="66"/>
        <v>-0.40988470588235293</v>
      </c>
      <c r="W188" s="264">
        <f t="shared" si="67"/>
        <v>-0.69811999999999996</v>
      </c>
      <c r="X188" s="27"/>
      <c r="Y188" s="23"/>
      <c r="Z188" s="23"/>
      <c r="AA188" s="23">
        <v>0</v>
      </c>
      <c r="AB188" s="23" t="str">
        <f t="shared" si="80"/>
        <v/>
      </c>
      <c r="AC188" s="23" t="str">
        <f t="shared" si="80"/>
        <v/>
      </c>
      <c r="AD188" s="23">
        <f t="shared" si="80"/>
        <v>0</v>
      </c>
      <c r="AE188" s="23" t="str">
        <f t="shared" si="80"/>
        <v/>
      </c>
      <c r="AF188" s="23" t="str">
        <f t="shared" si="80"/>
        <v/>
      </c>
      <c r="AG188" s="23" t="str">
        <f t="shared" si="80"/>
        <v/>
      </c>
      <c r="AH188" s="23">
        <f t="shared" si="62"/>
        <v>0</v>
      </c>
      <c r="AI188" s="23">
        <f t="shared" si="63"/>
        <v>0</v>
      </c>
      <c r="AJ188" s="69">
        <v>1</v>
      </c>
      <c r="AK188" s="225">
        <v>2327.0337</v>
      </c>
      <c r="AL188" s="33">
        <v>1</v>
      </c>
      <c r="AM188" s="204">
        <v>2327.0337</v>
      </c>
      <c r="AN188" s="196"/>
      <c r="AO188" s="68"/>
      <c r="AQ188" s="68"/>
      <c r="AR188" s="68"/>
      <c r="AS188" s="68"/>
      <c r="AT188" s="68"/>
      <c r="AU188" s="68"/>
      <c r="AV188" s="68"/>
      <c r="AW188" s="68"/>
      <c r="AX188" s="68"/>
      <c r="AY188" s="68"/>
      <c r="AZ188" s="196"/>
      <c r="BA188" s="69">
        <f>IF(VLOOKUP($D188,$AO$14:AQ$19,COLUMN()-50,0)&lt;=0,1,IF($Q188&lt;0,1,ROUNDUP(IF($Q188*('Draft Center'!$L$28+'Draft Center'!$L$78-'Draft Center'!$L$82)&lt;1,1,$Q188*('Draft Center'!$L$28+'Draft Center'!$L$78-'Draft Center'!$L$82)),0)))</f>
        <v>1</v>
      </c>
      <c r="BB188" s="69">
        <f>IF(VLOOKUP($D188,$AO$14:AR$19,COLUMN()-50,0)&lt;=0,1,IF($Q188&lt;0,1,ROUNDUP(IF($Q188*('Draft Center'!$L$28+'Draft Center'!$L$78-'Draft Center'!$L$82)&lt;1,1,$Q188*('Draft Center'!$L$28+'Draft Center'!$L$78-'Draft Center'!$L$82)),0)))</f>
        <v>1</v>
      </c>
      <c r="BC188" s="69">
        <f>IF(VLOOKUP($D188,$AO$14:AS$19,COLUMN()-50,0)&lt;=0,1,IF($Q188&lt;0,1,ROUNDUP(IF($Q188*('Draft Center'!$L$28+'Draft Center'!$L$78-'Draft Center'!$L$82)&lt;1,1,$Q188*('Draft Center'!$L$28+'Draft Center'!$L$78-'Draft Center'!$L$82)),0)))</f>
        <v>1</v>
      </c>
      <c r="BD188" s="69">
        <f>IF(VLOOKUP($D188,$AO$14:AT$19,COLUMN()-50,0)&lt;=0,1,IF($Q188&lt;0,1,ROUNDUP(IF($Q188*('Draft Center'!$L$28+'Draft Center'!$L$78-'Draft Center'!$L$82)&lt;1,1,$Q188*('Draft Center'!$L$28+'Draft Center'!$L$78-'Draft Center'!$L$82)),0)))</f>
        <v>1</v>
      </c>
      <c r="BE188" s="69">
        <f>IF(VLOOKUP($D188,$AO$14:AU$19,COLUMN()-50,0)&lt;=0,1,IF($Q188&lt;0,1,ROUNDUP(IF($Q188*('Draft Center'!$L$28+'Draft Center'!$L$78-'Draft Center'!$L$82)&lt;1,1,$Q188*('Draft Center'!$L$28+'Draft Center'!$L$78-'Draft Center'!$L$82)),0)))</f>
        <v>1</v>
      </c>
      <c r="BF188" s="69">
        <f>IF(VLOOKUP($D188,$AO$14:AV$19,COLUMN()-50,0)&lt;=0,1,IF($Q188&lt;0,1,ROUNDUP(IF($Q188*('Draft Center'!$L$28+'Draft Center'!$L$78-'Draft Center'!$L$82)&lt;1,1,$Q188*('Draft Center'!$L$28+'Draft Center'!$L$78-'Draft Center'!$L$82)),0)))</f>
        <v>1</v>
      </c>
      <c r="BG188" s="69">
        <f>IF(VLOOKUP($D188,$AO$14:AW$19,COLUMN()-50,0)&lt;=0,1,IF($Q188&lt;0,1,ROUNDUP(IF($Q188*('Draft Center'!$L$28+'Draft Center'!$L$78-'Draft Center'!$L$82)&lt;1,1,$Q188*('Draft Center'!$L$28+'Draft Center'!$L$78-'Draft Center'!$L$82)),0)))</f>
        <v>1</v>
      </c>
      <c r="BH188" s="69">
        <f>IF(VLOOKUP($D188,$AO$14:AX$19,COLUMN()-50,0)&lt;=0,1,IF($Q188&lt;0,1,ROUNDUP(IF($Q188*('Draft Center'!$L$28+'Draft Center'!$L$78-'Draft Center'!$L$82)&lt;1,1,$Q188*('Draft Center'!$L$28+'Draft Center'!$L$78-'Draft Center'!$L$82)),0)))</f>
        <v>1</v>
      </c>
      <c r="BI188" s="69">
        <f>IF(VLOOKUP($D188,$AO$14:AY$19,COLUMN()-50,0)&lt;=0,1,IF($Q188&lt;0,1,ROUNDUP(IF($Q188*('Draft Center'!$L$28+'Draft Center'!$L$78-'Draft Center'!$L$82)&lt;1,1,$Q188*('Draft Center'!$L$28+'Draft Center'!$L$78-'Draft Center'!$L$82)),0)))</f>
        <v>1</v>
      </c>
      <c r="BJ188" s="196"/>
      <c r="BK188" s="23">
        <v>0</v>
      </c>
      <c r="BL188" s="23" t="str">
        <f t="shared" si="81"/>
        <v/>
      </c>
      <c r="BM188" s="23">
        <v>0</v>
      </c>
      <c r="BN188" s="23">
        <f t="shared" si="81"/>
        <v>0</v>
      </c>
      <c r="BO188" s="23" t="str">
        <f t="shared" si="81"/>
        <v/>
      </c>
      <c r="BP188" s="23" t="str">
        <f t="shared" si="81"/>
        <v/>
      </c>
      <c r="BQ188" s="23" t="str">
        <f t="shared" si="81"/>
        <v/>
      </c>
      <c r="BR188" s="23">
        <f t="shared" si="64"/>
        <v>0</v>
      </c>
      <c r="BS188" s="23">
        <f t="shared" si="65"/>
        <v>0</v>
      </c>
      <c r="BT188" s="69">
        <v>1</v>
      </c>
      <c r="BU188" s="58">
        <v>2327.0337</v>
      </c>
      <c r="BV188" s="33">
        <v>1</v>
      </c>
      <c r="BW188" s="204">
        <v>2327.0337</v>
      </c>
      <c r="BX188" s="23"/>
      <c r="BY188" s="69">
        <v>1</v>
      </c>
      <c r="BZ188" s="69">
        <v>1.7</v>
      </c>
      <c r="CA188" s="69">
        <v>1.7</v>
      </c>
      <c r="CB188" s="69">
        <v>1.7</v>
      </c>
      <c r="CC188" s="69">
        <f t="shared" si="68"/>
        <v>1.7</v>
      </c>
      <c r="CD188" s="69">
        <f t="shared" si="69"/>
        <v>1.7</v>
      </c>
    </row>
    <row r="189" spans="1:82" ht="15.75" customHeight="1" thickBot="1" x14ac:dyDescent="0.3">
      <c r="A189" s="6">
        <v>188</v>
      </c>
      <c r="B189" s="7" t="s">
        <v>789</v>
      </c>
      <c r="C189" s="7" t="s">
        <v>23</v>
      </c>
      <c r="D189" s="7" t="s">
        <v>43</v>
      </c>
      <c r="E189" s="50">
        <v>-34.695433425267701</v>
      </c>
      <c r="F189" s="50">
        <v>118.76548592694201</v>
      </c>
      <c r="G189" s="50">
        <v>136.21214641757999</v>
      </c>
      <c r="H189" s="50">
        <v>88.766188599932207</v>
      </c>
      <c r="I189" s="8">
        <v>0</v>
      </c>
      <c r="J189" s="50">
        <v>4.1997954401956799</v>
      </c>
      <c r="K189" s="248">
        <f>IFERROR(VLOOKUP(C189,Schedule!$T$3:$U$34,2,0),"FA")</f>
        <v>5</v>
      </c>
      <c r="L189" s="7" t="str">
        <f>D189&amp;COUNTIF(D$2:$D189,D189)</f>
        <v>TE22</v>
      </c>
      <c r="M189" s="50">
        <f t="array" ref="M189">IFERROR(F189-AVERAGE(VLOOKUP(D189,$D190:$F$885,3,0),INDEX($F190:$F$885,SMALL(IF(D189=$D190:$D$885,ROW($D190:$D$885)-ROW(D189)),2))),0)</f>
        <v>4.260257496104515</v>
      </c>
      <c r="N189" s="50">
        <f>IFERROR(IF(VLOOKUP($B189,Input!$AC$2:$AC$162,1,0)=$B189,0),F189)</f>
        <v>118.76548592694201</v>
      </c>
      <c r="O189" s="50">
        <f>IFERROR(IF(VLOOKUP($B189,Input!$AC$2:$AC$162,1,0)=$B189,0,G189),G189)</f>
        <v>136.21214641757999</v>
      </c>
      <c r="P189" s="50">
        <f>IF(N189=0,0,F189-AVERAGE(INDEX(F:F,MATCH(VLOOKUP(D189,Input!$A$14:$L$22,10,0),L:L,0)),INDEX(F:F,MATCH(VLOOKUP(D189,Input!$A$14:$L$22,11,0),L:L,0)),INDEX(F:F,MATCH(VLOOKUP(D189,Input!$A$14:$L$22,12,0),L:L,0)))+(0.01-ROW()*0.01))</f>
        <v>-36.575433425267313</v>
      </c>
      <c r="Q189" s="106">
        <f t="shared" si="60"/>
        <v>-1.2618266343143515E-2</v>
      </c>
      <c r="R189" s="8">
        <f>IF(VLOOKUP($D189,$X$14:$Y$19,2,0)&lt;=0,1,IF(Q189&lt;0,1,ROUNDUP(IF(Q189*('Draft Center'!$L$28+'Draft Center'!$L$78-'Draft Center'!$L$82)&lt;1,1,Q189*('Draft Center'!$L$28+'Draft Center'!$L$78-'Draft Center'!$L$82)),0)))</f>
        <v>1</v>
      </c>
      <c r="S189" s="8">
        <f>IF(A189&lt;Input!$B$10+0.1,IF(ROUNDUP(R189*Input!$C$10,0)=0,1,ROUNDUP(R189*Input!$C$10,0)),IF(A189&gt;Input!$B$11,IF(ROUNDUP(R189*Input!$C$11,0)=0,1,ROUNDUP(R189*Input!$C$11,0)),IF(ROUNDUP(R189,0)=0,1,ROUNDUP(R189,0))))</f>
        <v>1</v>
      </c>
      <c r="T189" s="8">
        <f t="shared" si="61"/>
        <v>1</v>
      </c>
      <c r="U189" s="8">
        <f>IFERROR(VLOOKUP($B189,Input!$AC$2:$AE$161,3,0),0)</f>
        <v>0</v>
      </c>
      <c r="V189" s="256">
        <f t="shared" si="66"/>
        <v>0</v>
      </c>
      <c r="W189" s="263">
        <f t="shared" si="67"/>
        <v>1.0018899999999999</v>
      </c>
      <c r="X189" s="27"/>
      <c r="Y189" s="23"/>
      <c r="Z189" s="23"/>
      <c r="AA189" s="23">
        <v>0</v>
      </c>
      <c r="AB189" s="23" t="str">
        <f t="shared" si="80"/>
        <v/>
      </c>
      <c r="AC189" s="23" t="str">
        <f t="shared" si="80"/>
        <v/>
      </c>
      <c r="AD189" s="23" t="str">
        <f t="shared" si="80"/>
        <v/>
      </c>
      <c r="AE189" s="23">
        <f t="shared" si="80"/>
        <v>0</v>
      </c>
      <c r="AF189" s="23" t="str">
        <f t="shared" si="80"/>
        <v/>
      </c>
      <c r="AG189" s="23" t="str">
        <f t="shared" si="80"/>
        <v/>
      </c>
      <c r="AH189" s="23">
        <f t="shared" si="62"/>
        <v>0</v>
      </c>
      <c r="AI189" s="23">
        <f t="shared" si="63"/>
        <v>0</v>
      </c>
      <c r="AJ189" s="70">
        <v>1</v>
      </c>
      <c r="AK189" s="225">
        <v>2327.0337</v>
      </c>
      <c r="AL189" s="33">
        <v>1</v>
      </c>
      <c r="AM189" s="204">
        <v>2327.0337</v>
      </c>
      <c r="AN189" s="196"/>
      <c r="AO189" s="68"/>
      <c r="AQ189" s="68"/>
      <c r="AR189" s="68"/>
      <c r="AS189" s="68"/>
      <c r="AT189" s="68"/>
      <c r="AU189" s="68"/>
      <c r="AV189" s="68"/>
      <c r="AW189" s="68"/>
      <c r="AX189" s="68"/>
      <c r="AY189" s="68"/>
      <c r="AZ189" s="196"/>
      <c r="BA189" s="70">
        <f>IF(VLOOKUP($D189,$AO$14:AQ$19,COLUMN()-50,0)&lt;=0,1,IF($Q189&lt;0,1,ROUNDUP(IF($Q189*('Draft Center'!$L$28+'Draft Center'!$L$78-'Draft Center'!$L$82)&lt;1,1,$Q189*('Draft Center'!$L$28+'Draft Center'!$L$78-'Draft Center'!$L$82)),0)))</f>
        <v>1</v>
      </c>
      <c r="BB189" s="70">
        <f>IF(VLOOKUP($D189,$AO$14:AR$19,COLUMN()-50,0)&lt;=0,1,IF($Q189&lt;0,1,ROUNDUP(IF($Q189*('Draft Center'!$L$28+'Draft Center'!$L$78-'Draft Center'!$L$82)&lt;1,1,$Q189*('Draft Center'!$L$28+'Draft Center'!$L$78-'Draft Center'!$L$82)),0)))</f>
        <v>1</v>
      </c>
      <c r="BC189" s="70">
        <f>IF(VLOOKUP($D189,$AO$14:AS$19,COLUMN()-50,0)&lt;=0,1,IF($Q189&lt;0,1,ROUNDUP(IF($Q189*('Draft Center'!$L$28+'Draft Center'!$L$78-'Draft Center'!$L$82)&lt;1,1,$Q189*('Draft Center'!$L$28+'Draft Center'!$L$78-'Draft Center'!$L$82)),0)))</f>
        <v>1</v>
      </c>
      <c r="BD189" s="70">
        <f>IF(VLOOKUP($D189,$AO$14:AT$19,COLUMN()-50,0)&lt;=0,1,IF($Q189&lt;0,1,ROUNDUP(IF($Q189*('Draft Center'!$L$28+'Draft Center'!$L$78-'Draft Center'!$L$82)&lt;1,1,$Q189*('Draft Center'!$L$28+'Draft Center'!$L$78-'Draft Center'!$L$82)),0)))</f>
        <v>1</v>
      </c>
      <c r="BE189" s="70">
        <f>IF(VLOOKUP($D189,$AO$14:AU$19,COLUMN()-50,0)&lt;=0,1,IF($Q189&lt;0,1,ROUNDUP(IF($Q189*('Draft Center'!$L$28+'Draft Center'!$L$78-'Draft Center'!$L$82)&lt;1,1,$Q189*('Draft Center'!$L$28+'Draft Center'!$L$78-'Draft Center'!$L$82)),0)))</f>
        <v>1</v>
      </c>
      <c r="BF189" s="70">
        <f>IF(VLOOKUP($D189,$AO$14:AV$19,COLUMN()-50,0)&lt;=0,1,IF($Q189&lt;0,1,ROUNDUP(IF($Q189*('Draft Center'!$L$28+'Draft Center'!$L$78-'Draft Center'!$L$82)&lt;1,1,$Q189*('Draft Center'!$L$28+'Draft Center'!$L$78-'Draft Center'!$L$82)),0)))</f>
        <v>1</v>
      </c>
      <c r="BG189" s="70">
        <f>IF(VLOOKUP($D189,$AO$14:AW$19,COLUMN()-50,0)&lt;=0,1,IF($Q189&lt;0,1,ROUNDUP(IF($Q189*('Draft Center'!$L$28+'Draft Center'!$L$78-'Draft Center'!$L$82)&lt;1,1,$Q189*('Draft Center'!$L$28+'Draft Center'!$L$78-'Draft Center'!$L$82)),0)))</f>
        <v>1</v>
      </c>
      <c r="BH189" s="70">
        <f>IF(VLOOKUP($D189,$AO$14:AX$19,COLUMN()-50,0)&lt;=0,1,IF($Q189&lt;0,1,ROUNDUP(IF($Q189*('Draft Center'!$L$28+'Draft Center'!$L$78-'Draft Center'!$L$82)&lt;1,1,$Q189*('Draft Center'!$L$28+'Draft Center'!$L$78-'Draft Center'!$L$82)),0)))</f>
        <v>1</v>
      </c>
      <c r="BI189" s="70">
        <f>IF(VLOOKUP($D189,$AO$14:AY$19,COLUMN()-50,0)&lt;=0,1,IF($Q189&lt;0,1,ROUNDUP(IF($Q189*('Draft Center'!$L$28+'Draft Center'!$L$78-'Draft Center'!$L$82)&lt;1,1,$Q189*('Draft Center'!$L$28+'Draft Center'!$L$78-'Draft Center'!$L$82)),0)))</f>
        <v>1</v>
      </c>
      <c r="BJ189" s="196"/>
      <c r="BK189" s="23">
        <v>0</v>
      </c>
      <c r="BL189" s="23" t="str">
        <f t="shared" si="81"/>
        <v/>
      </c>
      <c r="BM189" s="23">
        <v>0</v>
      </c>
      <c r="BN189" s="23" t="str">
        <f t="shared" si="81"/>
        <v/>
      </c>
      <c r="BO189" s="23">
        <f t="shared" si="81"/>
        <v>0</v>
      </c>
      <c r="BP189" s="23" t="str">
        <f t="shared" si="81"/>
        <v/>
      </c>
      <c r="BQ189" s="23" t="str">
        <f t="shared" si="81"/>
        <v/>
      </c>
      <c r="BR189" s="23">
        <f t="shared" si="64"/>
        <v>0</v>
      </c>
      <c r="BS189" s="23">
        <f t="shared" si="65"/>
        <v>0</v>
      </c>
      <c r="BT189" s="70">
        <v>1</v>
      </c>
      <c r="BU189" s="58">
        <v>2327.0337</v>
      </c>
      <c r="BV189" s="33">
        <v>1</v>
      </c>
      <c r="BW189" s="204">
        <v>2327.0337</v>
      </c>
      <c r="BX189" s="23"/>
      <c r="BY189" s="70">
        <v>1</v>
      </c>
      <c r="BZ189" s="70">
        <v>0</v>
      </c>
      <c r="CA189" s="70">
        <v>0</v>
      </c>
      <c r="CB189" s="70">
        <v>0</v>
      </c>
      <c r="CC189" s="70">
        <f t="shared" si="68"/>
        <v>0</v>
      </c>
      <c r="CD189" s="70">
        <f t="shared" si="69"/>
        <v>0</v>
      </c>
    </row>
    <row r="190" spans="1:82" ht="15.75" customHeight="1" thickBot="1" x14ac:dyDescent="0.3">
      <c r="A190" s="9">
        <v>189</v>
      </c>
      <c r="B190" s="10" t="s">
        <v>125</v>
      </c>
      <c r="C190" s="10" t="s">
        <v>27</v>
      </c>
      <c r="D190" s="10" t="s">
        <v>53</v>
      </c>
      <c r="E190" s="51">
        <v>-34.701102972420898</v>
      </c>
      <c r="F190" s="51">
        <v>237.64654066041501</v>
      </c>
      <c r="G190" s="51">
        <v>252.43452209161001</v>
      </c>
      <c r="H190" s="51">
        <v>171.86879999999999</v>
      </c>
      <c r="I190" s="11">
        <v>2</v>
      </c>
      <c r="J190" s="51">
        <v>5.6581348125202204</v>
      </c>
      <c r="K190" s="249">
        <f>IFERROR(VLOOKUP(C190,Schedule!$T$3:$U$34,2,0),"FA")</f>
        <v>8</v>
      </c>
      <c r="L190" s="10" t="str">
        <f>D190&amp;COUNTIF(D$2:$D190,D190)</f>
        <v>QB21</v>
      </c>
      <c r="M190" s="51">
        <f t="array" ref="M190">IFERROR(F190-AVERAGE(VLOOKUP(D190,$D191:$F$885,3,0),INDEX($F191:$F$885,SMALL(IF(D190=$D191:$D$885,ROW($D191:$D$885)-ROW(D190)),2))),0)</f>
        <v>4.6784401255860359</v>
      </c>
      <c r="N190" s="51">
        <f>IFERROR(IF(VLOOKUP($B190,Input!$AC$2:$AC$162,1,0)=$B190,0),F190)</f>
        <v>237.64654066041501</v>
      </c>
      <c r="O190" s="51">
        <f>IFERROR(IF(VLOOKUP($B190,Input!$AC$2:$AC$162,1,0)=$B190,0,G190),G190)</f>
        <v>252.43452209161001</v>
      </c>
      <c r="P190" s="51">
        <f>IF(N190=0,0,F190-AVERAGE(INDEX(F:F,MATCH(VLOOKUP(D190,Input!$A$14:$L$22,10,0),L:L,0)),INDEX(F:F,MATCH(VLOOKUP(D190,Input!$A$14:$L$22,11,0),L:L,0)),INDEX(F:F,MATCH(VLOOKUP(D190,Input!$A$14:$L$22,12,0),L:L,0)))+(0.01-ROW()*0.01))</f>
        <v>-36.591102972420614</v>
      </c>
      <c r="Q190" s="107">
        <f t="shared" si="60"/>
        <v>-1.2623672226298961E-2</v>
      </c>
      <c r="R190" s="11">
        <f>IF(VLOOKUP($D190,$X$14:$Y$19,2,0)&lt;=0,1,IF(Q190&lt;0,1,ROUNDUP(IF(Q190*('Draft Center'!$L$28+'Draft Center'!$L$78-'Draft Center'!$L$82)&lt;1,1,Q190*('Draft Center'!$L$28+'Draft Center'!$L$78-'Draft Center'!$L$82)),0)))</f>
        <v>1</v>
      </c>
      <c r="S190" s="11">
        <f>IF(A190&lt;Input!$B$10+0.1,IF(ROUNDUP(R190*Input!$C$10,0)=0,1,ROUNDUP(R190*Input!$C$10,0)),IF(A190&gt;Input!$B$11,IF(ROUNDUP(R190*Input!$C$11,0)=0,1,ROUNDUP(R190*Input!$C$11,0)),IF(ROUNDUP(R190,0)=0,1,ROUNDUP(R190,0))))</f>
        <v>1</v>
      </c>
      <c r="T190" s="11">
        <f t="shared" si="61"/>
        <v>1</v>
      </c>
      <c r="U190" s="11">
        <f>IFERROR(VLOOKUP($B190,Input!$AC$2:$AE$161,3,0),0)</f>
        <v>0</v>
      </c>
      <c r="V190" s="257">
        <f t="shared" si="66"/>
        <v>-0.49809999999999999</v>
      </c>
      <c r="W190" s="264">
        <f t="shared" si="67"/>
        <v>-0.99809999999999999</v>
      </c>
      <c r="X190" s="27"/>
      <c r="Y190" s="23"/>
      <c r="Z190" s="23"/>
      <c r="AA190" s="23">
        <v>0</v>
      </c>
      <c r="AB190" s="23">
        <f t="shared" si="80"/>
        <v>0</v>
      </c>
      <c r="AC190" s="23" t="str">
        <f t="shared" si="80"/>
        <v/>
      </c>
      <c r="AD190" s="23" t="str">
        <f t="shared" si="80"/>
        <v/>
      </c>
      <c r="AE190" s="23" t="str">
        <f t="shared" si="80"/>
        <v/>
      </c>
      <c r="AF190" s="23" t="str">
        <f t="shared" si="80"/>
        <v/>
      </c>
      <c r="AG190" s="23" t="str">
        <f t="shared" si="80"/>
        <v/>
      </c>
      <c r="AH190" s="23">
        <f t="shared" si="62"/>
        <v>0</v>
      </c>
      <c r="AI190" s="23">
        <f t="shared" si="63"/>
        <v>0</v>
      </c>
      <c r="AJ190" s="69">
        <v>1</v>
      </c>
      <c r="AK190" s="225">
        <v>2327.0337</v>
      </c>
      <c r="AL190" s="33">
        <v>1</v>
      </c>
      <c r="AM190" s="204">
        <v>2327.0337</v>
      </c>
      <c r="AN190" s="196"/>
      <c r="AO190" s="68"/>
      <c r="AQ190" s="68"/>
      <c r="AR190" s="68"/>
      <c r="AS190" s="68"/>
      <c r="AU190" s="68"/>
      <c r="AV190" s="68"/>
      <c r="AW190" s="68"/>
      <c r="AX190" s="68"/>
      <c r="AY190" s="68"/>
      <c r="AZ190" s="196"/>
      <c r="BA190" s="69">
        <f>IF(VLOOKUP($D190,$AO$14:AQ$19,COLUMN()-50,0)&lt;=0,1,IF($Q190&lt;0,1,ROUNDUP(IF($Q190*('Draft Center'!$L$28+'Draft Center'!$L$78-'Draft Center'!$L$82)&lt;1,1,$Q190*('Draft Center'!$L$28+'Draft Center'!$L$78-'Draft Center'!$L$82)),0)))</f>
        <v>1</v>
      </c>
      <c r="BB190" s="69">
        <f>IF(VLOOKUP($D190,$AO$14:AR$19,COLUMN()-50,0)&lt;=0,1,IF($Q190&lt;0,1,ROUNDUP(IF($Q190*('Draft Center'!$L$28+'Draft Center'!$L$78-'Draft Center'!$L$82)&lt;1,1,$Q190*('Draft Center'!$L$28+'Draft Center'!$L$78-'Draft Center'!$L$82)),0)))</f>
        <v>1</v>
      </c>
      <c r="BC190" s="69">
        <f>IF(VLOOKUP($D190,$AO$14:AS$19,COLUMN()-50,0)&lt;=0,1,IF($Q190&lt;0,1,ROUNDUP(IF($Q190*('Draft Center'!$L$28+'Draft Center'!$L$78-'Draft Center'!$L$82)&lt;1,1,$Q190*('Draft Center'!$L$28+'Draft Center'!$L$78-'Draft Center'!$L$82)),0)))</f>
        <v>1</v>
      </c>
      <c r="BD190" s="69">
        <f>IF(VLOOKUP($D190,$AO$14:AT$19,COLUMN()-50,0)&lt;=0,1,IF($Q190&lt;0,1,ROUNDUP(IF($Q190*('Draft Center'!$L$28+'Draft Center'!$L$78-'Draft Center'!$L$82)&lt;1,1,$Q190*('Draft Center'!$L$28+'Draft Center'!$L$78-'Draft Center'!$L$82)),0)))</f>
        <v>1</v>
      </c>
      <c r="BE190" s="69">
        <f>IF(VLOOKUP($D190,$AO$14:AU$19,COLUMN()-50,0)&lt;=0,1,IF($Q190&lt;0,1,ROUNDUP(IF($Q190*('Draft Center'!$L$28+'Draft Center'!$L$78-'Draft Center'!$L$82)&lt;1,1,$Q190*('Draft Center'!$L$28+'Draft Center'!$L$78-'Draft Center'!$L$82)),0)))</f>
        <v>1</v>
      </c>
      <c r="BF190" s="69">
        <f>IF(VLOOKUP($D190,$AO$14:AV$19,COLUMN()-50,0)&lt;=0,1,IF($Q190&lt;0,1,ROUNDUP(IF($Q190*('Draft Center'!$L$28+'Draft Center'!$L$78-'Draft Center'!$L$82)&lt;1,1,$Q190*('Draft Center'!$L$28+'Draft Center'!$L$78-'Draft Center'!$L$82)),0)))</f>
        <v>1</v>
      </c>
      <c r="BG190" s="69">
        <f>IF(VLOOKUP($D190,$AO$14:AW$19,COLUMN()-50,0)&lt;=0,1,IF($Q190&lt;0,1,ROUNDUP(IF($Q190*('Draft Center'!$L$28+'Draft Center'!$L$78-'Draft Center'!$L$82)&lt;1,1,$Q190*('Draft Center'!$L$28+'Draft Center'!$L$78-'Draft Center'!$L$82)),0)))</f>
        <v>1</v>
      </c>
      <c r="BH190" s="69">
        <f>IF(VLOOKUP($D190,$AO$14:AX$19,COLUMN()-50,0)&lt;=0,1,IF($Q190&lt;0,1,ROUNDUP(IF($Q190*('Draft Center'!$L$28+'Draft Center'!$L$78-'Draft Center'!$L$82)&lt;1,1,$Q190*('Draft Center'!$L$28+'Draft Center'!$L$78-'Draft Center'!$L$82)),0)))</f>
        <v>1</v>
      </c>
      <c r="BI190" s="69">
        <f>IF(VLOOKUP($D190,$AO$14:AY$19,COLUMN()-50,0)&lt;=0,1,IF($Q190&lt;0,1,ROUNDUP(IF($Q190*('Draft Center'!$L$28+'Draft Center'!$L$78-'Draft Center'!$L$82)&lt;1,1,$Q190*('Draft Center'!$L$28+'Draft Center'!$L$78-'Draft Center'!$L$82)),0)))</f>
        <v>1</v>
      </c>
      <c r="BJ190" s="196"/>
      <c r="BK190" s="23">
        <v>0</v>
      </c>
      <c r="BL190" s="23">
        <f t="shared" si="81"/>
        <v>0</v>
      </c>
      <c r="BM190" s="23">
        <v>0</v>
      </c>
      <c r="BN190" s="23" t="str">
        <f t="shared" si="81"/>
        <v/>
      </c>
      <c r="BO190" s="23" t="str">
        <f t="shared" si="81"/>
        <v/>
      </c>
      <c r="BP190" s="23" t="str">
        <f t="shared" si="81"/>
        <v/>
      </c>
      <c r="BQ190" s="23" t="str">
        <f t="shared" si="81"/>
        <v/>
      </c>
      <c r="BR190" s="23">
        <f t="shared" si="64"/>
        <v>0</v>
      </c>
      <c r="BS190" s="23">
        <f t="shared" si="65"/>
        <v>0</v>
      </c>
      <c r="BT190" s="69">
        <v>1</v>
      </c>
      <c r="BU190" s="58">
        <v>2327.0337</v>
      </c>
      <c r="BV190" s="33">
        <v>1</v>
      </c>
      <c r="BW190" s="204">
        <v>2327.0337</v>
      </c>
      <c r="BX190" s="23"/>
      <c r="BY190" s="69">
        <v>1</v>
      </c>
      <c r="BZ190" s="69">
        <v>2</v>
      </c>
      <c r="CA190" s="69">
        <v>2</v>
      </c>
      <c r="CB190" s="69">
        <v>2</v>
      </c>
      <c r="CC190" s="69">
        <f t="shared" si="68"/>
        <v>2</v>
      </c>
      <c r="CD190" s="69">
        <f t="shared" si="69"/>
        <v>2</v>
      </c>
    </row>
    <row r="191" spans="1:82" ht="15.75" customHeight="1" thickBot="1" x14ac:dyDescent="0.3">
      <c r="A191" s="6">
        <v>190</v>
      </c>
      <c r="B191" s="7" t="s">
        <v>932</v>
      </c>
      <c r="C191" s="7" t="s">
        <v>83</v>
      </c>
      <c r="D191" s="7" t="s">
        <v>19</v>
      </c>
      <c r="E191" s="50">
        <v>-34.735336472986702</v>
      </c>
      <c r="F191" s="50">
        <v>134.367061552965</v>
      </c>
      <c r="G191" s="50">
        <v>164.50017611260799</v>
      </c>
      <c r="H191" s="50">
        <v>106.7</v>
      </c>
      <c r="I191" s="8" t="s">
        <v>1057</v>
      </c>
      <c r="J191" s="50">
        <v>7.4249307818822503</v>
      </c>
      <c r="K191" s="248">
        <f>IFERROR(VLOOKUP(C191,Schedule!$T$3:$U$34,2,0),"FA")</f>
        <v>5</v>
      </c>
      <c r="L191" s="7" t="str">
        <f>D191&amp;COUNTIF(D$2:$D191,D191)</f>
        <v>RB42</v>
      </c>
      <c r="M191" s="50">
        <f t="array" ref="M191">IFERROR(F191-AVERAGE(VLOOKUP(D191,$D192:$F$885,3,0),INDEX($F192:$F$885,SMALL(IF(D191=$D192:$D$885,ROW($D192:$D$885)-ROW(D191)),2))),0)</f>
        <v>0.64469390144401473</v>
      </c>
      <c r="N191" s="50">
        <f>IFERROR(IF(VLOOKUP($B191,Input!$AC$2:$AC$162,1,0)=$B191,0),F191)</f>
        <v>134.367061552965</v>
      </c>
      <c r="O191" s="50">
        <f>IFERROR(IF(VLOOKUP($B191,Input!$AC$2:$AC$162,1,0)=$B191,0,G191),G191)</f>
        <v>164.50017611260799</v>
      </c>
      <c r="P191" s="50">
        <f>IF(N191=0,0,F191-AVERAGE(INDEX(F:F,MATCH(VLOOKUP(D191,Input!$A$14:$L$22,10,0),L:L,0)),INDEX(F:F,MATCH(VLOOKUP(D191,Input!$A$14:$L$22,11,0),L:L,0)),INDEX(F:F,MATCH(VLOOKUP(D191,Input!$A$14:$L$22,12,0),L:L,0)))+(0.01-ROW()*0.01))</f>
        <v>-36.635336472986999</v>
      </c>
      <c r="Q191" s="106">
        <f t="shared" si="60"/>
        <v>-1.2638932471746953E-2</v>
      </c>
      <c r="R191" s="8">
        <f>IF(VLOOKUP($D191,$X$14:$Y$19,2,0)&lt;=0,1,IF(Q191&lt;0,1,ROUNDUP(IF(Q191*('Draft Center'!$L$28+'Draft Center'!$L$78-'Draft Center'!$L$82)&lt;1,1,Q191*('Draft Center'!$L$28+'Draft Center'!$L$78-'Draft Center'!$L$82)),0)))</f>
        <v>1</v>
      </c>
      <c r="S191" s="8">
        <f>IF(A191&lt;Input!$B$10+0.1,IF(ROUNDUP(R191*Input!$C$10,0)=0,1,ROUNDUP(R191*Input!$C$10,0)),IF(A191&gt;Input!$B$11,IF(ROUNDUP(R191*Input!$C$11,0)=0,1,ROUNDUP(R191*Input!$C$11,0)),IF(ROUNDUP(R191,0)=0,1,ROUNDUP(R191,0))))</f>
        <v>1</v>
      </c>
      <c r="T191" s="8">
        <f t="shared" si="61"/>
        <v>1</v>
      </c>
      <c r="U191" s="8">
        <f>IFERROR(VLOOKUP($B191,Input!$AC$2:$AE$161,3,0),0)</f>
        <v>0</v>
      </c>
      <c r="V191" s="256">
        <f t="shared" si="66"/>
        <v>0</v>
      </c>
      <c r="W191" s="263">
        <f t="shared" si="67"/>
        <v>0</v>
      </c>
      <c r="X191" s="27"/>
      <c r="Y191" s="23"/>
      <c r="Z191" s="23"/>
      <c r="AA191" s="23">
        <v>0</v>
      </c>
      <c r="AB191" s="23" t="str">
        <f t="shared" si="80"/>
        <v/>
      </c>
      <c r="AC191" s="23">
        <f t="shared" si="80"/>
        <v>0</v>
      </c>
      <c r="AD191" s="23" t="str">
        <f t="shared" si="80"/>
        <v/>
      </c>
      <c r="AE191" s="23" t="str">
        <f t="shared" si="80"/>
        <v/>
      </c>
      <c r="AF191" s="23" t="str">
        <f t="shared" si="80"/>
        <v/>
      </c>
      <c r="AG191" s="23" t="str">
        <f t="shared" si="80"/>
        <v/>
      </c>
      <c r="AH191" s="23">
        <f t="shared" si="62"/>
        <v>0</v>
      </c>
      <c r="AI191" s="23">
        <f t="shared" si="63"/>
        <v>0</v>
      </c>
      <c r="AJ191" s="71">
        <v>1</v>
      </c>
      <c r="AK191" s="225">
        <v>2327.0337</v>
      </c>
      <c r="AL191" s="33">
        <v>1</v>
      </c>
      <c r="AM191" s="204">
        <v>2327.0337</v>
      </c>
      <c r="AN191" s="196"/>
      <c r="AO191" s="68"/>
      <c r="AQ191" s="68"/>
      <c r="AR191" s="68"/>
      <c r="AS191" s="68"/>
      <c r="AT191" s="68"/>
      <c r="AU191" s="68"/>
      <c r="AV191" s="68"/>
      <c r="AW191" s="68"/>
      <c r="AX191" s="68"/>
      <c r="AY191" s="68"/>
      <c r="AZ191" s="196"/>
      <c r="BA191" s="71">
        <f>IF(VLOOKUP($D191,$AO$14:AQ$19,COLUMN()-50,0)&lt;=0,1,IF($Q191&lt;0,1,ROUNDUP(IF($Q191*('Draft Center'!$L$28+'Draft Center'!$L$78-'Draft Center'!$L$82)&lt;1,1,$Q191*('Draft Center'!$L$28+'Draft Center'!$L$78-'Draft Center'!$L$82)),0)))</f>
        <v>1</v>
      </c>
      <c r="BB191" s="71">
        <f>IF(VLOOKUP($D191,$AO$14:AR$19,COLUMN()-50,0)&lt;=0,1,IF($Q191&lt;0,1,ROUNDUP(IF($Q191*('Draft Center'!$L$28+'Draft Center'!$L$78-'Draft Center'!$L$82)&lt;1,1,$Q191*('Draft Center'!$L$28+'Draft Center'!$L$78-'Draft Center'!$L$82)),0)))</f>
        <v>1</v>
      </c>
      <c r="BC191" s="71">
        <f>IF(VLOOKUP($D191,$AO$14:AS$19,COLUMN()-50,0)&lt;=0,1,IF($Q191&lt;0,1,ROUNDUP(IF($Q191*('Draft Center'!$L$28+'Draft Center'!$L$78-'Draft Center'!$L$82)&lt;1,1,$Q191*('Draft Center'!$L$28+'Draft Center'!$L$78-'Draft Center'!$L$82)),0)))</f>
        <v>1</v>
      </c>
      <c r="BD191" s="71">
        <f>IF(VLOOKUP($D191,$AO$14:AT$19,COLUMN()-50,0)&lt;=0,1,IF($Q191&lt;0,1,ROUNDUP(IF($Q191*('Draft Center'!$L$28+'Draft Center'!$L$78-'Draft Center'!$L$82)&lt;1,1,$Q191*('Draft Center'!$L$28+'Draft Center'!$L$78-'Draft Center'!$L$82)),0)))</f>
        <v>1</v>
      </c>
      <c r="BE191" s="71">
        <f>IF(VLOOKUP($D191,$AO$14:AU$19,COLUMN()-50,0)&lt;=0,1,IF($Q191&lt;0,1,ROUNDUP(IF($Q191*('Draft Center'!$L$28+'Draft Center'!$L$78-'Draft Center'!$L$82)&lt;1,1,$Q191*('Draft Center'!$L$28+'Draft Center'!$L$78-'Draft Center'!$L$82)),0)))</f>
        <v>1</v>
      </c>
      <c r="BF191" s="71">
        <f>IF(VLOOKUP($D191,$AO$14:AV$19,COLUMN()-50,0)&lt;=0,1,IF($Q191&lt;0,1,ROUNDUP(IF($Q191*('Draft Center'!$L$28+'Draft Center'!$L$78-'Draft Center'!$L$82)&lt;1,1,$Q191*('Draft Center'!$L$28+'Draft Center'!$L$78-'Draft Center'!$L$82)),0)))</f>
        <v>1</v>
      </c>
      <c r="BG191" s="71">
        <f>IF(VLOOKUP($D191,$AO$14:AW$19,COLUMN()-50,0)&lt;=0,1,IF($Q191&lt;0,1,ROUNDUP(IF($Q191*('Draft Center'!$L$28+'Draft Center'!$L$78-'Draft Center'!$L$82)&lt;1,1,$Q191*('Draft Center'!$L$28+'Draft Center'!$L$78-'Draft Center'!$L$82)),0)))</f>
        <v>1</v>
      </c>
      <c r="BH191" s="71">
        <f>IF(VLOOKUP($D191,$AO$14:AX$19,COLUMN()-50,0)&lt;=0,1,IF($Q191&lt;0,1,ROUNDUP(IF($Q191*('Draft Center'!$L$28+'Draft Center'!$L$78-'Draft Center'!$L$82)&lt;1,1,$Q191*('Draft Center'!$L$28+'Draft Center'!$L$78-'Draft Center'!$L$82)),0)))</f>
        <v>1</v>
      </c>
      <c r="BI191" s="71">
        <f>IF(VLOOKUP($D191,$AO$14:AY$19,COLUMN()-50,0)&lt;=0,1,IF($Q191&lt;0,1,ROUNDUP(IF($Q191*('Draft Center'!$L$28+'Draft Center'!$L$78-'Draft Center'!$L$82)&lt;1,1,$Q191*('Draft Center'!$L$28+'Draft Center'!$L$78-'Draft Center'!$L$82)),0)))</f>
        <v>1</v>
      </c>
      <c r="BJ191" s="196"/>
      <c r="BK191" s="23">
        <v>0</v>
      </c>
      <c r="BL191" s="23" t="str">
        <f t="shared" si="81"/>
        <v/>
      </c>
      <c r="BM191" s="23">
        <v>0</v>
      </c>
      <c r="BN191" s="23" t="str">
        <f t="shared" si="81"/>
        <v/>
      </c>
      <c r="BO191" s="23" t="str">
        <f t="shared" si="81"/>
        <v/>
      </c>
      <c r="BP191" s="23" t="str">
        <f t="shared" si="81"/>
        <v/>
      </c>
      <c r="BQ191" s="23" t="str">
        <f t="shared" si="81"/>
        <v/>
      </c>
      <c r="BR191" s="23">
        <f t="shared" si="64"/>
        <v>0</v>
      </c>
      <c r="BS191" s="23">
        <f t="shared" si="65"/>
        <v>0</v>
      </c>
      <c r="BT191" s="71">
        <v>1</v>
      </c>
      <c r="BU191" s="58">
        <v>2327.0337</v>
      </c>
      <c r="BV191" s="33">
        <v>1</v>
      </c>
      <c r="BW191" s="204">
        <v>2327.0337</v>
      </c>
      <c r="BX191" s="23"/>
      <c r="BY191" s="70">
        <v>1</v>
      </c>
      <c r="BZ191" s="70" t="s">
        <v>1057</v>
      </c>
      <c r="CA191" s="70" t="s">
        <v>1057</v>
      </c>
      <c r="CB191" s="70" t="s">
        <v>1057</v>
      </c>
      <c r="CC191" s="70" t="e">
        <f t="shared" si="68"/>
        <v>#DIV/0!</v>
      </c>
      <c r="CD191" s="70" t="str">
        <f t="shared" si="69"/>
        <v>NA</v>
      </c>
    </row>
    <row r="192" spans="1:82" ht="15.75" customHeight="1" thickBot="1" x14ac:dyDescent="0.3">
      <c r="A192" s="9">
        <v>191</v>
      </c>
      <c r="B192" s="10" t="s">
        <v>766</v>
      </c>
      <c r="C192" s="10" t="s">
        <v>38</v>
      </c>
      <c r="D192" s="10" t="s">
        <v>19</v>
      </c>
      <c r="E192" s="51">
        <v>-35.2025953001339</v>
      </c>
      <c r="F192" s="51">
        <v>133.89980272581801</v>
      </c>
      <c r="G192" s="51">
        <v>159.553763481456</v>
      </c>
      <c r="H192" s="51">
        <v>101.82728528634</v>
      </c>
      <c r="I192" s="11">
        <v>1.5</v>
      </c>
      <c r="J192" s="51">
        <v>5.18139979405698</v>
      </c>
      <c r="K192" s="249">
        <f>IFERROR(VLOOKUP(C192,Schedule!$T$3:$U$34,2,0),"FA")</f>
        <v>6</v>
      </c>
      <c r="L192" s="10" t="str">
        <f>D192&amp;COUNTIF(D$2:$D192,D192)</f>
        <v>RB43</v>
      </c>
      <c r="M192" s="51">
        <f t="array" ref="M192">IFERROR(F192-AVERAGE(VLOOKUP(D192,$D193:$F$885,3,0),INDEX($F193:$F$885,SMALL(IF(D192=$D193:$D$885,ROW($D193:$D$885)-ROW(D192)),2))),0)</f>
        <v>1.1248418556505158</v>
      </c>
      <c r="N192" s="51">
        <f>IFERROR(IF(VLOOKUP($B192,Input!$AC$2:$AC$162,1,0)=$B192,0),F192)</f>
        <v>133.89980272581801</v>
      </c>
      <c r="O192" s="51">
        <f>IFERROR(IF(VLOOKUP($B192,Input!$AC$2:$AC$162,1,0)=$B192,0,G192),G192)</f>
        <v>159.553763481456</v>
      </c>
      <c r="P192" s="51">
        <f>IF(N192=0,0,F192-AVERAGE(INDEX(F:F,MATCH(VLOOKUP(D192,Input!$A$14:$L$22,10,0),L:L,0)),INDEX(F:F,MATCH(VLOOKUP(D192,Input!$A$14:$L$22,11,0),L:L,0)),INDEX(F:F,MATCH(VLOOKUP(D192,Input!$A$14:$L$22,12,0),L:L,0)))+(0.01-ROW()*0.01))</f>
        <v>-37.112595300133989</v>
      </c>
      <c r="Q192" s="107">
        <f t="shared" si="60"/>
        <v>-1.2803583398108819E-2</v>
      </c>
      <c r="R192" s="11">
        <f>IF(VLOOKUP($D192,$X$14:$Y$19,2,0)&lt;=0,1,IF(Q192&lt;0,1,ROUNDUP(IF(Q192*('Draft Center'!$L$28+'Draft Center'!$L$78-'Draft Center'!$L$82)&lt;1,1,Q192*('Draft Center'!$L$28+'Draft Center'!$L$78-'Draft Center'!$L$82)),0)))</f>
        <v>1</v>
      </c>
      <c r="S192" s="11">
        <f>IF(A192&lt;Input!$B$10+0.1,IF(ROUNDUP(R192*Input!$C$10,0)=0,1,ROUNDUP(R192*Input!$C$10,0)),IF(A192&gt;Input!$B$11,IF(ROUNDUP(R192*Input!$C$11,0)=0,1,ROUNDUP(R192*Input!$C$11,0)),IF(ROUNDUP(R192,0)=0,1,ROUNDUP(R192,0))))</f>
        <v>1</v>
      </c>
      <c r="T192" s="11">
        <f t="shared" si="61"/>
        <v>1</v>
      </c>
      <c r="U192" s="11">
        <f>IFERROR(VLOOKUP($B192,Input!$AC$2:$AE$161,3,0),0)</f>
        <v>0</v>
      </c>
      <c r="V192" s="257">
        <f t="shared" si="66"/>
        <v>-0.33141333333333334</v>
      </c>
      <c r="W192" s="264">
        <f t="shared" si="67"/>
        <v>-0.49808000000000002</v>
      </c>
      <c r="X192" s="27"/>
      <c r="Y192" s="23"/>
      <c r="Z192" s="23"/>
      <c r="AA192" s="23">
        <v>0</v>
      </c>
      <c r="AB192" s="23" t="str">
        <f t="shared" ref="AB192:AG202" si="82">IF($D192=AB$1,1*$AA192,"")</f>
        <v/>
      </c>
      <c r="AC192" s="23">
        <f t="shared" si="82"/>
        <v>0</v>
      </c>
      <c r="AD192" s="23" t="str">
        <f t="shared" si="82"/>
        <v/>
      </c>
      <c r="AE192" s="23" t="str">
        <f t="shared" si="82"/>
        <v/>
      </c>
      <c r="AF192" s="23" t="str">
        <f t="shared" si="82"/>
        <v/>
      </c>
      <c r="AG192" s="23" t="str">
        <f t="shared" si="82"/>
        <v/>
      </c>
      <c r="AH192" s="23">
        <f t="shared" si="62"/>
        <v>0</v>
      </c>
      <c r="AI192" s="23">
        <f t="shared" si="63"/>
        <v>0</v>
      </c>
      <c r="AJ192" s="69">
        <v>1</v>
      </c>
      <c r="AK192" s="225">
        <v>2327.0337</v>
      </c>
      <c r="AL192" s="33">
        <v>1</v>
      </c>
      <c r="AM192" s="204">
        <v>2327.0337</v>
      </c>
      <c r="AN192" s="196"/>
      <c r="AO192" s="68"/>
      <c r="AQ192" s="68"/>
      <c r="AR192" s="68"/>
      <c r="AS192" s="68"/>
      <c r="AT192" s="68"/>
      <c r="AU192" s="68"/>
      <c r="AV192" s="68"/>
      <c r="AW192" s="68"/>
      <c r="AX192" s="68"/>
      <c r="AY192" s="68"/>
      <c r="AZ192" s="196"/>
      <c r="BA192" s="69">
        <f>IF(VLOOKUP($D192,$AO$14:AQ$19,COLUMN()-50,0)&lt;=0,1,IF($Q192&lt;0,1,ROUNDUP(IF($Q192*('Draft Center'!$L$28+'Draft Center'!$L$78-'Draft Center'!$L$82)&lt;1,1,$Q192*('Draft Center'!$L$28+'Draft Center'!$L$78-'Draft Center'!$L$82)),0)))</f>
        <v>1</v>
      </c>
      <c r="BB192" s="69">
        <f>IF(VLOOKUP($D192,$AO$14:AR$19,COLUMN()-50,0)&lt;=0,1,IF($Q192&lt;0,1,ROUNDUP(IF($Q192*('Draft Center'!$L$28+'Draft Center'!$L$78-'Draft Center'!$L$82)&lt;1,1,$Q192*('Draft Center'!$L$28+'Draft Center'!$L$78-'Draft Center'!$L$82)),0)))</f>
        <v>1</v>
      </c>
      <c r="BC192" s="69">
        <f>IF(VLOOKUP($D192,$AO$14:AS$19,COLUMN()-50,0)&lt;=0,1,IF($Q192&lt;0,1,ROUNDUP(IF($Q192*('Draft Center'!$L$28+'Draft Center'!$L$78-'Draft Center'!$L$82)&lt;1,1,$Q192*('Draft Center'!$L$28+'Draft Center'!$L$78-'Draft Center'!$L$82)),0)))</f>
        <v>1</v>
      </c>
      <c r="BD192" s="69">
        <f>IF(VLOOKUP($D192,$AO$14:AT$19,COLUMN()-50,0)&lt;=0,1,IF($Q192&lt;0,1,ROUNDUP(IF($Q192*('Draft Center'!$L$28+'Draft Center'!$L$78-'Draft Center'!$L$82)&lt;1,1,$Q192*('Draft Center'!$L$28+'Draft Center'!$L$78-'Draft Center'!$L$82)),0)))</f>
        <v>1</v>
      </c>
      <c r="BE192" s="69">
        <f>IF(VLOOKUP($D192,$AO$14:AU$19,COLUMN()-50,0)&lt;=0,1,IF($Q192&lt;0,1,ROUNDUP(IF($Q192*('Draft Center'!$L$28+'Draft Center'!$L$78-'Draft Center'!$L$82)&lt;1,1,$Q192*('Draft Center'!$L$28+'Draft Center'!$L$78-'Draft Center'!$L$82)),0)))</f>
        <v>1</v>
      </c>
      <c r="BF192" s="69">
        <f>IF(VLOOKUP($D192,$AO$14:AV$19,COLUMN()-50,0)&lt;=0,1,IF($Q192&lt;0,1,ROUNDUP(IF($Q192*('Draft Center'!$L$28+'Draft Center'!$L$78-'Draft Center'!$L$82)&lt;1,1,$Q192*('Draft Center'!$L$28+'Draft Center'!$L$78-'Draft Center'!$L$82)),0)))</f>
        <v>1</v>
      </c>
      <c r="BG192" s="69">
        <f>IF(VLOOKUP($D192,$AO$14:AW$19,COLUMN()-50,0)&lt;=0,1,IF($Q192&lt;0,1,ROUNDUP(IF($Q192*('Draft Center'!$L$28+'Draft Center'!$L$78-'Draft Center'!$L$82)&lt;1,1,$Q192*('Draft Center'!$L$28+'Draft Center'!$L$78-'Draft Center'!$L$82)),0)))</f>
        <v>1</v>
      </c>
      <c r="BH192" s="69">
        <f>IF(VLOOKUP($D192,$AO$14:AX$19,COLUMN()-50,0)&lt;=0,1,IF($Q192&lt;0,1,ROUNDUP(IF($Q192*('Draft Center'!$L$28+'Draft Center'!$L$78-'Draft Center'!$L$82)&lt;1,1,$Q192*('Draft Center'!$L$28+'Draft Center'!$L$78-'Draft Center'!$L$82)),0)))</f>
        <v>1</v>
      </c>
      <c r="BI192" s="69">
        <f>IF(VLOOKUP($D192,$AO$14:AY$19,COLUMN()-50,0)&lt;=0,1,IF($Q192&lt;0,1,ROUNDUP(IF($Q192*('Draft Center'!$L$28+'Draft Center'!$L$78-'Draft Center'!$L$82)&lt;1,1,$Q192*('Draft Center'!$L$28+'Draft Center'!$L$78-'Draft Center'!$L$82)),0)))</f>
        <v>1</v>
      </c>
      <c r="BJ192" s="196"/>
      <c r="BK192" s="23">
        <v>0</v>
      </c>
      <c r="BL192" s="23" t="str">
        <f t="shared" ref="BL192:BQ202" si="83">IF($D192=BL$1,1*$BK192,"")</f>
        <v/>
      </c>
      <c r="BM192" s="23">
        <v>0</v>
      </c>
      <c r="BN192" s="23" t="str">
        <f t="shared" si="83"/>
        <v/>
      </c>
      <c r="BO192" s="23" t="str">
        <f t="shared" si="83"/>
        <v/>
      </c>
      <c r="BP192" s="23" t="str">
        <f t="shared" si="83"/>
        <v/>
      </c>
      <c r="BQ192" s="23" t="str">
        <f t="shared" si="83"/>
        <v/>
      </c>
      <c r="BR192" s="23">
        <f t="shared" si="64"/>
        <v>0</v>
      </c>
      <c r="BS192" s="23">
        <f t="shared" si="65"/>
        <v>0</v>
      </c>
      <c r="BT192" s="69">
        <v>1</v>
      </c>
      <c r="BU192" s="58">
        <v>2327.0337</v>
      </c>
      <c r="BV192" s="33">
        <v>1</v>
      </c>
      <c r="BW192" s="204">
        <v>2327.0337</v>
      </c>
      <c r="BX192" s="23"/>
      <c r="BY192" s="69">
        <v>1</v>
      </c>
      <c r="BZ192" s="69">
        <v>1.5</v>
      </c>
      <c r="CA192" s="69">
        <v>1.5</v>
      </c>
      <c r="CB192" s="69">
        <v>1.5</v>
      </c>
      <c r="CC192" s="69">
        <f t="shared" si="68"/>
        <v>1.5</v>
      </c>
      <c r="CD192" s="69">
        <f t="shared" si="69"/>
        <v>1.5</v>
      </c>
    </row>
    <row r="193" spans="1:82" ht="15.75" customHeight="1" thickBot="1" x14ac:dyDescent="0.3">
      <c r="A193" s="6">
        <v>192</v>
      </c>
      <c r="B193" s="7" t="s">
        <v>182</v>
      </c>
      <c r="C193" s="7" t="s">
        <v>57</v>
      </c>
      <c r="D193" s="7" t="s">
        <v>19</v>
      </c>
      <c r="E193" s="50">
        <v>-35.557465448727498</v>
      </c>
      <c r="F193" s="50">
        <v>133.54493257722399</v>
      </c>
      <c r="G193" s="50">
        <v>159.03662282295201</v>
      </c>
      <c r="H193" s="50">
        <v>96.233106245478794</v>
      </c>
      <c r="I193" s="8">
        <v>1</v>
      </c>
      <c r="J193" s="50">
        <v>6.08727548032354</v>
      </c>
      <c r="K193" s="248">
        <f>IFERROR(VLOOKUP(C193,Schedule!$T$3:$U$34,2,0),"FA")</f>
        <v>11</v>
      </c>
      <c r="L193" s="7" t="str">
        <f>D193&amp;COUNTIF(D$2:$D193,D193)</f>
        <v>RB44</v>
      </c>
      <c r="M193" s="50">
        <f t="array" ref="M193">IFERROR(F193-AVERAGE(VLOOKUP(D193,$D194:$F$885,3,0),INDEX($F194:$F$885,SMALL(IF(D193=$D194:$D$885,ROW($D194:$D$885)-ROW(D193)),2))),0)</f>
        <v>2.7513198342514897</v>
      </c>
      <c r="N193" s="50">
        <f>IFERROR(IF(VLOOKUP($B193,Input!$AC$2:$AC$162,1,0)=$B193,0),F193)</f>
        <v>133.54493257722399</v>
      </c>
      <c r="O193" s="50">
        <f>IFERROR(IF(VLOOKUP($B193,Input!$AC$2:$AC$162,1,0)=$B193,0,G193),G193)</f>
        <v>159.03662282295201</v>
      </c>
      <c r="P193" s="50">
        <f>IF(N193=0,0,F193-AVERAGE(INDEX(F:F,MATCH(VLOOKUP(D193,Input!$A$14:$L$22,10,0),L:L,0)),INDEX(F:F,MATCH(VLOOKUP(D193,Input!$A$14:$L$22,11,0),L:L,0)),INDEX(F:F,MATCH(VLOOKUP(D193,Input!$A$14:$L$22,12,0),L:L,0)))+(0.01-ROW()*0.01))</f>
        <v>-37.477465448728012</v>
      </c>
      <c r="Q193" s="106">
        <f t="shared" si="60"/>
        <v>-1.2929461023729548E-2</v>
      </c>
      <c r="R193" s="8">
        <f>IF(VLOOKUP($D193,$X$14:$Y$19,2,0)&lt;=0,1,IF(Q193&lt;0,1,ROUNDUP(IF(Q193*('Draft Center'!$L$28+'Draft Center'!$L$78-'Draft Center'!$L$82)&lt;1,1,Q193*('Draft Center'!$L$28+'Draft Center'!$L$78-'Draft Center'!$L$82)),0)))</f>
        <v>1</v>
      </c>
      <c r="S193" s="8">
        <f>IF(A193&lt;Input!$B$10+0.1,IF(ROUNDUP(R193*Input!$C$10,0)=0,1,ROUNDUP(R193*Input!$C$10,0)),IF(A193&gt;Input!$B$11,IF(ROUNDUP(R193*Input!$C$11,0)=0,1,ROUNDUP(R193*Input!$C$11,0)),IF(ROUNDUP(R193,0)=0,1,ROUNDUP(R193,0))))</f>
        <v>1</v>
      </c>
      <c r="T193" s="8">
        <f t="shared" si="61"/>
        <v>1</v>
      </c>
      <c r="U193" s="8">
        <f>IFERROR(VLOOKUP($B193,Input!$AC$2:$AE$161,3,0),0)</f>
        <v>0</v>
      </c>
      <c r="V193" s="256">
        <f t="shared" si="66"/>
        <v>1.9300000000000001E-3</v>
      </c>
      <c r="W193" s="263">
        <f t="shared" si="67"/>
        <v>1.9300000000000001E-3</v>
      </c>
      <c r="X193" s="27"/>
      <c r="Y193" s="23"/>
      <c r="Z193" s="23"/>
      <c r="AA193" s="23">
        <v>0</v>
      </c>
      <c r="AB193" s="23" t="str">
        <f t="shared" si="82"/>
        <v/>
      </c>
      <c r="AC193" s="23">
        <f t="shared" si="82"/>
        <v>0</v>
      </c>
      <c r="AD193" s="23" t="str">
        <f t="shared" si="82"/>
        <v/>
      </c>
      <c r="AE193" s="23" t="str">
        <f t="shared" si="82"/>
        <v/>
      </c>
      <c r="AF193" s="23" t="str">
        <f t="shared" si="82"/>
        <v/>
      </c>
      <c r="AG193" s="23" t="str">
        <f t="shared" si="82"/>
        <v/>
      </c>
      <c r="AH193" s="23">
        <f t="shared" si="62"/>
        <v>0</v>
      </c>
      <c r="AI193" s="23">
        <f t="shared" si="63"/>
        <v>0</v>
      </c>
      <c r="AJ193" s="71">
        <v>1</v>
      </c>
      <c r="AK193" s="225">
        <v>2327.0337</v>
      </c>
      <c r="AL193" s="33">
        <v>1</v>
      </c>
      <c r="AM193" s="204">
        <v>2327.0337</v>
      </c>
      <c r="AN193" s="196"/>
      <c r="AO193" s="68"/>
      <c r="AQ193" s="68"/>
      <c r="AR193" s="68"/>
      <c r="AS193" s="68"/>
      <c r="AT193" s="68"/>
      <c r="AU193" s="68"/>
      <c r="AV193" s="68"/>
      <c r="AW193" s="68"/>
      <c r="AX193" s="68"/>
      <c r="AY193" s="68"/>
      <c r="AZ193" s="196"/>
      <c r="BA193" s="71">
        <f>IF(VLOOKUP($D193,$AO$14:AQ$19,COLUMN()-50,0)&lt;=0,1,IF($Q193&lt;0,1,ROUNDUP(IF($Q193*('Draft Center'!$L$28+'Draft Center'!$L$78-'Draft Center'!$L$82)&lt;1,1,$Q193*('Draft Center'!$L$28+'Draft Center'!$L$78-'Draft Center'!$L$82)),0)))</f>
        <v>1</v>
      </c>
      <c r="BB193" s="71">
        <f>IF(VLOOKUP($D193,$AO$14:AR$19,COLUMN()-50,0)&lt;=0,1,IF($Q193&lt;0,1,ROUNDUP(IF($Q193*('Draft Center'!$L$28+'Draft Center'!$L$78-'Draft Center'!$L$82)&lt;1,1,$Q193*('Draft Center'!$L$28+'Draft Center'!$L$78-'Draft Center'!$L$82)),0)))</f>
        <v>1</v>
      </c>
      <c r="BC193" s="71">
        <f>IF(VLOOKUP($D193,$AO$14:AS$19,COLUMN()-50,0)&lt;=0,1,IF($Q193&lt;0,1,ROUNDUP(IF($Q193*('Draft Center'!$L$28+'Draft Center'!$L$78-'Draft Center'!$L$82)&lt;1,1,$Q193*('Draft Center'!$L$28+'Draft Center'!$L$78-'Draft Center'!$L$82)),0)))</f>
        <v>1</v>
      </c>
      <c r="BD193" s="71">
        <f>IF(VLOOKUP($D193,$AO$14:AT$19,COLUMN()-50,0)&lt;=0,1,IF($Q193&lt;0,1,ROUNDUP(IF($Q193*('Draft Center'!$L$28+'Draft Center'!$L$78-'Draft Center'!$L$82)&lt;1,1,$Q193*('Draft Center'!$L$28+'Draft Center'!$L$78-'Draft Center'!$L$82)),0)))</f>
        <v>1</v>
      </c>
      <c r="BE193" s="71">
        <f>IF(VLOOKUP($D193,$AO$14:AU$19,COLUMN()-50,0)&lt;=0,1,IF($Q193&lt;0,1,ROUNDUP(IF($Q193*('Draft Center'!$L$28+'Draft Center'!$L$78-'Draft Center'!$L$82)&lt;1,1,$Q193*('Draft Center'!$L$28+'Draft Center'!$L$78-'Draft Center'!$L$82)),0)))</f>
        <v>1</v>
      </c>
      <c r="BF193" s="71">
        <f>IF(VLOOKUP($D193,$AO$14:AV$19,COLUMN()-50,0)&lt;=0,1,IF($Q193&lt;0,1,ROUNDUP(IF($Q193*('Draft Center'!$L$28+'Draft Center'!$L$78-'Draft Center'!$L$82)&lt;1,1,$Q193*('Draft Center'!$L$28+'Draft Center'!$L$78-'Draft Center'!$L$82)),0)))</f>
        <v>1</v>
      </c>
      <c r="BG193" s="71">
        <f>IF(VLOOKUP($D193,$AO$14:AW$19,COLUMN()-50,0)&lt;=0,1,IF($Q193&lt;0,1,ROUNDUP(IF($Q193*('Draft Center'!$L$28+'Draft Center'!$L$78-'Draft Center'!$L$82)&lt;1,1,$Q193*('Draft Center'!$L$28+'Draft Center'!$L$78-'Draft Center'!$L$82)),0)))</f>
        <v>1</v>
      </c>
      <c r="BH193" s="71">
        <f>IF(VLOOKUP($D193,$AO$14:AX$19,COLUMN()-50,0)&lt;=0,1,IF($Q193&lt;0,1,ROUNDUP(IF($Q193*('Draft Center'!$L$28+'Draft Center'!$L$78-'Draft Center'!$L$82)&lt;1,1,$Q193*('Draft Center'!$L$28+'Draft Center'!$L$78-'Draft Center'!$L$82)),0)))</f>
        <v>1</v>
      </c>
      <c r="BI193" s="71">
        <f>IF(VLOOKUP($D193,$AO$14:AY$19,COLUMN()-50,0)&lt;=0,1,IF($Q193&lt;0,1,ROUNDUP(IF($Q193*('Draft Center'!$L$28+'Draft Center'!$L$78-'Draft Center'!$L$82)&lt;1,1,$Q193*('Draft Center'!$L$28+'Draft Center'!$L$78-'Draft Center'!$L$82)),0)))</f>
        <v>1</v>
      </c>
      <c r="BJ193" s="196"/>
      <c r="BK193" s="23">
        <v>0</v>
      </c>
      <c r="BL193" s="23" t="str">
        <f t="shared" si="83"/>
        <v/>
      </c>
      <c r="BM193" s="23">
        <v>0</v>
      </c>
      <c r="BN193" s="23" t="str">
        <f t="shared" si="83"/>
        <v/>
      </c>
      <c r="BO193" s="23" t="str">
        <f t="shared" si="83"/>
        <v/>
      </c>
      <c r="BP193" s="23" t="str">
        <f t="shared" si="83"/>
        <v/>
      </c>
      <c r="BQ193" s="23" t="str">
        <f t="shared" si="83"/>
        <v/>
      </c>
      <c r="BR193" s="23">
        <f t="shared" si="64"/>
        <v>0</v>
      </c>
      <c r="BS193" s="23">
        <f t="shared" si="65"/>
        <v>0</v>
      </c>
      <c r="BT193" s="71">
        <v>1</v>
      </c>
      <c r="BU193" s="58">
        <v>2327.0337</v>
      </c>
      <c r="BV193" s="33">
        <v>1</v>
      </c>
      <c r="BW193" s="204">
        <v>2327.0337</v>
      </c>
      <c r="BX193" s="23"/>
      <c r="BY193" s="70">
        <v>1</v>
      </c>
      <c r="BZ193" s="70">
        <v>1</v>
      </c>
      <c r="CA193" s="70">
        <v>1</v>
      </c>
      <c r="CB193" s="70">
        <v>1</v>
      </c>
      <c r="CC193" s="70">
        <f t="shared" si="68"/>
        <v>1</v>
      </c>
      <c r="CD193" s="70">
        <f t="shared" si="69"/>
        <v>1</v>
      </c>
    </row>
    <row r="194" spans="1:82" ht="15.75" customHeight="1" thickBot="1" x14ac:dyDescent="0.3">
      <c r="A194" s="9">
        <v>193</v>
      </c>
      <c r="B194" s="10" t="s">
        <v>123</v>
      </c>
      <c r="C194" s="10" t="s">
        <v>64</v>
      </c>
      <c r="D194" s="10" t="s">
        <v>53</v>
      </c>
      <c r="E194" s="51">
        <v>-35.724830519832402</v>
      </c>
      <c r="F194" s="51">
        <v>236.62281311300299</v>
      </c>
      <c r="G194" s="51">
        <v>256.27990348560002</v>
      </c>
      <c r="H194" s="51">
        <v>186.08027709190699</v>
      </c>
      <c r="I194" s="11">
        <v>0</v>
      </c>
      <c r="J194" s="51">
        <v>5.1541490398651302</v>
      </c>
      <c r="K194" s="249">
        <f>IFERROR(VLOOKUP(C194,Schedule!$T$3:$U$34,2,0),"FA")</f>
        <v>11</v>
      </c>
      <c r="L194" s="10" t="str">
        <f>D194&amp;COUNTIF(D$2:$D194,D194)</f>
        <v>QB22</v>
      </c>
      <c r="M194" s="51">
        <f t="array" ref="M194">IFERROR(F194-AVERAGE(VLOOKUP(D194,$D195:$F$885,3,0),INDEX($F195:$F$885,SMALL(IF(D194=$D195:$D$885,ROW($D195:$D$885)-ROW(D194)),2))),0)</f>
        <v>9.5577742835604909</v>
      </c>
      <c r="N194" s="51">
        <f>IFERROR(IF(VLOOKUP($B194,Input!$AC$2:$AC$162,1,0)=$B194,0),F194)</f>
        <v>236.62281311300299</v>
      </c>
      <c r="O194" s="51">
        <f>IFERROR(IF(VLOOKUP($B194,Input!$AC$2:$AC$162,1,0)=$B194,0,G194),G194)</f>
        <v>256.27990348560002</v>
      </c>
      <c r="P194" s="51">
        <f>IF(N194=0,0,F194-AVERAGE(INDEX(F:F,MATCH(VLOOKUP(D194,Input!$A$14:$L$22,10,0),L:L,0)),INDEX(F:F,MATCH(VLOOKUP(D194,Input!$A$14:$L$22,11,0),L:L,0)),INDEX(F:F,MATCH(VLOOKUP(D194,Input!$A$14:$L$22,12,0),L:L,0)))+(0.01-ROW()*0.01))</f>
        <v>-37.654830519832636</v>
      </c>
      <c r="Q194" s="107">
        <f t="shared" ref="Q194:Q257" si="84">IFERROR(P194/SUMIF(P:P,"&gt;0",P:P),0)</f>
        <v>-1.2990650721228051E-2</v>
      </c>
      <c r="R194" s="11">
        <f>IF(VLOOKUP($D194,$X$14:$Y$19,2,0)&lt;=0,1,IF(Q194&lt;0,1,ROUNDUP(IF(Q194*('Draft Center'!$L$28+'Draft Center'!$L$78-'Draft Center'!$L$82)&lt;1,1,Q194*('Draft Center'!$L$28+'Draft Center'!$L$78-'Draft Center'!$L$82)),0)))</f>
        <v>1</v>
      </c>
      <c r="S194" s="11">
        <f>IF(A194&lt;Input!$B$10+0.1,IF(ROUNDUP(R194*Input!$C$10,0)=0,1,ROUNDUP(R194*Input!$C$10,0)),IF(A194&gt;Input!$B$11,IF(ROUNDUP(R194*Input!$C$11,0)=0,1,ROUNDUP(R194*Input!$C$11,0)),IF(ROUNDUP(R194,0)=0,1,ROUNDUP(R194,0))))</f>
        <v>1</v>
      </c>
      <c r="T194" s="11">
        <f t="shared" ref="T194:T257" si="85">IF(U194&gt;0,0,IF(AA194=1,R194,IF(AL194=0,1,AL194)))</f>
        <v>1</v>
      </c>
      <c r="U194" s="11">
        <f>IFERROR(VLOOKUP($B194,Input!$AC$2:$AE$161,3,0),0)</f>
        <v>0</v>
      </c>
      <c r="V194" s="257">
        <f t="shared" si="66"/>
        <v>0</v>
      </c>
      <c r="W194" s="264">
        <f t="shared" si="67"/>
        <v>1.0019400000000001</v>
      </c>
      <c r="X194" s="27"/>
      <c r="Y194" s="23"/>
      <c r="Z194" s="23"/>
      <c r="AA194" s="23">
        <v>0</v>
      </c>
      <c r="AB194" s="23">
        <f t="shared" si="82"/>
        <v>0</v>
      </c>
      <c r="AC194" s="23" t="str">
        <f t="shared" si="82"/>
        <v/>
      </c>
      <c r="AD194" s="23" t="str">
        <f t="shared" si="82"/>
        <v/>
      </c>
      <c r="AE194" s="23" t="str">
        <f t="shared" si="82"/>
        <v/>
      </c>
      <c r="AF194" s="23" t="str">
        <f t="shared" si="82"/>
        <v/>
      </c>
      <c r="AG194" s="23" t="str">
        <f t="shared" si="82"/>
        <v/>
      </c>
      <c r="AH194" s="23">
        <f t="shared" ref="AH194:AH202" si="86">IF($D194=AC$1,1*$AA194,IF($D194=AD$1,1*$AA194,IF($D194=AE$1,1*$AA194,IF($D194=AB$1,1*$AA194,IF($D194=AF$1,1*$AA194,IF($D194=AG$1,1*$AA194,""))))))</f>
        <v>0</v>
      </c>
      <c r="AI194" s="23">
        <f t="shared" ref="AI194:AI202" si="87">IF(AH194=1,B194,0)</f>
        <v>0</v>
      </c>
      <c r="AJ194" s="69">
        <v>1</v>
      </c>
      <c r="AK194" s="225">
        <v>2327.0337</v>
      </c>
      <c r="AL194" s="33">
        <v>1</v>
      </c>
      <c r="AM194" s="204">
        <v>2327.0337</v>
      </c>
      <c r="AN194" s="196"/>
      <c r="AO194" s="68"/>
      <c r="AQ194" s="68"/>
      <c r="AR194" s="68"/>
      <c r="AS194" s="68"/>
      <c r="AT194" s="68"/>
      <c r="AU194" s="68"/>
      <c r="AV194" s="68"/>
      <c r="AW194" s="68"/>
      <c r="AX194" s="68"/>
      <c r="AY194" s="68"/>
      <c r="AZ194" s="196"/>
      <c r="BA194" s="69">
        <f>IF(VLOOKUP($D194,$AO$14:AQ$19,COLUMN()-50,0)&lt;=0,1,IF($Q194&lt;0,1,ROUNDUP(IF($Q194*('Draft Center'!$L$28+'Draft Center'!$L$78-'Draft Center'!$L$82)&lt;1,1,$Q194*('Draft Center'!$L$28+'Draft Center'!$L$78-'Draft Center'!$L$82)),0)))</f>
        <v>1</v>
      </c>
      <c r="BB194" s="69">
        <f>IF(VLOOKUP($D194,$AO$14:AR$19,COLUMN()-50,0)&lt;=0,1,IF($Q194&lt;0,1,ROUNDUP(IF($Q194*('Draft Center'!$L$28+'Draft Center'!$L$78-'Draft Center'!$L$82)&lt;1,1,$Q194*('Draft Center'!$L$28+'Draft Center'!$L$78-'Draft Center'!$L$82)),0)))</f>
        <v>1</v>
      </c>
      <c r="BC194" s="69">
        <f>IF(VLOOKUP($D194,$AO$14:AS$19,COLUMN()-50,0)&lt;=0,1,IF($Q194&lt;0,1,ROUNDUP(IF($Q194*('Draft Center'!$L$28+'Draft Center'!$L$78-'Draft Center'!$L$82)&lt;1,1,$Q194*('Draft Center'!$L$28+'Draft Center'!$L$78-'Draft Center'!$L$82)),0)))</f>
        <v>1</v>
      </c>
      <c r="BD194" s="69">
        <f>IF(VLOOKUP($D194,$AO$14:AT$19,COLUMN()-50,0)&lt;=0,1,IF($Q194&lt;0,1,ROUNDUP(IF($Q194*('Draft Center'!$L$28+'Draft Center'!$L$78-'Draft Center'!$L$82)&lt;1,1,$Q194*('Draft Center'!$L$28+'Draft Center'!$L$78-'Draft Center'!$L$82)),0)))</f>
        <v>1</v>
      </c>
      <c r="BE194" s="69">
        <f>IF(VLOOKUP($D194,$AO$14:AU$19,COLUMN()-50,0)&lt;=0,1,IF($Q194&lt;0,1,ROUNDUP(IF($Q194*('Draft Center'!$L$28+'Draft Center'!$L$78-'Draft Center'!$L$82)&lt;1,1,$Q194*('Draft Center'!$L$28+'Draft Center'!$L$78-'Draft Center'!$L$82)),0)))</f>
        <v>1</v>
      </c>
      <c r="BF194" s="69">
        <f>IF(VLOOKUP($D194,$AO$14:AV$19,COLUMN()-50,0)&lt;=0,1,IF($Q194&lt;0,1,ROUNDUP(IF($Q194*('Draft Center'!$L$28+'Draft Center'!$L$78-'Draft Center'!$L$82)&lt;1,1,$Q194*('Draft Center'!$L$28+'Draft Center'!$L$78-'Draft Center'!$L$82)),0)))</f>
        <v>1</v>
      </c>
      <c r="BG194" s="69">
        <f>IF(VLOOKUP($D194,$AO$14:AW$19,COLUMN()-50,0)&lt;=0,1,IF($Q194&lt;0,1,ROUNDUP(IF($Q194*('Draft Center'!$L$28+'Draft Center'!$L$78-'Draft Center'!$L$82)&lt;1,1,$Q194*('Draft Center'!$L$28+'Draft Center'!$L$78-'Draft Center'!$L$82)),0)))</f>
        <v>1</v>
      </c>
      <c r="BH194" s="69">
        <f>IF(VLOOKUP($D194,$AO$14:AX$19,COLUMN()-50,0)&lt;=0,1,IF($Q194&lt;0,1,ROUNDUP(IF($Q194*('Draft Center'!$L$28+'Draft Center'!$L$78-'Draft Center'!$L$82)&lt;1,1,$Q194*('Draft Center'!$L$28+'Draft Center'!$L$78-'Draft Center'!$L$82)),0)))</f>
        <v>1</v>
      </c>
      <c r="BI194" s="69">
        <f>IF(VLOOKUP($D194,$AO$14:AY$19,COLUMN()-50,0)&lt;=0,1,IF($Q194&lt;0,1,ROUNDUP(IF($Q194*('Draft Center'!$L$28+'Draft Center'!$L$78-'Draft Center'!$L$82)&lt;1,1,$Q194*('Draft Center'!$L$28+'Draft Center'!$L$78-'Draft Center'!$L$82)),0)))</f>
        <v>1</v>
      </c>
      <c r="BJ194" s="196"/>
      <c r="BK194" s="23">
        <v>0</v>
      </c>
      <c r="BL194" s="23">
        <f t="shared" si="83"/>
        <v>0</v>
      </c>
      <c r="BM194" s="23">
        <v>0</v>
      </c>
      <c r="BN194" s="23" t="str">
        <f t="shared" si="83"/>
        <v/>
      </c>
      <c r="BO194" s="23" t="str">
        <f t="shared" si="83"/>
        <v/>
      </c>
      <c r="BP194" s="23" t="str">
        <f t="shared" si="83"/>
        <v/>
      </c>
      <c r="BQ194" s="23" t="str">
        <f t="shared" si="83"/>
        <v/>
      </c>
      <c r="BR194" s="23">
        <f t="shared" ref="BR194:BR202" si="88">IF($D194=BM$1,1*$BK194,IF($D194=BN$1,1*$BK194,IF($D194=BO$1,1*$BK194,IF($D194=BL$1,1*$BK194,IF($D194=BP$1,1*$BK194,IF($D194=BQ$1,1*$BK194,""))))))</f>
        <v>0</v>
      </c>
      <c r="BS194" s="23">
        <f t="shared" ref="BS194:BS202" si="89">IF(BR194=1,B194,0)</f>
        <v>0</v>
      </c>
      <c r="BT194" s="69">
        <v>1</v>
      </c>
      <c r="BU194" s="58">
        <v>2327.0337</v>
      </c>
      <c r="BV194" s="33">
        <v>1</v>
      </c>
      <c r="BW194" s="204">
        <v>2327.0337</v>
      </c>
      <c r="BX194" s="23"/>
      <c r="BY194" s="69">
        <v>1</v>
      </c>
      <c r="BZ194" s="69">
        <v>0</v>
      </c>
      <c r="CA194" s="69">
        <v>0</v>
      </c>
      <c r="CB194" s="69">
        <v>0</v>
      </c>
      <c r="CC194" s="69">
        <f t="shared" si="68"/>
        <v>0</v>
      </c>
      <c r="CD194" s="69">
        <f t="shared" si="69"/>
        <v>0</v>
      </c>
    </row>
    <row r="195" spans="1:82" ht="15.75" customHeight="1" thickBot="1" x14ac:dyDescent="0.3">
      <c r="A195" s="6">
        <v>194</v>
      </c>
      <c r="B195" s="7" t="s">
        <v>942</v>
      </c>
      <c r="C195" s="7" t="s">
        <v>25</v>
      </c>
      <c r="D195" s="7" t="s">
        <v>19</v>
      </c>
      <c r="E195" s="50">
        <v>-37.097408862840801</v>
      </c>
      <c r="F195" s="50">
        <v>132.00498916311099</v>
      </c>
      <c r="G195" s="50">
        <v>149.253702475669</v>
      </c>
      <c r="H195" s="50">
        <v>77.520700964630194</v>
      </c>
      <c r="I195" s="8">
        <v>2.1</v>
      </c>
      <c r="J195" s="50">
        <v>5.5296615546772401</v>
      </c>
      <c r="K195" s="248">
        <f>IFERROR(VLOOKUP(C195,Schedule!$T$3:$U$34,2,0),"FA")</f>
        <v>10</v>
      </c>
      <c r="L195" s="7" t="str">
        <f>D195&amp;COUNTIF(D$2:$D195,D195)</f>
        <v>RB45</v>
      </c>
      <c r="M195" s="50">
        <f t="array" ref="M195">IFERROR(F195-AVERAGE(VLOOKUP(D195,$D196:$F$885,3,0),INDEX($F196:$F$885,SMALL(IF(D195=$D196:$D$885,ROW($D196:$D$885)-ROW(D195)),2))),0)</f>
        <v>2.4798280787569809</v>
      </c>
      <c r="N195" s="50">
        <f>IFERROR(IF(VLOOKUP($B195,Input!$AC$2:$AC$162,1,0)=$B195,0),F195)</f>
        <v>132.00498916311099</v>
      </c>
      <c r="O195" s="50">
        <f>IFERROR(IF(VLOOKUP($B195,Input!$AC$2:$AC$162,1,0)=$B195,0,G195),G195)</f>
        <v>149.253702475669</v>
      </c>
      <c r="P195" s="50">
        <f>IF(N195=0,0,F195-AVERAGE(INDEX(F:F,MATCH(VLOOKUP(D195,Input!$A$14:$L$22,10,0),L:L,0)),INDEX(F:F,MATCH(VLOOKUP(D195,Input!$A$14:$L$22,11,0),L:L,0)),INDEX(F:F,MATCH(VLOOKUP(D195,Input!$A$14:$L$22,12,0),L:L,0)))+(0.01-ROW()*0.01))</f>
        <v>-39.037408862841005</v>
      </c>
      <c r="Q195" s="106">
        <f t="shared" si="84"/>
        <v>-1.3467630489847542E-2</v>
      </c>
      <c r="R195" s="8">
        <f>IF(VLOOKUP($D195,$X$14:$Y$19,2,0)&lt;=0,1,IF(Q195&lt;0,1,ROUNDUP(IF(Q195*('Draft Center'!$L$28+'Draft Center'!$L$78-'Draft Center'!$L$82)&lt;1,1,Q195*('Draft Center'!$L$28+'Draft Center'!$L$78-'Draft Center'!$L$82)),0)))</f>
        <v>1</v>
      </c>
      <c r="S195" s="8">
        <f>IF(A195&lt;Input!$B$10+0.1,IF(ROUNDUP(R195*Input!$C$10,0)=0,1,ROUNDUP(R195*Input!$C$10,0)),IF(A195&gt;Input!$B$11,IF(ROUNDUP(R195*Input!$C$11,0)=0,1,ROUNDUP(R195*Input!$C$11,0)),IF(ROUNDUP(R195,0)=0,1,ROUNDUP(R195,0))))</f>
        <v>1</v>
      </c>
      <c r="T195" s="8">
        <f t="shared" si="85"/>
        <v>1</v>
      </c>
      <c r="U195" s="8">
        <f>IFERROR(VLOOKUP($B195,Input!$AC$2:$AE$161,3,0),0)</f>
        <v>0</v>
      </c>
      <c r="V195" s="256">
        <f t="shared" ref="V195:V258" si="90">IF(R195=0,0,IFERROR(((R195-CD195)/CD195)+(ROW()*0.00001),0))</f>
        <v>-0.52185952380952383</v>
      </c>
      <c r="W195" s="263">
        <f t="shared" ref="W195:W258" si="91">IF(R195=0,0,IFERROR(((R195-CD195))+(ROW()*0.00001),0))</f>
        <v>-1.0980500000000002</v>
      </c>
      <c r="X195" s="27"/>
      <c r="Y195" s="23"/>
      <c r="Z195" s="23"/>
      <c r="AA195" s="23">
        <v>0</v>
      </c>
      <c r="AB195" s="23" t="str">
        <f t="shared" si="82"/>
        <v/>
      </c>
      <c r="AC195" s="23">
        <f t="shared" si="82"/>
        <v>0</v>
      </c>
      <c r="AD195" s="23" t="str">
        <f t="shared" si="82"/>
        <v/>
      </c>
      <c r="AE195" s="23" t="str">
        <f t="shared" si="82"/>
        <v/>
      </c>
      <c r="AF195" s="23" t="str">
        <f t="shared" si="82"/>
        <v/>
      </c>
      <c r="AG195" s="23" t="str">
        <f t="shared" si="82"/>
        <v/>
      </c>
      <c r="AH195" s="23">
        <f t="shared" si="86"/>
        <v>0</v>
      </c>
      <c r="AI195" s="23">
        <f t="shared" si="87"/>
        <v>0</v>
      </c>
      <c r="AJ195" s="71">
        <v>1</v>
      </c>
      <c r="AK195" s="225">
        <v>2327.0337</v>
      </c>
      <c r="AL195" s="33">
        <v>1</v>
      </c>
      <c r="AM195" s="204">
        <v>2327.0337</v>
      </c>
      <c r="AN195" s="196"/>
      <c r="AO195" s="68"/>
      <c r="AQ195" s="68"/>
      <c r="AR195" s="68"/>
      <c r="AS195" s="68"/>
      <c r="AT195" s="68"/>
      <c r="AU195" s="68"/>
      <c r="AV195" s="68"/>
      <c r="AW195" s="68"/>
      <c r="AX195" s="68"/>
      <c r="AY195" s="68"/>
      <c r="AZ195" s="196"/>
      <c r="BA195" s="71">
        <f>IF(VLOOKUP($D195,$AO$14:AQ$19,COLUMN()-50,0)&lt;=0,1,IF($Q195&lt;0,1,ROUNDUP(IF($Q195*('Draft Center'!$L$28+'Draft Center'!$L$78-'Draft Center'!$L$82)&lt;1,1,$Q195*('Draft Center'!$L$28+'Draft Center'!$L$78-'Draft Center'!$L$82)),0)))</f>
        <v>1</v>
      </c>
      <c r="BB195" s="71">
        <f>IF(VLOOKUP($D195,$AO$14:AR$19,COLUMN()-50,0)&lt;=0,1,IF($Q195&lt;0,1,ROUNDUP(IF($Q195*('Draft Center'!$L$28+'Draft Center'!$L$78-'Draft Center'!$L$82)&lt;1,1,$Q195*('Draft Center'!$L$28+'Draft Center'!$L$78-'Draft Center'!$L$82)),0)))</f>
        <v>1</v>
      </c>
      <c r="BC195" s="71">
        <f>IF(VLOOKUP($D195,$AO$14:AS$19,COLUMN()-50,0)&lt;=0,1,IF($Q195&lt;0,1,ROUNDUP(IF($Q195*('Draft Center'!$L$28+'Draft Center'!$L$78-'Draft Center'!$L$82)&lt;1,1,$Q195*('Draft Center'!$L$28+'Draft Center'!$L$78-'Draft Center'!$L$82)),0)))</f>
        <v>1</v>
      </c>
      <c r="BD195" s="71">
        <f>IF(VLOOKUP($D195,$AO$14:AT$19,COLUMN()-50,0)&lt;=0,1,IF($Q195&lt;0,1,ROUNDUP(IF($Q195*('Draft Center'!$L$28+'Draft Center'!$L$78-'Draft Center'!$L$82)&lt;1,1,$Q195*('Draft Center'!$L$28+'Draft Center'!$L$78-'Draft Center'!$L$82)),0)))</f>
        <v>1</v>
      </c>
      <c r="BE195" s="71">
        <f>IF(VLOOKUP($D195,$AO$14:AU$19,COLUMN()-50,0)&lt;=0,1,IF($Q195&lt;0,1,ROUNDUP(IF($Q195*('Draft Center'!$L$28+'Draft Center'!$L$78-'Draft Center'!$L$82)&lt;1,1,$Q195*('Draft Center'!$L$28+'Draft Center'!$L$78-'Draft Center'!$L$82)),0)))</f>
        <v>1</v>
      </c>
      <c r="BF195" s="71">
        <f>IF(VLOOKUP($D195,$AO$14:AV$19,COLUMN()-50,0)&lt;=0,1,IF($Q195&lt;0,1,ROUNDUP(IF($Q195*('Draft Center'!$L$28+'Draft Center'!$L$78-'Draft Center'!$L$82)&lt;1,1,$Q195*('Draft Center'!$L$28+'Draft Center'!$L$78-'Draft Center'!$L$82)),0)))</f>
        <v>1</v>
      </c>
      <c r="BG195" s="71">
        <f>IF(VLOOKUP($D195,$AO$14:AW$19,COLUMN()-50,0)&lt;=0,1,IF($Q195&lt;0,1,ROUNDUP(IF($Q195*('Draft Center'!$L$28+'Draft Center'!$L$78-'Draft Center'!$L$82)&lt;1,1,$Q195*('Draft Center'!$L$28+'Draft Center'!$L$78-'Draft Center'!$L$82)),0)))</f>
        <v>1</v>
      </c>
      <c r="BH195" s="71">
        <f>IF(VLOOKUP($D195,$AO$14:AX$19,COLUMN()-50,0)&lt;=0,1,IF($Q195&lt;0,1,ROUNDUP(IF($Q195*('Draft Center'!$L$28+'Draft Center'!$L$78-'Draft Center'!$L$82)&lt;1,1,$Q195*('Draft Center'!$L$28+'Draft Center'!$L$78-'Draft Center'!$L$82)),0)))</f>
        <v>1</v>
      </c>
      <c r="BI195" s="71">
        <f>IF(VLOOKUP($D195,$AO$14:AY$19,COLUMN()-50,0)&lt;=0,1,IF($Q195&lt;0,1,ROUNDUP(IF($Q195*('Draft Center'!$L$28+'Draft Center'!$L$78-'Draft Center'!$L$82)&lt;1,1,$Q195*('Draft Center'!$L$28+'Draft Center'!$L$78-'Draft Center'!$L$82)),0)))</f>
        <v>1</v>
      </c>
      <c r="BJ195" s="196"/>
      <c r="BK195" s="23">
        <v>0</v>
      </c>
      <c r="BL195" s="23" t="str">
        <f t="shared" si="83"/>
        <v/>
      </c>
      <c r="BM195" s="23">
        <v>0</v>
      </c>
      <c r="BN195" s="23" t="str">
        <f t="shared" si="83"/>
        <v/>
      </c>
      <c r="BO195" s="23" t="str">
        <f t="shared" si="83"/>
        <v/>
      </c>
      <c r="BP195" s="23" t="str">
        <f t="shared" si="83"/>
        <v/>
      </c>
      <c r="BQ195" s="23" t="str">
        <f t="shared" si="83"/>
        <v/>
      </c>
      <c r="BR195" s="23">
        <f t="shared" si="88"/>
        <v>0</v>
      </c>
      <c r="BS195" s="23">
        <f t="shared" si="89"/>
        <v>0</v>
      </c>
      <c r="BT195" s="71">
        <v>1</v>
      </c>
      <c r="BU195" s="58">
        <v>2327.0337</v>
      </c>
      <c r="BV195" s="33">
        <v>1</v>
      </c>
      <c r="BW195" s="204">
        <v>2327.0337</v>
      </c>
      <c r="BX195" s="23"/>
      <c r="BY195" s="70">
        <v>1</v>
      </c>
      <c r="BZ195" s="70">
        <v>2.1</v>
      </c>
      <c r="CA195" s="70">
        <v>2.1</v>
      </c>
      <c r="CB195" s="70">
        <v>2.1</v>
      </c>
      <c r="CC195" s="70">
        <f t="shared" ref="CC195:CC258" si="92">AVERAGE(BZ195:CB195)</f>
        <v>2.1</v>
      </c>
      <c r="CD195" s="70">
        <f t="shared" ref="CD195:CD258" si="93">IFERROR(HLOOKUP($CD$1,$BZ$1:$CC$930,ROW(),0),"")</f>
        <v>2.1</v>
      </c>
    </row>
    <row r="196" spans="1:82" ht="15.75" customHeight="1" thickBot="1" x14ac:dyDescent="0.3">
      <c r="A196" s="9">
        <v>195</v>
      </c>
      <c r="B196" s="10" t="s">
        <v>934</v>
      </c>
      <c r="C196" s="10" t="s">
        <v>27</v>
      </c>
      <c r="D196" s="10" t="s">
        <v>147</v>
      </c>
      <c r="E196" s="51">
        <v>-38.5039979033157</v>
      </c>
      <c r="F196" s="51">
        <v>92.864990527657596</v>
      </c>
      <c r="G196" s="51">
        <v>114.012260628909</v>
      </c>
      <c r="H196" s="51">
        <v>48.049644901305903</v>
      </c>
      <c r="I196" s="11">
        <v>0</v>
      </c>
      <c r="J196" s="51">
        <v>6.6184293588499896</v>
      </c>
      <c r="K196" s="249">
        <f>IFERROR(VLOOKUP(C196,Schedule!$T$3:$U$34,2,0),"FA")</f>
        <v>8</v>
      </c>
      <c r="L196" s="10" t="str">
        <f>D196&amp;COUNTIF(D$2:$D196,D196)</f>
        <v>K29</v>
      </c>
      <c r="M196" s="51">
        <f t="array" ref="M196">IFERROR(F196-AVERAGE(VLOOKUP(D196,$D197:$F$885,3,0),INDEX($F197:$F$885,SMALL(IF(D196=$D197:$D$885,ROW($D197:$D$885)-ROW(D196)),2))),0)</f>
        <v>4.0537333580221855</v>
      </c>
      <c r="N196" s="51">
        <f>IFERROR(IF(VLOOKUP($B196,Input!$AC$2:$AC$162,1,0)=$B196,0),F196)</f>
        <v>92.864990527657596</v>
      </c>
      <c r="O196" s="51">
        <f>IFERROR(IF(VLOOKUP($B196,Input!$AC$2:$AC$162,1,0)=$B196,0,G196),G196)</f>
        <v>114.012260628909</v>
      </c>
      <c r="P196" s="51">
        <f>IF(N196=0,0,F196-AVERAGE(INDEX(F:F,MATCH(VLOOKUP(D196,Input!$A$14:$L$22,10,0),L:L,0)),INDEX(F:F,MATCH(VLOOKUP(D196,Input!$A$14:$L$22,11,0),L:L,0)),INDEX(F:F,MATCH(VLOOKUP(D196,Input!$A$14:$L$22,12,0),L:L,0)))+(0.01-ROW()*0.01))</f>
        <v>-40.627991054470399</v>
      </c>
      <c r="Q196" s="107">
        <f t="shared" si="84"/>
        <v>-1.4016370117927395E-2</v>
      </c>
      <c r="R196" s="11">
        <f>IF(VLOOKUP($D196,$X$14:$Y$19,2,0)&lt;=0,1,IF(Q196&lt;0,1,ROUNDUP(IF(Q196*('Draft Center'!$L$28+'Draft Center'!$L$78-'Draft Center'!$L$82)&lt;1,1,Q196*('Draft Center'!$L$28+'Draft Center'!$L$78-'Draft Center'!$L$82)),0)))</f>
        <v>1</v>
      </c>
      <c r="S196" s="11">
        <f>IF(A196&lt;Input!$B$10+0.1,IF(ROUNDUP(R196*Input!$C$10,0)=0,1,ROUNDUP(R196*Input!$C$10,0)),IF(A196&gt;Input!$B$11,IF(ROUNDUP(R196*Input!$C$11,0)=0,1,ROUNDUP(R196*Input!$C$11,0)),IF(ROUNDUP(R196,0)=0,1,ROUNDUP(R196,0))))</f>
        <v>1</v>
      </c>
      <c r="T196" s="11">
        <f t="shared" si="85"/>
        <v>1</v>
      </c>
      <c r="U196" s="11">
        <f>IFERROR(VLOOKUP($B196,Input!$AC$2:$AE$161,3,0),0)</f>
        <v>0</v>
      </c>
      <c r="V196" s="257">
        <f t="shared" si="90"/>
        <v>0</v>
      </c>
      <c r="W196" s="264">
        <f t="shared" si="91"/>
        <v>1.00196</v>
      </c>
      <c r="X196" s="27"/>
      <c r="Y196" s="23"/>
      <c r="Z196" s="23"/>
      <c r="AA196" s="23">
        <v>0</v>
      </c>
      <c r="AB196" s="23" t="str">
        <f t="shared" si="82"/>
        <v/>
      </c>
      <c r="AC196" s="23" t="str">
        <f t="shared" si="82"/>
        <v/>
      </c>
      <c r="AD196" s="23" t="str">
        <f t="shared" si="82"/>
        <v/>
      </c>
      <c r="AE196" s="23" t="str">
        <f t="shared" si="82"/>
        <v/>
      </c>
      <c r="AF196" s="23" t="str">
        <f t="shared" si="82"/>
        <v/>
      </c>
      <c r="AG196" s="23">
        <f t="shared" si="82"/>
        <v>0</v>
      </c>
      <c r="AH196" s="23">
        <f t="shared" si="86"/>
        <v>0</v>
      </c>
      <c r="AI196" s="23">
        <f t="shared" si="87"/>
        <v>0</v>
      </c>
      <c r="AJ196" s="69">
        <v>1</v>
      </c>
      <c r="AK196" s="225">
        <v>2327.0337</v>
      </c>
      <c r="AL196" s="33">
        <v>1</v>
      </c>
      <c r="AM196" s="204">
        <v>2327.0337</v>
      </c>
      <c r="AN196" s="196"/>
      <c r="AO196" s="68"/>
      <c r="AQ196" s="68"/>
      <c r="AR196" s="68"/>
      <c r="AS196" s="68"/>
      <c r="AT196" s="68"/>
      <c r="AU196" s="68"/>
      <c r="AV196" s="68"/>
      <c r="AW196" s="68"/>
      <c r="AX196" s="68"/>
      <c r="AY196" s="68"/>
      <c r="AZ196" s="196"/>
      <c r="BA196" s="69">
        <f>IF(VLOOKUP($D196,$AO$14:AQ$19,COLUMN()-50,0)&lt;=0,1,IF($Q196&lt;0,1,ROUNDUP(IF($Q196*('Draft Center'!$L$28+'Draft Center'!$L$78-'Draft Center'!$L$82)&lt;1,1,$Q196*('Draft Center'!$L$28+'Draft Center'!$L$78-'Draft Center'!$L$82)),0)))</f>
        <v>1</v>
      </c>
      <c r="BB196" s="69">
        <f>IF(VLOOKUP($D196,$AO$14:AR$19,COLUMN()-50,0)&lt;=0,1,IF($Q196&lt;0,1,ROUNDUP(IF($Q196*('Draft Center'!$L$28+'Draft Center'!$L$78-'Draft Center'!$L$82)&lt;1,1,$Q196*('Draft Center'!$L$28+'Draft Center'!$L$78-'Draft Center'!$L$82)),0)))</f>
        <v>1</v>
      </c>
      <c r="BC196" s="69">
        <f>IF(VLOOKUP($D196,$AO$14:AS$19,COLUMN()-50,0)&lt;=0,1,IF($Q196&lt;0,1,ROUNDUP(IF($Q196*('Draft Center'!$L$28+'Draft Center'!$L$78-'Draft Center'!$L$82)&lt;1,1,$Q196*('Draft Center'!$L$28+'Draft Center'!$L$78-'Draft Center'!$L$82)),0)))</f>
        <v>1</v>
      </c>
      <c r="BD196" s="69">
        <f>IF(VLOOKUP($D196,$AO$14:AT$19,COLUMN()-50,0)&lt;=0,1,IF($Q196&lt;0,1,ROUNDUP(IF($Q196*('Draft Center'!$L$28+'Draft Center'!$L$78-'Draft Center'!$L$82)&lt;1,1,$Q196*('Draft Center'!$L$28+'Draft Center'!$L$78-'Draft Center'!$L$82)),0)))</f>
        <v>1</v>
      </c>
      <c r="BE196" s="69">
        <f>IF(VLOOKUP($D196,$AO$14:AU$19,COLUMN()-50,0)&lt;=0,1,IF($Q196&lt;0,1,ROUNDUP(IF($Q196*('Draft Center'!$L$28+'Draft Center'!$L$78-'Draft Center'!$L$82)&lt;1,1,$Q196*('Draft Center'!$L$28+'Draft Center'!$L$78-'Draft Center'!$L$82)),0)))</f>
        <v>1</v>
      </c>
      <c r="BF196" s="69">
        <f>IF(VLOOKUP($D196,$AO$14:AV$19,COLUMN()-50,0)&lt;=0,1,IF($Q196&lt;0,1,ROUNDUP(IF($Q196*('Draft Center'!$L$28+'Draft Center'!$L$78-'Draft Center'!$L$82)&lt;1,1,$Q196*('Draft Center'!$L$28+'Draft Center'!$L$78-'Draft Center'!$L$82)),0)))</f>
        <v>1</v>
      </c>
      <c r="BG196" s="69">
        <f>IF(VLOOKUP($D196,$AO$14:AW$19,COLUMN()-50,0)&lt;=0,1,IF($Q196&lt;0,1,ROUNDUP(IF($Q196*('Draft Center'!$L$28+'Draft Center'!$L$78-'Draft Center'!$L$82)&lt;1,1,$Q196*('Draft Center'!$L$28+'Draft Center'!$L$78-'Draft Center'!$L$82)),0)))</f>
        <v>1</v>
      </c>
      <c r="BH196" s="69">
        <f>IF(VLOOKUP($D196,$AO$14:AX$19,COLUMN()-50,0)&lt;=0,1,IF($Q196&lt;0,1,ROUNDUP(IF($Q196*('Draft Center'!$L$28+'Draft Center'!$L$78-'Draft Center'!$L$82)&lt;1,1,$Q196*('Draft Center'!$L$28+'Draft Center'!$L$78-'Draft Center'!$L$82)),0)))</f>
        <v>1</v>
      </c>
      <c r="BI196" s="69">
        <f>IF(VLOOKUP($D196,$AO$14:AY$19,COLUMN()-50,0)&lt;=0,1,IF($Q196&lt;0,1,ROUNDUP(IF($Q196*('Draft Center'!$L$28+'Draft Center'!$L$78-'Draft Center'!$L$82)&lt;1,1,$Q196*('Draft Center'!$L$28+'Draft Center'!$L$78-'Draft Center'!$L$82)),0)))</f>
        <v>1</v>
      </c>
      <c r="BJ196" s="196"/>
      <c r="BK196" s="23">
        <v>0</v>
      </c>
      <c r="BL196" s="23" t="str">
        <f t="shared" si="83"/>
        <v/>
      </c>
      <c r="BM196" s="23">
        <v>0</v>
      </c>
      <c r="BN196" s="23" t="str">
        <f t="shared" si="83"/>
        <v/>
      </c>
      <c r="BO196" s="23" t="str">
        <f t="shared" si="83"/>
        <v/>
      </c>
      <c r="BP196" s="23" t="str">
        <f t="shared" si="83"/>
        <v/>
      </c>
      <c r="BQ196" s="23">
        <f t="shared" si="83"/>
        <v>0</v>
      </c>
      <c r="BR196" s="23">
        <f t="shared" si="88"/>
        <v>0</v>
      </c>
      <c r="BS196" s="23">
        <f t="shared" si="89"/>
        <v>0</v>
      </c>
      <c r="BT196" s="69">
        <v>1</v>
      </c>
      <c r="BU196" s="58">
        <v>2327.0337</v>
      </c>
      <c r="BV196" s="33">
        <v>1</v>
      </c>
      <c r="BW196" s="204">
        <v>2327.0337</v>
      </c>
      <c r="BX196" s="23"/>
      <c r="BY196" s="69">
        <v>1</v>
      </c>
      <c r="BZ196" s="69">
        <v>0</v>
      </c>
      <c r="CA196" s="69">
        <v>0</v>
      </c>
      <c r="CB196" s="69">
        <v>0</v>
      </c>
      <c r="CC196" s="69">
        <f t="shared" si="92"/>
        <v>0</v>
      </c>
      <c r="CD196" s="69">
        <f t="shared" si="93"/>
        <v>0</v>
      </c>
    </row>
    <row r="197" spans="1:82" ht="15.75" customHeight="1" thickBot="1" x14ac:dyDescent="0.3">
      <c r="A197" s="6">
        <v>196</v>
      </c>
      <c r="B197" s="7" t="s">
        <v>497</v>
      </c>
      <c r="C197" s="7" t="s">
        <v>33</v>
      </c>
      <c r="D197" s="7" t="s">
        <v>17</v>
      </c>
      <c r="E197" s="50">
        <v>-38.625683320318799</v>
      </c>
      <c r="F197" s="50">
        <v>174.15223294903001</v>
      </c>
      <c r="G197" s="50">
        <v>197.91920661421599</v>
      </c>
      <c r="H197" s="50">
        <v>118.985130315501</v>
      </c>
      <c r="I197" s="8">
        <v>2</v>
      </c>
      <c r="J197" s="50">
        <v>5.24821106044321</v>
      </c>
      <c r="K197" s="248">
        <f>IFERROR(VLOOKUP(C197,Schedule!$T$3:$U$34,2,0),"FA")</f>
        <v>9</v>
      </c>
      <c r="L197" s="7" t="str">
        <f>D197&amp;COUNTIF(D$2:$D197,D197)</f>
        <v>WR46</v>
      </c>
      <c r="M197" s="50">
        <f t="array" ref="M197">IFERROR(F197-AVERAGE(VLOOKUP(D197,$D198:$F$885,3,0),INDEX($F198:$F$885,SMALL(IF(D197=$D198:$D$885,ROW($D198:$D$885)-ROW(D197)),2))),0)</f>
        <v>1.6058343505229971</v>
      </c>
      <c r="N197" s="50">
        <f>IFERROR(IF(VLOOKUP($B197,Input!$AC$2:$AC$162,1,0)=$B197,0),F197)</f>
        <v>174.15223294903001</v>
      </c>
      <c r="O197" s="50">
        <f>IFERROR(IF(VLOOKUP($B197,Input!$AC$2:$AC$162,1,0)=$B197,0,G197),G197)</f>
        <v>197.91920661421599</v>
      </c>
      <c r="P197" s="50">
        <f>IF(N197=0,0,F197-AVERAGE(INDEX(F:F,MATCH(VLOOKUP(D197,Input!$A$14:$L$22,10,0),L:L,0)),INDEX(F:F,MATCH(VLOOKUP(D197,Input!$A$14:$L$22,11,0),L:L,0)),INDEX(F:F,MATCH(VLOOKUP(D197,Input!$A$14:$L$22,12,0),L:L,0)))+(0.01-ROW()*0.01))</f>
        <v>-40.585683320319013</v>
      </c>
      <c r="Q197" s="106">
        <f t="shared" si="84"/>
        <v>-1.4001774248298458E-2</v>
      </c>
      <c r="R197" s="8">
        <f>IF(VLOOKUP($D197,$X$14:$Y$19,2,0)&lt;=0,1,IF(Q197&lt;0,1,ROUNDUP(IF(Q197*('Draft Center'!$L$28+'Draft Center'!$L$78-'Draft Center'!$L$82)&lt;1,1,Q197*('Draft Center'!$L$28+'Draft Center'!$L$78-'Draft Center'!$L$82)),0)))</f>
        <v>1</v>
      </c>
      <c r="S197" s="8">
        <f>IF(A197&lt;Input!$B$10+0.1,IF(ROUNDUP(R197*Input!$C$10,0)=0,1,ROUNDUP(R197*Input!$C$10,0)),IF(A197&gt;Input!$B$11,IF(ROUNDUP(R197*Input!$C$11,0)=0,1,ROUNDUP(R197*Input!$C$11,0)),IF(ROUNDUP(R197,0)=0,1,ROUNDUP(R197,0))))</f>
        <v>1</v>
      </c>
      <c r="T197" s="8">
        <f t="shared" si="85"/>
        <v>1</v>
      </c>
      <c r="U197" s="8">
        <f>IFERROR(VLOOKUP($B197,Input!$AC$2:$AE$161,3,0),0)</f>
        <v>0</v>
      </c>
      <c r="V197" s="256">
        <f t="shared" si="90"/>
        <v>-0.49802999999999997</v>
      </c>
      <c r="W197" s="263">
        <f t="shared" si="91"/>
        <v>-0.99802999999999997</v>
      </c>
      <c r="X197" s="27"/>
      <c r="Y197" s="23"/>
      <c r="Z197" s="23"/>
      <c r="AA197" s="23">
        <v>0</v>
      </c>
      <c r="AB197" s="23" t="str">
        <f t="shared" si="82"/>
        <v/>
      </c>
      <c r="AC197" s="23" t="str">
        <f t="shared" si="82"/>
        <v/>
      </c>
      <c r="AD197" s="23">
        <f t="shared" si="82"/>
        <v>0</v>
      </c>
      <c r="AE197" s="23" t="str">
        <f t="shared" si="82"/>
        <v/>
      </c>
      <c r="AF197" s="23" t="str">
        <f t="shared" si="82"/>
        <v/>
      </c>
      <c r="AG197" s="23" t="str">
        <f t="shared" si="82"/>
        <v/>
      </c>
      <c r="AH197" s="23">
        <f t="shared" si="86"/>
        <v>0</v>
      </c>
      <c r="AI197" s="23">
        <f t="shared" si="87"/>
        <v>0</v>
      </c>
      <c r="AJ197" s="71">
        <v>1</v>
      </c>
      <c r="AK197" s="225">
        <v>2327.0337</v>
      </c>
      <c r="AL197" s="33">
        <v>1</v>
      </c>
      <c r="AM197" s="204">
        <v>2327.0337</v>
      </c>
      <c r="AN197" s="196"/>
      <c r="AO197" s="68"/>
      <c r="AQ197" s="68"/>
      <c r="AR197" s="68"/>
      <c r="AS197" s="68"/>
      <c r="AT197" s="68"/>
      <c r="AU197" s="68"/>
      <c r="AV197" s="68"/>
      <c r="AW197" s="68"/>
      <c r="AX197" s="68"/>
      <c r="AY197" s="68"/>
      <c r="AZ197" s="196"/>
      <c r="BA197" s="71">
        <f>IF(VLOOKUP($D197,$AO$14:AQ$19,COLUMN()-50,0)&lt;=0,1,IF($Q197&lt;0,1,ROUNDUP(IF($Q197*('Draft Center'!$L$28+'Draft Center'!$L$78-'Draft Center'!$L$82)&lt;1,1,$Q197*('Draft Center'!$L$28+'Draft Center'!$L$78-'Draft Center'!$L$82)),0)))</f>
        <v>1</v>
      </c>
      <c r="BB197" s="71">
        <f>IF(VLOOKUP($D197,$AO$14:AR$19,COLUMN()-50,0)&lt;=0,1,IF($Q197&lt;0,1,ROUNDUP(IF($Q197*('Draft Center'!$L$28+'Draft Center'!$L$78-'Draft Center'!$L$82)&lt;1,1,$Q197*('Draft Center'!$L$28+'Draft Center'!$L$78-'Draft Center'!$L$82)),0)))</f>
        <v>1</v>
      </c>
      <c r="BC197" s="71">
        <f>IF(VLOOKUP($D197,$AO$14:AS$19,COLUMN()-50,0)&lt;=0,1,IF($Q197&lt;0,1,ROUNDUP(IF($Q197*('Draft Center'!$L$28+'Draft Center'!$L$78-'Draft Center'!$L$82)&lt;1,1,$Q197*('Draft Center'!$L$28+'Draft Center'!$L$78-'Draft Center'!$L$82)),0)))</f>
        <v>1</v>
      </c>
      <c r="BD197" s="71">
        <f>IF(VLOOKUP($D197,$AO$14:AT$19,COLUMN()-50,0)&lt;=0,1,IF($Q197&lt;0,1,ROUNDUP(IF($Q197*('Draft Center'!$L$28+'Draft Center'!$L$78-'Draft Center'!$L$82)&lt;1,1,$Q197*('Draft Center'!$L$28+'Draft Center'!$L$78-'Draft Center'!$L$82)),0)))</f>
        <v>1</v>
      </c>
      <c r="BE197" s="71">
        <f>IF(VLOOKUP($D197,$AO$14:AU$19,COLUMN()-50,0)&lt;=0,1,IF($Q197&lt;0,1,ROUNDUP(IF($Q197*('Draft Center'!$L$28+'Draft Center'!$L$78-'Draft Center'!$L$82)&lt;1,1,$Q197*('Draft Center'!$L$28+'Draft Center'!$L$78-'Draft Center'!$L$82)),0)))</f>
        <v>1</v>
      </c>
      <c r="BF197" s="71">
        <f>IF(VLOOKUP($D197,$AO$14:AV$19,COLUMN()-50,0)&lt;=0,1,IF($Q197&lt;0,1,ROUNDUP(IF($Q197*('Draft Center'!$L$28+'Draft Center'!$L$78-'Draft Center'!$L$82)&lt;1,1,$Q197*('Draft Center'!$L$28+'Draft Center'!$L$78-'Draft Center'!$L$82)),0)))</f>
        <v>1</v>
      </c>
      <c r="BG197" s="71">
        <f>IF(VLOOKUP($D197,$AO$14:AW$19,COLUMN()-50,0)&lt;=0,1,IF($Q197&lt;0,1,ROUNDUP(IF($Q197*('Draft Center'!$L$28+'Draft Center'!$L$78-'Draft Center'!$L$82)&lt;1,1,$Q197*('Draft Center'!$L$28+'Draft Center'!$L$78-'Draft Center'!$L$82)),0)))</f>
        <v>1</v>
      </c>
      <c r="BH197" s="71">
        <f>IF(VLOOKUP($D197,$AO$14:AX$19,COLUMN()-50,0)&lt;=0,1,IF($Q197&lt;0,1,ROUNDUP(IF($Q197*('Draft Center'!$L$28+'Draft Center'!$L$78-'Draft Center'!$L$82)&lt;1,1,$Q197*('Draft Center'!$L$28+'Draft Center'!$L$78-'Draft Center'!$L$82)),0)))</f>
        <v>1</v>
      </c>
      <c r="BI197" s="71">
        <f>IF(VLOOKUP($D197,$AO$14:AY$19,COLUMN()-50,0)&lt;=0,1,IF($Q197&lt;0,1,ROUNDUP(IF($Q197*('Draft Center'!$L$28+'Draft Center'!$L$78-'Draft Center'!$L$82)&lt;1,1,$Q197*('Draft Center'!$L$28+'Draft Center'!$L$78-'Draft Center'!$L$82)),0)))</f>
        <v>1</v>
      </c>
      <c r="BJ197" s="196"/>
      <c r="BK197" s="23">
        <v>0</v>
      </c>
      <c r="BL197" s="23" t="str">
        <f t="shared" si="83"/>
        <v/>
      </c>
      <c r="BM197" s="23">
        <v>0</v>
      </c>
      <c r="BN197" s="23">
        <f t="shared" si="83"/>
        <v>0</v>
      </c>
      <c r="BO197" s="23" t="str">
        <f t="shared" si="83"/>
        <v/>
      </c>
      <c r="BP197" s="23" t="str">
        <f t="shared" si="83"/>
        <v/>
      </c>
      <c r="BQ197" s="23" t="str">
        <f t="shared" si="83"/>
        <v/>
      </c>
      <c r="BR197" s="23">
        <f t="shared" si="88"/>
        <v>0</v>
      </c>
      <c r="BS197" s="23">
        <f t="shared" si="89"/>
        <v>0</v>
      </c>
      <c r="BT197" s="71">
        <v>1</v>
      </c>
      <c r="BU197" s="58">
        <v>2327.0337</v>
      </c>
      <c r="BV197" s="33">
        <v>1</v>
      </c>
      <c r="BW197" s="204">
        <v>2327.0337</v>
      </c>
      <c r="BX197" s="23"/>
      <c r="BY197" s="70">
        <v>1</v>
      </c>
      <c r="BZ197" s="70">
        <v>2</v>
      </c>
      <c r="CA197" s="70">
        <v>2</v>
      </c>
      <c r="CB197" s="70">
        <v>2</v>
      </c>
      <c r="CC197" s="70">
        <f t="shared" si="92"/>
        <v>2</v>
      </c>
      <c r="CD197" s="70">
        <f t="shared" si="93"/>
        <v>2</v>
      </c>
    </row>
    <row r="198" spans="1:82" ht="15.75" customHeight="1" thickBot="1" x14ac:dyDescent="0.3">
      <c r="A198" s="9">
        <v>197</v>
      </c>
      <c r="B198" s="10" t="s">
        <v>933</v>
      </c>
      <c r="C198" s="10" t="s">
        <v>57</v>
      </c>
      <c r="D198" s="10" t="s">
        <v>43</v>
      </c>
      <c r="E198" s="51">
        <v>-38.9419173517404</v>
      </c>
      <c r="F198" s="51">
        <v>114.519002000469</v>
      </c>
      <c r="G198" s="51">
        <v>151.33755300503799</v>
      </c>
      <c r="H198" s="51">
        <v>66.1360500281057</v>
      </c>
      <c r="I198" s="11">
        <v>1.8</v>
      </c>
      <c r="J198" s="51">
        <v>3.8729033647011502</v>
      </c>
      <c r="K198" s="249">
        <f>IFERROR(VLOOKUP(C198,Schedule!$T$3:$U$34,2,0),"FA")</f>
        <v>11</v>
      </c>
      <c r="L198" s="10" t="str">
        <f>D198&amp;COUNTIF(D$2:$D198,D198)</f>
        <v>TE23</v>
      </c>
      <c r="M198" s="51">
        <f t="array" ref="M198">IFERROR(F198-AVERAGE(VLOOKUP(D198,$D199:$F$885,3,0),INDEX($F199:$F$885,SMALL(IF(D198=$D199:$D$885,ROW($D199:$D$885)-ROW(D198)),2))),0)</f>
        <v>0.51105949448800914</v>
      </c>
      <c r="N198" s="51">
        <f>IFERROR(IF(VLOOKUP($B198,Input!$AC$2:$AC$162,1,0)=$B198,0),F198)</f>
        <v>114.519002000469</v>
      </c>
      <c r="O198" s="51">
        <f>IFERROR(IF(VLOOKUP($B198,Input!$AC$2:$AC$162,1,0)=$B198,0,G198),G198)</f>
        <v>151.33755300503799</v>
      </c>
      <c r="P198" s="51">
        <f>IF(N198=0,0,F198-AVERAGE(INDEX(F:F,MATCH(VLOOKUP(D198,Input!$A$14:$L$22,10,0),L:L,0)),INDEX(F:F,MATCH(VLOOKUP(D198,Input!$A$14:$L$22,11,0),L:L,0)),INDEX(F:F,MATCH(VLOOKUP(D198,Input!$A$14:$L$22,12,0),L:L,0)))+(0.01-ROW()*0.01))</f>
        <v>-40.911917351740314</v>
      </c>
      <c r="Q198" s="107">
        <f t="shared" si="84"/>
        <v>-1.4114322686229685E-2</v>
      </c>
      <c r="R198" s="11">
        <f>IF(VLOOKUP($D198,$X$14:$Y$19,2,0)&lt;=0,1,IF(Q198&lt;0,1,ROUNDUP(IF(Q198*('Draft Center'!$L$28+'Draft Center'!$L$78-'Draft Center'!$L$82)&lt;1,1,Q198*('Draft Center'!$L$28+'Draft Center'!$L$78-'Draft Center'!$L$82)),0)))</f>
        <v>1</v>
      </c>
      <c r="S198" s="11">
        <f>IF(A198&lt;Input!$B$10+0.1,IF(ROUNDUP(R198*Input!$C$10,0)=0,1,ROUNDUP(R198*Input!$C$10,0)),IF(A198&gt;Input!$B$11,IF(ROUNDUP(R198*Input!$C$11,0)=0,1,ROUNDUP(R198*Input!$C$11,0)),IF(ROUNDUP(R198,0)=0,1,ROUNDUP(R198,0))))</f>
        <v>1</v>
      </c>
      <c r="T198" s="11">
        <f t="shared" si="85"/>
        <v>1</v>
      </c>
      <c r="U198" s="11">
        <f>IFERROR(VLOOKUP($B198,Input!$AC$2:$AE$161,3,0),0)</f>
        <v>0</v>
      </c>
      <c r="V198" s="257">
        <f t="shared" si="90"/>
        <v>-0.44246444444444449</v>
      </c>
      <c r="W198" s="264">
        <f t="shared" si="91"/>
        <v>-0.79802000000000006</v>
      </c>
      <c r="X198" s="27"/>
      <c r="Y198" s="23"/>
      <c r="Z198" s="23"/>
      <c r="AA198" s="23">
        <v>0</v>
      </c>
      <c r="AB198" s="23" t="str">
        <f t="shared" si="82"/>
        <v/>
      </c>
      <c r="AC198" s="23" t="str">
        <f t="shared" si="82"/>
        <v/>
      </c>
      <c r="AD198" s="23" t="str">
        <f t="shared" si="82"/>
        <v/>
      </c>
      <c r="AE198" s="23">
        <f t="shared" si="82"/>
        <v>0</v>
      </c>
      <c r="AF198" s="23" t="str">
        <f t="shared" si="82"/>
        <v/>
      </c>
      <c r="AG198" s="23" t="str">
        <f t="shared" si="82"/>
        <v/>
      </c>
      <c r="AH198" s="23">
        <f t="shared" si="86"/>
        <v>0</v>
      </c>
      <c r="AI198" s="23">
        <f t="shared" si="87"/>
        <v>0</v>
      </c>
      <c r="AJ198" s="69">
        <v>1</v>
      </c>
      <c r="AK198" s="225">
        <v>2327.0337</v>
      </c>
      <c r="AL198" s="33">
        <v>1</v>
      </c>
      <c r="AM198" s="204">
        <v>2327.0337</v>
      </c>
      <c r="AN198" s="196"/>
      <c r="AO198" s="68"/>
      <c r="AQ198" s="68"/>
      <c r="AR198" s="68"/>
      <c r="AS198" s="68"/>
      <c r="AT198" s="68"/>
      <c r="AU198" s="68"/>
      <c r="AV198" s="68"/>
      <c r="AW198" s="68"/>
      <c r="AX198" s="68"/>
      <c r="AY198" s="68"/>
      <c r="AZ198" s="196"/>
      <c r="BA198" s="69">
        <f>IF(VLOOKUP($D198,$AO$14:AQ$19,COLUMN()-50,0)&lt;=0,1,IF($Q198&lt;0,1,ROUNDUP(IF($Q198*('Draft Center'!$L$28+'Draft Center'!$L$78-'Draft Center'!$L$82)&lt;1,1,$Q198*('Draft Center'!$L$28+'Draft Center'!$L$78-'Draft Center'!$L$82)),0)))</f>
        <v>1</v>
      </c>
      <c r="BB198" s="69">
        <f>IF(VLOOKUP($D198,$AO$14:AR$19,COLUMN()-50,0)&lt;=0,1,IF($Q198&lt;0,1,ROUNDUP(IF($Q198*('Draft Center'!$L$28+'Draft Center'!$L$78-'Draft Center'!$L$82)&lt;1,1,$Q198*('Draft Center'!$L$28+'Draft Center'!$L$78-'Draft Center'!$L$82)),0)))</f>
        <v>1</v>
      </c>
      <c r="BC198" s="69">
        <f>IF(VLOOKUP($D198,$AO$14:AS$19,COLUMN()-50,0)&lt;=0,1,IF($Q198&lt;0,1,ROUNDUP(IF($Q198*('Draft Center'!$L$28+'Draft Center'!$L$78-'Draft Center'!$L$82)&lt;1,1,$Q198*('Draft Center'!$L$28+'Draft Center'!$L$78-'Draft Center'!$L$82)),0)))</f>
        <v>1</v>
      </c>
      <c r="BD198" s="69">
        <f>IF(VLOOKUP($D198,$AO$14:AT$19,COLUMN()-50,0)&lt;=0,1,IF($Q198&lt;0,1,ROUNDUP(IF($Q198*('Draft Center'!$L$28+'Draft Center'!$L$78-'Draft Center'!$L$82)&lt;1,1,$Q198*('Draft Center'!$L$28+'Draft Center'!$L$78-'Draft Center'!$L$82)),0)))</f>
        <v>1</v>
      </c>
      <c r="BE198" s="69">
        <f>IF(VLOOKUP($D198,$AO$14:AU$19,COLUMN()-50,0)&lt;=0,1,IF($Q198&lt;0,1,ROUNDUP(IF($Q198*('Draft Center'!$L$28+'Draft Center'!$L$78-'Draft Center'!$L$82)&lt;1,1,$Q198*('Draft Center'!$L$28+'Draft Center'!$L$78-'Draft Center'!$L$82)),0)))</f>
        <v>1</v>
      </c>
      <c r="BF198" s="69">
        <f>IF(VLOOKUP($D198,$AO$14:AV$19,COLUMN()-50,0)&lt;=0,1,IF($Q198&lt;0,1,ROUNDUP(IF($Q198*('Draft Center'!$L$28+'Draft Center'!$L$78-'Draft Center'!$L$82)&lt;1,1,$Q198*('Draft Center'!$L$28+'Draft Center'!$L$78-'Draft Center'!$L$82)),0)))</f>
        <v>1</v>
      </c>
      <c r="BG198" s="69">
        <f>IF(VLOOKUP($D198,$AO$14:AW$19,COLUMN()-50,0)&lt;=0,1,IF($Q198&lt;0,1,ROUNDUP(IF($Q198*('Draft Center'!$L$28+'Draft Center'!$L$78-'Draft Center'!$L$82)&lt;1,1,$Q198*('Draft Center'!$L$28+'Draft Center'!$L$78-'Draft Center'!$L$82)),0)))</f>
        <v>1</v>
      </c>
      <c r="BH198" s="69">
        <f>IF(VLOOKUP($D198,$AO$14:AX$19,COLUMN()-50,0)&lt;=0,1,IF($Q198&lt;0,1,ROUNDUP(IF($Q198*('Draft Center'!$L$28+'Draft Center'!$L$78-'Draft Center'!$L$82)&lt;1,1,$Q198*('Draft Center'!$L$28+'Draft Center'!$L$78-'Draft Center'!$L$82)),0)))</f>
        <v>1</v>
      </c>
      <c r="BI198" s="69">
        <f>IF(VLOOKUP($D198,$AO$14:AY$19,COLUMN()-50,0)&lt;=0,1,IF($Q198&lt;0,1,ROUNDUP(IF($Q198*('Draft Center'!$L$28+'Draft Center'!$L$78-'Draft Center'!$L$82)&lt;1,1,$Q198*('Draft Center'!$L$28+'Draft Center'!$L$78-'Draft Center'!$L$82)),0)))</f>
        <v>1</v>
      </c>
      <c r="BJ198" s="196"/>
      <c r="BK198" s="23">
        <v>0</v>
      </c>
      <c r="BL198" s="23" t="str">
        <f t="shared" si="83"/>
        <v/>
      </c>
      <c r="BM198" s="23">
        <v>0</v>
      </c>
      <c r="BN198" s="23" t="str">
        <f t="shared" si="83"/>
        <v/>
      </c>
      <c r="BO198" s="23">
        <f t="shared" si="83"/>
        <v>0</v>
      </c>
      <c r="BP198" s="23" t="str">
        <f t="shared" si="83"/>
        <v/>
      </c>
      <c r="BQ198" s="23" t="str">
        <f t="shared" si="83"/>
        <v/>
      </c>
      <c r="BR198" s="23">
        <f t="shared" si="88"/>
        <v>0</v>
      </c>
      <c r="BS198" s="23">
        <f t="shared" si="89"/>
        <v>0</v>
      </c>
      <c r="BT198" s="69">
        <v>1</v>
      </c>
      <c r="BU198" s="58">
        <v>2327.0337</v>
      </c>
      <c r="BV198" s="33">
        <v>1</v>
      </c>
      <c r="BW198" s="204">
        <v>2327.0337</v>
      </c>
      <c r="BX198" s="23"/>
      <c r="BY198" s="69">
        <v>1</v>
      </c>
      <c r="BZ198" s="69">
        <v>1.8</v>
      </c>
      <c r="CA198" s="69">
        <v>1.8</v>
      </c>
      <c r="CB198" s="69">
        <v>1.8</v>
      </c>
      <c r="CC198" s="69">
        <f t="shared" si="92"/>
        <v>1.8</v>
      </c>
      <c r="CD198" s="69">
        <f t="shared" si="93"/>
        <v>1.8</v>
      </c>
    </row>
    <row r="199" spans="1:82" ht="15.75" customHeight="1" thickBot="1" x14ac:dyDescent="0.3">
      <c r="A199" s="6">
        <v>198</v>
      </c>
      <c r="B199" s="7" t="s">
        <v>936</v>
      </c>
      <c r="C199" s="7" t="s">
        <v>143</v>
      </c>
      <c r="D199" s="7" t="s">
        <v>43</v>
      </c>
      <c r="E199" s="50">
        <v>-38.969464491003102</v>
      </c>
      <c r="F199" s="50">
        <v>114.49145486120599</v>
      </c>
      <c r="G199" s="50">
        <v>135.57629629241899</v>
      </c>
      <c r="H199" s="50">
        <v>98.981234567901197</v>
      </c>
      <c r="I199" s="8">
        <v>0</v>
      </c>
      <c r="J199" s="50">
        <v>3.6394090250622</v>
      </c>
      <c r="K199" s="248">
        <f>IFERROR(VLOOKUP(C199,Schedule!$T$3:$U$34,2,0),"FA")</f>
        <v>9</v>
      </c>
      <c r="L199" s="7" t="str">
        <f>D199&amp;COUNTIF(D$2:$D199,D199)</f>
        <v>TE24</v>
      </c>
      <c r="M199" s="50">
        <f t="array" ref="M199">IFERROR(F199-AVERAGE(VLOOKUP(D199,$D200:$F$885,3,0),INDEX($F200:$F$885,SMALL(IF(D199=$D200:$D$885,ROW($D200:$D$885)-ROW(D199)),2))),0)</f>
        <v>4.8954515705819972</v>
      </c>
      <c r="N199" s="50">
        <f>IFERROR(IF(VLOOKUP($B199,Input!$AC$2:$AC$162,1,0)=$B199,0),F199)</f>
        <v>114.49145486120599</v>
      </c>
      <c r="O199" s="50">
        <f>IFERROR(IF(VLOOKUP($B199,Input!$AC$2:$AC$162,1,0)=$B199,0,G199),G199)</f>
        <v>135.57629629241899</v>
      </c>
      <c r="P199" s="50">
        <f>IF(N199=0,0,F199-AVERAGE(INDEX(F:F,MATCH(VLOOKUP(D199,Input!$A$14:$L$22,10,0),L:L,0)),INDEX(F:F,MATCH(VLOOKUP(D199,Input!$A$14:$L$22,11,0),L:L,0)),INDEX(F:F,MATCH(VLOOKUP(D199,Input!$A$14:$L$22,12,0),L:L,0)))+(0.01-ROW()*0.01))</f>
        <v>-40.949464491003319</v>
      </c>
      <c r="Q199" s="106">
        <f t="shared" si="84"/>
        <v>-1.4127276184227508E-2</v>
      </c>
      <c r="R199" s="8">
        <f>IF(VLOOKUP($D199,$X$14:$Y$19,2,0)&lt;=0,1,IF(Q199&lt;0,1,ROUNDUP(IF(Q199*('Draft Center'!$L$28+'Draft Center'!$L$78-'Draft Center'!$L$82)&lt;1,1,Q199*('Draft Center'!$L$28+'Draft Center'!$L$78-'Draft Center'!$L$82)),0)))</f>
        <v>1</v>
      </c>
      <c r="S199" s="8">
        <f>IF(A199&lt;Input!$B$10+0.1,IF(ROUNDUP(R199*Input!$C$10,0)=0,1,ROUNDUP(R199*Input!$C$10,0)),IF(A199&gt;Input!$B$11,IF(ROUNDUP(R199*Input!$C$11,0)=0,1,ROUNDUP(R199*Input!$C$11,0)),IF(ROUNDUP(R199,0)=0,1,ROUNDUP(R199,0))))</f>
        <v>1</v>
      </c>
      <c r="T199" s="8">
        <f t="shared" si="85"/>
        <v>1</v>
      </c>
      <c r="U199" s="8">
        <f>IFERROR(VLOOKUP($B199,Input!$AC$2:$AE$161,3,0),0)</f>
        <v>0</v>
      </c>
      <c r="V199" s="256">
        <f t="shared" si="90"/>
        <v>0</v>
      </c>
      <c r="W199" s="263">
        <f t="shared" si="91"/>
        <v>1.0019899999999999</v>
      </c>
      <c r="X199" s="27"/>
      <c r="Y199" s="23"/>
      <c r="Z199" s="23"/>
      <c r="AA199" s="23">
        <v>0</v>
      </c>
      <c r="AB199" s="23" t="str">
        <f t="shared" si="82"/>
        <v/>
      </c>
      <c r="AC199" s="23" t="str">
        <f t="shared" si="82"/>
        <v/>
      </c>
      <c r="AD199" s="23" t="str">
        <f t="shared" si="82"/>
        <v/>
      </c>
      <c r="AE199" s="23">
        <f t="shared" si="82"/>
        <v>0</v>
      </c>
      <c r="AF199" s="23" t="str">
        <f t="shared" si="82"/>
        <v/>
      </c>
      <c r="AG199" s="23" t="str">
        <f t="shared" si="82"/>
        <v/>
      </c>
      <c r="AH199" s="23">
        <f t="shared" si="86"/>
        <v>0</v>
      </c>
      <c r="AI199" s="23">
        <f t="shared" si="87"/>
        <v>0</v>
      </c>
      <c r="AJ199" s="71">
        <v>1</v>
      </c>
      <c r="AK199" s="225">
        <v>2327.0337</v>
      </c>
      <c r="AL199" s="33">
        <v>1</v>
      </c>
      <c r="AM199" s="204">
        <v>2327.0337</v>
      </c>
      <c r="AN199" s="196"/>
      <c r="AO199" s="68"/>
      <c r="AQ199" s="68"/>
      <c r="AR199" s="68"/>
      <c r="AS199" s="68"/>
      <c r="AT199" s="68"/>
      <c r="AU199" s="68"/>
      <c r="AV199" s="68"/>
      <c r="AW199" s="68"/>
      <c r="AX199" s="68"/>
      <c r="AY199" s="68"/>
      <c r="AZ199" s="196"/>
      <c r="BA199" s="71">
        <f>IF(VLOOKUP($D199,$AO$14:AQ$19,COLUMN()-50,0)&lt;=0,1,IF($Q199&lt;0,1,ROUNDUP(IF($Q199*('Draft Center'!$L$28+'Draft Center'!$L$78-'Draft Center'!$L$82)&lt;1,1,$Q199*('Draft Center'!$L$28+'Draft Center'!$L$78-'Draft Center'!$L$82)),0)))</f>
        <v>1</v>
      </c>
      <c r="BB199" s="71">
        <f>IF(VLOOKUP($D199,$AO$14:AR$19,COLUMN()-50,0)&lt;=0,1,IF($Q199&lt;0,1,ROUNDUP(IF($Q199*('Draft Center'!$L$28+'Draft Center'!$L$78-'Draft Center'!$L$82)&lt;1,1,$Q199*('Draft Center'!$L$28+'Draft Center'!$L$78-'Draft Center'!$L$82)),0)))</f>
        <v>1</v>
      </c>
      <c r="BC199" s="71">
        <f>IF(VLOOKUP($D199,$AO$14:AS$19,COLUMN()-50,0)&lt;=0,1,IF($Q199&lt;0,1,ROUNDUP(IF($Q199*('Draft Center'!$L$28+'Draft Center'!$L$78-'Draft Center'!$L$82)&lt;1,1,$Q199*('Draft Center'!$L$28+'Draft Center'!$L$78-'Draft Center'!$L$82)),0)))</f>
        <v>1</v>
      </c>
      <c r="BD199" s="71">
        <f>IF(VLOOKUP($D199,$AO$14:AT$19,COLUMN()-50,0)&lt;=0,1,IF($Q199&lt;0,1,ROUNDUP(IF($Q199*('Draft Center'!$L$28+'Draft Center'!$L$78-'Draft Center'!$L$82)&lt;1,1,$Q199*('Draft Center'!$L$28+'Draft Center'!$L$78-'Draft Center'!$L$82)),0)))</f>
        <v>1</v>
      </c>
      <c r="BE199" s="71">
        <f>IF(VLOOKUP($D199,$AO$14:AU$19,COLUMN()-50,0)&lt;=0,1,IF($Q199&lt;0,1,ROUNDUP(IF($Q199*('Draft Center'!$L$28+'Draft Center'!$L$78-'Draft Center'!$L$82)&lt;1,1,$Q199*('Draft Center'!$L$28+'Draft Center'!$L$78-'Draft Center'!$L$82)),0)))</f>
        <v>1</v>
      </c>
      <c r="BF199" s="71">
        <f>IF(VLOOKUP($D199,$AO$14:AV$19,COLUMN()-50,0)&lt;=0,1,IF($Q199&lt;0,1,ROUNDUP(IF($Q199*('Draft Center'!$L$28+'Draft Center'!$L$78-'Draft Center'!$L$82)&lt;1,1,$Q199*('Draft Center'!$L$28+'Draft Center'!$L$78-'Draft Center'!$L$82)),0)))</f>
        <v>1</v>
      </c>
      <c r="BG199" s="71">
        <f>IF(VLOOKUP($D199,$AO$14:AW$19,COLUMN()-50,0)&lt;=0,1,IF($Q199&lt;0,1,ROUNDUP(IF($Q199*('Draft Center'!$L$28+'Draft Center'!$L$78-'Draft Center'!$L$82)&lt;1,1,$Q199*('Draft Center'!$L$28+'Draft Center'!$L$78-'Draft Center'!$L$82)),0)))</f>
        <v>1</v>
      </c>
      <c r="BH199" s="71">
        <f>IF(VLOOKUP($D199,$AO$14:AX$19,COLUMN()-50,0)&lt;=0,1,IF($Q199&lt;0,1,ROUNDUP(IF($Q199*('Draft Center'!$L$28+'Draft Center'!$L$78-'Draft Center'!$L$82)&lt;1,1,$Q199*('Draft Center'!$L$28+'Draft Center'!$L$78-'Draft Center'!$L$82)),0)))</f>
        <v>1</v>
      </c>
      <c r="BI199" s="71">
        <f>IF(VLOOKUP($D199,$AO$14:AY$19,COLUMN()-50,0)&lt;=0,1,IF($Q199&lt;0,1,ROUNDUP(IF($Q199*('Draft Center'!$L$28+'Draft Center'!$L$78-'Draft Center'!$L$82)&lt;1,1,$Q199*('Draft Center'!$L$28+'Draft Center'!$L$78-'Draft Center'!$L$82)),0)))</f>
        <v>1</v>
      </c>
      <c r="BJ199" s="196"/>
      <c r="BK199" s="23">
        <v>0</v>
      </c>
      <c r="BL199" s="23" t="str">
        <f t="shared" si="83"/>
        <v/>
      </c>
      <c r="BM199" s="23">
        <v>0</v>
      </c>
      <c r="BN199" s="23" t="str">
        <f t="shared" si="83"/>
        <v/>
      </c>
      <c r="BO199" s="23">
        <f t="shared" si="83"/>
        <v>0</v>
      </c>
      <c r="BP199" s="23" t="str">
        <f t="shared" si="83"/>
        <v/>
      </c>
      <c r="BQ199" s="23" t="str">
        <f t="shared" si="83"/>
        <v/>
      </c>
      <c r="BR199" s="23">
        <f t="shared" si="88"/>
        <v>0</v>
      </c>
      <c r="BS199" s="23">
        <f t="shared" si="89"/>
        <v>0</v>
      </c>
      <c r="BT199" s="71">
        <v>1</v>
      </c>
      <c r="BU199" s="58">
        <v>2327.0337</v>
      </c>
      <c r="BV199" s="33">
        <v>1</v>
      </c>
      <c r="BW199" s="204">
        <v>2327.0337</v>
      </c>
      <c r="BX199" s="23"/>
      <c r="BY199" s="70">
        <v>1</v>
      </c>
      <c r="BZ199" s="70">
        <v>0</v>
      </c>
      <c r="CA199" s="70">
        <v>0</v>
      </c>
      <c r="CB199" s="70">
        <v>0</v>
      </c>
      <c r="CC199" s="70">
        <f t="shared" si="92"/>
        <v>0</v>
      </c>
      <c r="CD199" s="70">
        <f t="shared" si="93"/>
        <v>0</v>
      </c>
    </row>
    <row r="200" spans="1:82" ht="15.75" customHeight="1" thickBot="1" x14ac:dyDescent="0.3">
      <c r="A200" s="9">
        <v>199</v>
      </c>
      <c r="B200" s="10" t="s">
        <v>96</v>
      </c>
      <c r="C200" s="10" t="s">
        <v>45</v>
      </c>
      <c r="D200" s="10" t="s">
        <v>19</v>
      </c>
      <c r="E200" s="51">
        <v>-39.520161703117502</v>
      </c>
      <c r="F200" s="51">
        <v>129.58223632283401</v>
      </c>
      <c r="G200" s="51">
        <v>158.49853255351999</v>
      </c>
      <c r="H200" s="51">
        <v>83.678508504801101</v>
      </c>
      <c r="I200" s="11">
        <v>1.2</v>
      </c>
      <c r="J200" s="51">
        <v>6.8281673284992701</v>
      </c>
      <c r="K200" s="249">
        <f>IFERROR(VLOOKUP(C200,Schedule!$T$3:$U$34,2,0),"FA")</f>
        <v>6</v>
      </c>
      <c r="L200" s="10" t="str">
        <f>D200&amp;COUNTIF(D$2:$D200,D200)</f>
        <v>RB46</v>
      </c>
      <c r="M200" s="51">
        <f t="array" ref="M200">IFERROR(F200-AVERAGE(VLOOKUP(D200,$D201:$F$885,3,0),INDEX($F201:$F$885,SMALL(IF(D200=$D201:$D$885,ROW($D201:$D$885)-ROW(D200)),2))),0)</f>
        <v>0.86746465259003003</v>
      </c>
      <c r="N200" s="51">
        <f>IFERROR(IF(VLOOKUP($B200,Input!$AC$2:$AC$162,1,0)=$B200,0),F200)</f>
        <v>129.58223632283401</v>
      </c>
      <c r="O200" s="51">
        <f>IFERROR(IF(VLOOKUP($B200,Input!$AC$2:$AC$162,1,0)=$B200,0,G200),G200)</f>
        <v>158.49853255351999</v>
      </c>
      <c r="P200" s="51">
        <f>IF(N200=0,0,F200-AVERAGE(INDEX(F:F,MATCH(VLOOKUP(D200,Input!$A$14:$L$22,10,0),L:L,0)),INDEX(F:F,MATCH(VLOOKUP(D200,Input!$A$14:$L$22,11,0),L:L,0)),INDEX(F:F,MATCH(VLOOKUP(D200,Input!$A$14:$L$22,12,0),L:L,0)))+(0.01-ROW()*0.01))</f>
        <v>-41.510161703117994</v>
      </c>
      <c r="Q200" s="107">
        <f t="shared" si="84"/>
        <v>-1.4320712764405759E-2</v>
      </c>
      <c r="R200" s="11">
        <f>IF(VLOOKUP($D200,$X$14:$Y$19,2,0)&lt;=0,1,IF(Q200&lt;0,1,ROUNDUP(IF(Q200*('Draft Center'!$L$28+'Draft Center'!$L$78-'Draft Center'!$L$82)&lt;1,1,Q200*('Draft Center'!$L$28+'Draft Center'!$L$78-'Draft Center'!$L$82)),0)))</f>
        <v>1</v>
      </c>
      <c r="S200" s="11">
        <f>IF(A200&lt;Input!$B$10+0.1,IF(ROUNDUP(R200*Input!$C$10,0)=0,1,ROUNDUP(R200*Input!$C$10,0)),IF(A200&gt;Input!$B$11,IF(ROUNDUP(R200*Input!$C$11,0)=0,1,ROUNDUP(R200*Input!$C$11,0)),IF(ROUNDUP(R200,0)=0,1,ROUNDUP(R200,0))))</f>
        <v>1</v>
      </c>
      <c r="T200" s="11">
        <f t="shared" si="85"/>
        <v>1</v>
      </c>
      <c r="U200" s="11">
        <f>IFERROR(VLOOKUP($B200,Input!$AC$2:$AE$161,3,0),0)</f>
        <v>0</v>
      </c>
      <c r="V200" s="257">
        <f t="shared" si="90"/>
        <v>-0.16466666666666663</v>
      </c>
      <c r="W200" s="264">
        <f t="shared" si="91"/>
        <v>-0.19799999999999995</v>
      </c>
      <c r="X200" s="27"/>
      <c r="Y200" s="23"/>
      <c r="Z200" s="23"/>
      <c r="AA200" s="23">
        <v>0</v>
      </c>
      <c r="AB200" s="23" t="str">
        <f t="shared" si="82"/>
        <v/>
      </c>
      <c r="AC200" s="23">
        <f t="shared" si="82"/>
        <v>0</v>
      </c>
      <c r="AD200" s="23" t="str">
        <f t="shared" si="82"/>
        <v/>
      </c>
      <c r="AE200" s="23" t="str">
        <f t="shared" si="82"/>
        <v/>
      </c>
      <c r="AF200" s="23" t="str">
        <f t="shared" si="82"/>
        <v/>
      </c>
      <c r="AG200" s="23" t="str">
        <f t="shared" si="82"/>
        <v/>
      </c>
      <c r="AH200" s="23">
        <f t="shared" si="86"/>
        <v>0</v>
      </c>
      <c r="AI200" s="23">
        <f t="shared" si="87"/>
        <v>0</v>
      </c>
      <c r="AJ200" s="69">
        <v>1</v>
      </c>
      <c r="AK200" s="225">
        <v>2327.0337</v>
      </c>
      <c r="AL200" s="33">
        <v>1</v>
      </c>
      <c r="AM200" s="204">
        <v>2327.0337</v>
      </c>
      <c r="AN200" s="196"/>
      <c r="AO200" s="68"/>
      <c r="AQ200" s="68"/>
      <c r="AR200" s="68"/>
      <c r="AS200" s="68"/>
      <c r="AT200" s="68"/>
      <c r="AU200" s="68"/>
      <c r="AV200" s="68"/>
      <c r="AW200" s="68"/>
      <c r="AX200" s="68"/>
      <c r="AY200" s="68"/>
      <c r="AZ200" s="196"/>
      <c r="BA200" s="69">
        <f>IF(VLOOKUP($D200,$AO$14:AQ$19,COLUMN()-50,0)&lt;=0,1,IF($Q200&lt;0,1,ROUNDUP(IF($Q200*('Draft Center'!$L$28+'Draft Center'!$L$78-'Draft Center'!$L$82)&lt;1,1,$Q200*('Draft Center'!$L$28+'Draft Center'!$L$78-'Draft Center'!$L$82)),0)))</f>
        <v>1</v>
      </c>
      <c r="BB200" s="69">
        <f>IF(VLOOKUP($D200,$AO$14:AR$19,COLUMN()-50,0)&lt;=0,1,IF($Q200&lt;0,1,ROUNDUP(IF($Q200*('Draft Center'!$L$28+'Draft Center'!$L$78-'Draft Center'!$L$82)&lt;1,1,$Q200*('Draft Center'!$L$28+'Draft Center'!$L$78-'Draft Center'!$L$82)),0)))</f>
        <v>1</v>
      </c>
      <c r="BC200" s="69">
        <f>IF(VLOOKUP($D200,$AO$14:AS$19,COLUMN()-50,0)&lt;=0,1,IF($Q200&lt;0,1,ROUNDUP(IF($Q200*('Draft Center'!$L$28+'Draft Center'!$L$78-'Draft Center'!$L$82)&lt;1,1,$Q200*('Draft Center'!$L$28+'Draft Center'!$L$78-'Draft Center'!$L$82)),0)))</f>
        <v>1</v>
      </c>
      <c r="BD200" s="69">
        <f>IF(VLOOKUP($D200,$AO$14:AT$19,COLUMN()-50,0)&lt;=0,1,IF($Q200&lt;0,1,ROUNDUP(IF($Q200*('Draft Center'!$L$28+'Draft Center'!$L$78-'Draft Center'!$L$82)&lt;1,1,$Q200*('Draft Center'!$L$28+'Draft Center'!$L$78-'Draft Center'!$L$82)),0)))</f>
        <v>1</v>
      </c>
      <c r="BE200" s="69">
        <f>IF(VLOOKUP($D200,$AO$14:AU$19,COLUMN()-50,0)&lt;=0,1,IF($Q200&lt;0,1,ROUNDUP(IF($Q200*('Draft Center'!$L$28+'Draft Center'!$L$78-'Draft Center'!$L$82)&lt;1,1,$Q200*('Draft Center'!$L$28+'Draft Center'!$L$78-'Draft Center'!$L$82)),0)))</f>
        <v>1</v>
      </c>
      <c r="BF200" s="69">
        <f>IF(VLOOKUP($D200,$AO$14:AV$19,COLUMN()-50,0)&lt;=0,1,IF($Q200&lt;0,1,ROUNDUP(IF($Q200*('Draft Center'!$L$28+'Draft Center'!$L$78-'Draft Center'!$L$82)&lt;1,1,$Q200*('Draft Center'!$L$28+'Draft Center'!$L$78-'Draft Center'!$L$82)),0)))</f>
        <v>1</v>
      </c>
      <c r="BG200" s="69">
        <f>IF(VLOOKUP($D200,$AO$14:AW$19,COLUMN()-50,0)&lt;=0,1,IF($Q200&lt;0,1,ROUNDUP(IF($Q200*('Draft Center'!$L$28+'Draft Center'!$L$78-'Draft Center'!$L$82)&lt;1,1,$Q200*('Draft Center'!$L$28+'Draft Center'!$L$78-'Draft Center'!$L$82)),0)))</f>
        <v>1</v>
      </c>
      <c r="BH200" s="69">
        <f>IF(VLOOKUP($D200,$AO$14:AX$19,COLUMN()-50,0)&lt;=0,1,IF($Q200&lt;0,1,ROUNDUP(IF($Q200*('Draft Center'!$L$28+'Draft Center'!$L$78-'Draft Center'!$L$82)&lt;1,1,$Q200*('Draft Center'!$L$28+'Draft Center'!$L$78-'Draft Center'!$L$82)),0)))</f>
        <v>1</v>
      </c>
      <c r="BI200" s="69">
        <f>IF(VLOOKUP($D200,$AO$14:AY$19,COLUMN()-50,0)&lt;=0,1,IF($Q200&lt;0,1,ROUNDUP(IF($Q200*('Draft Center'!$L$28+'Draft Center'!$L$78-'Draft Center'!$L$82)&lt;1,1,$Q200*('Draft Center'!$L$28+'Draft Center'!$L$78-'Draft Center'!$L$82)),0)))</f>
        <v>1</v>
      </c>
      <c r="BJ200" s="196"/>
      <c r="BK200" s="23">
        <v>0</v>
      </c>
      <c r="BL200" s="23" t="str">
        <f t="shared" si="83"/>
        <v/>
      </c>
      <c r="BM200" s="23">
        <v>0</v>
      </c>
      <c r="BN200" s="23" t="str">
        <f t="shared" si="83"/>
        <v/>
      </c>
      <c r="BO200" s="23" t="str">
        <f t="shared" si="83"/>
        <v/>
      </c>
      <c r="BP200" s="23" t="str">
        <f t="shared" si="83"/>
        <v/>
      </c>
      <c r="BQ200" s="23" t="str">
        <f t="shared" si="83"/>
        <v/>
      </c>
      <c r="BR200" s="23">
        <f t="shared" si="88"/>
        <v>0</v>
      </c>
      <c r="BS200" s="23">
        <f t="shared" si="89"/>
        <v>0</v>
      </c>
      <c r="BT200" s="69">
        <v>1</v>
      </c>
      <c r="BU200" s="58">
        <v>2327.0337</v>
      </c>
      <c r="BV200" s="33">
        <v>1</v>
      </c>
      <c r="BW200" s="204">
        <v>2327.0337</v>
      </c>
      <c r="BX200" s="23"/>
      <c r="BY200" s="69">
        <v>1</v>
      </c>
      <c r="BZ200" s="69">
        <v>1.2</v>
      </c>
      <c r="CA200" s="69">
        <v>1.2</v>
      </c>
      <c r="CB200" s="69">
        <v>1.2</v>
      </c>
      <c r="CC200" s="69">
        <f t="shared" si="92"/>
        <v>1.2</v>
      </c>
      <c r="CD200" s="69">
        <f t="shared" si="93"/>
        <v>1.2</v>
      </c>
    </row>
    <row r="201" spans="1:82" ht="15.75" customHeight="1" thickBot="1" x14ac:dyDescent="0.3">
      <c r="A201" s="6">
        <v>200</v>
      </c>
      <c r="B201" s="7" t="s">
        <v>129</v>
      </c>
      <c r="C201" s="7" t="s">
        <v>27</v>
      </c>
      <c r="D201" s="7" t="s">
        <v>19</v>
      </c>
      <c r="E201" s="50">
        <v>-39.634312180078197</v>
      </c>
      <c r="F201" s="50">
        <v>129.46808584587399</v>
      </c>
      <c r="G201" s="50">
        <v>142.230000903502</v>
      </c>
      <c r="H201" s="50">
        <v>99.668312757201605</v>
      </c>
      <c r="I201" s="8">
        <v>0</v>
      </c>
      <c r="J201" s="50">
        <v>5.0539568689811496</v>
      </c>
      <c r="K201" s="248">
        <f>IFERROR(VLOOKUP(C201,Schedule!$T$3:$U$34,2,0),"FA")</f>
        <v>8</v>
      </c>
      <c r="L201" s="7" t="str">
        <f>D201&amp;COUNTIF(D$2:$D201,D201)</f>
        <v>RB47</v>
      </c>
      <c r="M201" s="50">
        <f t="array" ref="M201">IFERROR(F201-AVERAGE(VLOOKUP(D201,$D202:$F$885,3,0),INDEX($F202:$F$885,SMALL(IF(D201=$D202:$D$885,ROW($D202:$D$885)-ROW(D201)),2))),0)</f>
        <v>2.7858935373029965</v>
      </c>
      <c r="N201" s="50">
        <f>IFERROR(IF(VLOOKUP($B201,Input!$AC$2:$AC$162,1,0)=$B201,0),F201)</f>
        <v>129.46808584587399</v>
      </c>
      <c r="O201" s="50">
        <f>IFERROR(IF(VLOOKUP($B201,Input!$AC$2:$AC$162,1,0)=$B201,0,G201),G201)</f>
        <v>142.230000903502</v>
      </c>
      <c r="P201" s="50">
        <f>IF(N201=0,0,F201-AVERAGE(INDEX(F:F,MATCH(VLOOKUP(D201,Input!$A$14:$L$22,10,0),L:L,0)),INDEX(F:F,MATCH(VLOOKUP(D201,Input!$A$14:$L$22,11,0),L:L,0)),INDEX(F:F,MATCH(VLOOKUP(D201,Input!$A$14:$L$22,12,0),L:L,0)))+(0.01-ROW()*0.01))</f>
        <v>-41.634312180078012</v>
      </c>
      <c r="Q201" s="106">
        <f t="shared" si="84"/>
        <v>-1.436354380256996E-2</v>
      </c>
      <c r="R201" s="8">
        <f>IF(VLOOKUP($D201,$X$14:$Y$19,2,0)&lt;=0,1,IF(Q201&lt;0,1,ROUNDUP(IF(Q201*('Draft Center'!$L$28+'Draft Center'!$L$78-'Draft Center'!$L$82)&lt;1,1,Q201*('Draft Center'!$L$28+'Draft Center'!$L$78-'Draft Center'!$L$82)),0)))</f>
        <v>1</v>
      </c>
      <c r="S201" s="8">
        <f>IF(A201&lt;Input!$B$10+0.1,IF(ROUNDUP(R201*Input!$C$10,0)=0,1,ROUNDUP(R201*Input!$C$10,0)),IF(A201&gt;Input!$B$11,IF(ROUNDUP(R201*Input!$C$11,0)=0,1,ROUNDUP(R201*Input!$C$11,0)),IF(ROUNDUP(R201,0)=0,1,ROUNDUP(R201,0))))</f>
        <v>1</v>
      </c>
      <c r="T201" s="8">
        <f t="shared" si="85"/>
        <v>1</v>
      </c>
      <c r="U201" s="8">
        <f>IFERROR(VLOOKUP($B201,Input!$AC$2:$AE$161,3,0),0)</f>
        <v>0</v>
      </c>
      <c r="V201" s="256">
        <f t="shared" si="90"/>
        <v>0</v>
      </c>
      <c r="W201" s="263">
        <f t="shared" si="91"/>
        <v>1.0020100000000001</v>
      </c>
      <c r="X201" s="27"/>
      <c r="Y201" s="23"/>
      <c r="Z201" s="23"/>
      <c r="AA201" s="23">
        <v>0</v>
      </c>
      <c r="AB201" s="23" t="str">
        <f t="shared" si="82"/>
        <v/>
      </c>
      <c r="AC201" s="23">
        <f t="shared" si="82"/>
        <v>0</v>
      </c>
      <c r="AD201" s="23" t="str">
        <f t="shared" si="82"/>
        <v/>
      </c>
      <c r="AE201" s="23" t="str">
        <f t="shared" si="82"/>
        <v/>
      </c>
      <c r="AF201" s="23" t="str">
        <f t="shared" si="82"/>
        <v/>
      </c>
      <c r="AG201" s="23" t="str">
        <f t="shared" si="82"/>
        <v/>
      </c>
      <c r="AH201" s="23">
        <f t="shared" si="86"/>
        <v>0</v>
      </c>
      <c r="AI201" s="23">
        <f t="shared" si="87"/>
        <v>0</v>
      </c>
      <c r="AJ201" s="71">
        <v>1</v>
      </c>
      <c r="AK201" s="225">
        <v>2327.0337</v>
      </c>
      <c r="AL201" s="33">
        <v>1</v>
      </c>
      <c r="AM201" s="204">
        <v>2327.0337</v>
      </c>
      <c r="AN201" s="196"/>
      <c r="AO201" s="68"/>
      <c r="AQ201" s="68"/>
      <c r="AR201" s="68"/>
      <c r="AS201" s="68"/>
      <c r="AT201" s="68"/>
      <c r="AU201" s="68"/>
      <c r="AV201" s="68"/>
      <c r="AW201" s="68"/>
      <c r="AX201" s="68"/>
      <c r="AY201" s="68"/>
      <c r="AZ201" s="196"/>
      <c r="BA201" s="71">
        <f>IF(VLOOKUP($D201,$AO$14:AQ$19,COLUMN()-50,0)&lt;=0,1,IF($Q201&lt;0,1,ROUNDUP(IF($Q201*('Draft Center'!$L$28+'Draft Center'!$L$78-'Draft Center'!$L$82)&lt;1,1,$Q201*('Draft Center'!$L$28+'Draft Center'!$L$78-'Draft Center'!$L$82)),0)))</f>
        <v>1</v>
      </c>
      <c r="BB201" s="71">
        <f>IF(VLOOKUP($D201,$AO$14:AR$19,COLUMN()-50,0)&lt;=0,1,IF($Q201&lt;0,1,ROUNDUP(IF($Q201*('Draft Center'!$L$28+'Draft Center'!$L$78-'Draft Center'!$L$82)&lt;1,1,$Q201*('Draft Center'!$L$28+'Draft Center'!$L$78-'Draft Center'!$L$82)),0)))</f>
        <v>1</v>
      </c>
      <c r="BC201" s="71">
        <f>IF(VLOOKUP($D201,$AO$14:AS$19,COLUMN()-50,0)&lt;=0,1,IF($Q201&lt;0,1,ROUNDUP(IF($Q201*('Draft Center'!$L$28+'Draft Center'!$L$78-'Draft Center'!$L$82)&lt;1,1,$Q201*('Draft Center'!$L$28+'Draft Center'!$L$78-'Draft Center'!$L$82)),0)))</f>
        <v>1</v>
      </c>
      <c r="BD201" s="71">
        <f>IF(VLOOKUP($D201,$AO$14:AT$19,COLUMN()-50,0)&lt;=0,1,IF($Q201&lt;0,1,ROUNDUP(IF($Q201*('Draft Center'!$L$28+'Draft Center'!$L$78-'Draft Center'!$L$82)&lt;1,1,$Q201*('Draft Center'!$L$28+'Draft Center'!$L$78-'Draft Center'!$L$82)),0)))</f>
        <v>1</v>
      </c>
      <c r="BE201" s="71">
        <f>IF(VLOOKUP($D201,$AO$14:AU$19,COLUMN()-50,0)&lt;=0,1,IF($Q201&lt;0,1,ROUNDUP(IF($Q201*('Draft Center'!$L$28+'Draft Center'!$L$78-'Draft Center'!$L$82)&lt;1,1,$Q201*('Draft Center'!$L$28+'Draft Center'!$L$78-'Draft Center'!$L$82)),0)))</f>
        <v>1</v>
      </c>
      <c r="BF201" s="71">
        <f>IF(VLOOKUP($D201,$AO$14:AV$19,COLUMN()-50,0)&lt;=0,1,IF($Q201&lt;0,1,ROUNDUP(IF($Q201*('Draft Center'!$L$28+'Draft Center'!$L$78-'Draft Center'!$L$82)&lt;1,1,$Q201*('Draft Center'!$L$28+'Draft Center'!$L$78-'Draft Center'!$L$82)),0)))</f>
        <v>1</v>
      </c>
      <c r="BG201" s="71">
        <f>IF(VLOOKUP($D201,$AO$14:AW$19,COLUMN()-50,0)&lt;=0,1,IF($Q201&lt;0,1,ROUNDUP(IF($Q201*('Draft Center'!$L$28+'Draft Center'!$L$78-'Draft Center'!$L$82)&lt;1,1,$Q201*('Draft Center'!$L$28+'Draft Center'!$L$78-'Draft Center'!$L$82)),0)))</f>
        <v>1</v>
      </c>
      <c r="BH201" s="71">
        <f>IF(VLOOKUP($D201,$AO$14:AX$19,COLUMN()-50,0)&lt;=0,1,IF($Q201&lt;0,1,ROUNDUP(IF($Q201*('Draft Center'!$L$28+'Draft Center'!$L$78-'Draft Center'!$L$82)&lt;1,1,$Q201*('Draft Center'!$L$28+'Draft Center'!$L$78-'Draft Center'!$L$82)),0)))</f>
        <v>1</v>
      </c>
      <c r="BI201" s="71">
        <f>IF(VLOOKUP($D201,$AO$14:AY$19,COLUMN()-50,0)&lt;=0,1,IF($Q201&lt;0,1,ROUNDUP(IF($Q201*('Draft Center'!$L$28+'Draft Center'!$L$78-'Draft Center'!$L$82)&lt;1,1,$Q201*('Draft Center'!$L$28+'Draft Center'!$L$78-'Draft Center'!$L$82)),0)))</f>
        <v>1</v>
      </c>
      <c r="BJ201" s="196"/>
      <c r="BK201" s="23">
        <v>0</v>
      </c>
      <c r="BL201" s="23" t="str">
        <f t="shared" si="83"/>
        <v/>
      </c>
      <c r="BM201" s="23">
        <v>0</v>
      </c>
      <c r="BN201" s="23" t="str">
        <f t="shared" si="83"/>
        <v/>
      </c>
      <c r="BO201" s="23" t="str">
        <f t="shared" si="83"/>
        <v/>
      </c>
      <c r="BP201" s="23" t="str">
        <f t="shared" si="83"/>
        <v/>
      </c>
      <c r="BQ201" s="23" t="str">
        <f t="shared" si="83"/>
        <v/>
      </c>
      <c r="BR201" s="23">
        <f t="shared" si="88"/>
        <v>0</v>
      </c>
      <c r="BS201" s="23">
        <f t="shared" si="89"/>
        <v>0</v>
      </c>
      <c r="BT201" s="71">
        <v>1</v>
      </c>
      <c r="BU201" s="58">
        <v>2327.0337</v>
      </c>
      <c r="BV201" s="33">
        <v>1</v>
      </c>
      <c r="BW201" s="204">
        <v>2327.0337</v>
      </c>
      <c r="BX201" s="23"/>
      <c r="BY201" s="70">
        <v>1</v>
      </c>
      <c r="BZ201" s="70">
        <v>0</v>
      </c>
      <c r="CA201" s="70">
        <v>0</v>
      </c>
      <c r="CB201" s="70">
        <v>0</v>
      </c>
      <c r="CC201" s="70">
        <f t="shared" si="92"/>
        <v>0</v>
      </c>
      <c r="CD201" s="70">
        <f t="shared" si="93"/>
        <v>0</v>
      </c>
    </row>
    <row r="202" spans="1:82" ht="15.75" customHeight="1" thickBot="1" x14ac:dyDescent="0.3">
      <c r="A202" s="12">
        <v>201</v>
      </c>
      <c r="B202" s="91" t="s">
        <v>227</v>
      </c>
      <c r="C202" s="91" t="s">
        <v>36</v>
      </c>
      <c r="D202" s="91" t="s">
        <v>17</v>
      </c>
      <c r="E202" s="92">
        <v>-39.658360735497602</v>
      </c>
      <c r="F202" s="92">
        <v>173.11955553385101</v>
      </c>
      <c r="G202" s="92">
        <v>185.57842035319001</v>
      </c>
      <c r="H202" s="92">
        <v>163.663182441701</v>
      </c>
      <c r="I202" s="93">
        <v>1.3</v>
      </c>
      <c r="J202" s="92">
        <v>3.5407600637885199</v>
      </c>
      <c r="K202" s="251">
        <f>IFERROR(VLOOKUP(C202,Schedule!$T$3:$U$34,2,0),"FA")</f>
        <v>7</v>
      </c>
      <c r="L202" s="91" t="str">
        <f>D202&amp;COUNTIF(D$2:$D202,D202)</f>
        <v>WR47</v>
      </c>
      <c r="M202" s="92">
        <f t="array" ref="M202">IFERROR(F202-AVERAGE(VLOOKUP(D202,$D203:$F$885,3,0),INDEX($F203:$F$885,SMALL(IF(D202=$D203:$D$885,ROW($D203:$D$885)-ROW(D202)),2))),0)</f>
        <v>1.9976898479715146</v>
      </c>
      <c r="N202" s="92">
        <f>IFERROR(IF(VLOOKUP($B202,Input!$AC$2:$AC$162,1,0)=$B202,0),F202)</f>
        <v>173.11955553385101</v>
      </c>
      <c r="O202" s="92">
        <f>IFERROR(IF(VLOOKUP($B202,Input!$AC$2:$AC$162,1,0)=$B202,0,G202),G202)</f>
        <v>185.57842035319001</v>
      </c>
      <c r="P202" s="92">
        <f>IF(N202=0,0,F202-AVERAGE(INDEX(F:F,MATCH(VLOOKUP(D202,Input!$A$14:$L$22,10,0),L:L,0)),INDEX(F:F,MATCH(VLOOKUP(D202,Input!$A$14:$L$22,11,0),L:L,0)),INDEX(F:F,MATCH(VLOOKUP(D202,Input!$A$14:$L$22,12,0),L:L,0)))+(0.01-ROW()*0.01))</f>
        <v>-41.668360735498005</v>
      </c>
      <c r="Q202" s="109">
        <f t="shared" si="84"/>
        <v>-1.4375290313838695E-2</v>
      </c>
      <c r="R202" s="93">
        <f>IF(VLOOKUP($D202,$X$14:$Y$19,2,0)&lt;=0,1,IF(Q202&lt;0,1,ROUNDUP(IF(Q202*('Draft Center'!$L$28+'Draft Center'!$L$78-'Draft Center'!$L$82)&lt;1,1,Q202*('Draft Center'!$L$28+'Draft Center'!$L$78-'Draft Center'!$L$82)),0)))</f>
        <v>1</v>
      </c>
      <c r="S202" s="93">
        <f>IF(A202&lt;Input!$B$10+0.1,IF(ROUNDUP(R202*Input!$C$10,0)=0,1,ROUNDUP(R202*Input!$C$10,0)),IF(A202&gt;Input!$B$11,IF(ROUNDUP(R202*Input!$C$11,0)=0,1,ROUNDUP(R202*Input!$C$11,0)),IF(ROUNDUP(R202,0)=0,1,ROUNDUP(R202,0))))</f>
        <v>1</v>
      </c>
      <c r="T202" s="93">
        <f t="shared" si="85"/>
        <v>1</v>
      </c>
      <c r="U202" s="93">
        <f>IFERROR(VLOOKUP($B202,Input!$AC$2:$AE$161,3,0),0)</f>
        <v>0</v>
      </c>
      <c r="V202" s="259">
        <f t="shared" si="90"/>
        <v>-0.22874923076923079</v>
      </c>
      <c r="W202" s="268">
        <f t="shared" si="91"/>
        <v>-0.29798000000000002</v>
      </c>
      <c r="X202" s="29"/>
      <c r="Y202" s="30"/>
      <c r="Z202" s="30"/>
      <c r="AA202" s="30">
        <v>0</v>
      </c>
      <c r="AB202" s="30" t="str">
        <f t="shared" si="82"/>
        <v/>
      </c>
      <c r="AC202" s="30" t="str">
        <f t="shared" si="82"/>
        <v/>
      </c>
      <c r="AD202" s="30">
        <f t="shared" si="82"/>
        <v>0</v>
      </c>
      <c r="AE202" s="30" t="str">
        <f t="shared" si="82"/>
        <v/>
      </c>
      <c r="AF202" s="30" t="str">
        <f t="shared" si="82"/>
        <v/>
      </c>
      <c r="AG202" s="30" t="str">
        <f t="shared" si="82"/>
        <v/>
      </c>
      <c r="AH202" s="30">
        <f t="shared" si="86"/>
        <v>0</v>
      </c>
      <c r="AI202" s="30">
        <f t="shared" si="87"/>
        <v>0</v>
      </c>
      <c r="AJ202" s="74">
        <v>1</v>
      </c>
      <c r="AK202" s="226">
        <v>2327.0337</v>
      </c>
      <c r="AL202" s="36">
        <v>1</v>
      </c>
      <c r="AM202" s="205">
        <v>2327.0337</v>
      </c>
      <c r="AN202" s="200"/>
      <c r="AO202" s="68"/>
      <c r="AQ202" s="68"/>
      <c r="AR202" s="68"/>
      <c r="AS202" s="68"/>
      <c r="AT202" s="68"/>
      <c r="AU202" s="68"/>
      <c r="AV202" s="68"/>
      <c r="AW202" s="68"/>
      <c r="AX202" s="68"/>
      <c r="AY202" s="68"/>
      <c r="AZ202" s="200"/>
      <c r="BA202" s="74">
        <f>IF(VLOOKUP($D202,$AO$14:AQ$19,COLUMN()-50,0)&lt;=0,1,IF($Q202&lt;0,1,ROUNDUP(IF($Q202*('Draft Center'!$L$28+'Draft Center'!$L$78-'Draft Center'!$L$82)&lt;1,1,$Q202*('Draft Center'!$L$28+'Draft Center'!$L$78-'Draft Center'!$L$82)),0)))</f>
        <v>1</v>
      </c>
      <c r="BB202" s="74">
        <f>IF(VLOOKUP($D202,$AO$14:AR$19,COLUMN()-50,0)&lt;=0,1,IF($Q202&lt;0,1,ROUNDUP(IF($Q202*('Draft Center'!$L$28+'Draft Center'!$L$78-'Draft Center'!$L$82)&lt;1,1,$Q202*('Draft Center'!$L$28+'Draft Center'!$L$78-'Draft Center'!$L$82)),0)))</f>
        <v>1</v>
      </c>
      <c r="BC202" s="74">
        <f>IF(VLOOKUP($D202,$AO$14:AS$19,COLUMN()-50,0)&lt;=0,1,IF($Q202&lt;0,1,ROUNDUP(IF($Q202*('Draft Center'!$L$28+'Draft Center'!$L$78-'Draft Center'!$L$82)&lt;1,1,$Q202*('Draft Center'!$L$28+'Draft Center'!$L$78-'Draft Center'!$L$82)),0)))</f>
        <v>1</v>
      </c>
      <c r="BD202" s="74">
        <f>IF(VLOOKUP($D202,$AO$14:AT$19,COLUMN()-50,0)&lt;=0,1,IF($Q202&lt;0,1,ROUNDUP(IF($Q202*('Draft Center'!$L$28+'Draft Center'!$L$78-'Draft Center'!$L$82)&lt;1,1,$Q202*('Draft Center'!$L$28+'Draft Center'!$L$78-'Draft Center'!$L$82)),0)))</f>
        <v>1</v>
      </c>
      <c r="BE202" s="74">
        <f>IF(VLOOKUP($D202,$AO$14:AU$19,COLUMN()-50,0)&lt;=0,1,IF($Q202&lt;0,1,ROUNDUP(IF($Q202*('Draft Center'!$L$28+'Draft Center'!$L$78-'Draft Center'!$L$82)&lt;1,1,$Q202*('Draft Center'!$L$28+'Draft Center'!$L$78-'Draft Center'!$L$82)),0)))</f>
        <v>1</v>
      </c>
      <c r="BF202" s="74">
        <f>IF(VLOOKUP($D202,$AO$14:AV$19,COLUMN()-50,0)&lt;=0,1,IF($Q202&lt;0,1,ROUNDUP(IF($Q202*('Draft Center'!$L$28+'Draft Center'!$L$78-'Draft Center'!$L$82)&lt;1,1,$Q202*('Draft Center'!$L$28+'Draft Center'!$L$78-'Draft Center'!$L$82)),0)))</f>
        <v>1</v>
      </c>
      <c r="BG202" s="74">
        <f>IF(VLOOKUP($D202,$AO$14:AW$19,COLUMN()-50,0)&lt;=0,1,IF($Q202&lt;0,1,ROUNDUP(IF($Q202*('Draft Center'!$L$28+'Draft Center'!$L$78-'Draft Center'!$L$82)&lt;1,1,$Q202*('Draft Center'!$L$28+'Draft Center'!$L$78-'Draft Center'!$L$82)),0)))</f>
        <v>1</v>
      </c>
      <c r="BH202" s="74">
        <f>IF(VLOOKUP($D202,$AO$14:AX$19,COLUMN()-50,0)&lt;=0,1,IF($Q202&lt;0,1,ROUNDUP(IF($Q202*('Draft Center'!$L$28+'Draft Center'!$L$78-'Draft Center'!$L$82)&lt;1,1,$Q202*('Draft Center'!$L$28+'Draft Center'!$L$78-'Draft Center'!$L$82)),0)))</f>
        <v>1</v>
      </c>
      <c r="BI202" s="74">
        <f>IF(VLOOKUP($D202,$AO$14:AY$19,COLUMN()-50,0)&lt;=0,1,IF($Q202&lt;0,1,ROUNDUP(IF($Q202*('Draft Center'!$L$28+'Draft Center'!$L$78-'Draft Center'!$L$82)&lt;1,1,$Q202*('Draft Center'!$L$28+'Draft Center'!$L$78-'Draft Center'!$L$82)),0)))</f>
        <v>1</v>
      </c>
      <c r="BJ202" s="200"/>
      <c r="BK202" s="30">
        <v>0</v>
      </c>
      <c r="BL202" s="30" t="str">
        <f t="shared" si="83"/>
        <v/>
      </c>
      <c r="BM202" s="30">
        <v>0</v>
      </c>
      <c r="BN202" s="30">
        <f t="shared" si="83"/>
        <v>0</v>
      </c>
      <c r="BO202" s="30" t="str">
        <f t="shared" si="83"/>
        <v/>
      </c>
      <c r="BP202" s="30" t="str">
        <f t="shared" si="83"/>
        <v/>
      </c>
      <c r="BQ202" s="30" t="str">
        <f t="shared" si="83"/>
        <v/>
      </c>
      <c r="BR202" s="30">
        <f t="shared" si="88"/>
        <v>0</v>
      </c>
      <c r="BS202" s="30">
        <f t="shared" si="89"/>
        <v>0</v>
      </c>
      <c r="BT202" s="74">
        <v>1</v>
      </c>
      <c r="BU202" s="59">
        <v>2327.0337</v>
      </c>
      <c r="BV202" s="36">
        <v>1</v>
      </c>
      <c r="BW202" s="205">
        <v>2327.0337</v>
      </c>
      <c r="BX202" s="30"/>
      <c r="BY202" s="74">
        <v>1</v>
      </c>
      <c r="BZ202" s="74">
        <v>1.3</v>
      </c>
      <c r="CA202" s="74">
        <v>1.3</v>
      </c>
      <c r="CB202" s="74">
        <v>1.3</v>
      </c>
      <c r="CC202" s="74">
        <f t="shared" si="92"/>
        <v>1.3</v>
      </c>
      <c r="CD202" s="74">
        <f t="shared" si="93"/>
        <v>1.3</v>
      </c>
    </row>
    <row r="203" spans="1:82" ht="15.75" customHeight="1" thickBot="1" x14ac:dyDescent="0.3">
      <c r="A203" s="87">
        <v>202</v>
      </c>
      <c r="B203" s="88" t="s">
        <v>937</v>
      </c>
      <c r="C203" s="88" t="s">
        <v>27</v>
      </c>
      <c r="D203" s="88" t="s">
        <v>43</v>
      </c>
      <c r="E203" s="89">
        <v>-39.936489201453703</v>
      </c>
      <c r="F203" s="89">
        <v>113.524430150756</v>
      </c>
      <c r="G203" s="89">
        <v>119.952835646723</v>
      </c>
      <c r="H203" s="89">
        <v>106.551048270493</v>
      </c>
      <c r="I203" s="90">
        <v>0</v>
      </c>
      <c r="J203" s="89">
        <v>4.0129999684845199</v>
      </c>
      <c r="K203" s="252">
        <f>IFERROR(VLOOKUP(C203,Schedule!$T$3:$U$34,2,0),"FA")</f>
        <v>8</v>
      </c>
      <c r="L203" s="88" t="str">
        <f>D203&amp;COUNTIF(D$2:$D203,D203)</f>
        <v>TE25</v>
      </c>
      <c r="M203" s="89">
        <f t="array" ref="M203">IFERROR(F203-AVERAGE(VLOOKUP(D203,$D204:$F$885,3,0),INDEX($F204:$F$885,SMALL(IF(D203=$D204:$D$885,ROW($D204:$D$885)-ROW(D203)),2))),0)</f>
        <v>11.061709834281203</v>
      </c>
      <c r="N203" s="89">
        <f>IFERROR(IF(VLOOKUP($B203,Input!$AC$2:$AC$162,1,0)=$B203,0),F203)</f>
        <v>113.524430150756</v>
      </c>
      <c r="O203" s="89">
        <f>IFERROR(IF(VLOOKUP($B203,Input!$AC$2:$AC$162,1,0)=$B203,0,G203),G203)</f>
        <v>119.952835646723</v>
      </c>
      <c r="P203" s="89">
        <f>IF(N203=0,0,F203-AVERAGE(INDEX(F:F,MATCH(VLOOKUP(D203,Input!$A$14:$L$22,10,0),L:L,0)),INDEX(F:F,MATCH(VLOOKUP(D203,Input!$A$14:$L$22,11,0),L:L,0)),INDEX(F:F,MATCH(VLOOKUP(D203,Input!$A$14:$L$22,12,0),L:L,0)))+(0.01-ROW()*0.01))</f>
        <v>-41.956489201453316</v>
      </c>
      <c r="Q203" s="110">
        <f t="shared" si="84"/>
        <v>-1.4474692600674039E-2</v>
      </c>
      <c r="R203" s="90">
        <f>IF(VLOOKUP($D203,$X$14:$Y$19,2,0)&lt;=0,1,IF(Q203&lt;0,1,ROUNDUP(IF(Q203*('Draft Center'!$L$28+'Draft Center'!$L$78-'Draft Center'!$L$82)&lt;1,1,Q203*('Draft Center'!$L$28+'Draft Center'!$L$78-'Draft Center'!$L$82)),0)))</f>
        <v>1</v>
      </c>
      <c r="S203" s="90">
        <f>IF(A203&lt;Input!$B$10+0.1,IF(ROUNDUP(R203*Input!$C$10,0)=0,1,ROUNDUP(R203*Input!$C$10,0)),IF(A203&gt;Input!$B$11,IF(ROUNDUP(R203*Input!$C$11,0)=0,1,ROUNDUP(R203*Input!$C$11,0)),IF(ROUNDUP(R203,0)=0,1,ROUNDUP(R203,0))))</f>
        <v>1</v>
      </c>
      <c r="T203" s="90">
        <f t="shared" si="85"/>
        <v>1</v>
      </c>
      <c r="U203" s="90">
        <f>IFERROR(VLOOKUP($B203,Input!$AC$2:$AE$161,3,0),0)</f>
        <v>0</v>
      </c>
      <c r="V203" s="260">
        <f t="shared" si="90"/>
        <v>0</v>
      </c>
      <c r="W203" s="269">
        <f t="shared" si="91"/>
        <v>1.00203</v>
      </c>
      <c r="X203" s="68"/>
      <c r="Y203" s="68"/>
      <c r="Z203" s="68"/>
      <c r="AA203" s="68"/>
      <c r="AB203" s="68"/>
      <c r="AC203" s="68"/>
      <c r="AD203" s="68"/>
      <c r="AE203" s="68"/>
      <c r="AF203" s="68"/>
      <c r="AG203" s="68"/>
      <c r="AH203" s="68"/>
      <c r="AI203" s="68"/>
      <c r="AJ203" s="68">
        <v>1</v>
      </c>
      <c r="AL203" s="68">
        <v>1</v>
      </c>
      <c r="AM203" s="68"/>
      <c r="AN203" s="68"/>
      <c r="AO203" s="68"/>
      <c r="AQ203" s="68"/>
      <c r="AR203" s="68"/>
      <c r="AS203" s="68"/>
      <c r="AT203" s="68"/>
      <c r="AU203" s="68"/>
      <c r="AV203" s="68"/>
      <c r="AW203" s="68"/>
      <c r="AX203" s="68"/>
      <c r="AY203" s="68"/>
      <c r="AZ203" s="68"/>
      <c r="BB203" s="68"/>
      <c r="BC203" s="68"/>
      <c r="BJ203" s="68"/>
      <c r="BT203">
        <v>1</v>
      </c>
      <c r="BV203">
        <v>1</v>
      </c>
      <c r="BX203" s="68"/>
      <c r="BY203" s="68">
        <v>1</v>
      </c>
      <c r="BZ203" s="68">
        <v>0</v>
      </c>
      <c r="CA203" s="68">
        <v>0</v>
      </c>
      <c r="CB203" s="68">
        <v>0</v>
      </c>
      <c r="CC203" s="68">
        <f t="shared" si="92"/>
        <v>0</v>
      </c>
      <c r="CD203" s="68">
        <f t="shared" si="93"/>
        <v>0</v>
      </c>
    </row>
    <row r="204" spans="1:82" ht="15.75" customHeight="1" thickBot="1" x14ac:dyDescent="0.3">
      <c r="A204" s="9">
        <v>203</v>
      </c>
      <c r="B204" s="10" t="s">
        <v>508</v>
      </c>
      <c r="C204" s="10" t="s">
        <v>93</v>
      </c>
      <c r="D204" s="10" t="s">
        <v>17</v>
      </c>
      <c r="E204" s="51">
        <v>-40.804674606185799</v>
      </c>
      <c r="F204" s="51">
        <v>171.97324166316301</v>
      </c>
      <c r="G204" s="51">
        <v>185.88817123456801</v>
      </c>
      <c r="H204" s="51">
        <v>147.212050806756</v>
      </c>
      <c r="I204" s="11">
        <v>1.4</v>
      </c>
      <c r="J204" s="51">
        <v>5.3115889065138999</v>
      </c>
      <c r="K204" s="249">
        <f>IFERROR(VLOOKUP(C204,Schedule!$T$3:$U$34,2,0),"FA")</f>
        <v>11</v>
      </c>
      <c r="L204" s="10" t="str">
        <f>D204&amp;COUNTIF(D$2:$D204,D204)</f>
        <v>WR48</v>
      </c>
      <c r="M204" s="51">
        <f t="array" ref="M204">IFERROR(F204-AVERAGE(VLOOKUP(D204,$D205:$F$885,3,0),INDEX($F205:$F$885,SMALL(IF(D204=$D205:$D$885,ROW($D205:$D$885)-ROW(D204)),2))),0)</f>
        <v>2.2514478612570201</v>
      </c>
      <c r="N204" s="51">
        <f>IFERROR(IF(VLOOKUP($B204,Input!$AC$2:$AC$162,1,0)=$B204,0),F204)</f>
        <v>171.97324166316301</v>
      </c>
      <c r="O204" s="51">
        <f>IFERROR(IF(VLOOKUP($B204,Input!$AC$2:$AC$162,1,0)=$B204,0,G204),G204)</f>
        <v>185.88817123456801</v>
      </c>
      <c r="P204" s="51">
        <f>IF(N204=0,0,F204-AVERAGE(INDEX(F:F,MATCH(VLOOKUP(D204,Input!$A$14:$L$22,10,0),L:L,0)),INDEX(F:F,MATCH(VLOOKUP(D204,Input!$A$14:$L$22,11,0),L:L,0)),INDEX(F:F,MATCH(VLOOKUP(D204,Input!$A$14:$L$22,12,0),L:L,0)))+(0.01-ROW()*0.01))</f>
        <v>-42.834674606186013</v>
      </c>
      <c r="Q204" s="107">
        <f t="shared" si="84"/>
        <v>-1.4777660366133882E-2</v>
      </c>
      <c r="R204" s="11">
        <f>IF(VLOOKUP($D204,$X$14:$Y$19,2,0)&lt;=0,1,IF(Q204&lt;0,1,ROUNDUP(IF(Q204*('Draft Center'!$L$28+'Draft Center'!$L$78-'Draft Center'!$L$82)&lt;1,1,Q204*('Draft Center'!$L$28+'Draft Center'!$L$78-'Draft Center'!$L$82)),0)))</f>
        <v>1</v>
      </c>
      <c r="S204" s="11">
        <f>IF(A204&lt;Input!$B$10+0.1,IF(ROUNDUP(R204*Input!$C$10,0)=0,1,ROUNDUP(R204*Input!$C$10,0)),IF(A204&gt;Input!$B$11,IF(ROUNDUP(R204*Input!$C$11,0)=0,1,ROUNDUP(R204*Input!$C$11,0)),IF(ROUNDUP(R204,0)=0,1,ROUNDUP(R204,0))))</f>
        <v>1</v>
      </c>
      <c r="T204" s="11">
        <f t="shared" si="85"/>
        <v>1</v>
      </c>
      <c r="U204" s="11">
        <f>IFERROR(VLOOKUP($B204,Input!$AC$2:$AE$161,3,0),0)</f>
        <v>0</v>
      </c>
      <c r="V204" s="257">
        <f t="shared" si="90"/>
        <v>-0.28367428571428566</v>
      </c>
      <c r="W204" s="264">
        <f t="shared" si="91"/>
        <v>-0.39795999999999992</v>
      </c>
      <c r="X204" s="68"/>
      <c r="Y204" s="68"/>
      <c r="Z204" s="68"/>
      <c r="AA204" s="68"/>
      <c r="AB204" s="68"/>
      <c r="AC204" s="68"/>
      <c r="AD204" s="68"/>
      <c r="AE204" s="68"/>
      <c r="AF204" s="68"/>
      <c r="AG204" s="68"/>
      <c r="AH204" s="68"/>
      <c r="AI204" s="68"/>
      <c r="AJ204" s="68">
        <v>1</v>
      </c>
      <c r="AL204" s="68">
        <v>1</v>
      </c>
      <c r="AM204" s="68"/>
      <c r="AN204" s="68"/>
      <c r="AO204" s="68"/>
      <c r="AQ204" s="68"/>
      <c r="AR204" s="68"/>
      <c r="AS204" s="68"/>
      <c r="AT204" s="68"/>
      <c r="AU204" s="68"/>
      <c r="AV204" s="68"/>
      <c r="AW204" s="68"/>
      <c r="AX204" s="68"/>
      <c r="AY204" s="68"/>
      <c r="AZ204" s="68"/>
      <c r="BB204" s="68"/>
      <c r="BC204" s="68"/>
      <c r="BJ204" s="68"/>
      <c r="BT204">
        <v>1</v>
      </c>
      <c r="BV204">
        <v>1</v>
      </c>
      <c r="BX204" s="68"/>
      <c r="BY204" s="68">
        <v>1</v>
      </c>
      <c r="BZ204" s="68">
        <v>1.4</v>
      </c>
      <c r="CA204" s="68">
        <v>1.4</v>
      </c>
      <c r="CB204" s="68">
        <v>1.4</v>
      </c>
      <c r="CC204" s="68">
        <f t="shared" si="92"/>
        <v>1.3999999999999997</v>
      </c>
      <c r="CD204" s="68">
        <f t="shared" si="93"/>
        <v>1.4</v>
      </c>
    </row>
    <row r="205" spans="1:82" ht="15.75" customHeight="1" thickBot="1" x14ac:dyDescent="0.3">
      <c r="A205" s="6">
        <v>204</v>
      </c>
      <c r="B205" s="7" t="s">
        <v>74</v>
      </c>
      <c r="C205" s="7" t="s">
        <v>33</v>
      </c>
      <c r="D205" s="7" t="s">
        <v>19</v>
      </c>
      <c r="E205" s="50">
        <v>-41.140940531338202</v>
      </c>
      <c r="F205" s="50">
        <v>127.961457494614</v>
      </c>
      <c r="G205" s="50">
        <v>167.85206269664499</v>
      </c>
      <c r="H205" s="50">
        <v>84.299843120128003</v>
      </c>
      <c r="I205" s="8">
        <v>1.5</v>
      </c>
      <c r="J205" s="50">
        <v>5.9747213718696299</v>
      </c>
      <c r="K205" s="248">
        <f>IFERROR(VLOOKUP(C205,Schedule!$T$3:$U$34,2,0),"FA")</f>
        <v>9</v>
      </c>
      <c r="L205" s="7" t="str">
        <f>D205&amp;COUNTIF(D$2:$D205,D205)</f>
        <v>RB48</v>
      </c>
      <c r="M205" s="50">
        <f t="array" ref="M205">IFERROR(F205-AVERAGE(VLOOKUP(D205,$D206:$F$885,3,0),INDEX($F206:$F$885,SMALL(IF(D205=$D206:$D$885,ROW($D206:$D$885)-ROW(D205)),2))),0)</f>
        <v>5.9098500813624923</v>
      </c>
      <c r="N205" s="50">
        <f>IFERROR(IF(VLOOKUP($B205,Input!$AC$2:$AC$162,1,0)=$B205,0),F205)</f>
        <v>127.961457494614</v>
      </c>
      <c r="O205" s="50">
        <f>IFERROR(IF(VLOOKUP($B205,Input!$AC$2:$AC$162,1,0)=$B205,0,G205),G205)</f>
        <v>167.85206269664499</v>
      </c>
      <c r="P205" s="50">
        <f>IF(N205=0,0,F205-AVERAGE(INDEX(F:F,MATCH(VLOOKUP(D205,Input!$A$14:$L$22,10,0),L:L,0)),INDEX(F:F,MATCH(VLOOKUP(D205,Input!$A$14:$L$22,11,0),L:L,0)),INDEX(F:F,MATCH(VLOOKUP(D205,Input!$A$14:$L$22,12,0),L:L,0)))+(0.01-ROW()*0.01))</f>
        <v>-43.180940531338003</v>
      </c>
      <c r="Q205" s="106">
        <f t="shared" si="84"/>
        <v>-1.4897119665995639E-2</v>
      </c>
      <c r="R205" s="8">
        <f>IF(VLOOKUP($D205,$X$14:$Y$19,2,0)&lt;=0,1,IF(Q205&lt;0,1,ROUNDUP(IF(Q205*('Draft Center'!$L$28+'Draft Center'!$L$78-'Draft Center'!$L$82)&lt;1,1,Q205*('Draft Center'!$L$28+'Draft Center'!$L$78-'Draft Center'!$L$82)),0)))</f>
        <v>1</v>
      </c>
      <c r="S205" s="8">
        <f>IF(A205&lt;Input!$B$10+0.1,IF(ROUNDUP(R205*Input!$C$10,0)=0,1,ROUNDUP(R205*Input!$C$10,0)),IF(A205&gt;Input!$B$11,IF(ROUNDUP(R205*Input!$C$11,0)=0,1,ROUNDUP(R205*Input!$C$11,0)),IF(ROUNDUP(R205,0)=0,1,ROUNDUP(R205,0))))</f>
        <v>1</v>
      </c>
      <c r="T205" s="8">
        <f t="shared" si="85"/>
        <v>1</v>
      </c>
      <c r="U205" s="8">
        <f>IFERROR(VLOOKUP($B205,Input!$AC$2:$AE$161,3,0),0)</f>
        <v>0</v>
      </c>
      <c r="V205" s="256">
        <f t="shared" si="90"/>
        <v>-0.33128333333333332</v>
      </c>
      <c r="W205" s="263">
        <f t="shared" si="91"/>
        <v>-0.49795</v>
      </c>
      <c r="X205" s="68"/>
      <c r="Y205" s="68"/>
      <c r="Z205" s="68"/>
      <c r="AA205" s="68"/>
      <c r="AB205" s="68"/>
      <c r="AC205" s="68"/>
      <c r="AD205" s="68"/>
      <c r="AE205" s="68"/>
      <c r="AF205" s="68"/>
      <c r="AG205" s="68"/>
      <c r="AH205" s="68"/>
      <c r="AI205" s="68"/>
      <c r="AJ205" s="68">
        <v>1</v>
      </c>
      <c r="AL205" s="68">
        <v>1</v>
      </c>
      <c r="AM205" s="68"/>
      <c r="AN205" s="68"/>
      <c r="AO205" s="68"/>
      <c r="AQ205" s="68"/>
      <c r="AR205" s="68"/>
      <c r="AS205" s="68"/>
      <c r="AT205" s="68"/>
      <c r="AU205" s="68"/>
      <c r="AV205" s="68"/>
      <c r="AW205" s="68"/>
      <c r="AX205" s="68"/>
      <c r="AY205" s="68"/>
      <c r="AZ205" s="68"/>
      <c r="BB205" s="68"/>
      <c r="BC205" s="68"/>
      <c r="BJ205" s="68"/>
      <c r="BT205">
        <v>1</v>
      </c>
      <c r="BV205">
        <v>1</v>
      </c>
      <c r="BX205" s="68"/>
      <c r="BY205" s="68">
        <v>1</v>
      </c>
      <c r="BZ205" s="68">
        <v>1.5</v>
      </c>
      <c r="CA205" s="68">
        <v>1.5</v>
      </c>
      <c r="CB205" s="68">
        <v>1.5</v>
      </c>
      <c r="CC205" s="68">
        <f t="shared" si="92"/>
        <v>1.5</v>
      </c>
      <c r="CD205" s="68">
        <f t="shared" si="93"/>
        <v>1.5</v>
      </c>
    </row>
    <row r="206" spans="1:82" ht="15.75" customHeight="1" thickBot="1" x14ac:dyDescent="0.3">
      <c r="A206" s="9">
        <v>205</v>
      </c>
      <c r="B206" s="10" t="s">
        <v>205</v>
      </c>
      <c r="C206" s="10" t="s">
        <v>45</v>
      </c>
      <c r="D206" s="10" t="s">
        <v>147</v>
      </c>
      <c r="E206" s="51">
        <v>-41.760228075469399</v>
      </c>
      <c r="F206" s="51">
        <v>89.608760355503904</v>
      </c>
      <c r="G206" s="51">
        <v>119.48274581974199</v>
      </c>
      <c r="H206" s="51">
        <v>10.1521650879567</v>
      </c>
      <c r="I206" s="11">
        <v>0</v>
      </c>
      <c r="J206" s="51">
        <v>8.5016931962291995</v>
      </c>
      <c r="K206" s="249">
        <f>IFERROR(VLOOKUP(C206,Schedule!$T$3:$U$34,2,0),"FA")</f>
        <v>6</v>
      </c>
      <c r="L206" s="10" t="str">
        <f>D206&amp;COUNTIF(D$2:$D206,D206)</f>
        <v>K30</v>
      </c>
      <c r="M206" s="51">
        <f t="array" ref="M206">IFERROR(F206-AVERAGE(VLOOKUP(D206,$D207:$F$885,3,0),INDEX($F207:$F$885,SMALL(IF(D206=$D207:$D$885,ROW($D207:$D$885)-ROW(D206)),2))),0)</f>
        <v>2.7058260261511577</v>
      </c>
      <c r="N206" s="51">
        <f>IFERROR(IF(VLOOKUP($B206,Input!$AC$2:$AC$162,1,0)=$B206,0),F206)</f>
        <v>89.608760355503904</v>
      </c>
      <c r="O206" s="51">
        <f>IFERROR(IF(VLOOKUP($B206,Input!$AC$2:$AC$162,1,0)=$B206,0,G206),G206)</f>
        <v>119.48274581974199</v>
      </c>
      <c r="P206" s="51">
        <f>IF(N206=0,0,F206-AVERAGE(INDEX(F:F,MATCH(VLOOKUP(D206,Input!$A$14:$L$22,10,0),L:L,0)),INDEX(F:F,MATCH(VLOOKUP(D206,Input!$A$14:$L$22,11,0),L:L,0)),INDEX(F:F,MATCH(VLOOKUP(D206,Input!$A$14:$L$22,12,0),L:L,0)))+(0.01-ROW()*0.01))</f>
        <v>-43.984221226624086</v>
      </c>
      <c r="Q206" s="107">
        <f t="shared" si="84"/>
        <v>-1.5174245835454047E-2</v>
      </c>
      <c r="R206" s="11">
        <f>IF(VLOOKUP($D206,$X$14:$Y$19,2,0)&lt;=0,1,IF(Q206&lt;0,1,ROUNDUP(IF(Q206*('Draft Center'!$L$28+'Draft Center'!$L$78-'Draft Center'!$L$82)&lt;1,1,Q206*('Draft Center'!$L$28+'Draft Center'!$L$78-'Draft Center'!$L$82)),0)))</f>
        <v>1</v>
      </c>
      <c r="S206" s="11">
        <f>IF(A206&lt;Input!$B$10+0.1,IF(ROUNDUP(R206*Input!$C$10,0)=0,1,ROUNDUP(R206*Input!$C$10,0)),IF(A206&gt;Input!$B$11,IF(ROUNDUP(R206*Input!$C$11,0)=0,1,ROUNDUP(R206*Input!$C$11,0)),IF(ROUNDUP(R206,0)=0,1,ROUNDUP(R206,0))))</f>
        <v>1</v>
      </c>
      <c r="T206" s="11">
        <f t="shared" si="85"/>
        <v>1</v>
      </c>
      <c r="U206" s="11">
        <f>IFERROR(VLOOKUP($B206,Input!$AC$2:$AE$161,3,0),0)</f>
        <v>0</v>
      </c>
      <c r="V206" s="257">
        <f t="shared" si="90"/>
        <v>0</v>
      </c>
      <c r="W206" s="264">
        <f t="shared" si="91"/>
        <v>1.00206</v>
      </c>
      <c r="X206" s="68"/>
      <c r="Y206" s="68"/>
      <c r="Z206" s="68"/>
      <c r="AA206" s="68"/>
      <c r="AB206" s="68"/>
      <c r="AC206" s="68"/>
      <c r="AD206" s="68"/>
      <c r="AE206" s="68"/>
      <c r="AF206" s="68"/>
      <c r="AG206" s="68"/>
      <c r="AH206" s="68"/>
      <c r="AI206" s="68"/>
      <c r="AJ206" s="68">
        <v>1</v>
      </c>
      <c r="AL206" s="68">
        <v>1</v>
      </c>
      <c r="AM206" s="68"/>
      <c r="AN206" s="68"/>
      <c r="AO206" s="68"/>
      <c r="AQ206" s="68"/>
      <c r="AR206" s="68"/>
      <c r="AS206" s="68"/>
      <c r="AT206" s="68"/>
      <c r="AU206" s="68"/>
      <c r="AV206" s="68"/>
      <c r="AW206" s="68"/>
      <c r="AX206" s="68"/>
      <c r="AY206" s="68"/>
      <c r="AZ206" s="68"/>
      <c r="BB206" s="68"/>
      <c r="BC206" s="68"/>
      <c r="BJ206" s="68"/>
      <c r="BT206">
        <v>1</v>
      </c>
      <c r="BV206">
        <v>1</v>
      </c>
      <c r="BX206" s="68"/>
      <c r="BY206" s="68">
        <v>1</v>
      </c>
      <c r="BZ206" s="68">
        <v>0</v>
      </c>
      <c r="CA206" s="68">
        <v>0</v>
      </c>
      <c r="CB206" s="68">
        <v>0</v>
      </c>
      <c r="CC206" s="68">
        <f t="shared" si="92"/>
        <v>0</v>
      </c>
      <c r="CD206" s="68">
        <f t="shared" si="93"/>
        <v>0</v>
      </c>
    </row>
    <row r="207" spans="1:82" ht="15.75" customHeight="1" thickBot="1" x14ac:dyDescent="0.3">
      <c r="A207" s="6">
        <v>206</v>
      </c>
      <c r="B207" s="7" t="s">
        <v>754</v>
      </c>
      <c r="C207" s="7" t="s">
        <v>143</v>
      </c>
      <c r="D207" s="7" t="s">
        <v>17</v>
      </c>
      <c r="E207" s="50">
        <v>-42.507426560753402</v>
      </c>
      <c r="F207" s="50">
        <v>170.27048970859599</v>
      </c>
      <c r="G207" s="50">
        <v>191.274220209817</v>
      </c>
      <c r="H207" s="50">
        <v>137.82318244170099</v>
      </c>
      <c r="I207" s="8">
        <v>1.4</v>
      </c>
      <c r="J207" s="50">
        <v>4.7026860763693099</v>
      </c>
      <c r="K207" s="248">
        <f>IFERROR(VLOOKUP(C207,Schedule!$T$3:$U$34,2,0),"FA")</f>
        <v>9</v>
      </c>
      <c r="L207" s="7" t="str">
        <f>D207&amp;COUNTIF(D$2:$D207,D207)</f>
        <v>WR49</v>
      </c>
      <c r="M207" s="50">
        <f t="array" ref="M207">IFERROR(F207-AVERAGE(VLOOKUP(D207,$D208:$F$885,3,0),INDEX($F208:$F$885,SMALL(IF(D207=$D208:$D$885,ROW($D208:$D$885)-ROW(D207)),2))),0)</f>
        <v>1.1219212455659999</v>
      </c>
      <c r="N207" s="50">
        <f>IFERROR(IF(VLOOKUP($B207,Input!$AC$2:$AC$162,1,0)=$B207,0),F207)</f>
        <v>170.27048970859599</v>
      </c>
      <c r="O207" s="50">
        <f>IFERROR(IF(VLOOKUP($B207,Input!$AC$2:$AC$162,1,0)=$B207,0,G207),G207)</f>
        <v>191.274220209817</v>
      </c>
      <c r="P207" s="50">
        <f>IF(N207=0,0,F207-AVERAGE(INDEX(F:F,MATCH(VLOOKUP(D207,Input!$A$14:$L$22,10,0),L:L,0)),INDEX(F:F,MATCH(VLOOKUP(D207,Input!$A$14:$L$22,11,0),L:L,0)),INDEX(F:F,MATCH(VLOOKUP(D207,Input!$A$14:$L$22,12,0),L:L,0)))+(0.01-ROW()*0.01))</f>
        <v>-44.567426560753034</v>
      </c>
      <c r="Q207" s="106">
        <f t="shared" si="84"/>
        <v>-1.5375447558840795E-2</v>
      </c>
      <c r="R207" s="8">
        <f>IF(VLOOKUP($D207,$X$14:$Y$19,2,0)&lt;=0,1,IF(Q207&lt;0,1,ROUNDUP(IF(Q207*('Draft Center'!$L$28+'Draft Center'!$L$78-'Draft Center'!$L$82)&lt;1,1,Q207*('Draft Center'!$L$28+'Draft Center'!$L$78-'Draft Center'!$L$82)),0)))</f>
        <v>1</v>
      </c>
      <c r="S207" s="8">
        <f>IF(A207&lt;Input!$B$10+0.1,IF(ROUNDUP(R207*Input!$C$10,0)=0,1,ROUNDUP(R207*Input!$C$10,0)),IF(A207&gt;Input!$B$11,IF(ROUNDUP(R207*Input!$C$11,0)=0,1,ROUNDUP(R207*Input!$C$11,0)),IF(ROUNDUP(R207,0)=0,1,ROUNDUP(R207,0))))</f>
        <v>1</v>
      </c>
      <c r="T207" s="8">
        <f t="shared" si="85"/>
        <v>1</v>
      </c>
      <c r="U207" s="8">
        <f>IFERROR(VLOOKUP($B207,Input!$AC$2:$AE$161,3,0),0)</f>
        <v>0</v>
      </c>
      <c r="V207" s="256">
        <f t="shared" si="90"/>
        <v>-0.28364428571428563</v>
      </c>
      <c r="W207" s="263">
        <f t="shared" si="91"/>
        <v>-0.39792999999999989</v>
      </c>
      <c r="X207" s="68"/>
      <c r="Y207" s="68"/>
      <c r="Z207" s="68"/>
      <c r="AA207" s="68"/>
      <c r="AB207" s="68"/>
      <c r="AC207" s="68"/>
      <c r="AD207" s="68"/>
      <c r="AE207" s="68"/>
      <c r="AF207" s="68"/>
      <c r="AG207" s="68"/>
      <c r="AH207" s="68"/>
      <c r="AI207" s="68"/>
      <c r="AJ207" s="68">
        <v>1</v>
      </c>
      <c r="AL207" s="68">
        <v>1</v>
      </c>
      <c r="AM207" s="68"/>
      <c r="AN207" s="68"/>
      <c r="AO207" s="68"/>
      <c r="AQ207" s="68"/>
      <c r="AR207" s="68"/>
      <c r="AS207" s="68"/>
      <c r="AT207" s="68"/>
      <c r="AU207" s="68"/>
      <c r="AV207" s="68"/>
      <c r="AW207" s="68"/>
      <c r="AX207" s="68"/>
      <c r="AY207" s="68"/>
      <c r="AZ207" s="68"/>
      <c r="BB207" s="68"/>
      <c r="BC207" s="68"/>
      <c r="BJ207" s="68"/>
      <c r="BT207">
        <v>1</v>
      </c>
      <c r="BV207">
        <v>1</v>
      </c>
      <c r="BX207" s="68"/>
      <c r="BY207" s="68">
        <v>1</v>
      </c>
      <c r="BZ207" s="68">
        <v>1.4</v>
      </c>
      <c r="CA207" s="68">
        <v>1.4</v>
      </c>
      <c r="CB207" s="68">
        <v>1.4</v>
      </c>
      <c r="CC207" s="68">
        <f t="shared" si="92"/>
        <v>1.3999999999999997</v>
      </c>
      <c r="CD207" s="68">
        <f t="shared" si="93"/>
        <v>1.4</v>
      </c>
    </row>
    <row r="208" spans="1:82" ht="15.75" customHeight="1" thickBot="1" x14ac:dyDescent="0.3">
      <c r="A208" s="9">
        <v>207</v>
      </c>
      <c r="B208" s="10" t="s">
        <v>198</v>
      </c>
      <c r="C208" s="10" t="s">
        <v>25</v>
      </c>
      <c r="D208" s="10" t="s">
        <v>53</v>
      </c>
      <c r="E208" s="51">
        <v>-43.0342556761804</v>
      </c>
      <c r="F208" s="51">
        <v>229.31338795665499</v>
      </c>
      <c r="G208" s="51">
        <v>248.411315677999</v>
      </c>
      <c r="H208" s="51">
        <v>205.54</v>
      </c>
      <c r="I208" s="11">
        <v>0</v>
      </c>
      <c r="J208" s="51">
        <v>4.4404924656953799</v>
      </c>
      <c r="K208" s="249">
        <f>IFERROR(VLOOKUP(C208,Schedule!$T$3:$U$34,2,0),"FA")</f>
        <v>10</v>
      </c>
      <c r="L208" s="10" t="str">
        <f>D208&amp;COUNTIF(D$2:$D208,D208)</f>
        <v>QB23</v>
      </c>
      <c r="M208" s="51">
        <f t="array" ref="M208">IFERROR(F208-AVERAGE(VLOOKUP(D208,$D209:$F$885,3,0),INDEX($F209:$F$885,SMALL(IF(D208=$D209:$D$885,ROW($D209:$D$885)-ROW(D208)),2))),0)</f>
        <v>8.6628722105144789</v>
      </c>
      <c r="N208" s="51">
        <f>IFERROR(IF(VLOOKUP($B208,Input!$AC$2:$AC$162,1,0)=$B208,0),F208)</f>
        <v>229.31338795665499</v>
      </c>
      <c r="O208" s="51">
        <f>IFERROR(IF(VLOOKUP($B208,Input!$AC$2:$AC$162,1,0)=$B208,0,G208),G208)</f>
        <v>248.411315677999</v>
      </c>
      <c r="P208" s="51">
        <f>IF(N208=0,0,F208-AVERAGE(INDEX(F:F,MATCH(VLOOKUP(D208,Input!$A$14:$L$22,10,0),L:L,0)),INDEX(F:F,MATCH(VLOOKUP(D208,Input!$A$14:$L$22,11,0),L:L,0)),INDEX(F:F,MATCH(VLOOKUP(D208,Input!$A$14:$L$22,12,0),L:L,0)))+(0.01-ROW()*0.01))</f>
        <v>-45.104255676180635</v>
      </c>
      <c r="Q208" s="107">
        <f t="shared" si="84"/>
        <v>-1.556064981414859E-2</v>
      </c>
      <c r="R208" s="11">
        <f>IF(VLOOKUP($D208,$X$14:$Y$19,2,0)&lt;=0,1,IF(Q208&lt;0,1,ROUNDUP(IF(Q208*('Draft Center'!$L$28+'Draft Center'!$L$78-'Draft Center'!$L$82)&lt;1,1,Q208*('Draft Center'!$L$28+'Draft Center'!$L$78-'Draft Center'!$L$82)),0)))</f>
        <v>1</v>
      </c>
      <c r="S208" s="11">
        <f>IF(A208&lt;Input!$B$10+0.1,IF(ROUNDUP(R208*Input!$C$10,0)=0,1,ROUNDUP(R208*Input!$C$10,0)),IF(A208&gt;Input!$B$11,IF(ROUNDUP(R208*Input!$C$11,0)=0,1,ROUNDUP(R208*Input!$C$11,0)),IF(ROUNDUP(R208,0)=0,1,ROUNDUP(R208,0))))</f>
        <v>1</v>
      </c>
      <c r="T208" s="11">
        <f t="shared" si="85"/>
        <v>1</v>
      </c>
      <c r="U208" s="11">
        <f>IFERROR(VLOOKUP($B208,Input!$AC$2:$AE$161,3,0),0)</f>
        <v>0</v>
      </c>
      <c r="V208" s="257">
        <f t="shared" si="90"/>
        <v>0</v>
      </c>
      <c r="W208" s="264">
        <f t="shared" si="91"/>
        <v>1.0020800000000001</v>
      </c>
      <c r="X208" s="68"/>
      <c r="Y208" s="68"/>
      <c r="Z208" s="68"/>
      <c r="AA208" s="68"/>
      <c r="AB208" s="68"/>
      <c r="AC208" s="68"/>
      <c r="AD208" s="68"/>
      <c r="AE208" s="68"/>
      <c r="AF208" s="68"/>
      <c r="AG208" s="68"/>
      <c r="AH208" s="68"/>
      <c r="AI208" s="68"/>
      <c r="AJ208" s="68">
        <v>1</v>
      </c>
      <c r="AL208" s="68">
        <v>1</v>
      </c>
      <c r="AM208" s="68"/>
      <c r="AN208" s="68"/>
      <c r="AO208" s="68"/>
      <c r="AQ208" s="68"/>
      <c r="AR208" s="68"/>
      <c r="AS208" s="68"/>
      <c r="AT208" s="68"/>
      <c r="AU208" s="68"/>
      <c r="AV208" s="68"/>
      <c r="AW208" s="68"/>
      <c r="AX208" s="68"/>
      <c r="AY208" s="68"/>
      <c r="AZ208" s="68"/>
      <c r="BB208" s="68"/>
      <c r="BC208" s="68"/>
      <c r="BJ208" s="68"/>
      <c r="BT208">
        <v>1</v>
      </c>
      <c r="BV208">
        <v>1</v>
      </c>
      <c r="BX208" s="68"/>
      <c r="BY208" s="68">
        <v>1</v>
      </c>
      <c r="BZ208" s="68">
        <v>0</v>
      </c>
      <c r="CA208" s="68">
        <v>0</v>
      </c>
      <c r="CB208" s="68">
        <v>0</v>
      </c>
      <c r="CC208" s="68">
        <f t="shared" si="92"/>
        <v>0</v>
      </c>
      <c r="CD208" s="68">
        <f t="shared" si="93"/>
        <v>0</v>
      </c>
    </row>
    <row r="209" spans="1:82" ht="15.75" customHeight="1" thickBot="1" x14ac:dyDescent="0.3">
      <c r="A209" s="6">
        <v>208</v>
      </c>
      <c r="B209" s="7" t="s">
        <v>947</v>
      </c>
      <c r="C209" s="7" t="s">
        <v>45</v>
      </c>
      <c r="D209" s="7" t="s">
        <v>147</v>
      </c>
      <c r="E209" s="50">
        <v>-43.355234447206399</v>
      </c>
      <c r="F209" s="50">
        <v>88.013753983766904</v>
      </c>
      <c r="G209" s="50">
        <v>114.787098384895</v>
      </c>
      <c r="H209" s="50">
        <v>0.44526313024750303</v>
      </c>
      <c r="I209" s="8">
        <v>0</v>
      </c>
      <c r="J209" s="50">
        <v>9.0296529137469204</v>
      </c>
      <c r="K209" s="248">
        <f>IFERROR(VLOOKUP(C209,Schedule!$T$3:$U$34,2,0),"FA")</f>
        <v>6</v>
      </c>
      <c r="L209" s="7" t="str">
        <f>D209&amp;COUNTIF(D$2:$D209,D209)</f>
        <v>K31</v>
      </c>
      <c r="M209" s="50">
        <f t="array" ref="M209">IFERROR(F209-AVERAGE(VLOOKUP(D209,$D210:$F$885,3,0),INDEX($F210:$F$885,SMALL(IF(D209=$D210:$D$885,ROW($D210:$D$885)-ROW(D209)),2))),0)</f>
        <v>6.4811395789069621</v>
      </c>
      <c r="N209" s="50">
        <f>IFERROR(IF(VLOOKUP($B209,Input!$AC$2:$AC$162,1,0)=$B209,0),F209)</f>
        <v>88.013753983766904</v>
      </c>
      <c r="O209" s="50">
        <f>IFERROR(IF(VLOOKUP($B209,Input!$AC$2:$AC$162,1,0)=$B209,0,G209),G209)</f>
        <v>114.787098384895</v>
      </c>
      <c r="P209" s="50">
        <f>IF(N209=0,0,F209-AVERAGE(INDEX(F:F,MATCH(VLOOKUP(D209,Input!$A$14:$L$22,10,0),L:L,0)),INDEX(F:F,MATCH(VLOOKUP(D209,Input!$A$14:$L$22,11,0),L:L,0)),INDEX(F:F,MATCH(VLOOKUP(D209,Input!$A$14:$L$22,12,0),L:L,0)))+(0.01-ROW()*0.01))</f>
        <v>-45.609227598361088</v>
      </c>
      <c r="Q209" s="106">
        <f t="shared" si="84"/>
        <v>-1.57348615626683E-2</v>
      </c>
      <c r="R209" s="8">
        <f>IF(VLOOKUP($D209,$X$14:$Y$19,2,0)&lt;=0,1,IF(Q209&lt;0,1,ROUNDUP(IF(Q209*('Draft Center'!$L$28+'Draft Center'!$L$78-'Draft Center'!$L$82)&lt;1,1,Q209*('Draft Center'!$L$28+'Draft Center'!$L$78-'Draft Center'!$L$82)),0)))</f>
        <v>1</v>
      </c>
      <c r="S209" s="8">
        <f>IF(A209&lt;Input!$B$10+0.1,IF(ROUNDUP(R209*Input!$C$10,0)=0,1,ROUNDUP(R209*Input!$C$10,0)),IF(A209&gt;Input!$B$11,IF(ROUNDUP(R209*Input!$C$11,0)=0,1,ROUNDUP(R209*Input!$C$11,0)),IF(ROUNDUP(R209,0)=0,1,ROUNDUP(R209,0))))</f>
        <v>1</v>
      </c>
      <c r="T209" s="8">
        <f t="shared" si="85"/>
        <v>1</v>
      </c>
      <c r="U209" s="8">
        <f>IFERROR(VLOOKUP($B209,Input!$AC$2:$AE$161,3,0),0)</f>
        <v>0</v>
      </c>
      <c r="V209" s="256">
        <f t="shared" si="90"/>
        <v>0</v>
      </c>
      <c r="W209" s="263">
        <f t="shared" si="91"/>
        <v>1.0020899999999999</v>
      </c>
      <c r="X209" s="68"/>
      <c r="Y209" s="68"/>
      <c r="Z209" s="68"/>
      <c r="AA209" s="68"/>
      <c r="AB209" s="68"/>
      <c r="AC209" s="68"/>
      <c r="AD209" s="68"/>
      <c r="AE209" s="68"/>
      <c r="AF209" s="68"/>
      <c r="AG209" s="68"/>
      <c r="AH209" s="68"/>
      <c r="AI209" s="68"/>
      <c r="AJ209" s="68">
        <v>1</v>
      </c>
      <c r="AL209" s="68">
        <v>1</v>
      </c>
      <c r="AM209" s="68"/>
      <c r="AN209" s="68"/>
      <c r="AO209" s="68"/>
      <c r="AQ209" s="68"/>
      <c r="AR209" s="68"/>
      <c r="AS209" s="68"/>
      <c r="AT209" s="68"/>
      <c r="AU209" s="68"/>
      <c r="AV209" s="68"/>
      <c r="AW209" s="68"/>
      <c r="AX209" s="68"/>
      <c r="AY209" s="68"/>
      <c r="AZ209" s="68"/>
      <c r="BB209" s="68"/>
      <c r="BC209" s="68"/>
      <c r="BJ209" s="68"/>
      <c r="BT209">
        <v>1</v>
      </c>
      <c r="BV209">
        <v>1</v>
      </c>
      <c r="BX209" s="68"/>
      <c r="BY209" s="68">
        <v>1</v>
      </c>
      <c r="BZ209" s="68">
        <v>0</v>
      </c>
      <c r="CA209" s="68">
        <v>0</v>
      </c>
      <c r="CB209" s="68">
        <v>0</v>
      </c>
      <c r="CC209" s="68">
        <f t="shared" si="92"/>
        <v>0</v>
      </c>
      <c r="CD209" s="68">
        <f t="shared" si="93"/>
        <v>0</v>
      </c>
    </row>
    <row r="210" spans="1:82" ht="15.75" customHeight="1" thickBot="1" x14ac:dyDescent="0.3">
      <c r="A210" s="9">
        <v>209</v>
      </c>
      <c r="B210" s="10" t="s">
        <v>71</v>
      </c>
      <c r="C210" s="10" t="s">
        <v>47</v>
      </c>
      <c r="D210" s="10" t="s">
        <v>17</v>
      </c>
      <c r="E210" s="51">
        <v>-43.604818374133103</v>
      </c>
      <c r="F210" s="51">
        <v>169.17309789521599</v>
      </c>
      <c r="G210" s="51">
        <v>182.860060507545</v>
      </c>
      <c r="H210" s="51">
        <v>136.840031706839</v>
      </c>
      <c r="I210" s="11">
        <v>2.2999999999999998</v>
      </c>
      <c r="J210" s="51">
        <v>4.2932477161512699</v>
      </c>
      <c r="K210" s="249">
        <f>IFERROR(VLOOKUP(C210,Schedule!$T$3:$U$34,2,0),"FA")</f>
        <v>10</v>
      </c>
      <c r="L210" s="10" t="str">
        <f>D210&amp;COUNTIF(D$2:$D210,D210)</f>
        <v>WR50</v>
      </c>
      <c r="M210" s="51">
        <f t="array" ref="M210">IFERROR(F210-AVERAGE(VLOOKUP(D210,$D211:$F$885,3,0),INDEX($F211:$F$885,SMALL(IF(D210=$D211:$D$885,ROW($D211:$D$885)-ROW(D210)),2))),0)</f>
        <v>2.2086642936654926</v>
      </c>
      <c r="N210" s="51">
        <f>IFERROR(IF(VLOOKUP($B210,Input!$AC$2:$AC$162,1,0)=$B210,0),F210)</f>
        <v>169.17309789521599</v>
      </c>
      <c r="O210" s="51">
        <f>IFERROR(IF(VLOOKUP($B210,Input!$AC$2:$AC$162,1,0)=$B210,0,G210),G210)</f>
        <v>182.860060507545</v>
      </c>
      <c r="P210" s="51">
        <f>IF(N210=0,0,F210-AVERAGE(INDEX(F:F,MATCH(VLOOKUP(D210,Input!$A$14:$L$22,10,0),L:L,0)),INDEX(F:F,MATCH(VLOOKUP(D210,Input!$A$14:$L$22,11,0),L:L,0)),INDEX(F:F,MATCH(VLOOKUP(D210,Input!$A$14:$L$22,12,0),L:L,0)))+(0.01-ROW()*0.01))</f>
        <v>-45.694818374133035</v>
      </c>
      <c r="Q210" s="107">
        <f t="shared" si="84"/>
        <v>-1.5764389776118277E-2</v>
      </c>
      <c r="R210" s="11">
        <f>IF(VLOOKUP($D210,$X$14:$Y$19,2,0)&lt;=0,1,IF(Q210&lt;0,1,ROUNDUP(IF(Q210*('Draft Center'!$L$28+'Draft Center'!$L$78-'Draft Center'!$L$82)&lt;1,1,Q210*('Draft Center'!$L$28+'Draft Center'!$L$78-'Draft Center'!$L$82)),0)))</f>
        <v>1</v>
      </c>
      <c r="S210" s="11">
        <f>IF(A210&lt;Input!$B$10+0.1,IF(ROUNDUP(R210*Input!$C$10,0)=0,1,ROUNDUP(R210*Input!$C$10,0)),IF(A210&gt;Input!$B$11,IF(ROUNDUP(R210*Input!$C$11,0)=0,1,ROUNDUP(R210*Input!$C$11,0)),IF(ROUNDUP(R210,0)=0,1,ROUNDUP(R210,0))))</f>
        <v>1</v>
      </c>
      <c r="T210" s="11">
        <f t="shared" si="85"/>
        <v>1</v>
      </c>
      <c r="U210" s="11">
        <f>IFERROR(VLOOKUP($B210,Input!$AC$2:$AE$161,3,0),0)</f>
        <v>0</v>
      </c>
      <c r="V210" s="257">
        <f t="shared" si="90"/>
        <v>-0.56311739130434779</v>
      </c>
      <c r="W210" s="264">
        <f t="shared" si="91"/>
        <v>-1.2978999999999998</v>
      </c>
      <c r="X210" s="68"/>
      <c r="Y210" s="68"/>
      <c r="Z210" s="68"/>
      <c r="AA210" s="68"/>
      <c r="AB210" s="68"/>
      <c r="AC210" s="68"/>
      <c r="AD210" s="68"/>
      <c r="AE210" s="68"/>
      <c r="AF210" s="68"/>
      <c r="AG210" s="68"/>
      <c r="AH210" s="68"/>
      <c r="AI210" s="68"/>
      <c r="AJ210" s="68">
        <v>1</v>
      </c>
      <c r="AL210" s="68">
        <v>1</v>
      </c>
      <c r="AM210" s="68"/>
      <c r="AN210" s="68"/>
      <c r="AO210" s="68"/>
      <c r="AQ210" s="68"/>
      <c r="AR210" s="68"/>
      <c r="AS210" s="68"/>
      <c r="AT210" s="68"/>
      <c r="AU210" s="68"/>
      <c r="AV210" s="68"/>
      <c r="AW210" s="68"/>
      <c r="AX210" s="68"/>
      <c r="AY210" s="68"/>
      <c r="AZ210" s="68"/>
      <c r="BB210" s="68"/>
      <c r="BC210" s="68"/>
      <c r="BJ210" s="68"/>
      <c r="BT210">
        <v>1</v>
      </c>
      <c r="BV210">
        <v>1</v>
      </c>
      <c r="BX210" s="68"/>
      <c r="BY210" s="68">
        <v>1</v>
      </c>
      <c r="BZ210" s="68">
        <v>2.2999999999999998</v>
      </c>
      <c r="CA210" s="68">
        <v>2.2999999999999998</v>
      </c>
      <c r="CB210" s="68">
        <v>2.2999999999999998</v>
      </c>
      <c r="CC210" s="68">
        <f t="shared" si="92"/>
        <v>2.2999999999999998</v>
      </c>
      <c r="CD210" s="68">
        <f t="shared" si="93"/>
        <v>2.2999999999999998</v>
      </c>
    </row>
    <row r="211" spans="1:82" ht="15.75" customHeight="1" thickBot="1" x14ac:dyDescent="0.3">
      <c r="A211" s="6">
        <v>210</v>
      </c>
      <c r="B211" s="7" t="s">
        <v>139</v>
      </c>
      <c r="C211" s="7" t="s">
        <v>68</v>
      </c>
      <c r="D211" s="7" t="s">
        <v>17</v>
      </c>
      <c r="E211" s="50">
        <v>-43.653877238504997</v>
      </c>
      <c r="F211" s="50">
        <v>169.12403903084399</v>
      </c>
      <c r="G211" s="50">
        <v>214.19098139581499</v>
      </c>
      <c r="H211" s="50">
        <v>145.421665594855</v>
      </c>
      <c r="I211" s="8">
        <v>1.3</v>
      </c>
      <c r="J211" s="50">
        <v>5.5897719579912799</v>
      </c>
      <c r="K211" s="248">
        <f>IFERROR(VLOOKUP(C211,Schedule!$T$3:$U$34,2,0),"FA")</f>
        <v>8</v>
      </c>
      <c r="L211" s="7" t="str">
        <f>D211&amp;COUNTIF(D$2:$D211,D211)</f>
        <v>WR51</v>
      </c>
      <c r="M211" s="50">
        <f t="array" ref="M211">IFERROR(F211-AVERAGE(VLOOKUP(D211,$D212:$F$885,3,0),INDEX($F212:$F$885,SMALL(IF(D211=$D212:$D$885,ROW($D212:$D$885)-ROW(D211)),2))),0)</f>
        <v>5.5766106356074658</v>
      </c>
      <c r="N211" s="50">
        <f>IFERROR(IF(VLOOKUP($B211,Input!$AC$2:$AC$162,1,0)=$B211,0),F211)</f>
        <v>169.12403903084399</v>
      </c>
      <c r="O211" s="50">
        <f>IFERROR(IF(VLOOKUP($B211,Input!$AC$2:$AC$162,1,0)=$B211,0,G211),G211)</f>
        <v>214.19098139581499</v>
      </c>
      <c r="P211" s="50">
        <f>IF(N211=0,0,F211-AVERAGE(INDEX(F:F,MATCH(VLOOKUP(D211,Input!$A$14:$L$22,10,0),L:L,0)),INDEX(F:F,MATCH(VLOOKUP(D211,Input!$A$14:$L$22,11,0),L:L,0)),INDEX(F:F,MATCH(VLOOKUP(D211,Input!$A$14:$L$22,12,0),L:L,0)))+(0.01-ROW()*0.01))</f>
        <v>-45.753877238505034</v>
      </c>
      <c r="Q211" s="106">
        <f t="shared" si="84"/>
        <v>-1.5784764667425913E-2</v>
      </c>
      <c r="R211" s="8">
        <f>IF(VLOOKUP($D211,$X$14:$Y$19,2,0)&lt;=0,1,IF(Q211&lt;0,1,ROUNDUP(IF(Q211*('Draft Center'!$L$28+'Draft Center'!$L$78-'Draft Center'!$L$82)&lt;1,1,Q211*('Draft Center'!$L$28+'Draft Center'!$L$78-'Draft Center'!$L$82)),0)))</f>
        <v>1</v>
      </c>
      <c r="S211" s="8">
        <f>IF(A211&lt;Input!$B$10+0.1,IF(ROUNDUP(R211*Input!$C$10,0)=0,1,ROUNDUP(R211*Input!$C$10,0)),IF(A211&gt;Input!$B$11,IF(ROUNDUP(R211*Input!$C$11,0)=0,1,ROUNDUP(R211*Input!$C$11,0)),IF(ROUNDUP(R211,0)=0,1,ROUNDUP(R211,0))))</f>
        <v>1</v>
      </c>
      <c r="T211" s="8">
        <f t="shared" si="85"/>
        <v>1</v>
      </c>
      <c r="U211" s="8">
        <f>IFERROR(VLOOKUP($B211,Input!$AC$2:$AE$161,3,0),0)</f>
        <v>0</v>
      </c>
      <c r="V211" s="256">
        <f t="shared" si="90"/>
        <v>-0.22865923076923078</v>
      </c>
      <c r="W211" s="263">
        <f t="shared" si="91"/>
        <v>-0.29789000000000004</v>
      </c>
      <c r="X211" s="68"/>
      <c r="Y211" s="68"/>
      <c r="Z211" s="68"/>
      <c r="AA211" s="68"/>
      <c r="AB211" s="68"/>
      <c r="AC211" s="68"/>
      <c r="AD211" s="68"/>
      <c r="AE211" s="68"/>
      <c r="AF211" s="68"/>
      <c r="AG211" s="68"/>
      <c r="AH211" s="68"/>
      <c r="AI211" s="68"/>
      <c r="AJ211" s="68">
        <v>1</v>
      </c>
      <c r="AL211" s="68">
        <v>1</v>
      </c>
      <c r="AM211" s="68"/>
      <c r="AN211" s="68"/>
      <c r="AO211" s="68"/>
      <c r="AQ211" s="68"/>
      <c r="AR211" s="68"/>
      <c r="AS211" s="68"/>
      <c r="AT211" s="68"/>
      <c r="AU211" s="68"/>
      <c r="AV211" s="68"/>
      <c r="AW211" s="68"/>
      <c r="AX211" s="68"/>
      <c r="AY211" s="68"/>
      <c r="AZ211" s="68"/>
      <c r="BB211" s="68"/>
      <c r="BC211" s="68"/>
      <c r="BJ211" s="68"/>
      <c r="BT211">
        <v>1</v>
      </c>
      <c r="BV211">
        <v>1</v>
      </c>
      <c r="BX211" s="68"/>
      <c r="BY211" s="68">
        <v>1</v>
      </c>
      <c r="BZ211" s="68">
        <v>1.3</v>
      </c>
      <c r="CA211" s="68">
        <v>1.3</v>
      </c>
      <c r="CB211" s="68">
        <v>1.3</v>
      </c>
      <c r="CC211" s="68">
        <f t="shared" si="92"/>
        <v>1.3</v>
      </c>
      <c r="CD211" s="68">
        <f t="shared" si="93"/>
        <v>1.3</v>
      </c>
    </row>
    <row r="212" spans="1:82" ht="15.75" customHeight="1" thickBot="1" x14ac:dyDescent="0.3">
      <c r="A212" s="9">
        <v>211</v>
      </c>
      <c r="B212" s="10" t="s">
        <v>769</v>
      </c>
      <c r="C212" s="10" t="s">
        <v>117</v>
      </c>
      <c r="D212" s="10" t="s">
        <v>19</v>
      </c>
      <c r="E212" s="51">
        <v>-43.699470903424199</v>
      </c>
      <c r="F212" s="51">
        <v>125.402927122528</v>
      </c>
      <c r="G212" s="51">
        <v>136.71444428097999</v>
      </c>
      <c r="H212" s="51">
        <v>102.274998634261</v>
      </c>
      <c r="I212" s="11">
        <v>1.8</v>
      </c>
      <c r="J212" s="51">
        <v>4.0003120072435703</v>
      </c>
      <c r="K212" s="249">
        <f>IFERROR(VLOOKUP(C212,Schedule!$T$3:$U$34,2,0),"FA")</f>
        <v>8</v>
      </c>
      <c r="L212" s="10" t="str">
        <f>D212&amp;COUNTIF(D$2:$D212,D212)</f>
        <v>RB49</v>
      </c>
      <c r="M212" s="51">
        <f t="array" ref="M212">IFERROR(F212-AVERAGE(VLOOKUP(D212,$D213:$F$885,3,0),INDEX($F213:$F$885,SMALL(IF(D212=$D213:$D$885,ROW($D213:$D$885)-ROW(D212)),2))),0)</f>
        <v>9.0860562492830041</v>
      </c>
      <c r="N212" s="51">
        <f>IFERROR(IF(VLOOKUP($B212,Input!$AC$2:$AC$162,1,0)=$B212,0),F212)</f>
        <v>125.402927122528</v>
      </c>
      <c r="O212" s="51">
        <f>IFERROR(IF(VLOOKUP($B212,Input!$AC$2:$AC$162,1,0)=$B212,0,G212),G212)</f>
        <v>136.71444428097999</v>
      </c>
      <c r="P212" s="51">
        <f>IF(N212=0,0,F212-AVERAGE(INDEX(F:F,MATCH(VLOOKUP(D212,Input!$A$14:$L$22,10,0),L:L,0)),INDEX(F:F,MATCH(VLOOKUP(D212,Input!$A$14:$L$22,11,0),L:L,0)),INDEX(F:F,MATCH(VLOOKUP(D212,Input!$A$14:$L$22,12,0),L:L,0)))+(0.01-ROW()*0.01))</f>
        <v>-45.809470903424</v>
      </c>
      <c r="Q212" s="107">
        <f t="shared" si="84"/>
        <v>-1.5803944089383341E-2</v>
      </c>
      <c r="R212" s="11">
        <f>IF(VLOOKUP($D212,$X$14:$Y$19,2,0)&lt;=0,1,IF(Q212&lt;0,1,ROUNDUP(IF(Q212*('Draft Center'!$L$28+'Draft Center'!$L$78-'Draft Center'!$L$82)&lt;1,1,Q212*('Draft Center'!$L$28+'Draft Center'!$L$78-'Draft Center'!$L$82)),0)))</f>
        <v>1</v>
      </c>
      <c r="S212" s="11">
        <f>IF(A212&lt;Input!$B$10+0.1,IF(ROUNDUP(R212*Input!$C$10,0)=0,1,ROUNDUP(R212*Input!$C$10,0)),IF(A212&gt;Input!$B$11,IF(ROUNDUP(R212*Input!$C$11,0)=0,1,ROUNDUP(R212*Input!$C$11,0)),IF(ROUNDUP(R212,0)=0,1,ROUNDUP(R212,0))))</f>
        <v>1</v>
      </c>
      <c r="T212" s="11">
        <f t="shared" si="85"/>
        <v>1</v>
      </c>
      <c r="U212" s="11">
        <f>IFERROR(VLOOKUP($B212,Input!$AC$2:$AE$161,3,0),0)</f>
        <v>0</v>
      </c>
      <c r="V212" s="257">
        <f t="shared" si="90"/>
        <v>-0.44232444444444446</v>
      </c>
      <c r="W212" s="264">
        <f t="shared" si="91"/>
        <v>-0.79788000000000003</v>
      </c>
      <c r="X212" s="68"/>
      <c r="Y212" s="68"/>
      <c r="Z212" s="68"/>
      <c r="AA212" s="68"/>
      <c r="AB212" s="68"/>
      <c r="AC212" s="68"/>
      <c r="AD212" s="68"/>
      <c r="AE212" s="68"/>
      <c r="AF212" s="68"/>
      <c r="AG212" s="68"/>
      <c r="AH212" s="68"/>
      <c r="AI212" s="68"/>
      <c r="AJ212" s="68">
        <v>1</v>
      </c>
      <c r="AL212" s="68">
        <v>1</v>
      </c>
      <c r="AM212" s="68"/>
      <c r="AN212" s="68"/>
      <c r="AO212" s="68"/>
      <c r="AQ212" s="68"/>
      <c r="AR212" s="68"/>
      <c r="AS212" s="68"/>
      <c r="AT212" s="68"/>
      <c r="AU212" s="68"/>
      <c r="AV212" s="68"/>
      <c r="AW212" s="68"/>
      <c r="AX212" s="68"/>
      <c r="AY212" s="68"/>
      <c r="AZ212" s="68"/>
      <c r="BB212" s="68"/>
      <c r="BC212" s="68"/>
      <c r="BJ212" s="68"/>
      <c r="BT212">
        <v>1</v>
      </c>
      <c r="BV212">
        <v>1</v>
      </c>
      <c r="BX212" s="68"/>
      <c r="BY212" s="68">
        <v>1</v>
      </c>
      <c r="BZ212" s="68">
        <v>1.8</v>
      </c>
      <c r="CA212" s="68">
        <v>1.8</v>
      </c>
      <c r="CB212" s="68">
        <v>1.8</v>
      </c>
      <c r="CC212" s="68">
        <f t="shared" si="92"/>
        <v>1.8</v>
      </c>
      <c r="CD212" s="68">
        <f t="shared" si="93"/>
        <v>1.8</v>
      </c>
    </row>
    <row r="213" spans="1:82" ht="15.75" customHeight="1" thickBot="1" x14ac:dyDescent="0.3">
      <c r="A213" s="6">
        <v>212</v>
      </c>
      <c r="B213" s="7" t="s">
        <v>765</v>
      </c>
      <c r="C213" s="7" t="s">
        <v>57</v>
      </c>
      <c r="D213" s="7" t="s">
        <v>147</v>
      </c>
      <c r="E213" s="50">
        <v>-45.576873756034701</v>
      </c>
      <c r="F213" s="50">
        <v>85.792114674938603</v>
      </c>
      <c r="G213" s="50">
        <v>111.09773909185201</v>
      </c>
      <c r="H213" s="50">
        <v>40.298164175901498</v>
      </c>
      <c r="I213" s="8">
        <v>0</v>
      </c>
      <c r="J213" s="50">
        <v>7.2829617983623196</v>
      </c>
      <c r="K213" s="248">
        <f>IFERROR(VLOOKUP(C213,Schedule!$T$3:$U$34,2,0),"FA")</f>
        <v>11</v>
      </c>
      <c r="L213" s="7" t="str">
        <f>D213&amp;COUNTIF(D$2:$D213,D213)</f>
        <v>K32</v>
      </c>
      <c r="M213" s="50">
        <f t="array" ref="M213">IFERROR(F213-AVERAGE(VLOOKUP(D213,$D214:$F$885,3,0),INDEX($F214:$F$885,SMALL(IF(D213=$D214:$D$885,ROW($D214:$D$885)-ROW(D213)),2))),0)</f>
        <v>8.8315338260608485</v>
      </c>
      <c r="N213" s="50">
        <f>IFERROR(IF(VLOOKUP($B213,Input!$AC$2:$AC$162,1,0)=$B213,0),F213)</f>
        <v>85.792114674938603</v>
      </c>
      <c r="O213" s="50">
        <f>IFERROR(IF(VLOOKUP($B213,Input!$AC$2:$AC$162,1,0)=$B213,0,G213),G213)</f>
        <v>111.09773909185201</v>
      </c>
      <c r="P213" s="50">
        <f>IF(N213=0,0,F213-AVERAGE(INDEX(F:F,MATCH(VLOOKUP(D213,Input!$A$14:$L$22,10,0),L:L,0)),INDEX(F:F,MATCH(VLOOKUP(D213,Input!$A$14:$L$22,11,0),L:L,0)),INDEX(F:F,MATCH(VLOOKUP(D213,Input!$A$14:$L$22,12,0),L:L,0)))+(0.01-ROW()*0.01))</f>
        <v>-47.870866907189388</v>
      </c>
      <c r="Q213" s="106">
        <f t="shared" si="84"/>
        <v>-1.6515111159142084E-2</v>
      </c>
      <c r="R213" s="8">
        <f>IF(VLOOKUP($D213,$X$14:$Y$19,2,0)&lt;=0,1,IF(Q213&lt;0,1,ROUNDUP(IF(Q213*('Draft Center'!$L$28+'Draft Center'!$L$78-'Draft Center'!$L$82)&lt;1,1,Q213*('Draft Center'!$L$28+'Draft Center'!$L$78-'Draft Center'!$L$82)),0)))</f>
        <v>1</v>
      </c>
      <c r="S213" s="8">
        <f>IF(A213&lt;Input!$B$10+0.1,IF(ROUNDUP(R213*Input!$C$10,0)=0,1,ROUNDUP(R213*Input!$C$10,0)),IF(A213&gt;Input!$B$11,IF(ROUNDUP(R213*Input!$C$11,0)=0,1,ROUNDUP(R213*Input!$C$11,0)),IF(ROUNDUP(R213,0)=0,1,ROUNDUP(R213,0))))</f>
        <v>1</v>
      </c>
      <c r="T213" s="8">
        <f t="shared" si="85"/>
        <v>1</v>
      </c>
      <c r="U213" s="8">
        <f>IFERROR(VLOOKUP($B213,Input!$AC$2:$AE$161,3,0),0)</f>
        <v>0</v>
      </c>
      <c r="V213" s="256">
        <f t="shared" si="90"/>
        <v>0</v>
      </c>
      <c r="W213" s="263">
        <f t="shared" si="91"/>
        <v>1.00213</v>
      </c>
      <c r="X213" s="68"/>
      <c r="Y213" s="68"/>
      <c r="Z213" s="68"/>
      <c r="AA213" s="68"/>
      <c r="AB213" s="68"/>
      <c r="AC213" s="68"/>
      <c r="AD213" s="68"/>
      <c r="AE213" s="68"/>
      <c r="AF213" s="68"/>
      <c r="AG213" s="68"/>
      <c r="AH213" s="68"/>
      <c r="AI213" s="68"/>
      <c r="AJ213" s="68">
        <v>1</v>
      </c>
      <c r="AL213" s="68">
        <v>1</v>
      </c>
      <c r="AM213" s="68"/>
      <c r="AN213" s="68"/>
      <c r="AO213" s="68"/>
      <c r="AQ213" s="68"/>
      <c r="AR213" s="68"/>
      <c r="AS213" s="68"/>
      <c r="AT213" s="68"/>
      <c r="AU213" s="68"/>
      <c r="AV213" s="68"/>
      <c r="AW213" s="68"/>
      <c r="AX213" s="68"/>
      <c r="AY213" s="68"/>
      <c r="AZ213" s="68"/>
      <c r="BB213" s="68"/>
      <c r="BC213" s="68"/>
      <c r="BJ213" s="68"/>
      <c r="BT213">
        <v>1</v>
      </c>
      <c r="BV213">
        <v>1</v>
      </c>
      <c r="BX213" s="68"/>
      <c r="BY213" s="68">
        <v>1</v>
      </c>
      <c r="BZ213" s="68">
        <v>0</v>
      </c>
      <c r="CA213" s="68">
        <v>0</v>
      </c>
      <c r="CB213" s="68">
        <v>0</v>
      </c>
      <c r="CC213" s="68">
        <f t="shared" si="92"/>
        <v>0</v>
      </c>
      <c r="CD213" s="68">
        <f t="shared" si="93"/>
        <v>0</v>
      </c>
    </row>
    <row r="214" spans="1:82" ht="15.75" customHeight="1" thickBot="1" x14ac:dyDescent="0.3">
      <c r="A214" s="9">
        <v>213</v>
      </c>
      <c r="B214" s="10" t="s">
        <v>150</v>
      </c>
      <c r="C214" s="10" t="s">
        <v>48</v>
      </c>
      <c r="D214" s="10" t="s">
        <v>53</v>
      </c>
      <c r="E214" s="51">
        <v>-47.530953930605698</v>
      </c>
      <c r="F214" s="51">
        <v>224.81668970223001</v>
      </c>
      <c r="G214" s="51">
        <v>243.51510751505501</v>
      </c>
      <c r="H214" s="51">
        <v>172.856137174211</v>
      </c>
      <c r="I214" s="11">
        <v>0</v>
      </c>
      <c r="J214" s="51">
        <v>5.7049684092344704</v>
      </c>
      <c r="K214" s="249">
        <f>IFERROR(VLOOKUP(C214,Schedule!$T$3:$U$34,2,0),"FA")</f>
        <v>10</v>
      </c>
      <c r="L214" s="10" t="str">
        <f>D214&amp;COUNTIF(D$2:$D214,D214)</f>
        <v>QB24</v>
      </c>
      <c r="M214" s="51">
        <f t="array" ref="M214">IFERROR(F214-AVERAGE(VLOOKUP(D214,$D215:$F$885,3,0),INDEX($F215:$F$885,SMALL(IF(D214=$D215:$D$885,ROW($D215:$D$885)-ROW(D214)),2))),0)</f>
        <v>28.297672769323015</v>
      </c>
      <c r="N214" s="51">
        <f>IFERROR(IF(VLOOKUP($B214,Input!$AC$2:$AC$162,1,0)=$B214,0),F214)</f>
        <v>224.81668970223001</v>
      </c>
      <c r="O214" s="51">
        <f>IFERROR(IF(VLOOKUP($B214,Input!$AC$2:$AC$162,1,0)=$B214,0,G214),G214)</f>
        <v>243.51510751505501</v>
      </c>
      <c r="P214" s="51">
        <f>IF(N214=0,0,F214-AVERAGE(INDEX(F:F,MATCH(VLOOKUP(D214,Input!$A$14:$L$22,10,0),L:L,0)),INDEX(F:F,MATCH(VLOOKUP(D214,Input!$A$14:$L$22,11,0),L:L,0)),INDEX(F:F,MATCH(VLOOKUP(D214,Input!$A$14:$L$22,12,0),L:L,0)))+(0.01-ROW()*0.01))</f>
        <v>-49.660953930605622</v>
      </c>
      <c r="Q214" s="107">
        <f t="shared" si="84"/>
        <v>-1.7132678545869667E-2</v>
      </c>
      <c r="R214" s="11">
        <f>IF(VLOOKUP($D214,$X$14:$Y$19,2,0)&lt;=0,1,IF(Q214&lt;0,1,ROUNDUP(IF(Q214*('Draft Center'!$L$28+'Draft Center'!$L$78-'Draft Center'!$L$82)&lt;1,1,Q214*('Draft Center'!$L$28+'Draft Center'!$L$78-'Draft Center'!$L$82)),0)))</f>
        <v>1</v>
      </c>
      <c r="S214" s="11">
        <f>IF(A214&lt;Input!$B$10+0.1,IF(ROUNDUP(R214*Input!$C$10,0)=0,1,ROUNDUP(R214*Input!$C$10,0)),IF(A214&gt;Input!$B$11,IF(ROUNDUP(R214*Input!$C$11,0)=0,1,ROUNDUP(R214*Input!$C$11,0)),IF(ROUNDUP(R214,0)=0,1,ROUNDUP(R214,0))))</f>
        <v>1</v>
      </c>
      <c r="T214" s="11">
        <f t="shared" si="85"/>
        <v>1</v>
      </c>
      <c r="U214" s="11">
        <f>IFERROR(VLOOKUP($B214,Input!$AC$2:$AE$161,3,0),0)</f>
        <v>0</v>
      </c>
      <c r="V214" s="257">
        <f t="shared" si="90"/>
        <v>0</v>
      </c>
      <c r="W214" s="264">
        <f t="shared" si="91"/>
        <v>1.00214</v>
      </c>
      <c r="X214" s="68"/>
      <c r="Y214" s="68"/>
      <c r="Z214" s="68"/>
      <c r="AA214" s="68"/>
      <c r="AB214" s="68"/>
      <c r="AC214" s="68"/>
      <c r="AD214" s="68"/>
      <c r="AE214" s="68"/>
      <c r="AF214" s="68"/>
      <c r="AG214" s="68"/>
      <c r="AH214" s="68"/>
      <c r="AI214" s="68"/>
      <c r="AJ214" s="68">
        <v>1</v>
      </c>
      <c r="AL214" s="68">
        <v>1</v>
      </c>
      <c r="AM214" s="68"/>
      <c r="AN214" s="68"/>
      <c r="AO214" s="68"/>
      <c r="AQ214" s="68"/>
      <c r="AR214" s="68"/>
      <c r="AS214" s="68"/>
      <c r="AT214" s="68"/>
      <c r="AU214" s="68"/>
      <c r="AV214" s="68"/>
      <c r="AW214" s="68"/>
      <c r="AX214" s="68"/>
      <c r="AY214" s="68"/>
      <c r="AZ214" s="68"/>
      <c r="BB214" s="68"/>
      <c r="BC214" s="68"/>
      <c r="BJ214" s="68"/>
      <c r="BT214">
        <v>1</v>
      </c>
      <c r="BV214">
        <v>1</v>
      </c>
      <c r="BX214" s="68"/>
      <c r="BY214" s="68">
        <v>1</v>
      </c>
      <c r="BZ214" s="68">
        <v>0</v>
      </c>
      <c r="CA214" s="68">
        <v>0</v>
      </c>
      <c r="CB214" s="68">
        <v>0</v>
      </c>
      <c r="CC214" s="68">
        <f t="shared" si="92"/>
        <v>0</v>
      </c>
      <c r="CD214" s="68">
        <f t="shared" si="93"/>
        <v>0</v>
      </c>
    </row>
    <row r="215" spans="1:82" ht="15.75" customHeight="1" thickBot="1" x14ac:dyDescent="0.3">
      <c r="A215" s="6">
        <v>214</v>
      </c>
      <c r="B215" s="7" t="s">
        <v>381</v>
      </c>
      <c r="C215" s="7" t="s">
        <v>16</v>
      </c>
      <c r="D215" s="7" t="s">
        <v>43</v>
      </c>
      <c r="E215" s="50">
        <v>-47.793342921717397</v>
      </c>
      <c r="F215" s="50">
        <v>105.66757643049201</v>
      </c>
      <c r="G215" s="50">
        <v>124.427950256457</v>
      </c>
      <c r="H215" s="50">
        <v>83.085395426616898</v>
      </c>
      <c r="I215" s="8">
        <v>0</v>
      </c>
      <c r="J215" s="50">
        <v>4.62008525154579</v>
      </c>
      <c r="K215" s="248">
        <f>IFERROR(VLOOKUP(C215,Schedule!$T$3:$U$34,2,0),"FA")</f>
        <v>9</v>
      </c>
      <c r="L215" s="7" t="str">
        <f>D215&amp;COUNTIF(D$2:$D215,D215)</f>
        <v>TE26</v>
      </c>
      <c r="M215" s="50">
        <f t="array" ref="M215">IFERROR(F215-AVERAGE(VLOOKUP(D215,$D216:$F$885,3,0),INDEX($F216:$F$885,SMALL(IF(D215=$D216:$D$885,ROW($D216:$D$885)-ROW(D215)),2))),0)</f>
        <v>6.6294314623978607</v>
      </c>
      <c r="N215" s="50">
        <f>IFERROR(IF(VLOOKUP($B215,Input!$AC$2:$AC$162,1,0)=$B215,0),F215)</f>
        <v>105.66757643049201</v>
      </c>
      <c r="O215" s="50">
        <f>IFERROR(IF(VLOOKUP($B215,Input!$AC$2:$AC$162,1,0)=$B215,0,G215),G215)</f>
        <v>124.427950256457</v>
      </c>
      <c r="P215" s="50">
        <f>IF(N215=0,0,F215-AVERAGE(INDEX(F:F,MATCH(VLOOKUP(D215,Input!$A$14:$L$22,10,0),L:L,0)),INDEX(F:F,MATCH(VLOOKUP(D215,Input!$A$14:$L$22,11,0),L:L,0)),INDEX(F:F,MATCH(VLOOKUP(D215,Input!$A$14:$L$22,12,0),L:L,0)))+(0.01-ROW()*0.01))</f>
        <v>-49.933342921717312</v>
      </c>
      <c r="Q215" s="106">
        <f t="shared" si="84"/>
        <v>-1.7226650824990027E-2</v>
      </c>
      <c r="R215" s="8">
        <f>IF(VLOOKUP($D215,$X$14:$Y$19,2,0)&lt;=0,1,IF(Q215&lt;0,1,ROUNDUP(IF(Q215*('Draft Center'!$L$28+'Draft Center'!$L$78-'Draft Center'!$L$82)&lt;1,1,Q215*('Draft Center'!$L$28+'Draft Center'!$L$78-'Draft Center'!$L$82)),0)))</f>
        <v>1</v>
      </c>
      <c r="S215" s="8">
        <f>IF(A215&lt;Input!$B$10+0.1,IF(ROUNDUP(R215*Input!$C$10,0)=0,1,ROUNDUP(R215*Input!$C$10,0)),IF(A215&gt;Input!$B$11,IF(ROUNDUP(R215*Input!$C$11,0)=0,1,ROUNDUP(R215*Input!$C$11,0)),IF(ROUNDUP(R215,0)=0,1,ROUNDUP(R215,0))))</f>
        <v>1</v>
      </c>
      <c r="T215" s="8">
        <f t="shared" si="85"/>
        <v>1</v>
      </c>
      <c r="U215" s="8">
        <f>IFERROR(VLOOKUP($B215,Input!$AC$2:$AE$161,3,0),0)</f>
        <v>0</v>
      </c>
      <c r="V215" s="256">
        <f t="shared" si="90"/>
        <v>0</v>
      </c>
      <c r="W215" s="263">
        <f t="shared" si="91"/>
        <v>1.0021500000000001</v>
      </c>
      <c r="X215" s="68"/>
      <c r="Y215" s="68"/>
      <c r="Z215" s="68"/>
      <c r="AA215" s="68"/>
      <c r="AB215" s="68"/>
      <c r="AC215" s="68"/>
      <c r="AD215" s="68"/>
      <c r="AE215" s="68"/>
      <c r="AF215" s="68"/>
      <c r="AG215" s="68"/>
      <c r="AH215" s="68"/>
      <c r="AI215" s="68"/>
      <c r="AJ215" s="68">
        <v>1</v>
      </c>
      <c r="AL215" s="68">
        <v>1</v>
      </c>
      <c r="AM215" s="68"/>
      <c r="AN215" s="68"/>
      <c r="AO215" s="68"/>
      <c r="AQ215" s="68"/>
      <c r="AR215" s="68"/>
      <c r="AS215" s="68"/>
      <c r="AT215" s="68"/>
      <c r="AU215" s="68"/>
      <c r="AV215" s="68"/>
      <c r="AW215" s="68"/>
      <c r="AX215" s="68"/>
      <c r="AY215" s="68"/>
      <c r="AZ215" s="68"/>
      <c r="BB215" s="68"/>
      <c r="BC215" s="68"/>
      <c r="BJ215" s="68"/>
      <c r="BT215">
        <v>1</v>
      </c>
      <c r="BV215">
        <v>1</v>
      </c>
      <c r="BX215" s="68"/>
      <c r="BY215" s="68">
        <v>1</v>
      </c>
      <c r="BZ215" s="68">
        <v>0</v>
      </c>
      <c r="CA215" s="68">
        <v>0</v>
      </c>
      <c r="CB215" s="68">
        <v>0</v>
      </c>
      <c r="CC215" s="68">
        <f t="shared" si="92"/>
        <v>0</v>
      </c>
      <c r="CD215" s="68">
        <f t="shared" si="93"/>
        <v>0</v>
      </c>
    </row>
    <row r="216" spans="1:82" ht="15.75" customHeight="1" thickBot="1" x14ac:dyDescent="0.3">
      <c r="A216" s="9">
        <v>215</v>
      </c>
      <c r="B216" s="10" t="s">
        <v>257</v>
      </c>
      <c r="C216" s="10" t="s">
        <v>925</v>
      </c>
      <c r="D216" s="10" t="s">
        <v>17</v>
      </c>
      <c r="E216" s="51">
        <v>-47.973088097092202</v>
      </c>
      <c r="F216" s="51">
        <v>164.804828172257</v>
      </c>
      <c r="G216" s="51">
        <v>185.14962019204401</v>
      </c>
      <c r="H216" s="51">
        <v>139.97338916173501</v>
      </c>
      <c r="I216" s="11">
        <v>0</v>
      </c>
      <c r="J216" s="51">
        <v>5.1828356745740596</v>
      </c>
      <c r="K216" s="249">
        <f>IFERROR(VLOOKUP(C216,Schedule!$T$3:$U$34,2,0),"FA")</f>
        <v>8</v>
      </c>
      <c r="L216" s="10" t="str">
        <f>D216&amp;COUNTIF(D$2:$D216,D216)</f>
        <v>WR52</v>
      </c>
      <c r="M216" s="51">
        <f t="array" ref="M216">IFERROR(F216-AVERAGE(VLOOKUP(D216,$D217:$F$885,3,0),INDEX($F217:$F$885,SMALL(IF(D216=$D217:$D$885,ROW($D217:$D$885)-ROW(D216)),2))),0)</f>
        <v>5.4279559421019883</v>
      </c>
      <c r="N216" s="51">
        <f>IFERROR(IF(VLOOKUP($B216,Input!$AC$2:$AC$162,1,0)=$B216,0),F216)</f>
        <v>164.804828172257</v>
      </c>
      <c r="O216" s="51">
        <f>IFERROR(IF(VLOOKUP($B216,Input!$AC$2:$AC$162,1,0)=$B216,0,G216),G216)</f>
        <v>185.14962019204401</v>
      </c>
      <c r="P216" s="51">
        <f>IF(N216=0,0,F216-AVERAGE(INDEX(F:F,MATCH(VLOOKUP(D216,Input!$A$14:$L$22,10,0),L:L,0)),INDEX(F:F,MATCH(VLOOKUP(D216,Input!$A$14:$L$22,11,0),L:L,0)),INDEX(F:F,MATCH(VLOOKUP(D216,Input!$A$14:$L$22,12,0),L:L,0)))+(0.01-ROW()*0.01))</f>
        <v>-50.123088097092015</v>
      </c>
      <c r="Q216" s="107">
        <f t="shared" si="84"/>
        <v>-1.7292111571069677E-2</v>
      </c>
      <c r="R216" s="11">
        <f>IF(VLOOKUP($D216,$X$14:$Y$19,2,0)&lt;=0,1,IF(Q216&lt;0,1,ROUNDUP(IF(Q216*('Draft Center'!$L$28+'Draft Center'!$L$78-'Draft Center'!$L$82)&lt;1,1,Q216*('Draft Center'!$L$28+'Draft Center'!$L$78-'Draft Center'!$L$82)),0)))</f>
        <v>1</v>
      </c>
      <c r="S216" s="11">
        <f>IF(A216&lt;Input!$B$10+0.1,IF(ROUNDUP(R216*Input!$C$10,0)=0,1,ROUNDUP(R216*Input!$C$10,0)),IF(A216&gt;Input!$B$11,IF(ROUNDUP(R216*Input!$C$11,0)=0,1,ROUNDUP(R216*Input!$C$11,0)),IF(ROUNDUP(R216,0)=0,1,ROUNDUP(R216,0))))</f>
        <v>1</v>
      </c>
      <c r="T216" s="11">
        <f t="shared" si="85"/>
        <v>1</v>
      </c>
      <c r="U216" s="11">
        <f>IFERROR(VLOOKUP($B216,Input!$AC$2:$AE$161,3,0),0)</f>
        <v>0</v>
      </c>
      <c r="V216" s="257">
        <f t="shared" si="90"/>
        <v>0</v>
      </c>
      <c r="W216" s="264">
        <f t="shared" si="91"/>
        <v>1.0021599999999999</v>
      </c>
      <c r="X216" s="68"/>
      <c r="Y216" s="68"/>
      <c r="Z216" s="68"/>
      <c r="AA216" s="68"/>
      <c r="AB216" s="68"/>
      <c r="AC216" s="68"/>
      <c r="AD216" s="68"/>
      <c r="AE216" s="68"/>
      <c r="AF216" s="68"/>
      <c r="AG216" s="68"/>
      <c r="AH216" s="68"/>
      <c r="AI216" s="68"/>
      <c r="AJ216" s="68">
        <v>1</v>
      </c>
      <c r="AL216" s="68">
        <v>1</v>
      </c>
      <c r="AM216" s="68"/>
      <c r="AN216" s="68"/>
      <c r="AO216" s="68"/>
      <c r="AQ216" s="68"/>
      <c r="AR216" s="68"/>
      <c r="AS216" s="68"/>
      <c r="AT216" s="68"/>
      <c r="AU216" s="68"/>
      <c r="AV216" s="68"/>
      <c r="AW216" s="68"/>
      <c r="AX216" s="68"/>
      <c r="AY216" s="68"/>
      <c r="AZ216" s="68"/>
      <c r="BB216" s="68"/>
      <c r="BC216" s="68"/>
      <c r="BJ216" s="68"/>
      <c r="BT216">
        <v>1</v>
      </c>
      <c r="BV216">
        <v>1</v>
      </c>
      <c r="BX216" s="68"/>
      <c r="BY216" s="68">
        <v>1</v>
      </c>
      <c r="BZ216" s="68">
        <v>0</v>
      </c>
      <c r="CA216" s="68">
        <v>0</v>
      </c>
      <c r="CB216" s="68">
        <v>0</v>
      </c>
      <c r="CC216" s="68">
        <f t="shared" si="92"/>
        <v>0</v>
      </c>
      <c r="CD216" s="68">
        <f t="shared" si="93"/>
        <v>0</v>
      </c>
    </row>
    <row r="217" spans="1:82" ht="15.75" customHeight="1" thickBot="1" x14ac:dyDescent="0.3">
      <c r="A217" s="6">
        <v>216</v>
      </c>
      <c r="B217" s="7" t="s">
        <v>24</v>
      </c>
      <c r="C217" s="7" t="s">
        <v>21</v>
      </c>
      <c r="D217" s="7" t="s">
        <v>19</v>
      </c>
      <c r="E217" s="50">
        <v>-50.402110321976402</v>
      </c>
      <c r="F217" s="50">
        <v>118.70028770397499</v>
      </c>
      <c r="G217" s="50">
        <v>133.67283488079801</v>
      </c>
      <c r="H217" s="50">
        <v>86.435938772876099</v>
      </c>
      <c r="I217" s="8">
        <v>2.1</v>
      </c>
      <c r="J217" s="50">
        <v>5.3764199809830497</v>
      </c>
      <c r="K217" s="248">
        <f>IFERROR(VLOOKUP(C217,Schedule!$T$3:$U$34,2,0),"FA")</f>
        <v>5</v>
      </c>
      <c r="L217" s="7" t="str">
        <f>D217&amp;COUNTIF(D$2:$D217,D217)</f>
        <v>RB50</v>
      </c>
      <c r="M217" s="50">
        <f t="array" ref="M217">IFERROR(F217-AVERAGE(VLOOKUP(D217,$D218:$F$885,3,0),INDEX($F218:$F$885,SMALL(IF(D217=$D218:$D$885,ROW($D218:$D$885)-ROW(D217)),2))),0)</f>
        <v>6.3330966118524969</v>
      </c>
      <c r="N217" s="50">
        <f>IFERROR(IF(VLOOKUP($B217,Input!$AC$2:$AC$162,1,0)=$B217,0),F217)</f>
        <v>118.70028770397499</v>
      </c>
      <c r="O217" s="50">
        <f>IFERROR(IF(VLOOKUP($B217,Input!$AC$2:$AC$162,1,0)=$B217,0,G217),G217)</f>
        <v>133.67283488079801</v>
      </c>
      <c r="P217" s="50">
        <f>IF(N217=0,0,F217-AVERAGE(INDEX(F:F,MATCH(VLOOKUP(D217,Input!$A$14:$L$22,10,0),L:L,0)),INDEX(F:F,MATCH(VLOOKUP(D217,Input!$A$14:$L$22,11,0),L:L,0)),INDEX(F:F,MATCH(VLOOKUP(D217,Input!$A$14:$L$22,12,0),L:L,0)))+(0.01-ROW()*0.01))</f>
        <v>-52.562110321977002</v>
      </c>
      <c r="Q217" s="106">
        <f t="shared" si="84"/>
        <v>-1.8133557021424454E-2</v>
      </c>
      <c r="R217" s="8">
        <f>IF(VLOOKUP($D217,$X$14:$Y$19,2,0)&lt;=0,1,IF(Q217&lt;0,1,ROUNDUP(IF(Q217*('Draft Center'!$L$28+'Draft Center'!$L$78-'Draft Center'!$L$82)&lt;1,1,Q217*('Draft Center'!$L$28+'Draft Center'!$L$78-'Draft Center'!$L$82)),0)))</f>
        <v>1</v>
      </c>
      <c r="S217" s="8">
        <f>IF(A217&lt;Input!$B$10+0.1,IF(ROUNDUP(R217*Input!$C$10,0)=0,1,ROUNDUP(R217*Input!$C$10,0)),IF(A217&gt;Input!$B$11,IF(ROUNDUP(R217*Input!$C$11,0)=0,1,ROUNDUP(R217*Input!$C$11,0)),IF(ROUNDUP(R217,0)=0,1,ROUNDUP(R217,0))))</f>
        <v>1</v>
      </c>
      <c r="T217" s="8">
        <f t="shared" si="85"/>
        <v>1</v>
      </c>
      <c r="U217" s="8">
        <f>IFERROR(VLOOKUP($B217,Input!$AC$2:$AE$161,3,0),0)</f>
        <v>0</v>
      </c>
      <c r="V217" s="256">
        <f t="shared" si="90"/>
        <v>-0.52163952380952383</v>
      </c>
      <c r="W217" s="263">
        <f t="shared" si="91"/>
        <v>-1.0978300000000001</v>
      </c>
      <c r="X217" s="68"/>
      <c r="Y217" s="68"/>
      <c r="Z217" s="68"/>
      <c r="AA217" s="68"/>
      <c r="AB217" s="68"/>
      <c r="AC217" s="68"/>
      <c r="AD217" s="68"/>
      <c r="AE217" s="68"/>
      <c r="AF217" s="68"/>
      <c r="AG217" s="68"/>
      <c r="AH217" s="68"/>
      <c r="AI217" s="68"/>
      <c r="AJ217" s="68">
        <v>1</v>
      </c>
      <c r="AL217" s="68">
        <v>1</v>
      </c>
      <c r="AM217" s="68"/>
      <c r="AN217" s="68"/>
      <c r="AO217" s="68"/>
      <c r="AQ217" s="68"/>
      <c r="AR217" s="68"/>
      <c r="AS217" s="68"/>
      <c r="AT217" s="68"/>
      <c r="AU217" s="68"/>
      <c r="AV217" s="68"/>
      <c r="AW217" s="68"/>
      <c r="AX217" s="68"/>
      <c r="AY217" s="68"/>
      <c r="AZ217" s="68"/>
      <c r="BB217" s="68"/>
      <c r="BC217" s="68"/>
      <c r="BJ217" s="68"/>
      <c r="BT217">
        <v>1</v>
      </c>
      <c r="BV217">
        <v>1</v>
      </c>
      <c r="BX217" s="68"/>
      <c r="BY217" s="68">
        <v>1</v>
      </c>
      <c r="BZ217" s="68">
        <v>2.1</v>
      </c>
      <c r="CA217" s="68">
        <v>2.1</v>
      </c>
      <c r="CB217" s="68">
        <v>2.1</v>
      </c>
      <c r="CC217" s="68">
        <f t="shared" si="92"/>
        <v>2.1</v>
      </c>
      <c r="CD217" s="68">
        <f t="shared" si="93"/>
        <v>2.1</v>
      </c>
    </row>
    <row r="218" spans="1:82" ht="15.75" customHeight="1" thickBot="1" x14ac:dyDescent="0.3">
      <c r="A218" s="9">
        <v>217</v>
      </c>
      <c r="B218" s="10" t="s">
        <v>244</v>
      </c>
      <c r="C218" s="10" t="s">
        <v>35</v>
      </c>
      <c r="D218" s="10" t="s">
        <v>17</v>
      </c>
      <c r="E218" s="51">
        <v>-50.487887651133299</v>
      </c>
      <c r="F218" s="51">
        <v>162.29002861821601</v>
      </c>
      <c r="G218" s="51">
        <v>177.09232659372699</v>
      </c>
      <c r="H218" s="51">
        <v>123.924156378601</v>
      </c>
      <c r="I218" s="11">
        <v>0</v>
      </c>
      <c r="J218" s="51">
        <v>5.1223991007799903</v>
      </c>
      <c r="K218" s="249">
        <f>IFERROR(VLOOKUP(C218,Schedule!$T$3:$U$34,2,0),"FA")</f>
        <v>6</v>
      </c>
      <c r="L218" s="10" t="str">
        <f>D218&amp;COUNTIF(D$2:$D218,D218)</f>
        <v>WR53</v>
      </c>
      <c r="M218" s="51">
        <f t="array" ref="M218">IFERROR(F218-AVERAGE(VLOOKUP(D218,$D219:$F$885,3,0),INDEX($F219:$F$885,SMALL(IF(D218=$D219:$D$885,ROW($D219:$D$885)-ROW(D218)),2))),0)</f>
        <v>6.9572932514035131</v>
      </c>
      <c r="N218" s="51">
        <f>IFERROR(IF(VLOOKUP($B218,Input!$AC$2:$AC$162,1,0)=$B218,0),F218)</f>
        <v>162.29002861821601</v>
      </c>
      <c r="O218" s="51">
        <f>IFERROR(IF(VLOOKUP($B218,Input!$AC$2:$AC$162,1,0)=$B218,0,G218),G218)</f>
        <v>177.09232659372699</v>
      </c>
      <c r="P218" s="51">
        <f>IF(N218=0,0,F218-AVERAGE(INDEX(F:F,MATCH(VLOOKUP(D218,Input!$A$14:$L$22,10,0),L:L,0)),INDEX(F:F,MATCH(VLOOKUP(D218,Input!$A$14:$L$22,11,0),L:L,0)),INDEX(F:F,MATCH(VLOOKUP(D218,Input!$A$14:$L$22,12,0),L:L,0)))+(0.01-ROW()*0.01))</f>
        <v>-52.657887651133009</v>
      </c>
      <c r="Q218" s="107">
        <f t="shared" si="84"/>
        <v>-1.816659952388433E-2</v>
      </c>
      <c r="R218" s="11">
        <f>IF(VLOOKUP($D218,$X$14:$Y$19,2,0)&lt;=0,1,IF(Q218&lt;0,1,ROUNDUP(IF(Q218*('Draft Center'!$L$28+'Draft Center'!$L$78-'Draft Center'!$L$82)&lt;1,1,Q218*('Draft Center'!$L$28+'Draft Center'!$L$78-'Draft Center'!$L$82)),0)))</f>
        <v>1</v>
      </c>
      <c r="S218" s="11">
        <f>IF(A218&lt;Input!$B$10+0.1,IF(ROUNDUP(R218*Input!$C$10,0)=0,1,ROUNDUP(R218*Input!$C$10,0)),IF(A218&gt;Input!$B$11,IF(ROUNDUP(R218*Input!$C$11,0)=0,1,ROUNDUP(R218*Input!$C$11,0)),IF(ROUNDUP(R218,0)=0,1,ROUNDUP(R218,0))))</f>
        <v>1</v>
      </c>
      <c r="T218" s="11">
        <f t="shared" si="85"/>
        <v>1</v>
      </c>
      <c r="U218" s="11">
        <f>IFERROR(VLOOKUP($B218,Input!$AC$2:$AE$161,3,0),0)</f>
        <v>0</v>
      </c>
      <c r="V218" s="257">
        <f t="shared" si="90"/>
        <v>0</v>
      </c>
      <c r="W218" s="264">
        <f t="shared" si="91"/>
        <v>1.0021800000000001</v>
      </c>
      <c r="X218" s="68"/>
      <c r="Y218" s="68"/>
      <c r="Z218" s="68"/>
      <c r="AA218" s="68"/>
      <c r="AB218" s="68"/>
      <c r="AC218" s="68"/>
      <c r="AD218" s="68"/>
      <c r="AE218" s="68"/>
      <c r="AF218" s="68"/>
      <c r="AG218" s="68"/>
      <c r="AH218" s="68"/>
      <c r="AI218" s="68"/>
      <c r="AJ218" s="68">
        <v>1</v>
      </c>
      <c r="AL218" s="68">
        <v>1</v>
      </c>
      <c r="AM218" s="68"/>
      <c r="AN218" s="68"/>
      <c r="AO218" s="68"/>
      <c r="AQ218" s="68"/>
      <c r="AR218" s="68"/>
      <c r="AS218" s="68"/>
      <c r="AT218" s="68"/>
      <c r="AU218" s="68"/>
      <c r="AV218" s="68"/>
      <c r="AW218" s="68"/>
      <c r="AX218" s="68"/>
      <c r="AY218" s="68"/>
      <c r="AZ218" s="68"/>
      <c r="BB218" s="68"/>
      <c r="BC218" s="68"/>
      <c r="BJ218" s="68"/>
      <c r="BT218">
        <v>1</v>
      </c>
      <c r="BV218">
        <v>1</v>
      </c>
      <c r="BX218" s="68"/>
      <c r="BY218" s="68">
        <v>1</v>
      </c>
      <c r="BZ218" s="68">
        <v>0</v>
      </c>
      <c r="CA218" s="68">
        <v>0</v>
      </c>
      <c r="CB218" s="68">
        <v>0</v>
      </c>
      <c r="CC218" s="68">
        <f t="shared" si="92"/>
        <v>0</v>
      </c>
      <c r="CD218" s="68">
        <f t="shared" si="93"/>
        <v>0</v>
      </c>
    </row>
    <row r="219" spans="1:82" ht="15.75" customHeight="1" thickBot="1" x14ac:dyDescent="0.3">
      <c r="A219" s="6">
        <v>218</v>
      </c>
      <c r="B219" s="7" t="s">
        <v>949</v>
      </c>
      <c r="C219" s="7" t="s">
        <v>143</v>
      </c>
      <c r="D219" s="7" t="s">
        <v>147</v>
      </c>
      <c r="E219" s="50">
        <v>-54.095874296192001</v>
      </c>
      <c r="F219" s="50">
        <v>77.273114134781295</v>
      </c>
      <c r="G219" s="50">
        <v>102.107121860783</v>
      </c>
      <c r="H219" s="50">
        <v>0.43832888111919299</v>
      </c>
      <c r="I219" s="8">
        <v>0</v>
      </c>
      <c r="J219" s="50">
        <v>7.6490235688680501</v>
      </c>
      <c r="K219" s="248">
        <f>IFERROR(VLOOKUP(C219,Schedule!$T$3:$U$34,2,0),"FA")</f>
        <v>9</v>
      </c>
      <c r="L219" s="7" t="str">
        <f>D219&amp;COUNTIF(D$2:$D219,D219)</f>
        <v>K33</v>
      </c>
      <c r="M219" s="50">
        <f t="array" ref="M219">IFERROR(F219-AVERAGE(VLOOKUP(D219,$D220:$F$885,3,0),INDEX($F220:$F$885,SMALL(IF(D219=$D220:$D$885,ROW($D220:$D$885)-ROW(D219)),2))),0)</f>
        <v>10.515790355297341</v>
      </c>
      <c r="N219" s="50">
        <f>IFERROR(IF(VLOOKUP($B219,Input!$AC$2:$AC$162,1,0)=$B219,0),F219)</f>
        <v>77.273114134781295</v>
      </c>
      <c r="O219" s="50">
        <f>IFERROR(IF(VLOOKUP($B219,Input!$AC$2:$AC$162,1,0)=$B219,0,G219),G219)</f>
        <v>102.107121860783</v>
      </c>
      <c r="P219" s="50">
        <f>IF(N219=0,0,F219-AVERAGE(INDEX(F:F,MATCH(VLOOKUP(D219,Input!$A$14:$L$22,10,0),L:L,0)),INDEX(F:F,MATCH(VLOOKUP(D219,Input!$A$14:$L$22,11,0),L:L,0)),INDEX(F:F,MATCH(VLOOKUP(D219,Input!$A$14:$L$22,12,0),L:L,0)))+(0.01-ROW()*0.01))</f>
        <v>-56.449867447346698</v>
      </c>
      <c r="Q219" s="106">
        <f t="shared" si="84"/>
        <v>-1.9474805785724237E-2</v>
      </c>
      <c r="R219" s="8">
        <f>IF(VLOOKUP($D219,$X$14:$Y$19,2,0)&lt;=0,1,IF(Q219&lt;0,1,ROUNDUP(IF(Q219*('Draft Center'!$L$28+'Draft Center'!$L$78-'Draft Center'!$L$82)&lt;1,1,Q219*('Draft Center'!$L$28+'Draft Center'!$L$78-'Draft Center'!$L$82)),0)))</f>
        <v>1</v>
      </c>
      <c r="S219" s="8">
        <f>IF(A219&lt;Input!$B$10+0.1,IF(ROUNDUP(R219*Input!$C$10,0)=0,1,ROUNDUP(R219*Input!$C$10,0)),IF(A219&gt;Input!$B$11,IF(ROUNDUP(R219*Input!$C$11,0)=0,1,ROUNDUP(R219*Input!$C$11,0)),IF(ROUNDUP(R219,0)=0,1,ROUNDUP(R219,0))))</f>
        <v>1</v>
      </c>
      <c r="T219" s="8">
        <f t="shared" si="85"/>
        <v>1</v>
      </c>
      <c r="U219" s="8">
        <f>IFERROR(VLOOKUP($B219,Input!$AC$2:$AE$161,3,0),0)</f>
        <v>0</v>
      </c>
      <c r="V219" s="256">
        <f t="shared" si="90"/>
        <v>0</v>
      </c>
      <c r="W219" s="263">
        <f t="shared" si="91"/>
        <v>1.0021899999999999</v>
      </c>
      <c r="X219" s="68"/>
      <c r="Y219" s="68"/>
      <c r="Z219" s="68"/>
      <c r="AA219" s="68"/>
      <c r="AB219" s="68"/>
      <c r="AC219" s="68"/>
      <c r="AD219" s="68"/>
      <c r="AE219" s="68"/>
      <c r="AF219" s="68"/>
      <c r="AG219" s="68"/>
      <c r="AH219" s="68"/>
      <c r="AI219" s="68"/>
      <c r="AJ219" s="68">
        <v>1</v>
      </c>
      <c r="AL219" s="68">
        <v>1</v>
      </c>
      <c r="AM219" s="68"/>
      <c r="AN219" s="68"/>
      <c r="AO219" s="68"/>
      <c r="AQ219" s="68"/>
      <c r="AR219" s="68"/>
      <c r="AS219" s="68"/>
      <c r="AT219" s="68"/>
      <c r="AU219" s="68"/>
      <c r="AV219" s="68"/>
      <c r="AW219" s="68"/>
      <c r="AX219" s="68"/>
      <c r="AY219" s="68"/>
      <c r="AZ219" s="68"/>
      <c r="BB219" s="68"/>
      <c r="BC219" s="68"/>
      <c r="BJ219" s="68"/>
      <c r="BT219">
        <v>1</v>
      </c>
      <c r="BV219">
        <v>1</v>
      </c>
      <c r="BX219" s="68"/>
      <c r="BY219" s="68">
        <v>1</v>
      </c>
      <c r="BZ219" s="68">
        <v>0</v>
      </c>
      <c r="CA219" s="68">
        <v>0</v>
      </c>
      <c r="CB219" s="68">
        <v>0</v>
      </c>
      <c r="CC219" s="68">
        <f t="shared" si="92"/>
        <v>0</v>
      </c>
      <c r="CD219" s="68">
        <f t="shared" si="93"/>
        <v>0</v>
      </c>
    </row>
    <row r="220" spans="1:82" ht="15.75" thickBot="1" x14ac:dyDescent="0.3">
      <c r="A220" s="9">
        <v>219</v>
      </c>
      <c r="B220" s="10" t="s">
        <v>392</v>
      </c>
      <c r="C220" s="10" t="s">
        <v>31</v>
      </c>
      <c r="D220" s="10" t="s">
        <v>43</v>
      </c>
      <c r="E220" s="51">
        <v>-54.203055149751698</v>
      </c>
      <c r="F220" s="51">
        <v>99.257864202457597</v>
      </c>
      <c r="G220" s="51">
        <v>128.652089639141</v>
      </c>
      <c r="H220" s="51">
        <v>48.748854251076501</v>
      </c>
      <c r="I220" s="11">
        <v>0</v>
      </c>
      <c r="J220" s="51">
        <v>4.6667841194735802</v>
      </c>
      <c r="K220" s="249">
        <f>IFERROR(VLOOKUP(C220,Schedule!$T$3:$U$34,2,0),"FA")</f>
        <v>9</v>
      </c>
      <c r="L220" s="10" t="str">
        <f>D220&amp;COUNTIF(D$2:$D220,D220)</f>
        <v>TE27</v>
      </c>
      <c r="M220" s="51">
        <f t="array" ref="M220">IFERROR(F220-AVERAGE(VLOOKUP(D220,$D221:$F$885,3,0),INDEX($F221:$F$885,SMALL(IF(D220=$D221:$D$885,ROW($D221:$D$885)-ROW(D220)),2))),0)</f>
        <v>4.1486513355922341</v>
      </c>
      <c r="N220" s="51">
        <f>IFERROR(IF(VLOOKUP($B220,Input!$AC$2:$AC$162,1,0)=$B220,0),F220)</f>
        <v>99.257864202457597</v>
      </c>
      <c r="O220" s="51">
        <f>IFERROR(IF(VLOOKUP($B220,Input!$AC$2:$AC$162,1,0)=$B220,0,G220),G220)</f>
        <v>128.652089639141</v>
      </c>
      <c r="P220" s="51">
        <f>IF(N220=0,0,F220-AVERAGE(INDEX(F:F,MATCH(VLOOKUP(D220,Input!$A$14:$L$22,10,0),L:L,0)),INDEX(F:F,MATCH(VLOOKUP(D220,Input!$A$14:$L$22,11,0),L:L,0)),INDEX(F:F,MATCH(VLOOKUP(D220,Input!$A$14:$L$22,12,0),L:L,0)))+(0.01-ROW()*0.01))</f>
        <v>-56.393055149751717</v>
      </c>
      <c r="Q220" s="107">
        <f t="shared" si="84"/>
        <v>-1.9455205944095999E-2</v>
      </c>
      <c r="R220" s="11">
        <f>IF(VLOOKUP($D220,$X$14:$Y$19,2,0)&lt;=0,1,IF(Q220&lt;0,1,ROUNDUP(IF(Q220*('Draft Center'!$L$28+'Draft Center'!$L$78-'Draft Center'!$L$82)&lt;1,1,Q220*('Draft Center'!$L$28+'Draft Center'!$L$78-'Draft Center'!$L$82)),0)))</f>
        <v>1</v>
      </c>
      <c r="S220" s="11">
        <f>IF(A220&lt;Input!$B$10+0.1,IF(ROUNDUP(R220*Input!$C$10,0)=0,1,ROUNDUP(R220*Input!$C$10,0)),IF(A220&gt;Input!$B$11,IF(ROUNDUP(R220*Input!$C$11,0)=0,1,ROUNDUP(R220*Input!$C$11,0)),IF(ROUNDUP(R220,0)=0,1,ROUNDUP(R220,0))))</f>
        <v>1</v>
      </c>
      <c r="T220" s="11">
        <f t="shared" si="85"/>
        <v>1</v>
      </c>
      <c r="U220" s="11">
        <f>IFERROR(VLOOKUP($B220,Input!$AC$2:$AE$161,3,0),0)</f>
        <v>0</v>
      </c>
      <c r="V220" s="257">
        <f t="shared" si="90"/>
        <v>0</v>
      </c>
      <c r="W220" s="264">
        <f t="shared" si="91"/>
        <v>1.0022</v>
      </c>
      <c r="X220" s="68"/>
      <c r="Y220" s="68"/>
      <c r="Z220" s="68"/>
      <c r="AA220" s="68"/>
      <c r="AB220" s="68"/>
      <c r="AC220" s="68"/>
      <c r="AD220" s="68"/>
      <c r="AE220" s="68"/>
      <c r="AF220" s="68"/>
      <c r="AG220" s="68"/>
      <c r="AH220" s="68"/>
      <c r="AI220" s="68"/>
      <c r="AJ220" s="68">
        <v>1</v>
      </c>
      <c r="AL220" s="68">
        <v>1</v>
      </c>
      <c r="AM220" s="68"/>
      <c r="AN220" s="68"/>
      <c r="AO220" s="68"/>
      <c r="AQ220" s="68"/>
      <c r="AR220" s="68"/>
      <c r="AS220" s="68"/>
      <c r="AT220" s="68"/>
      <c r="AU220" s="68"/>
      <c r="AV220" s="68"/>
      <c r="AW220" s="68"/>
      <c r="AX220" s="68"/>
      <c r="AY220" s="68"/>
      <c r="AZ220" s="68"/>
      <c r="BB220" s="68"/>
      <c r="BC220" s="68"/>
      <c r="BJ220" s="68"/>
      <c r="BT220">
        <v>1</v>
      </c>
      <c r="BV220">
        <v>1</v>
      </c>
      <c r="BX220" s="68"/>
      <c r="BY220" s="68">
        <v>1</v>
      </c>
      <c r="BZ220" s="68">
        <v>0</v>
      </c>
      <c r="CA220" s="68">
        <v>0</v>
      </c>
      <c r="CB220" s="68">
        <v>0</v>
      </c>
      <c r="CC220" s="68">
        <f t="shared" si="92"/>
        <v>0</v>
      </c>
      <c r="CD220" s="68">
        <f t="shared" si="93"/>
        <v>0</v>
      </c>
    </row>
    <row r="221" spans="1:82" ht="15.75" customHeight="1" thickBot="1" x14ac:dyDescent="0.3">
      <c r="A221" s="6">
        <v>220</v>
      </c>
      <c r="B221" s="7" t="s">
        <v>312</v>
      </c>
      <c r="C221" s="7" t="s">
        <v>68</v>
      </c>
      <c r="D221" s="7" t="s">
        <v>43</v>
      </c>
      <c r="E221" s="50">
        <v>-54.642493618478603</v>
      </c>
      <c r="F221" s="50">
        <v>98.818425733730706</v>
      </c>
      <c r="G221" s="50">
        <v>109.748031895669</v>
      </c>
      <c r="H221" s="50">
        <v>78.462208504801097</v>
      </c>
      <c r="I221" s="8">
        <v>0</v>
      </c>
      <c r="J221" s="50">
        <v>4.3398920439790496</v>
      </c>
      <c r="K221" s="248">
        <f>IFERROR(VLOOKUP(C221,Schedule!$T$3:$U$34,2,0),"FA")</f>
        <v>8</v>
      </c>
      <c r="L221" s="7" t="str">
        <f>D221&amp;COUNTIF(D$2:$D221,D221)</f>
        <v>TE28</v>
      </c>
      <c r="M221" s="50">
        <f t="array" ref="M221">IFERROR(F221-AVERAGE(VLOOKUP(D221,$D222:$F$885,3,0),INDEX($F222:$F$885,SMALL(IF(D221=$D222:$D$885,ROW($D222:$D$885)-ROW(D221)),2))),0)</f>
        <v>10.692779905083754</v>
      </c>
      <c r="N221" s="50">
        <f>IFERROR(IF(VLOOKUP($B221,Input!$AC$2:$AC$162,1,0)=$B221,0),F221)</f>
        <v>98.818425733730706</v>
      </c>
      <c r="O221" s="50">
        <f>IFERROR(IF(VLOOKUP($B221,Input!$AC$2:$AC$162,1,0)=$B221,0,G221),G221)</f>
        <v>109.748031895669</v>
      </c>
      <c r="P221" s="50">
        <f>IF(N221=0,0,F221-AVERAGE(INDEX(F:F,MATCH(VLOOKUP(D221,Input!$A$14:$L$22,10,0),L:L,0)),INDEX(F:F,MATCH(VLOOKUP(D221,Input!$A$14:$L$22,11,0),L:L,0)),INDEX(F:F,MATCH(VLOOKUP(D221,Input!$A$14:$L$22,12,0),L:L,0)))+(0.01-ROW()*0.01))</f>
        <v>-56.842493618478613</v>
      </c>
      <c r="Q221" s="106">
        <f t="shared" si="84"/>
        <v>-1.9610259043188812E-2</v>
      </c>
      <c r="R221" s="8">
        <f>IF(VLOOKUP($D221,$X$14:$Y$19,2,0)&lt;=0,1,IF(Q221&lt;0,1,ROUNDUP(IF(Q221*('Draft Center'!$L$28+'Draft Center'!$L$78-'Draft Center'!$L$82)&lt;1,1,Q221*('Draft Center'!$L$28+'Draft Center'!$L$78-'Draft Center'!$L$82)),0)))</f>
        <v>1</v>
      </c>
      <c r="S221" s="8">
        <f>IF(A221&lt;Input!$B$10+0.1,IF(ROUNDUP(R221*Input!$C$10,0)=0,1,ROUNDUP(R221*Input!$C$10,0)),IF(A221&gt;Input!$B$11,IF(ROUNDUP(R221*Input!$C$11,0)=0,1,ROUNDUP(R221*Input!$C$11,0)),IF(ROUNDUP(R221,0)=0,1,ROUNDUP(R221,0))))</f>
        <v>1</v>
      </c>
      <c r="T221" s="8">
        <f t="shared" si="85"/>
        <v>1</v>
      </c>
      <c r="U221" s="8">
        <f>IFERROR(VLOOKUP($B221,Input!$AC$2:$AE$161,3,0),0)</f>
        <v>0</v>
      </c>
      <c r="V221" s="256">
        <f t="shared" si="90"/>
        <v>0</v>
      </c>
      <c r="W221" s="263">
        <f t="shared" si="91"/>
        <v>1.00221</v>
      </c>
      <c r="X221" s="68"/>
      <c r="Y221" s="68"/>
      <c r="Z221" s="68"/>
      <c r="AA221" s="68"/>
      <c r="AB221" s="68"/>
      <c r="AC221" s="68"/>
      <c r="AD221" s="68"/>
      <c r="AE221" s="68"/>
      <c r="AF221" s="68"/>
      <c r="AG221" s="68"/>
      <c r="AH221" s="68"/>
      <c r="AI221" s="68"/>
      <c r="AJ221" s="68">
        <v>1</v>
      </c>
      <c r="AL221" s="68">
        <v>1</v>
      </c>
      <c r="AM221" s="68"/>
      <c r="AN221" s="68"/>
      <c r="AO221" s="68"/>
      <c r="AQ221" s="68"/>
      <c r="AR221" s="68"/>
      <c r="AS221" s="68"/>
      <c r="AT221" s="68"/>
      <c r="AU221" s="68"/>
      <c r="AV221" s="68"/>
      <c r="AW221" s="68"/>
      <c r="AX221" s="68"/>
      <c r="AY221" s="68"/>
      <c r="AZ221" s="68"/>
      <c r="BB221" s="68"/>
      <c r="BC221" s="68"/>
      <c r="BJ221" s="68"/>
      <c r="BT221">
        <v>1</v>
      </c>
      <c r="BV221">
        <v>1</v>
      </c>
      <c r="BX221" s="68"/>
      <c r="BY221" s="68">
        <v>1</v>
      </c>
      <c r="BZ221" s="68">
        <v>0</v>
      </c>
      <c r="CA221" s="68">
        <v>0</v>
      </c>
      <c r="CB221" s="68">
        <v>0</v>
      </c>
      <c r="CC221" s="68">
        <f t="shared" si="92"/>
        <v>0</v>
      </c>
      <c r="CD221" s="68">
        <f t="shared" si="93"/>
        <v>0</v>
      </c>
    </row>
    <row r="222" spans="1:82" ht="15.75" customHeight="1" thickBot="1" x14ac:dyDescent="0.3">
      <c r="A222" s="9">
        <v>221</v>
      </c>
      <c r="B222" s="10" t="s">
        <v>166</v>
      </c>
      <c r="C222" s="10" t="s">
        <v>143</v>
      </c>
      <c r="D222" s="10" t="s">
        <v>147</v>
      </c>
      <c r="E222" s="51">
        <v>-54.720940867999097</v>
      </c>
      <c r="F222" s="51">
        <v>76.648047562974199</v>
      </c>
      <c r="G222" s="51">
        <v>96.252285631476298</v>
      </c>
      <c r="H222" s="51">
        <v>9.8041271989174597</v>
      </c>
      <c r="I222" s="11">
        <v>0</v>
      </c>
      <c r="J222" s="51">
        <v>9.4225053815132505</v>
      </c>
      <c r="K222" s="249">
        <f>IFERROR(VLOOKUP(C222,Schedule!$T$3:$U$34,2,0),"FA")</f>
        <v>9</v>
      </c>
      <c r="L222" s="10" t="str">
        <f>D222&amp;COUNTIF(D$2:$D222,D222)</f>
        <v>K34</v>
      </c>
      <c r="M222" s="51">
        <f t="array" ref="M222">IFERROR(F222-AVERAGE(VLOOKUP(D222,$D223:$F$885,3,0),INDEX($F223:$F$885,SMALL(IF(D222=$D223:$D$885,ROW($D223:$D$885)-ROW(D222)),2))),0)</f>
        <v>41.36474756497735</v>
      </c>
      <c r="N222" s="51">
        <f>IFERROR(IF(VLOOKUP($B222,Input!$AC$2:$AC$162,1,0)=$B222,0),F222)</f>
        <v>76.648047562974199</v>
      </c>
      <c r="O222" s="51">
        <f>IFERROR(IF(VLOOKUP($B222,Input!$AC$2:$AC$162,1,0)=$B222,0,G222),G222)</f>
        <v>96.252285631476298</v>
      </c>
      <c r="P222" s="51">
        <f>IF(N222=0,0,F222-AVERAGE(INDEX(F:F,MATCH(VLOOKUP(D222,Input!$A$14:$L$22,10,0),L:L,0)),INDEX(F:F,MATCH(VLOOKUP(D222,Input!$A$14:$L$22,11,0),L:L,0)),INDEX(F:F,MATCH(VLOOKUP(D222,Input!$A$14:$L$22,12,0),L:L,0)))+(0.01-ROW()*0.01))</f>
        <v>-57.104934019153795</v>
      </c>
      <c r="Q222" s="107">
        <f t="shared" si="84"/>
        <v>-1.9700799128836384E-2</v>
      </c>
      <c r="R222" s="11">
        <f>IF(VLOOKUP($D222,$X$14:$Y$19,2,0)&lt;=0,1,IF(Q222&lt;0,1,ROUNDUP(IF(Q222*('Draft Center'!$L$28+'Draft Center'!$L$78-'Draft Center'!$L$82)&lt;1,1,Q222*('Draft Center'!$L$28+'Draft Center'!$L$78-'Draft Center'!$L$82)),0)))</f>
        <v>1</v>
      </c>
      <c r="S222" s="11">
        <f>IF(A222&lt;Input!$B$10+0.1,IF(ROUNDUP(R222*Input!$C$10,0)=0,1,ROUNDUP(R222*Input!$C$10,0)),IF(A222&gt;Input!$B$11,IF(ROUNDUP(R222*Input!$C$11,0)=0,1,ROUNDUP(R222*Input!$C$11,0)),IF(ROUNDUP(R222,0)=0,1,ROUNDUP(R222,0))))</f>
        <v>1</v>
      </c>
      <c r="T222" s="11">
        <f t="shared" si="85"/>
        <v>1</v>
      </c>
      <c r="U222" s="11">
        <f>IFERROR(VLOOKUP($B222,Input!$AC$2:$AE$161,3,0),0)</f>
        <v>0</v>
      </c>
      <c r="V222" s="257">
        <f t="shared" si="90"/>
        <v>0</v>
      </c>
      <c r="W222" s="264">
        <f t="shared" si="91"/>
        <v>1.0022200000000001</v>
      </c>
      <c r="X222" s="68"/>
      <c r="Y222" s="68"/>
      <c r="Z222" s="68"/>
      <c r="AA222" s="68"/>
      <c r="AB222" s="68"/>
      <c r="AC222" s="68"/>
      <c r="AD222" s="68"/>
      <c r="AE222" s="68"/>
      <c r="AF222" s="68"/>
      <c r="AG222" s="68"/>
      <c r="AH222" s="68"/>
      <c r="AI222" s="68"/>
      <c r="AJ222" s="68">
        <v>1</v>
      </c>
      <c r="AL222" s="68">
        <v>1</v>
      </c>
      <c r="AM222" s="68"/>
      <c r="AN222" s="68"/>
      <c r="AO222" s="68"/>
      <c r="AQ222" s="68"/>
      <c r="AR222" s="68"/>
      <c r="AS222" s="68"/>
      <c r="AT222" s="68"/>
      <c r="AU222" s="68"/>
      <c r="AV222" s="68"/>
      <c r="AW222" s="68"/>
      <c r="AX222" s="68"/>
      <c r="AY222" s="68"/>
      <c r="AZ222" s="68"/>
      <c r="BB222" s="68"/>
      <c r="BC222" s="68"/>
      <c r="BJ222" s="68"/>
      <c r="BT222">
        <v>1</v>
      </c>
      <c r="BV222">
        <v>1</v>
      </c>
      <c r="BX222" s="68"/>
      <c r="BY222" s="68">
        <v>1</v>
      </c>
      <c r="BZ222" s="68">
        <v>0</v>
      </c>
      <c r="CA222" s="68">
        <v>0</v>
      </c>
      <c r="CB222" s="68">
        <v>0</v>
      </c>
      <c r="CC222" s="68">
        <f t="shared" si="92"/>
        <v>0</v>
      </c>
      <c r="CD222" s="68">
        <f t="shared" si="93"/>
        <v>0</v>
      </c>
    </row>
    <row r="223" spans="1:82" ht="15.75" thickBot="1" x14ac:dyDescent="0.3">
      <c r="A223" s="6">
        <v>222</v>
      </c>
      <c r="B223" s="7" t="s">
        <v>54</v>
      </c>
      <c r="C223" s="7" t="s">
        <v>45</v>
      </c>
      <c r="D223" s="7" t="s">
        <v>19</v>
      </c>
      <c r="E223" s="50">
        <v>-55.168943983437202</v>
      </c>
      <c r="F223" s="50">
        <v>113.933454042515</v>
      </c>
      <c r="G223" s="50">
        <v>148.55661092794</v>
      </c>
      <c r="H223" s="50">
        <v>59.8672513619439</v>
      </c>
      <c r="I223" s="8">
        <v>1.6</v>
      </c>
      <c r="J223" s="50">
        <v>6.7940799215494998</v>
      </c>
      <c r="K223" s="248">
        <f>IFERROR(VLOOKUP(C223,Schedule!$T$3:$U$34,2,0),"FA")</f>
        <v>6</v>
      </c>
      <c r="L223" s="7" t="str">
        <f>D223&amp;COUNTIF(D$2:$D223,D223)</f>
        <v>RB51</v>
      </c>
      <c r="M223" s="50">
        <f t="array" ref="M223">IFERROR(F223-AVERAGE(VLOOKUP(D223,$D224:$F$885,3,0),INDEX($F224:$F$885,SMALL(IF(D223=$D224:$D$885,ROW($D224:$D$885)-ROW(D223)),2))),0)</f>
        <v>4.6667975199084992</v>
      </c>
      <c r="N223" s="50">
        <f>IFERROR(IF(VLOOKUP($B223,Input!$AC$2:$AC$162,1,0)=$B223,0),F223)</f>
        <v>113.933454042515</v>
      </c>
      <c r="O223" s="50">
        <f>IFERROR(IF(VLOOKUP($B223,Input!$AC$2:$AC$162,1,0)=$B223,0,G223),G223)</f>
        <v>148.55661092794</v>
      </c>
      <c r="P223" s="50">
        <f>IF(N223=0,0,F223-AVERAGE(INDEX(F:F,MATCH(VLOOKUP(D223,Input!$A$14:$L$22,10,0),L:L,0)),INDEX(F:F,MATCH(VLOOKUP(D223,Input!$A$14:$L$22,11,0),L:L,0)),INDEX(F:F,MATCH(VLOOKUP(D223,Input!$A$14:$L$22,12,0),L:L,0)))+(0.01-ROW()*0.01))</f>
        <v>-57.388943983437002</v>
      </c>
      <c r="Q223" s="106">
        <f t="shared" si="84"/>
        <v>-1.9798780561667648E-2</v>
      </c>
      <c r="R223" s="8">
        <f>IF(VLOOKUP($D223,$X$14:$Y$19,2,0)&lt;=0,1,IF(Q223&lt;0,1,ROUNDUP(IF(Q223*('Draft Center'!$L$28+'Draft Center'!$L$78-'Draft Center'!$L$82)&lt;1,1,Q223*('Draft Center'!$L$28+'Draft Center'!$L$78-'Draft Center'!$L$82)),0)))</f>
        <v>1</v>
      </c>
      <c r="S223" s="8">
        <f>IF(A223&lt;Input!$B$10+0.1,IF(ROUNDUP(R223*Input!$C$10,0)=0,1,ROUNDUP(R223*Input!$C$10,0)),IF(A223&gt;Input!$B$11,IF(ROUNDUP(R223*Input!$C$11,0)=0,1,ROUNDUP(R223*Input!$C$11,0)),IF(ROUNDUP(R223,0)=0,1,ROUNDUP(R223,0))))</f>
        <v>1</v>
      </c>
      <c r="T223" s="8">
        <f t="shared" si="85"/>
        <v>1</v>
      </c>
      <c r="U223" s="8">
        <f>IFERROR(VLOOKUP($B223,Input!$AC$2:$AE$161,3,0),0)</f>
        <v>0</v>
      </c>
      <c r="V223" s="256">
        <f t="shared" si="90"/>
        <v>-0.37277000000000005</v>
      </c>
      <c r="W223" s="263">
        <f t="shared" si="91"/>
        <v>-0.59777000000000013</v>
      </c>
      <c r="X223" s="68"/>
      <c r="Y223" s="68"/>
      <c r="Z223" s="68"/>
      <c r="AA223" s="68"/>
      <c r="AB223" s="68"/>
      <c r="AC223" s="68"/>
      <c r="AD223" s="68"/>
      <c r="AE223" s="68"/>
      <c r="AF223" s="68"/>
      <c r="AG223" s="68"/>
      <c r="AH223" s="68"/>
      <c r="AI223" s="68"/>
      <c r="AJ223" s="68">
        <v>1</v>
      </c>
      <c r="AL223" s="68">
        <v>1</v>
      </c>
      <c r="AM223" s="68"/>
      <c r="AN223" s="68"/>
      <c r="AO223" s="68"/>
      <c r="AQ223" s="68"/>
      <c r="AR223" s="68"/>
      <c r="AS223" s="68"/>
      <c r="AT223" s="68"/>
      <c r="AU223" s="68"/>
      <c r="AV223" s="68"/>
      <c r="AW223" s="68"/>
      <c r="AX223" s="68"/>
      <c r="AY223" s="68"/>
      <c r="AZ223" s="68"/>
      <c r="BB223" s="68"/>
      <c r="BC223" s="68"/>
      <c r="BJ223" s="68"/>
      <c r="BT223">
        <v>1</v>
      </c>
      <c r="BV223">
        <v>1</v>
      </c>
      <c r="BX223" s="68"/>
      <c r="BY223" s="68">
        <v>1</v>
      </c>
      <c r="BZ223" s="68">
        <v>1.6</v>
      </c>
      <c r="CA223" s="68">
        <v>1.6</v>
      </c>
      <c r="CB223" s="68">
        <v>1.6</v>
      </c>
      <c r="CC223" s="68">
        <f t="shared" si="92"/>
        <v>1.6000000000000003</v>
      </c>
      <c r="CD223" s="68">
        <f t="shared" si="93"/>
        <v>1.6</v>
      </c>
    </row>
    <row r="224" spans="1:82" ht="15.75" customHeight="1" thickBot="1" x14ac:dyDescent="0.3">
      <c r="A224" s="9">
        <v>223</v>
      </c>
      <c r="B224" s="10" t="s">
        <v>190</v>
      </c>
      <c r="C224" s="10" t="s">
        <v>33</v>
      </c>
      <c r="D224" s="10" t="s">
        <v>53</v>
      </c>
      <c r="E224" s="51">
        <v>-55.863301842784097</v>
      </c>
      <c r="F224" s="51">
        <v>216.48434179005099</v>
      </c>
      <c r="G224" s="51">
        <v>227.230884040077</v>
      </c>
      <c r="H224" s="51">
        <v>186.96802083413601</v>
      </c>
      <c r="I224" s="11">
        <v>0</v>
      </c>
      <c r="J224" s="51">
        <v>4.6045173674308399</v>
      </c>
      <c r="K224" s="249">
        <f>IFERROR(VLOOKUP(C224,Schedule!$T$3:$U$34,2,0),"FA")</f>
        <v>9</v>
      </c>
      <c r="L224" s="10" t="str">
        <f>D224&amp;COUNTIF(D$2:$D224,D224)</f>
        <v>QB25</v>
      </c>
      <c r="M224" s="51">
        <f t="array" ref="M224">IFERROR(F224-AVERAGE(VLOOKUP(D224,$D225:$F$885,3,0),INDEX($F225:$F$885,SMALL(IF(D224=$D225:$D$885,ROW($D225:$D$885)-ROW(D224)),2))),0)</f>
        <v>43.000192097143497</v>
      </c>
      <c r="N224" s="51">
        <f>IFERROR(IF(VLOOKUP($B224,Input!$AC$2:$AC$162,1,0)=$B224,0),F224)</f>
        <v>216.48434179005099</v>
      </c>
      <c r="O224" s="51">
        <f>IFERROR(IF(VLOOKUP($B224,Input!$AC$2:$AC$162,1,0)=$B224,0,G224),G224)</f>
        <v>227.230884040077</v>
      </c>
      <c r="P224" s="51">
        <f>IF(N224=0,0,F224-AVERAGE(INDEX(F:F,MATCH(VLOOKUP(D224,Input!$A$14:$L$22,10,0),L:L,0)),INDEX(F:F,MATCH(VLOOKUP(D224,Input!$A$14:$L$22,11,0),L:L,0)),INDEX(F:F,MATCH(VLOOKUP(D224,Input!$A$14:$L$22,12,0),L:L,0)))+(0.01-ROW()*0.01))</f>
        <v>-58.093301842784641</v>
      </c>
      <c r="Q224" s="107">
        <f t="shared" si="84"/>
        <v>-2.0041779051030592E-2</v>
      </c>
      <c r="R224" s="11">
        <f>IF(VLOOKUP($D224,$X$14:$Y$19,2,0)&lt;=0,1,IF(Q224&lt;0,1,ROUNDUP(IF(Q224*('Draft Center'!$L$28+'Draft Center'!$L$78-'Draft Center'!$L$82)&lt;1,1,Q224*('Draft Center'!$L$28+'Draft Center'!$L$78-'Draft Center'!$L$82)),0)))</f>
        <v>1</v>
      </c>
      <c r="S224" s="11">
        <f>IF(A224&lt;Input!$B$10+0.1,IF(ROUNDUP(R224*Input!$C$10,0)=0,1,ROUNDUP(R224*Input!$C$10,0)),IF(A224&gt;Input!$B$11,IF(ROUNDUP(R224*Input!$C$11,0)=0,1,ROUNDUP(R224*Input!$C$11,0)),IF(ROUNDUP(R224,0)=0,1,ROUNDUP(R224,0))))</f>
        <v>1</v>
      </c>
      <c r="T224" s="11">
        <f t="shared" si="85"/>
        <v>1</v>
      </c>
      <c r="U224" s="11">
        <f>IFERROR(VLOOKUP($B224,Input!$AC$2:$AE$161,3,0),0)</f>
        <v>0</v>
      </c>
      <c r="V224" s="257">
        <f t="shared" si="90"/>
        <v>0</v>
      </c>
      <c r="W224" s="264">
        <f t="shared" si="91"/>
        <v>1.00224</v>
      </c>
      <c r="X224" s="68"/>
      <c r="Y224" s="68"/>
      <c r="Z224" s="68"/>
      <c r="AA224" s="68"/>
      <c r="AB224" s="68"/>
      <c r="AC224" s="68"/>
      <c r="AD224" s="68"/>
      <c r="AE224" s="68"/>
      <c r="AF224" s="68"/>
      <c r="AG224" s="68"/>
      <c r="AH224" s="68"/>
      <c r="AI224" s="68"/>
      <c r="AJ224" s="68">
        <v>1</v>
      </c>
      <c r="AL224" s="68">
        <v>1</v>
      </c>
      <c r="AM224" s="68"/>
      <c r="AN224" s="68"/>
      <c r="AO224" s="68"/>
      <c r="AQ224" s="68"/>
      <c r="AR224" s="68"/>
      <c r="AS224" s="68"/>
      <c r="AT224" s="68"/>
      <c r="AU224" s="68"/>
      <c r="AV224" s="68"/>
      <c r="AW224" s="68"/>
      <c r="AX224" s="68"/>
      <c r="AY224" s="68"/>
      <c r="AZ224" s="68"/>
      <c r="BB224" s="68"/>
      <c r="BC224" s="68"/>
      <c r="BJ224" s="68"/>
      <c r="BT224">
        <v>1</v>
      </c>
      <c r="BV224">
        <v>1</v>
      </c>
      <c r="BX224" s="68"/>
      <c r="BY224" s="68">
        <v>1</v>
      </c>
      <c r="BZ224" s="68">
        <v>0</v>
      </c>
      <c r="CA224" s="68">
        <v>0</v>
      </c>
      <c r="CB224" s="68">
        <v>0</v>
      </c>
      <c r="CC224" s="68">
        <f t="shared" si="92"/>
        <v>0</v>
      </c>
      <c r="CD224" s="68">
        <f t="shared" si="93"/>
        <v>0</v>
      </c>
    </row>
    <row r="225" spans="1:82" ht="15.75" customHeight="1" thickBot="1" x14ac:dyDescent="0.3">
      <c r="A225" s="6">
        <v>224</v>
      </c>
      <c r="B225" s="7" t="s">
        <v>368</v>
      </c>
      <c r="C225" s="7" t="s">
        <v>61</v>
      </c>
      <c r="D225" s="7" t="s">
        <v>17</v>
      </c>
      <c r="E225" s="50">
        <v>-56.314200427254903</v>
      </c>
      <c r="F225" s="50">
        <v>156.46371584209399</v>
      </c>
      <c r="G225" s="50">
        <v>171.25966647087401</v>
      </c>
      <c r="H225" s="50">
        <v>138.68888920243</v>
      </c>
      <c r="I225" s="8">
        <v>1.1000000000000001</v>
      </c>
      <c r="J225" s="50">
        <v>4.3831967529323403</v>
      </c>
      <c r="K225" s="248">
        <f>IFERROR(VLOOKUP(C225,Schedule!$T$3:$U$34,2,0),"FA")</f>
        <v>5</v>
      </c>
      <c r="L225" s="7" t="str">
        <f>D225&amp;COUNTIF(D$2:$D225,D225)</f>
        <v>WR54</v>
      </c>
      <c r="M225" s="50">
        <f t="array" ref="M225">IFERROR(F225-AVERAGE(VLOOKUP(D225,$D226:$F$885,3,0),INDEX($F226:$F$885,SMALL(IF(D225=$D226:$D$885,ROW($D226:$D$885)-ROW(D225)),2))),0)</f>
        <v>3.3230353574859635</v>
      </c>
      <c r="N225" s="50">
        <f>IFERROR(IF(VLOOKUP($B225,Input!$AC$2:$AC$162,1,0)=$B225,0),F225)</f>
        <v>156.46371584209399</v>
      </c>
      <c r="O225" s="50">
        <f>IFERROR(IF(VLOOKUP($B225,Input!$AC$2:$AC$162,1,0)=$B225,0,G225),G225)</f>
        <v>171.25966647087401</v>
      </c>
      <c r="P225" s="50">
        <f>IF(N225=0,0,F225-AVERAGE(INDEX(F:F,MATCH(VLOOKUP(D225,Input!$A$14:$L$22,10,0),L:L,0)),INDEX(F:F,MATCH(VLOOKUP(D225,Input!$A$14:$L$22,11,0),L:L,0)),INDEX(F:F,MATCH(VLOOKUP(D225,Input!$A$14:$L$22,12,0),L:L,0)))+(0.01-ROW()*0.01))</f>
        <v>-58.554200427255033</v>
      </c>
      <c r="Q225" s="106">
        <f t="shared" si="84"/>
        <v>-2.0200785809157143E-2</v>
      </c>
      <c r="R225" s="8">
        <f>IF(VLOOKUP($D225,$X$14:$Y$19,2,0)&lt;=0,1,IF(Q225&lt;0,1,ROUNDUP(IF(Q225*('Draft Center'!$L$28+'Draft Center'!$L$78-'Draft Center'!$L$82)&lt;1,1,Q225*('Draft Center'!$L$28+'Draft Center'!$L$78-'Draft Center'!$L$82)),0)))</f>
        <v>1</v>
      </c>
      <c r="S225" s="8">
        <f>IF(A225&lt;Input!$B$10+0.1,IF(ROUNDUP(R225*Input!$C$10,0)=0,1,ROUNDUP(R225*Input!$C$10,0)),IF(A225&gt;Input!$B$11,IF(ROUNDUP(R225*Input!$C$11,0)=0,1,ROUNDUP(R225*Input!$C$11,0)),IF(ROUNDUP(R225,0)=0,1,ROUNDUP(R225,0))))</f>
        <v>1</v>
      </c>
      <c r="T225" s="8">
        <f t="shared" si="85"/>
        <v>1</v>
      </c>
      <c r="U225" s="8">
        <f>IFERROR(VLOOKUP($B225,Input!$AC$2:$AE$161,3,0),0)</f>
        <v>0</v>
      </c>
      <c r="V225" s="256">
        <f t="shared" si="90"/>
        <v>-8.8659090909090979E-2</v>
      </c>
      <c r="W225" s="263">
        <f t="shared" si="91"/>
        <v>-9.7750000000000087E-2</v>
      </c>
      <c r="X225" s="68"/>
      <c r="Y225" s="68"/>
      <c r="Z225" s="68"/>
      <c r="AA225" s="68"/>
      <c r="AB225" s="68"/>
      <c r="AC225" s="68"/>
      <c r="AD225" s="68"/>
      <c r="AE225" s="68"/>
      <c r="AF225" s="68"/>
      <c r="AG225" s="68"/>
      <c r="AH225" s="68"/>
      <c r="AI225" s="68"/>
      <c r="AJ225" s="68">
        <v>1</v>
      </c>
      <c r="AL225" s="68">
        <v>1</v>
      </c>
      <c r="AM225" s="68"/>
      <c r="AN225" s="68"/>
      <c r="AO225" s="68"/>
      <c r="AQ225" s="68"/>
      <c r="AR225" s="68"/>
      <c r="AS225" s="68"/>
      <c r="AT225" s="68"/>
      <c r="AU225" s="68"/>
      <c r="AV225" s="68"/>
      <c r="AW225" s="68"/>
      <c r="AX225" s="68"/>
      <c r="AY225" s="68"/>
      <c r="AZ225" s="68"/>
      <c r="BB225" s="68"/>
      <c r="BC225" s="68"/>
      <c r="BJ225" s="68"/>
      <c r="BT225">
        <v>1</v>
      </c>
      <c r="BV225">
        <v>1</v>
      </c>
      <c r="BX225" s="68"/>
      <c r="BY225" s="68">
        <v>1</v>
      </c>
      <c r="BZ225" s="68">
        <v>1.1000000000000001</v>
      </c>
      <c r="CA225" s="68">
        <v>1.1000000000000001</v>
      </c>
      <c r="CB225" s="68">
        <v>1.1000000000000001</v>
      </c>
      <c r="CC225" s="68">
        <f t="shared" si="92"/>
        <v>1.1000000000000001</v>
      </c>
      <c r="CD225" s="68">
        <f t="shared" si="93"/>
        <v>1.1000000000000001</v>
      </c>
    </row>
    <row r="226" spans="1:82" ht="15.75" customHeight="1" thickBot="1" x14ac:dyDescent="0.3">
      <c r="A226" s="9">
        <v>225</v>
      </c>
      <c r="B226" s="10" t="s">
        <v>293</v>
      </c>
      <c r="C226" s="10" t="s">
        <v>52</v>
      </c>
      <c r="D226" s="10" t="s">
        <v>19</v>
      </c>
      <c r="E226" s="51">
        <v>-58.301469884221397</v>
      </c>
      <c r="F226" s="51">
        <v>110.80092814173</v>
      </c>
      <c r="G226" s="51">
        <v>136.75850682789601</v>
      </c>
      <c r="H226" s="51">
        <v>77.324525298843795</v>
      </c>
      <c r="I226" s="11">
        <v>0</v>
      </c>
      <c r="J226" s="51">
        <v>6.8987956423067196</v>
      </c>
      <c r="K226" s="249">
        <f>IFERROR(VLOOKUP(C226,Schedule!$T$3:$U$34,2,0),"FA")</f>
        <v>11</v>
      </c>
      <c r="L226" s="10" t="str">
        <f>D226&amp;COUNTIF(D$2:$D226,D226)</f>
        <v>RB52</v>
      </c>
      <c r="M226" s="51">
        <f t="array" ref="M226">IFERROR(F226-AVERAGE(VLOOKUP(D226,$D227:$F$885,3,0),INDEX($F227:$F$885,SMALL(IF(D226=$D227:$D$885,ROW($D227:$D$885)-ROW(D226)),2))),0)</f>
        <v>4.0975794200344922</v>
      </c>
      <c r="N226" s="51">
        <f>IFERROR(IF(VLOOKUP($B226,Input!$AC$2:$AC$162,1,0)=$B226,0),F226)</f>
        <v>110.80092814173</v>
      </c>
      <c r="O226" s="51">
        <f>IFERROR(IF(VLOOKUP($B226,Input!$AC$2:$AC$162,1,0)=$B226,0,G226),G226)</f>
        <v>136.75850682789601</v>
      </c>
      <c r="P226" s="51">
        <f>IF(N226=0,0,F226-AVERAGE(INDEX(F:F,MATCH(VLOOKUP(D226,Input!$A$14:$L$22,10,0),L:L,0)),INDEX(F:F,MATCH(VLOOKUP(D226,Input!$A$14:$L$22,11,0),L:L,0)),INDEX(F:F,MATCH(VLOOKUP(D226,Input!$A$14:$L$22,12,0),L:L,0)))+(0.01-ROW()*0.01))</f>
        <v>-60.551469884222001</v>
      </c>
      <c r="Q226" s="107">
        <f t="shared" si="84"/>
        <v>-2.0889829672944265E-2</v>
      </c>
      <c r="R226" s="11">
        <f>IF(VLOOKUP($D226,$X$14:$Y$19,2,0)&lt;=0,1,IF(Q226&lt;0,1,ROUNDUP(IF(Q226*('Draft Center'!$L$28+'Draft Center'!$L$78-'Draft Center'!$L$82)&lt;1,1,Q226*('Draft Center'!$L$28+'Draft Center'!$L$78-'Draft Center'!$L$82)),0)))</f>
        <v>1</v>
      </c>
      <c r="S226" s="11">
        <f>IF(A226&lt;Input!$B$10+0.1,IF(ROUNDUP(R226*Input!$C$10,0)=0,1,ROUNDUP(R226*Input!$C$10,0)),IF(A226&gt;Input!$B$11,IF(ROUNDUP(R226*Input!$C$11,0)=0,1,ROUNDUP(R226*Input!$C$11,0)),IF(ROUNDUP(R226,0)=0,1,ROUNDUP(R226,0))))</f>
        <v>1</v>
      </c>
      <c r="T226" s="11">
        <f t="shared" si="85"/>
        <v>1</v>
      </c>
      <c r="U226" s="11">
        <f>IFERROR(VLOOKUP($B226,Input!$AC$2:$AE$161,3,0),0)</f>
        <v>0</v>
      </c>
      <c r="V226" s="257">
        <f t="shared" si="90"/>
        <v>0</v>
      </c>
      <c r="W226" s="264">
        <f t="shared" si="91"/>
        <v>1.0022599999999999</v>
      </c>
      <c r="X226" s="68"/>
      <c r="Y226" s="68"/>
      <c r="Z226" s="68"/>
      <c r="AA226" s="68"/>
      <c r="AB226" s="68"/>
      <c r="AC226" s="68"/>
      <c r="AD226" s="68"/>
      <c r="AE226" s="68"/>
      <c r="AF226" s="68"/>
      <c r="AG226" s="68"/>
      <c r="AH226" s="68"/>
      <c r="AI226" s="68"/>
      <c r="AJ226" s="68">
        <v>1</v>
      </c>
      <c r="AL226" s="68">
        <v>1</v>
      </c>
      <c r="AM226" s="68"/>
      <c r="AN226" s="68"/>
      <c r="AO226" s="68"/>
      <c r="AQ226" s="68"/>
      <c r="AR226" s="68"/>
      <c r="AS226" s="68"/>
      <c r="AT226" s="68"/>
      <c r="AU226" s="68"/>
      <c r="AV226" s="68"/>
      <c r="AW226" s="68"/>
      <c r="AX226" s="68"/>
      <c r="AY226" s="68"/>
      <c r="AZ226" s="68"/>
      <c r="BB226" s="68"/>
      <c r="BC226" s="68"/>
      <c r="BJ226" s="68"/>
      <c r="BT226">
        <v>1</v>
      </c>
      <c r="BV226">
        <v>1</v>
      </c>
      <c r="BX226" s="68"/>
      <c r="BY226" s="68">
        <v>1</v>
      </c>
      <c r="BZ226" s="68">
        <v>0</v>
      </c>
      <c r="CA226" s="68">
        <v>0</v>
      </c>
      <c r="CB226" s="68">
        <v>0</v>
      </c>
      <c r="CC226" s="68">
        <f t="shared" si="92"/>
        <v>0</v>
      </c>
      <c r="CD226" s="68">
        <f t="shared" si="93"/>
        <v>0</v>
      </c>
    </row>
    <row r="227" spans="1:82" ht="15.75" customHeight="1" thickBot="1" x14ac:dyDescent="0.3">
      <c r="A227" s="6">
        <v>226</v>
      </c>
      <c r="B227" s="7" t="s">
        <v>230</v>
      </c>
      <c r="C227" s="7" t="s">
        <v>925</v>
      </c>
      <c r="D227" s="7" t="s">
        <v>17</v>
      </c>
      <c r="E227" s="50">
        <v>-58.576161377817897</v>
      </c>
      <c r="F227" s="50">
        <v>154.20175489153101</v>
      </c>
      <c r="G227" s="50">
        <v>172.240591102998</v>
      </c>
      <c r="H227" s="50">
        <v>130.30123456790099</v>
      </c>
      <c r="I227" s="8">
        <v>1</v>
      </c>
      <c r="J227" s="50">
        <v>5.1276421534024204</v>
      </c>
      <c r="K227" s="248">
        <f>IFERROR(VLOOKUP(C227,Schedule!$T$3:$U$34,2,0),"FA")</f>
        <v>8</v>
      </c>
      <c r="L227" s="7" t="str">
        <f>D227&amp;COUNTIF(D$2:$D227,D227)</f>
        <v>WR55</v>
      </c>
      <c r="M227" s="50">
        <f t="array" ref="M227">IFERROR(F227-AVERAGE(VLOOKUP(D227,$D228:$F$885,3,0),INDEX($F228:$F$885,SMALL(IF(D227=$D228:$D$885,ROW($D228:$D$885)-ROW(D227)),2))),0)</f>
        <v>2.4122979862480065</v>
      </c>
      <c r="N227" s="50">
        <f>IFERROR(IF(VLOOKUP($B227,Input!$AC$2:$AC$162,1,0)=$B227,0),F227)</f>
        <v>154.20175489153101</v>
      </c>
      <c r="O227" s="50">
        <f>IFERROR(IF(VLOOKUP($B227,Input!$AC$2:$AC$162,1,0)=$B227,0,G227),G227)</f>
        <v>172.240591102998</v>
      </c>
      <c r="P227" s="50">
        <f>IF(N227=0,0,F227-AVERAGE(INDEX(F:F,MATCH(VLOOKUP(D227,Input!$A$14:$L$22,10,0),L:L,0)),INDEX(F:F,MATCH(VLOOKUP(D227,Input!$A$14:$L$22,11,0),L:L,0)),INDEX(F:F,MATCH(VLOOKUP(D227,Input!$A$14:$L$22,12,0),L:L,0)))+(0.01-ROW()*0.01))</f>
        <v>-60.836161377818009</v>
      </c>
      <c r="Q227" s="106">
        <f t="shared" si="84"/>
        <v>-2.098804622857748E-2</v>
      </c>
      <c r="R227" s="8">
        <f>IF(VLOOKUP($D227,$X$14:$Y$19,2,0)&lt;=0,1,IF(Q227&lt;0,1,ROUNDUP(IF(Q227*('Draft Center'!$L$28+'Draft Center'!$L$78-'Draft Center'!$L$82)&lt;1,1,Q227*('Draft Center'!$L$28+'Draft Center'!$L$78-'Draft Center'!$L$82)),0)))</f>
        <v>1</v>
      </c>
      <c r="S227" s="8">
        <f>IF(A227&lt;Input!$B$10+0.1,IF(ROUNDUP(R227*Input!$C$10,0)=0,1,ROUNDUP(R227*Input!$C$10,0)),IF(A227&gt;Input!$B$11,IF(ROUNDUP(R227*Input!$C$11,0)=0,1,ROUNDUP(R227*Input!$C$11,0)),IF(ROUNDUP(R227,0)=0,1,ROUNDUP(R227,0))))</f>
        <v>1</v>
      </c>
      <c r="T227" s="8">
        <f t="shared" si="85"/>
        <v>1</v>
      </c>
      <c r="U227" s="8">
        <f>IFERROR(VLOOKUP($B227,Input!$AC$2:$AE$161,3,0),0)</f>
        <v>0</v>
      </c>
      <c r="V227" s="256">
        <f t="shared" si="90"/>
        <v>2.2700000000000003E-3</v>
      </c>
      <c r="W227" s="263">
        <f t="shared" si="91"/>
        <v>2.2700000000000003E-3</v>
      </c>
      <c r="X227" s="68"/>
      <c r="Y227" s="68"/>
      <c r="Z227" s="68"/>
      <c r="AA227" s="68"/>
      <c r="AB227" s="68"/>
      <c r="AC227" s="68"/>
      <c r="AD227" s="68"/>
      <c r="AE227" s="68"/>
      <c r="AF227" s="68"/>
      <c r="AG227" s="68"/>
      <c r="AH227" s="68"/>
      <c r="AI227" s="68"/>
      <c r="AJ227" s="68">
        <v>1</v>
      </c>
      <c r="AL227" s="68">
        <v>1</v>
      </c>
      <c r="AM227" s="68"/>
      <c r="AN227" s="68"/>
      <c r="AO227" s="68"/>
      <c r="AQ227" s="68"/>
      <c r="AR227" s="68"/>
      <c r="AS227" s="68"/>
      <c r="AT227" s="68"/>
      <c r="AU227" s="68"/>
      <c r="AV227" s="68"/>
      <c r="AW227" s="68"/>
      <c r="AX227" s="68"/>
      <c r="AY227" s="68"/>
      <c r="AZ227" s="68"/>
      <c r="BB227" s="68"/>
      <c r="BC227" s="68"/>
      <c r="BJ227" s="68"/>
      <c r="BT227">
        <v>1</v>
      </c>
      <c r="BV227">
        <v>1</v>
      </c>
      <c r="BX227" s="68"/>
      <c r="BY227" s="68">
        <v>1</v>
      </c>
      <c r="BZ227" s="68">
        <v>1</v>
      </c>
      <c r="CA227" s="68">
        <v>1</v>
      </c>
      <c r="CB227" s="68">
        <v>1</v>
      </c>
      <c r="CC227" s="68">
        <f t="shared" si="92"/>
        <v>1</v>
      </c>
      <c r="CD227" s="68">
        <f t="shared" si="93"/>
        <v>1</v>
      </c>
    </row>
    <row r="228" spans="1:82" ht="15.75" customHeight="1" thickBot="1" x14ac:dyDescent="0.3">
      <c r="A228" s="9">
        <v>227</v>
      </c>
      <c r="B228" s="10" t="s">
        <v>270</v>
      </c>
      <c r="C228" s="10" t="s">
        <v>23</v>
      </c>
      <c r="D228" s="10" t="s">
        <v>17</v>
      </c>
      <c r="E228" s="51">
        <v>-60.698310191664198</v>
      </c>
      <c r="F228" s="51">
        <v>152.07960607768501</v>
      </c>
      <c r="G228" s="51">
        <v>165.38011371474499</v>
      </c>
      <c r="H228" s="51">
        <v>131.496156378601</v>
      </c>
      <c r="I228" s="11">
        <v>0</v>
      </c>
      <c r="J228" s="51">
        <v>4.5516578724971</v>
      </c>
      <c r="K228" s="249">
        <f>IFERROR(VLOOKUP(C228,Schedule!$T$3:$U$34,2,0),"FA")</f>
        <v>5</v>
      </c>
      <c r="L228" s="10" t="str">
        <f>D228&amp;COUNTIF(D$2:$D228,D228)</f>
        <v>WR56</v>
      </c>
      <c r="M228" s="51">
        <f t="array" ref="M228">IFERROR(F228-AVERAGE(VLOOKUP(D228,$D229:$F$885,3,0),INDEX($F229:$F$885,SMALL(IF(D228=$D229:$D$885,ROW($D229:$D$885)-ROW(D228)),2))),0)</f>
        <v>0.72047070607851538</v>
      </c>
      <c r="N228" s="51">
        <f>IFERROR(IF(VLOOKUP($B228,Input!$AC$2:$AC$162,1,0)=$B228,0),F228)</f>
        <v>152.07960607768501</v>
      </c>
      <c r="O228" s="51">
        <f>IFERROR(IF(VLOOKUP($B228,Input!$AC$2:$AC$162,1,0)=$B228,0,G228),G228)</f>
        <v>165.38011371474499</v>
      </c>
      <c r="P228" s="51">
        <f>IF(N228=0,0,F228-AVERAGE(INDEX(F:F,MATCH(VLOOKUP(D228,Input!$A$14:$L$22,10,0),L:L,0)),INDEX(F:F,MATCH(VLOOKUP(D228,Input!$A$14:$L$22,11,0),L:L,0)),INDEX(F:F,MATCH(VLOOKUP(D228,Input!$A$14:$L$22,12,0),L:L,0)))+(0.01-ROW()*0.01))</f>
        <v>-62.96831019166401</v>
      </c>
      <c r="Q228" s="107">
        <f t="shared" si="84"/>
        <v>-2.1723622518364939E-2</v>
      </c>
      <c r="R228" s="11">
        <f>IF(VLOOKUP($D228,$X$14:$Y$19,2,0)&lt;=0,1,IF(Q228&lt;0,1,ROUNDUP(IF(Q228*('Draft Center'!$L$28+'Draft Center'!$L$78-'Draft Center'!$L$82)&lt;1,1,Q228*('Draft Center'!$L$28+'Draft Center'!$L$78-'Draft Center'!$L$82)),0)))</f>
        <v>1</v>
      </c>
      <c r="S228" s="11">
        <f>IF(A228&lt;Input!$B$10+0.1,IF(ROUNDUP(R228*Input!$C$10,0)=0,1,ROUNDUP(R228*Input!$C$10,0)),IF(A228&gt;Input!$B$11,IF(ROUNDUP(R228*Input!$C$11,0)=0,1,ROUNDUP(R228*Input!$C$11,0)),IF(ROUNDUP(R228,0)=0,1,ROUNDUP(R228,0))))</f>
        <v>1</v>
      </c>
      <c r="T228" s="11">
        <f t="shared" si="85"/>
        <v>1</v>
      </c>
      <c r="U228" s="11">
        <f>IFERROR(VLOOKUP($B228,Input!$AC$2:$AE$161,3,0),0)</f>
        <v>0</v>
      </c>
      <c r="V228" s="257">
        <f t="shared" si="90"/>
        <v>0</v>
      </c>
      <c r="W228" s="264">
        <f t="shared" si="91"/>
        <v>1.0022800000000001</v>
      </c>
      <c r="X228" s="68"/>
      <c r="Y228" s="68"/>
      <c r="Z228" s="68"/>
      <c r="AA228" s="68"/>
      <c r="AB228" s="68"/>
      <c r="AC228" s="68"/>
      <c r="AD228" s="68"/>
      <c r="AE228" s="68"/>
      <c r="AF228" s="68"/>
      <c r="AG228" s="68"/>
      <c r="AH228" s="68"/>
      <c r="AI228" s="68"/>
      <c r="AJ228" s="68">
        <v>1</v>
      </c>
      <c r="AL228" s="68">
        <v>1</v>
      </c>
      <c r="AM228" s="68"/>
      <c r="AN228" s="68"/>
      <c r="AO228" s="68"/>
      <c r="AQ228" s="68"/>
      <c r="AR228" s="68"/>
      <c r="AS228" s="68"/>
      <c r="AT228" s="68"/>
      <c r="AU228" s="68"/>
      <c r="AV228" s="68"/>
      <c r="AW228" s="68"/>
      <c r="AX228" s="68"/>
      <c r="AY228" s="68"/>
      <c r="AZ228" s="68"/>
      <c r="BB228" s="68"/>
      <c r="BC228" s="68"/>
      <c r="BJ228" s="68"/>
      <c r="BT228">
        <v>1</v>
      </c>
      <c r="BV228">
        <v>1</v>
      </c>
      <c r="BX228" s="68"/>
      <c r="BY228" s="68">
        <v>1</v>
      </c>
      <c r="BZ228" s="68">
        <v>0</v>
      </c>
      <c r="CA228" s="68">
        <v>0</v>
      </c>
      <c r="CB228" s="68">
        <v>0</v>
      </c>
      <c r="CC228" s="68">
        <f t="shared" si="92"/>
        <v>0</v>
      </c>
      <c r="CD228" s="68">
        <f t="shared" si="93"/>
        <v>0</v>
      </c>
    </row>
    <row r="229" spans="1:82" ht="15.75" customHeight="1" thickBot="1" x14ac:dyDescent="0.3">
      <c r="A229" s="6">
        <v>228</v>
      </c>
      <c r="B229" s="7" t="s">
        <v>260</v>
      </c>
      <c r="C229" s="7" t="s">
        <v>95</v>
      </c>
      <c r="D229" s="7" t="s">
        <v>17</v>
      </c>
      <c r="E229" s="50">
        <v>-61.2786085364679</v>
      </c>
      <c r="F229" s="50">
        <v>151.49930773288099</v>
      </c>
      <c r="G229" s="50">
        <v>186.364322397119</v>
      </c>
      <c r="H229" s="50">
        <v>90.633727807172306</v>
      </c>
      <c r="I229" s="8">
        <v>0</v>
      </c>
      <c r="J229" s="50">
        <v>6.2308795679060802</v>
      </c>
      <c r="K229" s="248">
        <f>IFERROR(VLOOKUP(C229,Schedule!$T$3:$U$34,2,0),"FA")</f>
        <v>8</v>
      </c>
      <c r="L229" s="7" t="str">
        <f>D229&amp;COUNTIF(D$2:$D229,D229)</f>
        <v>WR57</v>
      </c>
      <c r="M229" s="50">
        <f t="array" ref="M229">IFERROR(F229-AVERAGE(VLOOKUP(D229,$D230:$F$885,3,0),INDEX($F230:$F$885,SMALL(IF(D229=$D230:$D$885,ROW($D230:$D$885)-ROW(D229)),2))),0)</f>
        <v>0.30105045149048237</v>
      </c>
      <c r="N229" s="50">
        <f>IFERROR(IF(VLOOKUP($B229,Input!$AC$2:$AC$162,1,0)=$B229,0),F229)</f>
        <v>151.49930773288099</v>
      </c>
      <c r="O229" s="50">
        <f>IFERROR(IF(VLOOKUP($B229,Input!$AC$2:$AC$162,1,0)=$B229,0,G229),G229)</f>
        <v>186.364322397119</v>
      </c>
      <c r="P229" s="50">
        <f>IF(N229=0,0,F229-AVERAGE(INDEX(F:F,MATCH(VLOOKUP(D229,Input!$A$14:$L$22,10,0),L:L,0)),INDEX(F:F,MATCH(VLOOKUP(D229,Input!$A$14:$L$22,11,0),L:L,0)),INDEX(F:F,MATCH(VLOOKUP(D229,Input!$A$14:$L$22,12,0),L:L,0)))+(0.01-ROW()*0.01))</f>
        <v>-63.558608536468029</v>
      </c>
      <c r="Q229" s="106">
        <f t="shared" si="84"/>
        <v>-2.1927271280364525E-2</v>
      </c>
      <c r="R229" s="8">
        <f>IF(VLOOKUP($D229,$X$14:$Y$19,2,0)&lt;=0,1,IF(Q229&lt;0,1,ROUNDUP(IF(Q229*('Draft Center'!$L$28+'Draft Center'!$L$78-'Draft Center'!$L$82)&lt;1,1,Q229*('Draft Center'!$L$28+'Draft Center'!$L$78-'Draft Center'!$L$82)),0)))</f>
        <v>1</v>
      </c>
      <c r="S229" s="8">
        <f>IF(A229&lt;Input!$B$10+0.1,IF(ROUNDUP(R229*Input!$C$10,0)=0,1,ROUNDUP(R229*Input!$C$10,0)),IF(A229&gt;Input!$B$11,IF(ROUNDUP(R229*Input!$C$11,0)=0,1,ROUNDUP(R229*Input!$C$11,0)),IF(ROUNDUP(R229,0)=0,1,ROUNDUP(R229,0))))</f>
        <v>1</v>
      </c>
      <c r="T229" s="8">
        <f t="shared" si="85"/>
        <v>1</v>
      </c>
      <c r="U229" s="8">
        <f>IFERROR(VLOOKUP($B229,Input!$AC$2:$AE$161,3,0),0)</f>
        <v>0</v>
      </c>
      <c r="V229" s="256">
        <f t="shared" si="90"/>
        <v>0</v>
      </c>
      <c r="W229" s="263">
        <f t="shared" si="91"/>
        <v>1.0022899999999999</v>
      </c>
      <c r="X229" s="68"/>
      <c r="Y229" s="68"/>
      <c r="Z229" s="68"/>
      <c r="AA229" s="68"/>
      <c r="AB229" s="68"/>
      <c r="AC229" s="68"/>
      <c r="AD229" s="68"/>
      <c r="AE229" s="68"/>
      <c r="AF229" s="68"/>
      <c r="AG229" s="68"/>
      <c r="AH229" s="68"/>
      <c r="AI229" s="68"/>
      <c r="AJ229" s="68">
        <v>1</v>
      </c>
      <c r="AL229" s="68">
        <v>1</v>
      </c>
      <c r="AM229" s="68"/>
      <c r="AN229" s="68"/>
      <c r="AO229" s="68"/>
      <c r="AQ229" s="68"/>
      <c r="AR229" s="68"/>
      <c r="AS229" s="68"/>
      <c r="AT229" s="68"/>
      <c r="AU229" s="68"/>
      <c r="AV229" s="68"/>
      <c r="AW229" s="68"/>
      <c r="AX229" s="68"/>
      <c r="AY229" s="68"/>
      <c r="AZ229" s="68"/>
      <c r="BB229" s="68"/>
      <c r="BC229" s="68"/>
      <c r="BJ229" s="68"/>
      <c r="BT229">
        <v>1</v>
      </c>
      <c r="BV229">
        <v>1</v>
      </c>
      <c r="BX229" s="68"/>
      <c r="BY229" s="68">
        <v>1</v>
      </c>
      <c r="BZ229" s="68">
        <v>0</v>
      </c>
      <c r="CA229" s="68">
        <v>0</v>
      </c>
      <c r="CB229" s="68">
        <v>0</v>
      </c>
      <c r="CC229" s="68">
        <f t="shared" si="92"/>
        <v>0</v>
      </c>
      <c r="CD229" s="68">
        <f t="shared" si="93"/>
        <v>0</v>
      </c>
    </row>
    <row r="230" spans="1:82" ht="15.75" customHeight="1" thickBot="1" x14ac:dyDescent="0.3">
      <c r="A230" s="9">
        <v>229</v>
      </c>
      <c r="B230" s="10" t="s">
        <v>94</v>
      </c>
      <c r="C230" s="10" t="s">
        <v>95</v>
      </c>
      <c r="D230" s="10" t="s">
        <v>19</v>
      </c>
      <c r="E230" s="51">
        <v>-61.370013122468599</v>
      </c>
      <c r="F230" s="51">
        <v>107.73238490348299</v>
      </c>
      <c r="G230" s="51">
        <v>139.13929855736399</v>
      </c>
      <c r="H230" s="51">
        <v>83.750212478920702</v>
      </c>
      <c r="I230" s="11">
        <v>0</v>
      </c>
      <c r="J230" s="51">
        <v>5.6795295945744604</v>
      </c>
      <c r="K230" s="249">
        <f>IFERROR(VLOOKUP(C230,Schedule!$T$3:$U$34,2,0),"FA")</f>
        <v>8</v>
      </c>
      <c r="L230" s="10" t="str">
        <f>D230&amp;COUNTIF(D$2:$D230,D230)</f>
        <v>RB53</v>
      </c>
      <c r="M230" s="51">
        <f t="array" ref="M230">IFERROR(F230-AVERAGE(VLOOKUP(D230,$D231:$F$885,3,0),INDEX($F231:$F$885,SMALL(IF(D230=$D231:$D$885,ROW($D231:$D$885)-ROW(D230)),2))),0)</f>
        <v>3.5634628791954981</v>
      </c>
      <c r="N230" s="51">
        <f>IFERROR(IF(VLOOKUP($B230,Input!$AC$2:$AC$162,1,0)=$B230,0),F230)</f>
        <v>107.73238490348299</v>
      </c>
      <c r="O230" s="51">
        <f>IFERROR(IF(VLOOKUP($B230,Input!$AC$2:$AC$162,1,0)=$B230,0,G230),G230)</f>
        <v>139.13929855736399</v>
      </c>
      <c r="P230" s="51">
        <f>IF(N230=0,0,F230-AVERAGE(INDEX(F:F,MATCH(VLOOKUP(D230,Input!$A$14:$L$22,10,0),L:L,0)),INDEX(F:F,MATCH(VLOOKUP(D230,Input!$A$14:$L$22,11,0),L:L,0)),INDEX(F:F,MATCH(VLOOKUP(D230,Input!$A$14:$L$22,12,0),L:L,0)))+(0.01-ROW()*0.01))</f>
        <v>-63.660013122469003</v>
      </c>
      <c r="Q230" s="107">
        <f t="shared" si="84"/>
        <v>-2.1962255146712708E-2</v>
      </c>
      <c r="R230" s="11">
        <f>IF(VLOOKUP($D230,$X$14:$Y$19,2,0)&lt;=0,1,IF(Q230&lt;0,1,ROUNDUP(IF(Q230*('Draft Center'!$L$28+'Draft Center'!$L$78-'Draft Center'!$L$82)&lt;1,1,Q230*('Draft Center'!$L$28+'Draft Center'!$L$78-'Draft Center'!$L$82)),0)))</f>
        <v>1</v>
      </c>
      <c r="S230" s="11">
        <f>IF(A230&lt;Input!$B$10+0.1,IF(ROUNDUP(R230*Input!$C$10,0)=0,1,ROUNDUP(R230*Input!$C$10,0)),IF(A230&gt;Input!$B$11,IF(ROUNDUP(R230*Input!$C$11,0)=0,1,ROUNDUP(R230*Input!$C$11,0)),IF(ROUNDUP(R230,0)=0,1,ROUNDUP(R230,0))))</f>
        <v>1</v>
      </c>
      <c r="T230" s="11">
        <f t="shared" si="85"/>
        <v>1</v>
      </c>
      <c r="U230" s="11">
        <f>IFERROR(VLOOKUP($B230,Input!$AC$2:$AE$161,3,0),0)</f>
        <v>0</v>
      </c>
      <c r="V230" s="257">
        <f t="shared" si="90"/>
        <v>0</v>
      </c>
      <c r="W230" s="264">
        <f t="shared" si="91"/>
        <v>1.0023</v>
      </c>
      <c r="X230" s="68"/>
      <c r="Y230" s="68"/>
      <c r="Z230" s="68"/>
      <c r="AA230" s="68"/>
      <c r="AB230" s="68"/>
      <c r="AC230" s="68"/>
      <c r="AD230" s="68"/>
      <c r="AE230" s="68"/>
      <c r="AF230" s="68"/>
      <c r="AG230" s="68"/>
      <c r="AH230" s="68"/>
      <c r="AI230" s="68"/>
      <c r="AJ230" s="68">
        <v>1</v>
      </c>
      <c r="AL230" s="68">
        <v>1</v>
      </c>
      <c r="AM230" s="68"/>
      <c r="AN230" s="68"/>
      <c r="AO230" s="68"/>
      <c r="AQ230" s="68"/>
      <c r="AR230" s="68"/>
      <c r="AS230" s="68"/>
      <c r="AT230" s="68"/>
      <c r="AU230" s="68"/>
      <c r="AV230" s="68"/>
      <c r="AW230" s="68"/>
      <c r="AX230" s="68"/>
      <c r="AY230" s="68"/>
      <c r="AZ230" s="68"/>
      <c r="BB230" s="68"/>
      <c r="BC230" s="68"/>
      <c r="BJ230" s="68"/>
      <c r="BT230">
        <v>1</v>
      </c>
      <c r="BV230">
        <v>1</v>
      </c>
      <c r="BX230" s="68"/>
      <c r="BY230" s="68">
        <v>1</v>
      </c>
      <c r="BZ230" s="68">
        <v>0</v>
      </c>
      <c r="CA230" s="68">
        <v>0</v>
      </c>
      <c r="CB230" s="68">
        <v>0</v>
      </c>
      <c r="CC230" s="68">
        <f t="shared" si="92"/>
        <v>0</v>
      </c>
      <c r="CD230" s="68">
        <f t="shared" si="93"/>
        <v>0</v>
      </c>
    </row>
    <row r="231" spans="1:82" ht="15.75" customHeight="1" thickBot="1" x14ac:dyDescent="0.3">
      <c r="A231" s="6">
        <v>230</v>
      </c>
      <c r="B231" s="7" t="s">
        <v>318</v>
      </c>
      <c r="C231" s="7" t="s">
        <v>23</v>
      </c>
      <c r="D231" s="7" t="s">
        <v>17</v>
      </c>
      <c r="E231" s="50">
        <v>-61.558953259016903</v>
      </c>
      <c r="F231" s="50">
        <v>151.218963010332</v>
      </c>
      <c r="G231" s="50">
        <v>177.808130656028</v>
      </c>
      <c r="H231" s="50">
        <v>110.18405888692899</v>
      </c>
      <c r="I231" s="8">
        <v>0</v>
      </c>
      <c r="J231" s="50">
        <v>5.4208269464562804</v>
      </c>
      <c r="K231" s="248">
        <f>IFERROR(VLOOKUP(C231,Schedule!$T$3:$U$34,2,0),"FA")</f>
        <v>5</v>
      </c>
      <c r="L231" s="7" t="str">
        <f>D231&amp;COUNTIF(D$2:$D231,D231)</f>
        <v>WR58</v>
      </c>
      <c r="M231" s="50">
        <f t="array" ref="M231">IFERROR(F231-AVERAGE(VLOOKUP(D231,$D232:$F$885,3,0),INDEX($F232:$F$885,SMALL(IF(D231=$D232:$D$885,ROW($D232:$D$885)-ROW(D231)),2))),0)</f>
        <v>0.30688322877000473</v>
      </c>
      <c r="N231" s="50">
        <f>IFERROR(IF(VLOOKUP($B231,Input!$AC$2:$AC$162,1,0)=$B231,0),F231)</f>
        <v>151.218963010332</v>
      </c>
      <c r="O231" s="50">
        <f>IFERROR(IF(VLOOKUP($B231,Input!$AC$2:$AC$162,1,0)=$B231,0,G231),G231)</f>
        <v>177.808130656028</v>
      </c>
      <c r="P231" s="50">
        <f>IF(N231=0,0,F231-AVERAGE(INDEX(F:F,MATCH(VLOOKUP(D231,Input!$A$14:$L$22,10,0),L:L,0)),INDEX(F:F,MATCH(VLOOKUP(D231,Input!$A$14:$L$22,11,0),L:L,0)),INDEX(F:F,MATCH(VLOOKUP(D231,Input!$A$14:$L$22,12,0),L:L,0)))+(0.01-ROW()*0.01))</f>
        <v>-63.858953259017014</v>
      </c>
      <c r="Q231" s="106">
        <f t="shared" si="84"/>
        <v>-2.2030888089489265E-2</v>
      </c>
      <c r="R231" s="8">
        <f>IF(VLOOKUP($D231,$X$14:$Y$19,2,0)&lt;=0,1,IF(Q231&lt;0,1,ROUNDUP(IF(Q231*('Draft Center'!$L$28+'Draft Center'!$L$78-'Draft Center'!$L$82)&lt;1,1,Q231*('Draft Center'!$L$28+'Draft Center'!$L$78-'Draft Center'!$L$82)),0)))</f>
        <v>1</v>
      </c>
      <c r="S231" s="8">
        <f>IF(A231&lt;Input!$B$10+0.1,IF(ROUNDUP(R231*Input!$C$10,0)=0,1,ROUNDUP(R231*Input!$C$10,0)),IF(A231&gt;Input!$B$11,IF(ROUNDUP(R231*Input!$C$11,0)=0,1,ROUNDUP(R231*Input!$C$11,0)),IF(ROUNDUP(R231,0)=0,1,ROUNDUP(R231,0))))</f>
        <v>1</v>
      </c>
      <c r="T231" s="8">
        <f t="shared" si="85"/>
        <v>1</v>
      </c>
      <c r="U231" s="8">
        <f>IFERROR(VLOOKUP($B231,Input!$AC$2:$AE$161,3,0),0)</f>
        <v>0</v>
      </c>
      <c r="V231" s="256">
        <f t="shared" si="90"/>
        <v>0</v>
      </c>
      <c r="W231" s="263">
        <f t="shared" si="91"/>
        <v>1.00231</v>
      </c>
      <c r="X231" s="68"/>
      <c r="Y231" s="68"/>
      <c r="Z231" s="68"/>
      <c r="AA231" s="68"/>
      <c r="AB231" s="68"/>
      <c r="AC231" s="68"/>
      <c r="AD231" s="68"/>
      <c r="AE231" s="68"/>
      <c r="AF231" s="68"/>
      <c r="AG231" s="68"/>
      <c r="AH231" s="68"/>
      <c r="AI231" s="68"/>
      <c r="AJ231" s="68">
        <v>1</v>
      </c>
      <c r="AL231" s="68">
        <v>1</v>
      </c>
      <c r="AM231" s="68"/>
      <c r="AN231" s="68"/>
      <c r="AO231" s="68"/>
      <c r="AQ231" s="68"/>
      <c r="AR231" s="68"/>
      <c r="AS231" s="68"/>
      <c r="AT231" s="68"/>
      <c r="AU231" s="68"/>
      <c r="AV231" s="68"/>
      <c r="AW231" s="68"/>
      <c r="AX231" s="68"/>
      <c r="AY231" s="68"/>
      <c r="AZ231" s="68"/>
      <c r="BB231" s="68"/>
      <c r="BC231" s="68"/>
      <c r="BJ231" s="68"/>
      <c r="BT231">
        <v>1</v>
      </c>
      <c r="BV231">
        <v>1</v>
      </c>
      <c r="BX231" s="68"/>
      <c r="BY231" s="68">
        <v>1</v>
      </c>
      <c r="BZ231" s="68">
        <v>0</v>
      </c>
      <c r="CA231" s="68">
        <v>0</v>
      </c>
      <c r="CB231" s="68">
        <v>0</v>
      </c>
      <c r="CC231" s="68">
        <f t="shared" si="92"/>
        <v>0</v>
      </c>
      <c r="CD231" s="68">
        <f t="shared" si="93"/>
        <v>0</v>
      </c>
    </row>
    <row r="232" spans="1:82" ht="15.75" customHeight="1" thickBot="1" x14ac:dyDescent="0.3">
      <c r="A232" s="9">
        <v>231</v>
      </c>
      <c r="B232" s="10" t="s">
        <v>216</v>
      </c>
      <c r="C232" s="10" t="s">
        <v>95</v>
      </c>
      <c r="D232" s="10" t="s">
        <v>17</v>
      </c>
      <c r="E232" s="51">
        <v>-61.600364716900401</v>
      </c>
      <c r="F232" s="51">
        <v>151.17755155244899</v>
      </c>
      <c r="G232" s="51">
        <v>169.49823407994401</v>
      </c>
      <c r="H232" s="51">
        <v>135.08415637860099</v>
      </c>
      <c r="I232" s="11">
        <v>0</v>
      </c>
      <c r="J232" s="51">
        <v>4.6735654980480801</v>
      </c>
      <c r="K232" s="249">
        <f>IFERROR(VLOOKUP(C232,Schedule!$T$3:$U$34,2,0),"FA")</f>
        <v>8</v>
      </c>
      <c r="L232" s="10" t="str">
        <f>D232&amp;COUNTIF(D$2:$D232,D232)</f>
        <v>WR59</v>
      </c>
      <c r="M232" s="51">
        <f t="array" ref="M232">IFERROR(F232-AVERAGE(VLOOKUP(D232,$D233:$F$885,3,0),INDEX($F233:$F$885,SMALL(IF(D232=$D233:$D$885,ROW($D233:$D$885)-ROW(D232)),2))),0)</f>
        <v>0.59842127555296543</v>
      </c>
      <c r="N232" s="51">
        <f>IFERROR(IF(VLOOKUP($B232,Input!$AC$2:$AC$162,1,0)=$B232,0),F232)</f>
        <v>151.17755155244899</v>
      </c>
      <c r="O232" s="51">
        <f>IFERROR(IF(VLOOKUP($B232,Input!$AC$2:$AC$162,1,0)=$B232,0,G232),G232)</f>
        <v>169.49823407994401</v>
      </c>
      <c r="P232" s="51">
        <f>IF(N232=0,0,F232-AVERAGE(INDEX(F:F,MATCH(VLOOKUP(D232,Input!$A$14:$L$22,10,0),L:L,0)),INDEX(F:F,MATCH(VLOOKUP(D232,Input!$A$14:$L$22,11,0),L:L,0)),INDEX(F:F,MATCH(VLOOKUP(D232,Input!$A$14:$L$22,12,0),L:L,0)))+(0.01-ROW()*0.01))</f>
        <v>-63.910364716900034</v>
      </c>
      <c r="Q232" s="107">
        <f t="shared" si="84"/>
        <v>-2.2048624679541787E-2</v>
      </c>
      <c r="R232" s="11">
        <f>IF(VLOOKUP($D232,$X$14:$Y$19,2,0)&lt;=0,1,IF(Q232&lt;0,1,ROUNDUP(IF(Q232*('Draft Center'!$L$28+'Draft Center'!$L$78-'Draft Center'!$L$82)&lt;1,1,Q232*('Draft Center'!$L$28+'Draft Center'!$L$78-'Draft Center'!$L$82)),0)))</f>
        <v>1</v>
      </c>
      <c r="S232" s="11">
        <f>IF(A232&lt;Input!$B$10+0.1,IF(ROUNDUP(R232*Input!$C$10,0)=0,1,ROUNDUP(R232*Input!$C$10,0)),IF(A232&gt;Input!$B$11,IF(ROUNDUP(R232*Input!$C$11,0)=0,1,ROUNDUP(R232*Input!$C$11,0)),IF(ROUNDUP(R232,0)=0,1,ROUNDUP(R232,0))))</f>
        <v>1</v>
      </c>
      <c r="T232" s="11">
        <f t="shared" si="85"/>
        <v>1</v>
      </c>
      <c r="U232" s="11">
        <f>IFERROR(VLOOKUP($B232,Input!$AC$2:$AE$161,3,0),0)</f>
        <v>0</v>
      </c>
      <c r="V232" s="257">
        <f t="shared" si="90"/>
        <v>0</v>
      </c>
      <c r="W232" s="264">
        <f t="shared" si="91"/>
        <v>1.0023200000000001</v>
      </c>
      <c r="X232" s="68"/>
      <c r="Y232" s="68"/>
      <c r="Z232" s="68"/>
      <c r="AA232" s="68"/>
      <c r="AB232" s="68"/>
      <c r="AC232" s="68"/>
      <c r="AD232" s="68"/>
      <c r="AE232" s="68"/>
      <c r="AF232" s="68"/>
      <c r="AG232" s="68"/>
      <c r="AH232" s="68"/>
      <c r="AI232" s="68"/>
      <c r="AJ232" s="68">
        <v>1</v>
      </c>
      <c r="AL232" s="68">
        <v>1</v>
      </c>
      <c r="AM232" s="68"/>
      <c r="AN232" s="68"/>
      <c r="AO232" s="68"/>
      <c r="AQ232" s="68"/>
      <c r="AR232" s="68"/>
      <c r="AS232" s="68"/>
      <c r="AT232" s="68"/>
      <c r="AU232" s="68"/>
      <c r="AV232" s="68"/>
      <c r="AW232" s="68"/>
      <c r="AX232" s="68"/>
      <c r="AY232" s="68"/>
      <c r="AZ232" s="68"/>
      <c r="BB232" s="68"/>
      <c r="BC232" s="68"/>
      <c r="BJ232" s="68"/>
      <c r="BT232">
        <v>1</v>
      </c>
      <c r="BV232">
        <v>1</v>
      </c>
      <c r="BX232" s="68"/>
      <c r="BY232" s="68">
        <v>1</v>
      </c>
      <c r="BZ232" s="68">
        <v>0</v>
      </c>
      <c r="CA232" s="68">
        <v>0</v>
      </c>
      <c r="CB232" s="68">
        <v>0</v>
      </c>
      <c r="CC232" s="68">
        <f t="shared" si="92"/>
        <v>0</v>
      </c>
      <c r="CD232" s="68">
        <f t="shared" si="93"/>
        <v>0</v>
      </c>
    </row>
    <row r="233" spans="1:82" ht="15.75" customHeight="1" thickBot="1" x14ac:dyDescent="0.3">
      <c r="A233" s="6">
        <v>232</v>
      </c>
      <c r="B233" s="7" t="s">
        <v>943</v>
      </c>
      <c r="C233" s="7" t="s">
        <v>311</v>
      </c>
      <c r="D233" s="7" t="s">
        <v>43</v>
      </c>
      <c r="E233" s="50">
        <v>-62.060919352209297</v>
      </c>
      <c r="F233" s="50">
        <v>91.4</v>
      </c>
      <c r="G233" s="50">
        <v>79.387732558139504</v>
      </c>
      <c r="H233" s="50">
        <v>30</v>
      </c>
      <c r="I233" s="8" t="s">
        <v>1057</v>
      </c>
      <c r="J233" s="50" t="s">
        <v>1057</v>
      </c>
      <c r="K233" s="248" t="str">
        <f>IFERROR(VLOOKUP(C233,Schedule!$T$3:$U$34,2,0),"FA")</f>
        <v>FA</v>
      </c>
      <c r="L233" s="7" t="str">
        <f>D233&amp;COUNTIF(D$2:$D233,D233)</f>
        <v>TE29</v>
      </c>
      <c r="M233" s="50">
        <f t="array" ref="M233">IFERROR(F233-AVERAGE(VLOOKUP(D233,$D234:$F$885,3,0),INDEX($F234:$F$885,SMALL(IF(D233=$D234:$D$885,ROW($D234:$D$885)-ROW(D233)),2))),0)</f>
        <v>6.9301372626063085</v>
      </c>
      <c r="N233" s="50">
        <f>IFERROR(IF(VLOOKUP($B233,Input!$AC$2:$AC$162,1,0)=$B233,0),F233)</f>
        <v>91.4</v>
      </c>
      <c r="O233" s="50">
        <f>IFERROR(IF(VLOOKUP($B233,Input!$AC$2:$AC$162,1,0)=$B233,0,G233),G233)</f>
        <v>79.387732558139504</v>
      </c>
      <c r="P233" s="50">
        <f>IF(N233=0,0,F233-AVERAGE(INDEX(F:F,MATCH(VLOOKUP(D233,Input!$A$14:$L$22,10,0),L:L,0)),INDEX(F:F,MATCH(VLOOKUP(D233,Input!$A$14:$L$22,11,0),L:L,0)),INDEX(F:F,MATCH(VLOOKUP(D233,Input!$A$14:$L$22,12,0),L:L,0)))+(0.01-ROW()*0.01))</f>
        <v>-64.380919352209304</v>
      </c>
      <c r="Q233" s="106">
        <f t="shared" si="84"/>
        <v>-2.2210962707045003E-2</v>
      </c>
      <c r="R233" s="8">
        <f>IF(VLOOKUP($D233,$X$14:$Y$19,2,0)&lt;=0,1,IF(Q233&lt;0,1,ROUNDUP(IF(Q233*('Draft Center'!$L$28+'Draft Center'!$L$78-'Draft Center'!$L$82)&lt;1,1,Q233*('Draft Center'!$L$28+'Draft Center'!$L$78-'Draft Center'!$L$82)),0)))</f>
        <v>1</v>
      </c>
      <c r="S233" s="8">
        <f>IF(A233&lt;Input!$B$10+0.1,IF(ROUNDUP(R233*Input!$C$10,0)=0,1,ROUNDUP(R233*Input!$C$10,0)),IF(A233&gt;Input!$B$11,IF(ROUNDUP(R233*Input!$C$11,0)=0,1,ROUNDUP(R233*Input!$C$11,0)),IF(ROUNDUP(R233,0)=0,1,ROUNDUP(R233,0))))</f>
        <v>1</v>
      </c>
      <c r="T233" s="8">
        <f t="shared" si="85"/>
        <v>1</v>
      </c>
      <c r="U233" s="8">
        <f>IFERROR(VLOOKUP($B233,Input!$AC$2:$AE$161,3,0),0)</f>
        <v>0</v>
      </c>
      <c r="V233" s="256">
        <f t="shared" si="90"/>
        <v>0</v>
      </c>
      <c r="W233" s="263">
        <f t="shared" si="91"/>
        <v>0</v>
      </c>
      <c r="X233" s="68"/>
      <c r="Y233" s="68"/>
      <c r="Z233" s="68"/>
      <c r="AA233" s="68"/>
      <c r="AB233" s="68"/>
      <c r="AC233" s="68"/>
      <c r="AD233" s="68"/>
      <c r="AE233" s="68"/>
      <c r="AF233" s="68"/>
      <c r="AG233" s="68"/>
      <c r="AH233" s="68"/>
      <c r="AI233" s="68"/>
      <c r="AJ233" s="68">
        <v>1</v>
      </c>
      <c r="AL233" s="68">
        <v>1</v>
      </c>
      <c r="AM233" s="68"/>
      <c r="AN233" s="68"/>
      <c r="AO233" s="68"/>
      <c r="AQ233" s="68"/>
      <c r="AR233" s="68"/>
      <c r="AS233" s="68"/>
      <c r="AT233" s="68"/>
      <c r="AU233" s="68"/>
      <c r="AV233" s="68"/>
      <c r="AW233" s="68"/>
      <c r="AX233" s="68"/>
      <c r="AY233" s="68"/>
      <c r="AZ233" s="68"/>
      <c r="BB233" s="68"/>
      <c r="BC233" s="68"/>
      <c r="BJ233" s="68"/>
      <c r="BT233">
        <v>1</v>
      </c>
      <c r="BV233">
        <v>1</v>
      </c>
      <c r="BX233" s="68"/>
      <c r="BY233" s="68">
        <v>1</v>
      </c>
      <c r="BZ233" s="68" t="s">
        <v>1057</v>
      </c>
      <c r="CA233" s="68" t="s">
        <v>1057</v>
      </c>
      <c r="CB233" s="68" t="s">
        <v>1057</v>
      </c>
      <c r="CC233" s="68" t="e">
        <f t="shared" si="92"/>
        <v>#DIV/0!</v>
      </c>
      <c r="CD233" s="68" t="str">
        <f t="shared" si="93"/>
        <v>NA</v>
      </c>
    </row>
    <row r="234" spans="1:82" ht="15.75" customHeight="1" thickBot="1" x14ac:dyDescent="0.3">
      <c r="A234" s="9">
        <v>233</v>
      </c>
      <c r="B234" s="10" t="s">
        <v>159</v>
      </c>
      <c r="C234" s="10" t="s">
        <v>64</v>
      </c>
      <c r="D234" s="10" t="s">
        <v>17</v>
      </c>
      <c r="E234" s="51">
        <v>-62.131308258674402</v>
      </c>
      <c r="F234" s="51">
        <v>150.64660801067501</v>
      </c>
      <c r="G234" s="51">
        <v>163.88807734567899</v>
      </c>
      <c r="H234" s="51">
        <v>120.766592338408</v>
      </c>
      <c r="I234" s="11">
        <v>0</v>
      </c>
      <c r="J234" s="51">
        <v>4.48151358427618</v>
      </c>
      <c r="K234" s="249">
        <f>IFERROR(VLOOKUP(C234,Schedule!$T$3:$U$34,2,0),"FA")</f>
        <v>11</v>
      </c>
      <c r="L234" s="10" t="str">
        <f>D234&amp;COUNTIF(D$2:$D234,D234)</f>
        <v>WR60</v>
      </c>
      <c r="M234" s="51">
        <f t="array" ref="M234">IFERROR(F234-AVERAGE(VLOOKUP(D234,$D235:$F$885,3,0),INDEX($F235:$F$885,SMALL(IF(D234=$D235:$D$885,ROW($D235:$D$885)-ROW(D234)),2))),0)</f>
        <v>0.99659324235798863</v>
      </c>
      <c r="N234" s="51">
        <f>IFERROR(IF(VLOOKUP($B234,Input!$AC$2:$AC$162,1,0)=$B234,0),F234)</f>
        <v>150.64660801067501</v>
      </c>
      <c r="O234" s="51">
        <f>IFERROR(IF(VLOOKUP($B234,Input!$AC$2:$AC$162,1,0)=$B234,0,G234),G234)</f>
        <v>163.88807734567899</v>
      </c>
      <c r="P234" s="51">
        <f>IF(N234=0,0,F234-AVERAGE(INDEX(F:F,MATCH(VLOOKUP(D234,Input!$A$14:$L$22,10,0),L:L,0)),INDEX(F:F,MATCH(VLOOKUP(D234,Input!$A$14:$L$22,11,0),L:L,0)),INDEX(F:F,MATCH(VLOOKUP(D234,Input!$A$14:$L$22,12,0),L:L,0)))+(0.01-ROW()*0.01))</f>
        <v>-64.461308258674009</v>
      </c>
      <c r="Q234" s="107">
        <f t="shared" si="84"/>
        <v>-2.2238696312304348E-2</v>
      </c>
      <c r="R234" s="11">
        <f>IF(VLOOKUP($D234,$X$14:$Y$19,2,0)&lt;=0,1,IF(Q234&lt;0,1,ROUNDUP(IF(Q234*('Draft Center'!$L$28+'Draft Center'!$L$78-'Draft Center'!$L$82)&lt;1,1,Q234*('Draft Center'!$L$28+'Draft Center'!$L$78-'Draft Center'!$L$82)),0)))</f>
        <v>1</v>
      </c>
      <c r="S234" s="11">
        <f>IF(A234&lt;Input!$B$10+0.1,IF(ROUNDUP(R234*Input!$C$10,0)=0,1,ROUNDUP(R234*Input!$C$10,0)),IF(A234&gt;Input!$B$11,IF(ROUNDUP(R234*Input!$C$11,0)=0,1,ROUNDUP(R234*Input!$C$11,0)),IF(ROUNDUP(R234,0)=0,1,ROUNDUP(R234,0))))</f>
        <v>1</v>
      </c>
      <c r="T234" s="11">
        <f t="shared" si="85"/>
        <v>1</v>
      </c>
      <c r="U234" s="11">
        <f>IFERROR(VLOOKUP($B234,Input!$AC$2:$AE$161,3,0),0)</f>
        <v>0</v>
      </c>
      <c r="V234" s="257">
        <f t="shared" si="90"/>
        <v>0</v>
      </c>
      <c r="W234" s="264">
        <f t="shared" si="91"/>
        <v>1.00234</v>
      </c>
      <c r="X234" s="68"/>
      <c r="Y234" s="68"/>
      <c r="Z234" s="68"/>
      <c r="AA234" s="68"/>
      <c r="AB234" s="68"/>
      <c r="AC234" s="68"/>
      <c r="AD234" s="68"/>
      <c r="AE234" s="68"/>
      <c r="AF234" s="68"/>
      <c r="AG234" s="68"/>
      <c r="AH234" s="68"/>
      <c r="AI234" s="68"/>
      <c r="AJ234" s="68">
        <v>1</v>
      </c>
      <c r="AL234" s="68">
        <v>1</v>
      </c>
      <c r="AM234" s="68"/>
      <c r="AN234" s="68"/>
      <c r="AO234" s="68"/>
      <c r="AQ234" s="68"/>
      <c r="AR234" s="68"/>
      <c r="AS234" s="68"/>
      <c r="AT234" s="68"/>
      <c r="AU234" s="68"/>
      <c r="AV234" s="68"/>
      <c r="AW234" s="68"/>
      <c r="AX234" s="68"/>
      <c r="AY234" s="68"/>
      <c r="AZ234" s="68"/>
      <c r="BB234" s="68"/>
      <c r="BC234" s="68"/>
      <c r="BJ234" s="68"/>
      <c r="BT234">
        <v>1</v>
      </c>
      <c r="BV234">
        <v>1</v>
      </c>
      <c r="BX234" s="68"/>
      <c r="BY234" s="68">
        <v>1</v>
      </c>
      <c r="BZ234" s="68">
        <v>0</v>
      </c>
      <c r="CA234" s="68">
        <v>0</v>
      </c>
      <c r="CB234" s="68">
        <v>0</v>
      </c>
      <c r="CC234" s="68">
        <f t="shared" si="92"/>
        <v>0</v>
      </c>
      <c r="CD234" s="68">
        <f t="shared" si="93"/>
        <v>0</v>
      </c>
    </row>
    <row r="235" spans="1:82" ht="15.75" customHeight="1" thickBot="1" x14ac:dyDescent="0.3">
      <c r="A235" s="6">
        <v>234</v>
      </c>
      <c r="B235" s="7" t="s">
        <v>322</v>
      </c>
      <c r="C235" s="7" t="s">
        <v>31</v>
      </c>
      <c r="D235" s="7" t="s">
        <v>17</v>
      </c>
      <c r="E235" s="50">
        <v>-62.266263726232502</v>
      </c>
      <c r="F235" s="50">
        <v>150.51165254311701</v>
      </c>
      <c r="G235" s="50">
        <v>185.55173657826799</v>
      </c>
      <c r="H235" s="50">
        <v>116.42504460121501</v>
      </c>
      <c r="I235" s="8">
        <v>1.2</v>
      </c>
      <c r="J235" s="50">
        <v>5.6832592198134098</v>
      </c>
      <c r="K235" s="248">
        <f>IFERROR(VLOOKUP(C235,Schedule!$T$3:$U$34,2,0),"FA")</f>
        <v>9</v>
      </c>
      <c r="L235" s="7" t="str">
        <f>D235&amp;COUNTIF(D$2:$D235,D235)</f>
        <v>WR61</v>
      </c>
      <c r="M235" s="50">
        <f t="array" ref="M235">IFERROR(F235-AVERAGE(VLOOKUP(D235,$D236:$F$885,3,0),INDEX($F236:$F$885,SMALL(IF(D235=$D236:$D$885,ROW($D236:$D$885)-ROW(D235)),2))),0)</f>
        <v>2.0857861113200045</v>
      </c>
      <c r="N235" s="50">
        <f>IFERROR(IF(VLOOKUP($B235,Input!$AC$2:$AC$162,1,0)=$B235,0),F235)</f>
        <v>150.51165254311701</v>
      </c>
      <c r="O235" s="50">
        <f>IFERROR(IF(VLOOKUP($B235,Input!$AC$2:$AC$162,1,0)=$B235,0,G235),G235)</f>
        <v>185.55173657826799</v>
      </c>
      <c r="P235" s="50">
        <f>IF(N235=0,0,F235-AVERAGE(INDEX(F:F,MATCH(VLOOKUP(D235,Input!$A$14:$L$22,10,0),L:L,0)),INDEX(F:F,MATCH(VLOOKUP(D235,Input!$A$14:$L$22,11,0),L:L,0)),INDEX(F:F,MATCH(VLOOKUP(D235,Input!$A$14:$L$22,12,0),L:L,0)))+(0.01-ROW()*0.01))</f>
        <v>-64.606263726232015</v>
      </c>
      <c r="Q235" s="106">
        <f t="shared" si="84"/>
        <v>-2.2288704925360951E-2</v>
      </c>
      <c r="R235" s="8">
        <f>IF(VLOOKUP($D235,$X$14:$Y$19,2,0)&lt;=0,1,IF(Q235&lt;0,1,ROUNDUP(IF(Q235*('Draft Center'!$L$28+'Draft Center'!$L$78-'Draft Center'!$L$82)&lt;1,1,Q235*('Draft Center'!$L$28+'Draft Center'!$L$78-'Draft Center'!$L$82)),0)))</f>
        <v>1</v>
      </c>
      <c r="S235" s="8">
        <f>IF(A235&lt;Input!$B$10+0.1,IF(ROUNDUP(R235*Input!$C$10,0)=0,1,ROUNDUP(R235*Input!$C$10,0)),IF(A235&gt;Input!$B$11,IF(ROUNDUP(R235*Input!$C$11,0)=0,1,ROUNDUP(R235*Input!$C$11,0)),IF(ROUNDUP(R235,0)=0,1,ROUNDUP(R235,0))))</f>
        <v>1</v>
      </c>
      <c r="T235" s="8">
        <f t="shared" si="85"/>
        <v>1</v>
      </c>
      <c r="U235" s="8">
        <f>IFERROR(VLOOKUP($B235,Input!$AC$2:$AE$161,3,0),0)</f>
        <v>0</v>
      </c>
      <c r="V235" s="256">
        <f t="shared" si="90"/>
        <v>-0.16431666666666664</v>
      </c>
      <c r="W235" s="263">
        <f t="shared" si="91"/>
        <v>-0.19764999999999996</v>
      </c>
      <c r="X235" s="68"/>
      <c r="Y235" s="68"/>
      <c r="Z235" s="68"/>
      <c r="AA235" s="68"/>
      <c r="AB235" s="68"/>
      <c r="AC235" s="68"/>
      <c r="AD235" s="68"/>
      <c r="AE235" s="68"/>
      <c r="AF235" s="68"/>
      <c r="AG235" s="68"/>
      <c r="AH235" s="68"/>
      <c r="AI235" s="68"/>
      <c r="AJ235" s="68">
        <v>1</v>
      </c>
      <c r="AL235" s="68">
        <v>1</v>
      </c>
      <c r="AM235" s="68"/>
      <c r="AN235" s="68"/>
      <c r="AO235" s="68"/>
      <c r="AQ235" s="68"/>
      <c r="AR235" s="68"/>
      <c r="AS235" s="68"/>
      <c r="AT235" s="68"/>
      <c r="AU235" s="68"/>
      <c r="AV235" s="68"/>
      <c r="AW235" s="68"/>
      <c r="AX235" s="68"/>
      <c r="AY235" s="68"/>
      <c r="AZ235" s="68"/>
      <c r="BB235" s="68"/>
      <c r="BC235" s="68"/>
      <c r="BJ235" s="68"/>
      <c r="BT235">
        <v>1</v>
      </c>
      <c r="BV235">
        <v>1</v>
      </c>
      <c r="BX235" s="68"/>
      <c r="BY235" s="68">
        <v>1</v>
      </c>
      <c r="BZ235" s="68">
        <v>1.2</v>
      </c>
      <c r="CA235" s="68">
        <v>1.2</v>
      </c>
      <c r="CB235" s="68">
        <v>1.2</v>
      </c>
      <c r="CC235" s="68">
        <f t="shared" si="92"/>
        <v>1.2</v>
      </c>
      <c r="CD235" s="68">
        <f t="shared" si="93"/>
        <v>1.2</v>
      </c>
    </row>
    <row r="236" spans="1:82" ht="15.75" customHeight="1" thickBot="1" x14ac:dyDescent="0.3">
      <c r="A236" s="9">
        <v>235</v>
      </c>
      <c r="B236" s="10" t="s">
        <v>379</v>
      </c>
      <c r="C236" s="10" t="s">
        <v>42</v>
      </c>
      <c r="D236" s="10" t="s">
        <v>19</v>
      </c>
      <c r="E236" s="51">
        <v>-63.428085486044097</v>
      </c>
      <c r="F236" s="51">
        <v>105.674312539908</v>
      </c>
      <c r="G236" s="51">
        <v>123.15217745927301</v>
      </c>
      <c r="H236" s="51">
        <v>74.4992866941015</v>
      </c>
      <c r="I236" s="11">
        <v>0</v>
      </c>
      <c r="J236" s="51">
        <v>5.4810775289478304</v>
      </c>
      <c r="K236" s="249">
        <f>IFERROR(VLOOKUP(C236,Schedule!$T$3:$U$34,2,0),"FA")</f>
        <v>9</v>
      </c>
      <c r="L236" s="10" t="str">
        <f>D236&amp;COUNTIF(D$2:$D236,D236)</f>
        <v>RB54</v>
      </c>
      <c r="M236" s="51">
        <f t="array" ref="M236">IFERROR(F236-AVERAGE(VLOOKUP(D236,$D237:$F$885,3,0),INDEX($F237:$F$885,SMALL(IF(D236=$D237:$D$885,ROW($D237:$D$885)-ROW(D236)),2))),0)</f>
        <v>5.3205428027817021</v>
      </c>
      <c r="N236" s="51">
        <f>IFERROR(IF(VLOOKUP($B236,Input!$AC$2:$AC$162,1,0)=$B236,0),F236)</f>
        <v>105.674312539908</v>
      </c>
      <c r="O236" s="51">
        <f>IFERROR(IF(VLOOKUP($B236,Input!$AC$2:$AC$162,1,0)=$B236,0,G236),G236)</f>
        <v>123.15217745927301</v>
      </c>
      <c r="P236" s="51">
        <f>IF(N236=0,0,F236-AVERAGE(INDEX(F:F,MATCH(VLOOKUP(D236,Input!$A$14:$L$22,10,0),L:L,0)),INDEX(F:F,MATCH(VLOOKUP(D236,Input!$A$14:$L$22,11,0),L:L,0)),INDEX(F:F,MATCH(VLOOKUP(D236,Input!$A$14:$L$22,12,0),L:L,0)))+(0.01-ROW()*0.01))</f>
        <v>-65.778085486043992</v>
      </c>
      <c r="Q236" s="107">
        <f t="shared" si="84"/>
        <v>-2.2692975160523328E-2</v>
      </c>
      <c r="R236" s="11">
        <f>IF(VLOOKUP($D236,$X$14:$Y$19,2,0)&lt;=0,1,IF(Q236&lt;0,1,ROUNDUP(IF(Q236*('Draft Center'!$L$28+'Draft Center'!$L$78-'Draft Center'!$L$82)&lt;1,1,Q236*('Draft Center'!$L$28+'Draft Center'!$L$78-'Draft Center'!$L$82)),0)))</f>
        <v>1</v>
      </c>
      <c r="S236" s="11">
        <f>IF(A236&lt;Input!$B$10+0.1,IF(ROUNDUP(R236*Input!$C$10,0)=0,1,ROUNDUP(R236*Input!$C$10,0)),IF(A236&gt;Input!$B$11,IF(ROUNDUP(R236*Input!$C$11,0)=0,1,ROUNDUP(R236*Input!$C$11,0)),IF(ROUNDUP(R236,0)=0,1,ROUNDUP(R236,0))))</f>
        <v>1</v>
      </c>
      <c r="T236" s="11">
        <f t="shared" si="85"/>
        <v>1</v>
      </c>
      <c r="U236" s="11">
        <f>IFERROR(VLOOKUP($B236,Input!$AC$2:$AE$161,3,0),0)</f>
        <v>0</v>
      </c>
      <c r="V236" s="257">
        <f t="shared" si="90"/>
        <v>0</v>
      </c>
      <c r="W236" s="264">
        <f t="shared" si="91"/>
        <v>1.0023599999999999</v>
      </c>
      <c r="X236" s="68"/>
      <c r="Y236" s="68"/>
      <c r="Z236" s="68"/>
      <c r="AA236" s="68"/>
      <c r="AB236" s="68"/>
      <c r="AC236" s="68"/>
      <c r="AD236" s="68"/>
      <c r="AE236" s="68"/>
      <c r="AF236" s="68"/>
      <c r="AG236" s="68"/>
      <c r="AH236" s="68"/>
      <c r="AI236" s="68"/>
      <c r="AJ236" s="68">
        <v>1</v>
      </c>
      <c r="AL236" s="68">
        <v>1</v>
      </c>
      <c r="AM236" s="68"/>
      <c r="AN236" s="68"/>
      <c r="AO236" s="68"/>
      <c r="AQ236" s="68"/>
      <c r="AR236" s="68"/>
      <c r="AS236" s="68"/>
      <c r="AT236" s="68"/>
      <c r="AU236" s="68"/>
      <c r="AV236" s="68"/>
      <c r="AW236" s="68"/>
      <c r="AX236" s="68"/>
      <c r="AY236" s="68"/>
      <c r="AZ236" s="68"/>
      <c r="BB236" s="68"/>
      <c r="BC236" s="68"/>
      <c r="BJ236" s="68"/>
      <c r="BT236">
        <v>1</v>
      </c>
      <c r="BV236">
        <v>1</v>
      </c>
      <c r="BX236" s="68"/>
      <c r="BY236" s="68">
        <v>1</v>
      </c>
      <c r="BZ236" s="68">
        <v>0</v>
      </c>
      <c r="CA236" s="68">
        <v>0</v>
      </c>
      <c r="CB236" s="68">
        <v>0</v>
      </c>
      <c r="CC236" s="68">
        <f t="shared" si="92"/>
        <v>0</v>
      </c>
      <c r="CD236" s="68">
        <f t="shared" si="93"/>
        <v>0</v>
      </c>
    </row>
    <row r="237" spans="1:82" ht="15.75" customHeight="1" thickBot="1" x14ac:dyDescent="0.3">
      <c r="A237" s="6">
        <v>236</v>
      </c>
      <c r="B237" s="7" t="s">
        <v>152</v>
      </c>
      <c r="C237" s="7" t="s">
        <v>48</v>
      </c>
      <c r="D237" s="7" t="s">
        <v>17</v>
      </c>
      <c r="E237" s="50">
        <v>-63.989539275832499</v>
      </c>
      <c r="F237" s="50">
        <v>148.78837699351701</v>
      </c>
      <c r="G237" s="50">
        <v>182.544202084951</v>
      </c>
      <c r="H237" s="50">
        <v>109.215796727415</v>
      </c>
      <c r="I237" s="8">
        <v>1.1000000000000001</v>
      </c>
      <c r="J237" s="50">
        <v>6.2347237054607101</v>
      </c>
      <c r="K237" s="248">
        <f>IFERROR(VLOOKUP(C237,Schedule!$T$3:$U$34,2,0),"FA")</f>
        <v>10</v>
      </c>
      <c r="L237" s="7" t="str">
        <f>D237&amp;COUNTIF(D$2:$D237,D237)</f>
        <v>WR62</v>
      </c>
      <c r="M237" s="50">
        <f t="array" ref="M237">IFERROR(F237-AVERAGE(VLOOKUP(D237,$D238:$F$885,3,0),INDEX($F238:$F$885,SMALL(IF(D237=$D238:$D$885,ROW($D238:$D$885)-ROW(D237)),2))),0)</f>
        <v>2.0214308956790035</v>
      </c>
      <c r="N237" s="50">
        <f>IFERROR(IF(VLOOKUP($B237,Input!$AC$2:$AC$162,1,0)=$B237,0),F237)</f>
        <v>148.78837699351701</v>
      </c>
      <c r="O237" s="50">
        <f>IFERROR(IF(VLOOKUP($B237,Input!$AC$2:$AC$162,1,0)=$B237,0,G237),G237)</f>
        <v>182.544202084951</v>
      </c>
      <c r="P237" s="50">
        <f>IF(N237=0,0,F237-AVERAGE(INDEX(F:F,MATCH(VLOOKUP(D237,Input!$A$14:$L$22,10,0),L:L,0)),INDEX(F:F,MATCH(VLOOKUP(D237,Input!$A$14:$L$22,11,0),L:L,0)),INDEX(F:F,MATCH(VLOOKUP(D237,Input!$A$14:$L$22,12,0),L:L,0)))+(0.01-ROW()*0.01))</f>
        <v>-66.349539275832015</v>
      </c>
      <c r="Q237" s="106">
        <f t="shared" si="84"/>
        <v>-2.289012268406744E-2</v>
      </c>
      <c r="R237" s="8">
        <f>IF(VLOOKUP($D237,$X$14:$Y$19,2,0)&lt;=0,1,IF(Q237&lt;0,1,ROUNDUP(IF(Q237*('Draft Center'!$L$28+'Draft Center'!$L$78-'Draft Center'!$L$82)&lt;1,1,Q237*('Draft Center'!$L$28+'Draft Center'!$L$78-'Draft Center'!$L$82)),0)))</f>
        <v>1</v>
      </c>
      <c r="S237" s="8">
        <f>IF(A237&lt;Input!$B$10+0.1,IF(ROUNDUP(R237*Input!$C$10,0)=0,1,ROUNDUP(R237*Input!$C$10,0)),IF(A237&gt;Input!$B$11,IF(ROUNDUP(R237*Input!$C$11,0)=0,1,ROUNDUP(R237*Input!$C$11,0)),IF(ROUNDUP(R237,0)=0,1,ROUNDUP(R237,0))))</f>
        <v>1</v>
      </c>
      <c r="T237" s="8">
        <f t="shared" si="85"/>
        <v>1</v>
      </c>
      <c r="U237" s="8">
        <f>IFERROR(VLOOKUP($B237,Input!$AC$2:$AE$161,3,0),0)</f>
        <v>0</v>
      </c>
      <c r="V237" s="256">
        <f t="shared" si="90"/>
        <v>-8.8539090909090984E-2</v>
      </c>
      <c r="W237" s="263">
        <f t="shared" si="91"/>
        <v>-9.7630000000000092E-2</v>
      </c>
      <c r="X237" s="68"/>
      <c r="Y237" s="68"/>
      <c r="Z237" s="68"/>
      <c r="AA237" s="68"/>
      <c r="AB237" s="68"/>
      <c r="AC237" s="68"/>
      <c r="AD237" s="68"/>
      <c r="AE237" s="68"/>
      <c r="AF237" s="68"/>
      <c r="AG237" s="68"/>
      <c r="AH237" s="68"/>
      <c r="AI237" s="68"/>
      <c r="AJ237" s="68">
        <v>1</v>
      </c>
      <c r="AL237" s="68">
        <v>1</v>
      </c>
      <c r="AM237" s="68"/>
      <c r="AN237" s="68"/>
      <c r="AO237" s="68"/>
      <c r="AQ237" s="68"/>
      <c r="AR237" s="68"/>
      <c r="AS237" s="68"/>
      <c r="AT237" s="68"/>
      <c r="AU237" s="68"/>
      <c r="AV237" s="68"/>
      <c r="AW237" s="68"/>
      <c r="AX237" s="68"/>
      <c r="AY237" s="68"/>
      <c r="AZ237" s="68"/>
      <c r="BB237" s="68"/>
      <c r="BC237" s="68"/>
      <c r="BJ237" s="68"/>
      <c r="BT237">
        <v>1</v>
      </c>
      <c r="BV237">
        <v>1</v>
      </c>
      <c r="BX237" s="68"/>
      <c r="BY237" s="68">
        <v>1</v>
      </c>
      <c r="BZ237" s="68">
        <v>1.1000000000000001</v>
      </c>
      <c r="CA237" s="68">
        <v>1.1000000000000001</v>
      </c>
      <c r="CB237" s="68">
        <v>1.1000000000000001</v>
      </c>
      <c r="CC237" s="68">
        <f t="shared" si="92"/>
        <v>1.1000000000000001</v>
      </c>
      <c r="CD237" s="68">
        <f t="shared" si="93"/>
        <v>1.1000000000000001</v>
      </c>
    </row>
    <row r="238" spans="1:82" ht="15.75" customHeight="1" thickBot="1" x14ac:dyDescent="0.3">
      <c r="A238" s="9">
        <v>237</v>
      </c>
      <c r="B238" s="10" t="s">
        <v>281</v>
      </c>
      <c r="C238" s="10" t="s">
        <v>38</v>
      </c>
      <c r="D238" s="10" t="s">
        <v>17</v>
      </c>
      <c r="E238" s="51">
        <v>-64.714560399271903</v>
      </c>
      <c r="F238" s="51">
        <v>148.063355870077</v>
      </c>
      <c r="G238" s="51">
        <v>196.56191444908899</v>
      </c>
      <c r="H238" s="51">
        <v>99.1915485395308</v>
      </c>
      <c r="I238" s="11">
        <v>0</v>
      </c>
      <c r="J238" s="51">
        <v>6.6727296998875003</v>
      </c>
      <c r="K238" s="249">
        <f>IFERROR(VLOOKUP(C238,Schedule!$T$3:$U$34,2,0),"FA")</f>
        <v>6</v>
      </c>
      <c r="L238" s="10" t="str">
        <f>D238&amp;COUNTIF(D$2:$D238,D238)</f>
        <v>WR63</v>
      </c>
      <c r="M238" s="51">
        <f t="array" ref="M238">IFERROR(F238-AVERAGE(VLOOKUP(D238,$D239:$F$885,3,0),INDEX($F239:$F$885,SMALL(IF(D238=$D239:$D$885,ROW($D239:$D$885)-ROW(D238)),2))),0)</f>
        <v>5.4927022909385244</v>
      </c>
      <c r="N238" s="51">
        <f>IFERROR(IF(VLOOKUP($B238,Input!$AC$2:$AC$162,1,0)=$B238,0),F238)</f>
        <v>148.063355870077</v>
      </c>
      <c r="O238" s="51">
        <f>IFERROR(IF(VLOOKUP($B238,Input!$AC$2:$AC$162,1,0)=$B238,0,G238),G238)</f>
        <v>196.56191444908899</v>
      </c>
      <c r="P238" s="51">
        <f>IF(N238=0,0,F238-AVERAGE(INDEX(F:F,MATCH(VLOOKUP(D238,Input!$A$14:$L$22,10,0),L:L,0)),INDEX(F:F,MATCH(VLOOKUP(D238,Input!$A$14:$L$22,11,0),L:L,0)),INDEX(F:F,MATCH(VLOOKUP(D238,Input!$A$14:$L$22,12,0),L:L,0)))+(0.01-ROW()*0.01))</f>
        <v>-67.084560399272021</v>
      </c>
      <c r="Q238" s="107">
        <f t="shared" si="84"/>
        <v>-2.3143699783088102E-2</v>
      </c>
      <c r="R238" s="11">
        <f>IF(VLOOKUP($D238,$X$14:$Y$19,2,0)&lt;=0,1,IF(Q238&lt;0,1,ROUNDUP(IF(Q238*('Draft Center'!$L$28+'Draft Center'!$L$78-'Draft Center'!$L$82)&lt;1,1,Q238*('Draft Center'!$L$28+'Draft Center'!$L$78-'Draft Center'!$L$82)),0)))</f>
        <v>1</v>
      </c>
      <c r="S238" s="11">
        <f>IF(A238&lt;Input!$B$10+0.1,IF(ROUNDUP(R238*Input!$C$10,0)=0,1,ROUNDUP(R238*Input!$C$10,0)),IF(A238&gt;Input!$B$11,IF(ROUNDUP(R238*Input!$C$11,0)=0,1,ROUNDUP(R238*Input!$C$11,0)),IF(ROUNDUP(R238,0)=0,1,ROUNDUP(R238,0))))</f>
        <v>1</v>
      </c>
      <c r="T238" s="11">
        <f t="shared" si="85"/>
        <v>1</v>
      </c>
      <c r="U238" s="11">
        <f>IFERROR(VLOOKUP($B238,Input!$AC$2:$AE$161,3,0),0)</f>
        <v>0</v>
      </c>
      <c r="V238" s="257">
        <f t="shared" si="90"/>
        <v>0</v>
      </c>
      <c r="W238" s="264">
        <f t="shared" si="91"/>
        <v>1.00238</v>
      </c>
      <c r="X238" s="68"/>
      <c r="Y238" s="68"/>
      <c r="Z238" s="68"/>
      <c r="AA238" s="68"/>
      <c r="AB238" s="68"/>
      <c r="AC238" s="68"/>
      <c r="AD238" s="68"/>
      <c r="AE238" s="68"/>
      <c r="AF238" s="68"/>
      <c r="AG238" s="68"/>
      <c r="AH238" s="68"/>
      <c r="AI238" s="68"/>
      <c r="AJ238" s="68">
        <v>1</v>
      </c>
      <c r="AL238" s="68">
        <v>1</v>
      </c>
      <c r="AM238" s="68"/>
      <c r="AN238" s="68"/>
      <c r="AO238" s="68"/>
      <c r="AQ238" s="68"/>
      <c r="AR238" s="68"/>
      <c r="AS238" s="68"/>
      <c r="AT238" s="68"/>
      <c r="AU238" s="68"/>
      <c r="AV238" s="68"/>
      <c r="AW238" s="68"/>
      <c r="AX238" s="68"/>
      <c r="AY238" s="68"/>
      <c r="AZ238" s="68"/>
      <c r="BB238" s="68"/>
      <c r="BC238" s="68"/>
      <c r="BJ238" s="68"/>
      <c r="BT238">
        <v>1</v>
      </c>
      <c r="BV238">
        <v>1</v>
      </c>
      <c r="BX238" s="68"/>
      <c r="BY238" s="68">
        <v>1</v>
      </c>
      <c r="BZ238" s="68">
        <v>0</v>
      </c>
      <c r="CA238" s="68">
        <v>0</v>
      </c>
      <c r="CB238" s="68">
        <v>0</v>
      </c>
      <c r="CC238" s="68">
        <f t="shared" si="92"/>
        <v>0</v>
      </c>
      <c r="CD238" s="68">
        <f t="shared" si="93"/>
        <v>0</v>
      </c>
    </row>
    <row r="239" spans="1:82" ht="15.75" customHeight="1" thickBot="1" x14ac:dyDescent="0.3">
      <c r="A239" s="6">
        <v>238</v>
      </c>
      <c r="B239" s="7" t="s">
        <v>247</v>
      </c>
      <c r="C239" s="7" t="s">
        <v>33</v>
      </c>
      <c r="D239" s="7" t="s">
        <v>19</v>
      </c>
      <c r="E239" s="50">
        <v>-66.438866517284396</v>
      </c>
      <c r="F239" s="50">
        <v>102.66353150866701</v>
      </c>
      <c r="G239" s="50">
        <v>123.017944717756</v>
      </c>
      <c r="H239" s="50">
        <v>87.509285929845205</v>
      </c>
      <c r="I239" s="8">
        <v>0</v>
      </c>
      <c r="J239" s="50">
        <v>5.2615211970830202</v>
      </c>
      <c r="K239" s="248">
        <f>IFERROR(VLOOKUP(C239,Schedule!$T$3:$U$34,2,0),"FA")</f>
        <v>9</v>
      </c>
      <c r="L239" s="7" t="str">
        <f>D239&amp;COUNTIF(D$2:$D239,D239)</f>
        <v>RB55</v>
      </c>
      <c r="M239" s="50">
        <f t="array" ref="M239">IFERROR(F239-AVERAGE(VLOOKUP(D239,$D240:$F$885,3,0),INDEX($F240:$F$885,SMALL(IF(D239=$D240:$D$885,ROW($D240:$D$885)-ROW(D239)),2))),0)</f>
        <v>5.2422282328558083</v>
      </c>
      <c r="N239" s="50">
        <f>IFERROR(IF(VLOOKUP($B239,Input!$AC$2:$AC$162,1,0)=$B239,0),F239)</f>
        <v>102.66353150866701</v>
      </c>
      <c r="O239" s="50">
        <f>IFERROR(IF(VLOOKUP($B239,Input!$AC$2:$AC$162,1,0)=$B239,0,G239),G239)</f>
        <v>123.017944717756</v>
      </c>
      <c r="P239" s="50">
        <f>IF(N239=0,0,F239-AVERAGE(INDEX(F:F,MATCH(VLOOKUP(D239,Input!$A$14:$L$22,10,0),L:L,0)),INDEX(F:F,MATCH(VLOOKUP(D239,Input!$A$14:$L$22,11,0),L:L,0)),INDEX(F:F,MATCH(VLOOKUP(D239,Input!$A$14:$L$22,12,0),L:L,0)))+(0.01-ROW()*0.01))</f>
        <v>-68.818866517284988</v>
      </c>
      <c r="Q239" s="106">
        <f t="shared" si="84"/>
        <v>-2.3742023151212918E-2</v>
      </c>
      <c r="R239" s="8">
        <f>IF(VLOOKUP($D239,$X$14:$Y$19,2,0)&lt;=0,1,IF(Q239&lt;0,1,ROUNDUP(IF(Q239*('Draft Center'!$L$28+'Draft Center'!$L$78-'Draft Center'!$L$82)&lt;1,1,Q239*('Draft Center'!$L$28+'Draft Center'!$L$78-'Draft Center'!$L$82)),0)))</f>
        <v>1</v>
      </c>
      <c r="S239" s="8">
        <f>IF(A239&lt;Input!$B$10+0.1,IF(ROUNDUP(R239*Input!$C$10,0)=0,1,ROUNDUP(R239*Input!$C$10,0)),IF(A239&gt;Input!$B$11,IF(ROUNDUP(R239*Input!$C$11,0)=0,1,ROUNDUP(R239*Input!$C$11,0)),IF(ROUNDUP(R239,0)=0,1,ROUNDUP(R239,0))))</f>
        <v>1</v>
      </c>
      <c r="T239" s="8">
        <f t="shared" si="85"/>
        <v>1</v>
      </c>
      <c r="U239" s="8">
        <f>IFERROR(VLOOKUP($B239,Input!$AC$2:$AE$161,3,0),0)</f>
        <v>0</v>
      </c>
      <c r="V239" s="256">
        <f t="shared" si="90"/>
        <v>0</v>
      </c>
      <c r="W239" s="263">
        <f t="shared" si="91"/>
        <v>1.0023899999999999</v>
      </c>
      <c r="X239" s="68"/>
      <c r="Y239" s="68"/>
      <c r="Z239" s="68"/>
      <c r="AA239" s="68"/>
      <c r="AB239" s="68"/>
      <c r="AC239" s="68"/>
      <c r="AD239" s="68"/>
      <c r="AE239" s="68"/>
      <c r="AF239" s="68"/>
      <c r="AG239" s="68"/>
      <c r="AH239" s="68"/>
      <c r="AI239" s="68"/>
      <c r="AJ239" s="68">
        <v>1</v>
      </c>
      <c r="AL239" s="68">
        <v>1</v>
      </c>
      <c r="AM239" s="68"/>
      <c r="AN239" s="68"/>
      <c r="AO239" s="68"/>
      <c r="AQ239" s="68"/>
      <c r="AR239" s="68"/>
      <c r="AS239" s="68"/>
      <c r="AT239" s="68"/>
      <c r="AU239" s="68"/>
      <c r="AV239" s="68"/>
      <c r="AW239" s="68"/>
      <c r="AX239" s="68"/>
      <c r="AY239" s="68"/>
      <c r="AZ239" s="68"/>
      <c r="BB239" s="68"/>
      <c r="BC239" s="68"/>
      <c r="BJ239" s="68"/>
      <c r="BT239">
        <v>1</v>
      </c>
      <c r="BV239">
        <v>1</v>
      </c>
      <c r="BX239" s="68"/>
      <c r="BY239" s="68">
        <v>1</v>
      </c>
      <c r="BZ239" s="68">
        <v>0</v>
      </c>
      <c r="CA239" s="68">
        <v>0</v>
      </c>
      <c r="CB239" s="68">
        <v>0</v>
      </c>
      <c r="CC239" s="68">
        <f t="shared" si="92"/>
        <v>0</v>
      </c>
      <c r="CD239" s="68">
        <f t="shared" si="93"/>
        <v>0</v>
      </c>
    </row>
    <row r="240" spans="1:82" ht="15.75" customHeight="1" thickBot="1" x14ac:dyDescent="0.3">
      <c r="A240" s="9">
        <v>239</v>
      </c>
      <c r="B240" s="10" t="s">
        <v>756</v>
      </c>
      <c r="C240" s="10" t="s">
        <v>27</v>
      </c>
      <c r="D240" s="10" t="s">
        <v>17</v>
      </c>
      <c r="E240" s="51">
        <v>-67.307379943749794</v>
      </c>
      <c r="F240" s="51">
        <v>145.470536325599</v>
      </c>
      <c r="G240" s="51">
        <v>174.639855464535</v>
      </c>
      <c r="H240" s="51">
        <v>89.300262135922296</v>
      </c>
      <c r="I240" s="11">
        <v>1.1000000000000001</v>
      </c>
      <c r="J240" s="51">
        <v>7.2069732544029899</v>
      </c>
      <c r="K240" s="249">
        <f>IFERROR(VLOOKUP(C240,Schedule!$T$3:$U$34,2,0),"FA")</f>
        <v>8</v>
      </c>
      <c r="L240" s="10" t="str">
        <f>D240&amp;COUNTIF(D$2:$D240,D240)</f>
        <v>WR64</v>
      </c>
      <c r="M240" s="51">
        <f t="array" ref="M240">IFERROR(F240-AVERAGE(VLOOKUP(D240,$D241:$F$885,3,0),INDEX($F241:$F$885,SMALL(IF(D240=$D241:$D$885,ROW($D241:$D$885)-ROW(D240)),2))),0)</f>
        <v>6.7340866480344914</v>
      </c>
      <c r="N240" s="51">
        <f>IFERROR(IF(VLOOKUP($B240,Input!$AC$2:$AC$162,1,0)=$B240,0),F240)</f>
        <v>145.470536325599</v>
      </c>
      <c r="O240" s="51">
        <f>IFERROR(IF(VLOOKUP($B240,Input!$AC$2:$AC$162,1,0)=$B240,0,G240),G240)</f>
        <v>174.639855464535</v>
      </c>
      <c r="P240" s="51">
        <f>IF(N240=0,0,F240-AVERAGE(INDEX(F:F,MATCH(VLOOKUP(D240,Input!$A$14:$L$22,10,0),L:L,0)),INDEX(F:F,MATCH(VLOOKUP(D240,Input!$A$14:$L$22,11,0),L:L,0)),INDEX(F:F,MATCH(VLOOKUP(D240,Input!$A$14:$L$22,12,0),L:L,0)))+(0.01-ROW()*0.01))</f>
        <v>-69.697379943750022</v>
      </c>
      <c r="Q240" s="107">
        <f t="shared" si="84"/>
        <v>-2.4045104081854885E-2</v>
      </c>
      <c r="R240" s="11">
        <f>IF(VLOOKUP($D240,$X$14:$Y$19,2,0)&lt;=0,1,IF(Q240&lt;0,1,ROUNDUP(IF(Q240*('Draft Center'!$L$28+'Draft Center'!$L$78-'Draft Center'!$L$82)&lt;1,1,Q240*('Draft Center'!$L$28+'Draft Center'!$L$78-'Draft Center'!$L$82)),0)))</f>
        <v>1</v>
      </c>
      <c r="S240" s="11">
        <f>IF(A240&lt;Input!$B$10+0.1,IF(ROUNDUP(R240*Input!$C$10,0)=0,1,ROUNDUP(R240*Input!$C$10,0)),IF(A240&gt;Input!$B$11,IF(ROUNDUP(R240*Input!$C$11,0)=0,1,ROUNDUP(R240*Input!$C$11,0)),IF(ROUNDUP(R240,0)=0,1,ROUNDUP(R240,0))))</f>
        <v>1</v>
      </c>
      <c r="T240" s="11">
        <f t="shared" si="85"/>
        <v>1</v>
      </c>
      <c r="U240" s="11">
        <f>IFERROR(VLOOKUP($B240,Input!$AC$2:$AE$161,3,0),0)</f>
        <v>0</v>
      </c>
      <c r="V240" s="257">
        <f t="shared" si="90"/>
        <v>-8.8509090909090982E-2</v>
      </c>
      <c r="W240" s="264">
        <f t="shared" si="91"/>
        <v>-9.7600000000000089E-2</v>
      </c>
      <c r="X240" s="68"/>
      <c r="Y240" s="68"/>
      <c r="Z240" s="68"/>
      <c r="AA240" s="68"/>
      <c r="AB240" s="68"/>
      <c r="AC240" s="68"/>
      <c r="AD240" s="68"/>
      <c r="AE240" s="68"/>
      <c r="AF240" s="68"/>
      <c r="AG240" s="68"/>
      <c r="AH240" s="68"/>
      <c r="AI240" s="68"/>
      <c r="AJ240" s="68">
        <v>1</v>
      </c>
      <c r="AL240" s="68">
        <v>1</v>
      </c>
      <c r="AM240" s="68"/>
      <c r="AN240" s="68"/>
      <c r="AO240" s="68"/>
      <c r="AQ240" s="68"/>
      <c r="AR240" s="68"/>
      <c r="AS240" s="68"/>
      <c r="AT240" s="68"/>
      <c r="AU240" s="68"/>
      <c r="AV240" s="68"/>
      <c r="AW240" s="68"/>
      <c r="AX240" s="68"/>
      <c r="AY240" s="68"/>
      <c r="AZ240" s="68"/>
      <c r="BB240" s="68"/>
      <c r="BC240" s="68"/>
      <c r="BJ240" s="68"/>
      <c r="BT240">
        <v>1</v>
      </c>
      <c r="BV240">
        <v>1</v>
      </c>
      <c r="BX240" s="68"/>
      <c r="BY240" s="68">
        <v>1</v>
      </c>
      <c r="BZ240" s="68">
        <v>1.1000000000000001</v>
      </c>
      <c r="CA240" s="68">
        <v>1.1000000000000001</v>
      </c>
      <c r="CB240" s="68">
        <v>1.1000000000000001</v>
      </c>
      <c r="CC240" s="68">
        <f t="shared" si="92"/>
        <v>1.1000000000000001</v>
      </c>
      <c r="CD240" s="68">
        <f t="shared" si="93"/>
        <v>1.1000000000000001</v>
      </c>
    </row>
    <row r="241" spans="1:82" ht="15.75" customHeight="1" thickBot="1" x14ac:dyDescent="0.3">
      <c r="A241" s="6">
        <v>240</v>
      </c>
      <c r="B241" s="7" t="s">
        <v>396</v>
      </c>
      <c r="C241" s="7" t="s">
        <v>80</v>
      </c>
      <c r="D241" s="7" t="s">
        <v>43</v>
      </c>
      <c r="E241" s="50">
        <v>-68.609627694915403</v>
      </c>
      <c r="F241" s="50">
        <v>84.851291657293899</v>
      </c>
      <c r="G241" s="50">
        <v>117.33181262002699</v>
      </c>
      <c r="H241" s="50">
        <v>57.346388445152698</v>
      </c>
      <c r="I241" s="8">
        <v>0</v>
      </c>
      <c r="J241" s="50">
        <v>4.1530965722678896</v>
      </c>
      <c r="K241" s="248">
        <f>IFERROR(VLOOKUP(C241,Schedule!$T$3:$U$34,2,0),"FA")</f>
        <v>11</v>
      </c>
      <c r="L241" s="7" t="str">
        <f>D241&amp;COUNTIF(D$2:$D241,D241)</f>
        <v>TE30</v>
      </c>
      <c r="M241" s="50">
        <f t="array" ref="M241">IFERROR(F241-AVERAGE(VLOOKUP(D241,$D242:$F$885,3,0),INDEX($F242:$F$885,SMALL(IF(D241=$D242:$D$885,ROW($D242:$D$885)-ROW(D241)),2))),0)</f>
        <v>2.6538082183415952</v>
      </c>
      <c r="N241" s="50">
        <f>IFERROR(IF(VLOOKUP($B241,Input!$AC$2:$AC$162,1,0)=$B241,0),F241)</f>
        <v>84.851291657293899</v>
      </c>
      <c r="O241" s="50">
        <f>IFERROR(IF(VLOOKUP($B241,Input!$AC$2:$AC$162,1,0)=$B241,0,G241),G241)</f>
        <v>117.33181262002699</v>
      </c>
      <c r="P241" s="50">
        <f>IF(N241=0,0,F241-AVERAGE(INDEX(F:F,MATCH(VLOOKUP(D241,Input!$A$14:$L$22,10,0),L:L,0)),INDEX(F:F,MATCH(VLOOKUP(D241,Input!$A$14:$L$22,11,0),L:L,0)),INDEX(F:F,MATCH(VLOOKUP(D241,Input!$A$14:$L$22,12,0),L:L,0)))+(0.01-ROW()*0.01))</f>
        <v>-71.009627694915423</v>
      </c>
      <c r="Q241" s="106">
        <f t="shared" si="84"/>
        <v>-2.449782029275718E-2</v>
      </c>
      <c r="R241" s="8">
        <f>IF(VLOOKUP($D241,$X$14:$Y$19,2,0)&lt;=0,1,IF(Q241&lt;0,1,ROUNDUP(IF(Q241*('Draft Center'!$L$28+'Draft Center'!$L$78-'Draft Center'!$L$82)&lt;1,1,Q241*('Draft Center'!$L$28+'Draft Center'!$L$78-'Draft Center'!$L$82)),0)))</f>
        <v>1</v>
      </c>
      <c r="S241" s="8">
        <f>IF(A241&lt;Input!$B$10+0.1,IF(ROUNDUP(R241*Input!$C$10,0)=0,1,ROUNDUP(R241*Input!$C$10,0)),IF(A241&gt;Input!$B$11,IF(ROUNDUP(R241*Input!$C$11,0)=0,1,ROUNDUP(R241*Input!$C$11,0)),IF(ROUNDUP(R241,0)=0,1,ROUNDUP(R241,0))))</f>
        <v>1</v>
      </c>
      <c r="T241" s="8">
        <f t="shared" si="85"/>
        <v>1</v>
      </c>
      <c r="U241" s="8">
        <f>IFERROR(VLOOKUP($B241,Input!$AC$2:$AE$161,3,0),0)</f>
        <v>0</v>
      </c>
      <c r="V241" s="256">
        <f t="shared" si="90"/>
        <v>0</v>
      </c>
      <c r="W241" s="263">
        <f t="shared" si="91"/>
        <v>1.00241</v>
      </c>
      <c r="X241" s="68"/>
      <c r="Y241" s="68"/>
      <c r="Z241" s="68"/>
      <c r="AA241" s="68"/>
      <c r="AB241" s="68"/>
      <c r="AC241" s="68"/>
      <c r="AD241" s="68"/>
      <c r="AE241" s="68"/>
      <c r="AF241" s="68"/>
      <c r="AG241" s="68"/>
      <c r="AH241" s="68"/>
      <c r="AI241" s="68"/>
      <c r="AJ241" s="68">
        <v>1</v>
      </c>
      <c r="AL241" s="68">
        <v>1</v>
      </c>
      <c r="AM241" s="68"/>
      <c r="AN241" s="68"/>
      <c r="AO241" s="68"/>
      <c r="AQ241" s="68"/>
      <c r="AR241" s="68"/>
      <c r="AS241" s="68"/>
      <c r="AT241" s="68"/>
      <c r="AU241" s="68"/>
      <c r="AV241" s="68"/>
      <c r="AW241" s="68"/>
      <c r="AX241" s="68"/>
      <c r="AY241" s="68"/>
      <c r="AZ241" s="68"/>
      <c r="BB241" s="68"/>
      <c r="BC241" s="68"/>
      <c r="BJ241" s="68"/>
      <c r="BT241">
        <v>1</v>
      </c>
      <c r="BV241">
        <v>1</v>
      </c>
      <c r="BX241" s="68"/>
      <c r="BY241" s="68">
        <v>1</v>
      </c>
      <c r="BZ241" s="68">
        <v>0</v>
      </c>
      <c r="CA241" s="68">
        <v>0</v>
      </c>
      <c r="CB241" s="68">
        <v>0</v>
      </c>
      <c r="CC241" s="68">
        <f t="shared" si="92"/>
        <v>0</v>
      </c>
      <c r="CD241" s="68">
        <f t="shared" si="93"/>
        <v>0</v>
      </c>
    </row>
    <row r="242" spans="1:82" ht="15.75" customHeight="1" thickBot="1" x14ac:dyDescent="0.3">
      <c r="A242" s="9">
        <v>241</v>
      </c>
      <c r="B242" s="10" t="s">
        <v>249</v>
      </c>
      <c r="C242" s="10" t="s">
        <v>48</v>
      </c>
      <c r="D242" s="10" t="s">
        <v>43</v>
      </c>
      <c r="E242" s="51">
        <v>-69.372485534715807</v>
      </c>
      <c r="F242" s="51">
        <v>84.088433817493495</v>
      </c>
      <c r="G242" s="51">
        <v>113.54065158318799</v>
      </c>
      <c r="H242" s="51">
        <v>22.6</v>
      </c>
      <c r="I242" s="11">
        <v>0</v>
      </c>
      <c r="J242" s="51">
        <v>4.8068807232569499</v>
      </c>
      <c r="K242" s="249">
        <f>IFERROR(VLOOKUP(C242,Schedule!$T$3:$U$34,2,0),"FA")</f>
        <v>10</v>
      </c>
      <c r="L242" s="10" t="str">
        <f>D242&amp;COUNTIF(D$2:$D242,D242)</f>
        <v>TE31</v>
      </c>
      <c r="M242" s="51">
        <f t="array" ref="M242">IFERROR(F242-AVERAGE(VLOOKUP(D242,$D243:$F$885,3,0),INDEX($F243:$F$885,SMALL(IF(D242=$D243:$D$885,ROW($D243:$D$885)-ROW(D242)),2))),0)</f>
        <v>4.8233364775576462</v>
      </c>
      <c r="N242" s="51">
        <f>IFERROR(IF(VLOOKUP($B242,Input!$AC$2:$AC$162,1,0)=$B242,0),F242)</f>
        <v>84.088433817493495</v>
      </c>
      <c r="O242" s="51">
        <f>IFERROR(IF(VLOOKUP($B242,Input!$AC$2:$AC$162,1,0)=$B242,0,G242),G242)</f>
        <v>113.54065158318799</v>
      </c>
      <c r="P242" s="51">
        <f>IF(N242=0,0,F242-AVERAGE(INDEX(F:F,MATCH(VLOOKUP(D242,Input!$A$14:$L$22,10,0),L:L,0)),INDEX(F:F,MATCH(VLOOKUP(D242,Input!$A$14:$L$22,11,0),L:L,0)),INDEX(F:F,MATCH(VLOOKUP(D242,Input!$A$14:$L$22,12,0),L:L,0)))+(0.01-ROW()*0.01))</f>
        <v>-71.782485534715818</v>
      </c>
      <c r="Q242" s="107">
        <f t="shared" si="84"/>
        <v>-2.4764450791830116E-2</v>
      </c>
      <c r="R242" s="11">
        <f>IF(VLOOKUP($D242,$X$14:$Y$19,2,0)&lt;=0,1,IF(Q242&lt;0,1,ROUNDUP(IF(Q242*('Draft Center'!$L$28+'Draft Center'!$L$78-'Draft Center'!$L$82)&lt;1,1,Q242*('Draft Center'!$L$28+'Draft Center'!$L$78-'Draft Center'!$L$82)),0)))</f>
        <v>1</v>
      </c>
      <c r="S242" s="11">
        <f>IF(A242&lt;Input!$B$10+0.1,IF(ROUNDUP(R242*Input!$C$10,0)=0,1,ROUNDUP(R242*Input!$C$10,0)),IF(A242&gt;Input!$B$11,IF(ROUNDUP(R242*Input!$C$11,0)=0,1,ROUNDUP(R242*Input!$C$11,0)),IF(ROUNDUP(R242,0)=0,1,ROUNDUP(R242,0))))</f>
        <v>1</v>
      </c>
      <c r="T242" s="11">
        <f t="shared" si="85"/>
        <v>1</v>
      </c>
      <c r="U242" s="11">
        <f>IFERROR(VLOOKUP($B242,Input!$AC$2:$AE$161,3,0),0)</f>
        <v>0</v>
      </c>
      <c r="V242" s="257">
        <f t="shared" si="90"/>
        <v>0</v>
      </c>
      <c r="W242" s="264">
        <f t="shared" si="91"/>
        <v>1.0024200000000001</v>
      </c>
      <c r="X242" s="68"/>
      <c r="Y242" s="68"/>
      <c r="Z242" s="68"/>
      <c r="AA242" s="68"/>
      <c r="AB242" s="68"/>
      <c r="AC242" s="68"/>
      <c r="AD242" s="68"/>
      <c r="AE242" s="68"/>
      <c r="AF242" s="68"/>
      <c r="AG242" s="68"/>
      <c r="AH242" s="68"/>
      <c r="AI242" s="68"/>
      <c r="AJ242" s="68">
        <v>1</v>
      </c>
      <c r="AL242" s="68">
        <v>1</v>
      </c>
      <c r="AM242" s="68"/>
      <c r="AN242" s="68"/>
      <c r="AO242" s="68"/>
      <c r="AQ242" s="68"/>
      <c r="AR242" s="68"/>
      <c r="AS242" s="68"/>
      <c r="AT242" s="68"/>
      <c r="AU242" s="68"/>
      <c r="AV242" s="68"/>
      <c r="AW242" s="68"/>
      <c r="AX242" s="68"/>
      <c r="AY242" s="68"/>
      <c r="AZ242" s="68"/>
      <c r="BB242" s="68"/>
      <c r="BC242" s="68"/>
      <c r="BJ242" s="68"/>
      <c r="BT242">
        <v>1</v>
      </c>
      <c r="BV242">
        <v>1</v>
      </c>
      <c r="BX242" s="68"/>
      <c r="BY242" s="68">
        <v>1</v>
      </c>
      <c r="BZ242" s="68">
        <v>0</v>
      </c>
      <c r="CA242" s="68">
        <v>0</v>
      </c>
      <c r="CB242" s="68">
        <v>0</v>
      </c>
      <c r="CC242" s="68">
        <f t="shared" si="92"/>
        <v>0</v>
      </c>
      <c r="CD242" s="68">
        <f t="shared" si="93"/>
        <v>0</v>
      </c>
    </row>
    <row r="243" spans="1:82" ht="15.75" customHeight="1" thickBot="1" x14ac:dyDescent="0.3">
      <c r="A243" s="6">
        <v>242</v>
      </c>
      <c r="B243" s="7" t="s">
        <v>362</v>
      </c>
      <c r="C243" s="7" t="s">
        <v>38</v>
      </c>
      <c r="D243" s="7" t="s">
        <v>19</v>
      </c>
      <c r="E243" s="50">
        <v>-71.058390060366307</v>
      </c>
      <c r="F243" s="50">
        <v>98.044007965585607</v>
      </c>
      <c r="G243" s="50">
        <v>143.02016903409901</v>
      </c>
      <c r="H243" s="50">
        <v>59.984311013129499</v>
      </c>
      <c r="I243" s="8">
        <v>0</v>
      </c>
      <c r="J243" s="50">
        <v>6.8079692252436699</v>
      </c>
      <c r="K243" s="248">
        <f>IFERROR(VLOOKUP(C243,Schedule!$T$3:$U$34,2,0),"FA")</f>
        <v>6</v>
      </c>
      <c r="L243" s="7" t="str">
        <f>D243&amp;COUNTIF(D$2:$D243,D243)</f>
        <v>RB56</v>
      </c>
      <c r="M243" s="50">
        <f t="array" ref="M243">IFERROR(F243-AVERAGE(VLOOKUP(D243,$D244:$F$885,3,0),INDEX($F244:$F$885,SMALL(IF(D243=$D244:$D$885,ROW($D244:$D$885)-ROW(D243)),2))),0)</f>
        <v>2.370508623583504</v>
      </c>
      <c r="N243" s="50">
        <f>IFERROR(IF(VLOOKUP($B243,Input!$AC$2:$AC$162,1,0)=$B243,0),F243)</f>
        <v>98.044007965585607</v>
      </c>
      <c r="O243" s="50">
        <f>IFERROR(IF(VLOOKUP($B243,Input!$AC$2:$AC$162,1,0)=$B243,0,G243),G243)</f>
        <v>143.02016903409901</v>
      </c>
      <c r="P243" s="50">
        <f>IF(N243=0,0,F243-AVERAGE(INDEX(F:F,MATCH(VLOOKUP(D243,Input!$A$14:$L$22,10,0),L:L,0)),INDEX(F:F,MATCH(VLOOKUP(D243,Input!$A$14:$L$22,11,0),L:L,0)),INDEX(F:F,MATCH(VLOOKUP(D243,Input!$A$14:$L$22,12,0),L:L,0)))+(0.01-ROW()*0.01))</f>
        <v>-73.478390060366394</v>
      </c>
      <c r="Q243" s="106">
        <f t="shared" si="84"/>
        <v>-2.5349525881669464E-2</v>
      </c>
      <c r="R243" s="8">
        <f>IF(VLOOKUP($D243,$X$14:$Y$19,2,0)&lt;=0,1,IF(Q243&lt;0,1,ROUNDUP(IF(Q243*('Draft Center'!$L$28+'Draft Center'!$L$78-'Draft Center'!$L$82)&lt;1,1,Q243*('Draft Center'!$L$28+'Draft Center'!$L$78-'Draft Center'!$L$82)),0)))</f>
        <v>1</v>
      </c>
      <c r="S243" s="8">
        <f>IF(A243&lt;Input!$B$10+0.1,IF(ROUNDUP(R243*Input!$C$10,0)=0,1,ROUNDUP(R243*Input!$C$10,0)),IF(A243&gt;Input!$B$11,IF(ROUNDUP(R243*Input!$C$11,0)=0,1,ROUNDUP(R243*Input!$C$11,0)),IF(ROUNDUP(R243,0)=0,1,ROUNDUP(R243,0))))</f>
        <v>1</v>
      </c>
      <c r="T243" s="8">
        <f t="shared" si="85"/>
        <v>1</v>
      </c>
      <c r="U243" s="8">
        <f>IFERROR(VLOOKUP($B243,Input!$AC$2:$AE$161,3,0),0)</f>
        <v>0</v>
      </c>
      <c r="V243" s="256">
        <f t="shared" si="90"/>
        <v>0</v>
      </c>
      <c r="W243" s="263">
        <f t="shared" si="91"/>
        <v>1.0024299999999999</v>
      </c>
      <c r="X243" s="68"/>
      <c r="Y243" s="68"/>
      <c r="Z243" s="68"/>
      <c r="AA243" s="68"/>
      <c r="AB243" s="68"/>
      <c r="AC243" s="68"/>
      <c r="AD243" s="68"/>
      <c r="AE243" s="68"/>
      <c r="AF243" s="68"/>
      <c r="AG243" s="68"/>
      <c r="AH243" s="68"/>
      <c r="AI243" s="68"/>
      <c r="AJ243" s="68">
        <v>1</v>
      </c>
      <c r="AL243" s="68">
        <v>1</v>
      </c>
      <c r="AM243" s="68"/>
      <c r="AN243" s="68"/>
      <c r="AO243" s="68"/>
      <c r="AQ243" s="68"/>
      <c r="AR243" s="68"/>
      <c r="AS243" s="68"/>
      <c r="AT243" s="68"/>
      <c r="AU243" s="68"/>
      <c r="AV243" s="68"/>
      <c r="AW243" s="68"/>
      <c r="AX243" s="68"/>
      <c r="AY243" s="68"/>
      <c r="AZ243" s="68"/>
      <c r="BB243" s="68"/>
      <c r="BC243" s="68"/>
      <c r="BJ243" s="68"/>
      <c r="BT243">
        <v>1</v>
      </c>
      <c r="BV243">
        <v>1</v>
      </c>
      <c r="BX243" s="68"/>
      <c r="BY243" s="68">
        <v>1</v>
      </c>
      <c r="BZ243" s="68">
        <v>0</v>
      </c>
      <c r="CA243" s="68">
        <v>0</v>
      </c>
      <c r="CB243" s="68">
        <v>0</v>
      </c>
      <c r="CC243" s="68">
        <f t="shared" si="92"/>
        <v>0</v>
      </c>
      <c r="CD243" s="68">
        <f t="shared" si="93"/>
        <v>0</v>
      </c>
    </row>
    <row r="244" spans="1:82" ht="15.75" customHeight="1" thickBot="1" x14ac:dyDescent="0.3">
      <c r="A244" s="9">
        <v>243</v>
      </c>
      <c r="B244" s="10" t="s">
        <v>940</v>
      </c>
      <c r="C244" s="10" t="s">
        <v>75</v>
      </c>
      <c r="D244" s="10" t="s">
        <v>19</v>
      </c>
      <c r="E244" s="51">
        <v>-72.303799439915096</v>
      </c>
      <c r="F244" s="51">
        <v>96.798598586036803</v>
      </c>
      <c r="G244" s="51">
        <v>123.775940439976</v>
      </c>
      <c r="H244" s="51">
        <v>48.854156378600798</v>
      </c>
      <c r="I244" s="11">
        <v>0</v>
      </c>
      <c r="J244" s="51">
        <v>6.0909130169099601</v>
      </c>
      <c r="K244" s="249">
        <f>IFERROR(VLOOKUP(C244,Schedule!$T$3:$U$34,2,0),"FA")</f>
        <v>10</v>
      </c>
      <c r="L244" s="10" t="str">
        <f>D244&amp;COUNTIF(D$2:$D244,D244)</f>
        <v>RB57</v>
      </c>
      <c r="M244" s="51">
        <f t="array" ref="M244">IFERROR(F244-AVERAGE(VLOOKUP(D244,$D245:$F$885,3,0),INDEX($F245:$F$885,SMALL(IF(D244=$D245:$D$885,ROW($D245:$D$885)-ROW(D244)),2))),0)</f>
        <v>2.8193209112983055</v>
      </c>
      <c r="N244" s="51">
        <f>IFERROR(IF(VLOOKUP($B244,Input!$AC$2:$AC$162,1,0)=$B244,0),F244)</f>
        <v>96.798598586036803</v>
      </c>
      <c r="O244" s="51">
        <f>IFERROR(IF(VLOOKUP($B244,Input!$AC$2:$AC$162,1,0)=$B244,0,G244),G244)</f>
        <v>123.775940439976</v>
      </c>
      <c r="P244" s="51">
        <f>IF(N244=0,0,F244-AVERAGE(INDEX(F:F,MATCH(VLOOKUP(D244,Input!$A$14:$L$22,10,0),L:L,0)),INDEX(F:F,MATCH(VLOOKUP(D244,Input!$A$14:$L$22,11,0),L:L,0)),INDEX(F:F,MATCH(VLOOKUP(D244,Input!$A$14:$L$22,12,0),L:L,0)))+(0.01-ROW()*0.01))</f>
        <v>-74.733799439915202</v>
      </c>
      <c r="Q244" s="107">
        <f t="shared" si="84"/>
        <v>-2.5782633255590125E-2</v>
      </c>
      <c r="R244" s="11">
        <f>IF(VLOOKUP($D244,$X$14:$Y$19,2,0)&lt;=0,1,IF(Q244&lt;0,1,ROUNDUP(IF(Q244*('Draft Center'!$L$28+'Draft Center'!$L$78-'Draft Center'!$L$82)&lt;1,1,Q244*('Draft Center'!$L$28+'Draft Center'!$L$78-'Draft Center'!$L$82)),0)))</f>
        <v>1</v>
      </c>
      <c r="S244" s="11">
        <f>IF(A244&lt;Input!$B$10+0.1,IF(ROUNDUP(R244*Input!$C$10,0)=0,1,ROUNDUP(R244*Input!$C$10,0)),IF(A244&gt;Input!$B$11,IF(ROUNDUP(R244*Input!$C$11,0)=0,1,ROUNDUP(R244*Input!$C$11,0)),IF(ROUNDUP(R244,0)=0,1,ROUNDUP(R244,0))))</f>
        <v>1</v>
      </c>
      <c r="T244" s="11">
        <f t="shared" si="85"/>
        <v>1</v>
      </c>
      <c r="U244" s="11">
        <f>IFERROR(VLOOKUP($B244,Input!$AC$2:$AE$161,3,0),0)</f>
        <v>0</v>
      </c>
      <c r="V244" s="257">
        <f t="shared" si="90"/>
        <v>0</v>
      </c>
      <c r="W244" s="264">
        <f t="shared" si="91"/>
        <v>1.00244</v>
      </c>
      <c r="X244" s="68"/>
      <c r="Y244" s="68"/>
      <c r="Z244" s="68"/>
      <c r="AA244" s="68"/>
      <c r="AB244" s="68"/>
      <c r="AC244" s="68"/>
      <c r="AD244" s="68"/>
      <c r="AE244" s="68"/>
      <c r="AF244" s="68"/>
      <c r="AG244" s="68"/>
      <c r="AH244" s="68"/>
      <c r="AI244" s="68"/>
      <c r="AJ244" s="68">
        <v>1</v>
      </c>
      <c r="AL244" s="68">
        <v>1</v>
      </c>
      <c r="AM244" s="68"/>
      <c r="AN244" s="68"/>
      <c r="AO244" s="68"/>
      <c r="AQ244" s="68"/>
      <c r="AR244" s="68"/>
      <c r="AS244" s="68"/>
      <c r="AT244" s="68"/>
      <c r="AU244" s="68"/>
      <c r="AV244" s="68"/>
      <c r="AW244" s="68"/>
      <c r="AX244" s="68"/>
      <c r="AY244" s="68"/>
      <c r="AZ244" s="68"/>
      <c r="BB244" s="68"/>
      <c r="BC244" s="68"/>
      <c r="BJ244" s="68"/>
      <c r="BT244">
        <v>1</v>
      </c>
      <c r="BV244">
        <v>1</v>
      </c>
      <c r="BX244" s="68"/>
      <c r="BY244" s="68">
        <v>1</v>
      </c>
      <c r="BZ244" s="68">
        <v>0</v>
      </c>
      <c r="CA244" s="68">
        <v>0</v>
      </c>
      <c r="CB244" s="68">
        <v>0</v>
      </c>
      <c r="CC244" s="68">
        <f t="shared" si="92"/>
        <v>0</v>
      </c>
      <c r="CD244" s="68">
        <f t="shared" si="93"/>
        <v>0</v>
      </c>
    </row>
    <row r="245" spans="1:82" ht="15.75" customHeight="1" thickBot="1" x14ac:dyDescent="0.3">
      <c r="A245" s="6">
        <v>244</v>
      </c>
      <c r="B245" s="7" t="s">
        <v>935</v>
      </c>
      <c r="C245" s="7" t="s">
        <v>117</v>
      </c>
      <c r="D245" s="7" t="s">
        <v>17</v>
      </c>
      <c r="E245" s="50">
        <v>-73.107145436671004</v>
      </c>
      <c r="F245" s="50">
        <v>139.67077083267799</v>
      </c>
      <c r="G245" s="50">
        <v>178.93055233750701</v>
      </c>
      <c r="H245" s="50">
        <v>86.609029126213599</v>
      </c>
      <c r="I245" s="8">
        <v>2.4</v>
      </c>
      <c r="J245" s="50">
        <v>6.8967742763760702</v>
      </c>
      <c r="K245" s="248">
        <f>IFERROR(VLOOKUP(C245,Schedule!$T$3:$U$34,2,0),"FA")</f>
        <v>8</v>
      </c>
      <c r="L245" s="7" t="str">
        <f>D245&amp;COUNTIF(D$2:$D245,D245)</f>
        <v>WR65</v>
      </c>
      <c r="M245" s="50">
        <f t="array" ref="M245">IFERROR(F245-AVERAGE(VLOOKUP(D245,$D246:$F$885,3,0),INDEX($F246:$F$885,SMALL(IF(D245=$D246:$D$885,ROW($D246:$D$885)-ROW(D245)),2))),0)</f>
        <v>4.3251763915769743</v>
      </c>
      <c r="N245" s="50">
        <f>IFERROR(IF(VLOOKUP($B245,Input!$AC$2:$AC$162,1,0)=$B245,0),F245)</f>
        <v>139.67077083267799</v>
      </c>
      <c r="O245" s="50">
        <f>IFERROR(IF(VLOOKUP($B245,Input!$AC$2:$AC$162,1,0)=$B245,0,G245),G245)</f>
        <v>178.93055233750701</v>
      </c>
      <c r="P245" s="50">
        <f>IF(N245=0,0,F245-AVERAGE(INDEX(F:F,MATCH(VLOOKUP(D245,Input!$A$14:$L$22,10,0),L:L,0)),INDEX(F:F,MATCH(VLOOKUP(D245,Input!$A$14:$L$22,11,0),L:L,0)),INDEX(F:F,MATCH(VLOOKUP(D245,Input!$A$14:$L$22,12,0),L:L,0)))+(0.01-ROW()*0.01))</f>
        <v>-75.54714543667103</v>
      </c>
      <c r="Q245" s="106">
        <f t="shared" si="84"/>
        <v>-2.6063231883003919E-2</v>
      </c>
      <c r="R245" s="8">
        <f>IF(VLOOKUP($D245,$X$14:$Y$19,2,0)&lt;=0,1,IF(Q245&lt;0,1,ROUNDUP(IF(Q245*('Draft Center'!$L$28+'Draft Center'!$L$78-'Draft Center'!$L$82)&lt;1,1,Q245*('Draft Center'!$L$28+'Draft Center'!$L$78-'Draft Center'!$L$82)),0)))</f>
        <v>1</v>
      </c>
      <c r="S245" s="8">
        <f>IF(A245&lt;Input!$B$10+0.1,IF(ROUNDUP(R245*Input!$C$10,0)=0,1,ROUNDUP(R245*Input!$C$10,0)),IF(A245&gt;Input!$B$11,IF(ROUNDUP(R245*Input!$C$11,0)=0,1,ROUNDUP(R245*Input!$C$11,0)),IF(ROUNDUP(R245,0)=0,1,ROUNDUP(R245,0))))</f>
        <v>1</v>
      </c>
      <c r="T245" s="8">
        <f t="shared" si="85"/>
        <v>1</v>
      </c>
      <c r="U245" s="8">
        <f>IFERROR(VLOOKUP($B245,Input!$AC$2:$AE$161,3,0),0)</f>
        <v>0</v>
      </c>
      <c r="V245" s="256">
        <f t="shared" si="90"/>
        <v>-0.58088333333333342</v>
      </c>
      <c r="W245" s="263">
        <f t="shared" si="91"/>
        <v>-1.3975499999999998</v>
      </c>
      <c r="X245" s="68"/>
      <c r="Y245" s="68"/>
      <c r="Z245" s="68"/>
      <c r="AA245" s="68"/>
      <c r="AB245" s="68"/>
      <c r="AC245" s="68"/>
      <c r="AD245" s="68"/>
      <c r="AE245" s="68"/>
      <c r="AF245" s="68"/>
      <c r="AG245" s="68"/>
      <c r="AH245" s="68"/>
      <c r="AI245" s="68"/>
      <c r="AJ245" s="68">
        <v>1</v>
      </c>
      <c r="AL245" s="68">
        <v>1</v>
      </c>
      <c r="AM245" s="68"/>
      <c r="AN245" s="68"/>
      <c r="AO245" s="68"/>
      <c r="AQ245" s="68"/>
      <c r="AR245" s="68"/>
      <c r="AS245" s="68"/>
      <c r="AT245" s="68"/>
      <c r="AU245" s="68"/>
      <c r="AV245" s="68"/>
      <c r="AW245" s="68"/>
      <c r="AX245" s="68"/>
      <c r="AY245" s="68"/>
      <c r="AZ245" s="68"/>
      <c r="BB245" s="68"/>
      <c r="BC245" s="68"/>
      <c r="BJ245" s="68"/>
      <c r="BT245">
        <v>1</v>
      </c>
      <c r="BV245">
        <v>1</v>
      </c>
      <c r="BX245" s="68"/>
      <c r="BY245" s="68">
        <v>1</v>
      </c>
      <c r="BZ245" s="68">
        <v>2.4</v>
      </c>
      <c r="CA245" s="68">
        <v>2.4</v>
      </c>
      <c r="CB245" s="68">
        <v>2.4</v>
      </c>
      <c r="CC245" s="68">
        <f t="shared" si="92"/>
        <v>2.4</v>
      </c>
      <c r="CD245" s="68">
        <f t="shared" si="93"/>
        <v>2.4</v>
      </c>
    </row>
    <row r="246" spans="1:82" ht="15.75" customHeight="1" thickBot="1" x14ac:dyDescent="0.3">
      <c r="A246" s="9">
        <v>245</v>
      </c>
      <c r="B246" s="10" t="s">
        <v>186</v>
      </c>
      <c r="C246" s="10" t="s">
        <v>83</v>
      </c>
      <c r="D246" s="10" t="s">
        <v>43</v>
      </c>
      <c r="E246" s="51">
        <v>-73.154386291798204</v>
      </c>
      <c r="F246" s="51">
        <v>80.306533060411098</v>
      </c>
      <c r="G246" s="51">
        <v>99.477942716049398</v>
      </c>
      <c r="H246" s="51">
        <v>60.294983235160899</v>
      </c>
      <c r="I246" s="11">
        <v>0</v>
      </c>
      <c r="J246" s="51">
        <v>4.0596988364123101</v>
      </c>
      <c r="K246" s="249">
        <f>IFERROR(VLOOKUP(C246,Schedule!$T$3:$U$34,2,0),"FA")</f>
        <v>5</v>
      </c>
      <c r="L246" s="10" t="str">
        <f>D246&amp;COUNTIF(D$2:$D246,D246)</f>
        <v>TE32</v>
      </c>
      <c r="M246" s="51">
        <f t="array" ref="M246">IFERROR(F246-AVERAGE(VLOOKUP(D246,$D247:$F$885,3,0),INDEX($F247:$F$885,SMALL(IF(D246=$D247:$D$885,ROW($D247:$D$885)-ROW(D246)),2))),0)</f>
        <v>3.6308673614486935</v>
      </c>
      <c r="N246" s="51">
        <f>IFERROR(IF(VLOOKUP($B246,Input!$AC$2:$AC$162,1,0)=$B246,0),F246)</f>
        <v>80.306533060411098</v>
      </c>
      <c r="O246" s="51">
        <f>IFERROR(IF(VLOOKUP($B246,Input!$AC$2:$AC$162,1,0)=$B246,0,G246),G246)</f>
        <v>99.477942716049398</v>
      </c>
      <c r="P246" s="51">
        <f>IF(N246=0,0,F246-AVERAGE(INDEX(F:F,MATCH(VLOOKUP(D246,Input!$A$14:$L$22,10,0),L:L,0)),INDEX(F:F,MATCH(VLOOKUP(D246,Input!$A$14:$L$22,11,0),L:L,0)),INDEX(F:F,MATCH(VLOOKUP(D246,Input!$A$14:$L$22,12,0),L:L,0)))+(0.01-ROW()*0.01))</f>
        <v>-75.604386291798221</v>
      </c>
      <c r="Q246" s="107">
        <f t="shared" si="84"/>
        <v>-2.6082979573955549E-2</v>
      </c>
      <c r="R246" s="11">
        <f>IF(VLOOKUP($D246,$X$14:$Y$19,2,0)&lt;=0,1,IF(Q246&lt;0,1,ROUNDUP(IF(Q246*('Draft Center'!$L$28+'Draft Center'!$L$78-'Draft Center'!$L$82)&lt;1,1,Q246*('Draft Center'!$L$28+'Draft Center'!$L$78-'Draft Center'!$L$82)),0)))</f>
        <v>1</v>
      </c>
      <c r="S246" s="11">
        <f>IF(A246&lt;Input!$B$10+0.1,IF(ROUNDUP(R246*Input!$C$10,0)=0,1,ROUNDUP(R246*Input!$C$10,0)),IF(A246&gt;Input!$B$11,IF(ROUNDUP(R246*Input!$C$11,0)=0,1,ROUNDUP(R246*Input!$C$11,0)),IF(ROUNDUP(R246,0)=0,1,ROUNDUP(R246,0))))</f>
        <v>1</v>
      </c>
      <c r="T246" s="11">
        <f t="shared" si="85"/>
        <v>1</v>
      </c>
      <c r="U246" s="11">
        <f>IFERROR(VLOOKUP($B246,Input!$AC$2:$AE$161,3,0),0)</f>
        <v>0</v>
      </c>
      <c r="V246" s="257">
        <f t="shared" si="90"/>
        <v>0</v>
      </c>
      <c r="W246" s="264">
        <f t="shared" si="91"/>
        <v>1.0024599999999999</v>
      </c>
      <c r="X246" s="68"/>
      <c r="Y246" s="68"/>
      <c r="Z246" s="68"/>
      <c r="AA246" s="68"/>
      <c r="AB246" s="68"/>
      <c r="AC246" s="68"/>
      <c r="AD246" s="68"/>
      <c r="AE246" s="68"/>
      <c r="AF246" s="68"/>
      <c r="AG246" s="68"/>
      <c r="AH246" s="68"/>
      <c r="AI246" s="68"/>
      <c r="AJ246" s="68">
        <v>1</v>
      </c>
      <c r="AL246" s="68">
        <v>1</v>
      </c>
      <c r="AM246" s="68"/>
      <c r="AN246" s="68"/>
      <c r="AO246" s="68"/>
      <c r="AQ246" s="68"/>
      <c r="AR246" s="68"/>
      <c r="AS246" s="68"/>
      <c r="AT246" s="68"/>
      <c r="AU246" s="68"/>
      <c r="AV246" s="68"/>
      <c r="AW246" s="68"/>
      <c r="AX246" s="68"/>
      <c r="AY246" s="68"/>
      <c r="AZ246" s="68"/>
      <c r="BB246" s="68"/>
      <c r="BC246" s="68"/>
      <c r="BJ246" s="68"/>
      <c r="BT246">
        <v>1</v>
      </c>
      <c r="BV246">
        <v>1</v>
      </c>
      <c r="BX246" s="68"/>
      <c r="BY246" s="68">
        <v>1</v>
      </c>
      <c r="BZ246" s="68">
        <v>0</v>
      </c>
      <c r="CA246" s="68">
        <v>0</v>
      </c>
      <c r="CB246" s="68">
        <v>0</v>
      </c>
      <c r="CC246" s="68">
        <f t="shared" si="92"/>
        <v>0</v>
      </c>
      <c r="CD246" s="68">
        <f t="shared" si="93"/>
        <v>0</v>
      </c>
    </row>
    <row r="247" spans="1:82" ht="15.75" customHeight="1" thickBot="1" x14ac:dyDescent="0.3">
      <c r="A247" s="6">
        <v>246</v>
      </c>
      <c r="B247" s="7" t="s">
        <v>222</v>
      </c>
      <c r="C247" s="7" t="s">
        <v>57</v>
      </c>
      <c r="D247" s="7" t="s">
        <v>147</v>
      </c>
      <c r="E247" s="50">
        <v>-74.502388434979594</v>
      </c>
      <c r="F247" s="50">
        <v>56.866599995993703</v>
      </c>
      <c r="G247" s="50">
        <v>94.012618770621501</v>
      </c>
      <c r="H247" s="50">
        <v>0.86713992004895701</v>
      </c>
      <c r="I247" s="8">
        <v>0</v>
      </c>
      <c r="J247" s="50">
        <v>9.8032461050870392</v>
      </c>
      <c r="K247" s="248">
        <f>IFERROR(VLOOKUP(C247,Schedule!$T$3:$U$34,2,0),"FA")</f>
        <v>11</v>
      </c>
      <c r="L247" s="7" t="str">
        <f>D247&amp;COUNTIF(D$2:$D247,D247)</f>
        <v>K35</v>
      </c>
      <c r="M247" s="50">
        <f t="array" ref="M247">IFERROR(F247-AVERAGE(VLOOKUP(D247,$D248:$F$885,3,0),INDEX($F248:$F$885,SMALL(IF(D247=$D248:$D$885,ROW($D248:$D$885)-ROW(D247)),2))),0)</f>
        <v>46.309610748681877</v>
      </c>
      <c r="N247" s="50">
        <f>IFERROR(IF(VLOOKUP($B247,Input!$AC$2:$AC$162,1,0)=$B247,0),F247)</f>
        <v>56.866599995993703</v>
      </c>
      <c r="O247" s="50">
        <f>IFERROR(IF(VLOOKUP($B247,Input!$AC$2:$AC$162,1,0)=$B247,0,G247),G247)</f>
        <v>94.012618770621501</v>
      </c>
      <c r="P247" s="50">
        <f>IF(N247=0,0,F247-AVERAGE(INDEX(F:F,MATCH(VLOOKUP(D247,Input!$A$14:$L$22,10,0),L:L,0)),INDEX(F:F,MATCH(VLOOKUP(D247,Input!$A$14:$L$22,11,0),L:L,0)),INDEX(F:F,MATCH(VLOOKUP(D247,Input!$A$14:$L$22,12,0),L:L,0)))+(0.01-ROW()*0.01))</f>
        <v>-77.136381586134277</v>
      </c>
      <c r="Q247" s="106">
        <f t="shared" si="84"/>
        <v>-2.6611507136038257E-2</v>
      </c>
      <c r="R247" s="8">
        <f>IF(VLOOKUP($D247,$X$14:$Y$19,2,0)&lt;=0,1,IF(Q247&lt;0,1,ROUNDUP(IF(Q247*('Draft Center'!$L$28+'Draft Center'!$L$78-'Draft Center'!$L$82)&lt;1,1,Q247*('Draft Center'!$L$28+'Draft Center'!$L$78-'Draft Center'!$L$82)),0)))</f>
        <v>1</v>
      </c>
      <c r="S247" s="8">
        <f>IF(A247&lt;Input!$B$10+0.1,IF(ROUNDUP(R247*Input!$C$10,0)=0,1,ROUNDUP(R247*Input!$C$10,0)),IF(A247&gt;Input!$B$11,IF(ROUNDUP(R247*Input!$C$11,0)=0,1,ROUNDUP(R247*Input!$C$11,0)),IF(ROUNDUP(R247,0)=0,1,ROUNDUP(R247,0))))</f>
        <v>1</v>
      </c>
      <c r="T247" s="8">
        <f t="shared" si="85"/>
        <v>1</v>
      </c>
      <c r="U247" s="8">
        <f>IFERROR(VLOOKUP($B247,Input!$AC$2:$AE$161,3,0),0)</f>
        <v>0</v>
      </c>
      <c r="V247" s="256">
        <f t="shared" si="90"/>
        <v>0</v>
      </c>
      <c r="W247" s="263">
        <f t="shared" si="91"/>
        <v>1.00247</v>
      </c>
      <c r="X247" s="68"/>
      <c r="Y247" s="68"/>
      <c r="Z247" s="68"/>
      <c r="AA247" s="68"/>
      <c r="AB247" s="68"/>
      <c r="AC247" s="68"/>
      <c r="AD247" s="68"/>
      <c r="AE247" s="68"/>
      <c r="AF247" s="68"/>
      <c r="AG247" s="68"/>
      <c r="AH247" s="68"/>
      <c r="AI247" s="68"/>
      <c r="AJ247" s="68">
        <v>1</v>
      </c>
      <c r="AL247" s="68">
        <v>1</v>
      </c>
      <c r="AM247" s="68"/>
      <c r="AN247" s="68"/>
      <c r="AO247" s="68"/>
      <c r="AQ247" s="68"/>
      <c r="AR247" s="68"/>
      <c r="AS247" s="68"/>
      <c r="AT247" s="68"/>
      <c r="AU247" s="68"/>
      <c r="AV247" s="68"/>
      <c r="AW247" s="68"/>
      <c r="AX247" s="68"/>
      <c r="AY247" s="68"/>
      <c r="AZ247" s="68"/>
      <c r="BB247" s="68"/>
      <c r="BC247" s="68"/>
      <c r="BJ247" s="68"/>
      <c r="BT247">
        <v>1</v>
      </c>
      <c r="BV247">
        <v>1</v>
      </c>
      <c r="BX247" s="68"/>
      <c r="BY247" s="68">
        <v>1</v>
      </c>
      <c r="BZ247" s="68">
        <v>0</v>
      </c>
      <c r="CA247" s="68">
        <v>0</v>
      </c>
      <c r="CB247" s="68">
        <v>0</v>
      </c>
      <c r="CC247" s="68">
        <f t="shared" si="92"/>
        <v>0</v>
      </c>
      <c r="CD247" s="68">
        <f t="shared" si="93"/>
        <v>0</v>
      </c>
    </row>
    <row r="248" spans="1:82" ht="15.75" customHeight="1" thickBot="1" x14ac:dyDescent="0.3">
      <c r="A248" s="9">
        <v>247</v>
      </c>
      <c r="B248" s="10" t="s">
        <v>941</v>
      </c>
      <c r="C248" s="10" t="s">
        <v>83</v>
      </c>
      <c r="D248" s="10" t="s">
        <v>19</v>
      </c>
      <c r="E248" s="51">
        <v>-74.553997927984497</v>
      </c>
      <c r="F248" s="51">
        <v>94.548400097967402</v>
      </c>
      <c r="G248" s="51">
        <v>139.58329429451001</v>
      </c>
      <c r="H248" s="51">
        <v>29.6402606310014</v>
      </c>
      <c r="I248" s="11">
        <v>1.4</v>
      </c>
      <c r="J248" s="51">
        <v>6.8670857335623898</v>
      </c>
      <c r="K248" s="249">
        <f>IFERROR(VLOOKUP(C248,Schedule!$T$3:$U$34,2,0),"FA")</f>
        <v>5</v>
      </c>
      <c r="L248" s="10" t="str">
        <f>D248&amp;COUNTIF(D$2:$D248,D248)</f>
        <v>RB58</v>
      </c>
      <c r="M248" s="51">
        <f t="array" ref="M248">IFERROR(F248-AVERAGE(VLOOKUP(D248,$D249:$F$885,3,0),INDEX($F249:$F$885,SMALL(IF(D248=$D249:$D$885,ROW($D249:$D$885)-ROW(D248)),2))),0)</f>
        <v>1.2781794906993014</v>
      </c>
      <c r="N248" s="51">
        <f>IFERROR(IF(VLOOKUP($B248,Input!$AC$2:$AC$162,1,0)=$B248,0),F248)</f>
        <v>94.548400097967402</v>
      </c>
      <c r="O248" s="51">
        <f>IFERROR(IF(VLOOKUP($B248,Input!$AC$2:$AC$162,1,0)=$B248,0,G248),G248)</f>
        <v>139.58329429451001</v>
      </c>
      <c r="P248" s="51">
        <f>IF(N248=0,0,F248-AVERAGE(INDEX(F:F,MATCH(VLOOKUP(D248,Input!$A$14:$L$22,10,0),L:L,0)),INDEX(F:F,MATCH(VLOOKUP(D248,Input!$A$14:$L$22,11,0),L:L,0)),INDEX(F:F,MATCH(VLOOKUP(D248,Input!$A$14:$L$22,12,0),L:L,0)))+(0.01-ROW()*0.01))</f>
        <v>-77.023997927984595</v>
      </c>
      <c r="Q248" s="107">
        <f t="shared" si="84"/>
        <v>-2.6572735567300818E-2</v>
      </c>
      <c r="R248" s="11">
        <f>IF(VLOOKUP($D248,$X$14:$Y$19,2,0)&lt;=0,1,IF(Q248&lt;0,1,ROUNDUP(IF(Q248*('Draft Center'!$L$28+'Draft Center'!$L$78-'Draft Center'!$L$82)&lt;1,1,Q248*('Draft Center'!$L$28+'Draft Center'!$L$78-'Draft Center'!$L$82)),0)))</f>
        <v>1</v>
      </c>
      <c r="S248" s="11">
        <f>IF(A248&lt;Input!$B$10+0.1,IF(ROUNDUP(R248*Input!$C$10,0)=0,1,ROUNDUP(R248*Input!$C$10,0)),IF(A248&gt;Input!$B$11,IF(ROUNDUP(R248*Input!$C$11,0)=0,1,ROUNDUP(R248*Input!$C$11,0)),IF(ROUNDUP(R248,0)=0,1,ROUNDUP(R248,0))))</f>
        <v>1</v>
      </c>
      <c r="T248" s="11">
        <f t="shared" si="85"/>
        <v>1</v>
      </c>
      <c r="U248" s="11">
        <f>IFERROR(VLOOKUP($B248,Input!$AC$2:$AE$161,3,0),0)</f>
        <v>0</v>
      </c>
      <c r="V248" s="257">
        <f t="shared" si="90"/>
        <v>-0.28323428571428566</v>
      </c>
      <c r="W248" s="264">
        <f t="shared" si="91"/>
        <v>-0.39751999999999993</v>
      </c>
      <c r="X248" s="68"/>
      <c r="Y248" s="68"/>
      <c r="Z248" s="68"/>
      <c r="AA248" s="68"/>
      <c r="AB248" s="68"/>
      <c r="AC248" s="68"/>
      <c r="AD248" s="68"/>
      <c r="AE248" s="68"/>
      <c r="AF248" s="68"/>
      <c r="AG248" s="68"/>
      <c r="AH248" s="68"/>
      <c r="AI248" s="68"/>
      <c r="AJ248" s="68">
        <v>1</v>
      </c>
      <c r="AL248" s="68">
        <v>1</v>
      </c>
      <c r="AM248" s="68"/>
      <c r="AN248" s="68"/>
      <c r="AO248" s="68"/>
      <c r="AQ248" s="68"/>
      <c r="AR248" s="68"/>
      <c r="AS248" s="68"/>
      <c r="AT248" s="68"/>
      <c r="AU248" s="68"/>
      <c r="AV248" s="68"/>
      <c r="AW248" s="68"/>
      <c r="AX248" s="68"/>
      <c r="AY248" s="68"/>
      <c r="AZ248" s="68"/>
      <c r="BB248" s="68"/>
      <c r="BC248" s="68"/>
      <c r="BJ248" s="68"/>
      <c r="BT248">
        <v>1</v>
      </c>
      <c r="BV248">
        <v>1</v>
      </c>
      <c r="BX248" s="68"/>
      <c r="BY248" s="68">
        <v>1</v>
      </c>
      <c r="BZ248" s="68">
        <v>1.4</v>
      </c>
      <c r="CA248" s="68">
        <v>1.4</v>
      </c>
      <c r="CB248" s="68">
        <v>1.4</v>
      </c>
      <c r="CC248" s="68">
        <f t="shared" si="92"/>
        <v>1.3999999999999997</v>
      </c>
      <c r="CD248" s="68">
        <f t="shared" si="93"/>
        <v>1.4</v>
      </c>
    </row>
    <row r="249" spans="1:82" ht="15.75" customHeight="1" thickBot="1" x14ac:dyDescent="0.3">
      <c r="A249" s="6">
        <v>248</v>
      </c>
      <c r="B249" s="7" t="s">
        <v>494</v>
      </c>
      <c r="C249" s="7" t="s">
        <v>68</v>
      </c>
      <c r="D249" s="7" t="s">
        <v>17</v>
      </c>
      <c r="E249" s="50">
        <v>-74.975787746898106</v>
      </c>
      <c r="F249" s="50">
        <v>137.802128522451</v>
      </c>
      <c r="G249" s="50">
        <v>158.94182517782301</v>
      </c>
      <c r="H249" s="50">
        <v>109.507322790515</v>
      </c>
      <c r="I249" s="8">
        <v>0</v>
      </c>
      <c r="J249" s="50">
        <v>5.7363091893628004</v>
      </c>
      <c r="K249" s="248">
        <f>IFERROR(VLOOKUP(C249,Schedule!$T$3:$U$34,2,0),"FA")</f>
        <v>8</v>
      </c>
      <c r="L249" s="7" t="str">
        <f>D249&amp;COUNTIF(D$2:$D249,D249)</f>
        <v>WR66</v>
      </c>
      <c r="M249" s="50">
        <f t="array" ref="M249">IFERROR(F249-AVERAGE(VLOOKUP(D249,$D250:$F$885,3,0),INDEX($F250:$F$885,SMALL(IF(D249=$D250:$D$885,ROW($D250:$D$885)-ROW(D249)),2))),0)</f>
        <v>5.8616396564684976</v>
      </c>
      <c r="N249" s="50">
        <f>IFERROR(IF(VLOOKUP($B249,Input!$AC$2:$AC$162,1,0)=$B249,0),F249)</f>
        <v>137.802128522451</v>
      </c>
      <c r="O249" s="50">
        <f>IFERROR(IF(VLOOKUP($B249,Input!$AC$2:$AC$162,1,0)=$B249,0,G249),G249)</f>
        <v>158.94182517782301</v>
      </c>
      <c r="P249" s="50">
        <f>IF(N249=0,0,F249-AVERAGE(INDEX(F:F,MATCH(VLOOKUP(D249,Input!$A$14:$L$22,10,0),L:L,0)),INDEX(F:F,MATCH(VLOOKUP(D249,Input!$A$14:$L$22,11,0),L:L,0)),INDEX(F:F,MATCH(VLOOKUP(D249,Input!$A$14:$L$22,12,0),L:L,0)))+(0.01-ROW()*0.01))</f>
        <v>-77.455787746898025</v>
      </c>
      <c r="Q249" s="106">
        <f t="shared" si="84"/>
        <v>-2.6721700006791051E-2</v>
      </c>
      <c r="R249" s="8">
        <f>IF(VLOOKUP($D249,$X$14:$Y$19,2,0)&lt;=0,1,IF(Q249&lt;0,1,ROUNDUP(IF(Q249*('Draft Center'!$L$28+'Draft Center'!$L$78-'Draft Center'!$L$82)&lt;1,1,Q249*('Draft Center'!$L$28+'Draft Center'!$L$78-'Draft Center'!$L$82)),0)))</f>
        <v>1</v>
      </c>
      <c r="S249" s="8">
        <f>IF(A249&lt;Input!$B$10+0.1,IF(ROUNDUP(R249*Input!$C$10,0)=0,1,ROUNDUP(R249*Input!$C$10,0)),IF(A249&gt;Input!$B$11,IF(ROUNDUP(R249*Input!$C$11,0)=0,1,ROUNDUP(R249*Input!$C$11,0)),IF(ROUNDUP(R249,0)=0,1,ROUNDUP(R249,0))))</f>
        <v>1</v>
      </c>
      <c r="T249" s="8">
        <f t="shared" si="85"/>
        <v>1</v>
      </c>
      <c r="U249" s="8">
        <f>IFERROR(VLOOKUP($B249,Input!$AC$2:$AE$161,3,0),0)</f>
        <v>0</v>
      </c>
      <c r="V249" s="256">
        <f t="shared" si="90"/>
        <v>0</v>
      </c>
      <c r="W249" s="263">
        <f t="shared" si="91"/>
        <v>1.0024900000000001</v>
      </c>
      <c r="X249" s="68"/>
      <c r="Y249" s="68"/>
      <c r="Z249" s="68"/>
      <c r="AA249" s="68"/>
      <c r="AB249" s="68"/>
      <c r="AC249" s="68"/>
      <c r="AD249" s="68"/>
      <c r="AE249" s="68"/>
      <c r="AF249" s="68"/>
      <c r="AG249" s="68"/>
      <c r="AH249" s="68"/>
      <c r="AI249" s="68"/>
      <c r="AJ249" s="68">
        <v>1</v>
      </c>
      <c r="AL249" s="68">
        <v>1</v>
      </c>
      <c r="AM249" s="68"/>
      <c r="AN249" s="68"/>
      <c r="AO249" s="68"/>
      <c r="AQ249" s="68"/>
      <c r="AR249" s="68"/>
      <c r="AS249" s="68"/>
      <c r="AT249" s="68"/>
      <c r="AU249" s="68"/>
      <c r="AV249" s="68"/>
      <c r="AW249" s="68"/>
      <c r="AX249" s="68"/>
      <c r="AY249" s="68"/>
      <c r="AZ249" s="68"/>
      <c r="BB249" s="68"/>
      <c r="BC249" s="68"/>
      <c r="BJ249" s="68"/>
      <c r="BT249">
        <v>1</v>
      </c>
      <c r="BV249">
        <v>1</v>
      </c>
      <c r="BX249" s="68"/>
      <c r="BY249" s="68">
        <v>1</v>
      </c>
      <c r="BZ249" s="68">
        <v>0</v>
      </c>
      <c r="CA249" s="68">
        <v>0</v>
      </c>
      <c r="CB249" s="68">
        <v>0</v>
      </c>
      <c r="CC249" s="68">
        <f t="shared" si="92"/>
        <v>0</v>
      </c>
      <c r="CD249" s="68">
        <f t="shared" si="93"/>
        <v>0</v>
      </c>
    </row>
    <row r="250" spans="1:82" ht="15.75" customHeight="1" thickBot="1" x14ac:dyDescent="0.3">
      <c r="A250" s="9">
        <v>249</v>
      </c>
      <c r="B250" s="10" t="s">
        <v>165</v>
      </c>
      <c r="C250" s="10" t="s">
        <v>42</v>
      </c>
      <c r="D250" s="10" t="s">
        <v>43</v>
      </c>
      <c r="E250" s="51">
        <v>-75.237257732748702</v>
      </c>
      <c r="F250" s="51">
        <v>78.2236616194606</v>
      </c>
      <c r="G250" s="51">
        <v>119.767998338808</v>
      </c>
      <c r="H250" s="51">
        <v>31.722191710758398</v>
      </c>
      <c r="I250" s="11">
        <v>0</v>
      </c>
      <c r="J250" s="51">
        <v>4.3865909119068398</v>
      </c>
      <c r="K250" s="249">
        <f>IFERROR(VLOOKUP(C250,Schedule!$T$3:$U$34,2,0),"FA")</f>
        <v>9</v>
      </c>
      <c r="L250" s="10" t="str">
        <f>D250&amp;COUNTIF(D$2:$D250,D250)</f>
        <v>TE33</v>
      </c>
      <c r="M250" s="51">
        <f t="array" ref="M250">IFERROR(F250-AVERAGE(VLOOKUP(D250,$D251:$F$885,3,0),INDEX($F251:$F$885,SMALL(IF(D250=$D251:$D$885,ROW($D251:$D$885)-ROW(D250)),2))),0)</f>
        <v>3.3906329100287422</v>
      </c>
      <c r="N250" s="51">
        <f>IFERROR(IF(VLOOKUP($B250,Input!$AC$2:$AC$162,1,0)=$B250,0),F250)</f>
        <v>78.2236616194606</v>
      </c>
      <c r="O250" s="51">
        <f>IFERROR(IF(VLOOKUP($B250,Input!$AC$2:$AC$162,1,0)=$B250,0,G250),G250)</f>
        <v>119.767998338808</v>
      </c>
      <c r="P250" s="51">
        <f>IF(N250=0,0,F250-AVERAGE(INDEX(F:F,MATCH(VLOOKUP(D250,Input!$A$14:$L$22,10,0),L:L,0)),INDEX(F:F,MATCH(VLOOKUP(D250,Input!$A$14:$L$22,11,0),L:L,0)),INDEX(F:F,MATCH(VLOOKUP(D250,Input!$A$14:$L$22,12,0),L:L,0)))+(0.01-ROW()*0.01))</f>
        <v>-77.727257732748711</v>
      </c>
      <c r="Q250" s="107">
        <f t="shared" si="84"/>
        <v>-2.681535523558369E-2</v>
      </c>
      <c r="R250" s="11">
        <f>IF(VLOOKUP($D250,$X$14:$Y$19,2,0)&lt;=0,1,IF(Q250&lt;0,1,ROUNDUP(IF(Q250*('Draft Center'!$L$28+'Draft Center'!$L$78-'Draft Center'!$L$82)&lt;1,1,Q250*('Draft Center'!$L$28+'Draft Center'!$L$78-'Draft Center'!$L$82)),0)))</f>
        <v>1</v>
      </c>
      <c r="S250" s="11">
        <f>IF(A250&lt;Input!$B$10+0.1,IF(ROUNDUP(R250*Input!$C$10,0)=0,1,ROUNDUP(R250*Input!$C$10,0)),IF(A250&gt;Input!$B$11,IF(ROUNDUP(R250*Input!$C$11,0)=0,1,ROUNDUP(R250*Input!$C$11,0)),IF(ROUNDUP(R250,0)=0,1,ROUNDUP(R250,0))))</f>
        <v>1</v>
      </c>
      <c r="T250" s="11">
        <f t="shared" si="85"/>
        <v>1</v>
      </c>
      <c r="U250" s="11">
        <f>IFERROR(VLOOKUP($B250,Input!$AC$2:$AE$161,3,0),0)</f>
        <v>0</v>
      </c>
      <c r="V250" s="257">
        <f t="shared" si="90"/>
        <v>0</v>
      </c>
      <c r="W250" s="264">
        <f t="shared" si="91"/>
        <v>1.0024999999999999</v>
      </c>
      <c r="X250" s="68"/>
      <c r="Y250" s="68"/>
      <c r="Z250" s="68"/>
      <c r="AA250" s="68"/>
      <c r="AB250" s="68"/>
      <c r="AC250" s="68"/>
      <c r="AD250" s="68"/>
      <c r="AE250" s="68"/>
      <c r="AF250" s="68"/>
      <c r="AG250" s="68"/>
      <c r="AH250" s="68"/>
      <c r="AI250" s="68"/>
      <c r="AJ250" s="68">
        <v>1</v>
      </c>
      <c r="AL250" s="68">
        <v>1</v>
      </c>
      <c r="AM250" s="68"/>
      <c r="AN250" s="68"/>
      <c r="AO250" s="68"/>
      <c r="AQ250" s="68"/>
      <c r="AR250" s="68"/>
      <c r="AS250" s="68"/>
      <c r="AT250" s="68"/>
      <c r="AU250" s="68"/>
      <c r="AV250" s="68"/>
      <c r="AW250" s="68"/>
      <c r="AX250" s="68"/>
      <c r="AY250" s="68"/>
      <c r="AZ250" s="68"/>
      <c r="BB250" s="68"/>
      <c r="BC250" s="68"/>
      <c r="BJ250" s="68"/>
      <c r="BT250">
        <v>1</v>
      </c>
      <c r="BV250">
        <v>1</v>
      </c>
      <c r="BX250" s="68"/>
      <c r="BY250" s="68">
        <v>1</v>
      </c>
      <c r="BZ250" s="68">
        <v>0</v>
      </c>
      <c r="CA250" s="68">
        <v>0</v>
      </c>
      <c r="CB250" s="68">
        <v>0</v>
      </c>
      <c r="CC250" s="68">
        <f t="shared" si="92"/>
        <v>0</v>
      </c>
      <c r="CD250" s="68">
        <f t="shared" si="93"/>
        <v>0</v>
      </c>
    </row>
    <row r="251" spans="1:82" ht="15.75" customHeight="1" thickBot="1" x14ac:dyDescent="0.3">
      <c r="A251" s="6">
        <v>250</v>
      </c>
      <c r="B251" s="7" t="s">
        <v>939</v>
      </c>
      <c r="C251" s="7" t="s">
        <v>61</v>
      </c>
      <c r="D251" s="7" t="s">
        <v>19</v>
      </c>
      <c r="E251" s="50">
        <v>-75.692242774442306</v>
      </c>
      <c r="F251" s="50">
        <v>93.410155251509593</v>
      </c>
      <c r="G251" s="50">
        <v>118.42320462351501</v>
      </c>
      <c r="H251" s="50">
        <v>67.3244170096022</v>
      </c>
      <c r="I251" s="8">
        <v>0</v>
      </c>
      <c r="J251" s="50">
        <v>5.5769674392428197</v>
      </c>
      <c r="K251" s="248">
        <f>IFERROR(VLOOKUP(C251,Schedule!$T$3:$U$34,2,0),"FA")</f>
        <v>5</v>
      </c>
      <c r="L251" s="7" t="str">
        <f>D251&amp;COUNTIF(D$2:$D251,D251)</f>
        <v>RB59</v>
      </c>
      <c r="M251" s="50">
        <f t="array" ref="M251">IFERROR(F251-AVERAGE(VLOOKUP(D251,$D252:$F$885,3,0),INDEX($F252:$F$885,SMALL(IF(D251=$D252:$D$885,ROW($D252:$D$885)-ROW(D251)),2))),0)</f>
        <v>0.67072676125678754</v>
      </c>
      <c r="N251" s="50">
        <f>IFERROR(IF(VLOOKUP($B251,Input!$AC$2:$AC$162,1,0)=$B251,0),F251)</f>
        <v>93.410155251509593</v>
      </c>
      <c r="O251" s="50">
        <f>IFERROR(IF(VLOOKUP($B251,Input!$AC$2:$AC$162,1,0)=$B251,0,G251),G251)</f>
        <v>118.42320462351501</v>
      </c>
      <c r="P251" s="50">
        <f>IF(N251=0,0,F251-AVERAGE(INDEX(F:F,MATCH(VLOOKUP(D251,Input!$A$14:$L$22,10,0),L:L,0)),INDEX(F:F,MATCH(VLOOKUP(D251,Input!$A$14:$L$22,11,0),L:L,0)),INDEX(F:F,MATCH(VLOOKUP(D251,Input!$A$14:$L$22,12,0),L:L,0)))+(0.01-ROW()*0.01))</f>
        <v>-78.192242774442406</v>
      </c>
      <c r="Q251" s="106">
        <f t="shared" si="84"/>
        <v>-2.6975771792605688E-2</v>
      </c>
      <c r="R251" s="8">
        <f>IF(VLOOKUP($D251,$X$14:$Y$19,2,0)&lt;=0,1,IF(Q251&lt;0,1,ROUNDUP(IF(Q251*('Draft Center'!$L$28+'Draft Center'!$L$78-'Draft Center'!$L$82)&lt;1,1,Q251*('Draft Center'!$L$28+'Draft Center'!$L$78-'Draft Center'!$L$82)),0)))</f>
        <v>1</v>
      </c>
      <c r="S251" s="8">
        <f>IF(A251&lt;Input!$B$10+0.1,IF(ROUNDUP(R251*Input!$C$10,0)=0,1,ROUNDUP(R251*Input!$C$10,0)),IF(A251&gt;Input!$B$11,IF(ROUNDUP(R251*Input!$C$11,0)=0,1,ROUNDUP(R251*Input!$C$11,0)),IF(ROUNDUP(R251,0)=0,1,ROUNDUP(R251,0))))</f>
        <v>1</v>
      </c>
      <c r="T251" s="8">
        <f t="shared" si="85"/>
        <v>1</v>
      </c>
      <c r="U251" s="8">
        <f>IFERROR(VLOOKUP($B251,Input!$AC$2:$AE$161,3,0),0)</f>
        <v>0</v>
      </c>
      <c r="V251" s="256">
        <f t="shared" si="90"/>
        <v>0</v>
      </c>
      <c r="W251" s="263">
        <f t="shared" si="91"/>
        <v>1.00251</v>
      </c>
      <c r="X251" s="68"/>
      <c r="Y251" s="68"/>
      <c r="Z251" s="68"/>
      <c r="AA251" s="68"/>
      <c r="AB251" s="68"/>
      <c r="AC251" s="68"/>
      <c r="AD251" s="68"/>
      <c r="AE251" s="68"/>
      <c r="AF251" s="68"/>
      <c r="AG251" s="68"/>
      <c r="AH251" s="68"/>
      <c r="AI251" s="68"/>
      <c r="AJ251" s="68">
        <v>1</v>
      </c>
      <c r="AL251" s="68">
        <v>1</v>
      </c>
      <c r="AM251" s="68"/>
      <c r="AN251" s="68"/>
      <c r="AO251" s="68"/>
      <c r="AQ251" s="68"/>
      <c r="AR251" s="68"/>
      <c r="AS251" s="68"/>
      <c r="AT251" s="68"/>
      <c r="AU251" s="68"/>
      <c r="AV251" s="68"/>
      <c r="AW251" s="68"/>
      <c r="AX251" s="68"/>
      <c r="AY251" s="68"/>
      <c r="AZ251" s="68"/>
      <c r="BB251" s="68"/>
      <c r="BC251" s="68"/>
      <c r="BJ251" s="68"/>
      <c r="BT251">
        <v>1</v>
      </c>
      <c r="BV251">
        <v>1</v>
      </c>
      <c r="BX251" s="68"/>
      <c r="BY251" s="68">
        <v>1</v>
      </c>
      <c r="BZ251" s="68">
        <v>0</v>
      </c>
      <c r="CA251" s="68">
        <v>0</v>
      </c>
      <c r="CB251" s="68">
        <v>0</v>
      </c>
      <c r="CC251" s="68">
        <f t="shared" si="92"/>
        <v>0</v>
      </c>
      <c r="CD251" s="68">
        <f t="shared" si="93"/>
        <v>0</v>
      </c>
    </row>
    <row r="252" spans="1:82" ht="15.75" customHeight="1" thickBot="1" x14ac:dyDescent="0.3">
      <c r="A252" s="9">
        <v>251</v>
      </c>
      <c r="B252" s="10" t="s">
        <v>425</v>
      </c>
      <c r="C252" s="10" t="s">
        <v>42</v>
      </c>
      <c r="D252" s="10" t="s">
        <v>19</v>
      </c>
      <c r="E252" s="51">
        <v>-75.972112062925305</v>
      </c>
      <c r="F252" s="51">
        <v>93.130285963026594</v>
      </c>
      <c r="G252" s="51">
        <v>110.549510675691</v>
      </c>
      <c r="H252" s="51">
        <v>74.497264883401897</v>
      </c>
      <c r="I252" s="11">
        <v>1.2</v>
      </c>
      <c r="J252" s="51">
        <v>5.1416472829094797</v>
      </c>
      <c r="K252" s="249">
        <f>IFERROR(VLOOKUP(C252,Schedule!$T$3:$U$34,2,0),"FA")</f>
        <v>9</v>
      </c>
      <c r="L252" s="10" t="str">
        <f>D252&amp;COUNTIF(D$2:$D252,D252)</f>
        <v>RB60</v>
      </c>
      <c r="M252" s="51">
        <f t="array" ref="M252">IFERROR(F252-AVERAGE(VLOOKUP(D252,$D253:$F$885,3,0),INDEX($F253:$F$885,SMALL(IF(D252=$D253:$D$885,ROW($D253:$D$885)-ROW(D252)),2))),0)</f>
        <v>1.3225209034586527</v>
      </c>
      <c r="N252" s="51">
        <f>IFERROR(IF(VLOOKUP($B252,Input!$AC$2:$AC$162,1,0)=$B252,0),F252)</f>
        <v>93.130285963026594</v>
      </c>
      <c r="O252" s="51">
        <f>IFERROR(IF(VLOOKUP($B252,Input!$AC$2:$AC$162,1,0)=$B252,0,G252),G252)</f>
        <v>110.549510675691</v>
      </c>
      <c r="P252" s="51">
        <f>IF(N252=0,0,F252-AVERAGE(INDEX(F:F,MATCH(VLOOKUP(D252,Input!$A$14:$L$22,10,0),L:L,0)),INDEX(F:F,MATCH(VLOOKUP(D252,Input!$A$14:$L$22,11,0),L:L,0)),INDEX(F:F,MATCH(VLOOKUP(D252,Input!$A$14:$L$22,12,0),L:L,0)))+(0.01-ROW()*0.01))</f>
        <v>-78.48211206292541</v>
      </c>
      <c r="Q252" s="107">
        <f t="shared" si="84"/>
        <v>-2.7075774650924499E-2</v>
      </c>
      <c r="R252" s="11">
        <f>IF(VLOOKUP($D252,$X$14:$Y$19,2,0)&lt;=0,1,IF(Q252&lt;0,1,ROUNDUP(IF(Q252*('Draft Center'!$L$28+'Draft Center'!$L$78-'Draft Center'!$L$82)&lt;1,1,Q252*('Draft Center'!$L$28+'Draft Center'!$L$78-'Draft Center'!$L$82)),0)))</f>
        <v>1</v>
      </c>
      <c r="S252" s="11">
        <f>IF(A252&lt;Input!$B$10+0.1,IF(ROUNDUP(R252*Input!$C$10,0)=0,1,ROUNDUP(R252*Input!$C$10,0)),IF(A252&gt;Input!$B$11,IF(ROUNDUP(R252*Input!$C$11,0)=0,1,ROUNDUP(R252*Input!$C$11,0)),IF(ROUNDUP(R252,0)=0,1,ROUNDUP(R252,0))))</f>
        <v>1</v>
      </c>
      <c r="T252" s="11">
        <f t="shared" si="85"/>
        <v>1</v>
      </c>
      <c r="U252" s="11">
        <f>IFERROR(VLOOKUP($B252,Input!$AC$2:$AE$161,3,0),0)</f>
        <v>0</v>
      </c>
      <c r="V252" s="257">
        <f t="shared" si="90"/>
        <v>-0.16414666666666664</v>
      </c>
      <c r="W252" s="264">
        <f t="shared" si="91"/>
        <v>-0.19747999999999996</v>
      </c>
      <c r="X252" s="68"/>
      <c r="Y252" s="68"/>
      <c r="Z252" s="68"/>
      <c r="AA252" s="68"/>
      <c r="AB252" s="68"/>
      <c r="AC252" s="68"/>
      <c r="AD252" s="68"/>
      <c r="AE252" s="68"/>
      <c r="AF252" s="68"/>
      <c r="AG252" s="68"/>
      <c r="AH252" s="68"/>
      <c r="AI252" s="68"/>
      <c r="AJ252" s="68">
        <v>1</v>
      </c>
      <c r="AL252" s="68">
        <v>1</v>
      </c>
      <c r="AM252" s="68"/>
      <c r="AN252" s="68"/>
      <c r="AO252" s="68"/>
      <c r="AQ252" s="68"/>
      <c r="AR252" s="68"/>
      <c r="AS252" s="68"/>
      <c r="AT252" s="68"/>
      <c r="AU252" s="68"/>
      <c r="AV252" s="68"/>
      <c r="AW252" s="68"/>
      <c r="AX252" s="68"/>
      <c r="AY252" s="68"/>
      <c r="AZ252" s="68"/>
      <c r="BB252" s="68"/>
      <c r="BC252" s="68"/>
      <c r="BJ252" s="68"/>
      <c r="BT252">
        <v>1</v>
      </c>
      <c r="BV252">
        <v>1</v>
      </c>
      <c r="BX252" s="68"/>
      <c r="BY252" s="68">
        <v>1</v>
      </c>
      <c r="BZ252" s="68">
        <v>1.2</v>
      </c>
      <c r="CA252" s="68">
        <v>1.2</v>
      </c>
      <c r="CB252" s="68">
        <v>1.2</v>
      </c>
      <c r="CC252" s="68">
        <f t="shared" si="92"/>
        <v>1.2</v>
      </c>
      <c r="CD252" s="68">
        <f t="shared" si="93"/>
        <v>1.2</v>
      </c>
    </row>
    <row r="253" spans="1:82" ht="15.75" customHeight="1" thickBot="1" x14ac:dyDescent="0.3">
      <c r="A253" s="6">
        <v>252</v>
      </c>
      <c r="B253" s="7" t="s">
        <v>771</v>
      </c>
      <c r="C253" s="7" t="s">
        <v>21</v>
      </c>
      <c r="D253" s="7" t="s">
        <v>19</v>
      </c>
      <c r="E253" s="50">
        <v>-76.753827008472896</v>
      </c>
      <c r="F253" s="50">
        <v>92.348571017479003</v>
      </c>
      <c r="G253" s="50">
        <v>115.485763310377</v>
      </c>
      <c r="H253" s="50">
        <v>61.403861395257699</v>
      </c>
      <c r="I253" s="8">
        <v>0</v>
      </c>
      <c r="J253" s="50">
        <v>5.9220931592587398</v>
      </c>
      <c r="K253" s="248">
        <f>IFERROR(VLOOKUP(C253,Schedule!$T$3:$U$34,2,0),"FA")</f>
        <v>5</v>
      </c>
      <c r="L253" s="7" t="str">
        <f>D253&amp;COUNTIF(D$2:$D253,D253)</f>
        <v>RB61</v>
      </c>
      <c r="M253" s="50">
        <f t="array" ref="M253">IFERROR(F253-AVERAGE(VLOOKUP(D253,$D254:$F$885,3,0),INDEX($F254:$F$885,SMALL(IF(D253=$D254:$D$885,ROW($D254:$D$885)-ROW(D253)),2))),0)</f>
        <v>3.3852480374027039</v>
      </c>
      <c r="N253" s="50">
        <f>IFERROR(IF(VLOOKUP($B253,Input!$AC$2:$AC$162,1,0)=$B253,0),F253)</f>
        <v>92.348571017479003</v>
      </c>
      <c r="O253" s="50">
        <f>IFERROR(IF(VLOOKUP($B253,Input!$AC$2:$AC$162,1,0)=$B253,0,G253),G253)</f>
        <v>115.485763310377</v>
      </c>
      <c r="P253" s="50">
        <f>IF(N253=0,0,F253-AVERAGE(INDEX(F:F,MATCH(VLOOKUP(D253,Input!$A$14:$L$22,10,0),L:L,0)),INDEX(F:F,MATCH(VLOOKUP(D253,Input!$A$14:$L$22,11,0),L:L,0)),INDEX(F:F,MATCH(VLOOKUP(D253,Input!$A$14:$L$22,12,0),L:L,0)))+(0.01-ROW()*0.01))</f>
        <v>-79.273827008472992</v>
      </c>
      <c r="Q253" s="106">
        <f t="shared" si="84"/>
        <v>-2.7348910718366568E-2</v>
      </c>
      <c r="R253" s="8">
        <f>IF(VLOOKUP($D253,$X$14:$Y$19,2,0)&lt;=0,1,IF(Q253&lt;0,1,ROUNDUP(IF(Q253*('Draft Center'!$L$28+'Draft Center'!$L$78-'Draft Center'!$L$82)&lt;1,1,Q253*('Draft Center'!$L$28+'Draft Center'!$L$78-'Draft Center'!$L$82)),0)))</f>
        <v>1</v>
      </c>
      <c r="S253" s="8">
        <f>IF(A253&lt;Input!$B$10+0.1,IF(ROUNDUP(R253*Input!$C$10,0)=0,1,ROUNDUP(R253*Input!$C$10,0)),IF(A253&gt;Input!$B$11,IF(ROUNDUP(R253*Input!$C$11,0)=0,1,ROUNDUP(R253*Input!$C$11,0)),IF(ROUNDUP(R253,0)=0,1,ROUNDUP(R253,0))))</f>
        <v>1</v>
      </c>
      <c r="T253" s="8">
        <f t="shared" si="85"/>
        <v>1</v>
      </c>
      <c r="U253" s="8">
        <f>IFERROR(VLOOKUP($B253,Input!$AC$2:$AE$161,3,0),0)</f>
        <v>0</v>
      </c>
      <c r="V253" s="256">
        <f t="shared" si="90"/>
        <v>0</v>
      </c>
      <c r="W253" s="263">
        <f t="shared" si="91"/>
        <v>1.0025299999999999</v>
      </c>
      <c r="X253" s="68"/>
      <c r="Y253" s="68"/>
      <c r="Z253" s="68"/>
      <c r="AA253" s="68"/>
      <c r="AB253" s="68"/>
      <c r="AC253" s="68"/>
      <c r="AD253" s="68"/>
      <c r="AE253" s="68"/>
      <c r="AF253" s="68"/>
      <c r="AG253" s="68"/>
      <c r="AH253" s="68"/>
      <c r="AI253" s="68"/>
      <c r="AJ253" s="68">
        <v>1</v>
      </c>
      <c r="AL253" s="68">
        <v>1</v>
      </c>
      <c r="AM253" s="68"/>
      <c r="AN253" s="68"/>
      <c r="AO253" s="68"/>
      <c r="AQ253" s="68"/>
      <c r="AR253" s="68"/>
      <c r="AS253" s="68"/>
      <c r="AT253" s="68"/>
      <c r="AU253" s="68"/>
      <c r="AV253" s="68"/>
      <c r="AW253" s="68"/>
      <c r="AX253" s="68"/>
      <c r="AY253" s="68"/>
      <c r="AZ253" s="68"/>
      <c r="BB253" s="68"/>
      <c r="BC253" s="68"/>
      <c r="BJ253" s="68"/>
      <c r="BT253">
        <v>1</v>
      </c>
      <c r="BV253">
        <v>1</v>
      </c>
      <c r="BX253" s="68"/>
      <c r="BY253" s="68">
        <v>1</v>
      </c>
      <c r="BZ253" s="68">
        <v>0</v>
      </c>
      <c r="CA253" s="68">
        <v>0</v>
      </c>
      <c r="CB253" s="68">
        <v>0</v>
      </c>
      <c r="CC253" s="68">
        <f t="shared" si="92"/>
        <v>0</v>
      </c>
      <c r="CD253" s="68">
        <f t="shared" si="93"/>
        <v>0</v>
      </c>
    </row>
    <row r="254" spans="1:82" ht="15.75" customHeight="1" thickBot="1" x14ac:dyDescent="0.3">
      <c r="A254" s="9">
        <v>253</v>
      </c>
      <c r="B254" s="10" t="s">
        <v>776</v>
      </c>
      <c r="C254" s="10" t="s">
        <v>75</v>
      </c>
      <c r="D254" s="10" t="s">
        <v>19</v>
      </c>
      <c r="E254" s="51">
        <v>-77.835438924294905</v>
      </c>
      <c r="F254" s="51">
        <v>91.266959101656894</v>
      </c>
      <c r="G254" s="51">
        <v>109.11145094769699</v>
      </c>
      <c r="H254" s="51">
        <v>58.0451303155007</v>
      </c>
      <c r="I254" s="11">
        <v>0</v>
      </c>
      <c r="J254" s="51">
        <v>5.4542220304993601</v>
      </c>
      <c r="K254" s="249">
        <f>IFERROR(VLOOKUP(C254,Schedule!$T$3:$U$34,2,0),"FA")</f>
        <v>10</v>
      </c>
      <c r="L254" s="10" t="str">
        <f>D254&amp;COUNTIF(D$2:$D254,D254)</f>
        <v>RB62</v>
      </c>
      <c r="M254" s="51">
        <f t="array" ref="M254">IFERROR(F254-AVERAGE(VLOOKUP(D254,$D255:$F$885,3,0),INDEX($F255:$F$885,SMALL(IF(D254=$D255:$D$885,ROW($D255:$D$885)-ROW(D254)),2))),0)</f>
        <v>6.2686109796045884</v>
      </c>
      <c r="N254" s="51">
        <f>IFERROR(IF(VLOOKUP($B254,Input!$AC$2:$AC$162,1,0)=$B254,0),F254)</f>
        <v>91.266959101656894</v>
      </c>
      <c r="O254" s="51">
        <f>IFERROR(IF(VLOOKUP($B254,Input!$AC$2:$AC$162,1,0)=$B254,0,G254),G254)</f>
        <v>109.11145094769699</v>
      </c>
      <c r="P254" s="51">
        <f>IF(N254=0,0,F254-AVERAGE(INDEX(F:F,MATCH(VLOOKUP(D254,Input!$A$14:$L$22,10,0),L:L,0)),INDEX(F:F,MATCH(VLOOKUP(D254,Input!$A$14:$L$22,11,0),L:L,0)),INDEX(F:F,MATCH(VLOOKUP(D254,Input!$A$14:$L$22,12,0),L:L,0)))+(0.01-ROW()*0.01))</f>
        <v>-80.365438924295105</v>
      </c>
      <c r="Q254" s="107">
        <f t="shared" si="84"/>
        <v>-2.7725509123559408E-2</v>
      </c>
      <c r="R254" s="11">
        <f>IF(VLOOKUP($D254,$X$14:$Y$19,2,0)&lt;=0,1,IF(Q254&lt;0,1,ROUNDUP(IF(Q254*('Draft Center'!$L$28+'Draft Center'!$L$78-'Draft Center'!$L$82)&lt;1,1,Q254*('Draft Center'!$L$28+'Draft Center'!$L$78-'Draft Center'!$L$82)),0)))</f>
        <v>1</v>
      </c>
      <c r="S254" s="11">
        <f>IF(A254&lt;Input!$B$10+0.1,IF(ROUNDUP(R254*Input!$C$10,0)=0,1,ROUNDUP(R254*Input!$C$10,0)),IF(A254&gt;Input!$B$11,IF(ROUNDUP(R254*Input!$C$11,0)=0,1,ROUNDUP(R254*Input!$C$11,0)),IF(ROUNDUP(R254,0)=0,1,ROUNDUP(R254,0))))</f>
        <v>1</v>
      </c>
      <c r="T254" s="11">
        <f t="shared" si="85"/>
        <v>1</v>
      </c>
      <c r="U254" s="11">
        <f>IFERROR(VLOOKUP($B254,Input!$AC$2:$AE$161,3,0),0)</f>
        <v>0</v>
      </c>
      <c r="V254" s="257">
        <f t="shared" si="90"/>
        <v>0</v>
      </c>
      <c r="W254" s="264">
        <f t="shared" si="91"/>
        <v>1.00254</v>
      </c>
      <c r="X254" s="68"/>
      <c r="Y254" s="68"/>
      <c r="Z254" s="68"/>
      <c r="AA254" s="68"/>
      <c r="AB254" s="68"/>
      <c r="AC254" s="68"/>
      <c r="AD254" s="68"/>
      <c r="AE254" s="68"/>
      <c r="AF254" s="68"/>
      <c r="AG254" s="68"/>
      <c r="AH254" s="68"/>
      <c r="AI254" s="68"/>
      <c r="AJ254" s="68">
        <v>1</v>
      </c>
      <c r="AL254" s="68">
        <v>1</v>
      </c>
      <c r="AM254" s="68"/>
      <c r="AN254" s="68"/>
      <c r="AO254" s="68"/>
      <c r="AQ254" s="68"/>
      <c r="AR254" s="68"/>
      <c r="AS254" s="68"/>
      <c r="AT254" s="68"/>
      <c r="AU254" s="68"/>
      <c r="AV254" s="68"/>
      <c r="AW254" s="68"/>
      <c r="AX254" s="68"/>
      <c r="AY254" s="68"/>
      <c r="AZ254" s="68"/>
      <c r="BB254" s="68"/>
      <c r="BC254" s="68"/>
      <c r="BJ254" s="68"/>
      <c r="BT254">
        <v>1</v>
      </c>
      <c r="BV254">
        <v>1</v>
      </c>
      <c r="BX254" s="68"/>
      <c r="BY254" s="68">
        <v>1</v>
      </c>
      <c r="BZ254" s="68">
        <v>0</v>
      </c>
      <c r="CA254" s="68">
        <v>0</v>
      </c>
      <c r="CB254" s="68">
        <v>0</v>
      </c>
      <c r="CC254" s="68">
        <f t="shared" si="92"/>
        <v>0</v>
      </c>
      <c r="CD254" s="68">
        <f t="shared" si="93"/>
        <v>0</v>
      </c>
    </row>
    <row r="255" spans="1:82" ht="15.75" customHeight="1" thickBot="1" x14ac:dyDescent="0.3">
      <c r="A255" s="6">
        <v>254</v>
      </c>
      <c r="B255" s="7" t="s">
        <v>169</v>
      </c>
      <c r="C255" s="7" t="s">
        <v>93</v>
      </c>
      <c r="D255" s="7" t="s">
        <v>43</v>
      </c>
      <c r="E255" s="50">
        <v>-78.333249573745107</v>
      </c>
      <c r="F255" s="50">
        <v>75.127669778464195</v>
      </c>
      <c r="G255" s="50">
        <v>95.292864738492199</v>
      </c>
      <c r="H255" s="50">
        <v>51.501086895852403</v>
      </c>
      <c r="I255" s="8">
        <v>0</v>
      </c>
      <c r="J255" s="50">
        <v>5.4606648742460102</v>
      </c>
      <c r="K255" s="248">
        <f>IFERROR(VLOOKUP(C255,Schedule!$T$3:$U$34,2,0),"FA")</f>
        <v>11</v>
      </c>
      <c r="L255" s="7" t="str">
        <f>D255&amp;COUNTIF(D$2:$D255,D255)</f>
        <v>TE34</v>
      </c>
      <c r="M255" s="50">
        <f t="array" ref="M255">IFERROR(F255-AVERAGE(VLOOKUP(D255,$D256:$F$885,3,0),INDEX($F256:$F$885,SMALL(IF(D255=$D256:$D$885,ROW($D256:$D$885)-ROW(D255)),2))),0)</f>
        <v>2.8633229521044399</v>
      </c>
      <c r="N255" s="50">
        <f>IFERROR(IF(VLOOKUP($B255,Input!$AC$2:$AC$162,1,0)=$B255,0),F255)</f>
        <v>75.127669778464195</v>
      </c>
      <c r="O255" s="50">
        <f>IFERROR(IF(VLOOKUP($B255,Input!$AC$2:$AC$162,1,0)=$B255,0,G255),G255)</f>
        <v>95.292864738492199</v>
      </c>
      <c r="P255" s="50">
        <f>IF(N255=0,0,F255-AVERAGE(INDEX(F:F,MATCH(VLOOKUP(D255,Input!$A$14:$L$22,10,0),L:L,0)),INDEX(F:F,MATCH(VLOOKUP(D255,Input!$A$14:$L$22,11,0),L:L,0)),INDEX(F:F,MATCH(VLOOKUP(D255,Input!$A$14:$L$22,12,0),L:L,0)))+(0.01-ROW()*0.01))</f>
        <v>-80.873249573745127</v>
      </c>
      <c r="Q255" s="106">
        <f t="shared" si="84"/>
        <v>-2.7900700212948343E-2</v>
      </c>
      <c r="R255" s="8">
        <f>IF(VLOOKUP($D255,$X$14:$Y$19,2,0)&lt;=0,1,IF(Q255&lt;0,1,ROUNDUP(IF(Q255*('Draft Center'!$L$28+'Draft Center'!$L$78-'Draft Center'!$L$82)&lt;1,1,Q255*('Draft Center'!$L$28+'Draft Center'!$L$78-'Draft Center'!$L$82)),0)))</f>
        <v>1</v>
      </c>
      <c r="S255" s="8">
        <f>IF(A255&lt;Input!$B$10+0.1,IF(ROUNDUP(R255*Input!$C$10,0)=0,1,ROUNDUP(R255*Input!$C$10,0)),IF(A255&gt;Input!$B$11,IF(ROUNDUP(R255*Input!$C$11,0)=0,1,ROUNDUP(R255*Input!$C$11,0)),IF(ROUNDUP(R255,0)=0,1,ROUNDUP(R255,0))))</f>
        <v>1</v>
      </c>
      <c r="T255" s="8">
        <f t="shared" si="85"/>
        <v>1</v>
      </c>
      <c r="U255" s="8">
        <f>IFERROR(VLOOKUP($B255,Input!$AC$2:$AE$161,3,0),0)</f>
        <v>0</v>
      </c>
      <c r="V255" s="256">
        <f t="shared" si="90"/>
        <v>0</v>
      </c>
      <c r="W255" s="263">
        <f t="shared" si="91"/>
        <v>1.0025500000000001</v>
      </c>
      <c r="X255" s="68"/>
      <c r="Y255" s="68"/>
      <c r="Z255" s="68"/>
      <c r="AA255" s="68"/>
      <c r="AB255" s="68"/>
      <c r="AC255" s="68"/>
      <c r="AD255" s="68"/>
      <c r="AE255" s="68"/>
      <c r="AF255" s="68"/>
      <c r="AG255" s="68"/>
      <c r="AH255" s="68"/>
      <c r="AI255" s="68"/>
      <c r="AJ255" s="68">
        <v>1</v>
      </c>
      <c r="AL255" s="68">
        <v>1</v>
      </c>
      <c r="AM255" s="68"/>
      <c r="AN255" s="68"/>
      <c r="AO255" s="68"/>
      <c r="AQ255" s="68"/>
      <c r="AR255" s="68"/>
      <c r="AS255" s="68"/>
      <c r="AT255" s="68"/>
      <c r="AU255" s="68"/>
      <c r="AV255" s="68"/>
      <c r="AW255" s="68"/>
      <c r="AX255" s="68"/>
      <c r="AY255" s="68"/>
      <c r="AZ255" s="68"/>
      <c r="BB255" s="68"/>
      <c r="BC255" s="68"/>
      <c r="BJ255" s="68"/>
      <c r="BT255">
        <v>1</v>
      </c>
      <c r="BV255">
        <v>1</v>
      </c>
      <c r="BX255" s="68"/>
      <c r="BY255" s="68">
        <v>1</v>
      </c>
      <c r="BZ255" s="68">
        <v>0</v>
      </c>
      <c r="CA255" s="68">
        <v>0</v>
      </c>
      <c r="CB255" s="68">
        <v>0</v>
      </c>
      <c r="CC255" s="68">
        <f t="shared" si="92"/>
        <v>0</v>
      </c>
      <c r="CD255" s="68">
        <f t="shared" si="93"/>
        <v>0</v>
      </c>
    </row>
    <row r="256" spans="1:82" ht="15.75" customHeight="1" thickBot="1" x14ac:dyDescent="0.3">
      <c r="A256" s="9">
        <v>255</v>
      </c>
      <c r="B256" s="10" t="s">
        <v>486</v>
      </c>
      <c r="C256" s="10" t="s">
        <v>52</v>
      </c>
      <c r="D256" s="10" t="s">
        <v>43</v>
      </c>
      <c r="E256" s="51">
        <v>-78.922531711809796</v>
      </c>
      <c r="F256" s="51">
        <v>74.538387640399506</v>
      </c>
      <c r="G256" s="51">
        <v>89.233997408379906</v>
      </c>
      <c r="H256" s="51">
        <v>52.441985500679699</v>
      </c>
      <c r="I256" s="11">
        <v>0</v>
      </c>
      <c r="J256" s="51">
        <v>4.7601818553291597</v>
      </c>
      <c r="K256" s="249">
        <f>IFERROR(VLOOKUP(C256,Schedule!$T$3:$U$34,2,0),"FA")</f>
        <v>11</v>
      </c>
      <c r="L256" s="10" t="str">
        <f>D256&amp;COUNTIF(D$2:$D256,D256)</f>
        <v>TE35</v>
      </c>
      <c r="M256" s="51">
        <f t="array" ref="M256">IFERROR(F256-AVERAGE(VLOOKUP(D256,$D257:$F$885,3,0),INDEX($F257:$F$885,SMALL(IF(D256=$D257:$D$885,ROW($D257:$D$885)-ROW(D256)),2))),0)</f>
        <v>4.8605841074379015</v>
      </c>
      <c r="N256" s="51">
        <f>IFERROR(IF(VLOOKUP($B256,Input!$AC$2:$AC$162,1,0)=$B256,0),F256)</f>
        <v>74.538387640399506</v>
      </c>
      <c r="O256" s="51">
        <f>IFERROR(IF(VLOOKUP($B256,Input!$AC$2:$AC$162,1,0)=$B256,0,G256),G256)</f>
        <v>89.233997408379906</v>
      </c>
      <c r="P256" s="51">
        <f>IF(N256=0,0,F256-AVERAGE(INDEX(F:F,MATCH(VLOOKUP(D256,Input!$A$14:$L$22,10,0),L:L,0)),INDEX(F:F,MATCH(VLOOKUP(D256,Input!$A$14:$L$22,11,0),L:L,0)),INDEX(F:F,MATCH(VLOOKUP(D256,Input!$A$14:$L$22,12,0),L:L,0)))+(0.01-ROW()*0.01))</f>
        <v>-81.472531711809808</v>
      </c>
      <c r="Q256" s="107">
        <f t="shared" si="84"/>
        <v>-2.8107448320205623E-2</v>
      </c>
      <c r="R256" s="11">
        <f>IF(VLOOKUP($D256,$X$14:$Y$19,2,0)&lt;=0,1,IF(Q256&lt;0,1,ROUNDUP(IF(Q256*('Draft Center'!$L$28+'Draft Center'!$L$78-'Draft Center'!$L$82)&lt;1,1,Q256*('Draft Center'!$L$28+'Draft Center'!$L$78-'Draft Center'!$L$82)),0)))</f>
        <v>1</v>
      </c>
      <c r="S256" s="11">
        <f>IF(A256&lt;Input!$B$10+0.1,IF(ROUNDUP(R256*Input!$C$10,0)=0,1,ROUNDUP(R256*Input!$C$10,0)),IF(A256&gt;Input!$B$11,IF(ROUNDUP(R256*Input!$C$11,0)=0,1,ROUNDUP(R256*Input!$C$11,0)),IF(ROUNDUP(R256,0)=0,1,ROUNDUP(R256,0))))</f>
        <v>1</v>
      </c>
      <c r="T256" s="11">
        <f t="shared" si="85"/>
        <v>1</v>
      </c>
      <c r="U256" s="11">
        <f>IFERROR(VLOOKUP($B256,Input!$AC$2:$AE$161,3,0),0)</f>
        <v>0</v>
      </c>
      <c r="V256" s="257">
        <f t="shared" si="90"/>
        <v>0</v>
      </c>
      <c r="W256" s="264">
        <f t="shared" si="91"/>
        <v>1.0025599999999999</v>
      </c>
      <c r="X256" s="68"/>
      <c r="Y256" s="68"/>
      <c r="Z256" s="68"/>
      <c r="AA256" s="68"/>
      <c r="AB256" s="68"/>
      <c r="AC256" s="68"/>
      <c r="AD256" s="68"/>
      <c r="AE256" s="68"/>
      <c r="AF256" s="68"/>
      <c r="AG256" s="68"/>
      <c r="AH256" s="68"/>
      <c r="AI256" s="68"/>
      <c r="AJ256" s="68">
        <v>1</v>
      </c>
      <c r="AL256" s="68">
        <v>1</v>
      </c>
      <c r="AM256" s="68"/>
      <c r="AN256" s="68"/>
      <c r="AO256" s="68"/>
      <c r="AQ256" s="68"/>
      <c r="AR256" s="68"/>
      <c r="AS256" s="68"/>
      <c r="AT256" s="68"/>
      <c r="AU256" s="68"/>
      <c r="AV256" s="68"/>
      <c r="AW256" s="68"/>
      <c r="AX256" s="68"/>
      <c r="AY256" s="68"/>
      <c r="AZ256" s="68"/>
      <c r="BB256" s="68"/>
      <c r="BC256" s="68"/>
      <c r="BJ256" s="68"/>
      <c r="BT256">
        <v>1</v>
      </c>
      <c r="BV256">
        <v>1</v>
      </c>
      <c r="BX256" s="68"/>
      <c r="BY256" s="68">
        <v>1</v>
      </c>
      <c r="BZ256" s="68">
        <v>0</v>
      </c>
      <c r="CA256" s="68">
        <v>0</v>
      </c>
      <c r="CB256" s="68">
        <v>0</v>
      </c>
      <c r="CC256" s="68">
        <f t="shared" si="92"/>
        <v>0</v>
      </c>
      <c r="CD256" s="68">
        <f t="shared" si="93"/>
        <v>0</v>
      </c>
    </row>
    <row r="257" spans="1:82" ht="15.75" customHeight="1" thickBot="1" x14ac:dyDescent="0.3">
      <c r="A257" s="6">
        <v>256</v>
      </c>
      <c r="B257" s="7" t="s">
        <v>944</v>
      </c>
      <c r="C257" s="7" t="s">
        <v>50</v>
      </c>
      <c r="D257" s="7" t="s">
        <v>17</v>
      </c>
      <c r="E257" s="50">
        <v>-79.888855909597595</v>
      </c>
      <c r="F257" s="50">
        <v>132.889060359751</v>
      </c>
      <c r="G257" s="50">
        <v>162.416677574929</v>
      </c>
      <c r="H257" s="50">
        <v>93.612208504801103</v>
      </c>
      <c r="I257" s="8">
        <v>1.1000000000000001</v>
      </c>
      <c r="J257" s="50">
        <v>5.4979732275295197</v>
      </c>
      <c r="K257" s="248">
        <f>IFERROR(VLOOKUP(C257,Schedule!$T$3:$U$34,2,0),"FA")</f>
        <v>6</v>
      </c>
      <c r="L257" s="7" t="str">
        <f>D257&amp;COUNTIF(D$2:$D257,D257)</f>
        <v>WR67</v>
      </c>
      <c r="M257" s="50">
        <f t="array" ref="M257">IFERROR(F257-AVERAGE(VLOOKUP(D257,$D258:$F$885,3,0),INDEX($F258:$F$885,SMALL(IF(D257=$D258:$D$885,ROW($D258:$D$885)-ROW(D257)),2))),0)</f>
        <v>2.5777875965684984</v>
      </c>
      <c r="N257" s="50">
        <f>IFERROR(IF(VLOOKUP($B257,Input!$AC$2:$AC$162,1,0)=$B257,0),F257)</f>
        <v>132.889060359751</v>
      </c>
      <c r="O257" s="50">
        <f>IFERROR(IF(VLOOKUP($B257,Input!$AC$2:$AC$162,1,0)=$B257,0,G257),G257)</f>
        <v>162.416677574929</v>
      </c>
      <c r="P257" s="50">
        <f>IF(N257=0,0,F257-AVERAGE(INDEX(F:F,MATCH(VLOOKUP(D257,Input!$A$14:$L$22,10,0),L:L,0)),INDEX(F:F,MATCH(VLOOKUP(D257,Input!$A$14:$L$22,11,0),L:L,0)),INDEX(F:F,MATCH(VLOOKUP(D257,Input!$A$14:$L$22,12,0),L:L,0)))+(0.01-ROW()*0.01))</f>
        <v>-82.448855909598024</v>
      </c>
      <c r="Q257" s="106">
        <f t="shared" si="84"/>
        <v>-2.8444273276500932E-2</v>
      </c>
      <c r="R257" s="8">
        <f>IF(VLOOKUP($D257,$X$14:$Y$19,2,0)&lt;=0,1,IF(Q257&lt;0,1,ROUNDUP(IF(Q257*('Draft Center'!$L$28+'Draft Center'!$L$78-'Draft Center'!$L$82)&lt;1,1,Q257*('Draft Center'!$L$28+'Draft Center'!$L$78-'Draft Center'!$L$82)),0)))</f>
        <v>1</v>
      </c>
      <c r="S257" s="8">
        <f>IF(A257&lt;Input!$B$10+0.1,IF(ROUNDUP(R257*Input!$C$10,0)=0,1,ROUNDUP(R257*Input!$C$10,0)),IF(A257&gt;Input!$B$11,IF(ROUNDUP(R257*Input!$C$11,0)=0,1,ROUNDUP(R257*Input!$C$11,0)),IF(ROUNDUP(R257,0)=0,1,ROUNDUP(R257,0))))</f>
        <v>1</v>
      </c>
      <c r="T257" s="8">
        <f t="shared" si="85"/>
        <v>1</v>
      </c>
      <c r="U257" s="8">
        <f>IFERROR(VLOOKUP($B257,Input!$AC$2:$AE$161,3,0),0)</f>
        <v>0</v>
      </c>
      <c r="V257" s="256">
        <f t="shared" si="90"/>
        <v>-8.8339090909090978E-2</v>
      </c>
      <c r="W257" s="263">
        <f t="shared" si="91"/>
        <v>-9.7430000000000086E-2</v>
      </c>
      <c r="X257" s="68"/>
      <c r="Y257" s="68"/>
      <c r="Z257" s="68"/>
      <c r="AA257" s="68"/>
      <c r="AB257" s="68"/>
      <c r="AC257" s="68"/>
      <c r="AD257" s="68"/>
      <c r="AE257" s="68"/>
      <c r="AF257" s="68"/>
      <c r="AG257" s="68"/>
      <c r="AH257" s="68"/>
      <c r="AI257" s="68"/>
      <c r="AJ257" s="68">
        <v>1</v>
      </c>
      <c r="AL257" s="68">
        <v>1</v>
      </c>
      <c r="AM257" s="68"/>
      <c r="AN257" s="68"/>
      <c r="AO257" s="68"/>
      <c r="AQ257" s="68"/>
      <c r="AR257" s="68"/>
      <c r="AS257" s="68"/>
      <c r="AT257" s="68"/>
      <c r="AU257" s="68"/>
      <c r="AV257" s="68"/>
      <c r="AW257" s="68"/>
      <c r="AX257" s="68"/>
      <c r="AY257" s="68"/>
      <c r="AZ257" s="68"/>
      <c r="BB257" s="68"/>
      <c r="BC257" s="68"/>
      <c r="BJ257" s="68"/>
      <c r="BT257">
        <v>1</v>
      </c>
      <c r="BV257">
        <v>1</v>
      </c>
      <c r="BX257" s="68"/>
      <c r="BY257" s="68">
        <v>1</v>
      </c>
      <c r="BZ257" s="68">
        <v>1.1000000000000001</v>
      </c>
      <c r="CA257" s="68">
        <v>1.1000000000000001</v>
      </c>
      <c r="CB257" s="68">
        <v>1.1000000000000001</v>
      </c>
      <c r="CC257" s="68">
        <f t="shared" si="92"/>
        <v>1.1000000000000001</v>
      </c>
      <c r="CD257" s="68">
        <f t="shared" si="93"/>
        <v>1.1000000000000001</v>
      </c>
    </row>
    <row r="258" spans="1:82" ht="15.75" customHeight="1" thickBot="1" x14ac:dyDescent="0.3">
      <c r="A258" s="9">
        <v>257</v>
      </c>
      <c r="B258" s="10" t="s">
        <v>953</v>
      </c>
      <c r="C258" s="10" t="s">
        <v>93</v>
      </c>
      <c r="D258" s="10" t="s">
        <v>17</v>
      </c>
      <c r="E258" s="51">
        <v>-81.785998897135599</v>
      </c>
      <c r="F258" s="51">
        <v>130.991917372214</v>
      </c>
      <c r="G258" s="51">
        <v>140.09495789055501</v>
      </c>
      <c r="H258" s="51">
        <v>110.49797470489</v>
      </c>
      <c r="I258" s="11">
        <v>0</v>
      </c>
      <c r="J258" s="51">
        <v>5.0117206436279904</v>
      </c>
      <c r="K258" s="249">
        <f>IFERROR(VLOOKUP(C258,Schedule!$T$3:$U$34,2,0),"FA")</f>
        <v>11</v>
      </c>
      <c r="L258" s="10" t="str">
        <f>D258&amp;COUNTIF(D$2:$D258,D258)</f>
        <v>WR68</v>
      </c>
      <c r="M258" s="51">
        <f t="array" ref="M258">IFERROR(F258-AVERAGE(VLOOKUP(D258,$D259:$F$885,3,0),INDEX($F259:$F$885,SMALL(IF(D258=$D259:$D$885,ROW($D259:$D$885)-ROW(D258)),2))),0)</f>
        <v>2.2247587549275067</v>
      </c>
      <c r="N258" s="51">
        <f>IFERROR(IF(VLOOKUP($B258,Input!$AC$2:$AC$162,1,0)=$B258,0),F258)</f>
        <v>130.991917372214</v>
      </c>
      <c r="O258" s="51">
        <f>IFERROR(IF(VLOOKUP($B258,Input!$AC$2:$AC$162,1,0)=$B258,0,G258),G258)</f>
        <v>140.09495789055501</v>
      </c>
      <c r="P258" s="51">
        <f>IF(N258=0,0,F258-AVERAGE(INDEX(F:F,MATCH(VLOOKUP(D258,Input!$A$14:$L$22,10,0),L:L,0)),INDEX(F:F,MATCH(VLOOKUP(D258,Input!$A$14:$L$22,11,0),L:L,0)),INDEX(F:F,MATCH(VLOOKUP(D258,Input!$A$14:$L$22,12,0),L:L,0)))+(0.01-ROW()*0.01))</f>
        <v>-84.355998897135009</v>
      </c>
      <c r="Q258" s="107">
        <f t="shared" ref="Q258:Q321" si="94">IFERROR(P258/SUMIF(P:P,"&gt;0",P:P),0)</f>
        <v>-2.9102224144543838E-2</v>
      </c>
      <c r="R258" s="11">
        <f>IF(VLOOKUP($D258,$X$14:$Y$19,2,0)&lt;=0,1,IF(Q258&lt;0,1,ROUNDUP(IF(Q258*('Draft Center'!$L$28+'Draft Center'!$L$78-'Draft Center'!$L$82)&lt;1,1,Q258*('Draft Center'!$L$28+'Draft Center'!$L$78-'Draft Center'!$L$82)),0)))</f>
        <v>1</v>
      </c>
      <c r="S258" s="11">
        <f>IF(A258&lt;Input!$B$10+0.1,IF(ROUNDUP(R258*Input!$C$10,0)=0,1,ROUNDUP(R258*Input!$C$10,0)),IF(A258&gt;Input!$B$11,IF(ROUNDUP(R258*Input!$C$11,0)=0,1,ROUNDUP(R258*Input!$C$11,0)),IF(ROUNDUP(R258,0)=0,1,ROUNDUP(R258,0))))</f>
        <v>1</v>
      </c>
      <c r="T258" s="11">
        <f t="shared" ref="T258:T321" si="95">IF(U258&gt;0,0,IF(AA258=1,R258,IF(AL258=0,1,AL258)))</f>
        <v>1</v>
      </c>
      <c r="U258" s="11">
        <f>IFERROR(VLOOKUP($B258,Input!$AC$2:$AE$161,3,0),0)</f>
        <v>0</v>
      </c>
      <c r="V258" s="257">
        <f t="shared" si="90"/>
        <v>0</v>
      </c>
      <c r="W258" s="264">
        <f t="shared" si="91"/>
        <v>1.00258</v>
      </c>
      <c r="X258" s="68"/>
      <c r="Y258" s="68"/>
      <c r="Z258" s="68"/>
      <c r="AA258" s="68"/>
      <c r="AB258" s="68"/>
      <c r="AC258" s="68"/>
      <c r="AD258" s="68"/>
      <c r="AE258" s="68"/>
      <c r="AF258" s="68"/>
      <c r="AG258" s="68"/>
      <c r="AH258" s="68"/>
      <c r="AI258" s="68"/>
      <c r="AJ258" s="68">
        <v>1</v>
      </c>
      <c r="AL258" s="68">
        <v>1</v>
      </c>
      <c r="AM258" s="68"/>
      <c r="AN258" s="68"/>
      <c r="AO258" s="68"/>
      <c r="AQ258" s="68"/>
      <c r="AR258" s="68"/>
      <c r="AS258" s="68"/>
      <c r="AT258" s="68"/>
      <c r="AU258" s="68"/>
      <c r="AV258" s="68"/>
      <c r="AW258" s="68"/>
      <c r="AX258" s="68"/>
      <c r="AY258" s="68"/>
      <c r="AZ258" s="68"/>
      <c r="BB258" s="68"/>
      <c r="BC258" s="68"/>
      <c r="BJ258" s="68"/>
      <c r="BT258">
        <v>1</v>
      </c>
      <c r="BV258">
        <v>1</v>
      </c>
      <c r="BX258" s="68"/>
      <c r="BY258" s="68">
        <v>1</v>
      </c>
      <c r="BZ258" s="68">
        <v>0</v>
      </c>
      <c r="CA258" s="68">
        <v>0</v>
      </c>
      <c r="CB258" s="68">
        <v>0</v>
      </c>
      <c r="CC258" s="68">
        <f t="shared" si="92"/>
        <v>0</v>
      </c>
      <c r="CD258" s="68">
        <f t="shared" si="93"/>
        <v>0</v>
      </c>
    </row>
    <row r="259" spans="1:82" ht="15.75" customHeight="1" thickBot="1" x14ac:dyDescent="0.3">
      <c r="A259" s="6">
        <v>258</v>
      </c>
      <c r="B259" s="7" t="s">
        <v>181</v>
      </c>
      <c r="C259" s="7" t="s">
        <v>47</v>
      </c>
      <c r="D259" s="7" t="s">
        <v>19</v>
      </c>
      <c r="E259" s="50">
        <v>-82.442711167456196</v>
      </c>
      <c r="F259" s="50">
        <v>86.659686858495704</v>
      </c>
      <c r="G259" s="50">
        <v>116.843472918187</v>
      </c>
      <c r="H259" s="50">
        <v>-1.34676370183315</v>
      </c>
      <c r="I259" s="8">
        <v>0</v>
      </c>
      <c r="J259" s="50">
        <v>8.97064394457567</v>
      </c>
      <c r="K259" s="248">
        <f>IFERROR(VLOOKUP(C259,Schedule!$T$3:$U$34,2,0),"FA")</f>
        <v>10</v>
      </c>
      <c r="L259" s="7" t="str">
        <f>D259&amp;COUNTIF(D$2:$D259,D259)</f>
        <v>RB63</v>
      </c>
      <c r="M259" s="50">
        <f t="array" ref="M259">IFERROR(F259-AVERAGE(VLOOKUP(D259,$D260:$F$885,3,0),INDEX($F260:$F$885,SMALL(IF(D259=$D260:$D$885,ROW($D260:$D$885)-ROW(D259)),2))),0)</f>
        <v>3.3289167271688598</v>
      </c>
      <c r="N259" s="50">
        <f>IFERROR(IF(VLOOKUP($B259,Input!$AC$2:$AC$162,1,0)=$B259,0),F259)</f>
        <v>86.659686858495704</v>
      </c>
      <c r="O259" s="50">
        <f>IFERROR(IF(VLOOKUP($B259,Input!$AC$2:$AC$162,1,0)=$B259,0,G259),G259)</f>
        <v>116.843472918187</v>
      </c>
      <c r="P259" s="50">
        <f>IF(N259=0,0,F259-AVERAGE(INDEX(F:F,MATCH(VLOOKUP(D259,Input!$A$14:$L$22,10,0),L:L,0)),INDEX(F:F,MATCH(VLOOKUP(D259,Input!$A$14:$L$22,11,0),L:L,0)),INDEX(F:F,MATCH(VLOOKUP(D259,Input!$A$14:$L$22,12,0),L:L,0)))+(0.01-ROW()*0.01))</f>
        <v>-85.022711167456293</v>
      </c>
      <c r="Q259" s="106">
        <f t="shared" si="94"/>
        <v>-2.9332235171435569E-2</v>
      </c>
      <c r="R259" s="8">
        <f>IF(VLOOKUP($D259,$X$14:$Y$19,2,0)&lt;=0,1,IF(Q259&lt;0,1,ROUNDUP(IF(Q259*('Draft Center'!$L$28+'Draft Center'!$L$78-'Draft Center'!$L$82)&lt;1,1,Q259*('Draft Center'!$L$28+'Draft Center'!$L$78-'Draft Center'!$L$82)),0)))</f>
        <v>1</v>
      </c>
      <c r="S259" s="8">
        <f>IF(A259&lt;Input!$B$10+0.1,IF(ROUNDUP(R259*Input!$C$10,0)=0,1,ROUNDUP(R259*Input!$C$10,0)),IF(A259&gt;Input!$B$11,IF(ROUNDUP(R259*Input!$C$11,0)=0,1,ROUNDUP(R259*Input!$C$11,0)),IF(ROUNDUP(R259,0)=0,1,ROUNDUP(R259,0))))</f>
        <v>1</v>
      </c>
      <c r="T259" s="8">
        <f t="shared" si="95"/>
        <v>1</v>
      </c>
      <c r="U259" s="8">
        <f>IFERROR(VLOOKUP($B259,Input!$AC$2:$AE$161,3,0),0)</f>
        <v>0</v>
      </c>
      <c r="V259" s="256">
        <f t="shared" ref="V259:V322" si="96">IF(R259=0,0,IFERROR(((R259-CD259)/CD259)+(ROW()*0.00001),0))</f>
        <v>0</v>
      </c>
      <c r="W259" s="263">
        <f t="shared" ref="W259:W322" si="97">IF(R259=0,0,IFERROR(((R259-CD259))+(ROW()*0.00001),0))</f>
        <v>1.0025900000000001</v>
      </c>
      <c r="X259" s="68"/>
      <c r="Y259" s="68"/>
      <c r="Z259" s="68"/>
      <c r="AA259" s="68"/>
      <c r="AB259" s="68"/>
      <c r="AC259" s="68"/>
      <c r="AD259" s="68"/>
      <c r="AE259" s="68"/>
      <c r="AF259" s="68"/>
      <c r="AG259" s="68"/>
      <c r="AH259" s="68"/>
      <c r="AI259" s="68"/>
      <c r="AJ259" s="68">
        <v>1</v>
      </c>
      <c r="AL259" s="68">
        <v>1</v>
      </c>
      <c r="AM259" s="68"/>
      <c r="AN259" s="68"/>
      <c r="AO259" s="68"/>
      <c r="AQ259" s="68"/>
      <c r="AR259" s="68"/>
      <c r="AS259" s="68"/>
      <c r="AT259" s="68"/>
      <c r="AU259" s="68"/>
      <c r="AV259" s="68"/>
      <c r="AW259" s="68"/>
      <c r="AX259" s="68"/>
      <c r="AY259" s="68"/>
      <c r="AZ259" s="68"/>
      <c r="BB259" s="68"/>
      <c r="BC259" s="68"/>
      <c r="BJ259" s="68"/>
      <c r="BT259">
        <v>1</v>
      </c>
      <c r="BV259">
        <v>1</v>
      </c>
      <c r="BX259" s="68"/>
      <c r="BY259" s="68">
        <v>1</v>
      </c>
      <c r="BZ259" s="68">
        <v>0</v>
      </c>
      <c r="CA259" s="68">
        <v>0</v>
      </c>
      <c r="CB259" s="68">
        <v>0</v>
      </c>
      <c r="CC259" s="68">
        <f t="shared" ref="CC259:CC322" si="98">AVERAGE(BZ259:CB259)</f>
        <v>0</v>
      </c>
      <c r="CD259" s="68">
        <f t="shared" ref="CD259:CD322" si="99">IFERROR(HLOOKUP($CD$1,$BZ$1:$CC$930,ROW(),0),"")</f>
        <v>0</v>
      </c>
    </row>
    <row r="260" spans="1:82" ht="15.75" customHeight="1" thickBot="1" x14ac:dyDescent="0.3">
      <c r="A260" s="9">
        <v>259</v>
      </c>
      <c r="B260" s="10" t="s">
        <v>111</v>
      </c>
      <c r="C260" s="10" t="s">
        <v>45</v>
      </c>
      <c r="D260" s="10" t="s">
        <v>17</v>
      </c>
      <c r="E260" s="51">
        <v>-83.147288115197597</v>
      </c>
      <c r="F260" s="51">
        <v>129.630628154151</v>
      </c>
      <c r="G260" s="51">
        <v>160.237278228733</v>
      </c>
      <c r="H260" s="51">
        <v>80.1174731726435</v>
      </c>
      <c r="I260" s="11">
        <v>0</v>
      </c>
      <c r="J260" s="51">
        <v>6.5334037488839503</v>
      </c>
      <c r="K260" s="249">
        <f>IFERROR(VLOOKUP(C260,Schedule!$T$3:$U$34,2,0),"FA")</f>
        <v>6</v>
      </c>
      <c r="L260" s="10" t="str">
        <f>D260&amp;COUNTIF(D$2:$D260,D260)</f>
        <v>WR69</v>
      </c>
      <c r="M260" s="51">
        <f t="array" ref="M260">IFERROR(F260-AVERAGE(VLOOKUP(D260,$D261:$F$885,3,0),INDEX($F261:$F$885,SMALL(IF(D260=$D261:$D$885,ROW($D261:$D$885)-ROW(D260)),2))),0)</f>
        <v>3.4998905114805012</v>
      </c>
      <c r="N260" s="51">
        <f>IFERROR(IF(VLOOKUP($B260,Input!$AC$2:$AC$162,1,0)=$B260,0),F260)</f>
        <v>129.630628154151</v>
      </c>
      <c r="O260" s="51">
        <f>IFERROR(IF(VLOOKUP($B260,Input!$AC$2:$AC$162,1,0)=$B260,0,G260),G260)</f>
        <v>160.237278228733</v>
      </c>
      <c r="P260" s="51">
        <f>IF(N260=0,0,F260-AVERAGE(INDEX(F:F,MATCH(VLOOKUP(D260,Input!$A$14:$L$22,10,0),L:L,0)),INDEX(F:F,MATCH(VLOOKUP(D260,Input!$A$14:$L$22,11,0),L:L,0)),INDEX(F:F,MATCH(VLOOKUP(D260,Input!$A$14:$L$22,12,0),L:L,0)))+(0.01-ROW()*0.01))</f>
        <v>-85.737288115198027</v>
      </c>
      <c r="Q260" s="107">
        <f t="shared" si="94"/>
        <v>-2.9578759174157209E-2</v>
      </c>
      <c r="R260" s="11">
        <f>IF(VLOOKUP($D260,$X$14:$Y$19,2,0)&lt;=0,1,IF(Q260&lt;0,1,ROUNDUP(IF(Q260*('Draft Center'!$L$28+'Draft Center'!$L$78-'Draft Center'!$L$82)&lt;1,1,Q260*('Draft Center'!$L$28+'Draft Center'!$L$78-'Draft Center'!$L$82)),0)))</f>
        <v>1</v>
      </c>
      <c r="S260" s="11">
        <f>IF(A260&lt;Input!$B$10+0.1,IF(ROUNDUP(R260*Input!$C$10,0)=0,1,ROUNDUP(R260*Input!$C$10,0)),IF(A260&gt;Input!$B$11,IF(ROUNDUP(R260*Input!$C$11,0)=0,1,ROUNDUP(R260*Input!$C$11,0)),IF(ROUNDUP(R260,0)=0,1,ROUNDUP(R260,0))))</f>
        <v>1</v>
      </c>
      <c r="T260" s="11">
        <f t="shared" si="95"/>
        <v>1</v>
      </c>
      <c r="U260" s="11">
        <f>IFERROR(VLOOKUP($B260,Input!$AC$2:$AE$161,3,0),0)</f>
        <v>0</v>
      </c>
      <c r="V260" s="257">
        <f t="shared" si="96"/>
        <v>0</v>
      </c>
      <c r="W260" s="264">
        <f t="shared" si="97"/>
        <v>1.0025999999999999</v>
      </c>
      <c r="X260" s="68"/>
      <c r="Y260" s="68"/>
      <c r="Z260" s="68"/>
      <c r="AA260" s="68"/>
      <c r="AB260" s="68"/>
      <c r="AC260" s="68"/>
      <c r="AD260" s="68"/>
      <c r="AE260" s="68"/>
      <c r="AF260" s="68"/>
      <c r="AG260" s="68"/>
      <c r="AH260" s="68"/>
      <c r="AI260" s="68"/>
      <c r="AJ260" s="68">
        <v>1</v>
      </c>
      <c r="AL260" s="68">
        <v>1</v>
      </c>
      <c r="AM260" s="68"/>
      <c r="AN260" s="68"/>
      <c r="AO260" s="68"/>
      <c r="AQ260" s="68"/>
      <c r="AR260" s="68"/>
      <c r="AS260" s="68"/>
      <c r="AT260" s="68"/>
      <c r="AU260" s="68"/>
      <c r="AV260" s="68"/>
      <c r="AW260" s="68"/>
      <c r="AX260" s="68"/>
      <c r="AY260" s="68"/>
      <c r="AZ260" s="68"/>
      <c r="BB260" s="68"/>
      <c r="BC260" s="68"/>
      <c r="BJ260" s="68"/>
      <c r="BT260">
        <v>1</v>
      </c>
      <c r="BV260">
        <v>1</v>
      </c>
      <c r="BX260" s="68"/>
      <c r="BY260" s="68">
        <v>1</v>
      </c>
      <c r="BZ260" s="68">
        <v>0</v>
      </c>
      <c r="CA260" s="68">
        <v>0</v>
      </c>
      <c r="CB260" s="68">
        <v>0</v>
      </c>
      <c r="CC260" s="68">
        <f t="shared" si="98"/>
        <v>0</v>
      </c>
      <c r="CD260" s="68">
        <f t="shared" si="99"/>
        <v>0</v>
      </c>
    </row>
    <row r="261" spans="1:82" ht="15.75" customHeight="1" thickBot="1" x14ac:dyDescent="0.3">
      <c r="A261" s="6">
        <v>260</v>
      </c>
      <c r="B261" s="7" t="s">
        <v>790</v>
      </c>
      <c r="C261" s="7" t="s">
        <v>925</v>
      </c>
      <c r="D261" s="7" t="s">
        <v>43</v>
      </c>
      <c r="E261" s="50">
        <v>-83.470613339889297</v>
      </c>
      <c r="F261" s="50">
        <v>69.990306012320005</v>
      </c>
      <c r="G261" s="50">
        <v>88.6977926200274</v>
      </c>
      <c r="H261" s="50">
        <v>53.520493883099199</v>
      </c>
      <c r="I261" s="8">
        <v>0</v>
      </c>
      <c r="J261" s="50">
        <v>4.8068807232569499</v>
      </c>
      <c r="K261" s="248">
        <f>IFERROR(VLOOKUP(C261,Schedule!$T$3:$U$34,2,0),"FA")</f>
        <v>8</v>
      </c>
      <c r="L261" s="7" t="str">
        <f>D261&amp;COUNTIF(D$2:$D261,D261)</f>
        <v>TE36</v>
      </c>
      <c r="M261" s="50">
        <f t="array" ref="M261">IFERROR(F261-AVERAGE(VLOOKUP(D261,$D262:$F$885,3,0),INDEX($F262:$F$885,SMALL(IF(D261=$D262:$D$885,ROW($D262:$D$885)-ROW(D261)),2))),0)</f>
        <v>2.096022557925906</v>
      </c>
      <c r="N261" s="50">
        <f>IFERROR(IF(VLOOKUP($B261,Input!$AC$2:$AC$162,1,0)=$B261,0),F261)</f>
        <v>69.990306012320005</v>
      </c>
      <c r="O261" s="50">
        <f>IFERROR(IF(VLOOKUP($B261,Input!$AC$2:$AC$162,1,0)=$B261,0,G261),G261)</f>
        <v>88.6977926200274</v>
      </c>
      <c r="P261" s="50">
        <f>IF(N261=0,0,F261-AVERAGE(INDEX(F:F,MATCH(VLOOKUP(D261,Input!$A$14:$L$22,10,0),L:L,0)),INDEX(F:F,MATCH(VLOOKUP(D261,Input!$A$14:$L$22,11,0),L:L,0)),INDEX(F:F,MATCH(VLOOKUP(D261,Input!$A$14:$L$22,12,0),L:L,0)))+(0.01-ROW()*0.01))</f>
        <v>-86.070613339889306</v>
      </c>
      <c r="Q261" s="106">
        <f t="shared" si="94"/>
        <v>-2.9693754023709343E-2</v>
      </c>
      <c r="R261" s="8">
        <f>IF(VLOOKUP($D261,$X$14:$Y$19,2,0)&lt;=0,1,IF(Q261&lt;0,1,ROUNDUP(IF(Q261*('Draft Center'!$L$28+'Draft Center'!$L$78-'Draft Center'!$L$82)&lt;1,1,Q261*('Draft Center'!$L$28+'Draft Center'!$L$78-'Draft Center'!$L$82)),0)))</f>
        <v>1</v>
      </c>
      <c r="S261" s="8">
        <f>IF(A261&lt;Input!$B$10+0.1,IF(ROUNDUP(R261*Input!$C$10,0)=0,1,ROUNDUP(R261*Input!$C$10,0)),IF(A261&gt;Input!$B$11,IF(ROUNDUP(R261*Input!$C$11,0)=0,1,ROUNDUP(R261*Input!$C$11,0)),IF(ROUNDUP(R261,0)=0,1,ROUNDUP(R261,0))))</f>
        <v>1</v>
      </c>
      <c r="T261" s="8">
        <f t="shared" si="95"/>
        <v>1</v>
      </c>
      <c r="U261" s="8">
        <f>IFERROR(VLOOKUP($B261,Input!$AC$2:$AE$161,3,0),0)</f>
        <v>0</v>
      </c>
      <c r="V261" s="256">
        <f t="shared" si="96"/>
        <v>0</v>
      </c>
      <c r="W261" s="263">
        <f t="shared" si="97"/>
        <v>1.00261</v>
      </c>
      <c r="X261" s="68"/>
      <c r="Y261" s="68"/>
      <c r="Z261" s="68"/>
      <c r="AA261" s="68"/>
      <c r="AB261" s="68"/>
      <c r="AC261" s="68"/>
      <c r="AD261" s="68"/>
      <c r="AE261" s="68"/>
      <c r="AF261" s="68"/>
      <c r="AG261" s="68"/>
      <c r="AH261" s="68"/>
      <c r="AI261" s="68"/>
      <c r="AJ261" s="68">
        <v>1</v>
      </c>
      <c r="AL261" s="68">
        <v>1</v>
      </c>
      <c r="AM261" s="68"/>
      <c r="AN261" s="68"/>
      <c r="AO261" s="68"/>
      <c r="AQ261" s="68"/>
      <c r="AR261" s="68"/>
      <c r="AS261" s="68"/>
      <c r="AT261" s="68"/>
      <c r="AU261" s="68"/>
      <c r="AV261" s="68"/>
      <c r="AW261" s="68"/>
      <c r="AX261" s="68"/>
      <c r="AY261" s="68"/>
      <c r="AZ261" s="68"/>
      <c r="BB261" s="68"/>
      <c r="BC261" s="68"/>
      <c r="BJ261" s="68"/>
      <c r="BT261">
        <v>1</v>
      </c>
      <c r="BV261">
        <v>1</v>
      </c>
      <c r="BX261" s="68"/>
      <c r="BY261" s="68">
        <v>1</v>
      </c>
      <c r="BZ261" s="68">
        <v>0</v>
      </c>
      <c r="CA261" s="68">
        <v>0</v>
      </c>
      <c r="CB261" s="68">
        <v>0</v>
      </c>
      <c r="CC261" s="68">
        <f t="shared" si="98"/>
        <v>0</v>
      </c>
      <c r="CD261" s="68">
        <f t="shared" si="99"/>
        <v>0</v>
      </c>
    </row>
    <row r="262" spans="1:82" ht="15.75" customHeight="1" thickBot="1" x14ac:dyDescent="0.3">
      <c r="A262" s="9">
        <v>261</v>
      </c>
      <c r="B262" s="10" t="s">
        <v>399</v>
      </c>
      <c r="C262" s="10" t="s">
        <v>66</v>
      </c>
      <c r="D262" s="10" t="s">
        <v>43</v>
      </c>
      <c r="E262" s="51">
        <v>-84.095618298606098</v>
      </c>
      <c r="F262" s="51">
        <v>69.365301053603204</v>
      </c>
      <c r="G262" s="51">
        <v>85.695161311280501</v>
      </c>
      <c r="H262" s="51">
        <v>55.924272682625499</v>
      </c>
      <c r="I262" s="11">
        <v>0</v>
      </c>
      <c r="J262" s="51">
        <v>4.4799886477624202</v>
      </c>
      <c r="K262" s="249">
        <f>IFERROR(VLOOKUP(C262,Schedule!$T$3:$U$34,2,0),"FA")</f>
        <v>7</v>
      </c>
      <c r="L262" s="10" t="str">
        <f>D262&amp;COUNTIF(D$2:$D262,D262)</f>
        <v>TE37</v>
      </c>
      <c r="M262" s="51">
        <f t="array" ref="M262">IFERROR(F262-AVERAGE(VLOOKUP(D262,$D263:$F$885,3,0),INDEX($F263:$F$885,SMALL(IF(D262=$D263:$D$885,ROW($D263:$D$885)-ROW(D262)),2))),0)</f>
        <v>3.0906672019685146</v>
      </c>
      <c r="N262" s="51">
        <f>IFERROR(IF(VLOOKUP($B262,Input!$AC$2:$AC$162,1,0)=$B262,0),F262)</f>
        <v>69.365301053603204</v>
      </c>
      <c r="O262" s="51">
        <f>IFERROR(IF(VLOOKUP($B262,Input!$AC$2:$AC$162,1,0)=$B262,0,G262),G262)</f>
        <v>85.695161311280501</v>
      </c>
      <c r="P262" s="51">
        <f>IF(N262=0,0,F262-AVERAGE(INDEX(F:F,MATCH(VLOOKUP(D262,Input!$A$14:$L$22,10,0),L:L,0)),INDEX(F:F,MATCH(VLOOKUP(D262,Input!$A$14:$L$22,11,0),L:L,0)),INDEX(F:F,MATCH(VLOOKUP(D262,Input!$A$14:$L$22,12,0),L:L,0)))+(0.01-ROW()*0.01))</f>
        <v>-86.705618298606112</v>
      </c>
      <c r="Q262" s="107">
        <f t="shared" si="94"/>
        <v>-2.9912826251921685E-2</v>
      </c>
      <c r="R262" s="11">
        <f>IF(VLOOKUP($D262,$X$14:$Y$19,2,0)&lt;=0,1,IF(Q262&lt;0,1,ROUNDUP(IF(Q262*('Draft Center'!$L$28+'Draft Center'!$L$78-'Draft Center'!$L$82)&lt;1,1,Q262*('Draft Center'!$L$28+'Draft Center'!$L$78-'Draft Center'!$L$82)),0)))</f>
        <v>1</v>
      </c>
      <c r="S262" s="11">
        <f>IF(A262&lt;Input!$B$10+0.1,IF(ROUNDUP(R262*Input!$C$10,0)=0,1,ROUNDUP(R262*Input!$C$10,0)),IF(A262&gt;Input!$B$11,IF(ROUNDUP(R262*Input!$C$11,0)=0,1,ROUNDUP(R262*Input!$C$11,0)),IF(ROUNDUP(R262,0)=0,1,ROUNDUP(R262,0))))</f>
        <v>1</v>
      </c>
      <c r="T262" s="11">
        <f t="shared" si="95"/>
        <v>1</v>
      </c>
      <c r="U262" s="11">
        <f>IFERROR(VLOOKUP($B262,Input!$AC$2:$AE$161,3,0),0)</f>
        <v>0</v>
      </c>
      <c r="V262" s="257">
        <f t="shared" si="96"/>
        <v>0</v>
      </c>
      <c r="W262" s="264">
        <f t="shared" si="97"/>
        <v>1.0026200000000001</v>
      </c>
      <c r="X262" s="68"/>
      <c r="Y262" s="68"/>
      <c r="Z262" s="68"/>
      <c r="AA262" s="68"/>
      <c r="AB262" s="68"/>
      <c r="AC262" s="68"/>
      <c r="AD262" s="68"/>
      <c r="AE262" s="68"/>
      <c r="AF262" s="68"/>
      <c r="AG262" s="68"/>
      <c r="AH262" s="68"/>
      <c r="AI262" s="68"/>
      <c r="AJ262" s="68">
        <v>1</v>
      </c>
      <c r="AL262" s="68">
        <v>1</v>
      </c>
      <c r="AM262" s="68"/>
      <c r="AN262" s="68"/>
      <c r="AO262" s="68"/>
      <c r="AQ262" s="68"/>
      <c r="AR262" s="68"/>
      <c r="AS262" s="68"/>
      <c r="AT262" s="68"/>
      <c r="AU262" s="68"/>
      <c r="AV262" s="68"/>
      <c r="AW262" s="68"/>
      <c r="AX262" s="68"/>
      <c r="AY262" s="68"/>
      <c r="AZ262" s="68"/>
      <c r="BB262" s="68"/>
      <c r="BC262" s="68"/>
      <c r="BJ262" s="68"/>
      <c r="BT262">
        <v>1</v>
      </c>
      <c r="BV262">
        <v>1</v>
      </c>
      <c r="BX262" s="68"/>
      <c r="BY262" s="68">
        <v>1</v>
      </c>
      <c r="BZ262" s="68">
        <v>0</v>
      </c>
      <c r="CA262" s="68">
        <v>0</v>
      </c>
      <c r="CB262" s="68">
        <v>0</v>
      </c>
      <c r="CC262" s="68">
        <f t="shared" si="98"/>
        <v>0</v>
      </c>
      <c r="CD262" s="68">
        <f t="shared" si="99"/>
        <v>0</v>
      </c>
    </row>
    <row r="263" spans="1:82" ht="15.75" customHeight="1" thickBot="1" x14ac:dyDescent="0.3">
      <c r="A263" s="6">
        <v>262</v>
      </c>
      <c r="B263" s="7" t="s">
        <v>762</v>
      </c>
      <c r="C263" s="7" t="s">
        <v>83</v>
      </c>
      <c r="D263" s="7" t="s">
        <v>17</v>
      </c>
      <c r="E263" s="50">
        <v>-84.874227188926795</v>
      </c>
      <c r="F263" s="50">
        <v>127.903689080422</v>
      </c>
      <c r="G263" s="50">
        <v>158.31829972087399</v>
      </c>
      <c r="H263" s="50">
        <v>71.317013521457994</v>
      </c>
      <c r="I263" s="8">
        <v>1.1000000000000001</v>
      </c>
      <c r="J263" s="50">
        <v>6.0891159592596198</v>
      </c>
      <c r="K263" s="248">
        <f>IFERROR(VLOOKUP(C263,Schedule!$T$3:$U$34,2,0),"FA")</f>
        <v>5</v>
      </c>
      <c r="L263" s="7" t="str">
        <f>D263&amp;COUNTIF(D$2:$D263,D263)</f>
        <v>WR70</v>
      </c>
      <c r="M263" s="50">
        <f t="array" ref="M263">IFERROR(F263-AVERAGE(VLOOKUP(D263,$D264:$F$885,3,0),INDEX($F264:$F$885,SMALL(IF(D263=$D264:$D$885,ROW($D264:$D$885)-ROW(D263)),2))),0)</f>
        <v>5.6081251837530033</v>
      </c>
      <c r="N263" s="50">
        <f>IFERROR(IF(VLOOKUP($B263,Input!$AC$2:$AC$162,1,0)=$B263,0),F263)</f>
        <v>127.903689080422</v>
      </c>
      <c r="O263" s="50">
        <f>IFERROR(IF(VLOOKUP($B263,Input!$AC$2:$AC$162,1,0)=$B263,0,G263),G263)</f>
        <v>158.31829972087399</v>
      </c>
      <c r="P263" s="50">
        <f>IF(N263=0,0,F263-AVERAGE(INDEX(F:F,MATCH(VLOOKUP(D263,Input!$A$14:$L$22,10,0),L:L,0)),INDEX(F:F,MATCH(VLOOKUP(D263,Input!$A$14:$L$22,11,0),L:L,0)),INDEX(F:F,MATCH(VLOOKUP(D263,Input!$A$14:$L$22,12,0),L:L,0)))+(0.01-ROW()*0.01))</f>
        <v>-87.494227188927027</v>
      </c>
      <c r="Q263" s="106">
        <f t="shared" si="94"/>
        <v>-3.0184890752236418E-2</v>
      </c>
      <c r="R263" s="8">
        <f>IF(VLOOKUP($D263,$X$14:$Y$19,2,0)&lt;=0,1,IF(Q263&lt;0,1,ROUNDUP(IF(Q263*('Draft Center'!$L$28+'Draft Center'!$L$78-'Draft Center'!$L$82)&lt;1,1,Q263*('Draft Center'!$L$28+'Draft Center'!$L$78-'Draft Center'!$L$82)),0)))</f>
        <v>1</v>
      </c>
      <c r="S263" s="8">
        <f>IF(A263&lt;Input!$B$10+0.1,IF(ROUNDUP(R263*Input!$C$10,0)=0,1,ROUNDUP(R263*Input!$C$10,0)),IF(A263&gt;Input!$B$11,IF(ROUNDUP(R263*Input!$C$11,0)=0,1,ROUNDUP(R263*Input!$C$11,0)),IF(ROUNDUP(R263,0)=0,1,ROUNDUP(R263,0))))</f>
        <v>1</v>
      </c>
      <c r="T263" s="8">
        <f t="shared" si="95"/>
        <v>1</v>
      </c>
      <c r="U263" s="8">
        <f>IFERROR(VLOOKUP($B263,Input!$AC$2:$AE$161,3,0),0)</f>
        <v>0</v>
      </c>
      <c r="V263" s="256">
        <f t="shared" si="96"/>
        <v>-8.8279090909090974E-2</v>
      </c>
      <c r="W263" s="263">
        <f t="shared" si="97"/>
        <v>-9.7370000000000095E-2</v>
      </c>
      <c r="X263" s="68"/>
      <c r="Y263" s="68"/>
      <c r="Z263" s="68"/>
      <c r="AA263" s="68"/>
      <c r="AB263" s="68"/>
      <c r="AC263" s="68"/>
      <c r="AD263" s="68"/>
      <c r="AE263" s="68"/>
      <c r="AF263" s="68"/>
      <c r="AG263" s="68"/>
      <c r="AH263" s="68"/>
      <c r="AI263" s="68"/>
      <c r="AJ263" s="68">
        <v>1</v>
      </c>
      <c r="AL263" s="68">
        <v>1</v>
      </c>
      <c r="AM263" s="68"/>
      <c r="AN263" s="68"/>
      <c r="AO263" s="68"/>
      <c r="AQ263" s="68"/>
      <c r="AR263" s="68"/>
      <c r="AS263" s="68"/>
      <c r="AT263" s="68"/>
      <c r="AU263" s="68"/>
      <c r="AV263" s="68"/>
      <c r="AW263" s="68"/>
      <c r="AX263" s="68"/>
      <c r="AY263" s="68"/>
      <c r="AZ263" s="68"/>
      <c r="BB263" s="68"/>
      <c r="BC263" s="68"/>
      <c r="BJ263" s="68"/>
      <c r="BT263">
        <v>1</v>
      </c>
      <c r="BV263">
        <v>1</v>
      </c>
      <c r="BX263" s="68"/>
      <c r="BY263" s="68">
        <v>1</v>
      </c>
      <c r="BZ263" s="68">
        <v>1.1000000000000001</v>
      </c>
      <c r="CA263" s="68">
        <v>1.1000000000000001</v>
      </c>
      <c r="CB263" s="68">
        <v>1.1000000000000001</v>
      </c>
      <c r="CC263" s="68">
        <f t="shared" si="98"/>
        <v>1.1000000000000001</v>
      </c>
      <c r="CD263" s="68">
        <f t="shared" si="99"/>
        <v>1.1000000000000001</v>
      </c>
    </row>
    <row r="264" spans="1:82" ht="15.75" customHeight="1" thickBot="1" x14ac:dyDescent="0.3">
      <c r="A264" s="9">
        <v>263</v>
      </c>
      <c r="B264" s="10" t="s">
        <v>282</v>
      </c>
      <c r="C264" s="10" t="s">
        <v>57</v>
      </c>
      <c r="D264" s="10" t="s">
        <v>19</v>
      </c>
      <c r="E264" s="51">
        <v>-85.765388640343005</v>
      </c>
      <c r="F264" s="51">
        <v>83.337009385608894</v>
      </c>
      <c r="G264" s="51">
        <v>90.265614279591304</v>
      </c>
      <c r="H264" s="51">
        <v>71.990260631001405</v>
      </c>
      <c r="I264" s="11">
        <v>1.1000000000000001</v>
      </c>
      <c r="J264" s="51">
        <v>5.6345465820509002</v>
      </c>
      <c r="K264" s="249">
        <f>IFERROR(VLOOKUP(C264,Schedule!$T$3:$U$34,2,0),"FA")</f>
        <v>11</v>
      </c>
      <c r="L264" s="10" t="str">
        <f>D264&amp;COUNTIF(D$2:$D264,D264)</f>
        <v>RB64</v>
      </c>
      <c r="M264" s="51">
        <f t="array" ref="M264">IFERROR(F264-AVERAGE(VLOOKUP(D264,$D265:$F$885,3,0),INDEX($F265:$F$885,SMALL(IF(D264=$D265:$D$885,ROW($D265:$D$885)-ROW(D264)),2))),0)</f>
        <v>0.28657846830400047</v>
      </c>
      <c r="N264" s="51">
        <f>IFERROR(IF(VLOOKUP($B264,Input!$AC$2:$AC$162,1,0)=$B264,0),F264)</f>
        <v>83.337009385608894</v>
      </c>
      <c r="O264" s="51">
        <f>IFERROR(IF(VLOOKUP($B264,Input!$AC$2:$AC$162,1,0)=$B264,0,G264),G264)</f>
        <v>90.265614279591304</v>
      </c>
      <c r="P264" s="51">
        <f>IF(N264=0,0,F264-AVERAGE(INDEX(F:F,MATCH(VLOOKUP(D264,Input!$A$14:$L$22,10,0),L:L,0)),INDEX(F:F,MATCH(VLOOKUP(D264,Input!$A$14:$L$22,11,0),L:L,0)),INDEX(F:F,MATCH(VLOOKUP(D264,Input!$A$14:$L$22,12,0),L:L,0)))+(0.01-ROW()*0.01))</f>
        <v>-88.3953886403431</v>
      </c>
      <c r="Q264" s="107">
        <f t="shared" si="94"/>
        <v>-3.0495785091612486E-2</v>
      </c>
      <c r="R264" s="11">
        <f>IF(VLOOKUP($D264,$X$14:$Y$19,2,0)&lt;=0,1,IF(Q264&lt;0,1,ROUNDUP(IF(Q264*('Draft Center'!$L$28+'Draft Center'!$L$78-'Draft Center'!$L$82)&lt;1,1,Q264*('Draft Center'!$L$28+'Draft Center'!$L$78-'Draft Center'!$L$82)),0)))</f>
        <v>1</v>
      </c>
      <c r="S264" s="11">
        <f>IF(A264&lt;Input!$B$10+0.1,IF(ROUNDUP(R264*Input!$C$10,0)=0,1,ROUNDUP(R264*Input!$C$10,0)),IF(A264&gt;Input!$B$11,IF(ROUNDUP(R264*Input!$C$11,0)=0,1,ROUNDUP(R264*Input!$C$11,0)),IF(ROUNDUP(R264,0)=0,1,ROUNDUP(R264,0))))</f>
        <v>1</v>
      </c>
      <c r="T264" s="11">
        <f t="shared" si="95"/>
        <v>1</v>
      </c>
      <c r="U264" s="11">
        <f>IFERROR(VLOOKUP($B264,Input!$AC$2:$AE$161,3,0),0)</f>
        <v>0</v>
      </c>
      <c r="V264" s="257">
        <f t="shared" si="96"/>
        <v>-8.8269090909090978E-2</v>
      </c>
      <c r="W264" s="264">
        <f t="shared" si="97"/>
        <v>-9.7360000000000085E-2</v>
      </c>
      <c r="X264" s="68"/>
      <c r="Y264" s="68"/>
      <c r="Z264" s="68"/>
      <c r="AA264" s="68"/>
      <c r="AB264" s="68"/>
      <c r="AC264" s="68"/>
      <c r="AD264" s="68"/>
      <c r="AE264" s="68"/>
      <c r="AF264" s="68"/>
      <c r="AG264" s="68"/>
      <c r="AH264" s="68"/>
      <c r="AI264" s="68"/>
      <c r="AJ264" s="68">
        <v>1</v>
      </c>
      <c r="AL264" s="68">
        <v>1</v>
      </c>
      <c r="AM264" s="68"/>
      <c r="AN264" s="68"/>
      <c r="AO264" s="68"/>
      <c r="AQ264" s="68"/>
      <c r="AR264" s="68"/>
      <c r="AS264" s="68"/>
      <c r="AT264" s="68"/>
      <c r="AU264" s="68"/>
      <c r="AV264" s="68"/>
      <c r="AW264" s="68"/>
      <c r="AX264" s="68"/>
      <c r="AY264" s="68"/>
      <c r="AZ264" s="68"/>
      <c r="BB264" s="68"/>
      <c r="BC264" s="68"/>
      <c r="BJ264" s="68"/>
      <c r="BT264">
        <v>1</v>
      </c>
      <c r="BV264">
        <v>1</v>
      </c>
      <c r="BX264" s="68"/>
      <c r="BY264" s="68">
        <v>1</v>
      </c>
      <c r="BZ264" s="68">
        <v>1.1000000000000001</v>
      </c>
      <c r="CA264" s="68">
        <v>1.1000000000000001</v>
      </c>
      <c r="CB264" s="68">
        <v>1.1000000000000001</v>
      </c>
      <c r="CC264" s="68">
        <f t="shared" si="98"/>
        <v>1.1000000000000001</v>
      </c>
      <c r="CD264" s="68">
        <f t="shared" si="99"/>
        <v>1.1000000000000001</v>
      </c>
    </row>
    <row r="265" spans="1:82" ht="15.75" customHeight="1" thickBot="1" x14ac:dyDescent="0.3">
      <c r="A265" s="6">
        <v>264</v>
      </c>
      <c r="B265" s="7" t="s">
        <v>192</v>
      </c>
      <c r="C265" s="7" t="s">
        <v>35</v>
      </c>
      <c r="D265" s="7" t="s">
        <v>19</v>
      </c>
      <c r="E265" s="50">
        <v>-85.777867148907006</v>
      </c>
      <c r="F265" s="50">
        <v>83.324530877044793</v>
      </c>
      <c r="G265" s="50">
        <v>111.54821042440101</v>
      </c>
      <c r="H265" s="50">
        <v>54.8</v>
      </c>
      <c r="I265" s="8">
        <v>0</v>
      </c>
      <c r="J265" s="50">
        <v>6.3076916582304703</v>
      </c>
      <c r="K265" s="248">
        <f>IFERROR(VLOOKUP(C265,Schedule!$T$3:$U$34,2,0),"FA")</f>
        <v>6</v>
      </c>
      <c r="L265" s="7" t="str">
        <f>D265&amp;COUNTIF(D$2:$D265,D265)</f>
        <v>RB65</v>
      </c>
      <c r="M265" s="50">
        <f t="array" ref="M265">IFERROR(F265-AVERAGE(VLOOKUP(D265,$D266:$F$885,3,0),INDEX($F266:$F$885,SMALL(IF(D265=$D266:$D$885,ROW($D266:$D$885)-ROW(D265)),2))),0)</f>
        <v>0.75376527522489312</v>
      </c>
      <c r="N265" s="50">
        <f>IFERROR(IF(VLOOKUP($B265,Input!$AC$2:$AC$162,1,0)=$B265,0),F265)</f>
        <v>83.324530877044793</v>
      </c>
      <c r="O265" s="50">
        <f>IFERROR(IF(VLOOKUP($B265,Input!$AC$2:$AC$162,1,0)=$B265,0,G265),G265)</f>
        <v>111.54821042440101</v>
      </c>
      <c r="P265" s="50">
        <f>IF(N265=0,0,F265-AVERAGE(INDEX(F:F,MATCH(VLOOKUP(D265,Input!$A$14:$L$22,10,0),L:L,0)),INDEX(F:F,MATCH(VLOOKUP(D265,Input!$A$14:$L$22,11,0),L:L,0)),INDEX(F:F,MATCH(VLOOKUP(D265,Input!$A$14:$L$22,12,0),L:L,0)))+(0.01-ROW()*0.01))</f>
        <v>-88.417867148907206</v>
      </c>
      <c r="Q265" s="106">
        <f t="shared" si="94"/>
        <v>-3.0503540018389719E-2</v>
      </c>
      <c r="R265" s="8">
        <f>IF(VLOOKUP($D265,$X$14:$Y$19,2,0)&lt;=0,1,IF(Q265&lt;0,1,ROUNDUP(IF(Q265*('Draft Center'!$L$28+'Draft Center'!$L$78-'Draft Center'!$L$82)&lt;1,1,Q265*('Draft Center'!$L$28+'Draft Center'!$L$78-'Draft Center'!$L$82)),0)))</f>
        <v>1</v>
      </c>
      <c r="S265" s="8">
        <f>IF(A265&lt;Input!$B$10+0.1,IF(ROUNDUP(R265*Input!$C$10,0)=0,1,ROUNDUP(R265*Input!$C$10,0)),IF(A265&gt;Input!$B$11,IF(ROUNDUP(R265*Input!$C$11,0)=0,1,ROUNDUP(R265*Input!$C$11,0)),IF(ROUNDUP(R265,0)=0,1,ROUNDUP(R265,0))))</f>
        <v>1</v>
      </c>
      <c r="T265" s="8">
        <f t="shared" si="95"/>
        <v>1</v>
      </c>
      <c r="U265" s="8">
        <f>IFERROR(VLOOKUP($B265,Input!$AC$2:$AE$161,3,0),0)</f>
        <v>0</v>
      </c>
      <c r="V265" s="256">
        <f t="shared" si="96"/>
        <v>0</v>
      </c>
      <c r="W265" s="263">
        <f t="shared" si="97"/>
        <v>1.00265</v>
      </c>
      <c r="X265" s="68"/>
      <c r="Y265" s="68"/>
      <c r="Z265" s="68"/>
      <c r="AA265" s="68"/>
      <c r="AB265" s="68"/>
      <c r="AC265" s="68"/>
      <c r="AD265" s="68"/>
      <c r="AE265" s="68"/>
      <c r="AF265" s="68"/>
      <c r="AG265" s="68"/>
      <c r="AH265" s="68"/>
      <c r="AI265" s="68"/>
      <c r="AJ265" s="68">
        <v>1</v>
      </c>
      <c r="AL265" s="68">
        <v>1</v>
      </c>
      <c r="AM265" s="68"/>
      <c r="AN265" s="68"/>
      <c r="AO265" s="68"/>
      <c r="AQ265" s="68"/>
      <c r="AR265" s="68"/>
      <c r="AS265" s="68"/>
      <c r="AT265" s="68"/>
      <c r="AU265" s="68"/>
      <c r="AV265" s="68"/>
      <c r="AW265" s="68"/>
      <c r="AX265" s="68"/>
      <c r="AY265" s="68"/>
      <c r="AZ265" s="68"/>
      <c r="BB265" s="68"/>
      <c r="BC265" s="68"/>
      <c r="BJ265" s="68"/>
      <c r="BT265">
        <v>1</v>
      </c>
      <c r="BV265">
        <v>1</v>
      </c>
      <c r="BX265" s="68"/>
      <c r="BY265" s="68">
        <v>1</v>
      </c>
      <c r="BZ265" s="68">
        <v>0</v>
      </c>
      <c r="CA265" s="68">
        <v>0</v>
      </c>
      <c r="CB265" s="68">
        <v>0</v>
      </c>
      <c r="CC265" s="68">
        <f t="shared" si="98"/>
        <v>0</v>
      </c>
      <c r="CD265" s="68">
        <f t="shared" si="99"/>
        <v>0</v>
      </c>
    </row>
    <row r="266" spans="1:82" ht="15.75" customHeight="1" thickBot="1" x14ac:dyDescent="0.3">
      <c r="A266" s="9">
        <v>265</v>
      </c>
      <c r="B266" s="10" t="s">
        <v>954</v>
      </c>
      <c r="C266" s="10" t="s">
        <v>80</v>
      </c>
      <c r="D266" s="10" t="s">
        <v>19</v>
      </c>
      <c r="E266" s="51">
        <v>-86.326067068386806</v>
      </c>
      <c r="F266" s="51">
        <v>82.776330957564994</v>
      </c>
      <c r="G266" s="51">
        <v>123.92746923863101</v>
      </c>
      <c r="H266" s="51">
        <v>16.337078189300399</v>
      </c>
      <c r="I266" s="11">
        <v>0</v>
      </c>
      <c r="J266" s="51">
        <v>7.4520966815329404</v>
      </c>
      <c r="K266" s="249">
        <f>IFERROR(VLOOKUP(C266,Schedule!$T$3:$U$34,2,0),"FA")</f>
        <v>11</v>
      </c>
      <c r="L266" s="10" t="str">
        <f>D266&amp;COUNTIF(D$2:$D266,D266)</f>
        <v>RB66</v>
      </c>
      <c r="M266" s="51">
        <f t="array" ref="M266">IFERROR(F266-AVERAGE(VLOOKUP(D266,$D267:$F$885,3,0),INDEX($F267:$F$885,SMALL(IF(D266=$D267:$D$885,ROW($D267:$D$885)-ROW(D266)),2))),0)</f>
        <v>1.3882881633589363</v>
      </c>
      <c r="N266" s="51">
        <f>IFERROR(IF(VLOOKUP($B266,Input!$AC$2:$AC$162,1,0)=$B266,0),F266)</f>
        <v>82.776330957564994</v>
      </c>
      <c r="O266" s="51">
        <f>IFERROR(IF(VLOOKUP($B266,Input!$AC$2:$AC$162,1,0)=$B266,0,G266),G266)</f>
        <v>123.92746923863101</v>
      </c>
      <c r="P266" s="51">
        <f>IF(N266=0,0,F266-AVERAGE(INDEX(F:F,MATCH(VLOOKUP(D266,Input!$A$14:$L$22,10,0),L:L,0)),INDEX(F:F,MATCH(VLOOKUP(D266,Input!$A$14:$L$22,11,0),L:L,0)),INDEX(F:F,MATCH(VLOOKUP(D266,Input!$A$14:$L$22,12,0),L:L,0)))+(0.01-ROW()*0.01))</f>
        <v>-88.97606706838701</v>
      </c>
      <c r="Q266" s="107">
        <f t="shared" si="94"/>
        <v>-3.0696115050237505E-2</v>
      </c>
      <c r="R266" s="11">
        <f>IF(VLOOKUP($D266,$X$14:$Y$19,2,0)&lt;=0,1,IF(Q266&lt;0,1,ROUNDUP(IF(Q266*('Draft Center'!$L$28+'Draft Center'!$L$78-'Draft Center'!$L$82)&lt;1,1,Q266*('Draft Center'!$L$28+'Draft Center'!$L$78-'Draft Center'!$L$82)),0)))</f>
        <v>1</v>
      </c>
      <c r="S266" s="11">
        <f>IF(A266&lt;Input!$B$10+0.1,IF(ROUNDUP(R266*Input!$C$10,0)=0,1,ROUNDUP(R266*Input!$C$10,0)),IF(A266&gt;Input!$B$11,IF(ROUNDUP(R266*Input!$C$11,0)=0,1,ROUNDUP(R266*Input!$C$11,0)),IF(ROUNDUP(R266,0)=0,1,ROUNDUP(R266,0))))</f>
        <v>1</v>
      </c>
      <c r="T266" s="11">
        <f t="shared" si="95"/>
        <v>1</v>
      </c>
      <c r="U266" s="11">
        <f>IFERROR(VLOOKUP($B266,Input!$AC$2:$AE$161,3,0),0)</f>
        <v>0</v>
      </c>
      <c r="V266" s="257">
        <f t="shared" si="96"/>
        <v>0</v>
      </c>
      <c r="W266" s="264">
        <f t="shared" si="97"/>
        <v>1.0026600000000001</v>
      </c>
      <c r="X266" s="68"/>
      <c r="Y266" s="68"/>
      <c r="Z266" s="68"/>
      <c r="AA266" s="68"/>
      <c r="AB266" s="68"/>
      <c r="AC266" s="68"/>
      <c r="AD266" s="68"/>
      <c r="AE266" s="68"/>
      <c r="AF266" s="68"/>
      <c r="AG266" s="68"/>
      <c r="AH266" s="68"/>
      <c r="AI266" s="68"/>
      <c r="AJ266" s="68">
        <v>1</v>
      </c>
      <c r="AL266" s="68">
        <v>1</v>
      </c>
      <c r="AM266" s="68"/>
      <c r="AN266" s="68"/>
      <c r="AO266" s="68"/>
      <c r="AQ266" s="68"/>
      <c r="AR266" s="68"/>
      <c r="AS266" s="68"/>
      <c r="AT266" s="68"/>
      <c r="AU266" s="68"/>
      <c r="AV266" s="68"/>
      <c r="AW266" s="68"/>
      <c r="AX266" s="68"/>
      <c r="AY266" s="68"/>
      <c r="AZ266" s="68"/>
      <c r="BB266" s="68"/>
      <c r="BC266" s="68"/>
      <c r="BJ266" s="68"/>
      <c r="BT266">
        <v>1</v>
      </c>
      <c r="BV266">
        <v>1</v>
      </c>
      <c r="BX266" s="68"/>
      <c r="BY266" s="68">
        <v>1</v>
      </c>
      <c r="BZ266" s="68">
        <v>0</v>
      </c>
      <c r="CA266" s="68">
        <v>0</v>
      </c>
      <c r="CB266" s="68">
        <v>0</v>
      </c>
      <c r="CC266" s="68">
        <f t="shared" si="98"/>
        <v>0</v>
      </c>
      <c r="CD266" s="68">
        <f t="shared" si="99"/>
        <v>0</v>
      </c>
    </row>
    <row r="267" spans="1:82" ht="15.75" customHeight="1" thickBot="1" x14ac:dyDescent="0.3">
      <c r="A267" s="6">
        <v>266</v>
      </c>
      <c r="B267" s="7" t="s">
        <v>798</v>
      </c>
      <c r="C267" s="7" t="s">
        <v>50</v>
      </c>
      <c r="D267" s="7" t="s">
        <v>19</v>
      </c>
      <c r="E267" s="50">
        <v>-86.737197779877107</v>
      </c>
      <c r="F267" s="50">
        <v>82.365200246074807</v>
      </c>
      <c r="G267" s="50">
        <v>103.623116761682</v>
      </c>
      <c r="H267" s="50">
        <v>39.975883495145602</v>
      </c>
      <c r="I267" s="8">
        <v>0</v>
      </c>
      <c r="J267" s="50">
        <v>5.7813017116389398</v>
      </c>
      <c r="K267" s="248">
        <f>IFERROR(VLOOKUP(C267,Schedule!$T$3:$U$34,2,0),"FA")</f>
        <v>6</v>
      </c>
      <c r="L267" s="7" t="str">
        <f>D267&amp;COUNTIF(D$2:$D267,D267)</f>
        <v>RB67</v>
      </c>
      <c r="M267" s="50">
        <f t="array" ref="M267">IFERROR(F267-AVERAGE(VLOOKUP(D267,$D268:$F$885,3,0),INDEX($F268:$F$885,SMALL(IF(D267=$D268:$D$885,ROW($D268:$D$885)-ROW(D267)),2))),0)</f>
        <v>2.6600581851046172</v>
      </c>
      <c r="N267" s="50">
        <f>IFERROR(IF(VLOOKUP($B267,Input!$AC$2:$AC$162,1,0)=$B267,0),F267)</f>
        <v>82.365200246074807</v>
      </c>
      <c r="O267" s="50">
        <f>IFERROR(IF(VLOOKUP($B267,Input!$AC$2:$AC$162,1,0)=$B267,0,G267),G267)</f>
        <v>103.623116761682</v>
      </c>
      <c r="P267" s="50">
        <f>IF(N267=0,0,F267-AVERAGE(INDEX(F:F,MATCH(VLOOKUP(D267,Input!$A$14:$L$22,10,0),L:L,0)),INDEX(F:F,MATCH(VLOOKUP(D267,Input!$A$14:$L$22,11,0),L:L,0)),INDEX(F:F,MATCH(VLOOKUP(D267,Input!$A$14:$L$22,12,0),L:L,0)))+(0.01-ROW()*0.01))</f>
        <v>-89.397197779877189</v>
      </c>
      <c r="Q267" s="106">
        <f t="shared" si="94"/>
        <v>-3.0841402172910114E-2</v>
      </c>
      <c r="R267" s="8">
        <f>IF(VLOOKUP($D267,$X$14:$Y$19,2,0)&lt;=0,1,IF(Q267&lt;0,1,ROUNDUP(IF(Q267*('Draft Center'!$L$28+'Draft Center'!$L$78-'Draft Center'!$L$82)&lt;1,1,Q267*('Draft Center'!$L$28+'Draft Center'!$L$78-'Draft Center'!$L$82)),0)))</f>
        <v>1</v>
      </c>
      <c r="S267" s="8">
        <f>IF(A267&lt;Input!$B$10+0.1,IF(ROUNDUP(R267*Input!$C$10,0)=0,1,ROUNDUP(R267*Input!$C$10,0)),IF(A267&gt;Input!$B$11,IF(ROUNDUP(R267*Input!$C$11,0)=0,1,ROUNDUP(R267*Input!$C$11,0)),IF(ROUNDUP(R267,0)=0,1,ROUNDUP(R267,0))))</f>
        <v>1</v>
      </c>
      <c r="T267" s="8">
        <f t="shared" si="95"/>
        <v>1</v>
      </c>
      <c r="U267" s="8">
        <f>IFERROR(VLOOKUP($B267,Input!$AC$2:$AE$161,3,0),0)</f>
        <v>0</v>
      </c>
      <c r="V267" s="256">
        <f t="shared" si="96"/>
        <v>0</v>
      </c>
      <c r="W267" s="263">
        <f t="shared" si="97"/>
        <v>1.00267</v>
      </c>
      <c r="X267" s="68"/>
      <c r="Y267" s="68"/>
      <c r="Z267" s="68"/>
      <c r="AA267" s="68"/>
      <c r="AB267" s="68"/>
      <c r="AC267" s="68"/>
      <c r="AD267" s="68"/>
      <c r="AE267" s="68"/>
      <c r="AF267" s="68"/>
      <c r="AG267" s="68"/>
      <c r="AH267" s="68"/>
      <c r="AI267" s="68"/>
      <c r="AJ267" s="68">
        <v>1</v>
      </c>
      <c r="AL267" s="68">
        <v>1</v>
      </c>
      <c r="AM267" s="68"/>
      <c r="AN267" s="68"/>
      <c r="AO267" s="68"/>
      <c r="AQ267" s="68"/>
      <c r="AR267" s="68"/>
      <c r="AS267" s="68"/>
      <c r="AT267" s="68"/>
      <c r="AU267" s="68"/>
      <c r="AV267" s="68"/>
      <c r="AW267" s="68"/>
      <c r="AX267" s="68"/>
      <c r="AY267" s="68"/>
      <c r="AZ267" s="68"/>
      <c r="BB267" s="68"/>
      <c r="BC267" s="68"/>
      <c r="BJ267" s="68"/>
      <c r="BT267">
        <v>1</v>
      </c>
      <c r="BV267">
        <v>1</v>
      </c>
      <c r="BX267" s="68"/>
      <c r="BY267" s="68">
        <v>1</v>
      </c>
      <c r="BZ267" s="68">
        <v>0</v>
      </c>
      <c r="CA267" s="68">
        <v>0</v>
      </c>
      <c r="CB267" s="68">
        <v>0</v>
      </c>
      <c r="CC267" s="68">
        <f t="shared" si="98"/>
        <v>0</v>
      </c>
      <c r="CD267" s="68">
        <f t="shared" si="99"/>
        <v>0</v>
      </c>
    </row>
    <row r="268" spans="1:82" ht="15.75" customHeight="1" thickBot="1" x14ac:dyDescent="0.3">
      <c r="A268" s="9">
        <v>267</v>
      </c>
      <c r="B268" s="10" t="s">
        <v>276</v>
      </c>
      <c r="C268" s="10" t="s">
        <v>21</v>
      </c>
      <c r="D268" s="10" t="s">
        <v>43</v>
      </c>
      <c r="E268" s="51">
        <v>-87.037653497024294</v>
      </c>
      <c r="F268" s="51">
        <v>66.423265855184994</v>
      </c>
      <c r="G268" s="51">
        <v>83.501350411522594</v>
      </c>
      <c r="H268" s="51">
        <v>36.6082849500294</v>
      </c>
      <c r="I268" s="11">
        <v>0</v>
      </c>
      <c r="J268" s="51">
        <v>5.1337727987514796</v>
      </c>
      <c r="K268" s="249">
        <f>IFERROR(VLOOKUP(C268,Schedule!$T$3:$U$34,2,0),"FA")</f>
        <v>5</v>
      </c>
      <c r="L268" s="10" t="str">
        <f>D268&amp;COUNTIF(D$2:$D268,D268)</f>
        <v>TE38</v>
      </c>
      <c r="M268" s="51">
        <f t="array" ref="M268">IFERROR(F268-AVERAGE(VLOOKUP(D268,$D269:$F$885,3,0),INDEX($F269:$F$885,SMALL(IF(D268=$D269:$D$885,ROW($D269:$D$885)-ROW(D268)),2))),0)</f>
        <v>0.39617839241110175</v>
      </c>
      <c r="N268" s="51">
        <f>IFERROR(IF(VLOOKUP($B268,Input!$AC$2:$AC$162,1,0)=$B268,0),F268)</f>
        <v>66.423265855184994</v>
      </c>
      <c r="O268" s="51">
        <f>IFERROR(IF(VLOOKUP($B268,Input!$AC$2:$AC$162,1,0)=$B268,0,G268),G268)</f>
        <v>83.501350411522594</v>
      </c>
      <c r="P268" s="51">
        <f>IF(N268=0,0,F268-AVERAGE(INDEX(F:F,MATCH(VLOOKUP(D268,Input!$A$14:$L$22,10,0),L:L,0)),INDEX(F:F,MATCH(VLOOKUP(D268,Input!$A$14:$L$22,11,0),L:L,0)),INDEX(F:F,MATCH(VLOOKUP(D268,Input!$A$14:$L$22,12,0),L:L,0)))+(0.01-ROW()*0.01))</f>
        <v>-89.707653497024324</v>
      </c>
      <c r="Q268" s="107">
        <f t="shared" si="94"/>
        <v>-3.094850720379699E-2</v>
      </c>
      <c r="R268" s="11">
        <f>IF(VLOOKUP($D268,$X$14:$Y$19,2,0)&lt;=0,1,IF(Q268&lt;0,1,ROUNDUP(IF(Q268*('Draft Center'!$L$28+'Draft Center'!$L$78-'Draft Center'!$L$82)&lt;1,1,Q268*('Draft Center'!$L$28+'Draft Center'!$L$78-'Draft Center'!$L$82)),0)))</f>
        <v>1</v>
      </c>
      <c r="S268" s="11">
        <f>IF(A268&lt;Input!$B$10+0.1,IF(ROUNDUP(R268*Input!$C$10,0)=0,1,ROUNDUP(R268*Input!$C$10,0)),IF(A268&gt;Input!$B$11,IF(ROUNDUP(R268*Input!$C$11,0)=0,1,ROUNDUP(R268*Input!$C$11,0)),IF(ROUNDUP(R268,0)=0,1,ROUNDUP(R268,0))))</f>
        <v>1</v>
      </c>
      <c r="T268" s="11">
        <f t="shared" si="95"/>
        <v>1</v>
      </c>
      <c r="U268" s="11">
        <f>IFERROR(VLOOKUP($B268,Input!$AC$2:$AE$161,3,0),0)</f>
        <v>0</v>
      </c>
      <c r="V268" s="257">
        <f t="shared" si="96"/>
        <v>0</v>
      </c>
      <c r="W268" s="264">
        <f t="shared" si="97"/>
        <v>1.00268</v>
      </c>
      <c r="X268" s="68"/>
      <c r="Y268" s="68"/>
      <c r="Z268" s="68"/>
      <c r="AA268" s="68"/>
      <c r="AB268" s="68"/>
      <c r="AC268" s="68"/>
      <c r="AD268" s="68"/>
      <c r="AE268" s="68"/>
      <c r="AF268" s="68"/>
      <c r="AG268" s="68"/>
      <c r="AH268" s="68"/>
      <c r="AI268" s="68"/>
      <c r="AJ268" s="68">
        <v>1</v>
      </c>
      <c r="AL268" s="68">
        <v>1</v>
      </c>
      <c r="AM268" s="68"/>
      <c r="AN268" s="68"/>
      <c r="AO268" s="68"/>
      <c r="AQ268" s="68"/>
      <c r="AR268" s="68"/>
      <c r="AS268" s="68"/>
      <c r="AT268" s="68"/>
      <c r="AU268" s="68"/>
      <c r="AV268" s="68"/>
      <c r="AW268" s="68"/>
      <c r="AX268" s="68"/>
      <c r="AY268" s="68"/>
      <c r="AZ268" s="68"/>
      <c r="BB268" s="68"/>
      <c r="BC268" s="68"/>
      <c r="BJ268" s="68"/>
      <c r="BT268">
        <v>1</v>
      </c>
      <c r="BV268">
        <v>1</v>
      </c>
      <c r="BX268" s="68"/>
      <c r="BY268" s="68">
        <v>1</v>
      </c>
      <c r="BZ268" s="68">
        <v>0</v>
      </c>
      <c r="CA268" s="68">
        <v>0</v>
      </c>
      <c r="CB268" s="68">
        <v>0</v>
      </c>
      <c r="CC268" s="68">
        <f t="shared" si="98"/>
        <v>0</v>
      </c>
      <c r="CD268" s="68">
        <f t="shared" si="99"/>
        <v>0</v>
      </c>
    </row>
    <row r="269" spans="1:82" ht="15.75" customHeight="1" thickBot="1" x14ac:dyDescent="0.3">
      <c r="A269" s="6">
        <v>268</v>
      </c>
      <c r="B269" s="7" t="s">
        <v>759</v>
      </c>
      <c r="C269" s="7" t="s">
        <v>27</v>
      </c>
      <c r="D269" s="7" t="s">
        <v>43</v>
      </c>
      <c r="E269" s="50">
        <v>-87.334917504124903</v>
      </c>
      <c r="F269" s="50">
        <v>66.1260018480844</v>
      </c>
      <c r="G269" s="50">
        <v>89.308367089935103</v>
      </c>
      <c r="H269" s="50">
        <v>5.1508212335326196</v>
      </c>
      <c r="I269" s="8">
        <v>0</v>
      </c>
      <c r="J269" s="50">
        <v>5.0870739308236903</v>
      </c>
      <c r="K269" s="248">
        <f>IFERROR(VLOOKUP(C269,Schedule!$T$3:$U$34,2,0),"FA")</f>
        <v>8</v>
      </c>
      <c r="L269" s="7" t="str">
        <f>D269&amp;COUNTIF(D$2:$D269,D269)</f>
        <v>TE39</v>
      </c>
      <c r="M269" s="50">
        <f t="array" ref="M269">IFERROR(F269-AVERAGE(VLOOKUP(D269,$D270:$F$885,3,0),INDEX($F270:$F$885,SMALL(IF(D269=$D270:$D$885,ROW($D270:$D$885)-ROW(D269)),2))),0)</f>
        <v>0.39946878783845818</v>
      </c>
      <c r="N269" s="50">
        <f>IFERROR(IF(VLOOKUP($B269,Input!$AC$2:$AC$162,1,0)=$B269,0),F269)</f>
        <v>66.1260018480844</v>
      </c>
      <c r="O269" s="50">
        <f>IFERROR(IF(VLOOKUP($B269,Input!$AC$2:$AC$162,1,0)=$B269,0,G269),G269)</f>
        <v>89.308367089935103</v>
      </c>
      <c r="P269" s="50">
        <f>IF(N269=0,0,F269-AVERAGE(INDEX(F:F,MATCH(VLOOKUP(D269,Input!$A$14:$L$22,10,0),L:L,0)),INDEX(F:F,MATCH(VLOOKUP(D269,Input!$A$14:$L$22,11,0),L:L,0)),INDEX(F:F,MATCH(VLOOKUP(D269,Input!$A$14:$L$22,12,0),L:L,0)))+(0.01-ROW()*0.01))</f>
        <v>-90.014917504124924</v>
      </c>
      <c r="Q269" s="106">
        <f t="shared" si="94"/>
        <v>-3.1054511117248319E-2</v>
      </c>
      <c r="R269" s="8">
        <f>IF(VLOOKUP($D269,$X$14:$Y$19,2,0)&lt;=0,1,IF(Q269&lt;0,1,ROUNDUP(IF(Q269*('Draft Center'!$L$28+'Draft Center'!$L$78-'Draft Center'!$L$82)&lt;1,1,Q269*('Draft Center'!$L$28+'Draft Center'!$L$78-'Draft Center'!$L$82)),0)))</f>
        <v>1</v>
      </c>
      <c r="S269" s="8">
        <f>IF(A269&lt;Input!$B$10+0.1,IF(ROUNDUP(R269*Input!$C$10,0)=0,1,ROUNDUP(R269*Input!$C$10,0)),IF(A269&gt;Input!$B$11,IF(ROUNDUP(R269*Input!$C$11,0)=0,1,ROUNDUP(R269*Input!$C$11,0)),IF(ROUNDUP(R269,0)=0,1,ROUNDUP(R269,0))))</f>
        <v>1</v>
      </c>
      <c r="T269" s="8">
        <f t="shared" si="95"/>
        <v>1</v>
      </c>
      <c r="U269" s="8">
        <f>IFERROR(VLOOKUP($B269,Input!$AC$2:$AE$161,3,0),0)</f>
        <v>0</v>
      </c>
      <c r="V269" s="256">
        <f t="shared" si="96"/>
        <v>0</v>
      </c>
      <c r="W269" s="263">
        <f t="shared" si="97"/>
        <v>1.0026900000000001</v>
      </c>
      <c r="X269" s="68"/>
      <c r="Y269" s="68"/>
      <c r="Z269" s="68"/>
      <c r="AA269" s="68"/>
      <c r="AB269" s="68"/>
      <c r="AC269" s="68"/>
      <c r="AD269" s="68"/>
      <c r="AE269" s="68"/>
      <c r="AF269" s="68"/>
      <c r="AG269" s="68"/>
      <c r="AH269" s="68"/>
      <c r="AI269" s="68"/>
      <c r="AJ269" s="68">
        <v>1</v>
      </c>
      <c r="AL269" s="68">
        <v>1</v>
      </c>
      <c r="AM269" s="68"/>
      <c r="AN269" s="68"/>
      <c r="AO269" s="68"/>
      <c r="AQ269" s="68"/>
      <c r="AR269" s="68"/>
      <c r="AS269" s="68"/>
      <c r="AT269" s="68"/>
      <c r="AU269" s="68"/>
      <c r="AV269" s="68"/>
      <c r="AW269" s="68"/>
      <c r="AX269" s="68"/>
      <c r="AY269" s="68"/>
      <c r="AZ269" s="68"/>
      <c r="BB269" s="68"/>
      <c r="BC269" s="68"/>
      <c r="BJ269" s="68"/>
      <c r="BT269">
        <v>1</v>
      </c>
      <c r="BV269">
        <v>1</v>
      </c>
      <c r="BX269" s="68"/>
      <c r="BY269" s="68">
        <v>1</v>
      </c>
      <c r="BZ269" s="68">
        <v>0</v>
      </c>
      <c r="CA269" s="68">
        <v>0</v>
      </c>
      <c r="CB269" s="68">
        <v>0</v>
      </c>
      <c r="CC269" s="68">
        <f t="shared" si="98"/>
        <v>0</v>
      </c>
      <c r="CD269" s="68">
        <f t="shared" si="99"/>
        <v>0</v>
      </c>
    </row>
    <row r="270" spans="1:82" ht="15.75" customHeight="1" thickBot="1" x14ac:dyDescent="0.3">
      <c r="A270" s="9">
        <v>269</v>
      </c>
      <c r="B270" s="10" t="s">
        <v>952</v>
      </c>
      <c r="C270" s="10" t="s">
        <v>925</v>
      </c>
      <c r="D270" s="10" t="s">
        <v>43</v>
      </c>
      <c r="E270" s="51">
        <v>-87.532746274745904</v>
      </c>
      <c r="F270" s="51">
        <v>65.928173077463398</v>
      </c>
      <c r="G270" s="51">
        <v>86.689959731624796</v>
      </c>
      <c r="H270" s="51">
        <v>30.0451303155007</v>
      </c>
      <c r="I270" s="11">
        <v>0</v>
      </c>
      <c r="J270" s="51">
        <v>4.62008525154579</v>
      </c>
      <c r="K270" s="249">
        <f>IFERROR(VLOOKUP(C270,Schedule!$T$3:$U$34,2,0),"FA")</f>
        <v>8</v>
      </c>
      <c r="L270" s="10" t="str">
        <f>D270&amp;COUNTIF(D$2:$D270,D270)</f>
        <v>TE40</v>
      </c>
      <c r="M270" s="51">
        <f t="array" ref="M270">IFERROR(F270-AVERAGE(VLOOKUP(D270,$D271:$F$885,3,0),INDEX($F271:$F$885,SMALL(IF(D270=$D271:$D$885,ROW($D271:$D$885)-ROW(D270)),2))),0)</f>
        <v>1.789688226523694</v>
      </c>
      <c r="N270" s="51">
        <f>IFERROR(IF(VLOOKUP($B270,Input!$AC$2:$AC$162,1,0)=$B270,0),F270)</f>
        <v>65.928173077463398</v>
      </c>
      <c r="O270" s="51">
        <f>IFERROR(IF(VLOOKUP($B270,Input!$AC$2:$AC$162,1,0)=$B270,0,G270),G270)</f>
        <v>86.689959731624796</v>
      </c>
      <c r="P270" s="51">
        <f>IF(N270=0,0,F270-AVERAGE(INDEX(F:F,MATCH(VLOOKUP(D270,Input!$A$14:$L$22,10,0),L:L,0)),INDEX(F:F,MATCH(VLOOKUP(D270,Input!$A$14:$L$22,11,0),L:L,0)),INDEX(F:F,MATCH(VLOOKUP(D270,Input!$A$14:$L$22,12,0),L:L,0)))+(0.01-ROW()*0.01))</f>
        <v>-90.222746274745916</v>
      </c>
      <c r="Q270" s="107">
        <f t="shared" si="94"/>
        <v>-3.1126210576034558E-2</v>
      </c>
      <c r="R270" s="11">
        <f>IF(VLOOKUP($D270,$X$14:$Y$19,2,0)&lt;=0,1,IF(Q270&lt;0,1,ROUNDUP(IF(Q270*('Draft Center'!$L$28+'Draft Center'!$L$78-'Draft Center'!$L$82)&lt;1,1,Q270*('Draft Center'!$L$28+'Draft Center'!$L$78-'Draft Center'!$L$82)),0)))</f>
        <v>1</v>
      </c>
      <c r="S270" s="11">
        <f>IF(A270&lt;Input!$B$10+0.1,IF(ROUNDUP(R270*Input!$C$10,0)=0,1,ROUNDUP(R270*Input!$C$10,0)),IF(A270&gt;Input!$B$11,IF(ROUNDUP(R270*Input!$C$11,0)=0,1,ROUNDUP(R270*Input!$C$11,0)),IF(ROUNDUP(R270,0)=0,1,ROUNDUP(R270,0))))</f>
        <v>1</v>
      </c>
      <c r="T270" s="11">
        <f t="shared" si="95"/>
        <v>1</v>
      </c>
      <c r="U270" s="11">
        <f>IFERROR(VLOOKUP($B270,Input!$AC$2:$AE$161,3,0),0)</f>
        <v>0</v>
      </c>
      <c r="V270" s="257">
        <f t="shared" si="96"/>
        <v>0</v>
      </c>
      <c r="W270" s="264">
        <f t="shared" si="97"/>
        <v>1.0026999999999999</v>
      </c>
      <c r="X270" s="68"/>
      <c r="Y270" s="68"/>
      <c r="Z270" s="68"/>
      <c r="AA270" s="68"/>
      <c r="AB270" s="68"/>
      <c r="AC270" s="68"/>
      <c r="AD270" s="68"/>
      <c r="AE270" s="68"/>
      <c r="AF270" s="68"/>
      <c r="AG270" s="68"/>
      <c r="AH270" s="68"/>
      <c r="AI270" s="68"/>
      <c r="AJ270" s="68">
        <v>1</v>
      </c>
      <c r="AL270" s="68">
        <v>1</v>
      </c>
      <c r="AM270" s="68"/>
      <c r="AN270" s="68"/>
      <c r="AO270" s="68"/>
      <c r="AQ270" s="68"/>
      <c r="AR270" s="68"/>
      <c r="AS270" s="68"/>
      <c r="AT270" s="68"/>
      <c r="AU270" s="68"/>
      <c r="AV270" s="68"/>
      <c r="AW270" s="68"/>
      <c r="AX270" s="68"/>
      <c r="AY270" s="68"/>
      <c r="AZ270" s="68"/>
      <c r="BB270" s="68"/>
      <c r="BC270" s="68"/>
      <c r="BJ270" s="68"/>
      <c r="BT270">
        <v>1</v>
      </c>
      <c r="BV270">
        <v>1</v>
      </c>
      <c r="BX270" s="68"/>
      <c r="BY270" s="68">
        <v>1</v>
      </c>
      <c r="BZ270" s="68">
        <v>0</v>
      </c>
      <c r="CA270" s="68">
        <v>0</v>
      </c>
      <c r="CB270" s="68">
        <v>0</v>
      </c>
      <c r="CC270" s="68">
        <f t="shared" si="98"/>
        <v>0</v>
      </c>
      <c r="CD270" s="68">
        <f t="shared" si="99"/>
        <v>0</v>
      </c>
    </row>
    <row r="271" spans="1:82" ht="15.75" customHeight="1" thickBot="1" x14ac:dyDescent="0.3">
      <c r="A271" s="6">
        <v>270</v>
      </c>
      <c r="B271" s="7" t="s">
        <v>210</v>
      </c>
      <c r="C271" s="7" t="s">
        <v>95</v>
      </c>
      <c r="D271" s="7" t="s">
        <v>43</v>
      </c>
      <c r="E271" s="50">
        <v>-87.936026309180804</v>
      </c>
      <c r="F271" s="50">
        <v>65.524893043028499</v>
      </c>
      <c r="G271" s="50">
        <v>80.767004536357604</v>
      </c>
      <c r="H271" s="50">
        <v>27.764476665156302</v>
      </c>
      <c r="I271" s="8">
        <v>0</v>
      </c>
      <c r="J271" s="50">
        <v>4.1997954401956799</v>
      </c>
      <c r="K271" s="248">
        <f>IFERROR(VLOOKUP(C271,Schedule!$T$3:$U$34,2,0),"FA")</f>
        <v>8</v>
      </c>
      <c r="L271" s="7" t="str">
        <f>D271&amp;COUNTIF(D$2:$D271,D271)</f>
        <v>TE41</v>
      </c>
      <c r="M271" s="50">
        <f t="array" ref="M271">IFERROR(F271-AVERAGE(VLOOKUP(D271,$D272:$F$885,3,0),INDEX($F272:$F$885,SMALL(IF(D271=$D272:$D$885,ROW($D272:$D$885)-ROW(D271)),2))),0)</f>
        <v>3.6118177215117981</v>
      </c>
      <c r="N271" s="50">
        <f>IFERROR(IF(VLOOKUP($B271,Input!$AC$2:$AC$162,1,0)=$B271,0),F271)</f>
        <v>65.524893043028499</v>
      </c>
      <c r="O271" s="50">
        <f>IFERROR(IF(VLOOKUP($B271,Input!$AC$2:$AC$162,1,0)=$B271,0,G271),G271)</f>
        <v>80.767004536357604</v>
      </c>
      <c r="P271" s="50">
        <f>IF(N271=0,0,F271-AVERAGE(INDEX(F:F,MATCH(VLOOKUP(D271,Input!$A$14:$L$22,10,0),L:L,0)),INDEX(F:F,MATCH(VLOOKUP(D271,Input!$A$14:$L$22,11,0),L:L,0)),INDEX(F:F,MATCH(VLOOKUP(D271,Input!$A$14:$L$22,12,0),L:L,0)))+(0.01-ROW()*0.01))</f>
        <v>-90.636026309180821</v>
      </c>
      <c r="Q271" s="106">
        <f t="shared" si="94"/>
        <v>-3.126878927054158E-2</v>
      </c>
      <c r="R271" s="8">
        <f>IF(VLOOKUP($D271,$X$14:$Y$19,2,0)&lt;=0,1,IF(Q271&lt;0,1,ROUNDUP(IF(Q271*('Draft Center'!$L$28+'Draft Center'!$L$78-'Draft Center'!$L$82)&lt;1,1,Q271*('Draft Center'!$L$28+'Draft Center'!$L$78-'Draft Center'!$L$82)),0)))</f>
        <v>1</v>
      </c>
      <c r="S271" s="8">
        <f>IF(A271&lt;Input!$B$10+0.1,IF(ROUNDUP(R271*Input!$C$10,0)=0,1,ROUNDUP(R271*Input!$C$10,0)),IF(A271&gt;Input!$B$11,IF(ROUNDUP(R271*Input!$C$11,0)=0,1,ROUNDUP(R271*Input!$C$11,0)),IF(ROUNDUP(R271,0)=0,1,ROUNDUP(R271,0))))</f>
        <v>1</v>
      </c>
      <c r="T271" s="8">
        <f t="shared" si="95"/>
        <v>1</v>
      </c>
      <c r="U271" s="8">
        <f>IFERROR(VLOOKUP($B271,Input!$AC$2:$AE$161,3,0),0)</f>
        <v>0</v>
      </c>
      <c r="V271" s="256">
        <f t="shared" si="96"/>
        <v>0</v>
      </c>
      <c r="W271" s="263">
        <f t="shared" si="97"/>
        <v>1.00271</v>
      </c>
      <c r="X271" s="68"/>
      <c r="Y271" s="68"/>
      <c r="Z271" s="68"/>
      <c r="AA271" s="68"/>
      <c r="AB271" s="68"/>
      <c r="AC271" s="68"/>
      <c r="AD271" s="68"/>
      <c r="AE271" s="68"/>
      <c r="AF271" s="68"/>
      <c r="AG271" s="68"/>
      <c r="AH271" s="68"/>
      <c r="AI271" s="68"/>
      <c r="AJ271" s="68">
        <v>1</v>
      </c>
      <c r="AL271" s="68">
        <v>1</v>
      </c>
      <c r="AM271" s="68"/>
      <c r="AN271" s="68"/>
      <c r="AO271" s="68"/>
      <c r="AQ271" s="68"/>
      <c r="AR271" s="68"/>
      <c r="AS271" s="68"/>
      <c r="AT271" s="68"/>
      <c r="AU271" s="68"/>
      <c r="AV271" s="68"/>
      <c r="AW271" s="68"/>
      <c r="AX271" s="68"/>
      <c r="AY271" s="68"/>
      <c r="AZ271" s="68"/>
      <c r="BB271" s="68"/>
      <c r="BC271" s="68"/>
      <c r="BJ271" s="68"/>
      <c r="BT271">
        <v>1</v>
      </c>
      <c r="BV271">
        <v>1</v>
      </c>
      <c r="BX271" s="68"/>
      <c r="BY271" s="68">
        <v>1</v>
      </c>
      <c r="BZ271" s="68">
        <v>0</v>
      </c>
      <c r="CA271" s="68">
        <v>0</v>
      </c>
      <c r="CB271" s="68">
        <v>0</v>
      </c>
      <c r="CC271" s="68">
        <f t="shared" si="98"/>
        <v>0</v>
      </c>
      <c r="CD271" s="68">
        <f t="shared" si="99"/>
        <v>0</v>
      </c>
    </row>
    <row r="272" spans="1:82" ht="15.75" customHeight="1" thickBot="1" x14ac:dyDescent="0.3">
      <c r="A272" s="9">
        <v>271</v>
      </c>
      <c r="B272" s="10" t="s">
        <v>153</v>
      </c>
      <c r="C272" s="10" t="s">
        <v>35</v>
      </c>
      <c r="D272" s="10" t="s">
        <v>17</v>
      </c>
      <c r="E272" s="51">
        <v>-88.420130064429898</v>
      </c>
      <c r="F272" s="51">
        <v>124.35778620491899</v>
      </c>
      <c r="G272" s="51">
        <v>140.55723875042199</v>
      </c>
      <c r="H272" s="51">
        <v>78.281306760728995</v>
      </c>
      <c r="I272" s="11">
        <v>0</v>
      </c>
      <c r="J272" s="51">
        <v>5.4992518459978701</v>
      </c>
      <c r="K272" s="249">
        <f>IFERROR(VLOOKUP(C272,Schedule!$T$3:$U$34,2,0),"FA")</f>
        <v>6</v>
      </c>
      <c r="L272" s="10" t="str">
        <f>D272&amp;COUNTIF(D$2:$D272,D272)</f>
        <v>WR71</v>
      </c>
      <c r="M272" s="51">
        <f t="array" ref="M272">IFERROR(F272-AVERAGE(VLOOKUP(D272,$D273:$F$885,3,0),INDEX($F273:$F$885,SMALL(IF(D272=$D273:$D$885,ROW($D273:$D$885)-ROW(D272)),2))),0)</f>
        <v>4.3061609177449895</v>
      </c>
      <c r="N272" s="51">
        <f>IFERROR(IF(VLOOKUP($B272,Input!$AC$2:$AC$162,1,0)=$B272,0),F272)</f>
        <v>124.35778620491899</v>
      </c>
      <c r="O272" s="51">
        <f>IFERROR(IF(VLOOKUP($B272,Input!$AC$2:$AC$162,1,0)=$B272,0,G272),G272)</f>
        <v>140.55723875042199</v>
      </c>
      <c r="P272" s="51">
        <f>IF(N272=0,0,F272-AVERAGE(INDEX(F:F,MATCH(VLOOKUP(D272,Input!$A$14:$L$22,10,0),L:L,0)),INDEX(F:F,MATCH(VLOOKUP(D272,Input!$A$14:$L$22,11,0),L:L,0)),INDEX(F:F,MATCH(VLOOKUP(D272,Input!$A$14:$L$22,12,0),L:L,0)))+(0.01-ROW()*0.01))</f>
        <v>-91.13013006443002</v>
      </c>
      <c r="Q272" s="107">
        <f t="shared" si="94"/>
        <v>-3.1439251578189172E-2</v>
      </c>
      <c r="R272" s="11">
        <f>IF(VLOOKUP($D272,$X$14:$Y$19,2,0)&lt;=0,1,IF(Q272&lt;0,1,ROUNDUP(IF(Q272*('Draft Center'!$L$28+'Draft Center'!$L$78-'Draft Center'!$L$82)&lt;1,1,Q272*('Draft Center'!$L$28+'Draft Center'!$L$78-'Draft Center'!$L$82)),0)))</f>
        <v>1</v>
      </c>
      <c r="S272" s="11">
        <f>IF(A272&lt;Input!$B$10+0.1,IF(ROUNDUP(R272*Input!$C$10,0)=0,1,ROUNDUP(R272*Input!$C$10,0)),IF(A272&gt;Input!$B$11,IF(ROUNDUP(R272*Input!$C$11,0)=0,1,ROUNDUP(R272*Input!$C$11,0)),IF(ROUNDUP(R272,0)=0,1,ROUNDUP(R272,0))))</f>
        <v>1</v>
      </c>
      <c r="T272" s="11">
        <f t="shared" si="95"/>
        <v>1</v>
      </c>
      <c r="U272" s="11">
        <f>IFERROR(VLOOKUP($B272,Input!$AC$2:$AE$161,3,0),0)</f>
        <v>0</v>
      </c>
      <c r="V272" s="257">
        <f t="shared" si="96"/>
        <v>0</v>
      </c>
      <c r="W272" s="264">
        <f t="shared" si="97"/>
        <v>1.0027200000000001</v>
      </c>
      <c r="X272" s="68"/>
      <c r="Y272" s="68"/>
      <c r="Z272" s="68"/>
      <c r="AA272" s="68"/>
      <c r="AB272" s="68"/>
      <c r="AC272" s="68"/>
      <c r="AD272" s="68"/>
      <c r="AE272" s="68"/>
      <c r="AF272" s="68"/>
      <c r="AG272" s="68"/>
      <c r="AH272" s="68"/>
      <c r="AI272" s="68"/>
      <c r="AJ272" s="68">
        <v>1</v>
      </c>
      <c r="AL272" s="68">
        <v>1</v>
      </c>
      <c r="AM272" s="68"/>
      <c r="AN272" s="68"/>
      <c r="AO272" s="68"/>
      <c r="AQ272" s="68"/>
      <c r="AR272" s="68"/>
      <c r="AS272" s="68"/>
      <c r="AT272" s="68"/>
      <c r="AU272" s="68"/>
      <c r="AV272" s="68"/>
      <c r="AW272" s="68"/>
      <c r="AX272" s="68"/>
      <c r="AY272" s="68"/>
      <c r="AZ272" s="68"/>
      <c r="BB272" s="68"/>
      <c r="BC272" s="68"/>
      <c r="BJ272" s="68"/>
      <c r="BT272">
        <v>1</v>
      </c>
      <c r="BV272">
        <v>1</v>
      </c>
      <c r="BX272" s="68"/>
      <c r="BY272" s="68">
        <v>1</v>
      </c>
      <c r="BZ272" s="68">
        <v>0</v>
      </c>
      <c r="CA272" s="68">
        <v>0</v>
      </c>
      <c r="CB272" s="68">
        <v>0</v>
      </c>
      <c r="CC272" s="68">
        <f t="shared" si="98"/>
        <v>0</v>
      </c>
      <c r="CD272" s="68">
        <f t="shared" si="99"/>
        <v>0</v>
      </c>
    </row>
    <row r="273" spans="1:82" ht="15.75" customHeight="1" thickBot="1" x14ac:dyDescent="0.3">
      <c r="A273" s="6">
        <v>272</v>
      </c>
      <c r="B273" s="7" t="s">
        <v>948</v>
      </c>
      <c r="C273" s="7" t="s">
        <v>29</v>
      </c>
      <c r="D273" s="7" t="s">
        <v>19</v>
      </c>
      <c r="E273" s="50">
        <v>-88.691512683614505</v>
      </c>
      <c r="F273" s="50">
        <v>80.410885342337295</v>
      </c>
      <c r="G273" s="50">
        <v>108.898905780457</v>
      </c>
      <c r="H273" s="50">
        <v>46.435390946502103</v>
      </c>
      <c r="I273" s="8">
        <v>0</v>
      </c>
      <c r="J273" s="50">
        <v>6.5080103990669196</v>
      </c>
      <c r="K273" s="248">
        <f>IFERROR(VLOOKUP(C273,Schedule!$T$3:$U$34,2,0),"FA")</f>
        <v>8</v>
      </c>
      <c r="L273" s="7" t="str">
        <f>D273&amp;COUNTIF(D$2:$D273,D273)</f>
        <v>RB68</v>
      </c>
      <c r="M273" s="50">
        <f t="array" ref="M273">IFERROR(F273-AVERAGE(VLOOKUP(D273,$D274:$F$885,3,0),INDEX($F274:$F$885,SMALL(IF(D273=$D274:$D$885,ROW($D274:$D$885)-ROW(D273)),2))),0)</f>
        <v>3.7258496105538939</v>
      </c>
      <c r="N273" s="50">
        <f>IFERROR(IF(VLOOKUP($B273,Input!$AC$2:$AC$162,1,0)=$B273,0),F273)</f>
        <v>80.410885342337295</v>
      </c>
      <c r="O273" s="50">
        <f>IFERROR(IF(VLOOKUP($B273,Input!$AC$2:$AC$162,1,0)=$B273,0,G273),G273)</f>
        <v>108.898905780457</v>
      </c>
      <c r="P273" s="50">
        <f>IF(N273=0,0,F273-AVERAGE(INDEX(F:F,MATCH(VLOOKUP(D273,Input!$A$14:$L$22,10,0),L:L,0)),INDEX(F:F,MATCH(VLOOKUP(D273,Input!$A$14:$L$22,11,0),L:L,0)),INDEX(F:F,MATCH(VLOOKUP(D273,Input!$A$14:$L$22,12,0),L:L,0)))+(0.01-ROW()*0.01))</f>
        <v>-91.411512683614703</v>
      </c>
      <c r="Q273" s="106">
        <f t="shared" si="94"/>
        <v>-3.1536326595508056E-2</v>
      </c>
      <c r="R273" s="8">
        <f>IF(VLOOKUP($D273,$X$14:$Y$19,2,0)&lt;=0,1,IF(Q273&lt;0,1,ROUNDUP(IF(Q273*('Draft Center'!$L$28+'Draft Center'!$L$78-'Draft Center'!$L$82)&lt;1,1,Q273*('Draft Center'!$L$28+'Draft Center'!$L$78-'Draft Center'!$L$82)),0)))</f>
        <v>1</v>
      </c>
      <c r="S273" s="8">
        <f>IF(A273&lt;Input!$B$10+0.1,IF(ROUNDUP(R273*Input!$C$10,0)=0,1,ROUNDUP(R273*Input!$C$10,0)),IF(A273&gt;Input!$B$11,IF(ROUNDUP(R273*Input!$C$11,0)=0,1,ROUNDUP(R273*Input!$C$11,0)),IF(ROUNDUP(R273,0)=0,1,ROUNDUP(R273,0))))</f>
        <v>1</v>
      </c>
      <c r="T273" s="8">
        <f t="shared" si="95"/>
        <v>1</v>
      </c>
      <c r="U273" s="8">
        <f>IFERROR(VLOOKUP($B273,Input!$AC$2:$AE$161,3,0),0)</f>
        <v>0</v>
      </c>
      <c r="V273" s="256">
        <f t="shared" si="96"/>
        <v>0</v>
      </c>
      <c r="W273" s="263">
        <f t="shared" si="97"/>
        <v>1.0027299999999999</v>
      </c>
      <c r="X273" s="68"/>
      <c r="Y273" s="68"/>
      <c r="Z273" s="68"/>
      <c r="AA273" s="68"/>
      <c r="AB273" s="68"/>
      <c r="AC273" s="68"/>
      <c r="AD273" s="68"/>
      <c r="AE273" s="68"/>
      <c r="AF273" s="68"/>
      <c r="AG273" s="68"/>
      <c r="AH273" s="68"/>
      <c r="AI273" s="68"/>
      <c r="AJ273" s="68">
        <v>1</v>
      </c>
      <c r="AL273" s="68">
        <v>1</v>
      </c>
      <c r="AM273" s="68"/>
      <c r="AN273" s="68"/>
      <c r="AO273" s="68"/>
      <c r="AQ273" s="68"/>
      <c r="AR273" s="68"/>
      <c r="AS273" s="68"/>
      <c r="AT273" s="68"/>
      <c r="AU273" s="68"/>
      <c r="AV273" s="68"/>
      <c r="AW273" s="68"/>
      <c r="AX273" s="68"/>
      <c r="AY273" s="68"/>
      <c r="AZ273" s="68"/>
      <c r="BB273" s="68"/>
      <c r="BC273" s="68"/>
      <c r="BJ273" s="68"/>
      <c r="BT273">
        <v>1</v>
      </c>
      <c r="BV273">
        <v>1</v>
      </c>
      <c r="BX273" s="68"/>
      <c r="BY273" s="68">
        <v>1</v>
      </c>
      <c r="BZ273" s="68">
        <v>0</v>
      </c>
      <c r="CA273" s="68">
        <v>0</v>
      </c>
      <c r="CB273" s="68">
        <v>0</v>
      </c>
      <c r="CC273" s="68">
        <f t="shared" si="98"/>
        <v>0</v>
      </c>
      <c r="CD273" s="68">
        <f t="shared" si="99"/>
        <v>0</v>
      </c>
    </row>
    <row r="274" spans="1:82" ht="15.75" customHeight="1" thickBot="1" x14ac:dyDescent="0.3">
      <c r="A274" s="9">
        <v>273</v>
      </c>
      <c r="B274" s="10" t="s">
        <v>435</v>
      </c>
      <c r="C274" s="10" t="s">
        <v>80</v>
      </c>
      <c r="D274" s="10" t="s">
        <v>19</v>
      </c>
      <c r="E274" s="51">
        <v>-90.102999246348801</v>
      </c>
      <c r="F274" s="51">
        <v>78.999398779603098</v>
      </c>
      <c r="G274" s="51">
        <v>104.214888018084</v>
      </c>
      <c r="H274" s="51">
        <v>41.876693454830502</v>
      </c>
      <c r="I274" s="11">
        <v>0</v>
      </c>
      <c r="J274" s="51">
        <v>6.6007719230620898</v>
      </c>
      <c r="K274" s="249">
        <f>IFERROR(VLOOKUP(C274,Schedule!$T$3:$U$34,2,0),"FA")</f>
        <v>11</v>
      </c>
      <c r="L274" s="10" t="str">
        <f>D274&amp;COUNTIF(D$2:$D274,D274)</f>
        <v>RB69</v>
      </c>
      <c r="M274" s="51">
        <f t="array" ref="M274">IFERROR(F274-AVERAGE(VLOOKUP(D274,$D275:$F$885,3,0),INDEX($F275:$F$885,SMALL(IF(D274=$D275:$D$885,ROW($D275:$D$885)-ROW(D274)),2))),0)</f>
        <v>7.7315534712178362</v>
      </c>
      <c r="N274" s="51">
        <f>IFERROR(IF(VLOOKUP($B274,Input!$AC$2:$AC$162,1,0)=$B274,0),F274)</f>
        <v>78.999398779603098</v>
      </c>
      <c r="O274" s="51">
        <f>IFERROR(IF(VLOOKUP($B274,Input!$AC$2:$AC$162,1,0)=$B274,0,G274),G274)</f>
        <v>104.214888018084</v>
      </c>
      <c r="P274" s="51">
        <f>IF(N274=0,0,F274-AVERAGE(INDEX(F:F,MATCH(VLOOKUP(D274,Input!$A$14:$L$22,10,0),L:L,0)),INDEX(F:F,MATCH(VLOOKUP(D274,Input!$A$14:$L$22,11,0),L:L,0)),INDEX(F:F,MATCH(VLOOKUP(D274,Input!$A$14:$L$22,12,0),L:L,0)))+(0.01-ROW()*0.01))</f>
        <v>-92.832999246348905</v>
      </c>
      <c r="Q274" s="107">
        <f t="shared" si="94"/>
        <v>-3.2026729425277081E-2</v>
      </c>
      <c r="R274" s="11">
        <f>IF(VLOOKUP($D274,$X$14:$Y$19,2,0)&lt;=0,1,IF(Q274&lt;0,1,ROUNDUP(IF(Q274*('Draft Center'!$L$28+'Draft Center'!$L$78-'Draft Center'!$L$82)&lt;1,1,Q274*('Draft Center'!$L$28+'Draft Center'!$L$78-'Draft Center'!$L$82)),0)))</f>
        <v>1</v>
      </c>
      <c r="S274" s="11">
        <f>IF(A274&lt;Input!$B$10+0.1,IF(ROUNDUP(R274*Input!$C$10,0)=0,1,ROUNDUP(R274*Input!$C$10,0)),IF(A274&gt;Input!$B$11,IF(ROUNDUP(R274*Input!$C$11,0)=0,1,ROUNDUP(R274*Input!$C$11,0)),IF(ROUNDUP(R274,0)=0,1,ROUNDUP(R274,0))))</f>
        <v>1</v>
      </c>
      <c r="T274" s="11">
        <f t="shared" si="95"/>
        <v>1</v>
      </c>
      <c r="U274" s="11">
        <f>IFERROR(VLOOKUP($B274,Input!$AC$2:$AE$161,3,0),0)</f>
        <v>0</v>
      </c>
      <c r="V274" s="257">
        <f t="shared" si="96"/>
        <v>0</v>
      </c>
      <c r="W274" s="264">
        <f t="shared" si="97"/>
        <v>1.00274</v>
      </c>
      <c r="X274" s="68"/>
      <c r="Y274" s="68"/>
      <c r="Z274" s="68"/>
      <c r="AA274" s="68"/>
      <c r="AB274" s="68"/>
      <c r="AC274" s="68"/>
      <c r="AD274" s="68"/>
      <c r="AE274" s="68"/>
      <c r="AF274" s="68"/>
      <c r="AG274" s="68"/>
      <c r="AH274" s="68"/>
      <c r="AI274" s="68"/>
      <c r="AJ274" s="68">
        <v>1</v>
      </c>
      <c r="AL274" s="68">
        <v>1</v>
      </c>
      <c r="AM274" s="68"/>
      <c r="AN274" s="68"/>
      <c r="AO274" s="68"/>
      <c r="AQ274" s="68"/>
      <c r="AR274" s="68"/>
      <c r="AS274" s="68"/>
      <c r="AT274" s="68"/>
      <c r="AU274" s="68"/>
      <c r="AV274" s="68"/>
      <c r="AW274" s="68"/>
      <c r="AX274" s="68"/>
      <c r="AY274" s="68"/>
      <c r="AZ274" s="68"/>
      <c r="BB274" s="68"/>
      <c r="BC274" s="68"/>
      <c r="BJ274" s="68"/>
      <c r="BT274">
        <v>1</v>
      </c>
      <c r="BV274">
        <v>1</v>
      </c>
      <c r="BX274" s="68"/>
      <c r="BY274" s="68">
        <v>1</v>
      </c>
      <c r="BZ274" s="68">
        <v>0</v>
      </c>
      <c r="CA274" s="68">
        <v>0</v>
      </c>
      <c r="CB274" s="68">
        <v>0</v>
      </c>
      <c r="CC274" s="68">
        <f t="shared" si="98"/>
        <v>0</v>
      </c>
      <c r="CD274" s="68">
        <f t="shared" si="99"/>
        <v>0</v>
      </c>
    </row>
    <row r="275" spans="1:82" ht="15.75" customHeight="1" thickBot="1" x14ac:dyDescent="0.3">
      <c r="A275" s="6">
        <v>274</v>
      </c>
      <c r="B275" s="7" t="s">
        <v>315</v>
      </c>
      <c r="C275" s="7" t="s">
        <v>75</v>
      </c>
      <c r="D275" s="7" t="s">
        <v>43</v>
      </c>
      <c r="E275" s="50">
        <v>-90.708842693358406</v>
      </c>
      <c r="F275" s="50">
        <v>62.752076658850903</v>
      </c>
      <c r="G275" s="50">
        <v>82.577781076716903</v>
      </c>
      <c r="H275" s="50">
        <v>41.419856877798701</v>
      </c>
      <c r="I275" s="8">
        <v>0</v>
      </c>
      <c r="J275" s="50">
        <v>4.7601818553291597</v>
      </c>
      <c r="K275" s="248">
        <f>IFERROR(VLOOKUP(C275,Schedule!$T$3:$U$34,2,0),"FA")</f>
        <v>10</v>
      </c>
      <c r="L275" s="7" t="str">
        <f>D275&amp;COUNTIF(D$2:$D275,D275)</f>
        <v>TE42</v>
      </c>
      <c r="M275" s="50">
        <f t="array" ref="M275">IFERROR(F275-AVERAGE(VLOOKUP(D275,$D276:$F$885,3,0),INDEX($F276:$F$885,SMALL(IF(D275=$D276:$D$885,ROW($D276:$D$885)-ROW(D275)),2))),0)</f>
        <v>2.2814475306769495</v>
      </c>
      <c r="N275" s="50">
        <f>IFERROR(IF(VLOOKUP($B275,Input!$AC$2:$AC$162,1,0)=$B275,0),F275)</f>
        <v>62.752076658850903</v>
      </c>
      <c r="O275" s="50">
        <f>IFERROR(IF(VLOOKUP($B275,Input!$AC$2:$AC$162,1,0)=$B275,0,G275),G275)</f>
        <v>82.577781076716903</v>
      </c>
      <c r="P275" s="50">
        <f>IF(N275=0,0,F275-AVERAGE(INDEX(F:F,MATCH(VLOOKUP(D275,Input!$A$14:$L$22,10,0),L:L,0)),INDEX(F:F,MATCH(VLOOKUP(D275,Input!$A$14:$L$22,11,0),L:L,0)),INDEX(F:F,MATCH(VLOOKUP(D275,Input!$A$14:$L$22,12,0),L:L,0)))+(0.01-ROW()*0.01))</f>
        <v>-93.448842693358401</v>
      </c>
      <c r="Q275" s="106">
        <f t="shared" si="94"/>
        <v>-3.2239191067212875E-2</v>
      </c>
      <c r="R275" s="8">
        <f>IF(VLOOKUP($D275,$X$14:$Y$19,2,0)&lt;=0,1,IF(Q275&lt;0,1,ROUNDUP(IF(Q275*('Draft Center'!$L$28+'Draft Center'!$L$78-'Draft Center'!$L$82)&lt;1,1,Q275*('Draft Center'!$L$28+'Draft Center'!$L$78-'Draft Center'!$L$82)),0)))</f>
        <v>1</v>
      </c>
      <c r="S275" s="8">
        <f>IF(A275&lt;Input!$B$10+0.1,IF(ROUNDUP(R275*Input!$C$10,0)=0,1,ROUNDUP(R275*Input!$C$10,0)),IF(A275&gt;Input!$B$11,IF(ROUNDUP(R275*Input!$C$11,0)=0,1,ROUNDUP(R275*Input!$C$11,0)),IF(ROUNDUP(R275,0)=0,1,ROUNDUP(R275,0))))</f>
        <v>1</v>
      </c>
      <c r="T275" s="8">
        <f t="shared" si="95"/>
        <v>1</v>
      </c>
      <c r="U275" s="8">
        <f>IFERROR(VLOOKUP($B275,Input!$AC$2:$AE$161,3,0),0)</f>
        <v>0</v>
      </c>
      <c r="V275" s="256">
        <f t="shared" si="96"/>
        <v>0</v>
      </c>
      <c r="W275" s="263">
        <f t="shared" si="97"/>
        <v>1.00275</v>
      </c>
      <c r="X275" s="68"/>
      <c r="Y275" s="68"/>
      <c r="Z275" s="68"/>
      <c r="AA275" s="68"/>
      <c r="AB275" s="68"/>
      <c r="AC275" s="68"/>
      <c r="AD275" s="68"/>
      <c r="AE275" s="68"/>
      <c r="AF275" s="68"/>
      <c r="AG275" s="68"/>
      <c r="AH275" s="68"/>
      <c r="AI275" s="68"/>
      <c r="AJ275" s="68">
        <v>1</v>
      </c>
      <c r="AL275" s="68">
        <v>1</v>
      </c>
      <c r="AM275" s="68"/>
      <c r="AN275" s="68"/>
      <c r="AO275" s="68"/>
      <c r="AQ275" s="68"/>
      <c r="AR275" s="68"/>
      <c r="AS275" s="68"/>
      <c r="AT275" s="68"/>
      <c r="AU275" s="68"/>
      <c r="AV275" s="68"/>
      <c r="AW275" s="68"/>
      <c r="AX275" s="68"/>
      <c r="AY275" s="68"/>
      <c r="AZ275" s="68"/>
      <c r="BB275" s="68"/>
      <c r="BC275" s="68"/>
      <c r="BJ275" s="68"/>
      <c r="BT275">
        <v>1</v>
      </c>
      <c r="BV275">
        <v>1</v>
      </c>
      <c r="BX275" s="68"/>
      <c r="BY275" s="68">
        <v>1</v>
      </c>
      <c r="BZ275" s="68">
        <v>0</v>
      </c>
      <c r="CA275" s="68">
        <v>0</v>
      </c>
      <c r="CB275" s="68">
        <v>0</v>
      </c>
      <c r="CC275" s="68">
        <f t="shared" si="98"/>
        <v>0</v>
      </c>
      <c r="CD275" s="68">
        <f t="shared" si="99"/>
        <v>0</v>
      </c>
    </row>
    <row r="276" spans="1:82" ht="15.75" customHeight="1" thickBot="1" x14ac:dyDescent="0.3">
      <c r="A276" s="9">
        <v>275</v>
      </c>
      <c r="B276" s="10" t="s">
        <v>951</v>
      </c>
      <c r="C276" s="10" t="s">
        <v>143</v>
      </c>
      <c r="D276" s="10" t="s">
        <v>43</v>
      </c>
      <c r="E276" s="51">
        <v>-92.386845368026798</v>
      </c>
      <c r="F276" s="51">
        <v>61.074073984182498</v>
      </c>
      <c r="G276" s="51">
        <v>78.520667702758701</v>
      </c>
      <c r="H276" s="51">
        <v>41.055130315500698</v>
      </c>
      <c r="I276" s="11">
        <v>0</v>
      </c>
      <c r="J276" s="51">
        <v>5.3672671383904298</v>
      </c>
      <c r="K276" s="249">
        <f>IFERROR(VLOOKUP(C276,Schedule!$T$3:$U$34,2,0),"FA")</f>
        <v>9</v>
      </c>
      <c r="L276" s="10" t="str">
        <f>D276&amp;COUNTIF(D$2:$D276,D276)</f>
        <v>TE43</v>
      </c>
      <c r="M276" s="51">
        <f t="array" ref="M276">IFERROR(F276-AVERAGE(VLOOKUP(D276,$D277:$F$885,3,0),INDEX($F277:$F$885,SMALL(IF(D276=$D277:$D$885,ROW($D277:$D$885)-ROW(D276)),2))),0)</f>
        <v>2.2824937792063409</v>
      </c>
      <c r="N276" s="51">
        <f>IFERROR(IF(VLOOKUP($B276,Input!$AC$2:$AC$162,1,0)=$B276,0),F276)</f>
        <v>61.074073984182498</v>
      </c>
      <c r="O276" s="51">
        <f>IFERROR(IF(VLOOKUP($B276,Input!$AC$2:$AC$162,1,0)=$B276,0,G276),G276)</f>
        <v>78.520667702758701</v>
      </c>
      <c r="P276" s="51">
        <f>IF(N276=0,0,F276-AVERAGE(INDEX(F:F,MATCH(VLOOKUP(D276,Input!$A$14:$L$22,10,0),L:L,0)),INDEX(F:F,MATCH(VLOOKUP(D276,Input!$A$14:$L$22,11,0),L:L,0)),INDEX(F:F,MATCH(VLOOKUP(D276,Input!$A$14:$L$22,12,0),L:L,0)))+(0.01-ROW()*0.01))</f>
        <v>-95.136845368026826</v>
      </c>
      <c r="Q276" s="107">
        <f t="shared" si="94"/>
        <v>-3.2821540074243108E-2</v>
      </c>
      <c r="R276" s="11">
        <f>IF(VLOOKUP($D276,$X$14:$Y$19,2,0)&lt;=0,1,IF(Q276&lt;0,1,ROUNDUP(IF(Q276*('Draft Center'!$L$28+'Draft Center'!$L$78-'Draft Center'!$L$82)&lt;1,1,Q276*('Draft Center'!$L$28+'Draft Center'!$L$78-'Draft Center'!$L$82)),0)))</f>
        <v>1</v>
      </c>
      <c r="S276" s="11">
        <f>IF(A276&lt;Input!$B$10+0.1,IF(ROUNDUP(R276*Input!$C$10,0)=0,1,ROUNDUP(R276*Input!$C$10,0)),IF(A276&gt;Input!$B$11,IF(ROUNDUP(R276*Input!$C$11,0)=0,1,ROUNDUP(R276*Input!$C$11,0)),IF(ROUNDUP(R276,0)=0,1,ROUNDUP(R276,0))))</f>
        <v>1</v>
      </c>
      <c r="T276" s="11">
        <f t="shared" si="95"/>
        <v>1</v>
      </c>
      <c r="U276" s="11">
        <f>IFERROR(VLOOKUP($B276,Input!$AC$2:$AE$161,3,0),0)</f>
        <v>0</v>
      </c>
      <c r="V276" s="257">
        <f t="shared" si="96"/>
        <v>0</v>
      </c>
      <c r="W276" s="264">
        <f t="shared" si="97"/>
        <v>1.0027600000000001</v>
      </c>
      <c r="X276" s="68"/>
      <c r="Y276" s="68"/>
      <c r="Z276" s="68"/>
      <c r="AA276" s="68"/>
      <c r="AB276" s="68"/>
      <c r="AC276" s="68"/>
      <c r="AD276" s="68"/>
      <c r="AE276" s="68"/>
      <c r="AF276" s="68"/>
      <c r="AG276" s="68"/>
      <c r="AH276" s="68"/>
      <c r="AI276" s="68"/>
      <c r="AJ276" s="68">
        <v>1</v>
      </c>
      <c r="AL276" s="68">
        <v>1</v>
      </c>
      <c r="AM276" s="68"/>
      <c r="AN276" s="68"/>
      <c r="AO276" s="68"/>
      <c r="AQ276" s="68"/>
      <c r="AR276" s="68"/>
      <c r="AS276" s="68"/>
      <c r="AT276" s="68"/>
      <c r="AU276" s="68"/>
      <c r="AV276" s="68"/>
      <c r="AW276" s="68"/>
      <c r="AX276" s="68"/>
      <c r="AY276" s="68"/>
      <c r="AZ276" s="68"/>
      <c r="BB276" s="68"/>
      <c r="BC276" s="68"/>
      <c r="BJ276" s="68"/>
      <c r="BT276">
        <v>1</v>
      </c>
      <c r="BV276">
        <v>1</v>
      </c>
      <c r="BX276" s="68"/>
      <c r="BY276" s="68">
        <v>1</v>
      </c>
      <c r="BZ276" s="68">
        <v>0</v>
      </c>
      <c r="CA276" s="68">
        <v>0</v>
      </c>
      <c r="CB276" s="68">
        <v>0</v>
      </c>
      <c r="CC276" s="68">
        <f t="shared" si="98"/>
        <v>0</v>
      </c>
      <c r="CD276" s="68">
        <f t="shared" si="99"/>
        <v>0</v>
      </c>
    </row>
    <row r="277" spans="1:82" ht="15.75" customHeight="1" thickBot="1" x14ac:dyDescent="0.3">
      <c r="A277" s="6">
        <v>276</v>
      </c>
      <c r="B277" s="7" t="s">
        <v>332</v>
      </c>
      <c r="C277" s="7" t="s">
        <v>25</v>
      </c>
      <c r="D277" s="7" t="s">
        <v>17</v>
      </c>
      <c r="E277" s="50">
        <v>-92.544574680930296</v>
      </c>
      <c r="F277" s="50">
        <v>120.23334158841899</v>
      </c>
      <c r="G277" s="50">
        <v>135.187874214668</v>
      </c>
      <c r="H277" s="50">
        <v>94.883084950029399</v>
      </c>
      <c r="I277" s="8">
        <v>0</v>
      </c>
      <c r="J277" s="50">
        <v>5.8418941188491296</v>
      </c>
      <c r="K277" s="248">
        <f>IFERROR(VLOOKUP(C277,Schedule!$T$3:$U$34,2,0),"FA")</f>
        <v>10</v>
      </c>
      <c r="L277" s="7" t="str">
        <f>D277&amp;COUNTIF(D$2:$D277,D277)</f>
        <v>WR72</v>
      </c>
      <c r="M277" s="50">
        <f t="array" ref="M277">IFERROR(F277-AVERAGE(VLOOKUP(D277,$D278:$F$885,3,0),INDEX($F278:$F$885,SMALL(IF(D277=$D278:$D$885,ROW($D278:$D$885)-ROW(D277)),2))),0)</f>
        <v>0.37248401472248815</v>
      </c>
      <c r="N277" s="50">
        <f>IFERROR(IF(VLOOKUP($B277,Input!$AC$2:$AC$162,1,0)=$B277,0),F277)</f>
        <v>120.23334158841899</v>
      </c>
      <c r="O277" s="50">
        <f>IFERROR(IF(VLOOKUP($B277,Input!$AC$2:$AC$162,1,0)=$B277,0,G277),G277)</f>
        <v>135.187874214668</v>
      </c>
      <c r="P277" s="50">
        <f>IF(N277=0,0,F277-AVERAGE(INDEX(F:F,MATCH(VLOOKUP(D277,Input!$A$14:$L$22,10,0),L:L,0)),INDEX(F:F,MATCH(VLOOKUP(D277,Input!$A$14:$L$22,11,0),L:L,0)),INDEX(F:F,MATCH(VLOOKUP(D277,Input!$A$14:$L$22,12,0),L:L,0)))+(0.01-ROW()*0.01))</f>
        <v>-95.304574680930031</v>
      </c>
      <c r="Q277" s="106">
        <f t="shared" si="94"/>
        <v>-3.2879405503181615E-2</v>
      </c>
      <c r="R277" s="8">
        <f>IF(VLOOKUP($D277,$X$14:$Y$19,2,0)&lt;=0,1,IF(Q277&lt;0,1,ROUNDUP(IF(Q277*('Draft Center'!$L$28+'Draft Center'!$L$78-'Draft Center'!$L$82)&lt;1,1,Q277*('Draft Center'!$L$28+'Draft Center'!$L$78-'Draft Center'!$L$82)),0)))</f>
        <v>1</v>
      </c>
      <c r="S277" s="8">
        <f>IF(A277&lt;Input!$B$10+0.1,IF(ROUNDUP(R277*Input!$C$10,0)=0,1,ROUNDUP(R277*Input!$C$10,0)),IF(A277&gt;Input!$B$11,IF(ROUNDUP(R277*Input!$C$11,0)=0,1,ROUNDUP(R277*Input!$C$11,0)),IF(ROUNDUP(R277,0)=0,1,ROUNDUP(R277,0))))</f>
        <v>1</v>
      </c>
      <c r="T277" s="8">
        <f t="shared" si="95"/>
        <v>1</v>
      </c>
      <c r="U277" s="8">
        <f>IFERROR(VLOOKUP($B277,Input!$AC$2:$AE$161,3,0),0)</f>
        <v>0</v>
      </c>
      <c r="V277" s="256">
        <f t="shared" si="96"/>
        <v>0</v>
      </c>
      <c r="W277" s="263">
        <f t="shared" si="97"/>
        <v>1.0027699999999999</v>
      </c>
      <c r="X277" s="68"/>
      <c r="Y277" s="68"/>
      <c r="Z277" s="68"/>
      <c r="AA277" s="68"/>
      <c r="AB277" s="68"/>
      <c r="AC277" s="68"/>
      <c r="AD277" s="68"/>
      <c r="AE277" s="68"/>
      <c r="AF277" s="68"/>
      <c r="AG277" s="68"/>
      <c r="AH277" s="68"/>
      <c r="AI277" s="68"/>
      <c r="AJ277" s="68">
        <v>1</v>
      </c>
      <c r="AL277" s="68">
        <v>1</v>
      </c>
      <c r="AM277" s="68"/>
      <c r="AN277" s="68"/>
      <c r="AO277" s="68"/>
      <c r="AQ277" s="68"/>
      <c r="AR277" s="68"/>
      <c r="AS277" s="68"/>
      <c r="AT277" s="68"/>
      <c r="AU277" s="68"/>
      <c r="AV277" s="68"/>
      <c r="AW277" s="68"/>
      <c r="AX277" s="68"/>
      <c r="AY277" s="68"/>
      <c r="AZ277" s="68"/>
      <c r="BB277" s="68"/>
      <c r="BC277" s="68"/>
      <c r="BJ277" s="68"/>
      <c r="BT277">
        <v>1</v>
      </c>
      <c r="BV277">
        <v>1</v>
      </c>
      <c r="BX277" s="68"/>
      <c r="BY277" s="68">
        <v>1</v>
      </c>
      <c r="BZ277" s="68">
        <v>0</v>
      </c>
      <c r="CA277" s="68">
        <v>0</v>
      </c>
      <c r="CB277" s="68">
        <v>0</v>
      </c>
      <c r="CC277" s="68">
        <f t="shared" si="98"/>
        <v>0</v>
      </c>
      <c r="CD277" s="68">
        <f t="shared" si="99"/>
        <v>0</v>
      </c>
    </row>
    <row r="278" spans="1:82" ht="15.75" customHeight="1" thickBot="1" x14ac:dyDescent="0.3">
      <c r="A278" s="9">
        <v>277</v>
      </c>
      <c r="B278" s="10" t="s">
        <v>148</v>
      </c>
      <c r="C278" s="10" t="s">
        <v>85</v>
      </c>
      <c r="D278" s="10" t="s">
        <v>17</v>
      </c>
      <c r="E278" s="51">
        <v>-92.908007283419906</v>
      </c>
      <c r="F278" s="51">
        <v>119.869908985929</v>
      </c>
      <c r="G278" s="51">
        <v>137.08044267996601</v>
      </c>
      <c r="H278" s="51">
        <v>104.173736311973</v>
      </c>
      <c r="I278" s="11">
        <v>0</v>
      </c>
      <c r="J278" s="51">
        <v>4.3834473701831804</v>
      </c>
      <c r="K278" s="249">
        <f>IFERROR(VLOOKUP(C278,Schedule!$T$3:$U$34,2,0),"FA")</f>
        <v>11</v>
      </c>
      <c r="L278" s="10" t="str">
        <f>D278&amp;COUNTIF(D$2:$D278,D278)</f>
        <v>WR73</v>
      </c>
      <c r="M278" s="51">
        <f t="array" ref="M278">IFERROR(F278-AVERAGE(VLOOKUP(D278,$D279:$F$885,3,0),INDEX($F279:$F$885,SMALL(IF(D278=$D279:$D$885,ROW($D279:$D$885)-ROW(D278)),2))),0)</f>
        <v>1.5120978068945021</v>
      </c>
      <c r="N278" s="51">
        <f>IFERROR(IF(VLOOKUP($B278,Input!$AC$2:$AC$162,1,0)=$B278,0),F278)</f>
        <v>119.869908985929</v>
      </c>
      <c r="O278" s="51">
        <f>IFERROR(IF(VLOOKUP($B278,Input!$AC$2:$AC$162,1,0)=$B278,0,G278),G278)</f>
        <v>137.08044267996601</v>
      </c>
      <c r="P278" s="51">
        <f>IF(N278=0,0,F278-AVERAGE(INDEX(F:F,MATCH(VLOOKUP(D278,Input!$A$14:$L$22,10,0),L:L,0)),INDEX(F:F,MATCH(VLOOKUP(D278,Input!$A$14:$L$22,11,0),L:L,0)),INDEX(F:F,MATCH(VLOOKUP(D278,Input!$A$14:$L$22,12,0),L:L,0)))+(0.01-ROW()*0.01))</f>
        <v>-95.678007283420015</v>
      </c>
      <c r="Q278" s="107">
        <f t="shared" si="94"/>
        <v>-3.3008237114953487E-2</v>
      </c>
      <c r="R278" s="11">
        <f>IF(VLOOKUP($D278,$X$14:$Y$19,2,0)&lt;=0,1,IF(Q278&lt;0,1,ROUNDUP(IF(Q278*('Draft Center'!$L$28+'Draft Center'!$L$78-'Draft Center'!$L$82)&lt;1,1,Q278*('Draft Center'!$L$28+'Draft Center'!$L$78-'Draft Center'!$L$82)),0)))</f>
        <v>1</v>
      </c>
      <c r="S278" s="11">
        <f>IF(A278&lt;Input!$B$10+0.1,IF(ROUNDUP(R278*Input!$C$10,0)=0,1,ROUNDUP(R278*Input!$C$10,0)),IF(A278&gt;Input!$B$11,IF(ROUNDUP(R278*Input!$C$11,0)=0,1,ROUNDUP(R278*Input!$C$11,0)),IF(ROUNDUP(R278,0)=0,1,ROUNDUP(R278,0))))</f>
        <v>1</v>
      </c>
      <c r="T278" s="11">
        <f t="shared" si="95"/>
        <v>1</v>
      </c>
      <c r="U278" s="11">
        <f>IFERROR(VLOOKUP($B278,Input!$AC$2:$AE$161,3,0),0)</f>
        <v>0</v>
      </c>
      <c r="V278" s="257">
        <f t="shared" si="96"/>
        <v>0</v>
      </c>
      <c r="W278" s="264">
        <f t="shared" si="97"/>
        <v>1.00278</v>
      </c>
      <c r="X278" s="68"/>
      <c r="Y278" s="68"/>
      <c r="Z278" s="68"/>
      <c r="AA278" s="68"/>
      <c r="AB278" s="68"/>
      <c r="AC278" s="68"/>
      <c r="AD278" s="68"/>
      <c r="AE278" s="68"/>
      <c r="AF278" s="68"/>
      <c r="AG278" s="68"/>
      <c r="AH278" s="68"/>
      <c r="AI278" s="68"/>
      <c r="AJ278" s="68">
        <v>1</v>
      </c>
      <c r="AL278" s="68">
        <v>1</v>
      </c>
      <c r="AM278" s="68"/>
      <c r="AN278" s="68"/>
      <c r="AO278" s="68"/>
      <c r="AQ278" s="68"/>
      <c r="AR278" s="68"/>
      <c r="AS278" s="68"/>
      <c r="AT278" s="68"/>
      <c r="AU278" s="68"/>
      <c r="AV278" s="68"/>
      <c r="AW278" s="68"/>
      <c r="AX278" s="68"/>
      <c r="AY278" s="68"/>
      <c r="AZ278" s="68"/>
      <c r="BB278" s="68"/>
      <c r="BC278" s="68"/>
      <c r="BJ278" s="68"/>
      <c r="BT278">
        <v>1</v>
      </c>
      <c r="BV278">
        <v>1</v>
      </c>
      <c r="BX278" s="68"/>
      <c r="BY278" s="68">
        <v>1</v>
      </c>
      <c r="BZ278" s="68">
        <v>0</v>
      </c>
      <c r="CA278" s="68">
        <v>0</v>
      </c>
      <c r="CB278" s="68">
        <v>0</v>
      </c>
      <c r="CC278" s="68">
        <f t="shared" si="98"/>
        <v>0</v>
      </c>
      <c r="CD278" s="68">
        <f t="shared" si="99"/>
        <v>0</v>
      </c>
    </row>
    <row r="279" spans="1:82" ht="15.75" customHeight="1" thickBot="1" x14ac:dyDescent="0.3">
      <c r="A279" s="6">
        <v>278</v>
      </c>
      <c r="B279" s="7" t="s">
        <v>945</v>
      </c>
      <c r="C279" s="7" t="s">
        <v>85</v>
      </c>
      <c r="D279" s="7" t="s">
        <v>17</v>
      </c>
      <c r="E279" s="50">
        <v>-92.926110107885293</v>
      </c>
      <c r="F279" s="50">
        <v>119.851806161464</v>
      </c>
      <c r="G279" s="50">
        <v>153.19403889165599</v>
      </c>
      <c r="H279" s="50">
        <v>56.430260631001403</v>
      </c>
      <c r="I279" s="8">
        <v>0</v>
      </c>
      <c r="J279" s="50">
        <v>6.6811019633991098</v>
      </c>
      <c r="K279" s="248">
        <f>IFERROR(VLOOKUP(C279,Schedule!$T$3:$U$34,2,0),"FA")</f>
        <v>11</v>
      </c>
      <c r="L279" s="7" t="str">
        <f>D279&amp;COUNTIF(D$2:$D279,D279)</f>
        <v>WR74</v>
      </c>
      <c r="M279" s="50">
        <f t="array" ref="M279">IFERROR(F279-AVERAGE(VLOOKUP(D279,$D280:$F$885,3,0),INDEX($F280:$F$885,SMALL(IF(D279=$D280:$D$885,ROW($D280:$D$885)-ROW(D279)),2))),0)</f>
        <v>3.2817177925929997</v>
      </c>
      <c r="N279" s="50">
        <f>IFERROR(IF(VLOOKUP($B279,Input!$AC$2:$AC$162,1,0)=$B279,0),F279)</f>
        <v>119.851806161464</v>
      </c>
      <c r="O279" s="50">
        <f>IFERROR(IF(VLOOKUP($B279,Input!$AC$2:$AC$162,1,0)=$B279,0,G279),G279)</f>
        <v>153.19403889165599</v>
      </c>
      <c r="P279" s="50">
        <f>IF(N279=0,0,F279-AVERAGE(INDEX(F:F,MATCH(VLOOKUP(D279,Input!$A$14:$L$22,10,0),L:L,0)),INDEX(F:F,MATCH(VLOOKUP(D279,Input!$A$14:$L$22,11,0),L:L,0)),INDEX(F:F,MATCH(VLOOKUP(D279,Input!$A$14:$L$22,12,0),L:L,0)))+(0.01-ROW()*0.01))</f>
        <v>-95.706110107885024</v>
      </c>
      <c r="Q279" s="106">
        <f t="shared" si="94"/>
        <v>-3.3017932391014089E-2</v>
      </c>
      <c r="R279" s="8">
        <f>IF(VLOOKUP($D279,$X$14:$Y$19,2,0)&lt;=0,1,IF(Q279&lt;0,1,ROUNDUP(IF(Q279*('Draft Center'!$L$28+'Draft Center'!$L$78-'Draft Center'!$L$82)&lt;1,1,Q279*('Draft Center'!$L$28+'Draft Center'!$L$78-'Draft Center'!$L$82)),0)))</f>
        <v>1</v>
      </c>
      <c r="S279" s="8">
        <f>IF(A279&lt;Input!$B$10+0.1,IF(ROUNDUP(R279*Input!$C$10,0)=0,1,ROUNDUP(R279*Input!$C$10,0)),IF(A279&gt;Input!$B$11,IF(ROUNDUP(R279*Input!$C$11,0)=0,1,ROUNDUP(R279*Input!$C$11,0)),IF(ROUNDUP(R279,0)=0,1,ROUNDUP(R279,0))))</f>
        <v>1</v>
      </c>
      <c r="T279" s="8">
        <f t="shared" si="95"/>
        <v>1</v>
      </c>
      <c r="U279" s="8">
        <f>IFERROR(VLOOKUP($B279,Input!$AC$2:$AE$161,3,0),0)</f>
        <v>0</v>
      </c>
      <c r="V279" s="256">
        <f t="shared" si="96"/>
        <v>0</v>
      </c>
      <c r="W279" s="263">
        <f t="shared" si="97"/>
        <v>1.0027900000000001</v>
      </c>
      <c r="X279" s="68"/>
      <c r="Y279" s="68"/>
      <c r="Z279" s="68"/>
      <c r="AA279" s="68"/>
      <c r="AB279" s="68"/>
      <c r="AC279" s="68"/>
      <c r="AD279" s="68"/>
      <c r="AE279" s="68"/>
      <c r="AF279" s="68"/>
      <c r="AG279" s="68"/>
      <c r="AH279" s="68"/>
      <c r="AI279" s="68"/>
      <c r="AJ279" s="68">
        <v>1</v>
      </c>
      <c r="AL279" s="68">
        <v>1</v>
      </c>
      <c r="AM279" s="68"/>
      <c r="AN279" s="68"/>
      <c r="AO279" s="68"/>
      <c r="AQ279" s="68"/>
      <c r="AR279" s="68"/>
      <c r="AS279" s="68"/>
      <c r="AT279" s="68"/>
      <c r="AU279" s="68"/>
      <c r="AV279" s="68"/>
      <c r="AW279" s="68"/>
      <c r="AX279" s="68"/>
      <c r="AY279" s="68"/>
      <c r="AZ279" s="68"/>
      <c r="BB279" s="68"/>
      <c r="BC279" s="68"/>
      <c r="BJ279" s="68"/>
      <c r="BT279">
        <v>1</v>
      </c>
      <c r="BV279">
        <v>1</v>
      </c>
      <c r="BX279" s="68"/>
      <c r="BY279" s="68">
        <v>1</v>
      </c>
      <c r="BZ279" s="68">
        <v>0</v>
      </c>
      <c r="CA279" s="68">
        <v>0</v>
      </c>
      <c r="CB279" s="68">
        <v>0</v>
      </c>
      <c r="CC279" s="68">
        <f t="shared" si="98"/>
        <v>0</v>
      </c>
      <c r="CD279" s="68">
        <f t="shared" si="99"/>
        <v>0</v>
      </c>
    </row>
    <row r="280" spans="1:82" ht="15.75" customHeight="1" thickBot="1" x14ac:dyDescent="0.3">
      <c r="A280" s="9">
        <v>279</v>
      </c>
      <c r="B280" s="10" t="s">
        <v>462</v>
      </c>
      <c r="C280" s="10" t="s">
        <v>47</v>
      </c>
      <c r="D280" s="10" t="s">
        <v>43</v>
      </c>
      <c r="E280" s="51">
        <v>-93.593735080043899</v>
      </c>
      <c r="F280" s="51">
        <v>59.867184272165403</v>
      </c>
      <c r="G280" s="51">
        <v>74.9636954700769</v>
      </c>
      <c r="H280" s="51">
        <v>36.7204278071722</v>
      </c>
      <c r="I280" s="11">
        <v>0</v>
      </c>
      <c r="J280" s="51">
        <v>4.0129999684845199</v>
      </c>
      <c r="K280" s="249">
        <f>IFERROR(VLOOKUP(C280,Schedule!$T$3:$U$34,2,0),"FA")</f>
        <v>10</v>
      </c>
      <c r="L280" s="10" t="str">
        <f>D280&amp;COUNTIF(D$2:$D280,D280)</f>
        <v>TE44</v>
      </c>
      <c r="M280" s="51">
        <f t="array" ref="M280">IFERROR(F280-AVERAGE(VLOOKUP(D280,$D281:$F$885,3,0),INDEX($F281:$F$885,SMALL(IF(D280=$D281:$D$885,ROW($D281:$D$885)-ROW(D280)),2))),0)</f>
        <v>3.1141333253843513</v>
      </c>
      <c r="N280" s="51">
        <f>IFERROR(IF(VLOOKUP($B280,Input!$AC$2:$AC$162,1,0)=$B280,0),F280)</f>
        <v>59.867184272165403</v>
      </c>
      <c r="O280" s="51">
        <f>IFERROR(IF(VLOOKUP($B280,Input!$AC$2:$AC$162,1,0)=$B280,0,G280),G280)</f>
        <v>74.9636954700769</v>
      </c>
      <c r="P280" s="51">
        <f>IF(N280=0,0,F280-AVERAGE(INDEX(F:F,MATCH(VLOOKUP(D280,Input!$A$14:$L$22,10,0),L:L,0)),INDEX(F:F,MATCH(VLOOKUP(D280,Input!$A$14:$L$22,11,0),L:L,0)),INDEX(F:F,MATCH(VLOOKUP(D280,Input!$A$14:$L$22,12,0),L:L,0)))+(0.01-ROW()*0.01))</f>
        <v>-96.38373508004392</v>
      </c>
      <c r="Q280" s="107">
        <f t="shared" si="94"/>
        <v>-3.3251708223006257E-2</v>
      </c>
      <c r="R280" s="11">
        <f>IF(VLOOKUP($D280,$X$14:$Y$19,2,0)&lt;=0,1,IF(Q280&lt;0,1,ROUNDUP(IF(Q280*('Draft Center'!$L$28+'Draft Center'!$L$78-'Draft Center'!$L$82)&lt;1,1,Q280*('Draft Center'!$L$28+'Draft Center'!$L$78-'Draft Center'!$L$82)),0)))</f>
        <v>1</v>
      </c>
      <c r="S280" s="11">
        <f>IF(A280&lt;Input!$B$10+0.1,IF(ROUNDUP(R280*Input!$C$10,0)=0,1,ROUNDUP(R280*Input!$C$10,0)),IF(A280&gt;Input!$B$11,IF(ROUNDUP(R280*Input!$C$11,0)=0,1,ROUNDUP(R280*Input!$C$11,0)),IF(ROUNDUP(R280,0)=0,1,ROUNDUP(R280,0))))</f>
        <v>1</v>
      </c>
      <c r="T280" s="11">
        <f t="shared" si="95"/>
        <v>1</v>
      </c>
      <c r="U280" s="11">
        <f>IFERROR(VLOOKUP($B280,Input!$AC$2:$AE$161,3,0),0)</f>
        <v>0</v>
      </c>
      <c r="V280" s="257">
        <f t="shared" si="96"/>
        <v>0</v>
      </c>
      <c r="W280" s="264">
        <f t="shared" si="97"/>
        <v>1.0027999999999999</v>
      </c>
      <c r="X280" s="68"/>
      <c r="Y280" s="68"/>
      <c r="Z280" s="68"/>
      <c r="AA280" s="68"/>
      <c r="AB280" s="68"/>
      <c r="AC280" s="68"/>
      <c r="AD280" s="68"/>
      <c r="AE280" s="68"/>
      <c r="AF280" s="68"/>
      <c r="AG280" s="68"/>
      <c r="AH280" s="68"/>
      <c r="AI280" s="68"/>
      <c r="AJ280" s="68">
        <v>1</v>
      </c>
      <c r="AL280" s="68">
        <v>1</v>
      </c>
      <c r="AM280" s="68"/>
      <c r="AN280" s="68"/>
      <c r="AO280" s="68"/>
      <c r="AQ280" s="68"/>
      <c r="AR280" s="68"/>
      <c r="AS280" s="68"/>
      <c r="AT280" s="68"/>
      <c r="AU280" s="68"/>
      <c r="AV280" s="68"/>
      <c r="AW280" s="68"/>
      <c r="AX280" s="68"/>
      <c r="AY280" s="68"/>
      <c r="AZ280" s="68"/>
      <c r="BB280" s="68"/>
      <c r="BC280" s="68"/>
      <c r="BJ280" s="68"/>
      <c r="BT280">
        <v>1</v>
      </c>
      <c r="BV280">
        <v>1</v>
      </c>
      <c r="BX280" s="68"/>
      <c r="BY280" s="68">
        <v>1</v>
      </c>
      <c r="BZ280" s="68">
        <v>0</v>
      </c>
      <c r="CA280" s="68">
        <v>0</v>
      </c>
      <c r="CB280" s="68">
        <v>0</v>
      </c>
      <c r="CC280" s="68">
        <f t="shared" si="98"/>
        <v>0</v>
      </c>
      <c r="CD280" s="68">
        <f t="shared" si="99"/>
        <v>0</v>
      </c>
    </row>
    <row r="281" spans="1:82" ht="15.75" customHeight="1" thickBot="1" x14ac:dyDescent="0.3">
      <c r="A281" s="6">
        <v>280</v>
      </c>
      <c r="B281" s="7" t="s">
        <v>274</v>
      </c>
      <c r="C281" s="7" t="s">
        <v>64</v>
      </c>
      <c r="D281" s="7" t="s">
        <v>19</v>
      </c>
      <c r="E281" s="50">
        <v>-94.731725341988195</v>
      </c>
      <c r="F281" s="50">
        <v>74.370672683963704</v>
      </c>
      <c r="G281" s="50">
        <v>105.788095232399</v>
      </c>
      <c r="H281" s="50">
        <v>43.6</v>
      </c>
      <c r="I281" s="8">
        <v>0</v>
      </c>
      <c r="J281" s="50">
        <v>6.0133389955509697</v>
      </c>
      <c r="K281" s="248">
        <f>IFERROR(VLOOKUP(C281,Schedule!$T$3:$U$34,2,0),"FA")</f>
        <v>11</v>
      </c>
      <c r="L281" s="7" t="str">
        <f>D281&amp;COUNTIF(D$2:$D281,D281)</f>
        <v>RB70</v>
      </c>
      <c r="M281" s="50">
        <f t="array" ref="M281">IFERROR(F281-AVERAGE(VLOOKUP(D281,$D282:$F$885,3,0),INDEX($F282:$F$885,SMALL(IF(D281=$D282:$D$885,ROW($D282:$D$885)-ROW(D281)),2))),0)</f>
        <v>6.4778774828893972</v>
      </c>
      <c r="N281" s="50">
        <f>IFERROR(IF(VLOOKUP($B281,Input!$AC$2:$AC$162,1,0)=$B281,0),F281)</f>
        <v>74.370672683963704</v>
      </c>
      <c r="O281" s="50">
        <f>IFERROR(IF(VLOOKUP($B281,Input!$AC$2:$AC$162,1,0)=$B281,0,G281),G281)</f>
        <v>105.788095232399</v>
      </c>
      <c r="P281" s="50">
        <f>IF(N281=0,0,F281-AVERAGE(INDEX(F:F,MATCH(VLOOKUP(D281,Input!$A$14:$L$22,10,0),L:L,0)),INDEX(F:F,MATCH(VLOOKUP(D281,Input!$A$14:$L$22,11,0),L:L,0)),INDEX(F:F,MATCH(VLOOKUP(D281,Input!$A$14:$L$22,12,0),L:L,0)))+(0.01-ROW()*0.01))</f>
        <v>-97.531725341988292</v>
      </c>
      <c r="Q281" s="106">
        <f t="shared" si="94"/>
        <v>-3.3647756759632545E-2</v>
      </c>
      <c r="R281" s="8">
        <f>IF(VLOOKUP($D281,$X$14:$Y$19,2,0)&lt;=0,1,IF(Q281&lt;0,1,ROUNDUP(IF(Q281*('Draft Center'!$L$28+'Draft Center'!$L$78-'Draft Center'!$L$82)&lt;1,1,Q281*('Draft Center'!$L$28+'Draft Center'!$L$78-'Draft Center'!$L$82)),0)))</f>
        <v>1</v>
      </c>
      <c r="S281" s="8">
        <f>IF(A281&lt;Input!$B$10+0.1,IF(ROUNDUP(R281*Input!$C$10,0)=0,1,ROUNDUP(R281*Input!$C$10,0)),IF(A281&gt;Input!$B$11,IF(ROUNDUP(R281*Input!$C$11,0)=0,1,ROUNDUP(R281*Input!$C$11,0)),IF(ROUNDUP(R281,0)=0,1,ROUNDUP(R281,0))))</f>
        <v>1</v>
      </c>
      <c r="T281" s="8">
        <f t="shared" si="95"/>
        <v>1</v>
      </c>
      <c r="U281" s="8">
        <f>IFERROR(VLOOKUP($B281,Input!$AC$2:$AE$161,3,0),0)</f>
        <v>0</v>
      </c>
      <c r="V281" s="256">
        <f t="shared" si="96"/>
        <v>0</v>
      </c>
      <c r="W281" s="263">
        <f t="shared" si="97"/>
        <v>1.00281</v>
      </c>
      <c r="X281" s="68"/>
      <c r="Y281" s="68"/>
      <c r="Z281" s="68"/>
      <c r="AA281" s="68"/>
      <c r="AB281" s="68"/>
      <c r="AC281" s="68"/>
      <c r="AD281" s="68"/>
      <c r="AE281" s="68"/>
      <c r="AF281" s="68"/>
      <c r="AG281" s="68"/>
      <c r="AH281" s="68"/>
      <c r="AI281" s="68"/>
      <c r="AJ281" s="68">
        <v>1</v>
      </c>
      <c r="AL281" s="68">
        <v>1</v>
      </c>
      <c r="AM281" s="68"/>
      <c r="AN281" s="68"/>
      <c r="AO281" s="68"/>
      <c r="AQ281" s="68"/>
      <c r="AR281" s="68"/>
      <c r="AS281" s="68"/>
      <c r="AT281" s="68"/>
      <c r="AU281" s="68"/>
      <c r="AV281" s="68"/>
      <c r="AW281" s="68"/>
      <c r="AX281" s="68"/>
      <c r="AY281" s="68"/>
      <c r="AZ281" s="68"/>
      <c r="BB281" s="68"/>
      <c r="BC281" s="68"/>
      <c r="BJ281" s="68"/>
      <c r="BT281">
        <v>1</v>
      </c>
      <c r="BV281">
        <v>1</v>
      </c>
      <c r="BX281" s="68"/>
      <c r="BY281" s="68">
        <v>1</v>
      </c>
      <c r="BZ281" s="68">
        <v>0</v>
      </c>
      <c r="CA281" s="68">
        <v>0</v>
      </c>
      <c r="CB281" s="68">
        <v>0</v>
      </c>
      <c r="CC281" s="68">
        <f t="shared" si="98"/>
        <v>0</v>
      </c>
      <c r="CD281" s="68">
        <f t="shared" si="99"/>
        <v>0</v>
      </c>
    </row>
    <row r="282" spans="1:82" ht="15.75" customHeight="1" thickBot="1" x14ac:dyDescent="0.3">
      <c r="A282" s="9">
        <v>281</v>
      </c>
      <c r="B282" s="10" t="s">
        <v>307</v>
      </c>
      <c r="C282" s="10" t="s">
        <v>95</v>
      </c>
      <c r="D282" s="10" t="s">
        <v>43</v>
      </c>
      <c r="E282" s="51">
        <v>-95.744943214422406</v>
      </c>
      <c r="F282" s="51">
        <v>57.715976137786903</v>
      </c>
      <c r="G282" s="51">
        <v>67.558259437992902</v>
      </c>
      <c r="H282" s="51">
        <v>46.581234567901198</v>
      </c>
      <c r="I282" s="11">
        <v>0</v>
      </c>
      <c r="J282" s="51">
        <v>4.6667841194735802</v>
      </c>
      <c r="K282" s="249">
        <f>IFERROR(VLOOKUP(C282,Schedule!$T$3:$U$34,2,0),"FA")</f>
        <v>8</v>
      </c>
      <c r="L282" s="10" t="str">
        <f>D282&amp;COUNTIF(D$2:$D282,D282)</f>
        <v>TE45</v>
      </c>
      <c r="M282" s="51">
        <f t="array" ref="M282">IFERROR(F282-AVERAGE(VLOOKUP(D282,$D283:$F$885,3,0),INDEX($F283:$F$885,SMALL(IF(D282=$D283:$D$885,ROW($D283:$D$885)-ROW(D282)),2))),0)</f>
        <v>2.5592509060591553</v>
      </c>
      <c r="N282" s="51">
        <f>IFERROR(IF(VLOOKUP($B282,Input!$AC$2:$AC$162,1,0)=$B282,0),F282)</f>
        <v>57.715976137786903</v>
      </c>
      <c r="O282" s="51">
        <f>IFERROR(IF(VLOOKUP($B282,Input!$AC$2:$AC$162,1,0)=$B282,0,G282),G282)</f>
        <v>67.558259437992902</v>
      </c>
      <c r="P282" s="51">
        <f>IF(N282=0,0,F282-AVERAGE(INDEX(F:F,MATCH(VLOOKUP(D282,Input!$A$14:$L$22,10,0),L:L,0)),INDEX(F:F,MATCH(VLOOKUP(D282,Input!$A$14:$L$22,11,0),L:L,0)),INDEX(F:F,MATCH(VLOOKUP(D282,Input!$A$14:$L$22,12,0),L:L,0)))+(0.01-ROW()*0.01))</f>
        <v>-98.554943214422423</v>
      </c>
      <c r="Q282" s="107">
        <f t="shared" si="94"/>
        <v>-3.4000759702654926E-2</v>
      </c>
      <c r="R282" s="11">
        <f>IF(VLOOKUP($D282,$X$14:$Y$19,2,0)&lt;=0,1,IF(Q282&lt;0,1,ROUNDUP(IF(Q282*('Draft Center'!$L$28+'Draft Center'!$L$78-'Draft Center'!$L$82)&lt;1,1,Q282*('Draft Center'!$L$28+'Draft Center'!$L$78-'Draft Center'!$L$82)),0)))</f>
        <v>1</v>
      </c>
      <c r="S282" s="11">
        <f>IF(A282&lt;Input!$B$10+0.1,IF(ROUNDUP(R282*Input!$C$10,0)=0,1,ROUNDUP(R282*Input!$C$10,0)),IF(A282&gt;Input!$B$11,IF(ROUNDUP(R282*Input!$C$11,0)=0,1,ROUNDUP(R282*Input!$C$11,0)),IF(ROUNDUP(R282,0)=0,1,ROUNDUP(R282,0))))</f>
        <v>1</v>
      </c>
      <c r="T282" s="11">
        <f t="shared" si="95"/>
        <v>1</v>
      </c>
      <c r="U282" s="11">
        <f>IFERROR(VLOOKUP($B282,Input!$AC$2:$AE$161,3,0),0)</f>
        <v>0</v>
      </c>
      <c r="V282" s="257">
        <f t="shared" si="96"/>
        <v>0</v>
      </c>
      <c r="W282" s="264">
        <f t="shared" si="97"/>
        <v>1.00282</v>
      </c>
      <c r="X282" s="68"/>
      <c r="Y282" s="68"/>
      <c r="Z282" s="68"/>
      <c r="AA282" s="68"/>
      <c r="AB282" s="68"/>
      <c r="AC282" s="68"/>
      <c r="AD282" s="68"/>
      <c r="AE282" s="68"/>
      <c r="AF282" s="68"/>
      <c r="AG282" s="68"/>
      <c r="AH282" s="68"/>
      <c r="AI282" s="68"/>
      <c r="AJ282" s="68">
        <v>1</v>
      </c>
      <c r="AL282" s="68">
        <v>1</v>
      </c>
      <c r="AM282" s="68"/>
      <c r="AN282" s="68"/>
      <c r="AO282" s="68"/>
      <c r="AQ282" s="68"/>
      <c r="AR282" s="68"/>
      <c r="AS282" s="68"/>
      <c r="AT282" s="68"/>
      <c r="AU282" s="68"/>
      <c r="AV282" s="68"/>
      <c r="AW282" s="68"/>
      <c r="AX282" s="68"/>
      <c r="AY282" s="68"/>
      <c r="AZ282" s="68"/>
      <c r="BB282" s="68"/>
      <c r="BC282" s="68"/>
      <c r="BJ282" s="68"/>
      <c r="BT282">
        <v>1</v>
      </c>
      <c r="BV282">
        <v>1</v>
      </c>
      <c r="BX282" s="68"/>
      <c r="BY282" s="68">
        <v>1</v>
      </c>
      <c r="BZ282" s="68">
        <v>0</v>
      </c>
      <c r="CA282" s="68">
        <v>0</v>
      </c>
      <c r="CB282" s="68">
        <v>0</v>
      </c>
      <c r="CC282" s="68">
        <f t="shared" si="98"/>
        <v>0</v>
      </c>
      <c r="CD282" s="68">
        <f t="shared" si="99"/>
        <v>0</v>
      </c>
    </row>
    <row r="283" spans="1:82" ht="15.75" customHeight="1" thickBot="1" x14ac:dyDescent="0.3">
      <c r="A283" s="6">
        <v>282</v>
      </c>
      <c r="B283" s="7" t="s">
        <v>448</v>
      </c>
      <c r="C283" s="7" t="s">
        <v>80</v>
      </c>
      <c r="D283" s="7" t="s">
        <v>53</v>
      </c>
      <c r="E283" s="50">
        <v>-95.793951557072305</v>
      </c>
      <c r="F283" s="50">
        <v>176.553692075763</v>
      </c>
      <c r="G283" s="50">
        <v>207.541963666345</v>
      </c>
      <c r="H283" s="50">
        <v>149.64037656280601</v>
      </c>
      <c r="I283" s="8">
        <v>0</v>
      </c>
      <c r="J283" s="50">
        <v>6.29162261258488</v>
      </c>
      <c r="K283" s="248">
        <f>IFERROR(VLOOKUP(C283,Schedule!$T$3:$U$34,2,0),"FA")</f>
        <v>11</v>
      </c>
      <c r="L283" s="7" t="str">
        <f>D283&amp;COUNTIF(D$2:$D283,D283)</f>
        <v>QB26</v>
      </c>
      <c r="M283" s="50">
        <f t="array" ref="M283">IFERROR(F283-AVERAGE(VLOOKUP(D283,$D284:$F$885,3,0),INDEX($F284:$F$885,SMALL(IF(D283=$D284:$D$885,ROW($D284:$D$885)-ROW(D283)),2))),0)</f>
        <v>17.756187450302008</v>
      </c>
      <c r="N283" s="50">
        <f>IFERROR(IF(VLOOKUP($B283,Input!$AC$2:$AC$162,1,0)=$B283,0),F283)</f>
        <v>176.553692075763</v>
      </c>
      <c r="O283" s="50">
        <f>IFERROR(IF(VLOOKUP($B283,Input!$AC$2:$AC$162,1,0)=$B283,0,G283),G283)</f>
        <v>207.541963666345</v>
      </c>
      <c r="P283" s="50">
        <f>IF(N283=0,0,F283-AVERAGE(INDEX(F:F,MATCH(VLOOKUP(D283,Input!$A$14:$L$22,10,0),L:L,0)),INDEX(F:F,MATCH(VLOOKUP(D283,Input!$A$14:$L$22,11,0),L:L,0)),INDEX(F:F,MATCH(VLOOKUP(D283,Input!$A$14:$L$22,12,0),L:L,0)))+(0.01-ROW()*0.01))</f>
        <v>-98.613951557072625</v>
      </c>
      <c r="Q283" s="106">
        <f t="shared" si="94"/>
        <v>-3.4021117164325175E-2</v>
      </c>
      <c r="R283" s="8">
        <f>IF(VLOOKUP($D283,$X$14:$Y$19,2,0)&lt;=0,1,IF(Q283&lt;0,1,ROUNDUP(IF(Q283*('Draft Center'!$L$28+'Draft Center'!$L$78-'Draft Center'!$L$82)&lt;1,1,Q283*('Draft Center'!$L$28+'Draft Center'!$L$78-'Draft Center'!$L$82)),0)))</f>
        <v>1</v>
      </c>
      <c r="S283" s="8">
        <f>IF(A283&lt;Input!$B$10+0.1,IF(ROUNDUP(R283*Input!$C$10,0)=0,1,ROUNDUP(R283*Input!$C$10,0)),IF(A283&gt;Input!$B$11,IF(ROUNDUP(R283*Input!$C$11,0)=0,1,ROUNDUP(R283*Input!$C$11,0)),IF(ROUNDUP(R283,0)=0,1,ROUNDUP(R283,0))))</f>
        <v>1</v>
      </c>
      <c r="T283" s="8">
        <f t="shared" si="95"/>
        <v>1</v>
      </c>
      <c r="U283" s="8">
        <f>IFERROR(VLOOKUP($B283,Input!$AC$2:$AE$161,3,0),0)</f>
        <v>0</v>
      </c>
      <c r="V283" s="256">
        <f t="shared" si="96"/>
        <v>0</v>
      </c>
      <c r="W283" s="263">
        <f t="shared" si="97"/>
        <v>1.0028300000000001</v>
      </c>
      <c r="X283" s="68"/>
      <c r="Y283" s="68"/>
      <c r="Z283" s="68"/>
      <c r="AA283" s="68"/>
      <c r="AB283" s="68"/>
      <c r="AC283" s="68"/>
      <c r="AD283" s="68"/>
      <c r="AE283" s="68"/>
      <c r="AF283" s="68"/>
      <c r="AG283" s="68"/>
      <c r="AH283" s="68"/>
      <c r="AI283" s="68"/>
      <c r="AJ283" s="68">
        <v>1</v>
      </c>
      <c r="AL283" s="68">
        <v>1</v>
      </c>
      <c r="AM283" s="68"/>
      <c r="AN283" s="68"/>
      <c r="AO283" s="68"/>
      <c r="AQ283" s="68"/>
      <c r="AR283" s="68"/>
      <c r="AS283" s="68"/>
      <c r="AT283" s="68"/>
      <c r="AU283" s="68"/>
      <c r="AV283" s="68"/>
      <c r="AW283" s="68"/>
      <c r="AX283" s="68"/>
      <c r="AY283" s="68"/>
      <c r="AZ283" s="68"/>
      <c r="BB283" s="68"/>
      <c r="BC283" s="68"/>
      <c r="BJ283" s="68"/>
      <c r="BT283">
        <v>1</v>
      </c>
      <c r="BV283">
        <v>1</v>
      </c>
      <c r="BX283" s="68"/>
      <c r="BY283" s="68">
        <v>1</v>
      </c>
      <c r="BZ283" s="68">
        <v>0</v>
      </c>
      <c r="CA283" s="68">
        <v>0</v>
      </c>
      <c r="CB283" s="68">
        <v>0</v>
      </c>
      <c r="CC283" s="68">
        <f t="shared" si="98"/>
        <v>0</v>
      </c>
      <c r="CD283" s="68">
        <f t="shared" si="99"/>
        <v>0</v>
      </c>
    </row>
    <row r="284" spans="1:82" ht="15.75" customHeight="1" thickBot="1" x14ac:dyDescent="0.3">
      <c r="A284" s="9">
        <v>283</v>
      </c>
      <c r="B284" s="10" t="s">
        <v>321</v>
      </c>
      <c r="C284" s="10" t="s">
        <v>80</v>
      </c>
      <c r="D284" s="10" t="s">
        <v>17</v>
      </c>
      <c r="E284" s="51">
        <v>-95.914100072744404</v>
      </c>
      <c r="F284" s="51">
        <v>116.863816196605</v>
      </c>
      <c r="G284" s="51">
        <v>141.112134279126</v>
      </c>
      <c r="H284" s="51">
        <v>80.575268155986706</v>
      </c>
      <c r="I284" s="11">
        <v>0</v>
      </c>
      <c r="J284" s="51">
        <v>6.29860704858456</v>
      </c>
      <c r="K284" s="249">
        <f>IFERROR(VLOOKUP(C284,Schedule!$T$3:$U$34,2,0),"FA")</f>
        <v>11</v>
      </c>
      <c r="L284" s="10" t="str">
        <f>D284&amp;COUNTIF(D$2:$D284,D284)</f>
        <v>WR75</v>
      </c>
      <c r="M284" s="51">
        <f t="array" ref="M284">IFERROR(F284-AVERAGE(VLOOKUP(D284,$D285:$F$885,3,0),INDEX($F285:$F$885,SMALL(IF(D284=$D285:$D$885,ROW($D285:$D$885)-ROW(D284)),2))),0)</f>
        <v>0.91657065292949369</v>
      </c>
      <c r="N284" s="51">
        <f>IFERROR(IF(VLOOKUP($B284,Input!$AC$2:$AC$162,1,0)=$B284,0),F284)</f>
        <v>116.863816196605</v>
      </c>
      <c r="O284" s="51">
        <f>IFERROR(IF(VLOOKUP($B284,Input!$AC$2:$AC$162,1,0)=$B284,0,G284),G284)</f>
        <v>141.112134279126</v>
      </c>
      <c r="P284" s="51">
        <f>IF(N284=0,0,F284-AVERAGE(INDEX(F:F,MATCH(VLOOKUP(D284,Input!$A$14:$L$22,10,0),L:L,0)),INDEX(F:F,MATCH(VLOOKUP(D284,Input!$A$14:$L$22,11,0),L:L,0)),INDEX(F:F,MATCH(VLOOKUP(D284,Input!$A$14:$L$22,12,0),L:L,0)))+(0.01-ROW()*0.01))</f>
        <v>-98.744100072744018</v>
      </c>
      <c r="Q284" s="107">
        <f t="shared" si="94"/>
        <v>-3.406601748350422E-2</v>
      </c>
      <c r="R284" s="11">
        <f>IF(VLOOKUP($D284,$X$14:$Y$19,2,0)&lt;=0,1,IF(Q284&lt;0,1,ROUNDUP(IF(Q284*('Draft Center'!$L$28+'Draft Center'!$L$78-'Draft Center'!$L$82)&lt;1,1,Q284*('Draft Center'!$L$28+'Draft Center'!$L$78-'Draft Center'!$L$82)),0)))</f>
        <v>1</v>
      </c>
      <c r="S284" s="11">
        <f>IF(A284&lt;Input!$B$10+0.1,IF(ROUNDUP(R284*Input!$C$10,0)=0,1,ROUNDUP(R284*Input!$C$10,0)),IF(A284&gt;Input!$B$11,IF(ROUNDUP(R284*Input!$C$11,0)=0,1,ROUNDUP(R284*Input!$C$11,0)),IF(ROUNDUP(R284,0)=0,1,ROUNDUP(R284,0))))</f>
        <v>1</v>
      </c>
      <c r="T284" s="11">
        <f t="shared" si="95"/>
        <v>1</v>
      </c>
      <c r="U284" s="11">
        <f>IFERROR(VLOOKUP($B284,Input!$AC$2:$AE$161,3,0),0)</f>
        <v>0</v>
      </c>
      <c r="V284" s="257">
        <f t="shared" si="96"/>
        <v>0</v>
      </c>
      <c r="W284" s="264">
        <f t="shared" si="97"/>
        <v>1.00284</v>
      </c>
      <c r="X284" s="68"/>
      <c r="Y284" s="68"/>
      <c r="Z284" s="68"/>
      <c r="AA284" s="68"/>
      <c r="AB284" s="68"/>
      <c r="AC284" s="68"/>
      <c r="AD284" s="68"/>
      <c r="AE284" s="68"/>
      <c r="AF284" s="68"/>
      <c r="AG284" s="68"/>
      <c r="AH284" s="68"/>
      <c r="AI284" s="68"/>
      <c r="AJ284" s="68">
        <v>1</v>
      </c>
      <c r="AL284" s="68">
        <v>1</v>
      </c>
      <c r="AM284" s="68"/>
      <c r="AN284" s="68"/>
      <c r="AO284" s="68"/>
      <c r="AQ284" s="68"/>
      <c r="AR284" s="68"/>
      <c r="AS284" s="68"/>
      <c r="AT284" s="68"/>
      <c r="AU284" s="68"/>
      <c r="AV284" s="68"/>
      <c r="AW284" s="68"/>
      <c r="AX284" s="68"/>
      <c r="AY284" s="68"/>
      <c r="AZ284" s="68"/>
      <c r="BB284" s="68"/>
      <c r="BC284" s="68"/>
      <c r="BJ284" s="68"/>
      <c r="BT284">
        <v>1</v>
      </c>
      <c r="BV284">
        <v>1</v>
      </c>
      <c r="BX284" s="68"/>
      <c r="BY284" s="68">
        <v>1</v>
      </c>
      <c r="BZ284" s="68">
        <v>0</v>
      </c>
      <c r="CA284" s="68">
        <v>0</v>
      </c>
      <c r="CB284" s="68">
        <v>0</v>
      </c>
      <c r="CC284" s="68">
        <f t="shared" si="98"/>
        <v>0</v>
      </c>
      <c r="CD284" s="68">
        <f t="shared" si="99"/>
        <v>0</v>
      </c>
    </row>
    <row r="285" spans="1:82" ht="15.75" customHeight="1" thickBot="1" x14ac:dyDescent="0.3">
      <c r="A285" s="6">
        <v>284</v>
      </c>
      <c r="B285" s="7" t="s">
        <v>128</v>
      </c>
      <c r="C285" s="7" t="s">
        <v>47</v>
      </c>
      <c r="D285" s="7" t="s">
        <v>17</v>
      </c>
      <c r="E285" s="50">
        <v>-96.501555728211898</v>
      </c>
      <c r="F285" s="50">
        <v>116.276360541137</v>
      </c>
      <c r="G285" s="50">
        <v>167.13595115707599</v>
      </c>
      <c r="H285" s="50">
        <v>43.802208504801101</v>
      </c>
      <c r="I285" s="8">
        <v>0</v>
      </c>
      <c r="J285" s="50">
        <v>7.1391713766381297</v>
      </c>
      <c r="K285" s="248">
        <f>IFERROR(VLOOKUP(C285,Schedule!$T$3:$U$34,2,0),"FA")</f>
        <v>10</v>
      </c>
      <c r="L285" s="7" t="str">
        <f>D285&amp;COUNTIF(D$2:$D285,D285)</f>
        <v>WR76</v>
      </c>
      <c r="M285" s="50">
        <f t="array" ref="M285">IFERROR(F285-AVERAGE(VLOOKUP(D285,$D286:$F$885,3,0),INDEX($F286:$F$885,SMALL(IF(D285=$D286:$D$885,ROW($D286:$D$885)-ROW(D285)),2))),0)</f>
        <v>2.6081945965345028</v>
      </c>
      <c r="N285" s="50">
        <f>IFERROR(IF(VLOOKUP($B285,Input!$AC$2:$AC$162,1,0)=$B285,0),F285)</f>
        <v>116.276360541137</v>
      </c>
      <c r="O285" s="50">
        <f>IFERROR(IF(VLOOKUP($B285,Input!$AC$2:$AC$162,1,0)=$B285,0,G285),G285)</f>
        <v>167.13595115707599</v>
      </c>
      <c r="P285" s="50">
        <f>IF(N285=0,0,F285-AVERAGE(INDEX(F:F,MATCH(VLOOKUP(D285,Input!$A$14:$L$22,10,0),L:L,0)),INDEX(F:F,MATCH(VLOOKUP(D285,Input!$A$14:$L$22,11,0),L:L,0)),INDEX(F:F,MATCH(VLOOKUP(D285,Input!$A$14:$L$22,12,0),L:L,0)))+(0.01-ROW()*0.01))</f>
        <v>-99.341555728212029</v>
      </c>
      <c r="Q285" s="106">
        <f t="shared" si="94"/>
        <v>-3.4272135467158918E-2</v>
      </c>
      <c r="R285" s="8">
        <f>IF(VLOOKUP($D285,$X$14:$Y$19,2,0)&lt;=0,1,IF(Q285&lt;0,1,ROUNDUP(IF(Q285*('Draft Center'!$L$28+'Draft Center'!$L$78-'Draft Center'!$L$82)&lt;1,1,Q285*('Draft Center'!$L$28+'Draft Center'!$L$78-'Draft Center'!$L$82)),0)))</f>
        <v>1</v>
      </c>
      <c r="S285" s="8">
        <f>IF(A285&lt;Input!$B$10+0.1,IF(ROUNDUP(R285*Input!$C$10,0)=0,1,ROUNDUP(R285*Input!$C$10,0)),IF(A285&gt;Input!$B$11,IF(ROUNDUP(R285*Input!$C$11,0)=0,1,ROUNDUP(R285*Input!$C$11,0)),IF(ROUNDUP(R285,0)=0,1,ROUNDUP(R285,0))))</f>
        <v>1</v>
      </c>
      <c r="T285" s="8">
        <f t="shared" si="95"/>
        <v>1</v>
      </c>
      <c r="U285" s="8">
        <f>IFERROR(VLOOKUP($B285,Input!$AC$2:$AE$161,3,0),0)</f>
        <v>0</v>
      </c>
      <c r="V285" s="256">
        <f t="shared" si="96"/>
        <v>0</v>
      </c>
      <c r="W285" s="263">
        <f t="shared" si="97"/>
        <v>1.00285</v>
      </c>
      <c r="X285" s="68"/>
      <c r="Y285" s="68"/>
      <c r="Z285" s="68"/>
      <c r="AA285" s="68"/>
      <c r="AB285" s="68"/>
      <c r="AC285" s="68"/>
      <c r="AD285" s="68"/>
      <c r="AE285" s="68"/>
      <c r="AF285" s="68"/>
      <c r="AG285" s="68"/>
      <c r="AH285" s="68"/>
      <c r="AI285" s="68"/>
      <c r="AJ285" s="68">
        <v>1</v>
      </c>
      <c r="AL285" s="68">
        <v>1</v>
      </c>
      <c r="AM285" s="68"/>
      <c r="AN285" s="68"/>
      <c r="AO285" s="68"/>
      <c r="AQ285" s="68"/>
      <c r="AR285" s="68"/>
      <c r="AS285" s="68"/>
      <c r="AT285" s="68"/>
      <c r="AU285" s="68"/>
      <c r="AV285" s="68"/>
      <c r="AW285" s="68"/>
      <c r="AX285" s="68"/>
      <c r="AY285" s="68"/>
      <c r="AZ285" s="68"/>
      <c r="BB285" s="68"/>
      <c r="BC285" s="68"/>
      <c r="BJ285" s="68"/>
      <c r="BT285">
        <v>1</v>
      </c>
      <c r="BV285">
        <v>1</v>
      </c>
      <c r="BX285" s="68"/>
      <c r="BY285" s="68">
        <v>1</v>
      </c>
      <c r="BZ285" s="68">
        <v>0</v>
      </c>
      <c r="CA285" s="68">
        <v>0</v>
      </c>
      <c r="CB285" s="68">
        <v>0</v>
      </c>
      <c r="CC285" s="68">
        <f t="shared" si="98"/>
        <v>0</v>
      </c>
      <c r="CD285" s="68">
        <f t="shared" si="99"/>
        <v>0</v>
      </c>
    </row>
    <row r="286" spans="1:82" ht="15.75" customHeight="1" thickBot="1" x14ac:dyDescent="0.3">
      <c r="A286" s="9">
        <v>285</v>
      </c>
      <c r="B286" s="10" t="s">
        <v>833</v>
      </c>
      <c r="C286" s="10" t="s">
        <v>16</v>
      </c>
      <c r="D286" s="10" t="s">
        <v>17</v>
      </c>
      <c r="E286" s="51">
        <v>-97.159785723135002</v>
      </c>
      <c r="F286" s="51">
        <v>115.618130546214</v>
      </c>
      <c r="G286" s="51">
        <v>132.33547369543999</v>
      </c>
      <c r="H286" s="51">
        <v>85.708106684125198</v>
      </c>
      <c r="I286" s="11">
        <v>0</v>
      </c>
      <c r="J286" s="51">
        <v>5.4052707598196896</v>
      </c>
      <c r="K286" s="249">
        <f>IFERROR(VLOOKUP(C286,Schedule!$T$3:$U$34,2,0),"FA")</f>
        <v>9</v>
      </c>
      <c r="L286" s="10" t="str">
        <f>D286&amp;COUNTIF(D$2:$D286,D286)</f>
        <v>WR77</v>
      </c>
      <c r="M286" s="51">
        <f t="array" ref="M286">IFERROR(F286-AVERAGE(VLOOKUP(D286,$D287:$F$885,3,0),INDEX($F287:$F$885,SMALL(IF(D286=$D287:$D$885,ROW($D287:$D$885)-ROW(D286)),2))),0)</f>
        <v>4.0369265004695052</v>
      </c>
      <c r="N286" s="51">
        <f>IFERROR(IF(VLOOKUP($B286,Input!$AC$2:$AC$162,1,0)=$B286,0),F286)</f>
        <v>115.618130546214</v>
      </c>
      <c r="O286" s="51">
        <f>IFERROR(IF(VLOOKUP($B286,Input!$AC$2:$AC$162,1,0)=$B286,0,G286),G286)</f>
        <v>132.33547369543999</v>
      </c>
      <c r="P286" s="51">
        <f>IF(N286=0,0,F286-AVERAGE(INDEX(F:F,MATCH(VLOOKUP(D286,Input!$A$14:$L$22,10,0),L:L,0)),INDEX(F:F,MATCH(VLOOKUP(D286,Input!$A$14:$L$22,11,0),L:L,0)),INDEX(F:F,MATCH(VLOOKUP(D286,Input!$A$14:$L$22,12,0),L:L,0)))+(0.01-ROW()*0.01))</f>
        <v>-100.00978572313501</v>
      </c>
      <c r="Q286" s="107">
        <f t="shared" si="94"/>
        <v>-3.4502670098324507E-2</v>
      </c>
      <c r="R286" s="11">
        <f>IF(VLOOKUP($D286,$X$14:$Y$19,2,0)&lt;=0,1,IF(Q286&lt;0,1,ROUNDUP(IF(Q286*('Draft Center'!$L$28+'Draft Center'!$L$78-'Draft Center'!$L$82)&lt;1,1,Q286*('Draft Center'!$L$28+'Draft Center'!$L$78-'Draft Center'!$L$82)),0)))</f>
        <v>1</v>
      </c>
      <c r="S286" s="11">
        <f>IF(A286&lt;Input!$B$10+0.1,IF(ROUNDUP(R286*Input!$C$10,0)=0,1,ROUNDUP(R286*Input!$C$10,0)),IF(A286&gt;Input!$B$11,IF(ROUNDUP(R286*Input!$C$11,0)=0,1,ROUNDUP(R286*Input!$C$11,0)),IF(ROUNDUP(R286,0)=0,1,ROUNDUP(R286,0))))</f>
        <v>1</v>
      </c>
      <c r="T286" s="11">
        <f t="shared" si="95"/>
        <v>1</v>
      </c>
      <c r="U286" s="11">
        <f>IFERROR(VLOOKUP($B286,Input!$AC$2:$AE$161,3,0),0)</f>
        <v>0</v>
      </c>
      <c r="V286" s="257">
        <f t="shared" si="96"/>
        <v>0</v>
      </c>
      <c r="W286" s="264">
        <f t="shared" si="97"/>
        <v>1.0028600000000001</v>
      </c>
      <c r="X286" s="68"/>
      <c r="Y286" s="68"/>
      <c r="Z286" s="68"/>
      <c r="AA286" s="68"/>
      <c r="AB286" s="68"/>
      <c r="AC286" s="68"/>
      <c r="AD286" s="68"/>
      <c r="AE286" s="68"/>
      <c r="AF286" s="68"/>
      <c r="AG286" s="68"/>
      <c r="AH286" s="68"/>
      <c r="AI286" s="68"/>
      <c r="AJ286" s="68">
        <v>1</v>
      </c>
      <c r="AL286" s="68">
        <v>1</v>
      </c>
      <c r="AM286" s="68"/>
      <c r="AN286" s="68"/>
      <c r="AO286" s="68"/>
      <c r="AQ286" s="68"/>
      <c r="AR286" s="68"/>
      <c r="AS286" s="68"/>
      <c r="AT286" s="68"/>
      <c r="AU286" s="68"/>
      <c r="AV286" s="68"/>
      <c r="AW286" s="68"/>
      <c r="AX286" s="68"/>
      <c r="AY286" s="68"/>
      <c r="AZ286" s="68"/>
      <c r="BB286" s="68"/>
      <c r="BC286" s="68"/>
      <c r="BJ286" s="68"/>
      <c r="BT286">
        <v>1</v>
      </c>
      <c r="BV286">
        <v>1</v>
      </c>
      <c r="BX286" s="68"/>
      <c r="BY286" s="68">
        <v>1</v>
      </c>
      <c r="BZ286" s="68">
        <v>0</v>
      </c>
      <c r="CA286" s="68">
        <v>0</v>
      </c>
      <c r="CB286" s="68">
        <v>0</v>
      </c>
      <c r="CC286" s="68">
        <f t="shared" si="98"/>
        <v>0</v>
      </c>
      <c r="CD286" s="68">
        <f t="shared" si="99"/>
        <v>0</v>
      </c>
    </row>
    <row r="287" spans="1:82" ht="15.75" customHeight="1" thickBot="1" x14ac:dyDescent="0.3">
      <c r="A287" s="6">
        <v>286</v>
      </c>
      <c r="B287" s="7" t="s">
        <v>465</v>
      </c>
      <c r="C287" s="7" t="s">
        <v>80</v>
      </c>
      <c r="D287" s="7" t="s">
        <v>43</v>
      </c>
      <c r="E287" s="50">
        <v>-97.670793596434095</v>
      </c>
      <c r="F287" s="50">
        <v>55.7901257557752</v>
      </c>
      <c r="G287" s="50">
        <v>81.491049890302605</v>
      </c>
      <c r="H287" s="50">
        <v>7.9919185381148301</v>
      </c>
      <c r="I287" s="8">
        <v>0</v>
      </c>
      <c r="J287" s="50">
        <v>6.9550286479352899</v>
      </c>
      <c r="K287" s="248">
        <f>IFERROR(VLOOKUP(C287,Schedule!$T$3:$U$34,2,0),"FA")</f>
        <v>11</v>
      </c>
      <c r="L287" s="7" t="str">
        <f>D287&amp;COUNTIF(D$2:$D287,D287)</f>
        <v>TE46</v>
      </c>
      <c r="M287" s="50">
        <f t="array" ref="M287">IFERROR(F287-AVERAGE(VLOOKUP(D287,$D288:$F$885,3,0),INDEX($F288:$F$885,SMALL(IF(D287=$D288:$D$885,ROW($D288:$D$885)-ROW(D287)),2))),0)</f>
        <v>1.3053948688299997</v>
      </c>
      <c r="N287" s="50">
        <f>IFERROR(IF(VLOOKUP($B287,Input!$AC$2:$AC$162,1,0)=$B287,0),F287)</f>
        <v>55.7901257557752</v>
      </c>
      <c r="O287" s="50">
        <f>IFERROR(IF(VLOOKUP($B287,Input!$AC$2:$AC$162,1,0)=$B287,0,G287),G287)</f>
        <v>81.491049890302605</v>
      </c>
      <c r="P287" s="50">
        <f>IF(N287=0,0,F287-AVERAGE(INDEX(F:F,MATCH(VLOOKUP(D287,Input!$A$14:$L$22,10,0),L:L,0)),INDEX(F:F,MATCH(VLOOKUP(D287,Input!$A$14:$L$22,11,0),L:L,0)),INDEX(F:F,MATCH(VLOOKUP(D287,Input!$A$14:$L$22,12,0),L:L,0)))+(0.01-ROW()*0.01))</f>
        <v>-100.53079359643412</v>
      </c>
      <c r="Q287" s="106">
        <f t="shared" si="94"/>
        <v>-3.4682414136781241E-2</v>
      </c>
      <c r="R287" s="8">
        <f>IF(VLOOKUP($D287,$X$14:$Y$19,2,0)&lt;=0,1,IF(Q287&lt;0,1,ROUNDUP(IF(Q287*('Draft Center'!$L$28+'Draft Center'!$L$78-'Draft Center'!$L$82)&lt;1,1,Q287*('Draft Center'!$L$28+'Draft Center'!$L$78-'Draft Center'!$L$82)),0)))</f>
        <v>1</v>
      </c>
      <c r="S287" s="8">
        <f>IF(A287&lt;Input!$B$10+0.1,IF(ROUNDUP(R287*Input!$C$10,0)=0,1,ROUNDUP(R287*Input!$C$10,0)),IF(A287&gt;Input!$B$11,IF(ROUNDUP(R287*Input!$C$11,0)=0,1,ROUNDUP(R287*Input!$C$11,0)),IF(ROUNDUP(R287,0)=0,1,ROUNDUP(R287,0))))</f>
        <v>1</v>
      </c>
      <c r="T287" s="8">
        <f t="shared" si="95"/>
        <v>1</v>
      </c>
      <c r="U287" s="8">
        <f>IFERROR(VLOOKUP($B287,Input!$AC$2:$AE$161,3,0),0)</f>
        <v>0</v>
      </c>
      <c r="V287" s="256">
        <f t="shared" si="96"/>
        <v>0</v>
      </c>
      <c r="W287" s="263">
        <f t="shared" si="97"/>
        <v>1.0028699999999999</v>
      </c>
      <c r="X287" s="68"/>
      <c r="Y287" s="68"/>
      <c r="Z287" s="68"/>
      <c r="AA287" s="68"/>
      <c r="AB287" s="68"/>
      <c r="AC287" s="68"/>
      <c r="AD287" s="68"/>
      <c r="AE287" s="68"/>
      <c r="AF287" s="68"/>
      <c r="AG287" s="68"/>
      <c r="AH287" s="68"/>
      <c r="AI287" s="68"/>
      <c r="AJ287" s="68">
        <v>1</v>
      </c>
      <c r="AL287" s="68">
        <v>1</v>
      </c>
      <c r="AM287" s="68"/>
      <c r="AN287" s="68"/>
      <c r="AO287" s="68"/>
      <c r="AQ287" s="68"/>
      <c r="AR287" s="68"/>
      <c r="AS287" s="68"/>
      <c r="AT287" s="68"/>
      <c r="AU287" s="68"/>
      <c r="AV287" s="68"/>
      <c r="AW287" s="68"/>
      <c r="AX287" s="68"/>
      <c r="AY287" s="68"/>
      <c r="AZ287" s="68"/>
      <c r="BB287" s="68"/>
      <c r="BC287" s="68"/>
      <c r="BJ287" s="68"/>
      <c r="BT287">
        <v>1</v>
      </c>
      <c r="BV287">
        <v>1</v>
      </c>
      <c r="BX287" s="68"/>
      <c r="BY287" s="68">
        <v>1</v>
      </c>
      <c r="BZ287" s="68">
        <v>0</v>
      </c>
      <c r="CA287" s="68">
        <v>0</v>
      </c>
      <c r="CB287" s="68">
        <v>0</v>
      </c>
      <c r="CC287" s="68">
        <f t="shared" si="98"/>
        <v>0</v>
      </c>
      <c r="CD287" s="68">
        <f t="shared" si="99"/>
        <v>0</v>
      </c>
    </row>
    <row r="288" spans="1:82" ht="15.75" customHeight="1" thickBot="1" x14ac:dyDescent="0.3">
      <c r="A288" s="9">
        <v>287</v>
      </c>
      <c r="B288" s="10" t="s">
        <v>213</v>
      </c>
      <c r="C288" s="10" t="s">
        <v>61</v>
      </c>
      <c r="D288" s="10" t="s">
        <v>43</v>
      </c>
      <c r="E288" s="51">
        <v>-98.937594644529</v>
      </c>
      <c r="F288" s="51">
        <v>54.523324707680302</v>
      </c>
      <c r="G288" s="51">
        <v>74.034217429747201</v>
      </c>
      <c r="H288" s="51">
        <v>33.814156378600799</v>
      </c>
      <c r="I288" s="11">
        <v>0</v>
      </c>
      <c r="J288" s="51">
        <v>4.5733863836179998</v>
      </c>
      <c r="K288" s="249">
        <f>IFERROR(VLOOKUP(C288,Schedule!$T$3:$U$34,2,0),"FA")</f>
        <v>5</v>
      </c>
      <c r="L288" s="10" t="str">
        <f>D288&amp;COUNTIF(D$2:$D288,D288)</f>
        <v>TE47</v>
      </c>
      <c r="M288" s="51">
        <f t="array" ref="M288">IFERROR(F288-AVERAGE(VLOOKUP(D288,$D289:$F$885,3,0),INDEX($F289:$F$885,SMALL(IF(D288=$D289:$D$885,ROW($D289:$D$885)-ROW(D288)),2))),0)</f>
        <v>1.1927538628466579</v>
      </c>
      <c r="N288" s="51">
        <f>IFERROR(IF(VLOOKUP($B288,Input!$AC$2:$AC$162,1,0)=$B288,0),F288)</f>
        <v>54.523324707680302</v>
      </c>
      <c r="O288" s="51">
        <f>IFERROR(IF(VLOOKUP($B288,Input!$AC$2:$AC$162,1,0)=$B288,0,G288),G288)</f>
        <v>74.034217429747201</v>
      </c>
      <c r="P288" s="51">
        <f>IF(N288=0,0,F288-AVERAGE(INDEX(F:F,MATCH(VLOOKUP(D288,Input!$A$14:$L$22,10,0),L:L,0)),INDEX(F:F,MATCH(VLOOKUP(D288,Input!$A$14:$L$22,11,0),L:L,0)),INDEX(F:F,MATCH(VLOOKUP(D288,Input!$A$14:$L$22,12,0),L:L,0)))+(0.01-ROW()*0.01))</f>
        <v>-101.80759464452902</v>
      </c>
      <c r="Q288" s="107">
        <f t="shared" si="94"/>
        <v>-3.5122901485344998E-2</v>
      </c>
      <c r="R288" s="11">
        <f>IF(VLOOKUP($D288,$X$14:$Y$19,2,0)&lt;=0,1,IF(Q288&lt;0,1,ROUNDUP(IF(Q288*('Draft Center'!$L$28+'Draft Center'!$L$78-'Draft Center'!$L$82)&lt;1,1,Q288*('Draft Center'!$L$28+'Draft Center'!$L$78-'Draft Center'!$L$82)),0)))</f>
        <v>1</v>
      </c>
      <c r="S288" s="11">
        <f>IF(A288&lt;Input!$B$10+0.1,IF(ROUNDUP(R288*Input!$C$10,0)=0,1,ROUNDUP(R288*Input!$C$10,0)),IF(A288&gt;Input!$B$11,IF(ROUNDUP(R288*Input!$C$11,0)=0,1,ROUNDUP(R288*Input!$C$11,0)),IF(ROUNDUP(R288,0)=0,1,ROUNDUP(R288,0))))</f>
        <v>1</v>
      </c>
      <c r="T288" s="11">
        <f t="shared" si="95"/>
        <v>1</v>
      </c>
      <c r="U288" s="11">
        <f>IFERROR(VLOOKUP($B288,Input!$AC$2:$AE$161,3,0),0)</f>
        <v>0</v>
      </c>
      <c r="V288" s="257">
        <f t="shared" si="96"/>
        <v>0</v>
      </c>
      <c r="W288" s="264">
        <f t="shared" si="97"/>
        <v>1.00288</v>
      </c>
      <c r="X288" s="68"/>
      <c r="Y288" s="68"/>
      <c r="Z288" s="68"/>
      <c r="AA288" s="68"/>
      <c r="AB288" s="68"/>
      <c r="AC288" s="68"/>
      <c r="AD288" s="68"/>
      <c r="AE288" s="68"/>
      <c r="AF288" s="68"/>
      <c r="AG288" s="68"/>
      <c r="AH288" s="68"/>
      <c r="AI288" s="68"/>
      <c r="AJ288" s="68">
        <v>1</v>
      </c>
      <c r="AL288" s="68">
        <v>1</v>
      </c>
      <c r="AM288" s="68"/>
      <c r="AN288" s="68"/>
      <c r="AO288" s="68"/>
      <c r="AQ288" s="68"/>
      <c r="AR288" s="68"/>
      <c r="AS288" s="68"/>
      <c r="AT288" s="68"/>
      <c r="AU288" s="68"/>
      <c r="AV288" s="68"/>
      <c r="AW288" s="68"/>
      <c r="AX288" s="68"/>
      <c r="AY288" s="68"/>
      <c r="AZ288" s="68"/>
      <c r="BB288" s="68"/>
      <c r="BC288" s="68"/>
      <c r="BJ288" s="68"/>
      <c r="BT288">
        <v>1</v>
      </c>
      <c r="BV288">
        <v>1</v>
      </c>
      <c r="BX288" s="68"/>
      <c r="BY288" s="68">
        <v>1</v>
      </c>
      <c r="BZ288" s="68">
        <v>0</v>
      </c>
      <c r="CA288" s="68">
        <v>0</v>
      </c>
      <c r="CB288" s="68">
        <v>0</v>
      </c>
      <c r="CC288" s="68">
        <f t="shared" si="98"/>
        <v>0</v>
      </c>
      <c r="CD288" s="68">
        <f t="shared" si="99"/>
        <v>0</v>
      </c>
    </row>
    <row r="289" spans="1:82" ht="15.75" customHeight="1" thickBot="1" x14ac:dyDescent="0.3">
      <c r="A289" s="6">
        <v>288</v>
      </c>
      <c r="B289" s="7" t="s">
        <v>326</v>
      </c>
      <c r="C289" s="7" t="s">
        <v>31</v>
      </c>
      <c r="D289" s="7" t="s">
        <v>43</v>
      </c>
      <c r="E289" s="50">
        <v>-99.014782285999203</v>
      </c>
      <c r="F289" s="50">
        <v>54.446137066210099</v>
      </c>
      <c r="G289" s="50">
        <v>73.456855562660905</v>
      </c>
      <c r="H289" s="50">
        <v>34.337568155986702</v>
      </c>
      <c r="I289" s="8">
        <v>0</v>
      </c>
      <c r="J289" s="50">
        <v>5.6941592138849604</v>
      </c>
      <c r="K289" s="248">
        <f>IFERROR(VLOOKUP(C289,Schedule!$T$3:$U$34,2,0),"FA")</f>
        <v>9</v>
      </c>
      <c r="L289" s="7" t="str">
        <f>D289&amp;COUNTIF(D$2:$D289,D289)</f>
        <v>TE48</v>
      </c>
      <c r="M289" s="50">
        <f t="array" ref="M289">IFERROR(F289-AVERAGE(VLOOKUP(D289,$D290:$F$885,3,0),INDEX($F290:$F$885,SMALL(IF(D289=$D290:$D$885,ROW($D290:$D$885)-ROW(D289)),2))),0)</f>
        <v>2.2489693990209503</v>
      </c>
      <c r="N289" s="50">
        <f>IFERROR(IF(VLOOKUP($B289,Input!$AC$2:$AC$162,1,0)=$B289,0),F289)</f>
        <v>54.446137066210099</v>
      </c>
      <c r="O289" s="50">
        <f>IFERROR(IF(VLOOKUP($B289,Input!$AC$2:$AC$162,1,0)=$B289,0,G289),G289)</f>
        <v>73.456855562660905</v>
      </c>
      <c r="P289" s="50">
        <f>IF(N289=0,0,F289-AVERAGE(INDEX(F:F,MATCH(VLOOKUP(D289,Input!$A$14:$L$22,10,0),L:L,0)),INDEX(F:F,MATCH(VLOOKUP(D289,Input!$A$14:$L$22,11,0),L:L,0)),INDEX(F:F,MATCH(VLOOKUP(D289,Input!$A$14:$L$22,12,0),L:L,0)))+(0.01-ROW()*0.01))</f>
        <v>-101.89478228599921</v>
      </c>
      <c r="Q289" s="106">
        <f t="shared" si="94"/>
        <v>-3.5152980606188482E-2</v>
      </c>
      <c r="R289" s="8">
        <f>IF(VLOOKUP($D289,$X$14:$Y$19,2,0)&lt;=0,1,IF(Q289&lt;0,1,ROUNDUP(IF(Q289*('Draft Center'!$L$28+'Draft Center'!$L$78-'Draft Center'!$L$82)&lt;1,1,Q289*('Draft Center'!$L$28+'Draft Center'!$L$78-'Draft Center'!$L$82)),0)))</f>
        <v>1</v>
      </c>
      <c r="S289" s="8">
        <f>IF(A289&lt;Input!$B$10+0.1,IF(ROUNDUP(R289*Input!$C$10,0)=0,1,ROUNDUP(R289*Input!$C$10,0)),IF(A289&gt;Input!$B$11,IF(ROUNDUP(R289*Input!$C$11,0)=0,1,ROUNDUP(R289*Input!$C$11,0)),IF(ROUNDUP(R289,0)=0,1,ROUNDUP(R289,0))))</f>
        <v>1</v>
      </c>
      <c r="T289" s="8">
        <f t="shared" si="95"/>
        <v>1</v>
      </c>
      <c r="U289" s="8">
        <f>IFERROR(VLOOKUP($B289,Input!$AC$2:$AE$161,3,0),0)</f>
        <v>0</v>
      </c>
      <c r="V289" s="256">
        <f t="shared" si="96"/>
        <v>0</v>
      </c>
      <c r="W289" s="263">
        <f t="shared" si="97"/>
        <v>1.0028900000000001</v>
      </c>
      <c r="X289" s="68"/>
      <c r="Y289" s="68"/>
      <c r="Z289" s="68"/>
      <c r="AA289" s="68"/>
      <c r="AB289" s="68"/>
      <c r="AC289" s="68"/>
      <c r="AD289" s="68"/>
      <c r="AE289" s="68"/>
      <c r="AF289" s="68"/>
      <c r="AG289" s="68"/>
      <c r="AH289" s="68"/>
      <c r="AI289" s="68"/>
      <c r="AJ289" s="68">
        <v>1</v>
      </c>
      <c r="AL289" s="68">
        <v>1</v>
      </c>
      <c r="AM289" s="68"/>
      <c r="AN289" s="68"/>
      <c r="AO289" s="68"/>
      <c r="AQ289" s="68"/>
      <c r="AR289" s="68"/>
      <c r="AS289" s="68"/>
      <c r="AT289" s="68"/>
      <c r="AU289" s="68"/>
      <c r="AV289" s="68"/>
      <c r="AW289" s="68"/>
      <c r="AX289" s="68"/>
      <c r="AY289" s="68"/>
      <c r="AZ289" s="68"/>
      <c r="BB289" s="68"/>
      <c r="BC289" s="68"/>
      <c r="BJ289" s="68"/>
      <c r="BT289">
        <v>1</v>
      </c>
      <c r="BV289">
        <v>1</v>
      </c>
      <c r="BX289" s="68"/>
      <c r="BY289" s="68">
        <v>1</v>
      </c>
      <c r="BZ289" s="68">
        <v>0</v>
      </c>
      <c r="CA289" s="68">
        <v>0</v>
      </c>
      <c r="CB289" s="68">
        <v>0</v>
      </c>
      <c r="CC289" s="68">
        <f t="shared" si="98"/>
        <v>0</v>
      </c>
      <c r="CD289" s="68">
        <f t="shared" si="99"/>
        <v>0</v>
      </c>
    </row>
    <row r="290" spans="1:82" ht="15.75" customHeight="1" thickBot="1" x14ac:dyDescent="0.3">
      <c r="A290" s="9">
        <v>289</v>
      </c>
      <c r="B290" s="10" t="s">
        <v>126</v>
      </c>
      <c r="C290" s="10" t="s">
        <v>95</v>
      </c>
      <c r="D290" s="10" t="s">
        <v>19</v>
      </c>
      <c r="E290" s="51">
        <v>-100.93738009314499</v>
      </c>
      <c r="F290" s="51">
        <v>68.165017932806805</v>
      </c>
      <c r="G290" s="51">
        <v>100.047330902165</v>
      </c>
      <c r="H290" s="51">
        <v>39.256134567901199</v>
      </c>
      <c r="I290" s="11">
        <v>0</v>
      </c>
      <c r="J290" s="51">
        <v>6.4444879649413904</v>
      </c>
      <c r="K290" s="249">
        <f>IFERROR(VLOOKUP(C290,Schedule!$T$3:$U$34,2,0),"FA")</f>
        <v>8</v>
      </c>
      <c r="L290" s="10" t="str">
        <f>D290&amp;COUNTIF(D$2:$D290,D290)</f>
        <v>RB71</v>
      </c>
      <c r="M290" s="51">
        <f t="array" ref="M290">IFERROR(F290-AVERAGE(VLOOKUP(D290,$D291:$F$885,3,0),INDEX($F291:$F$885,SMALL(IF(D290=$D291:$D$885,ROW($D291:$D$885)-ROW(D290)),2))),0)</f>
        <v>1.0541019896365498</v>
      </c>
      <c r="N290" s="51">
        <f>IFERROR(IF(VLOOKUP($B290,Input!$AC$2:$AC$162,1,0)=$B290,0),F290)</f>
        <v>68.165017932806805</v>
      </c>
      <c r="O290" s="51">
        <f>IFERROR(IF(VLOOKUP($B290,Input!$AC$2:$AC$162,1,0)=$B290,0,G290),G290)</f>
        <v>100.047330902165</v>
      </c>
      <c r="P290" s="51">
        <f>IF(N290=0,0,F290-AVERAGE(INDEX(F:F,MATCH(VLOOKUP(D290,Input!$A$14:$L$22,10,0),L:L,0)),INDEX(F:F,MATCH(VLOOKUP(D290,Input!$A$14:$L$22,11,0),L:L,0)),INDEX(F:F,MATCH(VLOOKUP(D290,Input!$A$14:$L$22,12,0),L:L,0)))+(0.01-ROW()*0.01))</f>
        <v>-103.82738009314519</v>
      </c>
      <c r="Q290" s="107">
        <f t="shared" si="94"/>
        <v>-3.5819713207309117E-2</v>
      </c>
      <c r="R290" s="11">
        <f>IF(VLOOKUP($D290,$X$14:$Y$19,2,0)&lt;=0,1,IF(Q290&lt;0,1,ROUNDUP(IF(Q290*('Draft Center'!$L$28+'Draft Center'!$L$78-'Draft Center'!$L$82)&lt;1,1,Q290*('Draft Center'!$L$28+'Draft Center'!$L$78-'Draft Center'!$L$82)),0)))</f>
        <v>1</v>
      </c>
      <c r="S290" s="11">
        <f>IF(A290&lt;Input!$B$10+0.1,IF(ROUNDUP(R290*Input!$C$10,0)=0,1,ROUNDUP(R290*Input!$C$10,0)),IF(A290&gt;Input!$B$11,IF(ROUNDUP(R290*Input!$C$11,0)=0,1,ROUNDUP(R290*Input!$C$11,0)),IF(ROUNDUP(R290,0)=0,1,ROUNDUP(R290,0))))</f>
        <v>1</v>
      </c>
      <c r="T290" s="11">
        <f t="shared" si="95"/>
        <v>1</v>
      </c>
      <c r="U290" s="11">
        <f>IFERROR(VLOOKUP($B290,Input!$AC$2:$AE$161,3,0),0)</f>
        <v>0</v>
      </c>
      <c r="V290" s="257">
        <f t="shared" si="96"/>
        <v>0</v>
      </c>
      <c r="W290" s="264">
        <f t="shared" si="97"/>
        <v>1.0028999999999999</v>
      </c>
      <c r="X290" s="68"/>
      <c r="Y290" s="68"/>
      <c r="Z290" s="68"/>
      <c r="AA290" s="68"/>
      <c r="AB290" s="68"/>
      <c r="AC290" s="68"/>
      <c r="AD290" s="68"/>
      <c r="AE290" s="68"/>
      <c r="AF290" s="68"/>
      <c r="AG290" s="68"/>
      <c r="AH290" s="68"/>
      <c r="AI290" s="68"/>
      <c r="AJ290" s="68">
        <v>1</v>
      </c>
      <c r="AL290" s="68">
        <v>1</v>
      </c>
      <c r="AM290" s="68"/>
      <c r="AN290" s="68"/>
      <c r="AO290" s="68"/>
      <c r="AQ290" s="68"/>
      <c r="AR290" s="68"/>
      <c r="AS290" s="68"/>
      <c r="AT290" s="68"/>
      <c r="AU290" s="68"/>
      <c r="AV290" s="68"/>
      <c r="AW290" s="68"/>
      <c r="AX290" s="68"/>
      <c r="AY290" s="68"/>
      <c r="AZ290" s="68"/>
      <c r="BB290" s="68"/>
      <c r="BC290" s="68"/>
      <c r="BJ290" s="68"/>
      <c r="BT290">
        <v>1</v>
      </c>
      <c r="BV290">
        <v>1</v>
      </c>
      <c r="BX290" s="68"/>
      <c r="BY290" s="68">
        <v>1</v>
      </c>
      <c r="BZ290" s="68">
        <v>0</v>
      </c>
      <c r="CA290" s="68">
        <v>0</v>
      </c>
      <c r="CB290" s="68">
        <v>0</v>
      </c>
      <c r="CC290" s="68">
        <f t="shared" si="98"/>
        <v>0</v>
      </c>
      <c r="CD290" s="68">
        <f t="shared" si="99"/>
        <v>0</v>
      </c>
    </row>
    <row r="291" spans="1:82" ht="15.75" customHeight="1" thickBot="1" x14ac:dyDescent="0.3">
      <c r="A291" s="6">
        <v>290</v>
      </c>
      <c r="B291" s="7" t="s">
        <v>764</v>
      </c>
      <c r="C291" s="7" t="s">
        <v>45</v>
      </c>
      <c r="D291" s="7" t="s">
        <v>17</v>
      </c>
      <c r="E291" s="50">
        <v>-101.05971492635901</v>
      </c>
      <c r="F291" s="50">
        <v>111.71820134299099</v>
      </c>
      <c r="G291" s="50">
        <v>140.753573876503</v>
      </c>
      <c r="H291" s="50">
        <v>44.101650485436899</v>
      </c>
      <c r="I291" s="8">
        <v>0</v>
      </c>
      <c r="J291" s="50">
        <v>6.7983890757546899</v>
      </c>
      <c r="K291" s="248">
        <f>IFERROR(VLOOKUP(C291,Schedule!$T$3:$U$34,2,0),"FA")</f>
        <v>6</v>
      </c>
      <c r="L291" s="7" t="str">
        <f>D291&amp;COUNTIF(D$2:$D291,D291)</f>
        <v>WR78</v>
      </c>
      <c r="M291" s="50">
        <f t="array" ref="M291">IFERROR(F291-AVERAGE(VLOOKUP(D291,$D292:$F$885,3,0),INDEX($F292:$F$885,SMALL(IF(D291=$D292:$D$885,ROW($D292:$D$885)-ROW(D291)),2))),0)</f>
        <v>0.58240990516449642</v>
      </c>
      <c r="N291" s="50">
        <f>IFERROR(IF(VLOOKUP($B291,Input!$AC$2:$AC$162,1,0)=$B291,0),F291)</f>
        <v>111.71820134299099</v>
      </c>
      <c r="O291" s="50">
        <f>IFERROR(IF(VLOOKUP($B291,Input!$AC$2:$AC$162,1,0)=$B291,0,G291),G291)</f>
        <v>140.753573876503</v>
      </c>
      <c r="P291" s="50">
        <f>IF(N291=0,0,F291-AVERAGE(INDEX(F:F,MATCH(VLOOKUP(D291,Input!$A$14:$L$22,10,0),L:L,0)),INDEX(F:F,MATCH(VLOOKUP(D291,Input!$A$14:$L$22,11,0),L:L,0)),INDEX(F:F,MATCH(VLOOKUP(D291,Input!$A$14:$L$22,12,0),L:L,0)))+(0.01-ROW()*0.01))</f>
        <v>-103.95971492635803</v>
      </c>
      <c r="Q291" s="106">
        <f t="shared" si="94"/>
        <v>-3.5865367790606589E-2</v>
      </c>
      <c r="R291" s="8">
        <f>IF(VLOOKUP($D291,$X$14:$Y$19,2,0)&lt;=0,1,IF(Q291&lt;0,1,ROUNDUP(IF(Q291*('Draft Center'!$L$28+'Draft Center'!$L$78-'Draft Center'!$L$82)&lt;1,1,Q291*('Draft Center'!$L$28+'Draft Center'!$L$78-'Draft Center'!$L$82)),0)))</f>
        <v>1</v>
      </c>
      <c r="S291" s="8">
        <f>IF(A291&lt;Input!$B$10+0.1,IF(ROUNDUP(R291*Input!$C$10,0)=0,1,ROUNDUP(R291*Input!$C$10,0)),IF(A291&gt;Input!$B$11,IF(ROUNDUP(R291*Input!$C$11,0)=0,1,ROUNDUP(R291*Input!$C$11,0)),IF(ROUNDUP(R291,0)=0,1,ROUNDUP(R291,0))))</f>
        <v>1</v>
      </c>
      <c r="T291" s="8">
        <f t="shared" si="95"/>
        <v>1</v>
      </c>
      <c r="U291" s="8">
        <f>IFERROR(VLOOKUP($B291,Input!$AC$2:$AE$161,3,0),0)</f>
        <v>0</v>
      </c>
      <c r="V291" s="256">
        <f t="shared" si="96"/>
        <v>0</v>
      </c>
      <c r="W291" s="263">
        <f t="shared" si="97"/>
        <v>1.00291</v>
      </c>
      <c r="X291" s="68"/>
      <c r="Y291" s="68"/>
      <c r="Z291" s="68"/>
      <c r="AA291" s="68"/>
      <c r="AB291" s="68"/>
      <c r="AC291" s="68"/>
      <c r="AD291" s="68"/>
      <c r="AE291" s="68"/>
      <c r="AF291" s="68"/>
      <c r="AG291" s="68"/>
      <c r="AH291" s="68"/>
      <c r="AI291" s="68"/>
      <c r="AJ291" s="68">
        <v>1</v>
      </c>
      <c r="AL291" s="68">
        <v>1</v>
      </c>
      <c r="AM291" s="68"/>
      <c r="AN291" s="68"/>
      <c r="AO291" s="68"/>
      <c r="AQ291" s="68"/>
      <c r="AR291" s="68"/>
      <c r="AS291" s="68"/>
      <c r="AT291" s="68"/>
      <c r="AU291" s="68"/>
      <c r="AV291" s="68"/>
      <c r="AW291" s="68"/>
      <c r="AX291" s="68"/>
      <c r="AY291" s="68"/>
      <c r="AZ291" s="68"/>
      <c r="BB291" s="68"/>
      <c r="BC291" s="68"/>
      <c r="BJ291" s="68"/>
      <c r="BT291">
        <v>1</v>
      </c>
      <c r="BV291">
        <v>1</v>
      </c>
      <c r="BX291" s="68"/>
      <c r="BY291" s="68">
        <v>1</v>
      </c>
      <c r="BZ291" s="68">
        <v>0</v>
      </c>
      <c r="CA291" s="68">
        <v>0</v>
      </c>
      <c r="CB291" s="68">
        <v>0</v>
      </c>
      <c r="CC291" s="68">
        <f t="shared" si="98"/>
        <v>0</v>
      </c>
      <c r="CD291" s="68">
        <f t="shared" si="99"/>
        <v>0</v>
      </c>
    </row>
    <row r="292" spans="1:82" ht="15.75" customHeight="1" thickBot="1" x14ac:dyDescent="0.3">
      <c r="A292" s="9">
        <v>291</v>
      </c>
      <c r="B292" s="10" t="s">
        <v>310</v>
      </c>
      <c r="C292" s="10" t="s">
        <v>48</v>
      </c>
      <c r="D292" s="10" t="s">
        <v>43</v>
      </c>
      <c r="E292" s="51">
        <v>-101.245914728752</v>
      </c>
      <c r="F292" s="51">
        <v>52.215004623457197</v>
      </c>
      <c r="G292" s="51">
        <v>66.460445225176301</v>
      </c>
      <c r="H292" s="51">
        <v>23.9</v>
      </c>
      <c r="I292" s="11">
        <v>0</v>
      </c>
      <c r="J292" s="51" t="s">
        <v>1057</v>
      </c>
      <c r="K292" s="249">
        <f>IFERROR(VLOOKUP(C292,Schedule!$T$3:$U$34,2,0),"FA")</f>
        <v>10</v>
      </c>
      <c r="L292" s="10" t="str">
        <f>D292&amp;COUNTIF(D$2:$D292,D292)</f>
        <v>TE49</v>
      </c>
      <c r="M292" s="51">
        <f t="array" ref="M292">IFERROR(F292-AVERAGE(VLOOKUP(D292,$D293:$F$885,3,0),INDEX($F293:$F$885,SMALL(IF(D292=$D293:$D$885,ROW($D293:$D$885)-ROW(D292)),2))),0)</f>
        <v>0.59001713636829578</v>
      </c>
      <c r="N292" s="51">
        <f>IFERROR(IF(VLOOKUP($B292,Input!$AC$2:$AC$162,1,0)=$B292,0),F292)</f>
        <v>52.215004623457197</v>
      </c>
      <c r="O292" s="51">
        <f>IFERROR(IF(VLOOKUP($B292,Input!$AC$2:$AC$162,1,0)=$B292,0,G292),G292)</f>
        <v>66.460445225176301</v>
      </c>
      <c r="P292" s="51">
        <f>IF(N292=0,0,F292-AVERAGE(INDEX(F:F,MATCH(VLOOKUP(D292,Input!$A$14:$L$22,10,0),L:L,0)),INDEX(F:F,MATCH(VLOOKUP(D292,Input!$A$14:$L$22,11,0),L:L,0)),INDEX(F:F,MATCH(VLOOKUP(D292,Input!$A$14:$L$22,12,0),L:L,0)))+(0.01-ROW()*0.01))</f>
        <v>-104.15591472875212</v>
      </c>
      <c r="Q292" s="107">
        <f t="shared" si="94"/>
        <v>-3.5933055337444259E-2</v>
      </c>
      <c r="R292" s="11">
        <f>IF(VLOOKUP($D292,$X$14:$Y$19,2,0)&lt;=0,1,IF(Q292&lt;0,1,ROUNDUP(IF(Q292*('Draft Center'!$L$28+'Draft Center'!$L$78-'Draft Center'!$L$82)&lt;1,1,Q292*('Draft Center'!$L$28+'Draft Center'!$L$78-'Draft Center'!$L$82)),0)))</f>
        <v>1</v>
      </c>
      <c r="S292" s="11">
        <f>IF(A292&lt;Input!$B$10+0.1,IF(ROUNDUP(R292*Input!$C$10,0)=0,1,ROUNDUP(R292*Input!$C$10,0)),IF(A292&gt;Input!$B$11,IF(ROUNDUP(R292*Input!$C$11,0)=0,1,ROUNDUP(R292*Input!$C$11,0)),IF(ROUNDUP(R292,0)=0,1,ROUNDUP(R292,0))))</f>
        <v>1</v>
      </c>
      <c r="T292" s="11">
        <f t="shared" si="95"/>
        <v>1</v>
      </c>
      <c r="U292" s="11">
        <f>IFERROR(VLOOKUP($B292,Input!$AC$2:$AE$161,3,0),0)</f>
        <v>0</v>
      </c>
      <c r="V292" s="257">
        <f t="shared" si="96"/>
        <v>0</v>
      </c>
      <c r="W292" s="264">
        <f t="shared" si="97"/>
        <v>1.00292</v>
      </c>
      <c r="X292" s="68"/>
      <c r="Y292" s="68"/>
      <c r="Z292" s="68"/>
      <c r="AA292" s="68"/>
      <c r="AB292" s="68"/>
      <c r="AC292" s="68"/>
      <c r="AD292" s="68"/>
      <c r="AE292" s="68"/>
      <c r="AF292" s="68"/>
      <c r="AG292" s="68"/>
      <c r="AH292" s="68"/>
      <c r="AI292" s="68"/>
      <c r="AJ292" s="68">
        <v>1</v>
      </c>
      <c r="AL292" s="68">
        <v>1</v>
      </c>
      <c r="AM292" s="68"/>
      <c r="AN292" s="68"/>
      <c r="AO292" s="68"/>
      <c r="AQ292" s="68"/>
      <c r="AR292" s="68"/>
      <c r="AS292" s="68"/>
      <c r="AT292" s="68"/>
      <c r="AU292" s="68"/>
      <c r="AV292" s="68"/>
      <c r="AW292" s="68"/>
      <c r="AX292" s="68"/>
      <c r="AY292" s="68"/>
      <c r="AZ292" s="68"/>
      <c r="BB292" s="68"/>
      <c r="BC292" s="68"/>
      <c r="BJ292" s="68"/>
      <c r="BT292">
        <v>1</v>
      </c>
      <c r="BV292">
        <v>1</v>
      </c>
      <c r="BX292" s="68"/>
      <c r="BY292" s="68">
        <v>1</v>
      </c>
      <c r="BZ292" s="68">
        <v>0</v>
      </c>
      <c r="CA292" s="68">
        <v>0</v>
      </c>
      <c r="CB292" s="68">
        <v>0</v>
      </c>
      <c r="CC292" s="68">
        <f t="shared" si="98"/>
        <v>0</v>
      </c>
      <c r="CD292" s="68">
        <f t="shared" si="99"/>
        <v>0</v>
      </c>
    </row>
    <row r="293" spans="1:82" ht="15.75" customHeight="1" thickBot="1" x14ac:dyDescent="0.3">
      <c r="A293" s="6">
        <v>292</v>
      </c>
      <c r="B293" s="7" t="s">
        <v>286</v>
      </c>
      <c r="C293" s="7" t="s">
        <v>29</v>
      </c>
      <c r="D293" s="7" t="s">
        <v>43</v>
      </c>
      <c r="E293" s="50">
        <v>-101.281588641288</v>
      </c>
      <c r="F293" s="50">
        <v>52.1793307109211</v>
      </c>
      <c r="G293" s="50">
        <v>79.748070411522605</v>
      </c>
      <c r="H293" s="50">
        <v>18.730356378600799</v>
      </c>
      <c r="I293" s="8">
        <v>0</v>
      </c>
      <c r="J293" s="50">
        <v>5.8809546855961203</v>
      </c>
      <c r="K293" s="248">
        <f>IFERROR(VLOOKUP(C293,Schedule!$T$3:$U$34,2,0),"FA")</f>
        <v>8</v>
      </c>
      <c r="L293" s="7" t="str">
        <f>D293&amp;COUNTIF(D$2:$D293,D293)</f>
        <v>TE50</v>
      </c>
      <c r="M293" s="50">
        <f t="array" ref="M293">IFERROR(F293-AVERAGE(VLOOKUP(D293,$D294:$F$885,3,0),INDEX($F294:$F$885,SMALL(IF(D293=$D294:$D$885,ROW($D294:$D$885)-ROW(D293)),2))),0)</f>
        <v>3.6488088083327526</v>
      </c>
      <c r="N293" s="50">
        <f>IFERROR(IF(VLOOKUP($B293,Input!$AC$2:$AC$162,1,0)=$B293,0),F293)</f>
        <v>52.1793307109211</v>
      </c>
      <c r="O293" s="50">
        <f>IFERROR(IF(VLOOKUP($B293,Input!$AC$2:$AC$162,1,0)=$B293,0,G293),G293)</f>
        <v>79.748070411522605</v>
      </c>
      <c r="P293" s="50">
        <f>IF(N293=0,0,F293-AVERAGE(INDEX(F:F,MATCH(VLOOKUP(D293,Input!$A$14:$L$22,10,0),L:L,0)),INDEX(F:F,MATCH(VLOOKUP(D293,Input!$A$14:$L$22,11,0),L:L,0)),INDEX(F:F,MATCH(VLOOKUP(D293,Input!$A$14:$L$22,12,0),L:L,0)))+(0.01-ROW()*0.01))</f>
        <v>-104.20158864128821</v>
      </c>
      <c r="Q293" s="106">
        <f t="shared" si="94"/>
        <v>-3.594881251485383E-2</v>
      </c>
      <c r="R293" s="8">
        <f>IF(VLOOKUP($D293,$X$14:$Y$19,2,0)&lt;=0,1,IF(Q293&lt;0,1,ROUNDUP(IF(Q293*('Draft Center'!$L$28+'Draft Center'!$L$78-'Draft Center'!$L$82)&lt;1,1,Q293*('Draft Center'!$L$28+'Draft Center'!$L$78-'Draft Center'!$L$82)),0)))</f>
        <v>1</v>
      </c>
      <c r="S293" s="8">
        <f>IF(A293&lt;Input!$B$10+0.1,IF(ROUNDUP(R293*Input!$C$10,0)=0,1,ROUNDUP(R293*Input!$C$10,0)),IF(A293&gt;Input!$B$11,IF(ROUNDUP(R293*Input!$C$11,0)=0,1,ROUNDUP(R293*Input!$C$11,0)),IF(ROUNDUP(R293,0)=0,1,ROUNDUP(R293,0))))</f>
        <v>1</v>
      </c>
      <c r="T293" s="8">
        <f t="shared" si="95"/>
        <v>1</v>
      </c>
      <c r="U293" s="8">
        <f>IFERROR(VLOOKUP($B293,Input!$AC$2:$AE$161,3,0),0)</f>
        <v>0</v>
      </c>
      <c r="V293" s="256">
        <f t="shared" si="96"/>
        <v>0</v>
      </c>
      <c r="W293" s="263">
        <f t="shared" si="97"/>
        <v>1.0029300000000001</v>
      </c>
      <c r="X293" s="68"/>
      <c r="Y293" s="68"/>
      <c r="Z293" s="68"/>
      <c r="AA293" s="68"/>
      <c r="AB293" s="68"/>
      <c r="AC293" s="68"/>
      <c r="AD293" s="68"/>
      <c r="AE293" s="68"/>
      <c r="AF293" s="68"/>
      <c r="AG293" s="68"/>
      <c r="AH293" s="68"/>
      <c r="AI293" s="68"/>
      <c r="AJ293" s="68">
        <v>1</v>
      </c>
      <c r="AL293" s="68">
        <v>1</v>
      </c>
      <c r="AM293" s="68"/>
      <c r="AN293" s="68"/>
      <c r="AO293" s="68"/>
      <c r="AQ293" s="68"/>
      <c r="AR293" s="68"/>
      <c r="AS293" s="68"/>
      <c r="AT293" s="68"/>
      <c r="AU293" s="68"/>
      <c r="AV293" s="68"/>
      <c r="AW293" s="68"/>
      <c r="AX293" s="68"/>
      <c r="AY293" s="68"/>
      <c r="AZ293" s="68"/>
      <c r="BB293" s="68"/>
      <c r="BC293" s="68"/>
      <c r="BJ293" s="68"/>
      <c r="BT293">
        <v>1</v>
      </c>
      <c r="BV293">
        <v>1</v>
      </c>
      <c r="BX293" s="68"/>
      <c r="BY293" s="68">
        <v>1</v>
      </c>
      <c r="BZ293" s="68">
        <v>0</v>
      </c>
      <c r="CA293" s="68">
        <v>0</v>
      </c>
      <c r="CB293" s="68">
        <v>0</v>
      </c>
      <c r="CC293" s="68">
        <f t="shared" si="98"/>
        <v>0</v>
      </c>
      <c r="CD293" s="68">
        <f t="shared" si="99"/>
        <v>0</v>
      </c>
    </row>
    <row r="294" spans="1:82" ht="15.75" customHeight="1" thickBot="1" x14ac:dyDescent="0.3">
      <c r="A294" s="9">
        <v>293</v>
      </c>
      <c r="B294" s="10" t="s">
        <v>760</v>
      </c>
      <c r="C294" s="10" t="s">
        <v>66</v>
      </c>
      <c r="D294" s="10" t="s">
        <v>17</v>
      </c>
      <c r="E294" s="51">
        <v>-101.333709520851</v>
      </c>
      <c r="F294" s="51">
        <v>111.444206748498</v>
      </c>
      <c r="G294" s="51">
        <v>143.68493895747599</v>
      </c>
      <c r="H294" s="51">
        <v>67.837866822466495</v>
      </c>
      <c r="I294" s="11" t="s">
        <v>1057</v>
      </c>
      <c r="J294" s="51">
        <v>7.2118150737073901</v>
      </c>
      <c r="K294" s="249">
        <f>IFERROR(VLOOKUP(C294,Schedule!$T$3:$U$34,2,0),"FA")</f>
        <v>7</v>
      </c>
      <c r="L294" s="10" t="str">
        <f>D294&amp;COUNTIF(D$2:$D294,D294)</f>
        <v>WR79</v>
      </c>
      <c r="M294" s="51">
        <f t="array" ref="M294">IFERROR(F294-AVERAGE(VLOOKUP(D294,$D295:$F$885,3,0),INDEX($F295:$F$885,SMALL(IF(D294=$D295:$D$885,ROW($D295:$D$885)-ROW(D294)),2))),0)</f>
        <v>1.3774395922010001</v>
      </c>
      <c r="N294" s="51">
        <f>IFERROR(IF(VLOOKUP($B294,Input!$AC$2:$AC$162,1,0)=$B294,0),F294)</f>
        <v>111.444206748498</v>
      </c>
      <c r="O294" s="51">
        <f>IFERROR(IF(VLOOKUP($B294,Input!$AC$2:$AC$162,1,0)=$B294,0,G294),G294)</f>
        <v>143.68493895747599</v>
      </c>
      <c r="P294" s="51">
        <f>IF(N294=0,0,F294-AVERAGE(INDEX(F:F,MATCH(VLOOKUP(D294,Input!$A$14:$L$22,10,0),L:L,0)),INDEX(F:F,MATCH(VLOOKUP(D294,Input!$A$14:$L$22,11,0),L:L,0)),INDEX(F:F,MATCH(VLOOKUP(D294,Input!$A$14:$L$22,12,0),L:L,0)))+(0.01-ROW()*0.01))</f>
        <v>-104.26370952085102</v>
      </c>
      <c r="Q294" s="107">
        <f t="shared" si="94"/>
        <v>-3.597024377978731E-2</v>
      </c>
      <c r="R294" s="11">
        <f>IF(VLOOKUP($D294,$X$14:$Y$19,2,0)&lt;=0,1,IF(Q294&lt;0,1,ROUNDUP(IF(Q294*('Draft Center'!$L$28+'Draft Center'!$L$78-'Draft Center'!$L$82)&lt;1,1,Q294*('Draft Center'!$L$28+'Draft Center'!$L$78-'Draft Center'!$L$82)),0)))</f>
        <v>1</v>
      </c>
      <c r="S294" s="11">
        <f>IF(A294&lt;Input!$B$10+0.1,IF(ROUNDUP(R294*Input!$C$10,0)=0,1,ROUNDUP(R294*Input!$C$10,0)),IF(A294&gt;Input!$B$11,IF(ROUNDUP(R294*Input!$C$11,0)=0,1,ROUNDUP(R294*Input!$C$11,0)),IF(ROUNDUP(R294,0)=0,1,ROUNDUP(R294,0))))</f>
        <v>1</v>
      </c>
      <c r="T294" s="11">
        <f t="shared" si="95"/>
        <v>1</v>
      </c>
      <c r="U294" s="11">
        <f>IFERROR(VLOOKUP($B294,Input!$AC$2:$AE$161,3,0),0)</f>
        <v>0</v>
      </c>
      <c r="V294" s="257">
        <f t="shared" si="96"/>
        <v>0</v>
      </c>
      <c r="W294" s="264">
        <f t="shared" si="97"/>
        <v>0</v>
      </c>
      <c r="X294" s="68"/>
      <c r="Y294" s="68"/>
      <c r="Z294" s="68"/>
      <c r="AA294" s="68"/>
      <c r="AB294" s="68"/>
      <c r="AC294" s="68"/>
      <c r="AD294" s="68"/>
      <c r="AE294" s="68"/>
      <c r="AF294" s="68"/>
      <c r="AG294" s="68"/>
      <c r="AH294" s="68"/>
      <c r="AI294" s="68"/>
      <c r="AJ294" s="68">
        <v>1</v>
      </c>
      <c r="AL294" s="68">
        <v>1</v>
      </c>
      <c r="AM294" s="68"/>
      <c r="AN294" s="68"/>
      <c r="AO294" s="68"/>
      <c r="AQ294" s="68"/>
      <c r="AR294" s="68"/>
      <c r="AS294" s="68"/>
      <c r="AT294" s="68"/>
      <c r="AU294" s="68"/>
      <c r="AV294" s="68"/>
      <c r="AW294" s="68"/>
      <c r="AX294" s="68"/>
      <c r="AY294" s="68"/>
      <c r="AZ294" s="68"/>
      <c r="BB294" s="68"/>
      <c r="BC294" s="68"/>
      <c r="BJ294" s="68"/>
      <c r="BT294">
        <v>1</v>
      </c>
      <c r="BV294">
        <v>1</v>
      </c>
      <c r="BX294" s="68"/>
      <c r="BY294" s="68">
        <v>1</v>
      </c>
      <c r="BZ294" s="68" t="s">
        <v>1057</v>
      </c>
      <c r="CA294" s="68" t="s">
        <v>1057</v>
      </c>
      <c r="CB294" s="68" t="s">
        <v>1057</v>
      </c>
      <c r="CC294" s="68" t="e">
        <f t="shared" si="98"/>
        <v>#DIV/0!</v>
      </c>
      <c r="CD294" s="68" t="str">
        <f t="shared" si="99"/>
        <v>NA</v>
      </c>
    </row>
    <row r="295" spans="1:82" ht="15.75" thickBot="1" x14ac:dyDescent="0.3">
      <c r="A295" s="6">
        <v>294</v>
      </c>
      <c r="B295" s="7" t="s">
        <v>424</v>
      </c>
      <c r="C295" s="7" t="s">
        <v>36</v>
      </c>
      <c r="D295" s="7" t="s">
        <v>19</v>
      </c>
      <c r="E295" s="50">
        <v>-101.48182555661</v>
      </c>
      <c r="F295" s="50">
        <v>67.620572469341795</v>
      </c>
      <c r="G295" s="50">
        <v>101.531004672481</v>
      </c>
      <c r="H295" s="50">
        <v>23.127078189300398</v>
      </c>
      <c r="I295" s="8">
        <v>0</v>
      </c>
      <c r="J295" s="50">
        <v>7.1326970849762903</v>
      </c>
      <c r="K295" s="248">
        <f>IFERROR(VLOOKUP(C295,Schedule!$T$3:$U$34,2,0),"FA")</f>
        <v>7</v>
      </c>
      <c r="L295" s="7" t="str">
        <f>D295&amp;COUNTIF(D$2:$D295,D295)</f>
        <v>RB72</v>
      </c>
      <c r="M295" s="50">
        <f t="array" ref="M295">IFERROR(F295-AVERAGE(VLOOKUP(D295,$D296:$F$885,3,0),INDEX($F296:$F$885,SMALL(IF(D295=$D296:$D$885,ROW($D296:$D$885)-ROW(D295)),2))),0)</f>
        <v>2.0178624701318029</v>
      </c>
      <c r="N295" s="50">
        <f>IFERROR(IF(VLOOKUP($B295,Input!$AC$2:$AC$162,1,0)=$B295,0),F295)</f>
        <v>67.620572469341795</v>
      </c>
      <c r="O295" s="50">
        <f>IFERROR(IF(VLOOKUP($B295,Input!$AC$2:$AC$162,1,0)=$B295,0,G295),G295)</f>
        <v>101.531004672481</v>
      </c>
      <c r="P295" s="50">
        <f>IF(N295=0,0,F295-AVERAGE(INDEX(F:F,MATCH(VLOOKUP(D295,Input!$A$14:$L$22,10,0),L:L,0)),INDEX(F:F,MATCH(VLOOKUP(D295,Input!$A$14:$L$22,11,0),L:L,0)),INDEX(F:F,MATCH(VLOOKUP(D295,Input!$A$14:$L$22,12,0),L:L,0)))+(0.01-ROW()*0.01))</f>
        <v>-104.4218255566102</v>
      </c>
      <c r="Q295" s="106">
        <f t="shared" si="94"/>
        <v>-3.602479269597194E-2</v>
      </c>
      <c r="R295" s="8">
        <f>IF(VLOOKUP($D295,$X$14:$Y$19,2,0)&lt;=0,1,IF(Q295&lt;0,1,ROUNDUP(IF(Q295*('Draft Center'!$L$28+'Draft Center'!$L$78-'Draft Center'!$L$82)&lt;1,1,Q295*('Draft Center'!$L$28+'Draft Center'!$L$78-'Draft Center'!$L$82)),0)))</f>
        <v>1</v>
      </c>
      <c r="S295" s="8">
        <f>IF(A295&lt;Input!$B$10+0.1,IF(ROUNDUP(R295*Input!$C$10,0)=0,1,ROUNDUP(R295*Input!$C$10,0)),IF(A295&gt;Input!$B$11,IF(ROUNDUP(R295*Input!$C$11,0)=0,1,ROUNDUP(R295*Input!$C$11,0)),IF(ROUNDUP(R295,0)=0,1,ROUNDUP(R295,0))))</f>
        <v>1</v>
      </c>
      <c r="T295" s="8">
        <f t="shared" si="95"/>
        <v>1</v>
      </c>
      <c r="U295" s="8">
        <f>IFERROR(VLOOKUP($B295,Input!$AC$2:$AE$161,3,0),0)</f>
        <v>0</v>
      </c>
      <c r="V295" s="256">
        <f t="shared" si="96"/>
        <v>0</v>
      </c>
      <c r="W295" s="263">
        <f t="shared" si="97"/>
        <v>1.00295</v>
      </c>
      <c r="X295" s="68"/>
      <c r="Y295" s="68"/>
      <c r="Z295" s="68"/>
      <c r="AA295" s="68"/>
      <c r="AB295" s="68"/>
      <c r="AC295" s="68"/>
      <c r="AD295" s="68"/>
      <c r="AE295" s="68"/>
      <c r="AF295" s="68"/>
      <c r="AG295" s="68"/>
      <c r="AH295" s="68"/>
      <c r="AI295" s="68"/>
      <c r="AJ295" s="68">
        <v>1</v>
      </c>
      <c r="AL295" s="68">
        <v>1</v>
      </c>
      <c r="AM295" s="68"/>
      <c r="AN295" s="68"/>
      <c r="AO295" s="68"/>
      <c r="AQ295" s="68"/>
      <c r="AR295" s="68"/>
      <c r="AS295" s="68"/>
      <c r="AT295" s="68"/>
      <c r="AU295" s="68"/>
      <c r="AV295" s="68"/>
      <c r="AW295" s="68"/>
      <c r="AX295" s="68"/>
      <c r="AY295" s="68"/>
      <c r="AZ295" s="68"/>
      <c r="BB295" s="68"/>
      <c r="BC295" s="68"/>
      <c r="BJ295" s="68"/>
      <c r="BT295">
        <v>1</v>
      </c>
      <c r="BV295">
        <v>1</v>
      </c>
      <c r="BX295" s="68"/>
      <c r="BY295" s="68">
        <v>1</v>
      </c>
      <c r="BZ295" s="68">
        <v>0</v>
      </c>
      <c r="CA295" s="68">
        <v>0</v>
      </c>
      <c r="CB295" s="68">
        <v>0</v>
      </c>
      <c r="CC295" s="68">
        <f t="shared" si="98"/>
        <v>0</v>
      </c>
      <c r="CD295" s="68">
        <f t="shared" si="99"/>
        <v>0</v>
      </c>
    </row>
    <row r="296" spans="1:82" ht="15.75" customHeight="1" thickBot="1" x14ac:dyDescent="0.3">
      <c r="A296" s="9">
        <v>295</v>
      </c>
      <c r="B296" s="10" t="s">
        <v>543</v>
      </c>
      <c r="C296" s="10" t="s">
        <v>31</v>
      </c>
      <c r="D296" s="10" t="s">
        <v>53</v>
      </c>
      <c r="E296" s="51">
        <v>-101.93303632278401</v>
      </c>
      <c r="F296" s="51">
        <v>170.41460731005199</v>
      </c>
      <c r="G296" s="51">
        <v>193.90033408024701</v>
      </c>
      <c r="H296" s="51">
        <v>132.29765289045699</v>
      </c>
      <c r="I296" s="11">
        <v>0</v>
      </c>
      <c r="J296" s="51">
        <v>5.0550374475271704</v>
      </c>
      <c r="K296" s="249">
        <f>IFERROR(VLOOKUP(C296,Schedule!$T$3:$U$34,2,0),"FA")</f>
        <v>9</v>
      </c>
      <c r="L296" s="10" t="str">
        <f>D296&amp;COUNTIF(D$2:$D296,D296)</f>
        <v>QB27</v>
      </c>
      <c r="M296" s="51">
        <f t="array" ref="M296">IFERROR(F296-AVERAGE(VLOOKUP(D296,$D297:$F$885,3,0),INDEX($F297:$F$885,SMALL(IF(D296=$D297:$D$885,ROW($D297:$D$885)-ROW(D296)),2))),0)</f>
        <v>27.70996012758448</v>
      </c>
      <c r="N296" s="51">
        <f>IFERROR(IF(VLOOKUP($B296,Input!$AC$2:$AC$162,1,0)=$B296,0),F296)</f>
        <v>170.41460731005199</v>
      </c>
      <c r="O296" s="51">
        <f>IFERROR(IF(VLOOKUP($B296,Input!$AC$2:$AC$162,1,0)=$B296,0,G296),G296)</f>
        <v>193.90033408024701</v>
      </c>
      <c r="P296" s="51">
        <f>IF(N296=0,0,F296-AVERAGE(INDEX(F:F,MATCH(VLOOKUP(D296,Input!$A$14:$L$22,10,0),L:L,0)),INDEX(F:F,MATCH(VLOOKUP(D296,Input!$A$14:$L$22,11,0),L:L,0)),INDEX(F:F,MATCH(VLOOKUP(D296,Input!$A$14:$L$22,12,0),L:L,0)))+(0.01-ROW()*0.01))</f>
        <v>-104.88303632278364</v>
      </c>
      <c r="Q296" s="107">
        <f t="shared" si="94"/>
        <v>-3.6183907154582327E-2</v>
      </c>
      <c r="R296" s="11">
        <f>IF(VLOOKUP($D296,$X$14:$Y$19,2,0)&lt;=0,1,IF(Q296&lt;0,1,ROUNDUP(IF(Q296*('Draft Center'!$L$28+'Draft Center'!$L$78-'Draft Center'!$L$82)&lt;1,1,Q296*('Draft Center'!$L$28+'Draft Center'!$L$78-'Draft Center'!$L$82)),0)))</f>
        <v>1</v>
      </c>
      <c r="S296" s="11">
        <f>IF(A296&lt;Input!$B$10+0.1,IF(ROUNDUP(R296*Input!$C$10,0)=0,1,ROUNDUP(R296*Input!$C$10,0)),IF(A296&gt;Input!$B$11,IF(ROUNDUP(R296*Input!$C$11,0)=0,1,ROUNDUP(R296*Input!$C$11,0)),IF(ROUNDUP(R296,0)=0,1,ROUNDUP(R296,0))))</f>
        <v>1</v>
      </c>
      <c r="T296" s="11">
        <f t="shared" si="95"/>
        <v>1</v>
      </c>
      <c r="U296" s="11">
        <f>IFERROR(VLOOKUP($B296,Input!$AC$2:$AE$161,3,0),0)</f>
        <v>0</v>
      </c>
      <c r="V296" s="257">
        <f t="shared" si="96"/>
        <v>0</v>
      </c>
      <c r="W296" s="264">
        <f t="shared" si="97"/>
        <v>1.0029600000000001</v>
      </c>
      <c r="X296" s="68"/>
      <c r="Y296" s="68"/>
      <c r="Z296" s="68"/>
      <c r="AA296" s="68"/>
      <c r="AB296" s="68"/>
      <c r="AC296" s="68"/>
      <c r="AD296" s="68"/>
      <c r="AE296" s="68"/>
      <c r="AF296" s="68"/>
      <c r="AG296" s="68"/>
      <c r="AH296" s="68"/>
      <c r="AI296" s="68"/>
      <c r="AJ296" s="68">
        <v>1</v>
      </c>
      <c r="AL296" s="68">
        <v>1</v>
      </c>
      <c r="AM296" s="68"/>
      <c r="AN296" s="68"/>
      <c r="AO296" s="68"/>
      <c r="AQ296" s="68"/>
      <c r="AR296" s="68"/>
      <c r="AS296" s="68"/>
      <c r="AT296" s="68"/>
      <c r="AU296" s="68"/>
      <c r="AV296" s="68"/>
      <c r="AW296" s="68"/>
      <c r="AX296" s="68"/>
      <c r="AY296" s="68"/>
      <c r="AZ296" s="68"/>
      <c r="BB296" s="68"/>
      <c r="BC296" s="68"/>
      <c r="BJ296" s="68"/>
      <c r="BT296">
        <v>1</v>
      </c>
      <c r="BV296">
        <v>1</v>
      </c>
      <c r="BX296" s="68"/>
      <c r="BY296" s="68">
        <v>1</v>
      </c>
      <c r="BZ296" s="68">
        <v>0</v>
      </c>
      <c r="CA296" s="68">
        <v>0</v>
      </c>
      <c r="CB296" s="68">
        <v>0</v>
      </c>
      <c r="CC296" s="68">
        <f t="shared" si="98"/>
        <v>0</v>
      </c>
      <c r="CD296" s="68">
        <f t="shared" si="99"/>
        <v>0</v>
      </c>
    </row>
    <row r="297" spans="1:82" ht="15.75" customHeight="1" thickBot="1" x14ac:dyDescent="0.3">
      <c r="A297" s="6">
        <v>296</v>
      </c>
      <c r="B297" s="7" t="s">
        <v>938</v>
      </c>
      <c r="C297" s="7" t="s">
        <v>45</v>
      </c>
      <c r="D297" s="7" t="s">
        <v>17</v>
      </c>
      <c r="E297" s="50">
        <v>-101.950540142194</v>
      </c>
      <c r="F297" s="50">
        <v>110.82737612715501</v>
      </c>
      <c r="G297" s="50">
        <v>152.92070105781099</v>
      </c>
      <c r="H297" s="50">
        <v>8.9012345679012306</v>
      </c>
      <c r="I297" s="8">
        <v>1.2</v>
      </c>
      <c r="J297" s="50">
        <v>8.3978626788357609</v>
      </c>
      <c r="K297" s="248">
        <f>IFERROR(VLOOKUP(C297,Schedule!$T$3:$U$34,2,0),"FA")</f>
        <v>6</v>
      </c>
      <c r="L297" s="7" t="str">
        <f>D297&amp;COUNTIF(D$2:$D297,D297)</f>
        <v>WR80</v>
      </c>
      <c r="M297" s="50">
        <f t="array" ref="M297">IFERROR(F297-AVERAGE(VLOOKUP(D297,$D298:$F$885,3,0),INDEX($F298:$F$885,SMALL(IF(D297=$D298:$D$885,ROW($D298:$D$885)-ROW(D297)),2))),0)</f>
        <v>5.7350900962814961</v>
      </c>
      <c r="N297" s="50">
        <f>IFERROR(IF(VLOOKUP($B297,Input!$AC$2:$AC$162,1,0)=$B297,0),F297)</f>
        <v>110.82737612715501</v>
      </c>
      <c r="O297" s="50">
        <f>IFERROR(IF(VLOOKUP($B297,Input!$AC$2:$AC$162,1,0)=$B297,0,G297),G297)</f>
        <v>152.92070105781099</v>
      </c>
      <c r="P297" s="50">
        <f>IF(N297=0,0,F297-AVERAGE(INDEX(F:F,MATCH(VLOOKUP(D297,Input!$A$14:$L$22,10,0),L:L,0)),INDEX(F:F,MATCH(VLOOKUP(D297,Input!$A$14:$L$22,11,0),L:L,0)),INDEX(F:F,MATCH(VLOOKUP(D297,Input!$A$14:$L$22,12,0),L:L,0)))+(0.01-ROW()*0.01))</f>
        <v>-104.91054014219401</v>
      </c>
      <c r="Q297" s="106">
        <f t="shared" si="94"/>
        <v>-3.6193395778127496E-2</v>
      </c>
      <c r="R297" s="8">
        <f>IF(VLOOKUP($D297,$X$14:$Y$19,2,0)&lt;=0,1,IF(Q297&lt;0,1,ROUNDUP(IF(Q297*('Draft Center'!$L$28+'Draft Center'!$L$78-'Draft Center'!$L$82)&lt;1,1,Q297*('Draft Center'!$L$28+'Draft Center'!$L$78-'Draft Center'!$L$82)),0)))</f>
        <v>1</v>
      </c>
      <c r="S297" s="8">
        <f>IF(A297&lt;Input!$B$10+0.1,IF(ROUNDUP(R297*Input!$C$10,0)=0,1,ROUNDUP(R297*Input!$C$10,0)),IF(A297&gt;Input!$B$11,IF(ROUNDUP(R297*Input!$C$11,0)=0,1,ROUNDUP(R297*Input!$C$11,0)),IF(ROUNDUP(R297,0)=0,1,ROUNDUP(R297,0))))</f>
        <v>1</v>
      </c>
      <c r="T297" s="8">
        <f t="shared" si="95"/>
        <v>1</v>
      </c>
      <c r="U297" s="8">
        <f>IFERROR(VLOOKUP($B297,Input!$AC$2:$AE$161,3,0),0)</f>
        <v>0</v>
      </c>
      <c r="V297" s="256">
        <f t="shared" si="96"/>
        <v>-0.16369666666666663</v>
      </c>
      <c r="W297" s="263">
        <f t="shared" si="97"/>
        <v>-0.19702999999999996</v>
      </c>
      <c r="X297" s="68"/>
      <c r="Y297" s="68"/>
      <c r="Z297" s="68"/>
      <c r="AA297" s="68"/>
      <c r="AB297" s="68"/>
      <c r="AC297" s="68"/>
      <c r="AD297" s="68"/>
      <c r="AE297" s="68"/>
      <c r="AF297" s="68"/>
      <c r="AG297" s="68"/>
      <c r="AH297" s="68"/>
      <c r="AI297" s="68"/>
      <c r="AJ297" s="68">
        <v>1</v>
      </c>
      <c r="AL297" s="68">
        <v>1</v>
      </c>
      <c r="AM297" s="68"/>
      <c r="AN297" s="68"/>
      <c r="AO297" s="68"/>
      <c r="AQ297" s="68"/>
      <c r="AR297" s="68"/>
      <c r="AS297" s="68"/>
      <c r="AT297" s="68"/>
      <c r="AU297" s="68"/>
      <c r="AV297" s="68"/>
      <c r="AW297" s="68"/>
      <c r="AX297" s="68"/>
      <c r="AY297" s="68"/>
      <c r="AZ297" s="68"/>
      <c r="BB297" s="68"/>
      <c r="BC297" s="68"/>
      <c r="BJ297" s="68"/>
      <c r="BT297">
        <v>1</v>
      </c>
      <c r="BV297">
        <v>1</v>
      </c>
      <c r="BX297" s="68"/>
      <c r="BY297" s="68">
        <v>1</v>
      </c>
      <c r="BZ297" s="68">
        <v>1.2</v>
      </c>
      <c r="CA297" s="68">
        <v>1.2</v>
      </c>
      <c r="CB297" s="68">
        <v>1.2</v>
      </c>
      <c r="CC297" s="68">
        <f t="shared" si="98"/>
        <v>1.2</v>
      </c>
      <c r="CD297" s="68">
        <f t="shared" si="99"/>
        <v>1.2</v>
      </c>
    </row>
    <row r="298" spans="1:82" ht="15.75" customHeight="1" thickBot="1" x14ac:dyDescent="0.3">
      <c r="A298" s="9">
        <v>297</v>
      </c>
      <c r="B298" s="10" t="s">
        <v>831</v>
      </c>
      <c r="C298" s="10" t="s">
        <v>16</v>
      </c>
      <c r="D298" s="10" t="s">
        <v>43</v>
      </c>
      <c r="E298" s="51">
        <v>-102.390275088953</v>
      </c>
      <c r="F298" s="51">
        <v>51.070644263256703</v>
      </c>
      <c r="G298" s="51">
        <v>77.044170021112294</v>
      </c>
      <c r="H298" s="51">
        <v>27.802208504801101</v>
      </c>
      <c r="I298" s="11">
        <v>0</v>
      </c>
      <c r="J298" s="51">
        <v>5.3205682704626396</v>
      </c>
      <c r="K298" s="249">
        <f>IFERROR(VLOOKUP(C298,Schedule!$T$3:$U$34,2,0),"FA")</f>
        <v>9</v>
      </c>
      <c r="L298" s="10" t="str">
        <f>D298&amp;COUNTIF(D$2:$D298,D298)</f>
        <v>TE51</v>
      </c>
      <c r="M298" s="51">
        <f t="array" ref="M298">IFERROR(F298-AVERAGE(VLOOKUP(D298,$D299:$F$885,3,0),INDEX($F299:$F$885,SMALL(IF(D298=$D299:$D$885,ROW($D299:$D$885)-ROW(D298)),2))),0)</f>
        <v>5.0986781000059551</v>
      </c>
      <c r="N298" s="51">
        <f>IFERROR(IF(VLOOKUP($B298,Input!$AC$2:$AC$162,1,0)=$B298,0),F298)</f>
        <v>51.070644263256703</v>
      </c>
      <c r="O298" s="51">
        <f>IFERROR(IF(VLOOKUP($B298,Input!$AC$2:$AC$162,1,0)=$B298,0,G298),G298)</f>
        <v>77.044170021112294</v>
      </c>
      <c r="P298" s="51">
        <f>IF(N298=0,0,F298-AVERAGE(INDEX(F:F,MATCH(VLOOKUP(D298,Input!$A$14:$L$22,10,0),L:L,0)),INDEX(F:F,MATCH(VLOOKUP(D298,Input!$A$14:$L$22,11,0),L:L,0)),INDEX(F:F,MATCH(VLOOKUP(D298,Input!$A$14:$L$22,12,0),L:L,0)))+(0.01-ROW()*0.01))</f>
        <v>-105.36027508895262</v>
      </c>
      <c r="Q298" s="107">
        <f t="shared" si="94"/>
        <v>-3.6348551160048391E-2</v>
      </c>
      <c r="R298" s="11">
        <f>IF(VLOOKUP($D298,$X$14:$Y$19,2,0)&lt;=0,1,IF(Q298&lt;0,1,ROUNDUP(IF(Q298*('Draft Center'!$L$28+'Draft Center'!$L$78-'Draft Center'!$L$82)&lt;1,1,Q298*('Draft Center'!$L$28+'Draft Center'!$L$78-'Draft Center'!$L$82)),0)))</f>
        <v>1</v>
      </c>
      <c r="S298" s="11">
        <f>IF(A298&lt;Input!$B$10+0.1,IF(ROUNDUP(R298*Input!$C$10,0)=0,1,ROUNDUP(R298*Input!$C$10,0)),IF(A298&gt;Input!$B$11,IF(ROUNDUP(R298*Input!$C$11,0)=0,1,ROUNDUP(R298*Input!$C$11,0)),IF(ROUNDUP(R298,0)=0,1,ROUNDUP(R298,0))))</f>
        <v>1</v>
      </c>
      <c r="T298" s="11">
        <f t="shared" si="95"/>
        <v>1</v>
      </c>
      <c r="U298" s="11">
        <f>IFERROR(VLOOKUP($B298,Input!$AC$2:$AE$161,3,0),0)</f>
        <v>0</v>
      </c>
      <c r="V298" s="257">
        <f t="shared" si="96"/>
        <v>0</v>
      </c>
      <c r="W298" s="264">
        <f t="shared" si="97"/>
        <v>1.00298</v>
      </c>
      <c r="X298" s="68"/>
      <c r="Y298" s="68"/>
      <c r="Z298" s="68"/>
      <c r="AA298" s="68"/>
      <c r="AB298" s="68"/>
      <c r="AC298" s="68"/>
      <c r="AD298" s="68"/>
      <c r="AE298" s="68"/>
      <c r="AF298" s="68"/>
      <c r="AG298" s="68"/>
      <c r="AH298" s="68"/>
      <c r="AI298" s="68"/>
      <c r="AJ298" s="68">
        <v>1</v>
      </c>
      <c r="AL298" s="68">
        <v>1</v>
      </c>
      <c r="AM298" s="68"/>
      <c r="AN298" s="68"/>
      <c r="AO298" s="68"/>
      <c r="AQ298" s="68"/>
      <c r="AR298" s="68"/>
      <c r="AS298" s="68"/>
      <c r="AT298" s="68"/>
      <c r="AU298" s="68"/>
      <c r="AV298" s="68"/>
      <c r="AW298" s="68"/>
      <c r="AX298" s="68"/>
      <c r="AY298" s="68"/>
      <c r="AZ298" s="68"/>
      <c r="BB298" s="68"/>
      <c r="BC298" s="68"/>
      <c r="BJ298" s="68"/>
      <c r="BT298">
        <v>1</v>
      </c>
      <c r="BV298">
        <v>1</v>
      </c>
      <c r="BX298" s="68"/>
      <c r="BY298" s="68">
        <v>1</v>
      </c>
      <c r="BZ298" s="68">
        <v>0</v>
      </c>
      <c r="CA298" s="68">
        <v>0</v>
      </c>
      <c r="CB298" s="68">
        <v>0</v>
      </c>
      <c r="CC298" s="68">
        <f t="shared" si="98"/>
        <v>0</v>
      </c>
      <c r="CD298" s="68">
        <f t="shared" si="99"/>
        <v>0</v>
      </c>
    </row>
    <row r="299" spans="1:82" ht="15.75" customHeight="1" thickBot="1" x14ac:dyDescent="0.3">
      <c r="A299" s="6">
        <v>298</v>
      </c>
      <c r="B299" s="7" t="s">
        <v>955</v>
      </c>
      <c r="C299" s="7" t="s">
        <v>66</v>
      </c>
      <c r="D299" s="7" t="s">
        <v>19</v>
      </c>
      <c r="E299" s="50">
        <v>-102.501138608953</v>
      </c>
      <c r="F299" s="50">
        <v>66.601259416998701</v>
      </c>
      <c r="G299" s="50">
        <v>85.298076402821906</v>
      </c>
      <c r="H299" s="50">
        <v>19.171234567901202</v>
      </c>
      <c r="I299" s="8">
        <v>0</v>
      </c>
      <c r="J299" s="50">
        <v>5.7232977809815999</v>
      </c>
      <c r="K299" s="248">
        <f>IFERROR(VLOOKUP(C299,Schedule!$T$3:$U$34,2,0),"FA")</f>
        <v>7</v>
      </c>
      <c r="L299" s="7" t="str">
        <f>D299&amp;COUNTIF(D$2:$D299,D299)</f>
        <v>RB73</v>
      </c>
      <c r="M299" s="50">
        <f t="array" ref="M299">IFERROR(F299-AVERAGE(VLOOKUP(D299,$D300:$F$885,3,0),INDEX($F300:$F$885,SMALL(IF(D299=$D300:$D$885,ROW($D300:$D$885)-ROW(D299)),2))),0)</f>
        <v>2.4401518516241509</v>
      </c>
      <c r="N299" s="50">
        <f>IFERROR(IF(VLOOKUP($B299,Input!$AC$2:$AC$162,1,0)=$B299,0),F299)</f>
        <v>66.601259416998701</v>
      </c>
      <c r="O299" s="50">
        <f>IFERROR(IF(VLOOKUP($B299,Input!$AC$2:$AC$162,1,0)=$B299,0,G299),G299)</f>
        <v>85.298076402821906</v>
      </c>
      <c r="P299" s="50">
        <f>IF(N299=0,0,F299-AVERAGE(INDEX(F:F,MATCH(VLOOKUP(D299,Input!$A$14:$L$22,10,0),L:L,0)),INDEX(F:F,MATCH(VLOOKUP(D299,Input!$A$14:$L$22,11,0),L:L,0)),INDEX(F:F,MATCH(VLOOKUP(D299,Input!$A$14:$L$22,12,0),L:L,0)))+(0.01-ROW()*0.01))</f>
        <v>-105.4811386089533</v>
      </c>
      <c r="Q299" s="106">
        <f t="shared" si="94"/>
        <v>-3.6390248221264486E-2</v>
      </c>
      <c r="R299" s="8">
        <f>IF(VLOOKUP($D299,$X$14:$Y$19,2,0)&lt;=0,1,IF(Q299&lt;0,1,ROUNDUP(IF(Q299*('Draft Center'!$L$28+'Draft Center'!$L$78-'Draft Center'!$L$82)&lt;1,1,Q299*('Draft Center'!$L$28+'Draft Center'!$L$78-'Draft Center'!$L$82)),0)))</f>
        <v>1</v>
      </c>
      <c r="S299" s="8">
        <f>IF(A299&lt;Input!$B$10+0.1,IF(ROUNDUP(R299*Input!$C$10,0)=0,1,ROUNDUP(R299*Input!$C$10,0)),IF(A299&gt;Input!$B$11,IF(ROUNDUP(R299*Input!$C$11,0)=0,1,ROUNDUP(R299*Input!$C$11,0)),IF(ROUNDUP(R299,0)=0,1,ROUNDUP(R299,0))))</f>
        <v>1</v>
      </c>
      <c r="T299" s="8">
        <f t="shared" si="95"/>
        <v>1</v>
      </c>
      <c r="U299" s="8">
        <f>IFERROR(VLOOKUP($B299,Input!$AC$2:$AE$161,3,0),0)</f>
        <v>0</v>
      </c>
      <c r="V299" s="256">
        <f t="shared" si="96"/>
        <v>0</v>
      </c>
      <c r="W299" s="263">
        <f t="shared" si="97"/>
        <v>1.00299</v>
      </c>
      <c r="X299" s="68"/>
      <c r="Y299" s="68"/>
      <c r="Z299" s="68"/>
      <c r="AA299" s="68"/>
      <c r="AB299" s="68"/>
      <c r="AC299" s="68"/>
      <c r="AD299" s="68"/>
      <c r="AE299" s="68"/>
      <c r="AF299" s="68"/>
      <c r="AG299" s="68"/>
      <c r="AH299" s="68"/>
      <c r="AI299" s="68"/>
      <c r="AJ299" s="68">
        <v>1</v>
      </c>
      <c r="AL299" s="68">
        <v>1</v>
      </c>
      <c r="AM299" s="68"/>
      <c r="AN299" s="68"/>
      <c r="AO299" s="68"/>
      <c r="AQ299" s="68"/>
      <c r="AR299" s="68"/>
      <c r="AS299" s="68"/>
      <c r="AT299" s="68"/>
      <c r="AU299" s="68"/>
      <c r="AV299" s="68"/>
      <c r="AW299" s="68"/>
      <c r="AX299" s="68"/>
      <c r="AY299" s="68"/>
      <c r="AZ299" s="68"/>
      <c r="BB299" s="68"/>
      <c r="BC299" s="68"/>
      <c r="BJ299" s="68"/>
      <c r="BT299">
        <v>1</v>
      </c>
      <c r="BV299">
        <v>1</v>
      </c>
      <c r="BX299" s="68"/>
      <c r="BY299" s="68">
        <v>1</v>
      </c>
      <c r="BZ299" s="68">
        <v>0</v>
      </c>
      <c r="CA299" s="68">
        <v>0</v>
      </c>
      <c r="CB299" s="68">
        <v>0</v>
      </c>
      <c r="CC299" s="68">
        <f t="shared" si="98"/>
        <v>0</v>
      </c>
      <c r="CD299" s="68">
        <f t="shared" si="99"/>
        <v>0</v>
      </c>
    </row>
    <row r="300" spans="1:82" ht="15.75" customHeight="1" thickBot="1" x14ac:dyDescent="0.3">
      <c r="A300" s="9">
        <v>299</v>
      </c>
      <c r="B300" s="10" t="s">
        <v>372</v>
      </c>
      <c r="C300" s="10" t="s">
        <v>42</v>
      </c>
      <c r="D300" s="10" t="s">
        <v>17</v>
      </c>
      <c r="E300" s="51">
        <v>-103.47175808391</v>
      </c>
      <c r="F300" s="51">
        <v>109.306158185439</v>
      </c>
      <c r="G300" s="51">
        <v>138.297233390038</v>
      </c>
      <c r="H300" s="51">
        <v>71.263725298843795</v>
      </c>
      <c r="I300" s="11">
        <v>0</v>
      </c>
      <c r="J300" s="51">
        <v>5.45993029662589</v>
      </c>
      <c r="K300" s="249">
        <f>IFERROR(VLOOKUP(C300,Schedule!$T$3:$U$34,2,0),"FA")</f>
        <v>9</v>
      </c>
      <c r="L300" s="10" t="str">
        <f>D300&amp;COUNTIF(D$2:$D300,D300)</f>
        <v>WR81</v>
      </c>
      <c r="M300" s="51">
        <f t="array" ref="M300">IFERROR(F300-AVERAGE(VLOOKUP(D300,$D301:$F$885,3,0),INDEX($F301:$F$885,SMALL(IF(D300=$D301:$D$885,ROW($D301:$D$885)-ROW(D300)),2))),0)</f>
        <v>8.6216904744114942</v>
      </c>
      <c r="N300" s="51">
        <f>IFERROR(IF(VLOOKUP($B300,Input!$AC$2:$AC$162,1,0)=$B300,0),F300)</f>
        <v>109.306158185439</v>
      </c>
      <c r="O300" s="51">
        <f>IFERROR(IF(VLOOKUP($B300,Input!$AC$2:$AC$162,1,0)=$B300,0,G300),G300)</f>
        <v>138.297233390038</v>
      </c>
      <c r="P300" s="51">
        <f>IF(N300=0,0,F300-AVERAGE(INDEX(F:F,MATCH(VLOOKUP(D300,Input!$A$14:$L$22,10,0),L:L,0)),INDEX(F:F,MATCH(VLOOKUP(D300,Input!$A$14:$L$22,11,0),L:L,0)),INDEX(F:F,MATCH(VLOOKUP(D300,Input!$A$14:$L$22,12,0),L:L,0)))+(0.01-ROW()*0.01))</f>
        <v>-106.46175808391001</v>
      </c>
      <c r="Q300" s="107">
        <f t="shared" si="94"/>
        <v>-3.6728555017862256E-2</v>
      </c>
      <c r="R300" s="11">
        <f>IF(VLOOKUP($D300,$X$14:$Y$19,2,0)&lt;=0,1,IF(Q300&lt;0,1,ROUNDUP(IF(Q300*('Draft Center'!$L$28+'Draft Center'!$L$78-'Draft Center'!$L$82)&lt;1,1,Q300*('Draft Center'!$L$28+'Draft Center'!$L$78-'Draft Center'!$L$82)),0)))</f>
        <v>1</v>
      </c>
      <c r="S300" s="11">
        <f>IF(A300&lt;Input!$B$10+0.1,IF(ROUNDUP(R300*Input!$C$10,0)=0,1,ROUNDUP(R300*Input!$C$10,0)),IF(A300&gt;Input!$B$11,IF(ROUNDUP(R300*Input!$C$11,0)=0,1,ROUNDUP(R300*Input!$C$11,0)),IF(ROUNDUP(R300,0)=0,1,ROUNDUP(R300,0))))</f>
        <v>1</v>
      </c>
      <c r="T300" s="11">
        <f t="shared" si="95"/>
        <v>1</v>
      </c>
      <c r="U300" s="11">
        <f>IFERROR(VLOOKUP($B300,Input!$AC$2:$AE$161,3,0),0)</f>
        <v>0</v>
      </c>
      <c r="V300" s="257">
        <f t="shared" si="96"/>
        <v>0</v>
      </c>
      <c r="W300" s="264">
        <f t="shared" si="97"/>
        <v>1.0029999999999999</v>
      </c>
      <c r="X300" s="68"/>
      <c r="Y300" s="68"/>
      <c r="Z300" s="68"/>
      <c r="AA300" s="68"/>
      <c r="AB300" s="68"/>
      <c r="AC300" s="68"/>
      <c r="AD300" s="68"/>
      <c r="AE300" s="68"/>
      <c r="AF300" s="68"/>
      <c r="AG300" s="68"/>
      <c r="AH300" s="68"/>
      <c r="AI300" s="68"/>
      <c r="AJ300" s="68">
        <v>1</v>
      </c>
      <c r="AL300" s="68">
        <v>1</v>
      </c>
      <c r="AM300" s="68"/>
      <c r="AN300" s="68"/>
      <c r="AO300" s="68"/>
      <c r="AQ300" s="68"/>
      <c r="AR300" s="68"/>
      <c r="AS300" s="68"/>
      <c r="AT300" s="68"/>
      <c r="AU300" s="68"/>
      <c r="AV300" s="68"/>
      <c r="AW300" s="68"/>
      <c r="AX300" s="68"/>
      <c r="AY300" s="68"/>
      <c r="AZ300" s="68"/>
      <c r="BB300" s="68"/>
      <c r="BC300" s="68"/>
      <c r="BJ300" s="68"/>
      <c r="BT300">
        <v>1</v>
      </c>
      <c r="BV300">
        <v>1</v>
      </c>
      <c r="BX300" s="68"/>
      <c r="BY300" s="68">
        <v>1</v>
      </c>
      <c r="BZ300" s="68">
        <v>0</v>
      </c>
      <c r="CA300" s="68">
        <v>0</v>
      </c>
      <c r="CB300" s="68">
        <v>0</v>
      </c>
      <c r="CC300" s="68">
        <f t="shared" si="98"/>
        <v>0</v>
      </c>
      <c r="CD300" s="68">
        <f t="shared" si="99"/>
        <v>0</v>
      </c>
    </row>
    <row r="301" spans="1:82" ht="15.75" customHeight="1" thickBot="1" x14ac:dyDescent="0.3">
      <c r="A301" s="6">
        <v>300</v>
      </c>
      <c r="B301" s="7" t="s">
        <v>258</v>
      </c>
      <c r="C301" s="7" t="s">
        <v>925</v>
      </c>
      <c r="D301" s="7" t="s">
        <v>19</v>
      </c>
      <c r="E301" s="50">
        <v>-104.498237444531</v>
      </c>
      <c r="F301" s="50">
        <v>64.604160581421297</v>
      </c>
      <c r="G301" s="50">
        <v>96.498823382030196</v>
      </c>
      <c r="H301" s="50">
        <v>40.5922085048011</v>
      </c>
      <c r="I301" s="8">
        <v>0</v>
      </c>
      <c r="J301" s="50">
        <v>5.4906046944159197</v>
      </c>
      <c r="K301" s="248">
        <f>IFERROR(VLOOKUP(C301,Schedule!$T$3:$U$34,2,0),"FA")</f>
        <v>8</v>
      </c>
      <c r="L301" s="7" t="str">
        <f>D301&amp;COUNTIF(D$2:$D301,D301)</f>
        <v>RB74</v>
      </c>
      <c r="M301" s="50">
        <f t="array" ref="M301">IFERROR(F301-AVERAGE(VLOOKUP(D301,$D302:$F$885,3,0),INDEX($F302:$F$885,SMALL(IF(D301=$D302:$D$885,ROW($D302:$D$885)-ROW(D301)),2))),0)</f>
        <v>1.3522783163977437</v>
      </c>
      <c r="N301" s="50">
        <f>IFERROR(IF(VLOOKUP($B301,Input!$AC$2:$AC$162,1,0)=$B301,0),F301)</f>
        <v>64.604160581421297</v>
      </c>
      <c r="O301" s="50">
        <f>IFERROR(IF(VLOOKUP($B301,Input!$AC$2:$AC$162,1,0)=$B301,0,G301),G301)</f>
        <v>96.498823382030196</v>
      </c>
      <c r="P301" s="50">
        <f>IF(N301=0,0,F301-AVERAGE(INDEX(F:F,MATCH(VLOOKUP(D301,Input!$A$14:$L$22,10,0),L:L,0)),INDEX(F:F,MATCH(VLOOKUP(D301,Input!$A$14:$L$22,11,0),L:L,0)),INDEX(F:F,MATCH(VLOOKUP(D301,Input!$A$14:$L$22,12,0),L:L,0)))+(0.01-ROW()*0.01))</f>
        <v>-107.4982374445307</v>
      </c>
      <c r="Q301" s="106">
        <f t="shared" si="94"/>
        <v>-3.7086133080695215E-2</v>
      </c>
      <c r="R301" s="8">
        <f>IF(VLOOKUP($D301,$X$14:$Y$19,2,0)&lt;=0,1,IF(Q301&lt;0,1,ROUNDUP(IF(Q301*('Draft Center'!$L$28+'Draft Center'!$L$78-'Draft Center'!$L$82)&lt;1,1,Q301*('Draft Center'!$L$28+'Draft Center'!$L$78-'Draft Center'!$L$82)),0)))</f>
        <v>1</v>
      </c>
      <c r="S301" s="8">
        <f>IF(A301&lt;Input!$B$10+0.1,IF(ROUNDUP(R301*Input!$C$10,0)=0,1,ROUNDUP(R301*Input!$C$10,0)),IF(A301&gt;Input!$B$11,IF(ROUNDUP(R301*Input!$C$11,0)=0,1,ROUNDUP(R301*Input!$C$11,0)),IF(ROUNDUP(R301,0)=0,1,ROUNDUP(R301,0))))</f>
        <v>1</v>
      </c>
      <c r="T301" s="8">
        <f t="shared" si="95"/>
        <v>1</v>
      </c>
      <c r="U301" s="8">
        <f>IFERROR(VLOOKUP($B301,Input!$AC$2:$AE$161,3,0),0)</f>
        <v>0</v>
      </c>
      <c r="V301" s="256">
        <f t="shared" si="96"/>
        <v>0</v>
      </c>
      <c r="W301" s="263">
        <f t="shared" si="97"/>
        <v>1.00301</v>
      </c>
      <c r="X301" s="68"/>
      <c r="Y301" s="68"/>
      <c r="Z301" s="68"/>
      <c r="AA301" s="68"/>
      <c r="AB301" s="68"/>
      <c r="AC301" s="68"/>
      <c r="AD301" s="68"/>
      <c r="AE301" s="68"/>
      <c r="AF301" s="68"/>
      <c r="AG301" s="68"/>
      <c r="AH301" s="68"/>
      <c r="AI301" s="68"/>
      <c r="AJ301" s="68">
        <v>1</v>
      </c>
      <c r="AL301" s="68">
        <v>1</v>
      </c>
      <c r="AM301" s="68"/>
      <c r="AN301" s="68"/>
      <c r="AO301" s="68"/>
      <c r="AQ301" s="68"/>
      <c r="AR301" s="68"/>
      <c r="AS301" s="68"/>
      <c r="AT301" s="68"/>
      <c r="AU301" s="68"/>
      <c r="AV301" s="68"/>
      <c r="AW301" s="68"/>
      <c r="AX301" s="68"/>
      <c r="AY301" s="68"/>
      <c r="AZ301" s="68"/>
      <c r="BB301" s="68"/>
      <c r="BC301" s="68"/>
      <c r="BJ301" s="68"/>
      <c r="BT301">
        <v>1</v>
      </c>
      <c r="BV301">
        <v>1</v>
      </c>
      <c r="BX301" s="68"/>
      <c r="BY301" s="68">
        <v>1</v>
      </c>
      <c r="BZ301" s="68">
        <v>0</v>
      </c>
      <c r="CA301" s="68">
        <v>0</v>
      </c>
      <c r="CB301" s="68">
        <v>0</v>
      </c>
      <c r="CC301" s="68">
        <f t="shared" si="98"/>
        <v>0</v>
      </c>
      <c r="CD301" s="68">
        <f t="shared" si="99"/>
        <v>0</v>
      </c>
    </row>
    <row r="302" spans="1:82" ht="15.75" customHeight="1" thickBot="1" x14ac:dyDescent="0.3">
      <c r="A302" s="9">
        <v>301</v>
      </c>
      <c r="B302" s="10" t="s">
        <v>950</v>
      </c>
      <c r="C302" s="10" t="s">
        <v>52</v>
      </c>
      <c r="D302" s="10" t="s">
        <v>19</v>
      </c>
      <c r="E302" s="51">
        <v>-105.384343476624</v>
      </c>
      <c r="F302" s="51">
        <v>63.718054549327803</v>
      </c>
      <c r="G302" s="51">
        <v>88.1010160033006</v>
      </c>
      <c r="H302" s="51">
        <v>11.96</v>
      </c>
      <c r="I302" s="11">
        <v>0</v>
      </c>
      <c r="J302" s="51">
        <v>7.2215535873971897</v>
      </c>
      <c r="K302" s="249">
        <f>IFERROR(VLOOKUP(C302,Schedule!$T$3:$U$34,2,0),"FA")</f>
        <v>11</v>
      </c>
      <c r="L302" s="10" t="str">
        <f>D302&amp;COUNTIF(D$2:$D302,D302)</f>
        <v>RB75</v>
      </c>
      <c r="M302" s="51">
        <f t="array" ref="M302">IFERROR(F302-AVERAGE(VLOOKUP(D302,$D303:$F$885,3,0),INDEX($F303:$F$885,SMALL(IF(D302=$D303:$D$885,ROW($D303:$D$885)-ROW(D302)),2))),0)</f>
        <v>2.3688557243110537</v>
      </c>
      <c r="N302" s="51">
        <f>IFERROR(IF(VLOOKUP($B302,Input!$AC$2:$AC$162,1,0)=$B302,0),F302)</f>
        <v>63.718054549327803</v>
      </c>
      <c r="O302" s="51">
        <f>IFERROR(IF(VLOOKUP($B302,Input!$AC$2:$AC$162,1,0)=$B302,0,G302),G302)</f>
        <v>88.1010160033006</v>
      </c>
      <c r="P302" s="51">
        <f>IF(N302=0,0,F302-AVERAGE(INDEX(F:F,MATCH(VLOOKUP(D302,Input!$A$14:$L$22,10,0),L:L,0)),INDEX(F:F,MATCH(VLOOKUP(D302,Input!$A$14:$L$22,11,0),L:L,0)),INDEX(F:F,MATCH(VLOOKUP(D302,Input!$A$14:$L$22,12,0),L:L,0)))+(0.01-ROW()*0.01))</f>
        <v>-108.3943434766242</v>
      </c>
      <c r="Q302" s="107">
        <f t="shared" si="94"/>
        <v>-3.7395283336091559E-2</v>
      </c>
      <c r="R302" s="11">
        <f>IF(VLOOKUP($D302,$X$14:$Y$19,2,0)&lt;=0,1,IF(Q302&lt;0,1,ROUNDUP(IF(Q302*('Draft Center'!$L$28+'Draft Center'!$L$78-'Draft Center'!$L$82)&lt;1,1,Q302*('Draft Center'!$L$28+'Draft Center'!$L$78-'Draft Center'!$L$82)),0)))</f>
        <v>1</v>
      </c>
      <c r="S302" s="11">
        <f>IF(A302&lt;Input!$B$10+0.1,IF(ROUNDUP(R302*Input!$C$10,0)=0,1,ROUNDUP(R302*Input!$C$10,0)),IF(A302&gt;Input!$B$11,IF(ROUNDUP(R302*Input!$C$11,0)=0,1,ROUNDUP(R302*Input!$C$11,0)),IF(ROUNDUP(R302,0)=0,1,ROUNDUP(R302,0))))</f>
        <v>1</v>
      </c>
      <c r="T302" s="11">
        <f t="shared" si="95"/>
        <v>1</v>
      </c>
      <c r="U302" s="11">
        <f>IFERROR(VLOOKUP($B302,Input!$AC$2:$AE$161,3,0),0)</f>
        <v>0</v>
      </c>
      <c r="V302" s="257">
        <f t="shared" si="96"/>
        <v>0</v>
      </c>
      <c r="W302" s="264">
        <f t="shared" si="97"/>
        <v>1.00302</v>
      </c>
      <c r="X302" s="68"/>
      <c r="Y302" s="68"/>
      <c r="Z302" s="68"/>
      <c r="AA302" s="68"/>
      <c r="AB302" s="68"/>
      <c r="AC302" s="68"/>
      <c r="AD302" s="68"/>
      <c r="AE302" s="68"/>
      <c r="AF302" s="68"/>
      <c r="AG302" s="68"/>
      <c r="AH302" s="68"/>
      <c r="AI302" s="68"/>
      <c r="AJ302" s="68">
        <v>1</v>
      </c>
      <c r="AL302" s="68">
        <v>1</v>
      </c>
      <c r="AM302" s="68"/>
      <c r="AN302" s="68"/>
      <c r="AO302" s="68"/>
      <c r="AQ302" s="68"/>
      <c r="AR302" s="68"/>
      <c r="AS302" s="68"/>
      <c r="AT302" s="68"/>
      <c r="AU302" s="68"/>
      <c r="AV302" s="68"/>
      <c r="AW302" s="68"/>
      <c r="AX302" s="68"/>
      <c r="AY302" s="68"/>
      <c r="AZ302" s="68"/>
      <c r="BB302" s="68"/>
      <c r="BC302" s="68"/>
      <c r="BJ302" s="68"/>
      <c r="BT302">
        <v>1</v>
      </c>
      <c r="BV302">
        <v>1</v>
      </c>
      <c r="BX302" s="68"/>
      <c r="BY302" s="68">
        <v>1</v>
      </c>
      <c r="BZ302" s="68">
        <v>0</v>
      </c>
      <c r="CA302" s="68">
        <v>0</v>
      </c>
      <c r="CB302" s="68">
        <v>0</v>
      </c>
      <c r="CC302" s="68">
        <f t="shared" si="98"/>
        <v>0</v>
      </c>
      <c r="CD302" s="68">
        <f t="shared" si="99"/>
        <v>0</v>
      </c>
    </row>
    <row r="303" spans="1:82" ht="15.75" customHeight="1" thickBot="1" x14ac:dyDescent="0.3">
      <c r="A303" s="6">
        <v>302</v>
      </c>
      <c r="B303" s="7" t="s">
        <v>261</v>
      </c>
      <c r="C303" s="7" t="s">
        <v>927</v>
      </c>
      <c r="D303" s="7" t="s">
        <v>19</v>
      </c>
      <c r="E303" s="50">
        <v>-106.31668804523299</v>
      </c>
      <c r="F303" s="50">
        <v>62.785709980719297</v>
      </c>
      <c r="G303" s="50">
        <v>75.376950341712998</v>
      </c>
      <c r="H303" s="50">
        <v>43.715316029786401</v>
      </c>
      <c r="I303" s="8">
        <v>0</v>
      </c>
      <c r="J303" s="50">
        <v>4.1914287901113898</v>
      </c>
      <c r="K303" s="248">
        <f>IFERROR(VLOOKUP(C303,Schedule!$T$3:$U$34,2,0),"FA")</f>
        <v>9</v>
      </c>
      <c r="L303" s="7" t="str">
        <f>D303&amp;COUNTIF(D$2:$D303,D303)</f>
        <v>RB76</v>
      </c>
      <c r="M303" s="50">
        <f t="array" ref="M303">IFERROR(F303-AVERAGE(VLOOKUP(D303,$D304:$F$885,3,0),INDEX($F304:$F$885,SMALL(IF(D303=$D304:$D$885,ROW($D304:$D$885)-ROW(D303)),2))),0)</f>
        <v>4.2263958490324924</v>
      </c>
      <c r="N303" s="50">
        <f>IFERROR(IF(VLOOKUP($B303,Input!$AC$2:$AC$162,1,0)=$B303,0),F303)</f>
        <v>62.785709980719297</v>
      </c>
      <c r="O303" s="50">
        <f>IFERROR(IF(VLOOKUP($B303,Input!$AC$2:$AC$162,1,0)=$B303,0,G303),G303)</f>
        <v>75.376950341712998</v>
      </c>
      <c r="P303" s="50">
        <f>IF(N303=0,0,F303-AVERAGE(INDEX(F:F,MATCH(VLOOKUP(D303,Input!$A$14:$L$22,10,0),L:L,0)),INDEX(F:F,MATCH(VLOOKUP(D303,Input!$A$14:$L$22,11,0),L:L,0)),INDEX(F:F,MATCH(VLOOKUP(D303,Input!$A$14:$L$22,12,0),L:L,0)))+(0.01-ROW()*0.01))</f>
        <v>-109.33668804523269</v>
      </c>
      <c r="Q303" s="106">
        <f t="shared" si="94"/>
        <v>-3.772038556018447E-2</v>
      </c>
      <c r="R303" s="8">
        <f>IF(VLOOKUP($D303,$X$14:$Y$19,2,0)&lt;=0,1,IF(Q303&lt;0,1,ROUNDUP(IF(Q303*('Draft Center'!$L$28+'Draft Center'!$L$78-'Draft Center'!$L$82)&lt;1,1,Q303*('Draft Center'!$L$28+'Draft Center'!$L$78-'Draft Center'!$L$82)),0)))</f>
        <v>1</v>
      </c>
      <c r="S303" s="8">
        <f>IF(A303&lt;Input!$B$10+0.1,IF(ROUNDUP(R303*Input!$C$10,0)=0,1,ROUNDUP(R303*Input!$C$10,0)),IF(A303&gt;Input!$B$11,IF(ROUNDUP(R303*Input!$C$11,0)=0,1,ROUNDUP(R303*Input!$C$11,0)),IF(ROUNDUP(R303,0)=0,1,ROUNDUP(R303,0))))</f>
        <v>1</v>
      </c>
      <c r="T303" s="8">
        <f t="shared" si="95"/>
        <v>1</v>
      </c>
      <c r="U303" s="8">
        <f>IFERROR(VLOOKUP($B303,Input!$AC$2:$AE$161,3,0),0)</f>
        <v>0</v>
      </c>
      <c r="V303" s="256">
        <f t="shared" si="96"/>
        <v>0</v>
      </c>
      <c r="W303" s="263">
        <f t="shared" si="97"/>
        <v>1.0030300000000001</v>
      </c>
      <c r="X303" s="68"/>
      <c r="Y303" s="68"/>
      <c r="Z303" s="68"/>
      <c r="AA303" s="68"/>
      <c r="AB303" s="68"/>
      <c r="AC303" s="68"/>
      <c r="AD303" s="68"/>
      <c r="AE303" s="68"/>
      <c r="AF303" s="68"/>
      <c r="AG303" s="68"/>
      <c r="AH303" s="68"/>
      <c r="AI303" s="68"/>
      <c r="AJ303" s="68">
        <v>1</v>
      </c>
      <c r="AL303" s="68">
        <v>1</v>
      </c>
      <c r="AM303" s="68"/>
      <c r="AN303" s="68"/>
      <c r="AO303" s="68"/>
      <c r="AQ303" s="68"/>
      <c r="AR303" s="68"/>
      <c r="AS303" s="68"/>
      <c r="AT303" s="68"/>
      <c r="AU303" s="68"/>
      <c r="AV303" s="68"/>
      <c r="AW303" s="68"/>
      <c r="AX303" s="68"/>
      <c r="AY303" s="68"/>
      <c r="AZ303" s="68"/>
      <c r="BB303" s="68"/>
      <c r="BC303" s="68"/>
      <c r="BJ303" s="68"/>
      <c r="BT303">
        <v>1</v>
      </c>
      <c r="BV303">
        <v>1</v>
      </c>
      <c r="BX303" s="68"/>
      <c r="BY303" s="68">
        <v>1</v>
      </c>
      <c r="BZ303" s="68">
        <v>0</v>
      </c>
      <c r="CA303" s="68">
        <v>0</v>
      </c>
      <c r="CB303" s="68">
        <v>0</v>
      </c>
      <c r="CC303" s="68">
        <f t="shared" si="98"/>
        <v>0</v>
      </c>
      <c r="CD303" s="68">
        <f t="shared" si="99"/>
        <v>0</v>
      </c>
    </row>
    <row r="304" spans="1:82" ht="15.75" customHeight="1" thickBot="1" x14ac:dyDescent="0.3">
      <c r="A304" s="9">
        <v>303</v>
      </c>
      <c r="B304" s="10" t="s">
        <v>972</v>
      </c>
      <c r="C304" s="10" t="s">
        <v>93</v>
      </c>
      <c r="D304" s="10" t="s">
        <v>43</v>
      </c>
      <c r="E304" s="51">
        <v>-107.47051981028901</v>
      </c>
      <c r="F304" s="51">
        <v>45.990399541919999</v>
      </c>
      <c r="G304" s="51">
        <v>77.991623449909596</v>
      </c>
      <c r="H304" s="51">
        <v>3.3422085048010999</v>
      </c>
      <c r="I304" s="11">
        <v>0</v>
      </c>
      <c r="J304" s="51">
        <v>6.3479433648740198</v>
      </c>
      <c r="K304" s="249">
        <f>IFERROR(VLOOKUP(C304,Schedule!$T$3:$U$34,2,0),"FA")</f>
        <v>11</v>
      </c>
      <c r="L304" s="10" t="str">
        <f>D304&amp;COUNTIF(D$2:$D304,D304)</f>
        <v>TE52</v>
      </c>
      <c r="M304" s="51">
        <f t="array" ref="M304">IFERROR(F304-AVERAGE(VLOOKUP(D304,$D305:$F$885,3,0),INDEX($F305:$F$885,SMALL(IF(D304=$D305:$D$885,ROW($D305:$D$885)-ROW(D304)),2))),0)</f>
        <v>0.86518514940679836</v>
      </c>
      <c r="N304" s="51">
        <f>IFERROR(IF(VLOOKUP($B304,Input!$AC$2:$AC$162,1,0)=$B304,0),F304)</f>
        <v>45.990399541919999</v>
      </c>
      <c r="O304" s="51">
        <f>IFERROR(IF(VLOOKUP($B304,Input!$AC$2:$AC$162,1,0)=$B304,0,G304),G304)</f>
        <v>77.991623449909596</v>
      </c>
      <c r="P304" s="51">
        <f>IF(N304=0,0,F304-AVERAGE(INDEX(F:F,MATCH(VLOOKUP(D304,Input!$A$14:$L$22,10,0),L:L,0)),INDEX(F:F,MATCH(VLOOKUP(D304,Input!$A$14:$L$22,11,0),L:L,0)),INDEX(F:F,MATCH(VLOOKUP(D304,Input!$A$14:$L$22,12,0),L:L,0)))+(0.01-ROW()*0.01))</f>
        <v>-110.50051981028932</v>
      </c>
      <c r="Q304" s="107">
        <f t="shared" si="94"/>
        <v>-3.8121899303558186E-2</v>
      </c>
      <c r="R304" s="11">
        <f>IF(VLOOKUP($D304,$X$14:$Y$19,2,0)&lt;=0,1,IF(Q304&lt;0,1,ROUNDUP(IF(Q304*('Draft Center'!$L$28+'Draft Center'!$L$78-'Draft Center'!$L$82)&lt;1,1,Q304*('Draft Center'!$L$28+'Draft Center'!$L$78-'Draft Center'!$L$82)),0)))</f>
        <v>1</v>
      </c>
      <c r="S304" s="11">
        <f>IF(A304&lt;Input!$B$10+0.1,IF(ROUNDUP(R304*Input!$C$10,0)=0,1,ROUNDUP(R304*Input!$C$10,0)),IF(A304&gt;Input!$B$11,IF(ROUNDUP(R304*Input!$C$11,0)=0,1,ROUNDUP(R304*Input!$C$11,0)),IF(ROUNDUP(R304,0)=0,1,ROUNDUP(R304,0))))</f>
        <v>1</v>
      </c>
      <c r="T304" s="11">
        <f t="shared" si="95"/>
        <v>1</v>
      </c>
      <c r="U304" s="11">
        <f>IFERROR(VLOOKUP($B304,Input!$AC$2:$AE$161,3,0),0)</f>
        <v>0</v>
      </c>
      <c r="V304" s="257">
        <f t="shared" si="96"/>
        <v>0</v>
      </c>
      <c r="W304" s="264">
        <f t="shared" si="97"/>
        <v>1.0030399999999999</v>
      </c>
      <c r="X304" s="68"/>
      <c r="Y304" s="68"/>
      <c r="Z304" s="68"/>
      <c r="AA304" s="68"/>
      <c r="AB304" s="68"/>
      <c r="AC304" s="68"/>
      <c r="AD304" s="68"/>
      <c r="AE304" s="68"/>
      <c r="AF304" s="68"/>
      <c r="AG304" s="68"/>
      <c r="AH304" s="68"/>
      <c r="AI304" s="68"/>
      <c r="AJ304" s="68">
        <v>1</v>
      </c>
      <c r="AL304" s="68">
        <v>1</v>
      </c>
      <c r="AM304" s="68"/>
      <c r="AN304" s="68"/>
      <c r="AO304" s="68"/>
      <c r="AQ304" s="68"/>
      <c r="AR304" s="68"/>
      <c r="AS304" s="68"/>
      <c r="AT304" s="68"/>
      <c r="AU304" s="68"/>
      <c r="AV304" s="68"/>
      <c r="AW304" s="68"/>
      <c r="AX304" s="68"/>
      <c r="AY304" s="68"/>
      <c r="AZ304" s="68"/>
      <c r="BB304" s="68"/>
      <c r="BC304" s="68"/>
      <c r="BJ304" s="68"/>
      <c r="BT304">
        <v>1</v>
      </c>
      <c r="BV304">
        <v>1</v>
      </c>
      <c r="BX304" s="68"/>
      <c r="BY304" s="68">
        <v>1</v>
      </c>
      <c r="BZ304" s="68">
        <v>0</v>
      </c>
      <c r="CA304" s="68">
        <v>0</v>
      </c>
      <c r="CB304" s="68">
        <v>0</v>
      </c>
      <c r="CC304" s="68">
        <f t="shared" si="98"/>
        <v>0</v>
      </c>
      <c r="CD304" s="68">
        <f t="shared" si="99"/>
        <v>0</v>
      </c>
    </row>
    <row r="305" spans="1:82" ht="15.75" customHeight="1" thickBot="1" x14ac:dyDescent="0.3">
      <c r="A305" s="6">
        <v>304</v>
      </c>
      <c r="B305" s="7" t="s">
        <v>469</v>
      </c>
      <c r="C305" s="7" t="s">
        <v>21</v>
      </c>
      <c r="D305" s="7" t="s">
        <v>43</v>
      </c>
      <c r="E305" s="50">
        <v>-107.507386567628</v>
      </c>
      <c r="F305" s="50">
        <v>45.953532784581498</v>
      </c>
      <c r="G305" s="50">
        <v>60.221734637410798</v>
      </c>
      <c r="H305" s="50">
        <v>27.431855619084399</v>
      </c>
      <c r="I305" s="8">
        <v>0</v>
      </c>
      <c r="J305" s="50">
        <v>4.8068807232569499</v>
      </c>
      <c r="K305" s="248">
        <f>IFERROR(VLOOKUP(C305,Schedule!$T$3:$U$34,2,0),"FA")</f>
        <v>5</v>
      </c>
      <c r="L305" s="7" t="str">
        <f>D305&amp;COUNTIF(D$2:$D305,D305)</f>
        <v>TE53</v>
      </c>
      <c r="M305" s="50">
        <f t="array" ref="M305">IFERROR(F305-AVERAGE(VLOOKUP(D305,$D306:$F$885,3,0),INDEX($F306:$F$885,SMALL(IF(D305=$D306:$D$885,ROW($D306:$D$885)-ROW(D305)),2))),0)</f>
        <v>2.1681631525823448</v>
      </c>
      <c r="N305" s="50">
        <f>IFERROR(IF(VLOOKUP($B305,Input!$AC$2:$AC$162,1,0)=$B305,0),F305)</f>
        <v>45.953532784581498</v>
      </c>
      <c r="O305" s="50">
        <f>IFERROR(IF(VLOOKUP($B305,Input!$AC$2:$AC$162,1,0)=$B305,0,G305),G305)</f>
        <v>60.221734637410798</v>
      </c>
      <c r="P305" s="50">
        <f>IF(N305=0,0,F305-AVERAGE(INDEX(F:F,MATCH(VLOOKUP(D305,Input!$A$14:$L$22,10,0),L:L,0)),INDEX(F:F,MATCH(VLOOKUP(D305,Input!$A$14:$L$22,11,0),L:L,0)),INDEX(F:F,MATCH(VLOOKUP(D305,Input!$A$14:$L$22,12,0),L:L,0)))+(0.01-ROW()*0.01))</f>
        <v>-110.54738656762783</v>
      </c>
      <c r="Q305" s="106">
        <f t="shared" si="94"/>
        <v>-3.8138068004004218E-2</v>
      </c>
      <c r="R305" s="8">
        <f>IF(VLOOKUP($D305,$X$14:$Y$19,2,0)&lt;=0,1,IF(Q305&lt;0,1,ROUNDUP(IF(Q305*('Draft Center'!$L$28+'Draft Center'!$L$78-'Draft Center'!$L$82)&lt;1,1,Q305*('Draft Center'!$L$28+'Draft Center'!$L$78-'Draft Center'!$L$82)),0)))</f>
        <v>1</v>
      </c>
      <c r="S305" s="8">
        <f>IF(A305&lt;Input!$B$10+0.1,IF(ROUNDUP(R305*Input!$C$10,0)=0,1,ROUNDUP(R305*Input!$C$10,0)),IF(A305&gt;Input!$B$11,IF(ROUNDUP(R305*Input!$C$11,0)=0,1,ROUNDUP(R305*Input!$C$11,0)),IF(ROUNDUP(R305,0)=0,1,ROUNDUP(R305,0))))</f>
        <v>1</v>
      </c>
      <c r="T305" s="8">
        <f t="shared" si="95"/>
        <v>1</v>
      </c>
      <c r="U305" s="8">
        <f>IFERROR(VLOOKUP($B305,Input!$AC$2:$AE$161,3,0),0)</f>
        <v>0</v>
      </c>
      <c r="V305" s="256">
        <f t="shared" si="96"/>
        <v>0</v>
      </c>
      <c r="W305" s="263">
        <f t="shared" si="97"/>
        <v>1.00305</v>
      </c>
      <c r="X305" s="68"/>
      <c r="Y305" s="68"/>
      <c r="Z305" s="68"/>
      <c r="AA305" s="68"/>
      <c r="AB305" s="68"/>
      <c r="AC305" s="68"/>
      <c r="AD305" s="68"/>
      <c r="AE305" s="68"/>
      <c r="AF305" s="68"/>
      <c r="AG305" s="68"/>
      <c r="AH305" s="68"/>
      <c r="AI305" s="68"/>
      <c r="AJ305" s="68">
        <v>1</v>
      </c>
      <c r="AL305" s="68">
        <v>1</v>
      </c>
      <c r="AM305" s="68"/>
      <c r="AN305" s="68"/>
      <c r="AO305" s="68"/>
      <c r="AQ305" s="68"/>
      <c r="AR305" s="68"/>
      <c r="AS305" s="68"/>
      <c r="AT305" s="68"/>
      <c r="AU305" s="68"/>
      <c r="AV305" s="68"/>
      <c r="AW305" s="68"/>
      <c r="AX305" s="68"/>
      <c r="AY305" s="68"/>
      <c r="AZ305" s="68"/>
      <c r="BB305" s="68"/>
      <c r="BC305" s="68"/>
      <c r="BJ305" s="68"/>
      <c r="BT305">
        <v>1</v>
      </c>
      <c r="BV305">
        <v>1</v>
      </c>
      <c r="BX305" s="68"/>
      <c r="BY305" s="68">
        <v>1</v>
      </c>
      <c r="BZ305" s="68">
        <v>0</v>
      </c>
      <c r="CA305" s="68">
        <v>0</v>
      </c>
      <c r="CB305" s="68">
        <v>0</v>
      </c>
      <c r="CC305" s="68">
        <f t="shared" si="98"/>
        <v>0</v>
      </c>
      <c r="CD305" s="68">
        <f t="shared" si="99"/>
        <v>0</v>
      </c>
    </row>
    <row r="306" spans="1:82" ht="15.75" customHeight="1" thickBot="1" x14ac:dyDescent="0.3">
      <c r="A306" s="9">
        <v>305</v>
      </c>
      <c r="B306" s="10" t="s">
        <v>240</v>
      </c>
      <c r="C306" s="10" t="s">
        <v>48</v>
      </c>
      <c r="D306" s="10" t="s">
        <v>43</v>
      </c>
      <c r="E306" s="51">
        <v>-109.164023351764</v>
      </c>
      <c r="F306" s="51">
        <v>44.296896000444903</v>
      </c>
      <c r="G306" s="51">
        <v>58.7556773682455</v>
      </c>
      <c r="H306" s="51">
        <v>19.2682054703135</v>
      </c>
      <c r="I306" s="11">
        <v>0</v>
      </c>
      <c r="J306" s="51">
        <v>7.0484263837908703</v>
      </c>
      <c r="K306" s="249">
        <f>IFERROR(VLOOKUP(C306,Schedule!$T$3:$U$34,2,0),"FA")</f>
        <v>10</v>
      </c>
      <c r="L306" s="10" t="str">
        <f>D306&amp;COUNTIF(D$2:$D306,D306)</f>
        <v>TE54</v>
      </c>
      <c r="M306" s="51">
        <f t="array" ref="M306">IFERROR(F306-AVERAGE(VLOOKUP(D306,$D307:$F$885,3,0),INDEX($F307:$F$885,SMALL(IF(D306=$D307:$D$885,ROW($D307:$D$885)-ROW(D306)),2))),0)</f>
        <v>1.9655160114844534</v>
      </c>
      <c r="N306" s="51">
        <f>IFERROR(IF(VLOOKUP($B306,Input!$AC$2:$AC$162,1,0)=$B306,0),F306)</f>
        <v>44.296896000444903</v>
      </c>
      <c r="O306" s="51">
        <f>IFERROR(IF(VLOOKUP($B306,Input!$AC$2:$AC$162,1,0)=$B306,0,G306),G306)</f>
        <v>58.7556773682455</v>
      </c>
      <c r="P306" s="51">
        <f>IF(N306=0,0,F306-AVERAGE(INDEX(F:F,MATCH(VLOOKUP(D306,Input!$A$14:$L$22,10,0),L:L,0)),INDEX(F:F,MATCH(VLOOKUP(D306,Input!$A$14:$L$22,11,0),L:L,0)),INDEX(F:F,MATCH(VLOOKUP(D306,Input!$A$14:$L$22,12,0),L:L,0)))+(0.01-ROW()*0.01))</f>
        <v>-112.21402335176441</v>
      </c>
      <c r="Q306" s="107">
        <f t="shared" si="94"/>
        <v>-3.8713045929624296E-2</v>
      </c>
      <c r="R306" s="11">
        <f>IF(VLOOKUP($D306,$X$14:$Y$19,2,0)&lt;=0,1,IF(Q306&lt;0,1,ROUNDUP(IF(Q306*('Draft Center'!$L$28+'Draft Center'!$L$78-'Draft Center'!$L$82)&lt;1,1,Q306*('Draft Center'!$L$28+'Draft Center'!$L$78-'Draft Center'!$L$82)),0)))</f>
        <v>1</v>
      </c>
      <c r="S306" s="11">
        <f>IF(A306&lt;Input!$B$10+0.1,IF(ROUNDUP(R306*Input!$C$10,0)=0,1,ROUNDUP(R306*Input!$C$10,0)),IF(A306&gt;Input!$B$11,IF(ROUNDUP(R306*Input!$C$11,0)=0,1,ROUNDUP(R306*Input!$C$11,0)),IF(ROUNDUP(R306,0)=0,1,ROUNDUP(R306,0))))</f>
        <v>1</v>
      </c>
      <c r="T306" s="11">
        <f t="shared" si="95"/>
        <v>1</v>
      </c>
      <c r="U306" s="11">
        <f>IFERROR(VLOOKUP($B306,Input!$AC$2:$AE$161,3,0),0)</f>
        <v>0</v>
      </c>
      <c r="V306" s="257">
        <f t="shared" si="96"/>
        <v>0</v>
      </c>
      <c r="W306" s="264">
        <f t="shared" si="97"/>
        <v>1.0030600000000001</v>
      </c>
      <c r="X306" s="68"/>
      <c r="Y306" s="68"/>
      <c r="Z306" s="68"/>
      <c r="AA306" s="68"/>
      <c r="AB306" s="68"/>
      <c r="AC306" s="68"/>
      <c r="AD306" s="68"/>
      <c r="AE306" s="68"/>
      <c r="AF306" s="68"/>
      <c r="AG306" s="68"/>
      <c r="AH306" s="68"/>
      <c r="AI306" s="68"/>
      <c r="AJ306" s="68">
        <v>1</v>
      </c>
      <c r="AL306" s="68">
        <v>1</v>
      </c>
      <c r="AM306" s="68"/>
      <c r="AN306" s="68"/>
      <c r="AO306" s="68"/>
      <c r="AQ306" s="68"/>
      <c r="AR306" s="68"/>
      <c r="AS306" s="68"/>
      <c r="AT306" s="68"/>
      <c r="AU306" s="68"/>
      <c r="AV306" s="68"/>
      <c r="AW306" s="68"/>
      <c r="AX306" s="68"/>
      <c r="AY306" s="68"/>
      <c r="AZ306" s="68"/>
      <c r="BB306" s="68"/>
      <c r="BC306" s="68"/>
      <c r="BJ306" s="68"/>
      <c r="BT306">
        <v>1</v>
      </c>
      <c r="BV306">
        <v>1</v>
      </c>
      <c r="BX306" s="68"/>
      <c r="BY306" s="68">
        <v>1</v>
      </c>
      <c r="BZ306" s="68">
        <v>0</v>
      </c>
      <c r="CA306" s="68">
        <v>0</v>
      </c>
      <c r="CB306" s="68">
        <v>0</v>
      </c>
      <c r="CC306" s="68">
        <f t="shared" si="98"/>
        <v>0</v>
      </c>
      <c r="CD306" s="68">
        <f t="shared" si="99"/>
        <v>0</v>
      </c>
    </row>
    <row r="307" spans="1:82" ht="15.75" customHeight="1" thickBot="1" x14ac:dyDescent="0.3">
      <c r="A307" s="6">
        <v>306</v>
      </c>
      <c r="B307" s="7" t="s">
        <v>411</v>
      </c>
      <c r="C307" s="7" t="s">
        <v>25</v>
      </c>
      <c r="D307" s="7" t="s">
        <v>19</v>
      </c>
      <c r="E307" s="50">
        <v>-109.189710356638</v>
      </c>
      <c r="F307" s="50">
        <v>59.912687669314202</v>
      </c>
      <c r="G307" s="50">
        <v>90.597352118229907</v>
      </c>
      <c r="H307" s="50">
        <v>17.934101744072098</v>
      </c>
      <c r="I307" s="8">
        <v>0</v>
      </c>
      <c r="J307" s="50">
        <v>6.2108431630553698</v>
      </c>
      <c r="K307" s="248">
        <f>IFERROR(VLOOKUP(C307,Schedule!$T$3:$U$34,2,0),"FA")</f>
        <v>10</v>
      </c>
      <c r="L307" s="7" t="str">
        <f>D307&amp;COUNTIF(D$2:$D307,D307)</f>
        <v>RB77</v>
      </c>
      <c r="M307" s="50">
        <f t="array" ref="M307">IFERROR(F307-AVERAGE(VLOOKUP(D307,$D308:$F$885,3,0),INDEX($F308:$F$885,SMALL(IF(D307=$D308:$D$885,ROW($D308:$D$885)-ROW(D307)),2))),0)</f>
        <v>2.8622147869693038</v>
      </c>
      <c r="N307" s="50">
        <f>IFERROR(IF(VLOOKUP($B307,Input!$AC$2:$AC$162,1,0)=$B307,0),F307)</f>
        <v>59.912687669314202</v>
      </c>
      <c r="O307" s="50">
        <f>IFERROR(IF(VLOOKUP($B307,Input!$AC$2:$AC$162,1,0)=$B307,0,G307),G307)</f>
        <v>90.597352118229907</v>
      </c>
      <c r="P307" s="50">
        <f>IF(N307=0,0,F307-AVERAGE(INDEX(F:F,MATCH(VLOOKUP(D307,Input!$A$14:$L$22,10,0),L:L,0)),INDEX(F:F,MATCH(VLOOKUP(D307,Input!$A$14:$L$22,11,0),L:L,0)),INDEX(F:F,MATCH(VLOOKUP(D307,Input!$A$14:$L$22,12,0),L:L,0)))+(0.01-ROW()*0.01))</f>
        <v>-112.24971035663779</v>
      </c>
      <c r="Q307" s="106">
        <f t="shared" si="94"/>
        <v>-3.8725357694388521E-2</v>
      </c>
      <c r="R307" s="8">
        <f>IF(VLOOKUP($D307,$X$14:$Y$19,2,0)&lt;=0,1,IF(Q307&lt;0,1,ROUNDUP(IF(Q307*('Draft Center'!$L$28+'Draft Center'!$L$78-'Draft Center'!$L$82)&lt;1,1,Q307*('Draft Center'!$L$28+'Draft Center'!$L$78-'Draft Center'!$L$82)),0)))</f>
        <v>1</v>
      </c>
      <c r="S307" s="8">
        <f>IF(A307&lt;Input!$B$10+0.1,IF(ROUNDUP(R307*Input!$C$10,0)=0,1,ROUNDUP(R307*Input!$C$10,0)),IF(A307&gt;Input!$B$11,IF(ROUNDUP(R307*Input!$C$11,0)=0,1,ROUNDUP(R307*Input!$C$11,0)),IF(ROUNDUP(R307,0)=0,1,ROUNDUP(R307,0))))</f>
        <v>1</v>
      </c>
      <c r="T307" s="8">
        <f t="shared" si="95"/>
        <v>1</v>
      </c>
      <c r="U307" s="8">
        <f>IFERROR(VLOOKUP($B307,Input!$AC$2:$AE$161,3,0),0)</f>
        <v>0</v>
      </c>
      <c r="V307" s="256">
        <f t="shared" si="96"/>
        <v>0</v>
      </c>
      <c r="W307" s="263">
        <f t="shared" si="97"/>
        <v>1.0030699999999999</v>
      </c>
      <c r="X307" s="68"/>
      <c r="Y307" s="68"/>
      <c r="Z307" s="68"/>
      <c r="AA307" s="68"/>
      <c r="AB307" s="68"/>
      <c r="AC307" s="68"/>
      <c r="AD307" s="68"/>
      <c r="AE307" s="68"/>
      <c r="AF307" s="68"/>
      <c r="AG307" s="68"/>
      <c r="AH307" s="68"/>
      <c r="AI307" s="68"/>
      <c r="AJ307" s="68">
        <v>1</v>
      </c>
      <c r="AL307" s="68">
        <v>1</v>
      </c>
      <c r="AM307" s="68"/>
      <c r="AN307" s="68"/>
      <c r="AO307" s="68"/>
      <c r="AQ307" s="68"/>
      <c r="AR307" s="68"/>
      <c r="AS307" s="68"/>
      <c r="AT307" s="68"/>
      <c r="AU307" s="68"/>
      <c r="AV307" s="68"/>
      <c r="AW307" s="68"/>
      <c r="AX307" s="68"/>
      <c r="AY307" s="68"/>
      <c r="AZ307" s="68"/>
      <c r="BB307" s="68"/>
      <c r="BC307" s="68"/>
      <c r="BJ307" s="68"/>
      <c r="BT307">
        <v>1</v>
      </c>
      <c r="BV307">
        <v>1</v>
      </c>
      <c r="BX307" s="68"/>
      <c r="BY307" s="68">
        <v>1</v>
      </c>
      <c r="BZ307" s="68">
        <v>0</v>
      </c>
      <c r="CA307" s="68">
        <v>0</v>
      </c>
      <c r="CB307" s="68">
        <v>0</v>
      </c>
      <c r="CC307" s="68">
        <f t="shared" si="98"/>
        <v>0</v>
      </c>
      <c r="CD307" s="68">
        <f t="shared" si="99"/>
        <v>0</v>
      </c>
    </row>
    <row r="308" spans="1:82" ht="15.75" customHeight="1" thickBot="1" x14ac:dyDescent="0.3">
      <c r="A308" s="9">
        <v>307</v>
      </c>
      <c r="B308" s="10" t="s">
        <v>973</v>
      </c>
      <c r="C308" s="10" t="s">
        <v>80</v>
      </c>
      <c r="D308" s="10" t="s">
        <v>43</v>
      </c>
      <c r="E308" s="51">
        <v>-110.187076088656</v>
      </c>
      <c r="F308" s="51">
        <v>43.273843263553402</v>
      </c>
      <c r="G308" s="51">
        <v>55.646602230483303</v>
      </c>
      <c r="H308" s="51">
        <v>2.68</v>
      </c>
      <c r="I308" s="11">
        <v>0</v>
      </c>
      <c r="J308" s="51">
        <v>6.8149320441519201</v>
      </c>
      <c r="K308" s="249">
        <f>IFERROR(VLOOKUP(C308,Schedule!$T$3:$U$34,2,0),"FA")</f>
        <v>11</v>
      </c>
      <c r="L308" s="10" t="str">
        <f>D308&amp;COUNTIF(D$2:$D308,D308)</f>
        <v>TE55</v>
      </c>
      <c r="M308" s="51">
        <f t="array" ref="M308">IFERROR(F308-AVERAGE(VLOOKUP(D308,$D309:$F$885,3,0),INDEX($F309:$F$885,SMALL(IF(D308=$D309:$D$885,ROW($D309:$D$885)-ROW(D308)),2))),0)</f>
        <v>1.8870298122407547</v>
      </c>
      <c r="N308" s="51">
        <f>IFERROR(IF(VLOOKUP($B308,Input!$AC$2:$AC$162,1,0)=$B308,0),F308)</f>
        <v>43.273843263553402</v>
      </c>
      <c r="O308" s="51">
        <f>IFERROR(IF(VLOOKUP($B308,Input!$AC$2:$AC$162,1,0)=$B308,0,G308),G308)</f>
        <v>55.646602230483303</v>
      </c>
      <c r="P308" s="51">
        <f>IF(N308=0,0,F308-AVERAGE(INDEX(F:F,MATCH(VLOOKUP(D308,Input!$A$14:$L$22,10,0),L:L,0)),INDEX(F:F,MATCH(VLOOKUP(D308,Input!$A$14:$L$22,11,0),L:L,0)),INDEX(F:F,MATCH(VLOOKUP(D308,Input!$A$14:$L$22,12,0),L:L,0)))+(0.01-ROW()*0.01))</f>
        <v>-113.25707608865591</v>
      </c>
      <c r="Q308" s="107">
        <f t="shared" si="94"/>
        <v>-3.9072891760868755E-2</v>
      </c>
      <c r="R308" s="11">
        <f>IF(VLOOKUP($D308,$X$14:$Y$19,2,0)&lt;=0,1,IF(Q308&lt;0,1,ROUNDUP(IF(Q308*('Draft Center'!$L$28+'Draft Center'!$L$78-'Draft Center'!$L$82)&lt;1,1,Q308*('Draft Center'!$L$28+'Draft Center'!$L$78-'Draft Center'!$L$82)),0)))</f>
        <v>1</v>
      </c>
      <c r="S308" s="11">
        <f>IF(A308&lt;Input!$B$10+0.1,IF(ROUNDUP(R308*Input!$C$10,0)=0,1,ROUNDUP(R308*Input!$C$10,0)),IF(A308&gt;Input!$B$11,IF(ROUNDUP(R308*Input!$C$11,0)=0,1,ROUNDUP(R308*Input!$C$11,0)),IF(ROUNDUP(R308,0)=0,1,ROUNDUP(R308,0))))</f>
        <v>1</v>
      </c>
      <c r="T308" s="11">
        <f t="shared" si="95"/>
        <v>1</v>
      </c>
      <c r="U308" s="11">
        <f>IFERROR(VLOOKUP($B308,Input!$AC$2:$AE$161,3,0),0)</f>
        <v>0</v>
      </c>
      <c r="V308" s="257">
        <f t="shared" si="96"/>
        <v>0</v>
      </c>
      <c r="W308" s="264">
        <f t="shared" si="97"/>
        <v>1.00308</v>
      </c>
      <c r="X308" s="68"/>
      <c r="Y308" s="68"/>
      <c r="Z308" s="68"/>
      <c r="AA308" s="68"/>
      <c r="AB308" s="68"/>
      <c r="AC308" s="68"/>
      <c r="AD308" s="68"/>
      <c r="AE308" s="68"/>
      <c r="AF308" s="68"/>
      <c r="AG308" s="68"/>
      <c r="AH308" s="68"/>
      <c r="AI308" s="68"/>
      <c r="AJ308" s="68">
        <v>1</v>
      </c>
      <c r="AL308" s="68">
        <v>1</v>
      </c>
      <c r="AM308" s="68"/>
      <c r="AN308" s="68"/>
      <c r="AO308" s="68"/>
      <c r="AQ308" s="68"/>
      <c r="AR308" s="68"/>
      <c r="AS308" s="68"/>
      <c r="AT308" s="68"/>
      <c r="AU308" s="68"/>
      <c r="AV308" s="68"/>
      <c r="AW308" s="68"/>
      <c r="AX308" s="68"/>
      <c r="AY308" s="68"/>
      <c r="AZ308" s="68"/>
      <c r="BB308" s="68"/>
      <c r="BC308" s="68"/>
      <c r="BJ308" s="68"/>
      <c r="BT308">
        <v>1</v>
      </c>
      <c r="BV308">
        <v>1</v>
      </c>
      <c r="BX308" s="68"/>
      <c r="BY308" s="68">
        <v>1</v>
      </c>
      <c r="BZ308" s="68">
        <v>0</v>
      </c>
      <c r="CA308" s="68">
        <v>0</v>
      </c>
      <c r="CB308" s="68">
        <v>0</v>
      </c>
      <c r="CC308" s="68">
        <f t="shared" si="98"/>
        <v>0</v>
      </c>
      <c r="CD308" s="68">
        <f t="shared" si="99"/>
        <v>0</v>
      </c>
    </row>
    <row r="309" spans="1:82" ht="15.75" customHeight="1" thickBot="1" x14ac:dyDescent="0.3">
      <c r="A309" s="6">
        <v>308</v>
      </c>
      <c r="B309" s="7" t="s">
        <v>774</v>
      </c>
      <c r="C309" s="7" t="s">
        <v>48</v>
      </c>
      <c r="D309" s="7" t="s">
        <v>19</v>
      </c>
      <c r="E309" s="50">
        <v>-111.896457431892</v>
      </c>
      <c r="F309" s="50">
        <v>57.205940594059399</v>
      </c>
      <c r="G309" s="50">
        <v>103.454573762376</v>
      </c>
      <c r="H309" s="50">
        <v>-2.2000000000000002</v>
      </c>
      <c r="I309" s="8">
        <v>1.2</v>
      </c>
      <c r="J309" s="50">
        <v>15.933306875512599</v>
      </c>
      <c r="K309" s="248">
        <f>IFERROR(VLOOKUP(C309,Schedule!$T$3:$U$34,2,0),"FA")</f>
        <v>10</v>
      </c>
      <c r="L309" s="7" t="str">
        <f>D309&amp;COUNTIF(D$2:$D309,D309)</f>
        <v>RB78</v>
      </c>
      <c r="M309" s="50">
        <f t="array" ref="M309">IFERROR(F309-AVERAGE(VLOOKUP(D309,$D310:$F$885,3,0),INDEX($F310:$F$885,SMALL(IF(D309=$D310:$D$885,ROW($D310:$D$885)-ROW(D309)),2))),0)</f>
        <v>0.96388254202415169</v>
      </c>
      <c r="N309" s="50">
        <f>IFERROR(IF(VLOOKUP($B309,Input!$AC$2:$AC$162,1,0)=$B309,0),F309)</f>
        <v>57.205940594059399</v>
      </c>
      <c r="O309" s="50">
        <f>IFERROR(IF(VLOOKUP($B309,Input!$AC$2:$AC$162,1,0)=$B309,0,G309),G309)</f>
        <v>103.454573762376</v>
      </c>
      <c r="P309" s="50">
        <f>IF(N309=0,0,F309-AVERAGE(INDEX(F:F,MATCH(VLOOKUP(D309,Input!$A$14:$L$22,10,0),L:L,0)),INDEX(F:F,MATCH(VLOOKUP(D309,Input!$A$14:$L$22,11,0),L:L,0)),INDEX(F:F,MATCH(VLOOKUP(D309,Input!$A$14:$L$22,12,0),L:L,0)))+(0.01-ROW()*0.01))</f>
        <v>-114.9764574318926</v>
      </c>
      <c r="Q309" s="106">
        <f t="shared" si="94"/>
        <v>-3.9666066187050798E-2</v>
      </c>
      <c r="R309" s="8">
        <f>IF(VLOOKUP($D309,$X$14:$Y$19,2,0)&lt;=0,1,IF(Q309&lt;0,1,ROUNDUP(IF(Q309*('Draft Center'!$L$28+'Draft Center'!$L$78-'Draft Center'!$L$82)&lt;1,1,Q309*('Draft Center'!$L$28+'Draft Center'!$L$78-'Draft Center'!$L$82)),0)))</f>
        <v>1</v>
      </c>
      <c r="S309" s="8">
        <f>IF(A309&lt;Input!$B$10+0.1,IF(ROUNDUP(R309*Input!$C$10,0)=0,1,ROUNDUP(R309*Input!$C$10,0)),IF(A309&gt;Input!$B$11,IF(ROUNDUP(R309*Input!$C$11,0)=0,1,ROUNDUP(R309*Input!$C$11,0)),IF(ROUNDUP(R309,0)=0,1,ROUNDUP(R309,0))))</f>
        <v>1</v>
      </c>
      <c r="T309" s="8">
        <f t="shared" si="95"/>
        <v>1</v>
      </c>
      <c r="U309" s="8">
        <f>IFERROR(VLOOKUP($B309,Input!$AC$2:$AE$161,3,0),0)</f>
        <v>0</v>
      </c>
      <c r="V309" s="256">
        <f t="shared" si="96"/>
        <v>-0.16357666666666662</v>
      </c>
      <c r="W309" s="263">
        <f t="shared" si="97"/>
        <v>-0.19690999999999995</v>
      </c>
      <c r="X309" s="68"/>
      <c r="Y309" s="68"/>
      <c r="Z309" s="68"/>
      <c r="AA309" s="68"/>
      <c r="AB309" s="68"/>
      <c r="AC309" s="68"/>
      <c r="AD309" s="68"/>
      <c r="AE309" s="68"/>
      <c r="AF309" s="68"/>
      <c r="AG309" s="68"/>
      <c r="AH309" s="68"/>
      <c r="AI309" s="68"/>
      <c r="AJ309" s="68">
        <v>1</v>
      </c>
      <c r="AL309" s="68">
        <v>1</v>
      </c>
      <c r="AM309" s="68"/>
      <c r="AN309" s="68"/>
      <c r="AO309" s="68"/>
      <c r="AQ309" s="68"/>
      <c r="AR309" s="68"/>
      <c r="AS309" s="68"/>
      <c r="AT309" s="68"/>
      <c r="AU309" s="68"/>
      <c r="AV309" s="68"/>
      <c r="AW309" s="68"/>
      <c r="AX309" s="68"/>
      <c r="AY309" s="68"/>
      <c r="AZ309" s="68"/>
      <c r="BB309" s="68"/>
      <c r="BC309" s="68"/>
      <c r="BJ309" s="68"/>
      <c r="BT309">
        <v>1</v>
      </c>
      <c r="BV309">
        <v>1</v>
      </c>
      <c r="BX309" s="68"/>
      <c r="BY309" s="68">
        <v>1</v>
      </c>
      <c r="BZ309" s="68">
        <v>1.2</v>
      </c>
      <c r="CA309" s="68">
        <v>1.2</v>
      </c>
      <c r="CB309" s="68">
        <v>1.2</v>
      </c>
      <c r="CC309" s="68">
        <f t="shared" si="98"/>
        <v>1.2</v>
      </c>
      <c r="CD309" s="68">
        <f t="shared" si="99"/>
        <v>1.2</v>
      </c>
    </row>
    <row r="310" spans="1:82" ht="15.75" customHeight="1" thickBot="1" x14ac:dyDescent="0.3">
      <c r="A310" s="9">
        <v>309</v>
      </c>
      <c r="B310" s="10" t="s">
        <v>770</v>
      </c>
      <c r="C310" s="10" t="s">
        <v>75</v>
      </c>
      <c r="D310" s="10" t="s">
        <v>17</v>
      </c>
      <c r="E310" s="51">
        <v>-111.899502393041</v>
      </c>
      <c r="F310" s="51">
        <v>100.878413876308</v>
      </c>
      <c r="G310" s="51">
        <v>115.803674705075</v>
      </c>
      <c r="H310" s="51">
        <v>90.3841856610957</v>
      </c>
      <c r="I310" s="11">
        <v>0</v>
      </c>
      <c r="J310" s="51">
        <v>5.2008934759002203</v>
      </c>
      <c r="K310" s="249">
        <f>IFERROR(VLOOKUP(C310,Schedule!$T$3:$U$34,2,0),"FA")</f>
        <v>10</v>
      </c>
      <c r="L310" s="10" t="str">
        <f>D310&amp;COUNTIF(D$2:$D310,D310)</f>
        <v>WR82</v>
      </c>
      <c r="M310" s="51">
        <f t="array" ref="M310">IFERROR(F310-AVERAGE(VLOOKUP(D310,$D311:$F$885,3,0),INDEX($F311:$F$885,SMALL(IF(D310=$D311:$D$885,ROW($D311:$D$885)-ROW(D310)),2))),0)</f>
        <v>1.3672964588440095</v>
      </c>
      <c r="N310" s="51">
        <f>IFERROR(IF(VLOOKUP($B310,Input!$AC$2:$AC$162,1,0)=$B310,0),F310)</f>
        <v>100.878413876308</v>
      </c>
      <c r="O310" s="51">
        <f>IFERROR(IF(VLOOKUP($B310,Input!$AC$2:$AC$162,1,0)=$B310,0,G310),G310)</f>
        <v>115.803674705075</v>
      </c>
      <c r="P310" s="51">
        <f>IF(N310=0,0,F310-AVERAGE(INDEX(F:F,MATCH(VLOOKUP(D310,Input!$A$14:$L$22,10,0),L:L,0)),INDEX(F:F,MATCH(VLOOKUP(D310,Input!$A$14:$L$22,11,0),L:L,0)),INDEX(F:F,MATCH(VLOOKUP(D310,Input!$A$14:$L$22,12,0),L:L,0)))+(0.01-ROW()*0.01))</f>
        <v>-114.98950239304102</v>
      </c>
      <c r="Q310" s="107">
        <f t="shared" si="94"/>
        <v>-3.9670566606561701E-2</v>
      </c>
      <c r="R310" s="11">
        <f>IF(VLOOKUP($D310,$X$14:$Y$19,2,0)&lt;=0,1,IF(Q310&lt;0,1,ROUNDUP(IF(Q310*('Draft Center'!$L$28+'Draft Center'!$L$78-'Draft Center'!$L$82)&lt;1,1,Q310*('Draft Center'!$L$28+'Draft Center'!$L$78-'Draft Center'!$L$82)),0)))</f>
        <v>1</v>
      </c>
      <c r="S310" s="11">
        <f>IF(A310&lt;Input!$B$10+0.1,IF(ROUNDUP(R310*Input!$C$10,0)=0,1,ROUNDUP(R310*Input!$C$10,0)),IF(A310&gt;Input!$B$11,IF(ROUNDUP(R310*Input!$C$11,0)=0,1,ROUNDUP(R310*Input!$C$11,0)),IF(ROUNDUP(R310,0)=0,1,ROUNDUP(R310,0))))</f>
        <v>1</v>
      </c>
      <c r="T310" s="11">
        <f t="shared" si="95"/>
        <v>1</v>
      </c>
      <c r="U310" s="11">
        <f>IFERROR(VLOOKUP($B310,Input!$AC$2:$AE$161,3,0),0)</f>
        <v>0</v>
      </c>
      <c r="V310" s="257">
        <f t="shared" si="96"/>
        <v>0</v>
      </c>
      <c r="W310" s="264">
        <f t="shared" si="97"/>
        <v>1.0031000000000001</v>
      </c>
      <c r="X310" s="68"/>
      <c r="Y310" s="68"/>
      <c r="Z310" s="68"/>
      <c r="AA310" s="68"/>
      <c r="AB310" s="68"/>
      <c r="AC310" s="68"/>
      <c r="AD310" s="68"/>
      <c r="AE310" s="68"/>
      <c r="AF310" s="68"/>
      <c r="AG310" s="68"/>
      <c r="AH310" s="68"/>
      <c r="AI310" s="68"/>
      <c r="AJ310" s="68">
        <v>1</v>
      </c>
      <c r="AL310" s="68">
        <v>1</v>
      </c>
      <c r="AM310" s="68"/>
      <c r="AN310" s="68"/>
      <c r="AO310" s="68"/>
      <c r="AQ310" s="68"/>
      <c r="AR310" s="68"/>
      <c r="AS310" s="68"/>
      <c r="AT310" s="68"/>
      <c r="AU310" s="68"/>
      <c r="AV310" s="68"/>
      <c r="AW310" s="68"/>
      <c r="AX310" s="68"/>
      <c r="AY310" s="68"/>
      <c r="AZ310" s="68"/>
      <c r="BB310" s="68"/>
      <c r="BC310" s="68"/>
      <c r="BJ310" s="68"/>
      <c r="BT310">
        <v>1</v>
      </c>
      <c r="BV310">
        <v>1</v>
      </c>
      <c r="BX310" s="68"/>
      <c r="BY310" s="68">
        <v>1</v>
      </c>
      <c r="BZ310" s="68">
        <v>0</v>
      </c>
      <c r="CA310" s="68">
        <v>0</v>
      </c>
      <c r="CB310" s="68">
        <v>0</v>
      </c>
      <c r="CC310" s="68">
        <f t="shared" si="98"/>
        <v>0</v>
      </c>
      <c r="CD310" s="68">
        <f t="shared" si="99"/>
        <v>0</v>
      </c>
    </row>
    <row r="311" spans="1:82" ht="15.75" customHeight="1" thickBot="1" x14ac:dyDescent="0.3">
      <c r="A311" s="6">
        <v>310</v>
      </c>
      <c r="B311" s="7" t="s">
        <v>966</v>
      </c>
      <c r="C311" s="7" t="s">
        <v>117</v>
      </c>
      <c r="D311" s="7" t="s">
        <v>43</v>
      </c>
      <c r="E311" s="50">
        <v>-112.072002637842</v>
      </c>
      <c r="F311" s="50">
        <v>41.388916714367497</v>
      </c>
      <c r="G311" s="50">
        <v>56.224138542985003</v>
      </c>
      <c r="H311" s="50">
        <v>8.7631824417009607</v>
      </c>
      <c r="I311" s="8">
        <v>0</v>
      </c>
      <c r="J311" s="50">
        <v>6.3012444969462296</v>
      </c>
      <c r="K311" s="248">
        <f>IFERROR(VLOOKUP(C311,Schedule!$T$3:$U$34,2,0),"FA")</f>
        <v>8</v>
      </c>
      <c r="L311" s="7" t="str">
        <f>D311&amp;COUNTIF(D$2:$D311,D311)</f>
        <v>TE56</v>
      </c>
      <c r="M311" s="50">
        <f t="array" ref="M311">IFERROR(F311-AVERAGE(VLOOKUP(D311,$D312:$F$885,3,0),INDEX($F312:$F$885,SMALL(IF(D311=$D312:$D$885,ROW($D312:$D$885)-ROW(D311)),2))),0)</f>
        <v>1.396309152257146</v>
      </c>
      <c r="N311" s="50">
        <f>IFERROR(IF(VLOOKUP($B311,Input!$AC$2:$AC$162,1,0)=$B311,0),F311)</f>
        <v>41.388916714367497</v>
      </c>
      <c r="O311" s="50">
        <f>IFERROR(IF(VLOOKUP($B311,Input!$AC$2:$AC$162,1,0)=$B311,0,G311),G311)</f>
        <v>56.224138542985003</v>
      </c>
      <c r="P311" s="50">
        <f>IF(N311=0,0,F311-AVERAGE(INDEX(F:F,MATCH(VLOOKUP(D311,Input!$A$14:$L$22,10,0),L:L,0)),INDEX(F:F,MATCH(VLOOKUP(D311,Input!$A$14:$L$22,11,0),L:L,0)),INDEX(F:F,MATCH(VLOOKUP(D311,Input!$A$14:$L$22,12,0),L:L,0)))+(0.01-ROW()*0.01))</f>
        <v>-115.17200263784181</v>
      </c>
      <c r="Q311" s="106">
        <f t="shared" si="94"/>
        <v>-3.9733527902735828E-2</v>
      </c>
      <c r="R311" s="8">
        <f>IF(VLOOKUP($D311,$X$14:$Y$19,2,0)&lt;=0,1,IF(Q311&lt;0,1,ROUNDUP(IF(Q311*('Draft Center'!$L$28+'Draft Center'!$L$78-'Draft Center'!$L$82)&lt;1,1,Q311*('Draft Center'!$L$28+'Draft Center'!$L$78-'Draft Center'!$L$82)),0)))</f>
        <v>1</v>
      </c>
      <c r="S311" s="8">
        <f>IF(A311&lt;Input!$B$10+0.1,IF(ROUNDUP(R311*Input!$C$10,0)=0,1,ROUNDUP(R311*Input!$C$10,0)),IF(A311&gt;Input!$B$11,IF(ROUNDUP(R311*Input!$C$11,0)=0,1,ROUNDUP(R311*Input!$C$11,0)),IF(ROUNDUP(R311,0)=0,1,ROUNDUP(R311,0))))</f>
        <v>1</v>
      </c>
      <c r="T311" s="8">
        <f t="shared" si="95"/>
        <v>1</v>
      </c>
      <c r="U311" s="8">
        <f>IFERROR(VLOOKUP($B311,Input!$AC$2:$AE$161,3,0),0)</f>
        <v>0</v>
      </c>
      <c r="V311" s="256">
        <f t="shared" si="96"/>
        <v>0</v>
      </c>
      <c r="W311" s="263">
        <f t="shared" si="97"/>
        <v>1.0031099999999999</v>
      </c>
      <c r="X311" s="68"/>
      <c r="Y311" s="68"/>
      <c r="Z311" s="68"/>
      <c r="AA311" s="68"/>
      <c r="AB311" s="68"/>
      <c r="AC311" s="68"/>
      <c r="AD311" s="68"/>
      <c r="AE311" s="68"/>
      <c r="AF311" s="68"/>
      <c r="AG311" s="68"/>
      <c r="AH311" s="68"/>
      <c r="AI311" s="68"/>
      <c r="AJ311" s="68">
        <v>1</v>
      </c>
      <c r="AL311" s="68">
        <v>1</v>
      </c>
      <c r="AM311" s="68"/>
      <c r="AN311" s="68"/>
      <c r="AO311" s="68"/>
      <c r="AQ311" s="68"/>
      <c r="AR311" s="68"/>
      <c r="AS311" s="68"/>
      <c r="AT311" s="68"/>
      <c r="AU311" s="68"/>
      <c r="AV311" s="68"/>
      <c r="AW311" s="68"/>
      <c r="AX311" s="68"/>
      <c r="AY311" s="68"/>
      <c r="AZ311" s="68"/>
      <c r="BB311" s="68"/>
      <c r="BC311" s="68"/>
      <c r="BJ311" s="68"/>
      <c r="BT311">
        <v>1</v>
      </c>
      <c r="BV311">
        <v>1</v>
      </c>
      <c r="BX311" s="68"/>
      <c r="BY311" s="68">
        <v>1</v>
      </c>
      <c r="BZ311" s="68">
        <v>0</v>
      </c>
      <c r="CA311" s="68">
        <v>0</v>
      </c>
      <c r="CB311" s="68">
        <v>0</v>
      </c>
      <c r="CC311" s="68">
        <f t="shared" si="98"/>
        <v>0</v>
      </c>
      <c r="CD311" s="68">
        <f t="shared" si="99"/>
        <v>0</v>
      </c>
    </row>
    <row r="312" spans="1:82" ht="15.75" customHeight="1" thickBot="1" x14ac:dyDescent="0.3">
      <c r="A312" s="9">
        <v>311</v>
      </c>
      <c r="B312" s="10" t="s">
        <v>241</v>
      </c>
      <c r="C312" s="10" t="s">
        <v>29</v>
      </c>
      <c r="D312" s="10" t="s">
        <v>43</v>
      </c>
      <c r="E312" s="51">
        <v>-112.07620916395101</v>
      </c>
      <c r="F312" s="51">
        <v>41.384710188257799</v>
      </c>
      <c r="G312" s="51">
        <v>56.356083882030198</v>
      </c>
      <c r="H312" s="51">
        <v>9.8537656476582391</v>
      </c>
      <c r="I312" s="11">
        <v>0</v>
      </c>
      <c r="J312" s="51">
        <v>7.6555116668521404</v>
      </c>
      <c r="K312" s="249">
        <f>IFERROR(VLOOKUP(C312,Schedule!$T$3:$U$34,2,0),"FA")</f>
        <v>8</v>
      </c>
      <c r="L312" s="10" t="str">
        <f>D312&amp;COUNTIF(D$2:$D312,D312)</f>
        <v>TE57</v>
      </c>
      <c r="M312" s="51">
        <f t="array" ref="M312">IFERROR(F312-AVERAGE(VLOOKUP(D312,$D313:$F$885,3,0),INDEX($F313:$F$885,SMALL(IF(D312=$D313:$D$885,ROW($D313:$D$885)-ROW(D312)),2))),0)</f>
        <v>3.0047012372225481</v>
      </c>
      <c r="N312" s="51">
        <f>IFERROR(IF(VLOOKUP($B312,Input!$AC$2:$AC$162,1,0)=$B312,0),F312)</f>
        <v>41.384710188257799</v>
      </c>
      <c r="O312" s="51">
        <f>IFERROR(IF(VLOOKUP($B312,Input!$AC$2:$AC$162,1,0)=$B312,0,G312),G312)</f>
        <v>56.356083882030198</v>
      </c>
      <c r="P312" s="51">
        <f>IF(N312=0,0,F312-AVERAGE(INDEX(F:F,MATCH(VLOOKUP(D312,Input!$A$14:$L$22,10,0),L:L,0)),INDEX(F:F,MATCH(VLOOKUP(D312,Input!$A$14:$L$22,11,0),L:L,0)),INDEX(F:F,MATCH(VLOOKUP(D312,Input!$A$14:$L$22,12,0),L:L,0)))+(0.01-ROW()*0.01))</f>
        <v>-115.18620916395152</v>
      </c>
      <c r="Q312" s="107">
        <f t="shared" si="94"/>
        <v>-3.9738429053958801E-2</v>
      </c>
      <c r="R312" s="11">
        <f>IF(VLOOKUP($D312,$X$14:$Y$19,2,0)&lt;=0,1,IF(Q312&lt;0,1,ROUNDUP(IF(Q312*('Draft Center'!$L$28+'Draft Center'!$L$78-'Draft Center'!$L$82)&lt;1,1,Q312*('Draft Center'!$L$28+'Draft Center'!$L$78-'Draft Center'!$L$82)),0)))</f>
        <v>1</v>
      </c>
      <c r="S312" s="11">
        <f>IF(A312&lt;Input!$B$10+0.1,IF(ROUNDUP(R312*Input!$C$10,0)=0,1,ROUNDUP(R312*Input!$C$10,0)),IF(A312&gt;Input!$B$11,IF(ROUNDUP(R312*Input!$C$11,0)=0,1,ROUNDUP(R312*Input!$C$11,0)),IF(ROUNDUP(R312,0)=0,1,ROUNDUP(R312,0))))</f>
        <v>1</v>
      </c>
      <c r="T312" s="11">
        <f t="shared" si="95"/>
        <v>1</v>
      </c>
      <c r="U312" s="11">
        <f>IFERROR(VLOOKUP($B312,Input!$AC$2:$AE$161,3,0),0)</f>
        <v>0</v>
      </c>
      <c r="V312" s="257">
        <f t="shared" si="96"/>
        <v>0</v>
      </c>
      <c r="W312" s="264">
        <f t="shared" si="97"/>
        <v>1.00312</v>
      </c>
      <c r="X312" s="68"/>
      <c r="Y312" s="68"/>
      <c r="Z312" s="68"/>
      <c r="AA312" s="68"/>
      <c r="AB312" s="68"/>
      <c r="AC312" s="68"/>
      <c r="AD312" s="68"/>
      <c r="AE312" s="68"/>
      <c r="AF312" s="68"/>
      <c r="AG312" s="68"/>
      <c r="AH312" s="68"/>
      <c r="AI312" s="68"/>
      <c r="AJ312" s="68">
        <v>1</v>
      </c>
      <c r="AL312" s="68">
        <v>1</v>
      </c>
      <c r="AM312" s="68"/>
      <c r="AN312" s="68"/>
      <c r="AO312" s="68"/>
      <c r="AQ312" s="68"/>
      <c r="AR312" s="68"/>
      <c r="AS312" s="68"/>
      <c r="AT312" s="68"/>
      <c r="AU312" s="68"/>
      <c r="AV312" s="68"/>
      <c r="AW312" s="68"/>
      <c r="AX312" s="68"/>
      <c r="AY312" s="68"/>
      <c r="AZ312" s="68"/>
      <c r="BB312" s="68"/>
      <c r="BC312" s="68"/>
      <c r="BJ312" s="68"/>
      <c r="BT312">
        <v>1</v>
      </c>
      <c r="BV312">
        <v>1</v>
      </c>
      <c r="BX312" s="68"/>
      <c r="BY312" s="68">
        <v>1</v>
      </c>
      <c r="BZ312" s="68">
        <v>0</v>
      </c>
      <c r="CA312" s="68">
        <v>0</v>
      </c>
      <c r="CB312" s="68">
        <v>0</v>
      </c>
      <c r="CC312" s="68">
        <f t="shared" si="98"/>
        <v>0</v>
      </c>
      <c r="CD312" s="68">
        <f t="shared" si="99"/>
        <v>0</v>
      </c>
    </row>
    <row r="313" spans="1:82" ht="15.75" customHeight="1" thickBot="1" x14ac:dyDescent="0.3">
      <c r="A313" s="6">
        <v>312</v>
      </c>
      <c r="B313" s="7" t="s">
        <v>958</v>
      </c>
      <c r="C313" s="7" t="s">
        <v>31</v>
      </c>
      <c r="D313" s="7" t="s">
        <v>19</v>
      </c>
      <c r="E313" s="50">
        <v>-112.207392855321</v>
      </c>
      <c r="F313" s="50">
        <v>56.895005170630398</v>
      </c>
      <c r="G313" s="50">
        <v>93.934797146776404</v>
      </c>
      <c r="H313" s="50">
        <v>0.26318244170096</v>
      </c>
      <c r="I313" s="8">
        <v>0</v>
      </c>
      <c r="J313" s="50">
        <v>7.6166162325990898</v>
      </c>
      <c r="K313" s="248">
        <f>IFERROR(VLOOKUP(C313,Schedule!$T$3:$U$34,2,0),"FA")</f>
        <v>9</v>
      </c>
      <c r="L313" s="7" t="str">
        <f>D313&amp;COUNTIF(D$2:$D313,D313)</f>
        <v>RB79</v>
      </c>
      <c r="M313" s="50">
        <f t="array" ref="M313">IFERROR(F313-AVERAGE(VLOOKUP(D313,$D314:$F$885,3,0),INDEX($F314:$F$885,SMALL(IF(D313=$D314:$D$885,ROW($D314:$D$885)-ROW(D313)),2))),0)</f>
        <v>1.3227052925535503</v>
      </c>
      <c r="N313" s="50">
        <f>IFERROR(IF(VLOOKUP($B313,Input!$AC$2:$AC$162,1,0)=$B313,0),F313)</f>
        <v>56.895005170630398</v>
      </c>
      <c r="O313" s="50">
        <f>IFERROR(IF(VLOOKUP($B313,Input!$AC$2:$AC$162,1,0)=$B313,0,G313),G313)</f>
        <v>93.934797146776404</v>
      </c>
      <c r="P313" s="50">
        <f>IF(N313=0,0,F313-AVERAGE(INDEX(F:F,MATCH(VLOOKUP(D313,Input!$A$14:$L$22,10,0),L:L,0)),INDEX(F:F,MATCH(VLOOKUP(D313,Input!$A$14:$L$22,11,0),L:L,0)),INDEX(F:F,MATCH(VLOOKUP(D313,Input!$A$14:$L$22,12,0),L:L,0)))+(0.01-ROW()*0.01))</f>
        <v>-115.32739285532161</v>
      </c>
      <c r="Q313" s="106">
        <f t="shared" si="94"/>
        <v>-3.978713643085581E-2</v>
      </c>
      <c r="R313" s="8">
        <f>IF(VLOOKUP($D313,$X$14:$Y$19,2,0)&lt;=0,1,IF(Q313&lt;0,1,ROUNDUP(IF(Q313*('Draft Center'!$L$28+'Draft Center'!$L$78-'Draft Center'!$L$82)&lt;1,1,Q313*('Draft Center'!$L$28+'Draft Center'!$L$78-'Draft Center'!$L$82)),0)))</f>
        <v>1</v>
      </c>
      <c r="S313" s="8">
        <f>IF(A313&lt;Input!$B$10+0.1,IF(ROUNDUP(R313*Input!$C$10,0)=0,1,ROUNDUP(R313*Input!$C$10,0)),IF(A313&gt;Input!$B$11,IF(ROUNDUP(R313*Input!$C$11,0)=0,1,ROUNDUP(R313*Input!$C$11,0)),IF(ROUNDUP(R313,0)=0,1,ROUNDUP(R313,0))))</f>
        <v>1</v>
      </c>
      <c r="T313" s="8">
        <f t="shared" si="95"/>
        <v>1</v>
      </c>
      <c r="U313" s="8">
        <f>IFERROR(VLOOKUP($B313,Input!$AC$2:$AE$161,3,0),0)</f>
        <v>0</v>
      </c>
      <c r="V313" s="256">
        <f t="shared" si="96"/>
        <v>0</v>
      </c>
      <c r="W313" s="263">
        <f t="shared" si="97"/>
        <v>1.0031300000000001</v>
      </c>
      <c r="X313" s="68"/>
      <c r="Y313" s="68"/>
      <c r="Z313" s="68"/>
      <c r="AA313" s="68"/>
      <c r="AB313" s="68"/>
      <c r="AC313" s="68"/>
      <c r="AD313" s="68"/>
      <c r="AE313" s="68"/>
      <c r="AF313" s="68"/>
      <c r="AG313" s="68"/>
      <c r="AH313" s="68"/>
      <c r="AI313" s="68"/>
      <c r="AJ313" s="68">
        <v>1</v>
      </c>
      <c r="AL313" s="68">
        <v>1</v>
      </c>
      <c r="AM313" s="68"/>
      <c r="AN313" s="68"/>
      <c r="AO313" s="68"/>
      <c r="AQ313" s="68"/>
      <c r="AR313" s="68"/>
      <c r="AS313" s="68"/>
      <c r="AT313" s="68"/>
      <c r="AU313" s="68"/>
      <c r="AV313" s="68"/>
      <c r="AW313" s="68"/>
      <c r="AX313" s="68"/>
      <c r="AY313" s="68"/>
      <c r="AZ313" s="68"/>
      <c r="BB313" s="68"/>
      <c r="BC313" s="68"/>
      <c r="BJ313" s="68"/>
      <c r="BT313">
        <v>1</v>
      </c>
      <c r="BV313">
        <v>1</v>
      </c>
      <c r="BX313" s="68"/>
      <c r="BY313" s="68">
        <v>1</v>
      </c>
      <c r="BZ313" s="68">
        <v>0</v>
      </c>
      <c r="CA313" s="68">
        <v>0</v>
      </c>
      <c r="CB313" s="68">
        <v>0</v>
      </c>
      <c r="CC313" s="68">
        <f t="shared" si="98"/>
        <v>0</v>
      </c>
      <c r="CD313" s="68">
        <f t="shared" si="99"/>
        <v>0</v>
      </c>
    </row>
    <row r="314" spans="1:82" ht="15.75" customHeight="1" thickBot="1" x14ac:dyDescent="0.3">
      <c r="A314" s="9">
        <v>313</v>
      </c>
      <c r="B314" s="10" t="s">
        <v>452</v>
      </c>
      <c r="C314" s="10" t="s">
        <v>927</v>
      </c>
      <c r="D314" s="10" t="s">
        <v>17</v>
      </c>
      <c r="E314" s="51">
        <v>-112.28739472360201</v>
      </c>
      <c r="F314" s="51">
        <v>100.490521545747</v>
      </c>
      <c r="G314" s="51">
        <v>112.17223501138101</v>
      </c>
      <c r="H314" s="51">
        <v>83.896725298843805</v>
      </c>
      <c r="I314" s="11">
        <v>0</v>
      </c>
      <c r="J314" s="51">
        <v>4.9924176783643803</v>
      </c>
      <c r="K314" s="249">
        <f>IFERROR(VLOOKUP(C314,Schedule!$T$3:$U$34,2,0),"FA")</f>
        <v>9</v>
      </c>
      <c r="L314" s="10" t="str">
        <f>D314&amp;COUNTIF(D$2:$D314,D314)</f>
        <v>WR83</v>
      </c>
      <c r="M314" s="51">
        <f t="array" ref="M314">IFERROR(F314-AVERAGE(VLOOKUP(D314,$D315:$F$885,3,0),INDEX($F315:$F$885,SMALL(IF(D314=$D315:$D$885,ROW($D315:$D$885)-ROW(D314)),2))),0)</f>
        <v>2.4930887180172476</v>
      </c>
      <c r="N314" s="51">
        <f>IFERROR(IF(VLOOKUP($B314,Input!$AC$2:$AC$162,1,0)=$B314,0),F314)</f>
        <v>100.490521545747</v>
      </c>
      <c r="O314" s="51">
        <f>IFERROR(IF(VLOOKUP($B314,Input!$AC$2:$AC$162,1,0)=$B314,0,G314),G314)</f>
        <v>112.17223501138101</v>
      </c>
      <c r="P314" s="51">
        <f>IF(N314=0,0,F314-AVERAGE(INDEX(F:F,MATCH(VLOOKUP(D314,Input!$A$14:$L$22,10,0),L:L,0)),INDEX(F:F,MATCH(VLOOKUP(D314,Input!$A$14:$L$22,11,0),L:L,0)),INDEX(F:F,MATCH(VLOOKUP(D314,Input!$A$14:$L$22,12,0),L:L,0)))+(0.01-ROW()*0.01))</f>
        <v>-115.41739472360202</v>
      </c>
      <c r="Q314" s="107">
        <f t="shared" si="94"/>
        <v>-3.9818186440082996E-2</v>
      </c>
      <c r="R314" s="11">
        <f>IF(VLOOKUP($D314,$X$14:$Y$19,2,0)&lt;=0,1,IF(Q314&lt;0,1,ROUNDUP(IF(Q314*('Draft Center'!$L$28+'Draft Center'!$L$78-'Draft Center'!$L$82)&lt;1,1,Q314*('Draft Center'!$L$28+'Draft Center'!$L$78-'Draft Center'!$L$82)),0)))</f>
        <v>1</v>
      </c>
      <c r="S314" s="11">
        <f>IF(A314&lt;Input!$B$10+0.1,IF(ROUNDUP(R314*Input!$C$10,0)=0,1,ROUNDUP(R314*Input!$C$10,0)),IF(A314&gt;Input!$B$11,IF(ROUNDUP(R314*Input!$C$11,0)=0,1,ROUNDUP(R314*Input!$C$11,0)),IF(ROUNDUP(R314,0)=0,1,ROUNDUP(R314,0))))</f>
        <v>1</v>
      </c>
      <c r="T314" s="11">
        <f t="shared" si="95"/>
        <v>1</v>
      </c>
      <c r="U314" s="11">
        <f>IFERROR(VLOOKUP($B314,Input!$AC$2:$AE$161,3,0),0)</f>
        <v>0</v>
      </c>
      <c r="V314" s="257">
        <f t="shared" si="96"/>
        <v>0</v>
      </c>
      <c r="W314" s="264">
        <f t="shared" si="97"/>
        <v>1.0031399999999999</v>
      </c>
      <c r="X314" s="68"/>
      <c r="Y314" s="68"/>
      <c r="Z314" s="68"/>
      <c r="AA314" s="68"/>
      <c r="AB314" s="68"/>
      <c r="AC314" s="68"/>
      <c r="AD314" s="68"/>
      <c r="AE314" s="68"/>
      <c r="AF314" s="68"/>
      <c r="AG314" s="68"/>
      <c r="AH314" s="68"/>
      <c r="AI314" s="68"/>
      <c r="AJ314" s="68">
        <v>1</v>
      </c>
      <c r="AL314" s="68">
        <v>1</v>
      </c>
      <c r="AM314" s="68"/>
      <c r="AN314" s="68"/>
      <c r="AO314" s="68"/>
      <c r="AQ314" s="68"/>
      <c r="AR314" s="68"/>
      <c r="AS314" s="68"/>
      <c r="AT314" s="68"/>
      <c r="AU314" s="68"/>
      <c r="AV314" s="68"/>
      <c r="AW314" s="68"/>
      <c r="AX314" s="68"/>
      <c r="AY314" s="68"/>
      <c r="AZ314" s="68"/>
      <c r="BB314" s="68"/>
      <c r="BC314" s="68"/>
      <c r="BJ314" s="68"/>
      <c r="BT314">
        <v>1</v>
      </c>
      <c r="BV314">
        <v>1</v>
      </c>
      <c r="BX314" s="68"/>
      <c r="BY314" s="68">
        <v>1</v>
      </c>
      <c r="BZ314" s="68">
        <v>0</v>
      </c>
      <c r="CA314" s="68">
        <v>0</v>
      </c>
      <c r="CB314" s="68">
        <v>0</v>
      </c>
      <c r="CC314" s="68">
        <f t="shared" si="98"/>
        <v>0</v>
      </c>
      <c r="CD314" s="68">
        <f t="shared" si="99"/>
        <v>0</v>
      </c>
    </row>
    <row r="315" spans="1:82" ht="15.75" customHeight="1" thickBot="1" x14ac:dyDescent="0.3">
      <c r="A315" s="6">
        <v>314</v>
      </c>
      <c r="B315" s="7" t="s">
        <v>347</v>
      </c>
      <c r="C315" s="7" t="s">
        <v>31</v>
      </c>
      <c r="D315" s="7" t="s">
        <v>19</v>
      </c>
      <c r="E315" s="50">
        <v>-113.513287092512</v>
      </c>
      <c r="F315" s="50">
        <v>55.589110933440097</v>
      </c>
      <c r="G315" s="50">
        <v>77.619431628933299</v>
      </c>
      <c r="H315" s="50">
        <v>9.8778446012149708</v>
      </c>
      <c r="I315" s="8">
        <v>0</v>
      </c>
      <c r="J315" s="50">
        <v>6.4417422241185296</v>
      </c>
      <c r="K315" s="248">
        <f>IFERROR(VLOOKUP(C315,Schedule!$T$3:$U$34,2,0),"FA")</f>
        <v>9</v>
      </c>
      <c r="L315" s="7" t="str">
        <f>D315&amp;COUNTIF(D$2:$D315,D315)</f>
        <v>RB80</v>
      </c>
      <c r="M315" s="50">
        <f t="array" ref="M315">IFERROR(F315-AVERAGE(VLOOKUP(D315,$D316:$F$885,3,0),INDEX($F316:$F$885,SMALL(IF(D315=$D316:$D$885,ROW($D316:$D$885)-ROW(D315)),2))),0)</f>
        <v>0.14917309746660123</v>
      </c>
      <c r="N315" s="50">
        <f>IFERROR(IF(VLOOKUP($B315,Input!$AC$2:$AC$162,1,0)=$B315,0),F315)</f>
        <v>55.589110933440097</v>
      </c>
      <c r="O315" s="50">
        <f>IFERROR(IF(VLOOKUP($B315,Input!$AC$2:$AC$162,1,0)=$B315,0,G315),G315)</f>
        <v>77.619431628933299</v>
      </c>
      <c r="P315" s="50">
        <f>IF(N315=0,0,F315-AVERAGE(INDEX(F:F,MATCH(VLOOKUP(D315,Input!$A$14:$L$22,10,0),L:L,0)),INDEX(F:F,MATCH(VLOOKUP(D315,Input!$A$14:$L$22,11,0),L:L,0)),INDEX(F:F,MATCH(VLOOKUP(D315,Input!$A$14:$L$22,12,0),L:L,0)))+(0.01-ROW()*0.01))</f>
        <v>-116.6532870925119</v>
      </c>
      <c r="Q315" s="106">
        <f t="shared" si="94"/>
        <v>-4.0244560583105181E-2</v>
      </c>
      <c r="R315" s="8">
        <f>IF(VLOOKUP($D315,$X$14:$Y$19,2,0)&lt;=0,1,IF(Q315&lt;0,1,ROUNDUP(IF(Q315*('Draft Center'!$L$28+'Draft Center'!$L$78-'Draft Center'!$L$82)&lt;1,1,Q315*('Draft Center'!$L$28+'Draft Center'!$L$78-'Draft Center'!$L$82)),0)))</f>
        <v>1</v>
      </c>
      <c r="S315" s="8">
        <f>IF(A315&lt;Input!$B$10+0.1,IF(ROUNDUP(R315*Input!$C$10,0)=0,1,ROUNDUP(R315*Input!$C$10,0)),IF(A315&gt;Input!$B$11,IF(ROUNDUP(R315*Input!$C$11,0)=0,1,ROUNDUP(R315*Input!$C$11,0)),IF(ROUNDUP(R315,0)=0,1,ROUNDUP(R315,0))))</f>
        <v>1</v>
      </c>
      <c r="T315" s="8">
        <f t="shared" si="95"/>
        <v>1</v>
      </c>
      <c r="U315" s="8">
        <f>IFERROR(VLOOKUP($B315,Input!$AC$2:$AE$161,3,0),0)</f>
        <v>0</v>
      </c>
      <c r="V315" s="256">
        <f t="shared" si="96"/>
        <v>0</v>
      </c>
      <c r="W315" s="263">
        <f t="shared" si="97"/>
        <v>1.00315</v>
      </c>
      <c r="X315" s="68"/>
      <c r="Y315" s="68"/>
      <c r="Z315" s="68"/>
      <c r="AA315" s="68"/>
      <c r="AB315" s="68"/>
      <c r="AC315" s="68"/>
      <c r="AD315" s="68"/>
      <c r="AE315" s="68"/>
      <c r="AF315" s="68"/>
      <c r="AG315" s="68"/>
      <c r="AH315" s="68"/>
      <c r="AI315" s="68"/>
      <c r="AJ315" s="68">
        <v>1</v>
      </c>
      <c r="AL315" s="68">
        <v>1</v>
      </c>
      <c r="AM315" s="68"/>
      <c r="AN315" s="68"/>
      <c r="AO315" s="68"/>
      <c r="AQ315" s="68"/>
      <c r="AR315" s="68"/>
      <c r="AS315" s="68"/>
      <c r="AT315" s="68"/>
      <c r="AU315" s="68"/>
      <c r="AV315" s="68"/>
      <c r="AW315" s="68"/>
      <c r="AX315" s="68"/>
      <c r="AY315" s="68"/>
      <c r="AZ315" s="68"/>
      <c r="BB315" s="68"/>
      <c r="BC315" s="68"/>
      <c r="BJ315" s="68"/>
      <c r="BT315">
        <v>1</v>
      </c>
      <c r="BV315">
        <v>1</v>
      </c>
      <c r="BX315" s="68"/>
      <c r="BY315" s="68">
        <v>1</v>
      </c>
      <c r="BZ315" s="68">
        <v>0</v>
      </c>
      <c r="CA315" s="68">
        <v>0</v>
      </c>
      <c r="CB315" s="68">
        <v>0</v>
      </c>
      <c r="CC315" s="68">
        <f t="shared" si="98"/>
        <v>0</v>
      </c>
      <c r="CD315" s="68">
        <f t="shared" si="99"/>
        <v>0</v>
      </c>
    </row>
    <row r="316" spans="1:82" ht="15.75" customHeight="1" thickBot="1" x14ac:dyDescent="0.3">
      <c r="A316" s="9">
        <v>315</v>
      </c>
      <c r="B316" s="10" t="s">
        <v>778</v>
      </c>
      <c r="C316" s="10" t="s">
        <v>47</v>
      </c>
      <c r="D316" s="10" t="s">
        <v>19</v>
      </c>
      <c r="E316" s="51">
        <v>-113.546909203238</v>
      </c>
      <c r="F316" s="51">
        <v>55.555488822713599</v>
      </c>
      <c r="G316" s="51">
        <v>64.174887696503404</v>
      </c>
      <c r="H316" s="51">
        <v>10.8732524271845</v>
      </c>
      <c r="I316" s="11">
        <v>0</v>
      </c>
      <c r="J316" s="51">
        <v>5.7340880247297799</v>
      </c>
      <c r="K316" s="249">
        <f>IFERROR(VLOOKUP(C316,Schedule!$T$3:$U$34,2,0),"FA")</f>
        <v>10</v>
      </c>
      <c r="L316" s="10" t="str">
        <f>D316&amp;COUNTIF(D$2:$D316,D316)</f>
        <v>RB81</v>
      </c>
      <c r="M316" s="51">
        <f t="array" ref="M316">IFERROR(F316-AVERAGE(VLOOKUP(D316,$D317:$F$885,3,0),INDEX($F317:$F$885,SMALL(IF(D316=$D317:$D$885,ROW($D317:$D$885)-ROW(D316)),2))),0)</f>
        <v>0.668478676461703</v>
      </c>
      <c r="N316" s="51">
        <f>IFERROR(IF(VLOOKUP($B316,Input!$AC$2:$AC$162,1,0)=$B316,0),F316)</f>
        <v>55.555488822713599</v>
      </c>
      <c r="O316" s="51">
        <f>IFERROR(IF(VLOOKUP($B316,Input!$AC$2:$AC$162,1,0)=$B316,0,G316),G316)</f>
        <v>64.174887696503404</v>
      </c>
      <c r="P316" s="51">
        <f>IF(N316=0,0,F316-AVERAGE(INDEX(F:F,MATCH(VLOOKUP(D316,Input!$A$14:$L$22,10,0),L:L,0)),INDEX(F:F,MATCH(VLOOKUP(D316,Input!$A$14:$L$22,11,0),L:L,0)),INDEX(F:F,MATCH(VLOOKUP(D316,Input!$A$14:$L$22,12,0),L:L,0)))+(0.01-ROW()*0.01))</f>
        <v>-116.69690920323841</v>
      </c>
      <c r="Q316" s="107">
        <f t="shared" si="94"/>
        <v>-4.0259609903374259E-2</v>
      </c>
      <c r="R316" s="11">
        <f>IF(VLOOKUP($D316,$X$14:$Y$19,2,0)&lt;=0,1,IF(Q316&lt;0,1,ROUNDUP(IF(Q316*('Draft Center'!$L$28+'Draft Center'!$L$78-'Draft Center'!$L$82)&lt;1,1,Q316*('Draft Center'!$L$28+'Draft Center'!$L$78-'Draft Center'!$L$82)),0)))</f>
        <v>1</v>
      </c>
      <c r="S316" s="11">
        <f>IF(A316&lt;Input!$B$10+0.1,IF(ROUNDUP(R316*Input!$C$10,0)=0,1,ROUNDUP(R316*Input!$C$10,0)),IF(A316&gt;Input!$B$11,IF(ROUNDUP(R316*Input!$C$11,0)=0,1,ROUNDUP(R316*Input!$C$11,0)),IF(ROUNDUP(R316,0)=0,1,ROUNDUP(R316,0))))</f>
        <v>1</v>
      </c>
      <c r="T316" s="11">
        <f t="shared" si="95"/>
        <v>1</v>
      </c>
      <c r="U316" s="11">
        <f>IFERROR(VLOOKUP($B316,Input!$AC$2:$AE$161,3,0),0)</f>
        <v>0</v>
      </c>
      <c r="V316" s="257">
        <f t="shared" si="96"/>
        <v>0</v>
      </c>
      <c r="W316" s="264">
        <f t="shared" si="97"/>
        <v>1.0031600000000001</v>
      </c>
      <c r="X316" s="68"/>
      <c r="Y316" s="68"/>
      <c r="Z316" s="68"/>
      <c r="AA316" s="68"/>
      <c r="AB316" s="68"/>
      <c r="AC316" s="68"/>
      <c r="AD316" s="68"/>
      <c r="AE316" s="68"/>
      <c r="AF316" s="68"/>
      <c r="AG316" s="68"/>
      <c r="AH316" s="68"/>
      <c r="AI316" s="68"/>
      <c r="AJ316" s="68">
        <v>1</v>
      </c>
      <c r="AL316" s="68">
        <v>1</v>
      </c>
      <c r="AM316" s="68"/>
      <c r="AN316" s="68"/>
      <c r="AO316" s="68"/>
      <c r="AQ316" s="68"/>
      <c r="AR316" s="68"/>
      <c r="AS316" s="68"/>
      <c r="AT316" s="68"/>
      <c r="AU316" s="68"/>
      <c r="AV316" s="68"/>
      <c r="AW316" s="68"/>
      <c r="AX316" s="68"/>
      <c r="AY316" s="68"/>
      <c r="AZ316" s="68"/>
      <c r="BB316" s="68"/>
      <c r="BC316" s="68"/>
      <c r="BJ316" s="68"/>
      <c r="BT316">
        <v>1</v>
      </c>
      <c r="BV316">
        <v>1</v>
      </c>
      <c r="BX316" s="68"/>
      <c r="BY316" s="68">
        <v>1</v>
      </c>
      <c r="BZ316" s="68">
        <v>0</v>
      </c>
      <c r="CA316" s="68">
        <v>0</v>
      </c>
      <c r="CB316" s="68">
        <v>0</v>
      </c>
      <c r="CC316" s="68">
        <f t="shared" si="98"/>
        <v>0</v>
      </c>
      <c r="CD316" s="68">
        <f t="shared" si="99"/>
        <v>0</v>
      </c>
    </row>
    <row r="317" spans="1:82" ht="15.75" customHeight="1" thickBot="1" x14ac:dyDescent="0.3">
      <c r="A317" s="6">
        <v>316</v>
      </c>
      <c r="B317" s="7" t="s">
        <v>376</v>
      </c>
      <c r="C317" s="7" t="s">
        <v>68</v>
      </c>
      <c r="D317" s="7" t="s">
        <v>19</v>
      </c>
      <c r="E317" s="50">
        <v>-113.778011176718</v>
      </c>
      <c r="F317" s="50">
        <v>55.324386849233399</v>
      </c>
      <c r="G317" s="50">
        <v>76.639115991961006</v>
      </c>
      <c r="H317" s="50">
        <v>19.6000110131295</v>
      </c>
      <c r="I317" s="8">
        <v>0</v>
      </c>
      <c r="J317" s="50">
        <v>6.8427677703713901</v>
      </c>
      <c r="K317" s="248">
        <f>IFERROR(VLOOKUP(C317,Schedule!$T$3:$U$34,2,0),"FA")</f>
        <v>8</v>
      </c>
      <c r="L317" s="7" t="str">
        <f>D317&amp;COUNTIF(D$2:$D317,D317)</f>
        <v>RB82</v>
      </c>
      <c r="M317" s="50">
        <f t="array" ref="M317">IFERROR(F317-AVERAGE(VLOOKUP(D317,$D318:$F$885,3,0),INDEX($F318:$F$885,SMALL(IF(D317=$D318:$D$885,ROW($D318:$D$885)-ROW(D317)),2))),0)</f>
        <v>1.4830928423464442</v>
      </c>
      <c r="N317" s="50">
        <f>IFERROR(IF(VLOOKUP($B317,Input!$AC$2:$AC$162,1,0)=$B317,0),F317)</f>
        <v>55.324386849233399</v>
      </c>
      <c r="O317" s="50">
        <f>IFERROR(IF(VLOOKUP($B317,Input!$AC$2:$AC$162,1,0)=$B317,0,G317),G317)</f>
        <v>76.639115991961006</v>
      </c>
      <c r="P317" s="50">
        <f>IF(N317=0,0,F317-AVERAGE(INDEX(F:F,MATCH(VLOOKUP(D317,Input!$A$14:$L$22,10,0),L:L,0)),INDEX(F:F,MATCH(VLOOKUP(D317,Input!$A$14:$L$22,11,0),L:L,0)),INDEX(F:F,MATCH(VLOOKUP(D317,Input!$A$14:$L$22,12,0),L:L,0)))+(0.01-ROW()*0.01))</f>
        <v>-116.93801117671859</v>
      </c>
      <c r="Q317" s="106">
        <f t="shared" si="94"/>
        <v>-4.0342788382269026E-2</v>
      </c>
      <c r="R317" s="8">
        <f>IF(VLOOKUP($D317,$X$14:$Y$19,2,0)&lt;=0,1,IF(Q317&lt;0,1,ROUNDUP(IF(Q317*('Draft Center'!$L$28+'Draft Center'!$L$78-'Draft Center'!$L$82)&lt;1,1,Q317*('Draft Center'!$L$28+'Draft Center'!$L$78-'Draft Center'!$L$82)),0)))</f>
        <v>1</v>
      </c>
      <c r="S317" s="8">
        <f>IF(A317&lt;Input!$B$10+0.1,IF(ROUNDUP(R317*Input!$C$10,0)=0,1,ROUNDUP(R317*Input!$C$10,0)),IF(A317&gt;Input!$B$11,IF(ROUNDUP(R317*Input!$C$11,0)=0,1,ROUNDUP(R317*Input!$C$11,0)),IF(ROUNDUP(R317,0)=0,1,ROUNDUP(R317,0))))</f>
        <v>1</v>
      </c>
      <c r="T317" s="8">
        <f t="shared" si="95"/>
        <v>1</v>
      </c>
      <c r="U317" s="8">
        <f>IFERROR(VLOOKUP($B317,Input!$AC$2:$AE$161,3,0),0)</f>
        <v>0</v>
      </c>
      <c r="V317" s="256">
        <f t="shared" si="96"/>
        <v>0</v>
      </c>
      <c r="W317" s="263">
        <f t="shared" si="97"/>
        <v>1.0031699999999999</v>
      </c>
      <c r="X317" s="68"/>
      <c r="Y317" s="68"/>
      <c r="Z317" s="68"/>
      <c r="AA317" s="68"/>
      <c r="AB317" s="68"/>
      <c r="AC317" s="68"/>
      <c r="AD317" s="68"/>
      <c r="AE317" s="68"/>
      <c r="AF317" s="68"/>
      <c r="AG317" s="68"/>
      <c r="AH317" s="68"/>
      <c r="AI317" s="68"/>
      <c r="AJ317" s="68">
        <v>1</v>
      </c>
      <c r="AL317" s="68">
        <v>1</v>
      </c>
      <c r="AM317" s="68"/>
      <c r="AN317" s="68"/>
      <c r="AO317" s="68"/>
      <c r="AQ317" s="68"/>
      <c r="AR317" s="68"/>
      <c r="AS317" s="68"/>
      <c r="AT317" s="68"/>
      <c r="AU317" s="68"/>
      <c r="AV317" s="68"/>
      <c r="AW317" s="68"/>
      <c r="AX317" s="68"/>
      <c r="AY317" s="68"/>
      <c r="AZ317" s="68"/>
      <c r="BB317" s="68"/>
      <c r="BC317" s="68"/>
      <c r="BJ317" s="68"/>
      <c r="BT317">
        <v>1</v>
      </c>
      <c r="BV317">
        <v>1</v>
      </c>
      <c r="BX317" s="68"/>
      <c r="BY317" s="68">
        <v>1</v>
      </c>
      <c r="BZ317" s="68">
        <v>0</v>
      </c>
      <c r="CA317" s="68">
        <v>0</v>
      </c>
      <c r="CB317" s="68">
        <v>0</v>
      </c>
      <c r="CC317" s="68">
        <f t="shared" si="98"/>
        <v>0</v>
      </c>
      <c r="CD317" s="68">
        <f t="shared" si="99"/>
        <v>0</v>
      </c>
    </row>
    <row r="318" spans="1:82" ht="15.75" customHeight="1" thickBot="1" x14ac:dyDescent="0.3">
      <c r="A318" s="9">
        <v>317</v>
      </c>
      <c r="B318" s="10" t="s">
        <v>963</v>
      </c>
      <c r="C318" s="10" t="s">
        <v>36</v>
      </c>
      <c r="D318" s="10" t="s">
        <v>17</v>
      </c>
      <c r="E318" s="51">
        <v>-114.24620298016799</v>
      </c>
      <c r="F318" s="51">
        <v>98.531713289180999</v>
      </c>
      <c r="G318" s="51">
        <v>135.65889748922999</v>
      </c>
      <c r="H318" s="51">
        <v>53.637961395257697</v>
      </c>
      <c r="I318" s="11">
        <v>0</v>
      </c>
      <c r="J318" s="51">
        <v>7.09966572841165</v>
      </c>
      <c r="K318" s="249">
        <f>IFERROR(VLOOKUP(C318,Schedule!$T$3:$U$34,2,0),"FA")</f>
        <v>7</v>
      </c>
      <c r="L318" s="10" t="str">
        <f>D318&amp;COUNTIF(D$2:$D318,D318)</f>
        <v>WR84</v>
      </c>
      <c r="M318" s="51">
        <f t="array" ref="M318">IFERROR(F318-AVERAGE(VLOOKUP(D318,$D319:$F$885,3,0),INDEX($F319:$F$885,SMALL(IF(D318=$D319:$D$885,ROW($D319:$D$885)-ROW(D318)),2))),0)</f>
        <v>1.1607669963717058</v>
      </c>
      <c r="N318" s="51">
        <f>IFERROR(IF(VLOOKUP($B318,Input!$AC$2:$AC$162,1,0)=$B318,0),F318)</f>
        <v>98.531713289180999</v>
      </c>
      <c r="O318" s="51">
        <f>IFERROR(IF(VLOOKUP($B318,Input!$AC$2:$AC$162,1,0)=$B318,0,G318),G318)</f>
        <v>135.65889748922999</v>
      </c>
      <c r="P318" s="51">
        <f>IF(N318=0,0,F318-AVERAGE(INDEX(F:F,MATCH(VLOOKUP(D318,Input!$A$14:$L$22,10,0),L:L,0)),INDEX(F:F,MATCH(VLOOKUP(D318,Input!$A$14:$L$22,11,0),L:L,0)),INDEX(F:F,MATCH(VLOOKUP(D318,Input!$A$14:$L$22,12,0),L:L,0)))+(0.01-ROW()*0.01))</f>
        <v>-117.41620298016802</v>
      </c>
      <c r="Q318" s="107">
        <f t="shared" si="94"/>
        <v>-4.0507761178869291E-2</v>
      </c>
      <c r="R318" s="11">
        <f>IF(VLOOKUP($D318,$X$14:$Y$19,2,0)&lt;=0,1,IF(Q318&lt;0,1,ROUNDUP(IF(Q318*('Draft Center'!$L$28+'Draft Center'!$L$78-'Draft Center'!$L$82)&lt;1,1,Q318*('Draft Center'!$L$28+'Draft Center'!$L$78-'Draft Center'!$L$82)),0)))</f>
        <v>1</v>
      </c>
      <c r="S318" s="11">
        <f>IF(A318&lt;Input!$B$10+0.1,IF(ROUNDUP(R318*Input!$C$10,0)=0,1,ROUNDUP(R318*Input!$C$10,0)),IF(A318&gt;Input!$B$11,IF(ROUNDUP(R318*Input!$C$11,0)=0,1,ROUNDUP(R318*Input!$C$11,0)),IF(ROUNDUP(R318,0)=0,1,ROUNDUP(R318,0))))</f>
        <v>1</v>
      </c>
      <c r="T318" s="11">
        <f t="shared" si="95"/>
        <v>1</v>
      </c>
      <c r="U318" s="11">
        <f>IFERROR(VLOOKUP($B318,Input!$AC$2:$AE$161,3,0),0)</f>
        <v>0</v>
      </c>
      <c r="V318" s="257">
        <f t="shared" si="96"/>
        <v>0</v>
      </c>
      <c r="W318" s="264">
        <f t="shared" si="97"/>
        <v>1.00318</v>
      </c>
      <c r="X318" s="68"/>
      <c r="Y318" s="68"/>
      <c r="Z318" s="68"/>
      <c r="AA318" s="68"/>
      <c r="AB318" s="68"/>
      <c r="AC318" s="68"/>
      <c r="AD318" s="68"/>
      <c r="AE318" s="68"/>
      <c r="AF318" s="68"/>
      <c r="AG318" s="68"/>
      <c r="AH318" s="68"/>
      <c r="AI318" s="68"/>
      <c r="AJ318" s="68">
        <v>1</v>
      </c>
      <c r="AL318" s="68">
        <v>1</v>
      </c>
      <c r="AM318" s="68"/>
      <c r="AN318" s="68"/>
      <c r="AO318" s="68"/>
      <c r="AQ318" s="68"/>
      <c r="AR318" s="68"/>
      <c r="AS318" s="68"/>
      <c r="AT318" s="68"/>
      <c r="AU318" s="68"/>
      <c r="AV318" s="68"/>
      <c r="AW318" s="68"/>
      <c r="AX318" s="68"/>
      <c r="AY318" s="68"/>
      <c r="AZ318" s="68"/>
      <c r="BB318" s="68"/>
      <c r="BC318" s="68"/>
      <c r="BJ318" s="68"/>
      <c r="BT318">
        <v>1</v>
      </c>
      <c r="BV318">
        <v>1</v>
      </c>
      <c r="BX318" s="68"/>
      <c r="BY318" s="68">
        <v>1</v>
      </c>
      <c r="BZ318" s="68">
        <v>0</v>
      </c>
      <c r="CA318" s="68">
        <v>0</v>
      </c>
      <c r="CB318" s="68">
        <v>0</v>
      </c>
      <c r="CC318" s="68">
        <f t="shared" si="98"/>
        <v>0</v>
      </c>
      <c r="CD318" s="68">
        <f t="shared" si="99"/>
        <v>0</v>
      </c>
    </row>
    <row r="319" spans="1:82" ht="15.75" customHeight="1" thickBot="1" x14ac:dyDescent="0.3">
      <c r="A319" s="6">
        <v>318</v>
      </c>
      <c r="B319" s="7" t="s">
        <v>253</v>
      </c>
      <c r="C319" s="7" t="s">
        <v>83</v>
      </c>
      <c r="D319" s="7" t="s">
        <v>19</v>
      </c>
      <c r="E319" s="50">
        <v>-114.652764582681</v>
      </c>
      <c r="F319" s="50">
        <v>54.4496334432704</v>
      </c>
      <c r="G319" s="50">
        <v>84.765733944954107</v>
      </c>
      <c r="H319" s="50">
        <v>-1.07950481430536</v>
      </c>
      <c r="I319" s="8">
        <v>0</v>
      </c>
      <c r="J319" s="50">
        <v>10.025828988538599</v>
      </c>
      <c r="K319" s="248">
        <f>IFERROR(VLOOKUP(C319,Schedule!$T$3:$U$34,2,0),"FA")</f>
        <v>5</v>
      </c>
      <c r="L319" s="7" t="str">
        <f>D319&amp;COUNTIF(D$2:$D319,D319)</f>
        <v>RB83</v>
      </c>
      <c r="M319" s="50">
        <f t="array" ref="M319">IFERROR(F319-AVERAGE(VLOOKUP(D319,$D320:$F$885,3,0),INDEX($F320:$F$885,SMALL(IF(D319=$D320:$D$885,ROW($D320:$D$885)-ROW(D319)),2))),0)</f>
        <v>1.329026112066245</v>
      </c>
      <c r="N319" s="50">
        <f>IFERROR(IF(VLOOKUP($B319,Input!$AC$2:$AC$162,1,0)=$B319,0),F319)</f>
        <v>54.4496334432704</v>
      </c>
      <c r="O319" s="50">
        <f>IFERROR(IF(VLOOKUP($B319,Input!$AC$2:$AC$162,1,0)=$B319,0,G319),G319)</f>
        <v>84.765733944954107</v>
      </c>
      <c r="P319" s="50">
        <f>IF(N319=0,0,F319-AVERAGE(INDEX(F:F,MATCH(VLOOKUP(D319,Input!$A$14:$L$22,10,0),L:L,0)),INDEX(F:F,MATCH(VLOOKUP(D319,Input!$A$14:$L$22,11,0),L:L,0)),INDEX(F:F,MATCH(VLOOKUP(D319,Input!$A$14:$L$22,12,0),L:L,0)))+(0.01-ROW()*0.01))</f>
        <v>-117.83276458268161</v>
      </c>
      <c r="Q319" s="106">
        <f t="shared" si="94"/>
        <v>-4.0651471991198632E-2</v>
      </c>
      <c r="R319" s="8">
        <f>IF(VLOOKUP($D319,$X$14:$Y$19,2,0)&lt;=0,1,IF(Q319&lt;0,1,ROUNDUP(IF(Q319*('Draft Center'!$L$28+'Draft Center'!$L$78-'Draft Center'!$L$82)&lt;1,1,Q319*('Draft Center'!$L$28+'Draft Center'!$L$78-'Draft Center'!$L$82)),0)))</f>
        <v>1</v>
      </c>
      <c r="S319" s="8">
        <f>IF(A319&lt;Input!$B$10+0.1,IF(ROUNDUP(R319*Input!$C$10,0)=0,1,ROUNDUP(R319*Input!$C$10,0)),IF(A319&gt;Input!$B$11,IF(ROUNDUP(R319*Input!$C$11,0)=0,1,ROUNDUP(R319*Input!$C$11,0)),IF(ROUNDUP(R319,0)=0,1,ROUNDUP(R319,0))))</f>
        <v>1</v>
      </c>
      <c r="T319" s="8">
        <f t="shared" si="95"/>
        <v>1</v>
      </c>
      <c r="U319" s="8">
        <f>IFERROR(VLOOKUP($B319,Input!$AC$2:$AE$161,3,0),0)</f>
        <v>0</v>
      </c>
      <c r="V319" s="256">
        <f t="shared" si="96"/>
        <v>0</v>
      </c>
      <c r="W319" s="263">
        <f t="shared" si="97"/>
        <v>1.00319</v>
      </c>
      <c r="X319" s="68"/>
      <c r="Y319" s="68"/>
      <c r="Z319" s="68"/>
      <c r="AA319" s="68"/>
      <c r="AB319" s="68"/>
      <c r="AC319" s="68"/>
      <c r="AD319" s="68"/>
      <c r="AE319" s="68"/>
      <c r="AF319" s="68"/>
      <c r="AG319" s="68"/>
      <c r="AH319" s="68"/>
      <c r="AI319" s="68"/>
      <c r="AJ319" s="68">
        <v>1</v>
      </c>
      <c r="AL319" s="68">
        <v>1</v>
      </c>
      <c r="AM319" s="68"/>
      <c r="AN319" s="68"/>
      <c r="AO319" s="68"/>
      <c r="AQ319" s="68"/>
      <c r="AR319" s="68"/>
      <c r="AS319" s="68"/>
      <c r="AT319" s="68"/>
      <c r="AU319" s="68"/>
      <c r="AV319" s="68"/>
      <c r="AW319" s="68"/>
      <c r="AX319" s="68"/>
      <c r="AY319" s="68"/>
      <c r="AZ319" s="68"/>
      <c r="BB319" s="68"/>
      <c r="BC319" s="68"/>
      <c r="BJ319" s="68"/>
      <c r="BT319">
        <v>1</v>
      </c>
      <c r="BV319">
        <v>1</v>
      </c>
      <c r="BX319" s="68"/>
      <c r="BY319" s="68">
        <v>1</v>
      </c>
      <c r="BZ319" s="68">
        <v>0</v>
      </c>
      <c r="CA319" s="68">
        <v>0</v>
      </c>
      <c r="CB319" s="68">
        <v>0</v>
      </c>
      <c r="CC319" s="68">
        <f t="shared" si="98"/>
        <v>0</v>
      </c>
      <c r="CD319" s="68">
        <f t="shared" si="99"/>
        <v>0</v>
      </c>
    </row>
    <row r="320" spans="1:82" ht="15.75" customHeight="1" thickBot="1" x14ac:dyDescent="0.3">
      <c r="A320" s="9">
        <v>319</v>
      </c>
      <c r="B320" s="10" t="s">
        <v>330</v>
      </c>
      <c r="C320" s="10" t="s">
        <v>38</v>
      </c>
      <c r="D320" s="10" t="s">
        <v>43</v>
      </c>
      <c r="E320" s="51">
        <v>-114.860414416246</v>
      </c>
      <c r="F320" s="51">
        <v>38.600504935962903</v>
      </c>
      <c r="G320" s="51">
        <v>50.367320411522599</v>
      </c>
      <c r="H320" s="51">
        <v>22.369936729297098</v>
      </c>
      <c r="I320" s="11">
        <v>0</v>
      </c>
      <c r="J320" s="51">
        <v>3.0323237420009299</v>
      </c>
      <c r="K320" s="249">
        <f>IFERROR(VLOOKUP(C320,Schedule!$T$3:$U$34,2,0),"FA")</f>
        <v>6</v>
      </c>
      <c r="L320" s="10" t="str">
        <f>D320&amp;COUNTIF(D$2:$D320,D320)</f>
        <v>TE58</v>
      </c>
      <c r="M320" s="51">
        <f t="array" ref="M320">IFERROR(F320-AVERAGE(VLOOKUP(D320,$D321:$F$885,3,0),INDEX($F321:$F$885,SMALL(IF(D320=$D321:$D$885,ROW($D321:$D$885)-ROW(D320)),2))),0)</f>
        <v>0.98013755674905667</v>
      </c>
      <c r="N320" s="51">
        <f>IFERROR(IF(VLOOKUP($B320,Input!$AC$2:$AC$162,1,0)=$B320,0),F320)</f>
        <v>38.600504935962903</v>
      </c>
      <c r="O320" s="51">
        <f>IFERROR(IF(VLOOKUP($B320,Input!$AC$2:$AC$162,1,0)=$B320,0,G320),G320)</f>
        <v>50.367320411522599</v>
      </c>
      <c r="P320" s="51">
        <f>IF(N320=0,0,F320-AVERAGE(INDEX(F:F,MATCH(VLOOKUP(D320,Input!$A$14:$L$22,10,0),L:L,0)),INDEX(F:F,MATCH(VLOOKUP(D320,Input!$A$14:$L$22,11,0),L:L,0)),INDEX(F:F,MATCH(VLOOKUP(D320,Input!$A$14:$L$22,12,0),L:L,0)))+(0.01-ROW()*0.01))</f>
        <v>-118.05041441624641</v>
      </c>
      <c r="Q320" s="107">
        <f t="shared" si="94"/>
        <v>-4.0726559647372908E-2</v>
      </c>
      <c r="R320" s="11">
        <f>IF(VLOOKUP($D320,$X$14:$Y$19,2,0)&lt;=0,1,IF(Q320&lt;0,1,ROUNDUP(IF(Q320*('Draft Center'!$L$28+'Draft Center'!$L$78-'Draft Center'!$L$82)&lt;1,1,Q320*('Draft Center'!$L$28+'Draft Center'!$L$78-'Draft Center'!$L$82)),0)))</f>
        <v>1</v>
      </c>
      <c r="S320" s="11">
        <f>IF(A320&lt;Input!$B$10+0.1,IF(ROUNDUP(R320*Input!$C$10,0)=0,1,ROUNDUP(R320*Input!$C$10,0)),IF(A320&gt;Input!$B$11,IF(ROUNDUP(R320*Input!$C$11,0)=0,1,ROUNDUP(R320*Input!$C$11,0)),IF(ROUNDUP(R320,0)=0,1,ROUNDUP(R320,0))))</f>
        <v>1</v>
      </c>
      <c r="T320" s="11">
        <f t="shared" si="95"/>
        <v>1</v>
      </c>
      <c r="U320" s="11">
        <f>IFERROR(VLOOKUP($B320,Input!$AC$2:$AE$161,3,0),0)</f>
        <v>0</v>
      </c>
      <c r="V320" s="257">
        <f t="shared" si="96"/>
        <v>0</v>
      </c>
      <c r="W320" s="264">
        <f t="shared" si="97"/>
        <v>1.0032000000000001</v>
      </c>
      <c r="X320" s="68"/>
      <c r="Y320" s="68"/>
      <c r="Z320" s="68"/>
      <c r="AA320" s="68"/>
      <c r="AB320" s="68"/>
      <c r="AC320" s="68"/>
      <c r="AD320" s="68"/>
      <c r="AE320" s="68"/>
      <c r="AF320" s="68"/>
      <c r="AG320" s="68"/>
      <c r="AH320" s="68"/>
      <c r="AI320" s="68"/>
      <c r="AJ320" s="68">
        <v>1</v>
      </c>
      <c r="AL320" s="68">
        <v>1</v>
      </c>
      <c r="AM320" s="68"/>
      <c r="AN320" s="68"/>
      <c r="AO320" s="68"/>
      <c r="AQ320" s="68"/>
      <c r="AR320" s="68"/>
      <c r="AS320" s="68"/>
      <c r="AT320" s="68"/>
      <c r="AU320" s="68"/>
      <c r="AV320" s="68"/>
      <c r="AW320" s="68"/>
      <c r="AX320" s="68"/>
      <c r="AY320" s="68"/>
      <c r="AZ320" s="68"/>
      <c r="BB320" s="68"/>
      <c r="BC320" s="68"/>
      <c r="BJ320" s="68"/>
      <c r="BT320">
        <v>1</v>
      </c>
      <c r="BV320">
        <v>1</v>
      </c>
      <c r="BX320" s="68"/>
      <c r="BY320" s="68">
        <v>1</v>
      </c>
      <c r="BZ320" s="68">
        <v>0</v>
      </c>
      <c r="CA320" s="68">
        <v>0</v>
      </c>
      <c r="CB320" s="68">
        <v>0</v>
      </c>
      <c r="CC320" s="68">
        <f t="shared" si="98"/>
        <v>0</v>
      </c>
      <c r="CD320" s="68">
        <f t="shared" si="99"/>
        <v>0</v>
      </c>
    </row>
    <row r="321" spans="1:82" ht="15.75" customHeight="1" thickBot="1" x14ac:dyDescent="0.3">
      <c r="A321" s="6">
        <v>320</v>
      </c>
      <c r="B321" s="7" t="s">
        <v>397</v>
      </c>
      <c r="C321" s="7" t="s">
        <v>21</v>
      </c>
      <c r="D321" s="7" t="s">
        <v>43</v>
      </c>
      <c r="E321" s="50">
        <v>-115.301406386102</v>
      </c>
      <c r="F321" s="50">
        <v>38.159512966107599</v>
      </c>
      <c r="G321" s="50">
        <v>63.447607916937798</v>
      </c>
      <c r="H321" s="50">
        <v>15.9126420928865</v>
      </c>
      <c r="I321" s="8">
        <v>0</v>
      </c>
      <c r="J321" s="50">
        <v>11.811710912425401</v>
      </c>
      <c r="K321" s="248">
        <f>IFERROR(VLOOKUP(C321,Schedule!$T$3:$U$34,2,0),"FA")</f>
        <v>5</v>
      </c>
      <c r="L321" s="7" t="str">
        <f>D321&amp;COUNTIF(D$2:$D321,D321)</f>
        <v>TE59</v>
      </c>
      <c r="M321" s="50">
        <f t="array" ref="M321">IFERROR(F321-AVERAGE(VLOOKUP(D321,$D322:$F$885,3,0),INDEX($F322:$F$885,SMALL(IF(D321=$D322:$D$885,ROW($D322:$D$885)-ROW(D321)),2))),0)</f>
        <v>1.3371803608633002</v>
      </c>
      <c r="N321" s="50">
        <f>IFERROR(IF(VLOOKUP($B321,Input!$AC$2:$AC$162,1,0)=$B321,0),F321)</f>
        <v>38.159512966107599</v>
      </c>
      <c r="O321" s="50">
        <f>IFERROR(IF(VLOOKUP($B321,Input!$AC$2:$AC$162,1,0)=$B321,0,G321),G321)</f>
        <v>63.447607916937798</v>
      </c>
      <c r="P321" s="50">
        <f>IF(N321=0,0,F321-AVERAGE(INDEX(F:F,MATCH(VLOOKUP(D321,Input!$A$14:$L$22,10,0),L:L,0)),INDEX(F:F,MATCH(VLOOKUP(D321,Input!$A$14:$L$22,11,0),L:L,0)),INDEX(F:F,MATCH(VLOOKUP(D321,Input!$A$14:$L$22,12,0),L:L,0)))+(0.01-ROW()*0.01))</f>
        <v>-118.50140638610172</v>
      </c>
      <c r="Q321" s="106">
        <f t="shared" si="94"/>
        <v>-4.0882148693388749E-2</v>
      </c>
      <c r="R321" s="8">
        <f>IF(VLOOKUP($D321,$X$14:$Y$19,2,0)&lt;=0,1,IF(Q321&lt;0,1,ROUNDUP(IF(Q321*('Draft Center'!$L$28+'Draft Center'!$L$78-'Draft Center'!$L$82)&lt;1,1,Q321*('Draft Center'!$L$28+'Draft Center'!$L$78-'Draft Center'!$L$82)),0)))</f>
        <v>1</v>
      </c>
      <c r="S321" s="8">
        <f>IF(A321&lt;Input!$B$10+0.1,IF(ROUNDUP(R321*Input!$C$10,0)=0,1,ROUNDUP(R321*Input!$C$10,0)),IF(A321&gt;Input!$B$11,IF(ROUNDUP(R321*Input!$C$11,0)=0,1,ROUNDUP(R321*Input!$C$11,0)),IF(ROUNDUP(R321,0)=0,1,ROUNDUP(R321,0))))</f>
        <v>1</v>
      </c>
      <c r="T321" s="8">
        <f t="shared" si="95"/>
        <v>1</v>
      </c>
      <c r="U321" s="8">
        <f>IFERROR(VLOOKUP($B321,Input!$AC$2:$AE$161,3,0),0)</f>
        <v>0</v>
      </c>
      <c r="V321" s="256">
        <f t="shared" si="96"/>
        <v>0</v>
      </c>
      <c r="W321" s="263">
        <f t="shared" si="97"/>
        <v>1.0032099999999999</v>
      </c>
      <c r="X321" s="68"/>
      <c r="Y321" s="68"/>
      <c r="Z321" s="68"/>
      <c r="AA321" s="68"/>
      <c r="AB321" s="68"/>
      <c r="AC321" s="68"/>
      <c r="AD321" s="68"/>
      <c r="AE321" s="68"/>
      <c r="AF321" s="68"/>
      <c r="AG321" s="68"/>
      <c r="AH321" s="68"/>
      <c r="AI321" s="68"/>
      <c r="AJ321" s="68">
        <v>1</v>
      </c>
      <c r="AL321" s="68">
        <v>1</v>
      </c>
      <c r="AM321" s="68"/>
      <c r="AN321" s="68"/>
      <c r="AO321" s="68"/>
      <c r="AQ321" s="68"/>
      <c r="AR321" s="68"/>
      <c r="AS321" s="68"/>
      <c r="AT321" s="68"/>
      <c r="AU321" s="68"/>
      <c r="AV321" s="68"/>
      <c r="AW321" s="68"/>
      <c r="AX321" s="68"/>
      <c r="AY321" s="68"/>
      <c r="AZ321" s="68"/>
      <c r="BB321" s="68"/>
      <c r="BC321" s="68"/>
      <c r="BJ321" s="68"/>
      <c r="BT321">
        <v>1</v>
      </c>
      <c r="BV321">
        <v>1</v>
      </c>
      <c r="BX321" s="68"/>
      <c r="BY321" s="68">
        <v>1</v>
      </c>
      <c r="BZ321" s="68">
        <v>0</v>
      </c>
      <c r="CA321" s="68">
        <v>0</v>
      </c>
      <c r="CB321" s="68">
        <v>0</v>
      </c>
      <c r="CC321" s="68">
        <f t="shared" si="98"/>
        <v>0</v>
      </c>
      <c r="CD321" s="68">
        <f t="shared" si="99"/>
        <v>0</v>
      </c>
    </row>
    <row r="322" spans="1:82" ht="15.75" customHeight="1" thickBot="1" x14ac:dyDescent="0.3">
      <c r="A322" s="9">
        <v>321</v>
      </c>
      <c r="B322" s="10" t="s">
        <v>250</v>
      </c>
      <c r="C322" s="10" t="s">
        <v>38</v>
      </c>
      <c r="D322" s="10" t="s">
        <v>17</v>
      </c>
      <c r="E322" s="51">
        <v>-115.314763903071</v>
      </c>
      <c r="F322" s="51">
        <v>97.463152366278507</v>
      </c>
      <c r="G322" s="51">
        <v>116.212655014877</v>
      </c>
      <c r="H322" s="51">
        <v>62.605204550544499</v>
      </c>
      <c r="I322" s="11">
        <v>0</v>
      </c>
      <c r="J322" s="51">
        <v>5.4115224751262003</v>
      </c>
      <c r="K322" s="249">
        <f>IFERROR(VLOOKUP(C322,Schedule!$T$3:$U$34,2,0),"FA")</f>
        <v>6</v>
      </c>
      <c r="L322" s="10" t="str">
        <f>D322&amp;COUNTIF(D$2:$D322,D322)</f>
        <v>WR85</v>
      </c>
      <c r="M322" s="51">
        <f t="array" ref="M322">IFERROR(F322-AVERAGE(VLOOKUP(D322,$D323:$F$885,3,0),INDEX($F323:$F$885,SMALL(IF(D322=$D323:$D$885,ROW($D323:$D$885)-ROW(D322)),2))),0)</f>
        <v>1.3080993215775152</v>
      </c>
      <c r="N322" s="51">
        <f>IFERROR(IF(VLOOKUP($B322,Input!$AC$2:$AC$162,1,0)=$B322,0),F322)</f>
        <v>97.463152366278507</v>
      </c>
      <c r="O322" s="51">
        <f>IFERROR(IF(VLOOKUP($B322,Input!$AC$2:$AC$162,1,0)=$B322,0,G322),G322)</f>
        <v>116.212655014877</v>
      </c>
      <c r="P322" s="51">
        <f>IF(N322=0,0,F322-AVERAGE(INDEX(F:F,MATCH(VLOOKUP(D322,Input!$A$14:$L$22,10,0),L:L,0)),INDEX(F:F,MATCH(VLOOKUP(D322,Input!$A$14:$L$22,11,0),L:L,0)),INDEX(F:F,MATCH(VLOOKUP(D322,Input!$A$14:$L$22,12,0),L:L,0)))+(0.01-ROW()*0.01))</f>
        <v>-118.52476390307051</v>
      </c>
      <c r="Q322" s="107">
        <f t="shared" ref="Q322:Q385" si="100">IFERROR(P322/SUMIF(P:P,"&gt;0",P:P),0)</f>
        <v>-4.0890206871860617E-2</v>
      </c>
      <c r="R322" s="11">
        <f>IF(VLOOKUP($D322,$X$14:$Y$19,2,0)&lt;=0,1,IF(Q322&lt;0,1,ROUNDUP(IF(Q322*('Draft Center'!$L$28+'Draft Center'!$L$78-'Draft Center'!$L$82)&lt;1,1,Q322*('Draft Center'!$L$28+'Draft Center'!$L$78-'Draft Center'!$L$82)),0)))</f>
        <v>1</v>
      </c>
      <c r="S322" s="11">
        <f>IF(A322&lt;Input!$B$10+0.1,IF(ROUNDUP(R322*Input!$C$10,0)=0,1,ROUNDUP(R322*Input!$C$10,0)),IF(A322&gt;Input!$B$11,IF(ROUNDUP(R322*Input!$C$11,0)=0,1,ROUNDUP(R322*Input!$C$11,0)),IF(ROUNDUP(R322,0)=0,1,ROUNDUP(R322,0))))</f>
        <v>1</v>
      </c>
      <c r="T322" s="11">
        <f t="shared" ref="T322:T385" si="101">IF(U322&gt;0,0,IF(AA322=1,R322,IF(AL322=0,1,AL322)))</f>
        <v>1</v>
      </c>
      <c r="U322" s="11">
        <f>IFERROR(VLOOKUP($B322,Input!$AC$2:$AE$161,3,0),0)</f>
        <v>0</v>
      </c>
      <c r="V322" s="257">
        <f t="shared" si="96"/>
        <v>0</v>
      </c>
      <c r="W322" s="264">
        <f t="shared" si="97"/>
        <v>1.00322</v>
      </c>
      <c r="X322" s="68"/>
      <c r="Y322" s="68"/>
      <c r="Z322" s="68"/>
      <c r="AA322" s="68"/>
      <c r="AB322" s="68"/>
      <c r="AC322" s="68"/>
      <c r="AD322" s="68"/>
      <c r="AE322" s="68"/>
      <c r="AF322" s="68"/>
      <c r="AG322" s="68"/>
      <c r="AH322" s="68"/>
      <c r="AI322" s="68"/>
      <c r="AJ322" s="68">
        <v>1</v>
      </c>
      <c r="AL322" s="68">
        <v>1</v>
      </c>
      <c r="AM322" s="68"/>
      <c r="AN322" s="68"/>
      <c r="AO322" s="68"/>
      <c r="AQ322" s="68"/>
      <c r="AR322" s="68"/>
      <c r="AS322" s="68"/>
      <c r="AT322" s="68"/>
      <c r="AU322" s="68"/>
      <c r="AV322" s="68"/>
      <c r="AW322" s="68"/>
      <c r="AX322" s="68"/>
      <c r="AY322" s="68"/>
      <c r="AZ322" s="68"/>
      <c r="BB322" s="68"/>
      <c r="BC322" s="68"/>
      <c r="BJ322" s="68"/>
      <c r="BT322">
        <v>1</v>
      </c>
      <c r="BV322">
        <v>1</v>
      </c>
      <c r="BX322" s="68"/>
      <c r="BY322" s="68">
        <v>1</v>
      </c>
      <c r="BZ322" s="68">
        <v>0</v>
      </c>
      <c r="CA322" s="68">
        <v>0</v>
      </c>
      <c r="CB322" s="68">
        <v>0</v>
      </c>
      <c r="CC322" s="68">
        <f t="shared" si="98"/>
        <v>0</v>
      </c>
      <c r="CD322" s="68">
        <f t="shared" si="99"/>
        <v>0</v>
      </c>
    </row>
    <row r="323" spans="1:82" ht="15.75" customHeight="1" thickBot="1" x14ac:dyDescent="0.3">
      <c r="A323" s="6">
        <v>322</v>
      </c>
      <c r="B323" s="7" t="s">
        <v>191</v>
      </c>
      <c r="C323" s="7" t="s">
        <v>31</v>
      </c>
      <c r="D323" s="7" t="s">
        <v>17</v>
      </c>
      <c r="E323" s="50">
        <v>-115.499176050009</v>
      </c>
      <c r="F323" s="50">
        <v>97.278740219340094</v>
      </c>
      <c r="G323" s="50">
        <v>135.518547644248</v>
      </c>
      <c r="H323" s="50">
        <v>44.014758338232397</v>
      </c>
      <c r="I323" s="8">
        <v>0</v>
      </c>
      <c r="J323" s="50">
        <v>7.1585529359521303</v>
      </c>
      <c r="K323" s="248">
        <f>IFERROR(VLOOKUP(C323,Schedule!$T$3:$U$34,2,0),"FA")</f>
        <v>9</v>
      </c>
      <c r="L323" s="7" t="str">
        <f>D323&amp;COUNTIF(D$2:$D323,D323)</f>
        <v>WR86</v>
      </c>
      <c r="M323" s="50">
        <f t="array" ref="M323">IFERROR(F323-AVERAGE(VLOOKUP(D323,$D324:$F$885,3,0),INDEX($F324:$F$885,SMALL(IF(D323=$D324:$D$885,ROW($D324:$D$885)-ROW(D323)),2))),0)</f>
        <v>2.4083100047063937</v>
      </c>
      <c r="N323" s="50">
        <f>IFERROR(IF(VLOOKUP($B323,Input!$AC$2:$AC$162,1,0)=$B323,0),F323)</f>
        <v>97.278740219340094</v>
      </c>
      <c r="O323" s="50">
        <f>IFERROR(IF(VLOOKUP($B323,Input!$AC$2:$AC$162,1,0)=$B323,0,G323),G323)</f>
        <v>135.518547644248</v>
      </c>
      <c r="P323" s="50">
        <f>IF(N323=0,0,F323-AVERAGE(INDEX(F:F,MATCH(VLOOKUP(D323,Input!$A$14:$L$22,10,0),L:L,0)),INDEX(F:F,MATCH(VLOOKUP(D323,Input!$A$14:$L$22,11,0),L:L,0)),INDEX(F:F,MATCH(VLOOKUP(D323,Input!$A$14:$L$22,12,0),L:L,0)))+(0.01-ROW()*0.01))</f>
        <v>-118.71917605000893</v>
      </c>
      <c r="Q323" s="106">
        <f t="shared" si="100"/>
        <v>-4.0957277690185263E-2</v>
      </c>
      <c r="R323" s="8">
        <f>IF(VLOOKUP($D323,$X$14:$Y$19,2,0)&lt;=0,1,IF(Q323&lt;0,1,ROUNDUP(IF(Q323*('Draft Center'!$L$28+'Draft Center'!$L$78-'Draft Center'!$L$82)&lt;1,1,Q323*('Draft Center'!$L$28+'Draft Center'!$L$78-'Draft Center'!$L$82)),0)))</f>
        <v>1</v>
      </c>
      <c r="S323" s="8">
        <f>IF(A323&lt;Input!$B$10+0.1,IF(ROUNDUP(R323*Input!$C$10,0)=0,1,ROUNDUP(R323*Input!$C$10,0)),IF(A323&gt;Input!$B$11,IF(ROUNDUP(R323*Input!$C$11,0)=0,1,ROUNDUP(R323*Input!$C$11,0)),IF(ROUNDUP(R323,0)=0,1,ROUNDUP(R323,0))))</f>
        <v>1</v>
      </c>
      <c r="T323" s="8">
        <f t="shared" si="101"/>
        <v>1</v>
      </c>
      <c r="U323" s="8">
        <f>IFERROR(VLOOKUP($B323,Input!$AC$2:$AE$161,3,0),0)</f>
        <v>0</v>
      </c>
      <c r="V323" s="256">
        <f t="shared" ref="V323:V386" si="102">IF(R323=0,0,IFERROR(((R323-CD323)/CD323)+(ROW()*0.00001),0))</f>
        <v>0</v>
      </c>
      <c r="W323" s="263">
        <f t="shared" ref="W323:W386" si="103">IF(R323=0,0,IFERROR(((R323-CD323))+(ROW()*0.00001),0))</f>
        <v>1.0032300000000001</v>
      </c>
      <c r="X323" s="68"/>
      <c r="Y323" s="68"/>
      <c r="Z323" s="68"/>
      <c r="AA323" s="68"/>
      <c r="AB323" s="68"/>
      <c r="AC323" s="68"/>
      <c r="AD323" s="68"/>
      <c r="AE323" s="68"/>
      <c r="AF323" s="68"/>
      <c r="AG323" s="68"/>
      <c r="AH323" s="68"/>
      <c r="AI323" s="68"/>
      <c r="AJ323" s="68">
        <v>1</v>
      </c>
      <c r="AL323" s="68">
        <v>1</v>
      </c>
      <c r="AM323" s="68"/>
      <c r="AN323" s="68"/>
      <c r="AO323" s="68"/>
      <c r="AQ323" s="68"/>
      <c r="AR323" s="68"/>
      <c r="AS323" s="68"/>
      <c r="AT323" s="68"/>
      <c r="AU323" s="68"/>
      <c r="AV323" s="68"/>
      <c r="AW323" s="68"/>
      <c r="AX323" s="68"/>
      <c r="AY323" s="68"/>
      <c r="AZ323" s="68"/>
      <c r="BB323" s="68"/>
      <c r="BC323" s="68"/>
      <c r="BJ323" s="68"/>
      <c r="BT323">
        <v>1</v>
      </c>
      <c r="BV323">
        <v>1</v>
      </c>
      <c r="BX323" s="68"/>
      <c r="BY323" s="68">
        <v>1</v>
      </c>
      <c r="BZ323" s="68">
        <v>0</v>
      </c>
      <c r="CA323" s="68">
        <v>0</v>
      </c>
      <c r="CB323" s="68">
        <v>0</v>
      </c>
      <c r="CC323" s="68">
        <f t="shared" ref="CC323:CC386" si="104">AVERAGE(BZ323:CB323)</f>
        <v>0</v>
      </c>
      <c r="CD323" s="68">
        <f t="shared" ref="CD323:CD386" si="105">IFERROR(HLOOKUP($CD$1,$BZ$1:$CC$930,ROW(),0),"")</f>
        <v>0</v>
      </c>
    </row>
    <row r="324" spans="1:82" ht="15.75" customHeight="1" thickBot="1" x14ac:dyDescent="0.3">
      <c r="A324" s="9">
        <v>323</v>
      </c>
      <c r="B324" s="10" t="s">
        <v>325</v>
      </c>
      <c r="C324" s="10" t="s">
        <v>36</v>
      </c>
      <c r="D324" s="10" t="s">
        <v>19</v>
      </c>
      <c r="E324" s="51">
        <v>-115.86944345544801</v>
      </c>
      <c r="F324" s="51">
        <v>53.232954570503502</v>
      </c>
      <c r="G324" s="51">
        <v>84.861634450443205</v>
      </c>
      <c r="H324" s="51">
        <v>-0.790381461885166</v>
      </c>
      <c r="I324" s="11">
        <v>0</v>
      </c>
      <c r="J324" s="51">
        <v>9.8650454499168792</v>
      </c>
      <c r="K324" s="249">
        <f>IFERROR(VLOOKUP(C324,Schedule!$T$3:$U$34,2,0),"FA")</f>
        <v>7</v>
      </c>
      <c r="L324" s="10" t="str">
        <f>D324&amp;COUNTIF(D$2:$D324,D324)</f>
        <v>RB84</v>
      </c>
      <c r="M324" s="51">
        <f t="array" ref="M324">IFERROR(F324-AVERAGE(VLOOKUP(D324,$D325:$F$885,3,0),INDEX($F325:$F$885,SMALL(IF(D324=$D325:$D$885,ROW($D325:$D$885)-ROW(D324)),2))),0)</f>
        <v>1.5309271756171512</v>
      </c>
      <c r="N324" s="51">
        <f>IFERROR(IF(VLOOKUP($B324,Input!$AC$2:$AC$162,1,0)=$B324,0),F324)</f>
        <v>53.232954570503502</v>
      </c>
      <c r="O324" s="51">
        <f>IFERROR(IF(VLOOKUP($B324,Input!$AC$2:$AC$162,1,0)=$B324,0,G324),G324)</f>
        <v>84.861634450443205</v>
      </c>
      <c r="P324" s="51">
        <f>IF(N324=0,0,F324-AVERAGE(INDEX(F:F,MATCH(VLOOKUP(D324,Input!$A$14:$L$22,10,0),L:L,0)),INDEX(F:F,MATCH(VLOOKUP(D324,Input!$A$14:$L$22,11,0),L:L,0)),INDEX(F:F,MATCH(VLOOKUP(D324,Input!$A$14:$L$22,12,0),L:L,0)))+(0.01-ROW()*0.01))</f>
        <v>-119.09944345544851</v>
      </c>
      <c r="Q324" s="107">
        <f t="shared" si="100"/>
        <v>-4.1088467260727388E-2</v>
      </c>
      <c r="R324" s="11">
        <f>IF(VLOOKUP($D324,$X$14:$Y$19,2,0)&lt;=0,1,IF(Q324&lt;0,1,ROUNDUP(IF(Q324*('Draft Center'!$L$28+'Draft Center'!$L$78-'Draft Center'!$L$82)&lt;1,1,Q324*('Draft Center'!$L$28+'Draft Center'!$L$78-'Draft Center'!$L$82)),0)))</f>
        <v>1</v>
      </c>
      <c r="S324" s="11">
        <f>IF(A324&lt;Input!$B$10+0.1,IF(ROUNDUP(R324*Input!$C$10,0)=0,1,ROUNDUP(R324*Input!$C$10,0)),IF(A324&gt;Input!$B$11,IF(ROUNDUP(R324*Input!$C$11,0)=0,1,ROUNDUP(R324*Input!$C$11,0)),IF(ROUNDUP(R324,0)=0,1,ROUNDUP(R324,0))))</f>
        <v>1</v>
      </c>
      <c r="T324" s="11">
        <f t="shared" si="101"/>
        <v>1</v>
      </c>
      <c r="U324" s="11">
        <f>IFERROR(VLOOKUP($B324,Input!$AC$2:$AE$161,3,0),0)</f>
        <v>0</v>
      </c>
      <c r="V324" s="257">
        <f t="shared" si="102"/>
        <v>0</v>
      </c>
      <c r="W324" s="264">
        <f t="shared" si="103"/>
        <v>1.0032399999999999</v>
      </c>
      <c r="X324" s="68"/>
      <c r="Y324" s="68"/>
      <c r="Z324" s="68"/>
      <c r="AA324" s="68"/>
      <c r="AB324" s="68"/>
      <c r="AC324" s="68"/>
      <c r="AD324" s="68"/>
      <c r="AE324" s="68"/>
      <c r="AF324" s="68"/>
      <c r="AG324" s="68"/>
      <c r="AH324" s="68"/>
      <c r="AI324" s="68"/>
      <c r="AJ324" s="68">
        <v>1</v>
      </c>
      <c r="AL324" s="68">
        <v>1</v>
      </c>
      <c r="AM324" s="68"/>
      <c r="AN324" s="68"/>
      <c r="AO324" s="68"/>
      <c r="AQ324" s="68"/>
      <c r="AR324" s="68"/>
      <c r="AS324" s="68"/>
      <c r="AT324" s="68"/>
      <c r="AU324" s="68"/>
      <c r="AV324" s="68"/>
      <c r="AW324" s="68"/>
      <c r="AX324" s="68"/>
      <c r="AY324" s="68"/>
      <c r="AZ324" s="68"/>
      <c r="BB324" s="68"/>
      <c r="BC324" s="68"/>
      <c r="BJ324" s="68"/>
      <c r="BT324">
        <v>1</v>
      </c>
      <c r="BV324">
        <v>1</v>
      </c>
      <c r="BX324" s="68"/>
      <c r="BY324" s="68">
        <v>1</v>
      </c>
      <c r="BZ324" s="68">
        <v>0</v>
      </c>
      <c r="CA324" s="68">
        <v>0</v>
      </c>
      <c r="CB324" s="68">
        <v>0</v>
      </c>
      <c r="CC324" s="68">
        <f t="shared" si="104"/>
        <v>0</v>
      </c>
      <c r="CD324" s="68">
        <f t="shared" si="105"/>
        <v>0</v>
      </c>
    </row>
    <row r="325" spans="1:82" ht="15.75" customHeight="1" thickBot="1" x14ac:dyDescent="0.3">
      <c r="A325" s="6">
        <v>324</v>
      </c>
      <c r="B325" s="7" t="s">
        <v>767</v>
      </c>
      <c r="C325" s="7" t="s">
        <v>64</v>
      </c>
      <c r="D325" s="7" t="s">
        <v>19</v>
      </c>
      <c r="E325" s="50">
        <v>-116.094137934047</v>
      </c>
      <c r="F325" s="50">
        <v>53.008260091904802</v>
      </c>
      <c r="G325" s="50">
        <v>78.806697146776401</v>
      </c>
      <c r="H325" s="50">
        <v>26.834796727415199</v>
      </c>
      <c r="I325" s="8">
        <v>0</v>
      </c>
      <c r="J325" s="50">
        <v>5.2780258797053197</v>
      </c>
      <c r="K325" s="248">
        <f>IFERROR(VLOOKUP(C325,Schedule!$T$3:$U$34,2,0),"FA")</f>
        <v>11</v>
      </c>
      <c r="L325" s="7" t="str">
        <f>D325&amp;COUNTIF(D$2:$D325,D325)</f>
        <v>RB85</v>
      </c>
      <c r="M325" s="50">
        <f t="array" ref="M325">IFERROR(F325-AVERAGE(VLOOKUP(D325,$D326:$F$885,3,0),INDEX($F326:$F$885,SMALL(IF(D325=$D326:$D$885,ROW($D326:$D$885)-ROW(D325)),2))),0)</f>
        <v>2.6903743710060013</v>
      </c>
      <c r="N325" s="50">
        <f>IFERROR(IF(VLOOKUP($B325,Input!$AC$2:$AC$162,1,0)=$B325,0),F325)</f>
        <v>53.008260091904802</v>
      </c>
      <c r="O325" s="50">
        <f>IFERROR(IF(VLOOKUP($B325,Input!$AC$2:$AC$162,1,0)=$B325,0,G325),G325)</f>
        <v>78.806697146776401</v>
      </c>
      <c r="P325" s="50">
        <f>IF(N325=0,0,F325-AVERAGE(INDEX(F:F,MATCH(VLOOKUP(D325,Input!$A$14:$L$22,10,0),L:L,0)),INDEX(F:F,MATCH(VLOOKUP(D325,Input!$A$14:$L$22,11,0),L:L,0)),INDEX(F:F,MATCH(VLOOKUP(D325,Input!$A$14:$L$22,12,0),L:L,0)))+(0.01-ROW()*0.01))</f>
        <v>-119.33413793404719</v>
      </c>
      <c r="Q325" s="106">
        <f t="shared" si="100"/>
        <v>-4.1169435199118989E-2</v>
      </c>
      <c r="R325" s="8">
        <f>IF(VLOOKUP($D325,$X$14:$Y$19,2,0)&lt;=0,1,IF(Q325&lt;0,1,ROUNDUP(IF(Q325*('Draft Center'!$L$28+'Draft Center'!$L$78-'Draft Center'!$L$82)&lt;1,1,Q325*('Draft Center'!$L$28+'Draft Center'!$L$78-'Draft Center'!$L$82)),0)))</f>
        <v>1</v>
      </c>
      <c r="S325" s="8">
        <f>IF(A325&lt;Input!$B$10+0.1,IF(ROUNDUP(R325*Input!$C$10,0)=0,1,ROUNDUP(R325*Input!$C$10,0)),IF(A325&gt;Input!$B$11,IF(ROUNDUP(R325*Input!$C$11,0)=0,1,ROUNDUP(R325*Input!$C$11,0)),IF(ROUNDUP(R325,0)=0,1,ROUNDUP(R325,0))))</f>
        <v>1</v>
      </c>
      <c r="T325" s="8">
        <f t="shared" si="101"/>
        <v>1</v>
      </c>
      <c r="U325" s="8">
        <f>IFERROR(VLOOKUP($B325,Input!$AC$2:$AE$161,3,0),0)</f>
        <v>0</v>
      </c>
      <c r="V325" s="256">
        <f t="shared" si="102"/>
        <v>0</v>
      </c>
      <c r="W325" s="263">
        <f t="shared" si="103"/>
        <v>1.00325</v>
      </c>
      <c r="X325" s="68"/>
      <c r="Y325" s="68"/>
      <c r="Z325" s="68"/>
      <c r="AA325" s="68"/>
      <c r="AB325" s="68"/>
      <c r="AC325" s="68"/>
      <c r="AD325" s="68"/>
      <c r="AE325" s="68"/>
      <c r="AF325" s="68"/>
      <c r="AG325" s="68"/>
      <c r="AH325" s="68"/>
      <c r="AI325" s="68"/>
      <c r="AJ325" s="68">
        <v>1</v>
      </c>
      <c r="AL325" s="68">
        <v>1</v>
      </c>
      <c r="AM325" s="68"/>
      <c r="AN325" s="68"/>
      <c r="AO325" s="68"/>
      <c r="AQ325" s="68"/>
      <c r="AR325" s="68"/>
      <c r="AS325" s="68"/>
      <c r="AT325" s="68"/>
      <c r="AU325" s="68"/>
      <c r="AV325" s="68"/>
      <c r="AW325" s="68"/>
      <c r="AX325" s="68"/>
      <c r="AY325" s="68"/>
      <c r="AZ325" s="68"/>
      <c r="BB325" s="68"/>
      <c r="BC325" s="68"/>
      <c r="BJ325" s="68"/>
      <c r="BT325">
        <v>1</v>
      </c>
      <c r="BV325">
        <v>1</v>
      </c>
      <c r="BX325" s="68"/>
      <c r="BY325" s="68">
        <v>1</v>
      </c>
      <c r="BZ325" s="68">
        <v>0</v>
      </c>
      <c r="CA325" s="68">
        <v>0</v>
      </c>
      <c r="CB325" s="68">
        <v>0</v>
      </c>
      <c r="CC325" s="68">
        <f t="shared" si="104"/>
        <v>0</v>
      </c>
      <c r="CD325" s="68">
        <f t="shared" si="105"/>
        <v>0</v>
      </c>
    </row>
    <row r="326" spans="1:82" ht="15.75" customHeight="1" thickBot="1" x14ac:dyDescent="0.3">
      <c r="A326" s="9">
        <v>325</v>
      </c>
      <c r="B326" s="10" t="s">
        <v>980</v>
      </c>
      <c r="C326" s="10" t="s">
        <v>31</v>
      </c>
      <c r="D326" s="10" t="s">
        <v>43</v>
      </c>
      <c r="E326" s="51">
        <v>-116.379697559889</v>
      </c>
      <c r="F326" s="51">
        <v>37.0812217923201</v>
      </c>
      <c r="G326" s="51">
        <v>51.722185130315502</v>
      </c>
      <c r="H326" s="51">
        <v>5.6104252400548699E-2</v>
      </c>
      <c r="I326" s="11">
        <v>0</v>
      </c>
      <c r="J326" s="51">
        <v>6.8149320441519201</v>
      </c>
      <c r="K326" s="249">
        <f>IFERROR(VLOOKUP(C326,Schedule!$T$3:$U$34,2,0),"FA")</f>
        <v>9</v>
      </c>
      <c r="L326" s="10" t="str">
        <f>D326&amp;COUNTIF(D$2:$D326,D326)</f>
        <v>TE60</v>
      </c>
      <c r="M326" s="51">
        <f t="array" ref="M326">IFERROR(F326-AVERAGE(VLOOKUP(D326,$D327:$F$885,3,0),INDEX($F327:$F$885,SMALL(IF(D326=$D327:$D$885,ROW($D327:$D$885)-ROW(D326)),2))),0)</f>
        <v>1.0072546076053541</v>
      </c>
      <c r="N326" s="51">
        <f>IFERROR(IF(VLOOKUP($B326,Input!$AC$2:$AC$162,1,0)=$B326,0),F326)</f>
        <v>37.0812217923201</v>
      </c>
      <c r="O326" s="51">
        <f>IFERROR(IF(VLOOKUP($B326,Input!$AC$2:$AC$162,1,0)=$B326,0,G326),G326)</f>
        <v>51.722185130315502</v>
      </c>
      <c r="P326" s="51">
        <f>IF(N326=0,0,F326-AVERAGE(INDEX(F:F,MATCH(VLOOKUP(D326,Input!$A$14:$L$22,10,0),L:L,0)),INDEX(F:F,MATCH(VLOOKUP(D326,Input!$A$14:$L$22,11,0),L:L,0)),INDEX(F:F,MATCH(VLOOKUP(D326,Input!$A$14:$L$22,12,0),L:L,0)))+(0.01-ROW()*0.01))</f>
        <v>-119.62969755988922</v>
      </c>
      <c r="Q326" s="107">
        <f t="shared" si="100"/>
        <v>-4.1271401183658171E-2</v>
      </c>
      <c r="R326" s="11">
        <f>IF(VLOOKUP($D326,$X$14:$Y$19,2,0)&lt;=0,1,IF(Q326&lt;0,1,ROUNDUP(IF(Q326*('Draft Center'!$L$28+'Draft Center'!$L$78-'Draft Center'!$L$82)&lt;1,1,Q326*('Draft Center'!$L$28+'Draft Center'!$L$78-'Draft Center'!$L$82)),0)))</f>
        <v>1</v>
      </c>
      <c r="S326" s="11">
        <f>IF(A326&lt;Input!$B$10+0.1,IF(ROUNDUP(R326*Input!$C$10,0)=0,1,ROUNDUP(R326*Input!$C$10,0)),IF(A326&gt;Input!$B$11,IF(ROUNDUP(R326*Input!$C$11,0)=0,1,ROUNDUP(R326*Input!$C$11,0)),IF(ROUNDUP(R326,0)=0,1,ROUNDUP(R326,0))))</f>
        <v>1</v>
      </c>
      <c r="T326" s="11">
        <f t="shared" si="101"/>
        <v>1</v>
      </c>
      <c r="U326" s="11">
        <f>IFERROR(VLOOKUP($B326,Input!$AC$2:$AE$161,3,0),0)</f>
        <v>0</v>
      </c>
      <c r="V326" s="257">
        <f t="shared" si="102"/>
        <v>0</v>
      </c>
      <c r="W326" s="264">
        <f t="shared" si="103"/>
        <v>1.00326</v>
      </c>
      <c r="X326" s="68"/>
      <c r="Y326" s="68"/>
      <c r="Z326" s="68"/>
      <c r="AA326" s="68"/>
      <c r="AB326" s="68"/>
      <c r="AC326" s="68"/>
      <c r="AD326" s="68"/>
      <c r="AE326" s="68"/>
      <c r="AF326" s="68"/>
      <c r="AG326" s="68"/>
      <c r="AH326" s="68"/>
      <c r="AI326" s="68"/>
      <c r="AJ326" s="68">
        <v>1</v>
      </c>
      <c r="AL326" s="68">
        <v>1</v>
      </c>
      <c r="AM326" s="68"/>
      <c r="AN326" s="68"/>
      <c r="AO326" s="68"/>
      <c r="AQ326" s="68"/>
      <c r="AR326" s="68"/>
      <c r="AS326" s="68"/>
      <c r="AT326" s="68"/>
      <c r="AU326" s="68"/>
      <c r="AV326" s="68"/>
      <c r="AW326" s="68"/>
      <c r="AX326" s="68"/>
      <c r="AY326" s="68"/>
      <c r="AZ326" s="68"/>
      <c r="BB326" s="68"/>
      <c r="BC326" s="68"/>
      <c r="BJ326" s="68"/>
      <c r="BT326">
        <v>1</v>
      </c>
      <c r="BV326">
        <v>1</v>
      </c>
      <c r="BX326" s="68"/>
      <c r="BY326" s="68">
        <v>1</v>
      </c>
      <c r="BZ326" s="68">
        <v>0</v>
      </c>
      <c r="CA326" s="68">
        <v>0</v>
      </c>
      <c r="CB326" s="68">
        <v>0</v>
      </c>
      <c r="CC326" s="68">
        <f t="shared" si="104"/>
        <v>0</v>
      </c>
      <c r="CD326" s="68">
        <f t="shared" si="105"/>
        <v>0</v>
      </c>
    </row>
    <row r="327" spans="1:82" ht="15.75" customHeight="1" thickBot="1" x14ac:dyDescent="0.3">
      <c r="A327" s="6">
        <v>326</v>
      </c>
      <c r="B327" s="7" t="s">
        <v>882</v>
      </c>
      <c r="C327" s="7" t="s">
        <v>27</v>
      </c>
      <c r="D327" s="7" t="s">
        <v>43</v>
      </c>
      <c r="E327" s="50">
        <v>-116.897475934041</v>
      </c>
      <c r="F327" s="50">
        <v>36.563443418168497</v>
      </c>
      <c r="G327" s="50">
        <v>64.552312749999999</v>
      </c>
      <c r="H327" s="50">
        <v>-8.8612541642171305E-2</v>
      </c>
      <c r="I327" s="8">
        <v>0</v>
      </c>
      <c r="J327" s="50">
        <v>4.2931931760512603</v>
      </c>
      <c r="K327" s="248">
        <f>IFERROR(VLOOKUP(C327,Schedule!$T$3:$U$34,2,0),"FA")</f>
        <v>8</v>
      </c>
      <c r="L327" s="7" t="str">
        <f>D327&amp;COUNTIF(D$2:$D327,D327)</f>
        <v>TE61</v>
      </c>
      <c r="M327" s="50">
        <f t="array" ref="M327">IFERROR(F327-AVERAGE(VLOOKUP(D327,$D328:$F$885,3,0),INDEX($F328:$F$885,SMALL(IF(D327=$D328:$D$885,ROW($D328:$D$885)-ROW(D327)),2))),0)</f>
        <v>1.6409368209863473</v>
      </c>
      <c r="N327" s="50">
        <f>IFERROR(IF(VLOOKUP($B327,Input!$AC$2:$AC$162,1,0)=$B327,0),F327)</f>
        <v>36.563443418168497</v>
      </c>
      <c r="O327" s="50">
        <f>IFERROR(IF(VLOOKUP($B327,Input!$AC$2:$AC$162,1,0)=$B327,0,G327),G327)</f>
        <v>64.552312749999999</v>
      </c>
      <c r="P327" s="50">
        <f>IF(N327=0,0,F327-AVERAGE(INDEX(F:F,MATCH(VLOOKUP(D327,Input!$A$14:$L$22,10,0),L:L,0)),INDEX(F:F,MATCH(VLOOKUP(D327,Input!$A$14:$L$22,11,0),L:L,0)),INDEX(F:F,MATCH(VLOOKUP(D327,Input!$A$14:$L$22,12,0),L:L,0)))+(0.01-ROW()*0.01))</f>
        <v>-120.15747593404082</v>
      </c>
      <c r="Q327" s="106">
        <f t="shared" si="100"/>
        <v>-4.1453480997115565E-2</v>
      </c>
      <c r="R327" s="8">
        <f>IF(VLOOKUP($D327,$X$14:$Y$19,2,0)&lt;=0,1,IF(Q327&lt;0,1,ROUNDUP(IF(Q327*('Draft Center'!$L$28+'Draft Center'!$L$78-'Draft Center'!$L$82)&lt;1,1,Q327*('Draft Center'!$L$28+'Draft Center'!$L$78-'Draft Center'!$L$82)),0)))</f>
        <v>1</v>
      </c>
      <c r="S327" s="8">
        <f>IF(A327&lt;Input!$B$10+0.1,IF(ROUNDUP(R327*Input!$C$10,0)=0,1,ROUNDUP(R327*Input!$C$10,0)),IF(A327&gt;Input!$B$11,IF(ROUNDUP(R327*Input!$C$11,0)=0,1,ROUNDUP(R327*Input!$C$11,0)),IF(ROUNDUP(R327,0)=0,1,ROUNDUP(R327,0))))</f>
        <v>1</v>
      </c>
      <c r="T327" s="8">
        <f t="shared" si="101"/>
        <v>1</v>
      </c>
      <c r="U327" s="8">
        <f>IFERROR(VLOOKUP($B327,Input!$AC$2:$AE$161,3,0),0)</f>
        <v>0</v>
      </c>
      <c r="V327" s="256">
        <f t="shared" si="102"/>
        <v>0</v>
      </c>
      <c r="W327" s="263">
        <f t="shared" si="103"/>
        <v>1.0032700000000001</v>
      </c>
      <c r="X327" s="68"/>
      <c r="Y327" s="68"/>
      <c r="Z327" s="68"/>
      <c r="AA327" s="68"/>
      <c r="AB327" s="68"/>
      <c r="AC327" s="68"/>
      <c r="AD327" s="68"/>
      <c r="AE327" s="68"/>
      <c r="AF327" s="68"/>
      <c r="AG327" s="68"/>
      <c r="AH327" s="68"/>
      <c r="AI327" s="68"/>
      <c r="AJ327" s="68">
        <v>1</v>
      </c>
      <c r="AL327" s="68">
        <v>1</v>
      </c>
      <c r="AM327" s="68"/>
      <c r="AN327" s="68"/>
      <c r="AO327" s="68"/>
      <c r="AQ327" s="68"/>
      <c r="AR327" s="68"/>
      <c r="AS327" s="68"/>
      <c r="AT327" s="68"/>
      <c r="AU327" s="68"/>
      <c r="AV327" s="68"/>
      <c r="AW327" s="68"/>
      <c r="AX327" s="68"/>
      <c r="AY327" s="68"/>
      <c r="AZ327" s="68"/>
      <c r="BB327" s="68"/>
      <c r="BC327" s="68"/>
      <c r="BJ327" s="68"/>
      <c r="BT327">
        <v>1</v>
      </c>
      <c r="BV327">
        <v>1</v>
      </c>
      <c r="BX327" s="68"/>
      <c r="BY327" s="68">
        <v>1</v>
      </c>
      <c r="BZ327" s="68">
        <v>0</v>
      </c>
      <c r="CA327" s="68">
        <v>0</v>
      </c>
      <c r="CB327" s="68">
        <v>0</v>
      </c>
      <c r="CC327" s="68">
        <f t="shared" si="104"/>
        <v>0</v>
      </c>
      <c r="CD327" s="68">
        <f t="shared" si="105"/>
        <v>0</v>
      </c>
    </row>
    <row r="328" spans="1:82" ht="15.75" customHeight="1" thickBot="1" x14ac:dyDescent="0.3">
      <c r="A328" s="9">
        <v>327</v>
      </c>
      <c r="B328" s="10" t="s">
        <v>1059</v>
      </c>
      <c r="C328" s="10" t="s">
        <v>311</v>
      </c>
      <c r="D328" s="10" t="s">
        <v>147</v>
      </c>
      <c r="E328" s="51">
        <v>-117.668988430973</v>
      </c>
      <c r="F328" s="51">
        <v>13.7</v>
      </c>
      <c r="G328" s="51">
        <v>13.7</v>
      </c>
      <c r="H328" s="51">
        <v>13.7</v>
      </c>
      <c r="I328" s="11" t="s">
        <v>1057</v>
      </c>
      <c r="J328" s="51" t="s">
        <v>1057</v>
      </c>
      <c r="K328" s="249" t="str">
        <f>IFERROR(VLOOKUP(C328,Schedule!$T$3:$U$34,2,0),"FA")</f>
        <v>FA</v>
      </c>
      <c r="L328" s="10" t="str">
        <f>D328&amp;COUNTIF(D$2:$D328,D328)</f>
        <v>K36</v>
      </c>
      <c r="M328" s="51">
        <f t="array" ref="M328">IFERROR(F328-AVERAGE(VLOOKUP(D328,$D329:$F$885,3,0),INDEX($F329:$F$885,SMALL(IF(D328=$D329:$D$885,ROW($D329:$D$885)-ROW(D328)),2))),0)</f>
        <v>8.616129032258069</v>
      </c>
      <c r="N328" s="51">
        <f>IFERROR(IF(VLOOKUP($B328,Input!$AC$2:$AC$162,1,0)=$B328,0),F328)</f>
        <v>13.7</v>
      </c>
      <c r="O328" s="51">
        <f>IFERROR(IF(VLOOKUP($B328,Input!$AC$2:$AC$162,1,0)=$B328,0,G328),G328)</f>
        <v>13.7</v>
      </c>
      <c r="P328" s="51">
        <f>IF(N328=0,0,F328-AVERAGE(INDEX(F:F,MATCH(VLOOKUP(D328,Input!$A$14:$L$22,10,0),L:L,0)),INDEX(F:F,MATCH(VLOOKUP(D328,Input!$A$14:$L$22,11,0),L:L,0)),INDEX(F:F,MATCH(VLOOKUP(D328,Input!$A$14:$L$22,12,0),L:L,0)))+(0.01-ROW()*0.01))</f>
        <v>-121.11298158212799</v>
      </c>
      <c r="Q328" s="107">
        <f t="shared" si="100"/>
        <v>-4.178312370072363E-2</v>
      </c>
      <c r="R328" s="11">
        <f>IF(VLOOKUP($D328,$X$14:$Y$19,2,0)&lt;=0,1,IF(Q328&lt;0,1,ROUNDUP(IF(Q328*('Draft Center'!$L$28+'Draft Center'!$L$78-'Draft Center'!$L$82)&lt;1,1,Q328*('Draft Center'!$L$28+'Draft Center'!$L$78-'Draft Center'!$L$82)),0)))</f>
        <v>1</v>
      </c>
      <c r="S328" s="11">
        <f>IF(A328&lt;Input!$B$10+0.1,IF(ROUNDUP(R328*Input!$C$10,0)=0,1,ROUNDUP(R328*Input!$C$10,0)),IF(A328&gt;Input!$B$11,IF(ROUNDUP(R328*Input!$C$11,0)=0,1,ROUNDUP(R328*Input!$C$11,0)),IF(ROUNDUP(R328,0)=0,1,ROUNDUP(R328,0))))</f>
        <v>1</v>
      </c>
      <c r="T328" s="11">
        <f t="shared" si="101"/>
        <v>1</v>
      </c>
      <c r="U328" s="11">
        <f>IFERROR(VLOOKUP($B328,Input!$AC$2:$AE$161,3,0),0)</f>
        <v>0</v>
      </c>
      <c r="V328" s="257">
        <f t="shared" si="102"/>
        <v>0</v>
      </c>
      <c r="W328" s="264">
        <f t="shared" si="103"/>
        <v>0</v>
      </c>
      <c r="X328" s="68"/>
      <c r="Y328" s="68"/>
      <c r="Z328" s="68"/>
      <c r="AA328" s="68"/>
      <c r="AB328" s="68"/>
      <c r="AC328" s="68"/>
      <c r="AD328" s="68"/>
      <c r="AE328" s="68"/>
      <c r="AF328" s="68"/>
      <c r="AG328" s="68"/>
      <c r="AH328" s="68"/>
      <c r="AI328" s="68"/>
      <c r="AJ328" s="68">
        <v>1</v>
      </c>
      <c r="AL328" s="68">
        <v>1</v>
      </c>
      <c r="AM328" s="68"/>
      <c r="AN328" s="68"/>
      <c r="AO328" s="68"/>
      <c r="AQ328" s="68"/>
      <c r="AR328" s="68"/>
      <c r="AS328" s="68"/>
      <c r="AT328" s="68"/>
      <c r="AU328" s="68"/>
      <c r="AV328" s="68"/>
      <c r="AW328" s="68"/>
      <c r="AX328" s="68"/>
      <c r="AY328" s="68"/>
      <c r="AZ328" s="68"/>
      <c r="BB328" s="68"/>
      <c r="BC328" s="68"/>
      <c r="BJ328" s="68"/>
      <c r="BT328">
        <v>1</v>
      </c>
      <c r="BV328">
        <v>1</v>
      </c>
      <c r="BX328" s="68"/>
      <c r="BY328" s="68">
        <v>1</v>
      </c>
      <c r="BZ328" s="68" t="s">
        <v>1057</v>
      </c>
      <c r="CA328" s="68" t="s">
        <v>1057</v>
      </c>
      <c r="CB328" s="68" t="s">
        <v>1057</v>
      </c>
      <c r="CC328" s="68" t="e">
        <f t="shared" si="104"/>
        <v>#DIV/0!</v>
      </c>
      <c r="CD328" s="68" t="str">
        <f t="shared" si="105"/>
        <v>NA</v>
      </c>
    </row>
    <row r="329" spans="1:82" ht="15.75" customHeight="1" thickBot="1" x14ac:dyDescent="0.3">
      <c r="A329" s="6">
        <v>328</v>
      </c>
      <c r="B329" s="7" t="s">
        <v>269</v>
      </c>
      <c r="C329" s="7" t="s">
        <v>52</v>
      </c>
      <c r="D329" s="7" t="s">
        <v>17</v>
      </c>
      <c r="E329" s="50">
        <v>-117.746550399287</v>
      </c>
      <c r="F329" s="50">
        <v>95.031365870061904</v>
      </c>
      <c r="G329" s="50">
        <v>122.683964817313</v>
      </c>
      <c r="H329" s="50">
        <v>65.198640491587597</v>
      </c>
      <c r="I329" s="8">
        <v>0</v>
      </c>
      <c r="J329" s="50">
        <v>5.9611734241673497</v>
      </c>
      <c r="K329" s="248">
        <f>IFERROR(VLOOKUP(C329,Schedule!$T$3:$U$34,2,0),"FA")</f>
        <v>11</v>
      </c>
      <c r="L329" s="7" t="str">
        <f>D329&amp;COUNTIF(D$2:$D329,D329)</f>
        <v>WR87</v>
      </c>
      <c r="M329" s="50">
        <f t="array" ref="M329">IFERROR(F329-AVERAGE(VLOOKUP(D329,$D330:$F$885,3,0),INDEX($F330:$F$885,SMALL(IF(D329=$D330:$D$885,ROW($D330:$D$885)-ROW(D329)),2))),0)</f>
        <v>0.75688855878959771</v>
      </c>
      <c r="N329" s="50">
        <f>IFERROR(IF(VLOOKUP($B329,Input!$AC$2:$AC$162,1,0)=$B329,0),F329)</f>
        <v>95.031365870061904</v>
      </c>
      <c r="O329" s="50">
        <f>IFERROR(IF(VLOOKUP($B329,Input!$AC$2:$AC$162,1,0)=$B329,0,G329),G329)</f>
        <v>122.683964817313</v>
      </c>
      <c r="P329" s="50">
        <f>IF(N329=0,0,F329-AVERAGE(INDEX(F:F,MATCH(VLOOKUP(D329,Input!$A$14:$L$22,10,0),L:L,0)),INDEX(F:F,MATCH(VLOOKUP(D329,Input!$A$14:$L$22,11,0),L:L,0)),INDEX(F:F,MATCH(VLOOKUP(D329,Input!$A$14:$L$22,12,0),L:L,0)))+(0.01-ROW()*0.01))</f>
        <v>-121.02655039928712</v>
      </c>
      <c r="Q329" s="106">
        <f t="shared" si="100"/>
        <v>-4.1753305552767371E-2</v>
      </c>
      <c r="R329" s="8">
        <f>IF(VLOOKUP($D329,$X$14:$Y$19,2,0)&lt;=0,1,IF(Q329&lt;0,1,ROUNDUP(IF(Q329*('Draft Center'!$L$28+'Draft Center'!$L$78-'Draft Center'!$L$82)&lt;1,1,Q329*('Draft Center'!$L$28+'Draft Center'!$L$78-'Draft Center'!$L$82)),0)))</f>
        <v>1</v>
      </c>
      <c r="S329" s="8">
        <f>IF(A329&lt;Input!$B$10+0.1,IF(ROUNDUP(R329*Input!$C$10,0)=0,1,ROUNDUP(R329*Input!$C$10,0)),IF(A329&gt;Input!$B$11,IF(ROUNDUP(R329*Input!$C$11,0)=0,1,ROUNDUP(R329*Input!$C$11,0)),IF(ROUNDUP(R329,0)=0,1,ROUNDUP(R329,0))))</f>
        <v>1</v>
      </c>
      <c r="T329" s="8">
        <f t="shared" si="101"/>
        <v>1</v>
      </c>
      <c r="U329" s="8">
        <f>IFERROR(VLOOKUP($B329,Input!$AC$2:$AE$161,3,0),0)</f>
        <v>0</v>
      </c>
      <c r="V329" s="256">
        <f t="shared" si="102"/>
        <v>0</v>
      </c>
      <c r="W329" s="263">
        <f t="shared" si="103"/>
        <v>1.00329</v>
      </c>
      <c r="X329" s="68"/>
      <c r="Y329" s="68"/>
      <c r="Z329" s="68"/>
      <c r="AA329" s="68"/>
      <c r="AB329" s="68"/>
      <c r="AC329" s="68"/>
      <c r="AD329" s="68"/>
      <c r="AE329" s="68"/>
      <c r="AF329" s="68"/>
      <c r="AG329" s="68"/>
      <c r="AH329" s="68"/>
      <c r="AI329" s="68"/>
      <c r="AJ329" s="68">
        <v>1</v>
      </c>
      <c r="AL329" s="68">
        <v>1</v>
      </c>
      <c r="AM329" s="68"/>
      <c r="AN329" s="68"/>
      <c r="AO329" s="68"/>
      <c r="AQ329" s="68"/>
      <c r="AR329" s="68"/>
      <c r="AS329" s="68"/>
      <c r="AT329" s="68"/>
      <c r="AU329" s="68"/>
      <c r="AV329" s="68"/>
      <c r="AW329" s="68"/>
      <c r="AX329" s="68"/>
      <c r="AY329" s="68"/>
      <c r="AZ329" s="68"/>
      <c r="BB329" s="68"/>
      <c r="BC329" s="68"/>
      <c r="BJ329" s="68"/>
      <c r="BT329">
        <v>1</v>
      </c>
      <c r="BV329">
        <v>1</v>
      </c>
      <c r="BX329" s="68"/>
      <c r="BY329" s="68">
        <v>1</v>
      </c>
      <c r="BZ329" s="68">
        <v>0</v>
      </c>
      <c r="CA329" s="68">
        <v>0</v>
      </c>
      <c r="CB329" s="68">
        <v>0</v>
      </c>
      <c r="CC329" s="68">
        <f t="shared" si="104"/>
        <v>0</v>
      </c>
      <c r="CD329" s="68">
        <f t="shared" si="105"/>
        <v>0</v>
      </c>
    </row>
    <row r="330" spans="1:82" ht="15.75" customHeight="1" thickBot="1" x14ac:dyDescent="0.3">
      <c r="A330" s="9">
        <v>329</v>
      </c>
      <c r="B330" s="10" t="s">
        <v>335</v>
      </c>
      <c r="C330" s="10" t="s">
        <v>23</v>
      </c>
      <c r="D330" s="10" t="s">
        <v>43</v>
      </c>
      <c r="E330" s="51">
        <v>-117.876428400948</v>
      </c>
      <c r="F330" s="51">
        <v>35.584490951261003</v>
      </c>
      <c r="G330" s="51">
        <v>44.0352251583803</v>
      </c>
      <c r="H330" s="51">
        <v>20.0037967274152</v>
      </c>
      <c r="I330" s="11">
        <v>0</v>
      </c>
      <c r="J330" s="51">
        <v>5.6474603459571702</v>
      </c>
      <c r="K330" s="249">
        <f>IFERROR(VLOOKUP(C330,Schedule!$T$3:$U$34,2,0),"FA")</f>
        <v>5</v>
      </c>
      <c r="L330" s="10" t="str">
        <f>D330&amp;COUNTIF(D$2:$D330,D330)</f>
        <v>TE62</v>
      </c>
      <c r="M330" s="51">
        <f t="array" ref="M330">IFERROR(F330-AVERAGE(VLOOKUP(D330,$D331:$F$885,3,0),INDEX($F331:$F$885,SMALL(IF(D330=$D331:$D$885,ROW($D331:$D$885)-ROW(D330)),2))),0)</f>
        <v>1.7824022719835</v>
      </c>
      <c r="N330" s="51">
        <f>IFERROR(IF(VLOOKUP($B330,Input!$AC$2:$AC$162,1,0)=$B330,0),F330)</f>
        <v>35.584490951261003</v>
      </c>
      <c r="O330" s="51">
        <f>IFERROR(IF(VLOOKUP($B330,Input!$AC$2:$AC$162,1,0)=$B330,0,G330),G330)</f>
        <v>44.0352251583803</v>
      </c>
      <c r="P330" s="51">
        <f>IF(N330=0,0,F330-AVERAGE(INDEX(F:F,MATCH(VLOOKUP(D330,Input!$A$14:$L$22,10,0),L:L,0)),INDEX(F:F,MATCH(VLOOKUP(D330,Input!$A$14:$L$22,11,0),L:L,0)),INDEX(F:F,MATCH(VLOOKUP(D330,Input!$A$14:$L$22,12,0),L:L,0)))+(0.01-ROW()*0.01))</f>
        <v>-121.16642840094832</v>
      </c>
      <c r="Q330" s="107">
        <f t="shared" si="100"/>
        <v>-4.1801562475931767E-2</v>
      </c>
      <c r="R330" s="11">
        <f>IF(VLOOKUP($D330,$X$14:$Y$19,2,0)&lt;=0,1,IF(Q330&lt;0,1,ROUNDUP(IF(Q330*('Draft Center'!$L$28+'Draft Center'!$L$78-'Draft Center'!$L$82)&lt;1,1,Q330*('Draft Center'!$L$28+'Draft Center'!$L$78-'Draft Center'!$L$82)),0)))</f>
        <v>1</v>
      </c>
      <c r="S330" s="11">
        <f>IF(A330&lt;Input!$B$10+0.1,IF(ROUNDUP(R330*Input!$C$10,0)=0,1,ROUNDUP(R330*Input!$C$10,0)),IF(A330&gt;Input!$B$11,IF(ROUNDUP(R330*Input!$C$11,0)=0,1,ROUNDUP(R330*Input!$C$11,0)),IF(ROUNDUP(R330,0)=0,1,ROUNDUP(R330,0))))</f>
        <v>1</v>
      </c>
      <c r="T330" s="11">
        <f t="shared" si="101"/>
        <v>1</v>
      </c>
      <c r="U330" s="11">
        <f>IFERROR(VLOOKUP($B330,Input!$AC$2:$AE$161,3,0),0)</f>
        <v>0</v>
      </c>
      <c r="V330" s="257">
        <f t="shared" si="102"/>
        <v>0</v>
      </c>
      <c r="W330" s="264">
        <f t="shared" si="103"/>
        <v>1.0033000000000001</v>
      </c>
      <c r="X330" s="68"/>
      <c r="Y330" s="68"/>
      <c r="Z330" s="68"/>
      <c r="AA330" s="68"/>
      <c r="AB330" s="68"/>
      <c r="AC330" s="68"/>
      <c r="AD330" s="68"/>
      <c r="AE330" s="68"/>
      <c r="AF330" s="68"/>
      <c r="AG330" s="68"/>
      <c r="AH330" s="68"/>
      <c r="AI330" s="68"/>
      <c r="AJ330" s="68">
        <v>1</v>
      </c>
      <c r="AL330" s="68">
        <v>1</v>
      </c>
      <c r="AM330" s="68"/>
      <c r="AN330" s="68"/>
      <c r="AO330" s="68"/>
      <c r="AQ330" s="68"/>
      <c r="AR330" s="68"/>
      <c r="AS330" s="68"/>
      <c r="AT330" s="68"/>
      <c r="AU330" s="68"/>
      <c r="AV330" s="68"/>
      <c r="AW330" s="68"/>
      <c r="AX330" s="68"/>
      <c r="AY330" s="68"/>
      <c r="AZ330" s="68"/>
      <c r="BB330" s="68"/>
      <c r="BC330" s="68"/>
      <c r="BJ330" s="68"/>
      <c r="BT330">
        <v>1</v>
      </c>
      <c r="BV330">
        <v>1</v>
      </c>
      <c r="BX330" s="68"/>
      <c r="BY330" s="68">
        <v>1</v>
      </c>
      <c r="BZ330" s="68">
        <v>0</v>
      </c>
      <c r="CA330" s="68">
        <v>0</v>
      </c>
      <c r="CB330" s="68">
        <v>0</v>
      </c>
      <c r="CC330" s="68">
        <f t="shared" si="104"/>
        <v>0</v>
      </c>
      <c r="CD330" s="68">
        <f t="shared" si="105"/>
        <v>0</v>
      </c>
    </row>
    <row r="331" spans="1:82" ht="15.75" customHeight="1" thickBot="1" x14ac:dyDescent="0.3">
      <c r="A331" s="6">
        <v>330</v>
      </c>
      <c r="B331" s="7" t="s">
        <v>782</v>
      </c>
      <c r="C331" s="7" t="s">
        <v>57</v>
      </c>
      <c r="D331" s="7" t="s">
        <v>17</v>
      </c>
      <c r="E331" s="50">
        <v>-118.06842171014399</v>
      </c>
      <c r="F331" s="50">
        <v>94.709494559205496</v>
      </c>
      <c r="G331" s="50">
        <v>117.972009929973</v>
      </c>
      <c r="H331" s="50">
        <v>52.290528666292602</v>
      </c>
      <c r="I331" s="8">
        <v>0</v>
      </c>
      <c r="J331" s="50">
        <v>6.3879610089757302</v>
      </c>
      <c r="K331" s="248">
        <f>IFERROR(VLOOKUP(C331,Schedule!$T$3:$U$34,2,0),"FA")</f>
        <v>11</v>
      </c>
      <c r="L331" s="7" t="str">
        <f>D331&amp;COUNTIF(D$2:$D331,D331)</f>
        <v>WR88</v>
      </c>
      <c r="M331" s="50">
        <f t="array" ref="M331">IFERROR(F331-AVERAGE(VLOOKUP(D331,$D332:$F$885,3,0),INDEX($F332:$F$885,SMALL(IF(D331=$D332:$D$885,ROW($D332:$D$885)-ROW(D331)),2))),0)</f>
        <v>1.1058914440232428</v>
      </c>
      <c r="N331" s="50">
        <f>IFERROR(IF(VLOOKUP($B331,Input!$AC$2:$AC$162,1,0)=$B331,0),F331)</f>
        <v>94.709494559205496</v>
      </c>
      <c r="O331" s="50">
        <f>IFERROR(IF(VLOOKUP($B331,Input!$AC$2:$AC$162,1,0)=$B331,0,G331),G331)</f>
        <v>117.972009929973</v>
      </c>
      <c r="P331" s="50">
        <f>IF(N331=0,0,F331-AVERAGE(INDEX(F:F,MATCH(VLOOKUP(D331,Input!$A$14:$L$22,10,0),L:L,0)),INDEX(F:F,MATCH(VLOOKUP(D331,Input!$A$14:$L$22,11,0),L:L,0)),INDEX(F:F,MATCH(VLOOKUP(D331,Input!$A$14:$L$22,12,0),L:L,0)))+(0.01-ROW()*0.01))</f>
        <v>-121.36842171014352</v>
      </c>
      <c r="Q331" s="106">
        <f t="shared" si="100"/>
        <v>-4.1871248741719047E-2</v>
      </c>
      <c r="R331" s="8">
        <f>IF(VLOOKUP($D331,$X$14:$Y$19,2,0)&lt;=0,1,IF(Q331&lt;0,1,ROUNDUP(IF(Q331*('Draft Center'!$L$28+'Draft Center'!$L$78-'Draft Center'!$L$82)&lt;1,1,Q331*('Draft Center'!$L$28+'Draft Center'!$L$78-'Draft Center'!$L$82)),0)))</f>
        <v>1</v>
      </c>
      <c r="S331" s="8">
        <f>IF(A331&lt;Input!$B$10+0.1,IF(ROUNDUP(R331*Input!$C$10,0)=0,1,ROUNDUP(R331*Input!$C$10,0)),IF(A331&gt;Input!$B$11,IF(ROUNDUP(R331*Input!$C$11,0)=0,1,ROUNDUP(R331*Input!$C$11,0)),IF(ROUNDUP(R331,0)=0,1,ROUNDUP(R331,0))))</f>
        <v>1</v>
      </c>
      <c r="T331" s="8">
        <f t="shared" si="101"/>
        <v>1</v>
      </c>
      <c r="U331" s="8">
        <f>IFERROR(VLOOKUP($B331,Input!$AC$2:$AE$161,3,0),0)</f>
        <v>0</v>
      </c>
      <c r="V331" s="256">
        <f t="shared" si="102"/>
        <v>0</v>
      </c>
      <c r="W331" s="263">
        <f t="shared" si="103"/>
        <v>1.0033099999999999</v>
      </c>
      <c r="X331" s="68"/>
      <c r="Y331" s="68"/>
      <c r="Z331" s="68"/>
      <c r="AA331" s="68"/>
      <c r="AB331" s="68"/>
      <c r="AC331" s="68"/>
      <c r="AD331" s="68"/>
      <c r="AE331" s="68"/>
      <c r="AF331" s="68"/>
      <c r="AG331" s="68"/>
      <c r="AH331" s="68"/>
      <c r="AI331" s="68"/>
      <c r="AJ331" s="68">
        <v>1</v>
      </c>
      <c r="AL331" s="68">
        <v>1</v>
      </c>
      <c r="AM331" s="68"/>
      <c r="AN331" s="68"/>
      <c r="AO331" s="68"/>
      <c r="AQ331" s="68"/>
      <c r="AR331" s="68"/>
      <c r="AS331" s="68"/>
      <c r="AT331" s="68"/>
      <c r="AU331" s="68"/>
      <c r="AV331" s="68"/>
      <c r="AW331" s="68"/>
      <c r="AX331" s="68"/>
      <c r="AY331" s="68"/>
      <c r="AZ331" s="68"/>
      <c r="BB331" s="68"/>
      <c r="BC331" s="68"/>
      <c r="BJ331" s="68"/>
      <c r="BT331">
        <v>1</v>
      </c>
      <c r="BV331">
        <v>1</v>
      </c>
      <c r="BX331" s="68"/>
      <c r="BY331" s="68">
        <v>1</v>
      </c>
      <c r="BZ331" s="68">
        <v>0</v>
      </c>
      <c r="CA331" s="68">
        <v>0</v>
      </c>
      <c r="CB331" s="68">
        <v>0</v>
      </c>
      <c r="CC331" s="68">
        <f t="shared" si="104"/>
        <v>0</v>
      </c>
      <c r="CD331" s="68">
        <f t="shared" si="105"/>
        <v>0</v>
      </c>
    </row>
    <row r="332" spans="1:82" ht="15.75" customHeight="1" thickBot="1" x14ac:dyDescent="0.3">
      <c r="A332" s="9">
        <v>331</v>
      </c>
      <c r="B332" s="10" t="s">
        <v>67</v>
      </c>
      <c r="C332" s="10" t="s">
        <v>68</v>
      </c>
      <c r="D332" s="10" t="s">
        <v>19</v>
      </c>
      <c r="E332" s="51">
        <v>-118.706603328084</v>
      </c>
      <c r="F332" s="51">
        <v>50.395794697867899</v>
      </c>
      <c r="G332" s="51">
        <v>73.055839037813897</v>
      </c>
      <c r="H332" s="51">
        <v>13.1</v>
      </c>
      <c r="I332" s="11">
        <v>0</v>
      </c>
      <c r="J332" s="51">
        <v>6.0927113058129603</v>
      </c>
      <c r="K332" s="249">
        <f>IFERROR(VLOOKUP(C332,Schedule!$T$3:$U$34,2,0),"FA")</f>
        <v>8</v>
      </c>
      <c r="L332" s="10" t="str">
        <f>D332&amp;COUNTIF(D$2:$D332,D332)</f>
        <v>RB86</v>
      </c>
      <c r="M332" s="51">
        <f t="array" ref="M332">IFERROR(F332-AVERAGE(VLOOKUP(D332,$D333:$F$885,3,0),INDEX($F333:$F$885,SMALL(IF(D332=$D333:$D$885,ROW($D333:$D$885)-ROW(D332)),2))),0)</f>
        <v>0.63229206440154684</v>
      </c>
      <c r="N332" s="51">
        <f>IFERROR(IF(VLOOKUP($B332,Input!$AC$2:$AC$162,1,0)=$B332,0),F332)</f>
        <v>50.395794697867899</v>
      </c>
      <c r="O332" s="51">
        <f>IFERROR(IF(VLOOKUP($B332,Input!$AC$2:$AC$162,1,0)=$B332,0,G332),G332)</f>
        <v>73.055839037813897</v>
      </c>
      <c r="P332" s="51">
        <f>IF(N332=0,0,F332-AVERAGE(INDEX(F:F,MATCH(VLOOKUP(D332,Input!$A$14:$L$22,10,0),L:L,0)),INDEX(F:F,MATCH(VLOOKUP(D332,Input!$A$14:$L$22,11,0),L:L,0)),INDEX(F:F,MATCH(VLOOKUP(D332,Input!$A$14:$L$22,12,0),L:L,0)))+(0.01-ROW()*0.01))</f>
        <v>-122.0166033280841</v>
      </c>
      <c r="Q332" s="107">
        <f t="shared" si="100"/>
        <v>-4.2094866824348619E-2</v>
      </c>
      <c r="R332" s="11">
        <f>IF(VLOOKUP($D332,$X$14:$Y$19,2,0)&lt;=0,1,IF(Q332&lt;0,1,ROUNDUP(IF(Q332*('Draft Center'!$L$28+'Draft Center'!$L$78-'Draft Center'!$L$82)&lt;1,1,Q332*('Draft Center'!$L$28+'Draft Center'!$L$78-'Draft Center'!$L$82)),0)))</f>
        <v>1</v>
      </c>
      <c r="S332" s="11">
        <f>IF(A332&lt;Input!$B$10+0.1,IF(ROUNDUP(R332*Input!$C$10,0)=0,1,ROUNDUP(R332*Input!$C$10,0)),IF(A332&gt;Input!$B$11,IF(ROUNDUP(R332*Input!$C$11,0)=0,1,ROUNDUP(R332*Input!$C$11,0)),IF(ROUNDUP(R332,0)=0,1,ROUNDUP(R332,0))))</f>
        <v>1</v>
      </c>
      <c r="T332" s="11">
        <f t="shared" si="101"/>
        <v>1</v>
      </c>
      <c r="U332" s="11">
        <f>IFERROR(VLOOKUP($B332,Input!$AC$2:$AE$161,3,0),0)</f>
        <v>0</v>
      </c>
      <c r="V332" s="257">
        <f t="shared" si="102"/>
        <v>0</v>
      </c>
      <c r="W332" s="264">
        <f t="shared" si="103"/>
        <v>1.00332</v>
      </c>
      <c r="X332" s="68"/>
      <c r="Y332" s="68"/>
      <c r="Z332" s="68"/>
      <c r="AA332" s="68"/>
      <c r="AB332" s="68"/>
      <c r="AC332" s="68"/>
      <c r="AD332" s="68"/>
      <c r="AE332" s="68"/>
      <c r="AF332" s="68"/>
      <c r="AG332" s="68"/>
      <c r="AH332" s="68"/>
      <c r="AI332" s="68"/>
      <c r="AJ332" s="68">
        <v>1</v>
      </c>
      <c r="AL332" s="68">
        <v>1</v>
      </c>
      <c r="AM332" s="68"/>
      <c r="AN332" s="68"/>
      <c r="AO332" s="68"/>
      <c r="AQ332" s="68"/>
      <c r="AR332" s="68"/>
      <c r="AS332" s="68"/>
      <c r="AT332" s="68"/>
      <c r="AU332" s="68"/>
      <c r="AV332" s="68"/>
      <c r="AW332" s="68"/>
      <c r="AX332" s="68"/>
      <c r="AY332" s="68"/>
      <c r="AZ332" s="68"/>
      <c r="BB332" s="68"/>
      <c r="BC332" s="68"/>
      <c r="BJ332" s="68"/>
      <c r="BT332">
        <v>1</v>
      </c>
      <c r="BV332">
        <v>1</v>
      </c>
      <c r="BX332" s="68"/>
      <c r="BY332" s="68">
        <v>1</v>
      </c>
      <c r="BZ332" s="68">
        <v>0</v>
      </c>
      <c r="CA332" s="68">
        <v>0</v>
      </c>
      <c r="CB332" s="68">
        <v>0</v>
      </c>
      <c r="CC332" s="68">
        <f t="shared" si="104"/>
        <v>0</v>
      </c>
      <c r="CD332" s="68">
        <f t="shared" si="105"/>
        <v>0</v>
      </c>
    </row>
    <row r="333" spans="1:82" ht="15.75" customHeight="1" thickBot="1" x14ac:dyDescent="0.3">
      <c r="A333" s="6">
        <v>332</v>
      </c>
      <c r="B333" s="7" t="s">
        <v>333</v>
      </c>
      <c r="C333" s="7" t="s">
        <v>61</v>
      </c>
      <c r="D333" s="7" t="s">
        <v>19</v>
      </c>
      <c r="E333" s="50">
        <v>-118.862421282022</v>
      </c>
      <c r="F333" s="50">
        <v>50.239976743929702</v>
      </c>
      <c r="G333" s="50">
        <v>88.008691131498495</v>
      </c>
      <c r="H333" s="50">
        <v>-0.61699346405228805</v>
      </c>
      <c r="I333" s="8">
        <v>0</v>
      </c>
      <c r="J333" s="50">
        <v>8.6754844304575691</v>
      </c>
      <c r="K333" s="248">
        <f>IFERROR(VLOOKUP(C333,Schedule!$T$3:$U$34,2,0),"FA")</f>
        <v>5</v>
      </c>
      <c r="L333" s="7" t="str">
        <f>D333&amp;COUNTIF(D$2:$D333,D333)</f>
        <v>RB87</v>
      </c>
      <c r="M333" s="50">
        <f t="array" ref="M333">IFERROR(F333-AVERAGE(VLOOKUP(D333,$D334:$F$885,3,0),INDEX($F334:$F$885,SMALL(IF(D333=$D334:$D$885,ROW($D334:$D$885)-ROW(D333)),2))),0)</f>
        <v>1.0014762767101502</v>
      </c>
      <c r="N333" s="50">
        <f>IFERROR(IF(VLOOKUP($B333,Input!$AC$2:$AC$162,1,0)=$B333,0),F333)</f>
        <v>50.239976743929702</v>
      </c>
      <c r="O333" s="50">
        <f>IFERROR(IF(VLOOKUP($B333,Input!$AC$2:$AC$162,1,0)=$B333,0,G333),G333)</f>
        <v>88.008691131498495</v>
      </c>
      <c r="P333" s="50">
        <f>IF(N333=0,0,F333-AVERAGE(INDEX(F:F,MATCH(VLOOKUP(D333,Input!$A$14:$L$22,10,0),L:L,0)),INDEX(F:F,MATCH(VLOOKUP(D333,Input!$A$14:$L$22,11,0),L:L,0)),INDEX(F:F,MATCH(VLOOKUP(D333,Input!$A$14:$L$22,12,0),L:L,0)))+(0.01-ROW()*0.01))</f>
        <v>-122.18242128202229</v>
      </c>
      <c r="Q333" s="106">
        <f t="shared" si="100"/>
        <v>-4.2152072847936616E-2</v>
      </c>
      <c r="R333" s="8">
        <f>IF(VLOOKUP($D333,$X$14:$Y$19,2,0)&lt;=0,1,IF(Q333&lt;0,1,ROUNDUP(IF(Q333*('Draft Center'!$L$28+'Draft Center'!$L$78-'Draft Center'!$L$82)&lt;1,1,Q333*('Draft Center'!$L$28+'Draft Center'!$L$78-'Draft Center'!$L$82)),0)))</f>
        <v>1</v>
      </c>
      <c r="S333" s="8">
        <f>IF(A333&lt;Input!$B$10+0.1,IF(ROUNDUP(R333*Input!$C$10,0)=0,1,ROUNDUP(R333*Input!$C$10,0)),IF(A333&gt;Input!$B$11,IF(ROUNDUP(R333*Input!$C$11,0)=0,1,ROUNDUP(R333*Input!$C$11,0)),IF(ROUNDUP(R333,0)=0,1,ROUNDUP(R333,0))))</f>
        <v>1</v>
      </c>
      <c r="T333" s="8">
        <f t="shared" si="101"/>
        <v>1</v>
      </c>
      <c r="U333" s="8">
        <f>IFERROR(VLOOKUP($B333,Input!$AC$2:$AE$161,3,0),0)</f>
        <v>0</v>
      </c>
      <c r="V333" s="256">
        <f t="shared" si="102"/>
        <v>0</v>
      </c>
      <c r="W333" s="263">
        <f t="shared" si="103"/>
        <v>1.0033300000000001</v>
      </c>
      <c r="X333" s="68"/>
      <c r="Y333" s="68"/>
      <c r="Z333" s="68"/>
      <c r="AA333" s="68"/>
      <c r="AB333" s="68"/>
      <c r="AC333" s="68"/>
      <c r="AD333" s="68"/>
      <c r="AE333" s="68"/>
      <c r="AF333" s="68"/>
      <c r="AG333" s="68"/>
      <c r="AH333" s="68"/>
      <c r="AI333" s="68"/>
      <c r="AJ333" s="68">
        <v>1</v>
      </c>
      <c r="AL333" s="68">
        <v>1</v>
      </c>
      <c r="AM333" s="68"/>
      <c r="AN333" s="68"/>
      <c r="AO333" s="68"/>
      <c r="AQ333" s="68"/>
      <c r="AR333" s="68"/>
      <c r="AS333" s="68"/>
      <c r="AT333" s="68"/>
      <c r="AU333" s="68"/>
      <c r="AV333" s="68"/>
      <c r="AW333" s="68"/>
      <c r="AX333" s="68"/>
      <c r="AY333" s="68"/>
      <c r="AZ333" s="68"/>
      <c r="BB333" s="68"/>
      <c r="BC333" s="68"/>
      <c r="BJ333" s="68"/>
      <c r="BT333">
        <v>1</v>
      </c>
      <c r="BV333">
        <v>1</v>
      </c>
      <c r="BX333" s="68"/>
      <c r="BY333" s="68">
        <v>1</v>
      </c>
      <c r="BZ333" s="68">
        <v>0</v>
      </c>
      <c r="CA333" s="68">
        <v>0</v>
      </c>
      <c r="CB333" s="68">
        <v>0</v>
      </c>
      <c r="CC333" s="68">
        <f t="shared" si="104"/>
        <v>0</v>
      </c>
      <c r="CD333" s="68">
        <f t="shared" si="105"/>
        <v>0</v>
      </c>
    </row>
    <row r="334" spans="1:82" ht="15.75" customHeight="1" thickBot="1" x14ac:dyDescent="0.3">
      <c r="A334" s="9">
        <v>333</v>
      </c>
      <c r="B334" s="10" t="s">
        <v>489</v>
      </c>
      <c r="C334" s="10" t="s">
        <v>80</v>
      </c>
      <c r="D334" s="10" t="s">
        <v>17</v>
      </c>
      <c r="E334" s="51">
        <v>-118.93845620601</v>
      </c>
      <c r="F334" s="51">
        <v>93.839460063339104</v>
      </c>
      <c r="G334" s="51">
        <v>101.970165676785</v>
      </c>
      <c r="H334" s="51">
        <v>80.810467589093193</v>
      </c>
      <c r="I334" s="11">
        <v>0</v>
      </c>
      <c r="J334" s="51">
        <v>4.2615138198372904</v>
      </c>
      <c r="K334" s="249">
        <f>IFERROR(VLOOKUP(C334,Schedule!$T$3:$U$34,2,0),"FA")</f>
        <v>11</v>
      </c>
      <c r="L334" s="10" t="str">
        <f>D334&amp;COUNTIF(D$2:$D334,D334)</f>
        <v>WR89</v>
      </c>
      <c r="M334" s="51">
        <f t="array" ref="M334">IFERROR(F334-AVERAGE(VLOOKUP(D334,$D335:$F$885,3,0),INDEX($F335:$F$885,SMALL(IF(D334=$D335:$D$885,ROW($D335:$D$885)-ROW(D334)),2))),0)</f>
        <v>4.5215191767252492</v>
      </c>
      <c r="N334" s="51">
        <f>IFERROR(IF(VLOOKUP($B334,Input!$AC$2:$AC$162,1,0)=$B334,0),F334)</f>
        <v>93.839460063339104</v>
      </c>
      <c r="O334" s="51">
        <f>IFERROR(IF(VLOOKUP($B334,Input!$AC$2:$AC$162,1,0)=$B334,0,G334),G334)</f>
        <v>101.970165676785</v>
      </c>
      <c r="P334" s="51">
        <f>IF(N334=0,0,F334-AVERAGE(INDEX(F:F,MATCH(VLOOKUP(D334,Input!$A$14:$L$22,10,0),L:L,0)),INDEX(F:F,MATCH(VLOOKUP(D334,Input!$A$14:$L$22,11,0),L:L,0)),INDEX(F:F,MATCH(VLOOKUP(D334,Input!$A$14:$L$22,12,0),L:L,0)))+(0.01-ROW()*0.01))</f>
        <v>-122.26845620600992</v>
      </c>
      <c r="Q334" s="107">
        <f t="shared" si="100"/>
        <v>-4.2181754289385733E-2</v>
      </c>
      <c r="R334" s="11">
        <f>IF(VLOOKUP($D334,$X$14:$Y$19,2,0)&lt;=0,1,IF(Q334&lt;0,1,ROUNDUP(IF(Q334*('Draft Center'!$L$28+'Draft Center'!$L$78-'Draft Center'!$L$82)&lt;1,1,Q334*('Draft Center'!$L$28+'Draft Center'!$L$78-'Draft Center'!$L$82)),0)))</f>
        <v>1</v>
      </c>
      <c r="S334" s="11">
        <f>IF(A334&lt;Input!$B$10+0.1,IF(ROUNDUP(R334*Input!$C$10,0)=0,1,ROUNDUP(R334*Input!$C$10,0)),IF(A334&gt;Input!$B$11,IF(ROUNDUP(R334*Input!$C$11,0)=0,1,ROUNDUP(R334*Input!$C$11,0)),IF(ROUNDUP(R334,0)=0,1,ROUNDUP(R334,0))))</f>
        <v>1</v>
      </c>
      <c r="T334" s="11">
        <f t="shared" si="101"/>
        <v>1</v>
      </c>
      <c r="U334" s="11">
        <f>IFERROR(VLOOKUP($B334,Input!$AC$2:$AE$161,3,0),0)</f>
        <v>0</v>
      </c>
      <c r="V334" s="257">
        <f t="shared" si="102"/>
        <v>0</v>
      </c>
      <c r="W334" s="264">
        <f t="shared" si="103"/>
        <v>1.0033399999999999</v>
      </c>
      <c r="X334" s="68"/>
      <c r="Y334" s="68"/>
      <c r="Z334" s="68"/>
      <c r="AA334" s="68"/>
      <c r="AB334" s="68"/>
      <c r="AC334" s="68"/>
      <c r="AD334" s="68"/>
      <c r="AE334" s="68"/>
      <c r="AF334" s="68"/>
      <c r="AG334" s="68"/>
      <c r="AH334" s="68"/>
      <c r="AI334" s="68"/>
      <c r="AJ334" s="68">
        <v>1</v>
      </c>
      <c r="AL334" s="68">
        <v>1</v>
      </c>
      <c r="AM334" s="68"/>
      <c r="AN334" s="68"/>
      <c r="AO334" s="68"/>
      <c r="AQ334" s="68"/>
      <c r="AR334" s="68"/>
      <c r="AS334" s="68"/>
      <c r="AT334" s="68"/>
      <c r="AU334" s="68"/>
      <c r="AV334" s="68"/>
      <c r="AW334" s="68"/>
      <c r="AX334" s="68"/>
      <c r="AY334" s="68"/>
      <c r="AZ334" s="68"/>
      <c r="BB334" s="68"/>
      <c r="BC334" s="68"/>
      <c r="BJ334" s="68"/>
      <c r="BT334">
        <v>1</v>
      </c>
      <c r="BV334">
        <v>1</v>
      </c>
      <c r="BX334" s="68"/>
      <c r="BY334" s="68">
        <v>1</v>
      </c>
      <c r="BZ334" s="68">
        <v>0</v>
      </c>
      <c r="CA334" s="68">
        <v>0</v>
      </c>
      <c r="CB334" s="68">
        <v>0</v>
      </c>
      <c r="CC334" s="68">
        <f t="shared" si="104"/>
        <v>0</v>
      </c>
      <c r="CD334" s="68">
        <f t="shared" si="105"/>
        <v>0</v>
      </c>
    </row>
    <row r="335" spans="1:82" ht="15.75" customHeight="1" thickBot="1" x14ac:dyDescent="0.3">
      <c r="A335" s="6">
        <v>334</v>
      </c>
      <c r="B335" s="7" t="s">
        <v>964</v>
      </c>
      <c r="C335" s="7" t="s">
        <v>66</v>
      </c>
      <c r="D335" s="7" t="s">
        <v>43</v>
      </c>
      <c r="E335" s="50">
        <v>-119.20039710910601</v>
      </c>
      <c r="F335" s="50">
        <v>34.260522243103303</v>
      </c>
      <c r="G335" s="50">
        <v>53.664157924733502</v>
      </c>
      <c r="H335" s="50">
        <v>17.987201744072099</v>
      </c>
      <c r="I335" s="8">
        <v>0</v>
      </c>
      <c r="J335" s="50">
        <v>8.6361878933357303</v>
      </c>
      <c r="K335" s="248">
        <f>IFERROR(VLOOKUP(C335,Schedule!$T$3:$U$34,2,0),"FA")</f>
        <v>7</v>
      </c>
      <c r="L335" s="7" t="str">
        <f>D335&amp;COUNTIF(D$2:$D335,D335)</f>
        <v>TE63</v>
      </c>
      <c r="M335" s="50">
        <f t="array" ref="M335">IFERROR(F335-AVERAGE(VLOOKUP(D335,$D336:$F$885,3,0),INDEX($F336:$F$885,SMALL(IF(D335=$D336:$D$885,ROW($D336:$D$885)-ROW(D335)),2))),0)</f>
        <v>1.4441542999092505</v>
      </c>
      <c r="N335" s="50">
        <f>IFERROR(IF(VLOOKUP($B335,Input!$AC$2:$AC$162,1,0)=$B335,0),F335)</f>
        <v>34.260522243103303</v>
      </c>
      <c r="O335" s="50">
        <f>IFERROR(IF(VLOOKUP($B335,Input!$AC$2:$AC$162,1,0)=$B335,0,G335),G335)</f>
        <v>53.664157924733502</v>
      </c>
      <c r="P335" s="50">
        <f>IF(N335=0,0,F335-AVERAGE(INDEX(F:F,MATCH(VLOOKUP(D335,Input!$A$14:$L$22,10,0),L:L,0)),INDEX(F:F,MATCH(VLOOKUP(D335,Input!$A$14:$L$22,11,0),L:L,0)),INDEX(F:F,MATCH(VLOOKUP(D335,Input!$A$14:$L$22,12,0),L:L,0)))+(0.01-ROW()*0.01))</f>
        <v>-122.54039710910601</v>
      </c>
      <c r="Q335" s="106">
        <f t="shared" si="100"/>
        <v>-4.22755719813038E-2</v>
      </c>
      <c r="R335" s="8">
        <f>IF(VLOOKUP($D335,$X$14:$Y$19,2,0)&lt;=0,1,IF(Q335&lt;0,1,ROUNDUP(IF(Q335*('Draft Center'!$L$28+'Draft Center'!$L$78-'Draft Center'!$L$82)&lt;1,1,Q335*('Draft Center'!$L$28+'Draft Center'!$L$78-'Draft Center'!$L$82)),0)))</f>
        <v>1</v>
      </c>
      <c r="S335" s="8">
        <f>IF(A335&lt;Input!$B$10+0.1,IF(ROUNDUP(R335*Input!$C$10,0)=0,1,ROUNDUP(R335*Input!$C$10,0)),IF(A335&gt;Input!$B$11,IF(ROUNDUP(R335*Input!$C$11,0)=0,1,ROUNDUP(R335*Input!$C$11,0)),IF(ROUNDUP(R335,0)=0,1,ROUNDUP(R335,0))))</f>
        <v>1</v>
      </c>
      <c r="T335" s="8">
        <f t="shared" si="101"/>
        <v>1</v>
      </c>
      <c r="U335" s="8">
        <f>IFERROR(VLOOKUP($B335,Input!$AC$2:$AE$161,3,0),0)</f>
        <v>0</v>
      </c>
      <c r="V335" s="256">
        <f t="shared" si="102"/>
        <v>0</v>
      </c>
      <c r="W335" s="263">
        <f t="shared" si="103"/>
        <v>1.00335</v>
      </c>
      <c r="X335" s="68"/>
      <c r="Y335" s="68"/>
      <c r="Z335" s="68"/>
      <c r="AA335" s="68"/>
      <c r="AB335" s="68"/>
      <c r="AC335" s="68"/>
      <c r="AD335" s="68"/>
      <c r="AE335" s="68"/>
      <c r="AF335" s="68"/>
      <c r="AG335" s="68"/>
      <c r="AH335" s="68"/>
      <c r="AI335" s="68"/>
      <c r="AJ335" s="68">
        <v>1</v>
      </c>
      <c r="AL335" s="68">
        <v>1</v>
      </c>
      <c r="AM335" s="68"/>
      <c r="AN335" s="68"/>
      <c r="AO335" s="68"/>
      <c r="AQ335" s="68"/>
      <c r="AR335" s="68"/>
      <c r="AS335" s="68"/>
      <c r="AT335" s="68"/>
      <c r="AU335" s="68"/>
      <c r="AV335" s="68"/>
      <c r="AW335" s="68"/>
      <c r="AX335" s="68"/>
      <c r="AY335" s="68"/>
      <c r="AZ335" s="68"/>
      <c r="BB335" s="68"/>
      <c r="BC335" s="68"/>
      <c r="BJ335" s="68"/>
      <c r="BT335">
        <v>1</v>
      </c>
      <c r="BV335">
        <v>1</v>
      </c>
      <c r="BX335" s="68"/>
      <c r="BY335" s="68">
        <v>1</v>
      </c>
      <c r="BZ335" s="68">
        <v>0</v>
      </c>
      <c r="CA335" s="68">
        <v>0</v>
      </c>
      <c r="CB335" s="68">
        <v>0</v>
      </c>
      <c r="CC335" s="68">
        <f t="shared" si="104"/>
        <v>0</v>
      </c>
      <c r="CD335" s="68">
        <f t="shared" si="105"/>
        <v>0</v>
      </c>
    </row>
    <row r="336" spans="1:82" ht="15.75" customHeight="1" thickBot="1" x14ac:dyDescent="0.3">
      <c r="A336" s="9">
        <v>335</v>
      </c>
      <c r="B336" s="10" t="s">
        <v>758</v>
      </c>
      <c r="C336" s="10" t="s">
        <v>33</v>
      </c>
      <c r="D336" s="10" t="s">
        <v>17</v>
      </c>
      <c r="E336" s="51">
        <v>-119.410170102324</v>
      </c>
      <c r="F336" s="51">
        <v>93.367746167025402</v>
      </c>
      <c r="G336" s="51">
        <v>122.87291206384999</v>
      </c>
      <c r="H336" s="51">
        <v>16.920260631001401</v>
      </c>
      <c r="I336" s="11">
        <v>0</v>
      </c>
      <c r="J336" s="51">
        <v>6.9669893827858997</v>
      </c>
      <c r="K336" s="249">
        <f>IFERROR(VLOOKUP(C336,Schedule!$T$3:$U$34,2,0),"FA")</f>
        <v>9</v>
      </c>
      <c r="L336" s="10" t="str">
        <f>D336&amp;COUNTIF(D$2:$D336,D336)</f>
        <v>WR90</v>
      </c>
      <c r="M336" s="51">
        <f t="array" ref="M336">IFERROR(F336-AVERAGE(VLOOKUP(D336,$D337:$F$885,3,0),INDEX($F337:$F$885,SMALL(IF(D336=$D337:$D$885,ROW($D337:$D$885)-ROW(D336)),2))),0)</f>
        <v>8.3023859200896482</v>
      </c>
      <c r="N336" s="51">
        <f>IFERROR(IF(VLOOKUP($B336,Input!$AC$2:$AC$162,1,0)=$B336,0),F336)</f>
        <v>93.367746167025402</v>
      </c>
      <c r="O336" s="51">
        <f>IFERROR(IF(VLOOKUP($B336,Input!$AC$2:$AC$162,1,0)=$B336,0,G336),G336)</f>
        <v>122.87291206384999</v>
      </c>
      <c r="P336" s="51">
        <f>IF(N336=0,0,F336-AVERAGE(INDEX(F:F,MATCH(VLOOKUP(D336,Input!$A$14:$L$22,10,0),L:L,0)),INDEX(F:F,MATCH(VLOOKUP(D336,Input!$A$14:$L$22,11,0),L:L,0)),INDEX(F:F,MATCH(VLOOKUP(D336,Input!$A$14:$L$22,12,0),L:L,0)))+(0.01-ROW()*0.01))</f>
        <v>-122.76017010232361</v>
      </c>
      <c r="Q336" s="107">
        <f t="shared" si="100"/>
        <v>-4.2351392112570753E-2</v>
      </c>
      <c r="R336" s="11">
        <f>IF(VLOOKUP($D336,$X$14:$Y$19,2,0)&lt;=0,1,IF(Q336&lt;0,1,ROUNDUP(IF(Q336*('Draft Center'!$L$28+'Draft Center'!$L$78-'Draft Center'!$L$82)&lt;1,1,Q336*('Draft Center'!$L$28+'Draft Center'!$L$78-'Draft Center'!$L$82)),0)))</f>
        <v>1</v>
      </c>
      <c r="S336" s="11">
        <f>IF(A336&lt;Input!$B$10+0.1,IF(ROUNDUP(R336*Input!$C$10,0)=0,1,ROUNDUP(R336*Input!$C$10,0)),IF(A336&gt;Input!$B$11,IF(ROUNDUP(R336*Input!$C$11,0)=0,1,ROUNDUP(R336*Input!$C$11,0)),IF(ROUNDUP(R336,0)=0,1,ROUNDUP(R336,0))))</f>
        <v>1</v>
      </c>
      <c r="T336" s="11">
        <f t="shared" si="101"/>
        <v>1</v>
      </c>
      <c r="U336" s="11">
        <f>IFERROR(VLOOKUP($B336,Input!$AC$2:$AE$161,3,0),0)</f>
        <v>0</v>
      </c>
      <c r="V336" s="257">
        <f t="shared" si="102"/>
        <v>0</v>
      </c>
      <c r="W336" s="264">
        <f t="shared" si="103"/>
        <v>1.00336</v>
      </c>
      <c r="X336" s="68"/>
      <c r="Y336" s="68"/>
      <c r="Z336" s="68"/>
      <c r="AA336" s="68"/>
      <c r="AB336" s="68"/>
      <c r="AC336" s="68"/>
      <c r="AD336" s="68"/>
      <c r="AE336" s="68"/>
      <c r="AF336" s="68"/>
      <c r="AG336" s="68"/>
      <c r="AH336" s="68"/>
      <c r="AI336" s="68"/>
      <c r="AJ336" s="68">
        <v>1</v>
      </c>
      <c r="AL336" s="68">
        <v>1</v>
      </c>
      <c r="AM336" s="68"/>
      <c r="AN336" s="68"/>
      <c r="AO336" s="68"/>
      <c r="AQ336" s="68"/>
      <c r="AR336" s="68"/>
      <c r="AS336" s="68"/>
      <c r="AT336" s="68"/>
      <c r="AU336" s="68"/>
      <c r="AV336" s="68"/>
      <c r="AW336" s="68"/>
      <c r="AX336" s="68"/>
      <c r="AY336" s="68"/>
      <c r="AZ336" s="68"/>
      <c r="BB336" s="68"/>
      <c r="BC336" s="68"/>
      <c r="BJ336" s="68"/>
      <c r="BT336">
        <v>1</v>
      </c>
      <c r="BV336">
        <v>1</v>
      </c>
      <c r="BX336" s="68"/>
      <c r="BY336" s="68">
        <v>1</v>
      </c>
      <c r="BZ336" s="68">
        <v>0</v>
      </c>
      <c r="CA336" s="68">
        <v>0</v>
      </c>
      <c r="CB336" s="68">
        <v>0</v>
      </c>
      <c r="CC336" s="68">
        <f t="shared" si="104"/>
        <v>0</v>
      </c>
      <c r="CD336" s="68">
        <f t="shared" si="105"/>
        <v>0</v>
      </c>
    </row>
    <row r="337" spans="1:82" ht="15.75" customHeight="1" thickBot="1" x14ac:dyDescent="0.3">
      <c r="A337" s="6">
        <v>336</v>
      </c>
      <c r="B337" s="7" t="s">
        <v>967</v>
      </c>
      <c r="C337" s="7" t="s">
        <v>29</v>
      </c>
      <c r="D337" s="7" t="s">
        <v>19</v>
      </c>
      <c r="E337" s="50">
        <v>-119.815369502949</v>
      </c>
      <c r="F337" s="50">
        <v>49.287028523003002</v>
      </c>
      <c r="G337" s="50">
        <v>79.727687664903002</v>
      </c>
      <c r="H337" s="50">
        <v>9.0953909465020608</v>
      </c>
      <c r="I337" s="8">
        <v>0</v>
      </c>
      <c r="J337" s="50">
        <v>6.3192153274880898</v>
      </c>
      <c r="K337" s="248">
        <f>IFERROR(VLOOKUP(C337,Schedule!$T$3:$U$34,2,0),"FA")</f>
        <v>8</v>
      </c>
      <c r="L337" s="7" t="str">
        <f>D337&amp;COUNTIF(D$2:$D337,D337)</f>
        <v>RB88</v>
      </c>
      <c r="M337" s="50">
        <f t="array" ref="M337">IFERROR(F337-AVERAGE(VLOOKUP(D337,$D338:$F$885,3,0),INDEX($F338:$F$885,SMALL(IF(D337=$D338:$D$885,ROW($D338:$D$885)-ROW(D337)),2))),0)</f>
        <v>0.62737124776955255</v>
      </c>
      <c r="N337" s="50">
        <f>IFERROR(IF(VLOOKUP($B337,Input!$AC$2:$AC$162,1,0)=$B337,0),F337)</f>
        <v>49.287028523003002</v>
      </c>
      <c r="O337" s="50">
        <f>IFERROR(IF(VLOOKUP($B337,Input!$AC$2:$AC$162,1,0)=$B337,0,G337),G337)</f>
        <v>79.727687664903002</v>
      </c>
      <c r="P337" s="50">
        <f>IF(N337=0,0,F337-AVERAGE(INDEX(F:F,MATCH(VLOOKUP(D337,Input!$A$14:$L$22,10,0),L:L,0)),INDEX(F:F,MATCH(VLOOKUP(D337,Input!$A$14:$L$22,11,0),L:L,0)),INDEX(F:F,MATCH(VLOOKUP(D337,Input!$A$14:$L$22,12,0),L:L,0)))+(0.01-ROW()*0.01))</f>
        <v>-123.175369502949</v>
      </c>
      <c r="Q337" s="106">
        <f t="shared" si="100"/>
        <v>-4.2494632974864548E-2</v>
      </c>
      <c r="R337" s="8">
        <f>IF(VLOOKUP($D337,$X$14:$Y$19,2,0)&lt;=0,1,IF(Q337&lt;0,1,ROUNDUP(IF(Q337*('Draft Center'!$L$28+'Draft Center'!$L$78-'Draft Center'!$L$82)&lt;1,1,Q337*('Draft Center'!$L$28+'Draft Center'!$L$78-'Draft Center'!$L$82)),0)))</f>
        <v>1</v>
      </c>
      <c r="S337" s="8">
        <f>IF(A337&lt;Input!$B$10+0.1,IF(ROUNDUP(R337*Input!$C$10,0)=0,1,ROUNDUP(R337*Input!$C$10,0)),IF(A337&gt;Input!$B$11,IF(ROUNDUP(R337*Input!$C$11,0)=0,1,ROUNDUP(R337*Input!$C$11,0)),IF(ROUNDUP(R337,0)=0,1,ROUNDUP(R337,0))))</f>
        <v>1</v>
      </c>
      <c r="T337" s="8">
        <f t="shared" si="101"/>
        <v>1</v>
      </c>
      <c r="U337" s="8">
        <f>IFERROR(VLOOKUP($B337,Input!$AC$2:$AE$161,3,0),0)</f>
        <v>0</v>
      </c>
      <c r="V337" s="256">
        <f t="shared" si="102"/>
        <v>0</v>
      </c>
      <c r="W337" s="263">
        <f t="shared" si="103"/>
        <v>1.0033700000000001</v>
      </c>
      <c r="X337" s="68"/>
      <c r="Y337" s="68"/>
      <c r="Z337" s="68"/>
      <c r="AA337" s="68"/>
      <c r="AB337" s="68"/>
      <c r="AC337" s="68"/>
      <c r="AD337" s="68"/>
      <c r="AE337" s="68"/>
      <c r="AF337" s="68"/>
      <c r="AG337" s="68"/>
      <c r="AH337" s="68"/>
      <c r="AI337" s="68"/>
      <c r="AJ337" s="68">
        <v>1</v>
      </c>
      <c r="AL337" s="68">
        <v>1</v>
      </c>
      <c r="AM337" s="68"/>
      <c r="AN337" s="68"/>
      <c r="AO337" s="68"/>
      <c r="AQ337" s="68"/>
      <c r="AR337" s="68"/>
      <c r="AS337" s="68"/>
      <c r="AT337" s="68"/>
      <c r="AU337" s="68"/>
      <c r="AV337" s="68"/>
      <c r="AW337" s="68"/>
      <c r="AX337" s="68"/>
      <c r="AY337" s="68"/>
      <c r="AZ337" s="68"/>
      <c r="BB337" s="68"/>
      <c r="BC337" s="68"/>
      <c r="BJ337" s="68"/>
      <c r="BT337">
        <v>1</v>
      </c>
      <c r="BV337">
        <v>1</v>
      </c>
      <c r="BX337" s="68"/>
      <c r="BY337" s="68">
        <v>1</v>
      </c>
      <c r="BZ337" s="68">
        <v>0</v>
      </c>
      <c r="CA337" s="68">
        <v>0</v>
      </c>
      <c r="CB337" s="68">
        <v>0</v>
      </c>
      <c r="CC337" s="68">
        <f t="shared" si="104"/>
        <v>0</v>
      </c>
      <c r="CD337" s="68">
        <f t="shared" si="105"/>
        <v>0</v>
      </c>
    </row>
    <row r="338" spans="1:82" ht="15.75" customHeight="1" thickBot="1" x14ac:dyDescent="0.3">
      <c r="A338" s="9">
        <v>337</v>
      </c>
      <c r="B338" s="10" t="s">
        <v>156</v>
      </c>
      <c r="C338" s="10" t="s">
        <v>66</v>
      </c>
      <c r="D338" s="10" t="s">
        <v>19</v>
      </c>
      <c r="E338" s="51">
        <v>-119.912425614516</v>
      </c>
      <c r="F338" s="51">
        <v>49.189972411436102</v>
      </c>
      <c r="G338" s="51">
        <v>70.809893593442794</v>
      </c>
      <c r="H338" s="51">
        <v>29.24</v>
      </c>
      <c r="I338" s="11">
        <v>0</v>
      </c>
      <c r="J338" s="51">
        <v>4.9962011352101996</v>
      </c>
      <c r="K338" s="249">
        <f>IFERROR(VLOOKUP(C338,Schedule!$T$3:$U$34,2,0),"FA")</f>
        <v>7</v>
      </c>
      <c r="L338" s="10" t="str">
        <f>D338&amp;COUNTIF(D$2:$D338,D338)</f>
        <v>RB89</v>
      </c>
      <c r="M338" s="51">
        <f t="array" ref="M338">IFERROR(F338-AVERAGE(VLOOKUP(D338,$D339:$F$885,3,0),INDEX($F339:$F$885,SMALL(IF(D338=$D339:$D$885,ROW($D339:$D$885)-ROW(D338)),2))),0)</f>
        <v>1.2090946596860519</v>
      </c>
      <c r="N338" s="51">
        <f>IFERROR(IF(VLOOKUP($B338,Input!$AC$2:$AC$162,1,0)=$B338,0),F338)</f>
        <v>49.189972411436102</v>
      </c>
      <c r="O338" s="51">
        <f>IFERROR(IF(VLOOKUP($B338,Input!$AC$2:$AC$162,1,0)=$B338,0,G338),G338)</f>
        <v>70.809893593442794</v>
      </c>
      <c r="P338" s="51">
        <f>IF(N338=0,0,F338-AVERAGE(INDEX(F:F,MATCH(VLOOKUP(D338,Input!$A$14:$L$22,10,0),L:L,0)),INDEX(F:F,MATCH(VLOOKUP(D338,Input!$A$14:$L$22,11,0),L:L,0)),INDEX(F:F,MATCH(VLOOKUP(D338,Input!$A$14:$L$22,12,0),L:L,0)))+(0.01-ROW()*0.01))</f>
        <v>-123.2824256145159</v>
      </c>
      <c r="Q338" s="107">
        <f t="shared" si="100"/>
        <v>-4.2531566577638465E-2</v>
      </c>
      <c r="R338" s="11">
        <f>IF(VLOOKUP($D338,$X$14:$Y$19,2,0)&lt;=0,1,IF(Q338&lt;0,1,ROUNDUP(IF(Q338*('Draft Center'!$L$28+'Draft Center'!$L$78-'Draft Center'!$L$82)&lt;1,1,Q338*('Draft Center'!$L$28+'Draft Center'!$L$78-'Draft Center'!$L$82)),0)))</f>
        <v>1</v>
      </c>
      <c r="S338" s="11">
        <f>IF(A338&lt;Input!$B$10+0.1,IF(ROUNDUP(R338*Input!$C$10,0)=0,1,ROUNDUP(R338*Input!$C$10,0)),IF(A338&gt;Input!$B$11,IF(ROUNDUP(R338*Input!$C$11,0)=0,1,ROUNDUP(R338*Input!$C$11,0)),IF(ROUNDUP(R338,0)=0,1,ROUNDUP(R338,0))))</f>
        <v>1</v>
      </c>
      <c r="T338" s="11">
        <f t="shared" si="101"/>
        <v>1</v>
      </c>
      <c r="U338" s="11">
        <f>IFERROR(VLOOKUP($B338,Input!$AC$2:$AE$161,3,0),0)</f>
        <v>0</v>
      </c>
      <c r="V338" s="257">
        <f t="shared" si="102"/>
        <v>0</v>
      </c>
      <c r="W338" s="264">
        <f t="shared" si="103"/>
        <v>1.0033799999999999</v>
      </c>
      <c r="X338" s="68"/>
      <c r="Y338" s="68"/>
      <c r="Z338" s="68"/>
      <c r="AA338" s="68"/>
      <c r="AB338" s="68"/>
      <c r="AC338" s="68"/>
      <c r="AD338" s="68"/>
      <c r="AE338" s="68"/>
      <c r="AF338" s="68"/>
      <c r="AG338" s="68"/>
      <c r="AH338" s="68"/>
      <c r="AI338" s="68"/>
      <c r="AJ338" s="68">
        <v>1</v>
      </c>
      <c r="AL338" s="68">
        <v>1</v>
      </c>
      <c r="AM338" s="68"/>
      <c r="AN338" s="68"/>
      <c r="AO338" s="68"/>
      <c r="AQ338" s="68"/>
      <c r="AR338" s="68"/>
      <c r="AS338" s="68"/>
      <c r="AT338" s="68"/>
      <c r="AU338" s="68"/>
      <c r="AV338" s="68"/>
      <c r="AW338" s="68"/>
      <c r="AX338" s="68"/>
      <c r="AY338" s="68"/>
      <c r="AZ338" s="68"/>
      <c r="BB338" s="68"/>
      <c r="BC338" s="68"/>
      <c r="BJ338" s="68"/>
      <c r="BT338">
        <v>1</v>
      </c>
      <c r="BV338">
        <v>1</v>
      </c>
      <c r="BX338" s="68"/>
      <c r="BY338" s="68">
        <v>1</v>
      </c>
      <c r="BZ338" s="68">
        <v>0</v>
      </c>
      <c r="CA338" s="68">
        <v>0</v>
      </c>
      <c r="CB338" s="68">
        <v>0</v>
      </c>
      <c r="CC338" s="68">
        <f t="shared" si="104"/>
        <v>0</v>
      </c>
      <c r="CD338" s="68">
        <f t="shared" si="105"/>
        <v>0</v>
      </c>
    </row>
    <row r="339" spans="1:82" ht="15.75" customHeight="1" thickBot="1" x14ac:dyDescent="0.3">
      <c r="A339" s="6">
        <v>338</v>
      </c>
      <c r="B339" s="7" t="s">
        <v>342</v>
      </c>
      <c r="C339" s="7" t="s">
        <v>64</v>
      </c>
      <c r="D339" s="7" t="s">
        <v>43</v>
      </c>
      <c r="E339" s="50">
        <v>-120.117264236758</v>
      </c>
      <c r="F339" s="50">
        <v>33.343655115451703</v>
      </c>
      <c r="G339" s="50">
        <v>47.066655648653999</v>
      </c>
      <c r="H339" s="50">
        <v>18.2597059964727</v>
      </c>
      <c r="I339" s="8">
        <v>0</v>
      </c>
      <c r="J339" s="50">
        <v>5.0870739308236903</v>
      </c>
      <c r="K339" s="248">
        <f>IFERROR(VLOOKUP(C339,Schedule!$T$3:$U$34,2,0),"FA")</f>
        <v>11</v>
      </c>
      <c r="L339" s="7" t="str">
        <f>D339&amp;COUNTIF(D$2:$D339,D339)</f>
        <v>TE64</v>
      </c>
      <c r="M339" s="50">
        <f t="array" ref="M339">IFERROR(F339-AVERAGE(VLOOKUP(D339,$D340:$F$885,3,0),INDEX($F340:$F$885,SMALL(IF(D339=$D340:$D$885,ROW($D340:$D$885)-ROW(D339)),2))),0)</f>
        <v>1.1856655138146053</v>
      </c>
      <c r="N339" s="50">
        <f>IFERROR(IF(VLOOKUP($B339,Input!$AC$2:$AC$162,1,0)=$B339,0),F339)</f>
        <v>33.343655115451703</v>
      </c>
      <c r="O339" s="50">
        <f>IFERROR(IF(VLOOKUP($B339,Input!$AC$2:$AC$162,1,0)=$B339,0,G339),G339)</f>
        <v>47.066655648653999</v>
      </c>
      <c r="P339" s="50">
        <f>IF(N339=0,0,F339-AVERAGE(INDEX(F:F,MATCH(VLOOKUP(D339,Input!$A$14:$L$22,10,0),L:L,0)),INDEX(F:F,MATCH(VLOOKUP(D339,Input!$A$14:$L$22,11,0),L:L,0)),INDEX(F:F,MATCH(VLOOKUP(D339,Input!$A$14:$L$22,12,0),L:L,0)))+(0.01-ROW()*0.01))</f>
        <v>-123.49726423675762</v>
      </c>
      <c r="Q339" s="106">
        <f t="shared" si="100"/>
        <v>-4.2605684385750811E-2</v>
      </c>
      <c r="R339" s="8">
        <f>IF(VLOOKUP($D339,$X$14:$Y$19,2,0)&lt;=0,1,IF(Q339&lt;0,1,ROUNDUP(IF(Q339*('Draft Center'!$L$28+'Draft Center'!$L$78-'Draft Center'!$L$82)&lt;1,1,Q339*('Draft Center'!$L$28+'Draft Center'!$L$78-'Draft Center'!$L$82)),0)))</f>
        <v>1</v>
      </c>
      <c r="S339" s="8">
        <f>IF(A339&lt;Input!$B$10+0.1,IF(ROUNDUP(R339*Input!$C$10,0)=0,1,ROUNDUP(R339*Input!$C$10,0)),IF(A339&gt;Input!$B$11,IF(ROUNDUP(R339*Input!$C$11,0)=0,1,ROUNDUP(R339*Input!$C$11,0)),IF(ROUNDUP(R339,0)=0,1,ROUNDUP(R339,0))))</f>
        <v>1</v>
      </c>
      <c r="T339" s="8">
        <f t="shared" si="101"/>
        <v>1</v>
      </c>
      <c r="U339" s="8">
        <f>IFERROR(VLOOKUP($B339,Input!$AC$2:$AE$161,3,0),0)</f>
        <v>0</v>
      </c>
      <c r="V339" s="256">
        <f t="shared" si="102"/>
        <v>0</v>
      </c>
      <c r="W339" s="263">
        <f t="shared" si="103"/>
        <v>1.00339</v>
      </c>
      <c r="X339" s="68"/>
      <c r="Y339" s="68"/>
      <c r="Z339" s="68"/>
      <c r="AA339" s="68"/>
      <c r="AB339" s="68"/>
      <c r="AC339" s="68"/>
      <c r="AD339" s="68"/>
      <c r="AE339" s="68"/>
      <c r="AF339" s="68"/>
      <c r="AG339" s="68"/>
      <c r="AH339" s="68"/>
      <c r="AI339" s="68"/>
      <c r="AJ339" s="68">
        <v>1</v>
      </c>
      <c r="AL339" s="68">
        <v>1</v>
      </c>
      <c r="AM339" s="68"/>
      <c r="AN339" s="68"/>
      <c r="AO339" s="68"/>
      <c r="AQ339" s="68"/>
      <c r="AR339" s="68"/>
      <c r="AS339" s="68"/>
      <c r="AT339" s="68"/>
      <c r="AU339" s="68"/>
      <c r="AV339" s="68"/>
      <c r="AW339" s="68"/>
      <c r="AX339" s="68"/>
      <c r="AY339" s="68"/>
      <c r="AZ339" s="68"/>
      <c r="BB339" s="68"/>
      <c r="BC339" s="68"/>
      <c r="BJ339" s="68"/>
      <c r="BT339">
        <v>1</v>
      </c>
      <c r="BV339">
        <v>1</v>
      </c>
      <c r="BX339" s="68"/>
      <c r="BY339" s="68">
        <v>1</v>
      </c>
      <c r="BZ339" s="68">
        <v>0</v>
      </c>
      <c r="CA339" s="68">
        <v>0</v>
      </c>
      <c r="CB339" s="68">
        <v>0</v>
      </c>
      <c r="CC339" s="68">
        <f t="shared" si="104"/>
        <v>0</v>
      </c>
      <c r="CD339" s="68">
        <f t="shared" si="105"/>
        <v>0</v>
      </c>
    </row>
    <row r="340" spans="1:82" ht="15.75" customHeight="1" thickBot="1" x14ac:dyDescent="0.3">
      <c r="A340" s="9">
        <v>339</v>
      </c>
      <c r="B340" s="10" t="s">
        <v>959</v>
      </c>
      <c r="C340" s="10" t="s">
        <v>16</v>
      </c>
      <c r="D340" s="10" t="s">
        <v>19</v>
      </c>
      <c r="E340" s="51">
        <v>-120.973055886921</v>
      </c>
      <c r="F340" s="51">
        <v>48.129342139030797</v>
      </c>
      <c r="G340" s="51">
        <v>64.234593234890298</v>
      </c>
      <c r="H340" s="51">
        <v>1.2731824417009601</v>
      </c>
      <c r="I340" s="11">
        <v>0</v>
      </c>
      <c r="J340" s="51">
        <v>5.8129786352097801</v>
      </c>
      <c r="K340" s="249">
        <f>IFERROR(VLOOKUP(C340,Schedule!$T$3:$U$34,2,0),"FA")</f>
        <v>9</v>
      </c>
      <c r="L340" s="10" t="str">
        <f>D340&amp;COUNTIF(D$2:$D340,D340)</f>
        <v>RB90</v>
      </c>
      <c r="M340" s="51">
        <f t="array" ref="M340">IFERROR(F340-AVERAGE(VLOOKUP(D340,$D341:$F$885,3,0),INDEX($F341:$F$885,SMALL(IF(D340=$D341:$D$885,ROW($D341:$D$885)-ROW(D340)),2))),0)</f>
        <v>2.2848078155578975</v>
      </c>
      <c r="N340" s="51">
        <f>IFERROR(IF(VLOOKUP($B340,Input!$AC$2:$AC$162,1,0)=$B340,0),F340)</f>
        <v>48.129342139030797</v>
      </c>
      <c r="O340" s="51">
        <f>IFERROR(IF(VLOOKUP($B340,Input!$AC$2:$AC$162,1,0)=$B340,0,G340),G340)</f>
        <v>64.234593234890298</v>
      </c>
      <c r="P340" s="51">
        <f>IF(N340=0,0,F340-AVERAGE(INDEX(F:F,MATCH(VLOOKUP(D340,Input!$A$14:$L$22,10,0),L:L,0)),INDEX(F:F,MATCH(VLOOKUP(D340,Input!$A$14:$L$22,11,0),L:L,0)),INDEX(F:F,MATCH(VLOOKUP(D340,Input!$A$14:$L$22,12,0),L:L,0)))+(0.01-ROW()*0.01))</f>
        <v>-124.3630558869212</v>
      </c>
      <c r="Q340" s="107">
        <f t="shared" si="100"/>
        <v>-4.2904376393372703E-2</v>
      </c>
      <c r="R340" s="11">
        <f>IF(VLOOKUP($D340,$X$14:$Y$19,2,0)&lt;=0,1,IF(Q340&lt;0,1,ROUNDUP(IF(Q340*('Draft Center'!$L$28+'Draft Center'!$L$78-'Draft Center'!$L$82)&lt;1,1,Q340*('Draft Center'!$L$28+'Draft Center'!$L$78-'Draft Center'!$L$82)),0)))</f>
        <v>1</v>
      </c>
      <c r="S340" s="11">
        <f>IF(A340&lt;Input!$B$10+0.1,IF(ROUNDUP(R340*Input!$C$10,0)=0,1,ROUNDUP(R340*Input!$C$10,0)),IF(A340&gt;Input!$B$11,IF(ROUNDUP(R340*Input!$C$11,0)=0,1,ROUNDUP(R340*Input!$C$11,0)),IF(ROUNDUP(R340,0)=0,1,ROUNDUP(R340,0))))</f>
        <v>1</v>
      </c>
      <c r="T340" s="11">
        <f t="shared" si="101"/>
        <v>1</v>
      </c>
      <c r="U340" s="11">
        <f>IFERROR(VLOOKUP($B340,Input!$AC$2:$AE$161,3,0),0)</f>
        <v>0</v>
      </c>
      <c r="V340" s="257">
        <f t="shared" si="102"/>
        <v>0</v>
      </c>
      <c r="W340" s="264">
        <f t="shared" si="103"/>
        <v>1.0034000000000001</v>
      </c>
      <c r="X340" s="68"/>
      <c r="Y340" s="68"/>
      <c r="Z340" s="68"/>
      <c r="AA340" s="68"/>
      <c r="AB340" s="68"/>
      <c r="AC340" s="68"/>
      <c r="AD340" s="68"/>
      <c r="AE340" s="68"/>
      <c r="AF340" s="68"/>
      <c r="AG340" s="68"/>
      <c r="AH340" s="68"/>
      <c r="AI340" s="68"/>
      <c r="AJ340" s="68">
        <v>1</v>
      </c>
      <c r="AL340" s="68">
        <v>1</v>
      </c>
      <c r="AM340" s="68"/>
      <c r="AN340" s="68"/>
      <c r="AO340" s="68"/>
      <c r="AQ340" s="68"/>
      <c r="AR340" s="68"/>
      <c r="AS340" s="68"/>
      <c r="AT340" s="68"/>
      <c r="AU340" s="68"/>
      <c r="AV340" s="68"/>
      <c r="AW340" s="68"/>
      <c r="AX340" s="68"/>
      <c r="AY340" s="68"/>
      <c r="AZ340" s="68"/>
      <c r="BB340" s="68"/>
      <c r="BC340" s="68"/>
      <c r="BJ340" s="68"/>
      <c r="BT340">
        <v>1</v>
      </c>
      <c r="BV340">
        <v>1</v>
      </c>
      <c r="BX340" s="68"/>
      <c r="BY340" s="68">
        <v>1</v>
      </c>
      <c r="BZ340" s="68">
        <v>0</v>
      </c>
      <c r="CA340" s="68">
        <v>0</v>
      </c>
      <c r="CB340" s="68">
        <v>0</v>
      </c>
      <c r="CC340" s="68">
        <f t="shared" si="104"/>
        <v>0</v>
      </c>
      <c r="CD340" s="68">
        <f t="shared" si="105"/>
        <v>0</v>
      </c>
    </row>
    <row r="341" spans="1:82" ht="15.75" customHeight="1" thickBot="1" x14ac:dyDescent="0.3">
      <c r="A341" s="6">
        <v>340</v>
      </c>
      <c r="B341" s="7" t="s">
        <v>346</v>
      </c>
      <c r="C341" s="7" t="s">
        <v>85</v>
      </c>
      <c r="D341" s="7" t="s">
        <v>43</v>
      </c>
      <c r="E341" s="50">
        <v>-121.17183858127299</v>
      </c>
      <c r="F341" s="50">
        <v>32.289080770936401</v>
      </c>
      <c r="G341" s="50">
        <v>42.670822118066702</v>
      </c>
      <c r="H341" s="50">
        <v>23.6</v>
      </c>
      <c r="I341" s="8">
        <v>0</v>
      </c>
      <c r="J341" s="50">
        <v>2.9856248740731401</v>
      </c>
      <c r="K341" s="248">
        <f>IFERROR(VLOOKUP(C341,Schedule!$T$3:$U$34,2,0),"FA")</f>
        <v>11</v>
      </c>
      <c r="L341" s="7" t="str">
        <f>D341&amp;COUNTIF(D$2:$D341,D341)</f>
        <v>TE65</v>
      </c>
      <c r="M341" s="50">
        <f t="array" ref="M341">IFERROR(F341-AVERAGE(VLOOKUP(D341,$D342:$F$885,3,0),INDEX($F342:$F$885,SMALL(IF(D341=$D342:$D$885,ROW($D342:$D$885)-ROW(D341)),2))),0)</f>
        <v>0.30878251631525089</v>
      </c>
      <c r="N341" s="50">
        <f>IFERROR(IF(VLOOKUP($B341,Input!$AC$2:$AC$162,1,0)=$B341,0),F341)</f>
        <v>32.289080770936401</v>
      </c>
      <c r="O341" s="50">
        <f>IFERROR(IF(VLOOKUP($B341,Input!$AC$2:$AC$162,1,0)=$B341,0,G341),G341)</f>
        <v>42.670822118066702</v>
      </c>
      <c r="P341" s="50">
        <f>IF(N341=0,0,F341-AVERAGE(INDEX(F:F,MATCH(VLOOKUP(D341,Input!$A$14:$L$22,10,0),L:L,0)),INDEX(F:F,MATCH(VLOOKUP(D341,Input!$A$14:$L$22,11,0),L:L,0)),INDEX(F:F,MATCH(VLOOKUP(D341,Input!$A$14:$L$22,12,0),L:L,0)))+(0.01-ROW()*0.01))</f>
        <v>-124.57183858127291</v>
      </c>
      <c r="Q341" s="106">
        <f t="shared" si="100"/>
        <v>-4.2976404949112222E-2</v>
      </c>
      <c r="R341" s="8">
        <f>IF(VLOOKUP($D341,$X$14:$Y$19,2,0)&lt;=0,1,IF(Q341&lt;0,1,ROUNDUP(IF(Q341*('Draft Center'!$L$28+'Draft Center'!$L$78-'Draft Center'!$L$82)&lt;1,1,Q341*('Draft Center'!$L$28+'Draft Center'!$L$78-'Draft Center'!$L$82)),0)))</f>
        <v>1</v>
      </c>
      <c r="S341" s="8">
        <f>IF(A341&lt;Input!$B$10+0.1,IF(ROUNDUP(R341*Input!$C$10,0)=0,1,ROUNDUP(R341*Input!$C$10,0)),IF(A341&gt;Input!$B$11,IF(ROUNDUP(R341*Input!$C$11,0)=0,1,ROUNDUP(R341*Input!$C$11,0)),IF(ROUNDUP(R341,0)=0,1,ROUNDUP(R341,0))))</f>
        <v>1</v>
      </c>
      <c r="T341" s="8">
        <f t="shared" si="101"/>
        <v>1</v>
      </c>
      <c r="U341" s="8">
        <f>IFERROR(VLOOKUP($B341,Input!$AC$2:$AE$161,3,0),0)</f>
        <v>0</v>
      </c>
      <c r="V341" s="256">
        <f t="shared" si="102"/>
        <v>0</v>
      </c>
      <c r="W341" s="263">
        <f t="shared" si="103"/>
        <v>1.0034099999999999</v>
      </c>
      <c r="X341" s="68"/>
      <c r="Y341" s="68"/>
      <c r="Z341" s="68"/>
      <c r="AA341" s="68"/>
      <c r="AB341" s="68"/>
      <c r="AC341" s="68"/>
      <c r="AD341" s="68"/>
      <c r="AE341" s="68"/>
      <c r="AF341" s="68"/>
      <c r="AG341" s="68"/>
      <c r="AH341" s="68"/>
      <c r="AI341" s="68"/>
      <c r="AJ341" s="68">
        <v>1</v>
      </c>
      <c r="AL341" s="68">
        <v>1</v>
      </c>
      <c r="AM341" s="68"/>
      <c r="AN341" s="68"/>
      <c r="AO341" s="68"/>
      <c r="AQ341" s="68"/>
      <c r="AR341" s="68"/>
      <c r="AS341" s="68"/>
      <c r="AT341" s="68"/>
      <c r="AU341" s="68"/>
      <c r="AV341" s="68"/>
      <c r="AW341" s="68"/>
      <c r="AX341" s="68"/>
      <c r="AY341" s="68"/>
      <c r="AZ341" s="68"/>
      <c r="BB341" s="68"/>
      <c r="BC341" s="68"/>
      <c r="BJ341" s="68"/>
      <c r="BT341">
        <v>1</v>
      </c>
      <c r="BV341">
        <v>1</v>
      </c>
      <c r="BX341" s="68"/>
      <c r="BY341" s="68">
        <v>1</v>
      </c>
      <c r="BZ341" s="68">
        <v>0</v>
      </c>
      <c r="CA341" s="68">
        <v>0</v>
      </c>
      <c r="CB341" s="68">
        <v>0</v>
      </c>
      <c r="CC341" s="68">
        <f t="shared" si="104"/>
        <v>0</v>
      </c>
      <c r="CD341" s="68">
        <f t="shared" si="105"/>
        <v>0</v>
      </c>
    </row>
    <row r="342" spans="1:82" ht="15.75" customHeight="1" thickBot="1" x14ac:dyDescent="0.3">
      <c r="A342" s="9">
        <v>341</v>
      </c>
      <c r="B342" s="10" t="s">
        <v>339</v>
      </c>
      <c r="C342" s="10" t="s">
        <v>80</v>
      </c>
      <c r="D342" s="10" t="s">
        <v>19</v>
      </c>
      <c r="E342" s="51">
        <v>-121.26998466148299</v>
      </c>
      <c r="F342" s="51">
        <v>47.832413364469303</v>
      </c>
      <c r="G342" s="51">
        <v>68.215559696350297</v>
      </c>
      <c r="H342" s="51">
        <v>0</v>
      </c>
      <c r="I342" s="11">
        <v>0</v>
      </c>
      <c r="J342" s="51">
        <v>6.9416886861214797</v>
      </c>
      <c r="K342" s="249">
        <f>IFERROR(VLOOKUP(C342,Schedule!$T$3:$U$34,2,0),"FA")</f>
        <v>11</v>
      </c>
      <c r="L342" s="10" t="str">
        <f>D342&amp;COUNTIF(D$2:$D342,D342)</f>
        <v>RB91</v>
      </c>
      <c r="M342" s="51">
        <f t="array" ref="M342">IFERROR(F342-AVERAGE(VLOOKUP(D342,$D343:$F$885,3,0),INDEX($F343:$F$885,SMALL(IF(D342=$D343:$D$885,ROW($D343:$D$885)-ROW(D342)),2))),0)</f>
        <v>4.6185012824379044</v>
      </c>
      <c r="N342" s="51">
        <f>IFERROR(IF(VLOOKUP($B342,Input!$AC$2:$AC$162,1,0)=$B342,0),F342)</f>
        <v>47.832413364469303</v>
      </c>
      <c r="O342" s="51">
        <f>IFERROR(IF(VLOOKUP($B342,Input!$AC$2:$AC$162,1,0)=$B342,0,G342),G342)</f>
        <v>68.215559696350297</v>
      </c>
      <c r="P342" s="51">
        <f>IF(N342=0,0,F342-AVERAGE(INDEX(F:F,MATCH(VLOOKUP(D342,Input!$A$14:$L$22,10,0),L:L,0)),INDEX(F:F,MATCH(VLOOKUP(D342,Input!$A$14:$L$22,11,0),L:L,0)),INDEX(F:F,MATCH(VLOOKUP(D342,Input!$A$14:$L$22,12,0),L:L,0)))+(0.01-ROW()*0.01))</f>
        <v>-124.67998466148269</v>
      </c>
      <c r="Q342" s="107">
        <f t="shared" si="100"/>
        <v>-4.3013714583373761E-2</v>
      </c>
      <c r="R342" s="11">
        <f>IF(VLOOKUP($D342,$X$14:$Y$19,2,0)&lt;=0,1,IF(Q342&lt;0,1,ROUNDUP(IF(Q342*('Draft Center'!$L$28+'Draft Center'!$L$78-'Draft Center'!$L$82)&lt;1,1,Q342*('Draft Center'!$L$28+'Draft Center'!$L$78-'Draft Center'!$L$82)),0)))</f>
        <v>1</v>
      </c>
      <c r="S342" s="11">
        <f>IF(A342&lt;Input!$B$10+0.1,IF(ROUNDUP(R342*Input!$C$10,0)=0,1,ROUNDUP(R342*Input!$C$10,0)),IF(A342&gt;Input!$B$11,IF(ROUNDUP(R342*Input!$C$11,0)=0,1,ROUNDUP(R342*Input!$C$11,0)),IF(ROUNDUP(R342,0)=0,1,ROUNDUP(R342,0))))</f>
        <v>1</v>
      </c>
      <c r="T342" s="11">
        <f t="shared" si="101"/>
        <v>1</v>
      </c>
      <c r="U342" s="11">
        <f>IFERROR(VLOOKUP($B342,Input!$AC$2:$AE$161,3,0),0)</f>
        <v>0</v>
      </c>
      <c r="V342" s="257">
        <f t="shared" si="102"/>
        <v>0</v>
      </c>
      <c r="W342" s="264">
        <f t="shared" si="103"/>
        <v>1.00342</v>
      </c>
      <c r="X342" s="68"/>
      <c r="Y342" s="68"/>
      <c r="Z342" s="68"/>
      <c r="AA342" s="68"/>
      <c r="AB342" s="68"/>
      <c r="AC342" s="68"/>
      <c r="AD342" s="68"/>
      <c r="AE342" s="68"/>
      <c r="AF342" s="68"/>
      <c r="AG342" s="68"/>
      <c r="AH342" s="68"/>
      <c r="AI342" s="68"/>
      <c r="AJ342" s="68">
        <v>1</v>
      </c>
      <c r="AL342" s="68">
        <v>1</v>
      </c>
      <c r="AM342" s="68"/>
      <c r="AN342" s="68"/>
      <c r="AO342" s="68"/>
      <c r="AQ342" s="68"/>
      <c r="AR342" s="68"/>
      <c r="AS342" s="68"/>
      <c r="AT342" s="68"/>
      <c r="AU342" s="68"/>
      <c r="AV342" s="68"/>
      <c r="AW342" s="68"/>
      <c r="AX342" s="68"/>
      <c r="AY342" s="68"/>
      <c r="AZ342" s="68"/>
      <c r="BB342" s="68"/>
      <c r="BC342" s="68"/>
      <c r="BJ342" s="68"/>
      <c r="BT342">
        <v>1</v>
      </c>
      <c r="BV342">
        <v>1</v>
      </c>
      <c r="BX342" s="68"/>
      <c r="BY342" s="68">
        <v>1</v>
      </c>
      <c r="BZ342" s="68">
        <v>0</v>
      </c>
      <c r="CA342" s="68">
        <v>0</v>
      </c>
      <c r="CB342" s="68">
        <v>0</v>
      </c>
      <c r="CC342" s="68">
        <f t="shared" si="104"/>
        <v>0</v>
      </c>
      <c r="CD342" s="68">
        <f t="shared" si="105"/>
        <v>0</v>
      </c>
    </row>
    <row r="343" spans="1:82" ht="15.75" customHeight="1" thickBot="1" x14ac:dyDescent="0.3">
      <c r="A343" s="6">
        <v>342</v>
      </c>
      <c r="B343" s="7" t="s">
        <v>267</v>
      </c>
      <c r="C343" s="7" t="s">
        <v>47</v>
      </c>
      <c r="D343" s="7" t="s">
        <v>43</v>
      </c>
      <c r="E343" s="50">
        <v>-121.434020919872</v>
      </c>
      <c r="F343" s="50">
        <v>32.026898432337802</v>
      </c>
      <c r="G343" s="50">
        <v>48.220756748593701</v>
      </c>
      <c r="H343" s="50">
        <v>17.114015795338101</v>
      </c>
      <c r="I343" s="8">
        <v>0</v>
      </c>
      <c r="J343" s="50">
        <v>6.1611478931628598</v>
      </c>
      <c r="K343" s="248">
        <f>IFERROR(VLOOKUP(C343,Schedule!$T$3:$U$34,2,0),"FA")</f>
        <v>10</v>
      </c>
      <c r="L343" s="7" t="str">
        <f>D343&amp;COUNTIF(D$2:$D343,D343)</f>
        <v>TE66</v>
      </c>
      <c r="M343" s="50">
        <f t="array" ref="M343">IFERROR(F343-AVERAGE(VLOOKUP(D343,$D344:$F$885,3,0),INDEX($F344:$F$885,SMALL(IF(D343=$D344:$D$885,ROW($D344:$D$885)-ROW(D343)),2))),0)</f>
        <v>0.75668251874305525</v>
      </c>
      <c r="N343" s="50">
        <f>IFERROR(IF(VLOOKUP($B343,Input!$AC$2:$AC$162,1,0)=$B343,0),F343)</f>
        <v>32.026898432337802</v>
      </c>
      <c r="O343" s="50">
        <f>IFERROR(IF(VLOOKUP($B343,Input!$AC$2:$AC$162,1,0)=$B343,0,G343),G343)</f>
        <v>48.220756748593701</v>
      </c>
      <c r="P343" s="50">
        <f>IF(N343=0,0,F343-AVERAGE(INDEX(F:F,MATCH(VLOOKUP(D343,Input!$A$14:$L$22,10,0),L:L,0)),INDEX(F:F,MATCH(VLOOKUP(D343,Input!$A$14:$L$22,11,0),L:L,0)),INDEX(F:F,MATCH(VLOOKUP(D343,Input!$A$14:$L$22,12,0),L:L,0)))+(0.01-ROW()*0.01))</f>
        <v>-124.85402091987152</v>
      </c>
      <c r="Q343" s="106">
        <f t="shared" si="100"/>
        <v>-4.307375586398364E-2</v>
      </c>
      <c r="R343" s="8">
        <f>IF(VLOOKUP($D343,$X$14:$Y$19,2,0)&lt;=0,1,IF(Q343&lt;0,1,ROUNDUP(IF(Q343*('Draft Center'!$L$28+'Draft Center'!$L$78-'Draft Center'!$L$82)&lt;1,1,Q343*('Draft Center'!$L$28+'Draft Center'!$L$78-'Draft Center'!$L$82)),0)))</f>
        <v>1</v>
      </c>
      <c r="S343" s="8">
        <f>IF(A343&lt;Input!$B$10+0.1,IF(ROUNDUP(R343*Input!$C$10,0)=0,1,ROUNDUP(R343*Input!$C$10,0)),IF(A343&gt;Input!$B$11,IF(ROUNDUP(R343*Input!$C$11,0)=0,1,ROUNDUP(R343*Input!$C$11,0)),IF(ROUNDUP(R343,0)=0,1,ROUNDUP(R343,0))))</f>
        <v>1</v>
      </c>
      <c r="T343" s="8">
        <f t="shared" si="101"/>
        <v>1</v>
      </c>
      <c r="U343" s="8">
        <f>IFERROR(VLOOKUP($B343,Input!$AC$2:$AE$161,3,0),0)</f>
        <v>0</v>
      </c>
      <c r="V343" s="256">
        <f t="shared" si="102"/>
        <v>0</v>
      </c>
      <c r="W343" s="263">
        <f t="shared" si="103"/>
        <v>1.00343</v>
      </c>
      <c r="X343" s="68"/>
      <c r="Y343" s="68"/>
      <c r="Z343" s="68"/>
      <c r="AA343" s="68"/>
      <c r="AB343" s="68"/>
      <c r="AC343" s="68"/>
      <c r="AD343" s="68"/>
      <c r="AE343" s="68"/>
      <c r="AF343" s="68"/>
      <c r="AG343" s="68"/>
      <c r="AH343" s="68"/>
      <c r="AI343" s="68"/>
      <c r="AJ343" s="68">
        <v>1</v>
      </c>
      <c r="AL343" s="68">
        <v>1</v>
      </c>
      <c r="AM343" s="68"/>
      <c r="AN343" s="68"/>
      <c r="AO343" s="68"/>
      <c r="AQ343" s="68"/>
      <c r="AR343" s="68"/>
      <c r="AS343" s="68"/>
      <c r="AT343" s="68"/>
      <c r="AU343" s="68"/>
      <c r="AV343" s="68"/>
      <c r="AW343" s="68"/>
      <c r="AX343" s="68"/>
      <c r="AY343" s="68"/>
      <c r="AZ343" s="68"/>
      <c r="BB343" s="68"/>
      <c r="BC343" s="68"/>
      <c r="BJ343" s="68"/>
      <c r="BT343">
        <v>1</v>
      </c>
      <c r="BV343">
        <v>1</v>
      </c>
      <c r="BX343" s="68"/>
      <c r="BY343" s="68">
        <v>1</v>
      </c>
      <c r="BZ343" s="68">
        <v>0</v>
      </c>
      <c r="CA343" s="68">
        <v>0</v>
      </c>
      <c r="CB343" s="68">
        <v>0</v>
      </c>
      <c r="CC343" s="68">
        <f t="shared" si="104"/>
        <v>0</v>
      </c>
      <c r="CD343" s="68">
        <f t="shared" si="105"/>
        <v>0</v>
      </c>
    </row>
    <row r="344" spans="1:82" ht="15.75" customHeight="1" thickBot="1" x14ac:dyDescent="0.3">
      <c r="A344" s="9">
        <v>343</v>
      </c>
      <c r="B344" s="10" t="s">
        <v>380</v>
      </c>
      <c r="C344" s="10" t="s">
        <v>25</v>
      </c>
      <c r="D344" s="10" t="s">
        <v>43</v>
      </c>
      <c r="E344" s="51">
        <v>-121.527221275305</v>
      </c>
      <c r="F344" s="51">
        <v>31.933698076904498</v>
      </c>
      <c r="G344" s="51">
        <v>51.895613593431797</v>
      </c>
      <c r="H344" s="51">
        <v>0</v>
      </c>
      <c r="I344" s="11">
        <v>0</v>
      </c>
      <c r="J344" s="51">
        <v>4.5733863836179998</v>
      </c>
      <c r="K344" s="249">
        <f>IFERROR(VLOOKUP(C344,Schedule!$T$3:$U$34,2,0),"FA")</f>
        <v>10</v>
      </c>
      <c r="L344" s="10" t="str">
        <f>D344&amp;COUNTIF(D$2:$D344,D344)</f>
        <v>TE67</v>
      </c>
      <c r="M344" s="51">
        <f t="array" ref="M344">IFERROR(F344-AVERAGE(VLOOKUP(D344,$D345:$F$885,3,0),INDEX($F345:$F$885,SMALL(IF(D344=$D345:$D$885,ROW($D345:$D$885)-ROW(D344)),2))),0)</f>
        <v>1.4081511155587485</v>
      </c>
      <c r="N344" s="51">
        <f>IFERROR(IF(VLOOKUP($B344,Input!$AC$2:$AC$162,1,0)=$B344,0),F344)</f>
        <v>31.933698076904498</v>
      </c>
      <c r="O344" s="51">
        <f>IFERROR(IF(VLOOKUP($B344,Input!$AC$2:$AC$162,1,0)=$B344,0,G344),G344)</f>
        <v>51.895613593431797</v>
      </c>
      <c r="P344" s="51">
        <f>IF(N344=0,0,F344-AVERAGE(INDEX(F:F,MATCH(VLOOKUP(D344,Input!$A$14:$L$22,10,0),L:L,0)),INDEX(F:F,MATCH(VLOOKUP(D344,Input!$A$14:$L$22,11,0),L:L,0)),INDEX(F:F,MATCH(VLOOKUP(D344,Input!$A$14:$L$22,12,0),L:L,0)))+(0.01-ROW()*0.01))</f>
        <v>-124.95722127530482</v>
      </c>
      <c r="Q344" s="107">
        <f t="shared" si="100"/>
        <v>-4.3109359258109513E-2</v>
      </c>
      <c r="R344" s="11">
        <f>IF(VLOOKUP($D344,$X$14:$Y$19,2,0)&lt;=0,1,IF(Q344&lt;0,1,ROUNDUP(IF(Q344*('Draft Center'!$L$28+'Draft Center'!$L$78-'Draft Center'!$L$82)&lt;1,1,Q344*('Draft Center'!$L$28+'Draft Center'!$L$78-'Draft Center'!$L$82)),0)))</f>
        <v>1</v>
      </c>
      <c r="S344" s="11">
        <f>IF(A344&lt;Input!$B$10+0.1,IF(ROUNDUP(R344*Input!$C$10,0)=0,1,ROUNDUP(R344*Input!$C$10,0)),IF(A344&gt;Input!$B$11,IF(ROUNDUP(R344*Input!$C$11,0)=0,1,ROUNDUP(R344*Input!$C$11,0)),IF(ROUNDUP(R344,0)=0,1,ROUNDUP(R344,0))))</f>
        <v>1</v>
      </c>
      <c r="T344" s="11">
        <f t="shared" si="101"/>
        <v>1</v>
      </c>
      <c r="U344" s="11">
        <f>IFERROR(VLOOKUP($B344,Input!$AC$2:$AE$161,3,0),0)</f>
        <v>0</v>
      </c>
      <c r="V344" s="257">
        <f t="shared" si="102"/>
        <v>0</v>
      </c>
      <c r="W344" s="264">
        <f t="shared" si="103"/>
        <v>1.0034400000000001</v>
      </c>
      <c r="X344" s="68"/>
      <c r="Y344" s="68"/>
      <c r="Z344" s="68"/>
      <c r="AA344" s="68"/>
      <c r="AB344" s="68"/>
      <c r="AC344" s="68"/>
      <c r="AD344" s="68"/>
      <c r="AE344" s="68"/>
      <c r="AF344" s="68"/>
      <c r="AG344" s="68"/>
      <c r="AH344" s="68"/>
      <c r="AI344" s="68"/>
      <c r="AJ344" s="68">
        <v>1</v>
      </c>
      <c r="AL344" s="68">
        <v>1</v>
      </c>
      <c r="AM344" s="68"/>
      <c r="AN344" s="68"/>
      <c r="AO344" s="68"/>
      <c r="AQ344" s="68"/>
      <c r="AR344" s="68"/>
      <c r="AS344" s="68"/>
      <c r="AT344" s="68"/>
      <c r="AU344" s="68"/>
      <c r="AV344" s="68"/>
      <c r="AW344" s="68"/>
      <c r="AX344" s="68"/>
      <c r="AY344" s="68"/>
      <c r="AZ344" s="68"/>
      <c r="BB344" s="68"/>
      <c r="BC344" s="68"/>
      <c r="BJ344" s="68"/>
      <c r="BT344">
        <v>1</v>
      </c>
      <c r="BV344">
        <v>1</v>
      </c>
      <c r="BX344" s="68"/>
      <c r="BY344" s="68">
        <v>1</v>
      </c>
      <c r="BZ344" s="68">
        <v>0</v>
      </c>
      <c r="CA344" s="68">
        <v>0</v>
      </c>
      <c r="CB344" s="68">
        <v>0</v>
      </c>
      <c r="CC344" s="68">
        <f t="shared" si="104"/>
        <v>0</v>
      </c>
      <c r="CD344" s="68">
        <f t="shared" si="105"/>
        <v>0</v>
      </c>
    </row>
    <row r="345" spans="1:82" ht="15.75" customHeight="1" thickBot="1" x14ac:dyDescent="0.3">
      <c r="A345" s="6">
        <v>344</v>
      </c>
      <c r="B345" s="7" t="s">
        <v>982</v>
      </c>
      <c r="C345" s="7" t="s">
        <v>36</v>
      </c>
      <c r="D345" s="7" t="s">
        <v>43</v>
      </c>
      <c r="E345" s="50">
        <v>-122.854185601924</v>
      </c>
      <c r="F345" s="50">
        <v>30.606733750284999</v>
      </c>
      <c r="G345" s="50">
        <v>49.136142476419103</v>
      </c>
      <c r="H345" s="50">
        <v>10.3159800319468</v>
      </c>
      <c r="I345" s="8">
        <v>0</v>
      </c>
      <c r="J345" s="50">
        <v>6.7215343082963397</v>
      </c>
      <c r="K345" s="248">
        <f>IFERROR(VLOOKUP(C345,Schedule!$T$3:$U$34,2,0),"FA")</f>
        <v>7</v>
      </c>
      <c r="L345" s="7" t="str">
        <f>D345&amp;COUNTIF(D$2:$D345,D345)</f>
        <v>TE68</v>
      </c>
      <c r="M345" s="50">
        <f t="array" ref="M345">IFERROR(F345-AVERAGE(VLOOKUP(D345,$D346:$F$885,3,0),INDEX($F346:$F$885,SMALL(IF(D345=$D346:$D$885,ROW($D346:$D$885)-ROW(D345)),2))),0)</f>
        <v>0.31596412159809617</v>
      </c>
      <c r="N345" s="50">
        <f>IFERROR(IF(VLOOKUP($B345,Input!$AC$2:$AC$162,1,0)=$B345,0),F345)</f>
        <v>30.606733750284999</v>
      </c>
      <c r="O345" s="50">
        <f>IFERROR(IF(VLOOKUP($B345,Input!$AC$2:$AC$162,1,0)=$B345,0,G345),G345)</f>
        <v>49.136142476419103</v>
      </c>
      <c r="P345" s="50">
        <f>IF(N345=0,0,F345-AVERAGE(INDEX(F:F,MATCH(VLOOKUP(D345,Input!$A$14:$L$22,10,0),L:L,0)),INDEX(F:F,MATCH(VLOOKUP(D345,Input!$A$14:$L$22,11,0),L:L,0)),INDEX(F:F,MATCH(VLOOKUP(D345,Input!$A$14:$L$22,12,0),L:L,0)))+(0.01-ROW()*0.01))</f>
        <v>-126.29418560192431</v>
      </c>
      <c r="Q345" s="106">
        <f t="shared" si="100"/>
        <v>-4.3570602513067415E-2</v>
      </c>
      <c r="R345" s="8">
        <f>IF(VLOOKUP($D345,$X$14:$Y$19,2,0)&lt;=0,1,IF(Q345&lt;0,1,ROUNDUP(IF(Q345*('Draft Center'!$L$28+'Draft Center'!$L$78-'Draft Center'!$L$82)&lt;1,1,Q345*('Draft Center'!$L$28+'Draft Center'!$L$78-'Draft Center'!$L$82)),0)))</f>
        <v>1</v>
      </c>
      <c r="S345" s="8">
        <f>IF(A345&lt;Input!$B$10+0.1,IF(ROUNDUP(R345*Input!$C$10,0)=0,1,ROUNDUP(R345*Input!$C$10,0)),IF(A345&gt;Input!$B$11,IF(ROUNDUP(R345*Input!$C$11,0)=0,1,ROUNDUP(R345*Input!$C$11,0)),IF(ROUNDUP(R345,0)=0,1,ROUNDUP(R345,0))))</f>
        <v>1</v>
      </c>
      <c r="T345" s="8">
        <f t="shared" si="101"/>
        <v>1</v>
      </c>
      <c r="U345" s="8">
        <f>IFERROR(VLOOKUP($B345,Input!$AC$2:$AE$161,3,0),0)</f>
        <v>0</v>
      </c>
      <c r="V345" s="256">
        <f t="shared" si="102"/>
        <v>0</v>
      </c>
      <c r="W345" s="263">
        <f t="shared" si="103"/>
        <v>1.00345</v>
      </c>
      <c r="X345" s="68"/>
      <c r="Y345" s="68"/>
      <c r="Z345" s="68"/>
      <c r="AA345" s="68"/>
      <c r="AB345" s="68"/>
      <c r="AC345" s="68"/>
      <c r="AD345" s="68"/>
      <c r="AE345" s="68"/>
      <c r="AF345" s="68"/>
      <c r="AG345" s="68"/>
      <c r="AH345" s="68"/>
      <c r="AI345" s="68"/>
      <c r="AJ345" s="68">
        <v>1</v>
      </c>
      <c r="AL345" s="68">
        <v>1</v>
      </c>
      <c r="AM345" s="68"/>
      <c r="AN345" s="68"/>
      <c r="AO345" s="68"/>
      <c r="AQ345" s="68"/>
      <c r="AR345" s="68"/>
      <c r="AS345" s="68"/>
      <c r="AT345" s="68"/>
      <c r="AU345" s="68"/>
      <c r="AV345" s="68"/>
      <c r="AW345" s="68"/>
      <c r="AX345" s="68"/>
      <c r="AY345" s="68"/>
      <c r="AZ345" s="68"/>
      <c r="BB345" s="68"/>
      <c r="BC345" s="68"/>
      <c r="BJ345" s="68"/>
      <c r="BT345">
        <v>1</v>
      </c>
      <c r="BV345">
        <v>1</v>
      </c>
      <c r="BX345" s="68"/>
      <c r="BY345" s="68">
        <v>1</v>
      </c>
      <c r="BZ345" s="68">
        <v>0</v>
      </c>
      <c r="CA345" s="68">
        <v>0</v>
      </c>
      <c r="CB345" s="68">
        <v>0</v>
      </c>
      <c r="CC345" s="68">
        <f t="shared" si="104"/>
        <v>0</v>
      </c>
      <c r="CD345" s="68">
        <f t="shared" si="105"/>
        <v>0</v>
      </c>
    </row>
    <row r="346" spans="1:82" ht="15.75" customHeight="1" thickBot="1" x14ac:dyDescent="0.3">
      <c r="A346" s="9">
        <v>345</v>
      </c>
      <c r="B346" s="10" t="s">
        <v>316</v>
      </c>
      <c r="C346" s="10" t="s">
        <v>25</v>
      </c>
      <c r="D346" s="10" t="s">
        <v>43</v>
      </c>
      <c r="E346" s="51">
        <v>-123.016559179803</v>
      </c>
      <c r="F346" s="51">
        <v>30.444360172406501</v>
      </c>
      <c r="G346" s="51">
        <v>58.861891082924203</v>
      </c>
      <c r="H346" s="51">
        <v>-1.2358889868704701</v>
      </c>
      <c r="I346" s="11">
        <v>0</v>
      </c>
      <c r="J346" s="51">
        <v>4.9936761949681099</v>
      </c>
      <c r="K346" s="249">
        <f>IFERROR(VLOOKUP(C346,Schedule!$T$3:$U$34,2,0),"FA")</f>
        <v>10</v>
      </c>
      <c r="L346" s="10" t="str">
        <f>D346&amp;COUNTIF(D$2:$D346,D346)</f>
        <v>TE69</v>
      </c>
      <c r="M346" s="51">
        <f t="array" ref="M346">IFERROR(F346-AVERAGE(VLOOKUP(D346,$D347:$F$885,3,0),INDEX($F347:$F$885,SMALL(IF(D346=$D347:$D$885,ROW($D347:$D$885)-ROW(D346)),2))),0)</f>
        <v>1.4896393038292004</v>
      </c>
      <c r="N346" s="51">
        <f>IFERROR(IF(VLOOKUP($B346,Input!$AC$2:$AC$162,1,0)=$B346,0),F346)</f>
        <v>30.444360172406501</v>
      </c>
      <c r="O346" s="51">
        <f>IFERROR(IF(VLOOKUP($B346,Input!$AC$2:$AC$162,1,0)=$B346,0,G346),G346)</f>
        <v>58.861891082924203</v>
      </c>
      <c r="P346" s="51">
        <f>IF(N346=0,0,F346-AVERAGE(INDEX(F:F,MATCH(VLOOKUP(D346,Input!$A$14:$L$22,10,0),L:L,0)),INDEX(F:F,MATCH(VLOOKUP(D346,Input!$A$14:$L$22,11,0),L:L,0)),INDEX(F:F,MATCH(VLOOKUP(D346,Input!$A$14:$L$22,12,0),L:L,0)))+(0.01-ROW()*0.01))</f>
        <v>-126.46655917980281</v>
      </c>
      <c r="Q346" s="107">
        <f t="shared" si="100"/>
        <v>-4.3630070180638206E-2</v>
      </c>
      <c r="R346" s="11">
        <f>IF(VLOOKUP($D346,$X$14:$Y$19,2,0)&lt;=0,1,IF(Q346&lt;0,1,ROUNDUP(IF(Q346*('Draft Center'!$L$28+'Draft Center'!$L$78-'Draft Center'!$L$82)&lt;1,1,Q346*('Draft Center'!$L$28+'Draft Center'!$L$78-'Draft Center'!$L$82)),0)))</f>
        <v>1</v>
      </c>
      <c r="S346" s="11">
        <f>IF(A346&lt;Input!$B$10+0.1,IF(ROUNDUP(R346*Input!$C$10,0)=0,1,ROUNDUP(R346*Input!$C$10,0)),IF(A346&gt;Input!$B$11,IF(ROUNDUP(R346*Input!$C$11,0)=0,1,ROUNDUP(R346*Input!$C$11,0)),IF(ROUNDUP(R346,0)=0,1,ROUNDUP(R346,0))))</f>
        <v>1</v>
      </c>
      <c r="T346" s="11">
        <f t="shared" si="101"/>
        <v>1</v>
      </c>
      <c r="U346" s="11">
        <f>IFERROR(VLOOKUP($B346,Input!$AC$2:$AE$161,3,0),0)</f>
        <v>0</v>
      </c>
      <c r="V346" s="257">
        <f t="shared" si="102"/>
        <v>0</v>
      </c>
      <c r="W346" s="264">
        <f t="shared" si="103"/>
        <v>1.00346</v>
      </c>
      <c r="X346" s="68"/>
      <c r="Y346" s="68"/>
      <c r="Z346" s="68"/>
      <c r="AA346" s="68"/>
      <c r="AB346" s="68"/>
      <c r="AC346" s="68"/>
      <c r="AD346" s="68"/>
      <c r="AE346" s="68"/>
      <c r="AF346" s="68"/>
      <c r="AG346" s="68"/>
      <c r="AH346" s="68"/>
      <c r="AI346" s="68"/>
      <c r="AJ346" s="68">
        <v>1</v>
      </c>
      <c r="AL346" s="68">
        <v>1</v>
      </c>
      <c r="AM346" s="68"/>
      <c r="AN346" s="68"/>
      <c r="AO346" s="68"/>
      <c r="AQ346" s="68"/>
      <c r="AR346" s="68"/>
      <c r="AS346" s="68"/>
      <c r="AT346" s="68"/>
      <c r="AU346" s="68"/>
      <c r="AV346" s="68"/>
      <c r="AW346" s="68"/>
      <c r="AX346" s="68"/>
      <c r="AY346" s="68"/>
      <c r="AZ346" s="68"/>
      <c r="BB346" s="68"/>
      <c r="BC346" s="68"/>
      <c r="BJ346" s="68"/>
      <c r="BT346">
        <v>1</v>
      </c>
      <c r="BV346">
        <v>1</v>
      </c>
      <c r="BX346" s="68"/>
      <c r="BY346" s="68">
        <v>1</v>
      </c>
      <c r="BZ346" s="68">
        <v>0</v>
      </c>
      <c r="CA346" s="68">
        <v>0</v>
      </c>
      <c r="CB346" s="68">
        <v>0</v>
      </c>
      <c r="CC346" s="68">
        <f t="shared" si="104"/>
        <v>0</v>
      </c>
      <c r="CD346" s="68">
        <f t="shared" si="105"/>
        <v>0</v>
      </c>
    </row>
    <row r="347" spans="1:82" ht="15.75" customHeight="1" thickBot="1" x14ac:dyDescent="0.3">
      <c r="A347" s="6">
        <v>346</v>
      </c>
      <c r="B347" s="7" t="s">
        <v>459</v>
      </c>
      <c r="C347" s="7" t="s">
        <v>48</v>
      </c>
      <c r="D347" s="7" t="s">
        <v>43</v>
      </c>
      <c r="E347" s="50">
        <v>-123.323740267242</v>
      </c>
      <c r="F347" s="50">
        <v>30.1371790849673</v>
      </c>
      <c r="G347" s="50">
        <v>49.310116697066398</v>
      </c>
      <c r="H347" s="50">
        <v>0</v>
      </c>
      <c r="I347" s="8">
        <v>0</v>
      </c>
      <c r="J347" s="50">
        <v>2.1450452513729199</v>
      </c>
      <c r="K347" s="248">
        <f>IFERROR(VLOOKUP(C347,Schedule!$T$3:$U$34,2,0),"FA")</f>
        <v>10</v>
      </c>
      <c r="L347" s="7" t="str">
        <f>D347&amp;COUNTIF(D$2:$D347,D347)</f>
        <v>TE70</v>
      </c>
      <c r="M347" s="50">
        <f t="array" ref="M347">IFERROR(F347-AVERAGE(VLOOKUP(D347,$D348:$F$885,3,0),INDEX($F348:$F$885,SMALL(IF(D347=$D348:$D$885,ROW($D348:$D$885)-ROW(D347)),2))),0)</f>
        <v>2.4481550918157993</v>
      </c>
      <c r="N347" s="50">
        <f>IFERROR(IF(VLOOKUP($B347,Input!$AC$2:$AC$162,1,0)=$B347,0),F347)</f>
        <v>30.1371790849673</v>
      </c>
      <c r="O347" s="50">
        <f>IFERROR(IF(VLOOKUP($B347,Input!$AC$2:$AC$162,1,0)=$B347,0,G347),G347)</f>
        <v>49.310116697066398</v>
      </c>
      <c r="P347" s="50">
        <f>IF(N347=0,0,F347-AVERAGE(INDEX(F:F,MATCH(VLOOKUP(D347,Input!$A$14:$L$22,10,0),L:L,0)),INDEX(F:F,MATCH(VLOOKUP(D347,Input!$A$14:$L$22,11,0),L:L,0)),INDEX(F:F,MATCH(VLOOKUP(D347,Input!$A$14:$L$22,12,0),L:L,0)))+(0.01-ROW()*0.01))</f>
        <v>-126.78374026724201</v>
      </c>
      <c r="Q347" s="106">
        <f t="shared" si="100"/>
        <v>-4.3739495416800979E-2</v>
      </c>
      <c r="R347" s="8">
        <f>IF(VLOOKUP($D347,$X$14:$Y$19,2,0)&lt;=0,1,IF(Q347&lt;0,1,ROUNDUP(IF(Q347*('Draft Center'!$L$28+'Draft Center'!$L$78-'Draft Center'!$L$82)&lt;1,1,Q347*('Draft Center'!$L$28+'Draft Center'!$L$78-'Draft Center'!$L$82)),0)))</f>
        <v>1</v>
      </c>
      <c r="S347" s="8">
        <f>IF(A347&lt;Input!$B$10+0.1,IF(ROUNDUP(R347*Input!$C$10,0)=0,1,ROUNDUP(R347*Input!$C$10,0)),IF(A347&gt;Input!$B$11,IF(ROUNDUP(R347*Input!$C$11,0)=0,1,ROUNDUP(R347*Input!$C$11,0)),IF(ROUNDUP(R347,0)=0,1,ROUNDUP(R347,0))))</f>
        <v>1</v>
      </c>
      <c r="T347" s="8">
        <f t="shared" si="101"/>
        <v>1</v>
      </c>
      <c r="U347" s="8">
        <f>IFERROR(VLOOKUP($B347,Input!$AC$2:$AE$161,3,0),0)</f>
        <v>0</v>
      </c>
      <c r="V347" s="256">
        <f t="shared" si="102"/>
        <v>0</v>
      </c>
      <c r="W347" s="263">
        <f t="shared" si="103"/>
        <v>1.0034700000000001</v>
      </c>
      <c r="X347" s="68"/>
      <c r="Y347" s="68"/>
      <c r="Z347" s="68"/>
      <c r="AA347" s="68"/>
      <c r="AB347" s="68"/>
      <c r="AC347" s="68"/>
      <c r="AD347" s="68"/>
      <c r="AE347" s="68"/>
      <c r="AF347" s="68"/>
      <c r="AG347" s="68"/>
      <c r="AH347" s="68"/>
      <c r="AI347" s="68"/>
      <c r="AJ347" s="68">
        <v>1</v>
      </c>
      <c r="AL347" s="68">
        <v>1</v>
      </c>
      <c r="AM347" s="68"/>
      <c r="AN347" s="68"/>
      <c r="AO347" s="68"/>
      <c r="AQ347" s="68"/>
      <c r="AR347" s="68"/>
      <c r="AS347" s="68"/>
      <c r="AT347" s="68"/>
      <c r="AU347" s="68"/>
      <c r="AV347" s="68"/>
      <c r="AW347" s="68"/>
      <c r="AX347" s="68"/>
      <c r="AY347" s="68"/>
      <c r="AZ347" s="68"/>
      <c r="BB347" s="68"/>
      <c r="BC347" s="68"/>
      <c r="BJ347" s="68"/>
      <c r="BT347">
        <v>1</v>
      </c>
      <c r="BV347">
        <v>1</v>
      </c>
      <c r="BX347" s="68"/>
      <c r="BY347" s="68">
        <v>1</v>
      </c>
      <c r="BZ347" s="68">
        <v>0</v>
      </c>
      <c r="CA347" s="68">
        <v>0</v>
      </c>
      <c r="CB347" s="68">
        <v>0</v>
      </c>
      <c r="CC347" s="68">
        <f t="shared" si="104"/>
        <v>0</v>
      </c>
      <c r="CD347" s="68">
        <f t="shared" si="105"/>
        <v>0</v>
      </c>
    </row>
    <row r="348" spans="1:82" ht="15.75" customHeight="1" thickBot="1" x14ac:dyDescent="0.3">
      <c r="A348" s="9">
        <v>347</v>
      </c>
      <c r="B348" s="10" t="s">
        <v>1060</v>
      </c>
      <c r="C348" s="10" t="s">
        <v>27</v>
      </c>
      <c r="D348" s="10" t="s">
        <v>147</v>
      </c>
      <c r="E348" s="51">
        <v>-123.95500993635</v>
      </c>
      <c r="F348" s="51">
        <v>7.4139784946236498</v>
      </c>
      <c r="G348" s="51">
        <v>12.8448837209302</v>
      </c>
      <c r="H348" s="51">
        <v>-0.4</v>
      </c>
      <c r="I348" s="11" t="s">
        <v>1057</v>
      </c>
      <c r="J348" s="51">
        <v>5.6212013101825304</v>
      </c>
      <c r="K348" s="249">
        <f>IFERROR(VLOOKUP(C348,Schedule!$T$3:$U$34,2,0),"FA")</f>
        <v>8</v>
      </c>
      <c r="L348" s="10" t="str">
        <f>D348&amp;COUNTIF(D$2:$D348,D348)</f>
        <v>K37</v>
      </c>
      <c r="M348" s="51">
        <f t="array" ref="M348">IFERROR(F348-AVERAGE(VLOOKUP(D348,$D349:$F$885,3,0),INDEX($F349:$F$885,SMALL(IF(D348=$D349:$D$885,ROW($D349:$D$885)-ROW(D348)),2))),0)</f>
        <v>5.487096774193545</v>
      </c>
      <c r="N348" s="51">
        <f>IFERROR(IF(VLOOKUP($B348,Input!$AC$2:$AC$162,1,0)=$B348,0),F348)</f>
        <v>7.4139784946236498</v>
      </c>
      <c r="O348" s="51">
        <f>IFERROR(IF(VLOOKUP($B348,Input!$AC$2:$AC$162,1,0)=$B348,0,G348),G348)</f>
        <v>12.8448837209302</v>
      </c>
      <c r="P348" s="51">
        <f>IF(N348=0,0,F348-AVERAGE(INDEX(F:F,MATCH(VLOOKUP(D348,Input!$A$14:$L$22,10,0),L:L,0)),INDEX(F:F,MATCH(VLOOKUP(D348,Input!$A$14:$L$22,11,0),L:L,0)),INDEX(F:F,MATCH(VLOOKUP(D348,Input!$A$14:$L$22,12,0),L:L,0)))+(0.01-ROW()*0.01))</f>
        <v>-127.59900308750434</v>
      </c>
      <c r="Q348" s="107">
        <f t="shared" si="100"/>
        <v>-4.4020755334793528E-2</v>
      </c>
      <c r="R348" s="11">
        <f>IF(VLOOKUP($D348,$X$14:$Y$19,2,0)&lt;=0,1,IF(Q348&lt;0,1,ROUNDUP(IF(Q348*('Draft Center'!$L$28+'Draft Center'!$L$78-'Draft Center'!$L$82)&lt;1,1,Q348*('Draft Center'!$L$28+'Draft Center'!$L$78-'Draft Center'!$L$82)),0)))</f>
        <v>1</v>
      </c>
      <c r="S348" s="11">
        <f>IF(A348&lt;Input!$B$10+0.1,IF(ROUNDUP(R348*Input!$C$10,0)=0,1,ROUNDUP(R348*Input!$C$10,0)),IF(A348&gt;Input!$B$11,IF(ROUNDUP(R348*Input!$C$11,0)=0,1,ROUNDUP(R348*Input!$C$11,0)),IF(ROUNDUP(R348,0)=0,1,ROUNDUP(R348,0))))</f>
        <v>1</v>
      </c>
      <c r="T348" s="11">
        <f t="shared" si="101"/>
        <v>1</v>
      </c>
      <c r="U348" s="11">
        <f>IFERROR(VLOOKUP($B348,Input!$AC$2:$AE$161,3,0),0)</f>
        <v>0</v>
      </c>
      <c r="V348" s="257">
        <f t="shared" si="102"/>
        <v>0</v>
      </c>
      <c r="W348" s="264">
        <f t="shared" si="103"/>
        <v>0</v>
      </c>
      <c r="X348" s="68"/>
      <c r="Y348" s="68"/>
      <c r="Z348" s="68"/>
      <c r="AA348" s="68"/>
      <c r="AB348" s="68"/>
      <c r="AC348" s="68"/>
      <c r="AD348" s="68"/>
      <c r="AE348" s="68"/>
      <c r="AF348" s="68"/>
      <c r="AG348" s="68"/>
      <c r="AH348" s="68"/>
      <c r="AI348" s="68"/>
      <c r="AJ348" s="68">
        <v>1</v>
      </c>
      <c r="AL348" s="68">
        <v>1</v>
      </c>
      <c r="AM348" s="68"/>
      <c r="AN348" s="68"/>
      <c r="AO348" s="68"/>
      <c r="AQ348" s="68"/>
      <c r="AR348" s="68"/>
      <c r="AS348" s="68"/>
      <c r="AT348" s="68"/>
      <c r="AU348" s="68"/>
      <c r="AV348" s="68"/>
      <c r="AW348" s="68"/>
      <c r="AX348" s="68"/>
      <c r="AY348" s="68"/>
      <c r="AZ348" s="68"/>
      <c r="BB348" s="68"/>
      <c r="BC348" s="68"/>
      <c r="BJ348" s="68"/>
      <c r="BT348">
        <v>1</v>
      </c>
      <c r="BV348">
        <v>1</v>
      </c>
      <c r="BX348" s="68"/>
      <c r="BY348" s="68">
        <v>1</v>
      </c>
      <c r="BZ348" s="68" t="s">
        <v>1057</v>
      </c>
      <c r="CA348" s="68" t="s">
        <v>1057</v>
      </c>
      <c r="CB348" s="68" t="s">
        <v>1057</v>
      </c>
      <c r="CC348" s="68" t="e">
        <f t="shared" si="104"/>
        <v>#DIV/0!</v>
      </c>
      <c r="CD348" s="68" t="str">
        <f t="shared" si="105"/>
        <v>NA</v>
      </c>
    </row>
    <row r="349" spans="1:82" ht="15.75" customHeight="1" thickBot="1" x14ac:dyDescent="0.3">
      <c r="A349" s="6">
        <v>348</v>
      </c>
      <c r="B349" s="7" t="s">
        <v>775</v>
      </c>
      <c r="C349" s="7" t="s">
        <v>925</v>
      </c>
      <c r="D349" s="7" t="s">
        <v>53</v>
      </c>
      <c r="E349" s="50">
        <v>-125.167241691966</v>
      </c>
      <c r="F349" s="50">
        <v>147.18040194087001</v>
      </c>
      <c r="G349" s="50">
        <v>180.42664009156101</v>
      </c>
      <c r="H349" s="50">
        <v>103.154</v>
      </c>
      <c r="I349" s="8">
        <v>0</v>
      </c>
      <c r="J349" s="50">
        <v>6.13149870213066</v>
      </c>
      <c r="K349" s="248">
        <f>IFERROR(VLOOKUP(C349,Schedule!$T$3:$U$34,2,0),"FA")</f>
        <v>8</v>
      </c>
      <c r="L349" s="7" t="str">
        <f>D349&amp;COUNTIF(D$2:$D349,D349)</f>
        <v>QB28</v>
      </c>
      <c r="M349" s="50">
        <f t="array" ref="M349">IFERROR(F349-AVERAGE(VLOOKUP(D349,$D350:$F$885,3,0),INDEX($F350:$F$885,SMALL(IF(D349=$D350:$D$885,ROW($D350:$D$885)-ROW(D349)),2))),0)</f>
        <v>10.925992432706011</v>
      </c>
      <c r="N349" s="50">
        <f>IFERROR(IF(VLOOKUP($B349,Input!$AC$2:$AC$162,1,0)=$B349,0),F349)</f>
        <v>147.18040194087001</v>
      </c>
      <c r="O349" s="50">
        <f>IFERROR(IF(VLOOKUP($B349,Input!$AC$2:$AC$162,1,0)=$B349,0,G349),G349)</f>
        <v>180.42664009156101</v>
      </c>
      <c r="P349" s="50">
        <f>IF(N349=0,0,F349-AVERAGE(INDEX(F:F,MATCH(VLOOKUP(D349,Input!$A$14:$L$22,10,0),L:L,0)),INDEX(F:F,MATCH(VLOOKUP(D349,Input!$A$14:$L$22,11,0),L:L,0)),INDEX(F:F,MATCH(VLOOKUP(D349,Input!$A$14:$L$22,12,0),L:L,0)))+(0.01-ROW()*0.01))</f>
        <v>-128.6472416919656</v>
      </c>
      <c r="Q349" s="106">
        <f t="shared" si="100"/>
        <v>-4.4382390253742146E-2</v>
      </c>
      <c r="R349" s="8">
        <f>IF(VLOOKUP($D349,$X$14:$Y$19,2,0)&lt;=0,1,IF(Q349&lt;0,1,ROUNDUP(IF(Q349*('Draft Center'!$L$28+'Draft Center'!$L$78-'Draft Center'!$L$82)&lt;1,1,Q349*('Draft Center'!$L$28+'Draft Center'!$L$78-'Draft Center'!$L$82)),0)))</f>
        <v>1</v>
      </c>
      <c r="S349" s="8">
        <f>IF(A349&lt;Input!$B$10+0.1,IF(ROUNDUP(R349*Input!$C$10,0)=0,1,ROUNDUP(R349*Input!$C$10,0)),IF(A349&gt;Input!$B$11,IF(ROUNDUP(R349*Input!$C$11,0)=0,1,ROUNDUP(R349*Input!$C$11,0)),IF(ROUNDUP(R349,0)=0,1,ROUNDUP(R349,0))))</f>
        <v>1</v>
      </c>
      <c r="T349" s="8">
        <f t="shared" si="101"/>
        <v>1</v>
      </c>
      <c r="U349" s="8">
        <f>IFERROR(VLOOKUP($B349,Input!$AC$2:$AE$161,3,0),0)</f>
        <v>0</v>
      </c>
      <c r="V349" s="256">
        <f t="shared" si="102"/>
        <v>0</v>
      </c>
      <c r="W349" s="263">
        <f t="shared" si="103"/>
        <v>1.00349</v>
      </c>
      <c r="X349" s="68"/>
      <c r="Y349" s="68"/>
      <c r="Z349" s="68"/>
      <c r="AA349" s="68"/>
      <c r="AB349" s="68"/>
      <c r="AC349" s="68"/>
      <c r="AD349" s="68"/>
      <c r="AE349" s="68"/>
      <c r="AF349" s="68"/>
      <c r="AG349" s="68"/>
      <c r="AH349" s="68"/>
      <c r="AI349" s="68"/>
      <c r="AJ349" s="68">
        <v>1</v>
      </c>
      <c r="AL349" s="68">
        <v>1</v>
      </c>
      <c r="AM349" s="68"/>
      <c r="AN349" s="68"/>
      <c r="AO349" s="68"/>
      <c r="AQ349" s="68"/>
      <c r="AR349" s="68"/>
      <c r="AS349" s="68"/>
      <c r="AT349" s="68"/>
      <c r="AU349" s="68"/>
      <c r="AV349" s="68"/>
      <c r="AW349" s="68"/>
      <c r="AX349" s="68"/>
      <c r="AY349" s="68"/>
      <c r="AZ349" s="68"/>
      <c r="BB349" s="68"/>
      <c r="BC349" s="68"/>
      <c r="BJ349" s="68"/>
      <c r="BT349">
        <v>1</v>
      </c>
      <c r="BV349">
        <v>1</v>
      </c>
      <c r="BX349" s="68"/>
      <c r="BY349" s="68">
        <v>1</v>
      </c>
      <c r="BZ349" s="68">
        <v>0</v>
      </c>
      <c r="CA349" s="68">
        <v>0</v>
      </c>
      <c r="CB349" s="68">
        <v>0</v>
      </c>
      <c r="CC349" s="68">
        <f t="shared" si="104"/>
        <v>0</v>
      </c>
      <c r="CD349" s="68">
        <f t="shared" si="105"/>
        <v>0</v>
      </c>
    </row>
    <row r="350" spans="1:82" ht="15.75" customHeight="1" thickBot="1" x14ac:dyDescent="0.3">
      <c r="A350" s="9">
        <v>349</v>
      </c>
      <c r="B350" s="10" t="s">
        <v>450</v>
      </c>
      <c r="C350" s="10" t="s">
        <v>29</v>
      </c>
      <c r="D350" s="10" t="s">
        <v>19</v>
      </c>
      <c r="E350" s="51">
        <v>-125.24574274347501</v>
      </c>
      <c r="F350" s="51">
        <v>43.856655282476503</v>
      </c>
      <c r="G350" s="51">
        <v>71.212693371773994</v>
      </c>
      <c r="H350" s="51">
        <v>0</v>
      </c>
      <c r="I350" s="11">
        <v>0</v>
      </c>
      <c r="J350" s="51">
        <v>5.82875095715473</v>
      </c>
      <c r="K350" s="249">
        <f>IFERROR(VLOOKUP(C350,Schedule!$T$3:$U$34,2,0),"FA")</f>
        <v>8</v>
      </c>
      <c r="L350" s="10" t="str">
        <f>D350&amp;COUNTIF(D$2:$D350,D350)</f>
        <v>RB92</v>
      </c>
      <c r="M350" s="51">
        <f t="array" ref="M350">IFERROR(F350-AVERAGE(VLOOKUP(D350,$D351:$F$885,3,0),INDEX($F351:$F$885,SMALL(IF(D350=$D351:$D$885,ROW($D351:$D$885)-ROW(D350)),2))),0)</f>
        <v>1.5192470037786521</v>
      </c>
      <c r="N350" s="51">
        <f>IFERROR(IF(VLOOKUP($B350,Input!$AC$2:$AC$162,1,0)=$B350,0),F350)</f>
        <v>43.856655282476503</v>
      </c>
      <c r="O350" s="51">
        <f>IFERROR(IF(VLOOKUP($B350,Input!$AC$2:$AC$162,1,0)=$B350,0,G350),G350)</f>
        <v>71.212693371773994</v>
      </c>
      <c r="P350" s="51">
        <f>IF(N350=0,0,F350-AVERAGE(INDEX(F:F,MATCH(VLOOKUP(D350,Input!$A$14:$L$22,10,0),L:L,0)),INDEX(F:F,MATCH(VLOOKUP(D350,Input!$A$14:$L$22,11,0),L:L,0)),INDEX(F:F,MATCH(VLOOKUP(D350,Input!$A$14:$L$22,12,0),L:L,0)))+(0.01-ROW()*0.01))</f>
        <v>-128.7357427434755</v>
      </c>
      <c r="Q350" s="107">
        <f t="shared" si="100"/>
        <v>-4.4412922491777876E-2</v>
      </c>
      <c r="R350" s="11">
        <f>IF(VLOOKUP($D350,$X$14:$Y$19,2,0)&lt;=0,1,IF(Q350&lt;0,1,ROUNDUP(IF(Q350*('Draft Center'!$L$28+'Draft Center'!$L$78-'Draft Center'!$L$82)&lt;1,1,Q350*('Draft Center'!$L$28+'Draft Center'!$L$78-'Draft Center'!$L$82)),0)))</f>
        <v>1</v>
      </c>
      <c r="S350" s="11">
        <f>IF(A350&lt;Input!$B$10+0.1,IF(ROUNDUP(R350*Input!$C$10,0)=0,1,ROUNDUP(R350*Input!$C$10,0)),IF(A350&gt;Input!$B$11,IF(ROUNDUP(R350*Input!$C$11,0)=0,1,ROUNDUP(R350*Input!$C$11,0)),IF(ROUNDUP(R350,0)=0,1,ROUNDUP(R350,0))))</f>
        <v>1</v>
      </c>
      <c r="T350" s="11">
        <f t="shared" si="101"/>
        <v>1</v>
      </c>
      <c r="U350" s="11">
        <f>IFERROR(VLOOKUP($B350,Input!$AC$2:$AE$161,3,0),0)</f>
        <v>0</v>
      </c>
      <c r="V350" s="257">
        <f t="shared" si="102"/>
        <v>0</v>
      </c>
      <c r="W350" s="264">
        <f t="shared" si="103"/>
        <v>1.0035000000000001</v>
      </c>
      <c r="X350" s="68"/>
      <c r="Y350" s="68"/>
      <c r="Z350" s="68"/>
      <c r="AA350" s="68"/>
      <c r="AB350" s="68"/>
      <c r="AC350" s="68"/>
      <c r="AD350" s="68"/>
      <c r="AE350" s="68"/>
      <c r="AF350" s="68"/>
      <c r="AG350" s="68"/>
      <c r="AH350" s="68"/>
      <c r="AI350" s="68"/>
      <c r="AJ350" s="68">
        <v>1</v>
      </c>
      <c r="AL350" s="68">
        <v>1</v>
      </c>
      <c r="AM350" s="68"/>
      <c r="AN350" s="68"/>
      <c r="AO350" s="68"/>
      <c r="AQ350" s="68"/>
      <c r="AR350" s="68"/>
      <c r="AS350" s="68"/>
      <c r="AT350" s="68"/>
      <c r="AU350" s="68"/>
      <c r="AV350" s="68"/>
      <c r="AW350" s="68"/>
      <c r="AX350" s="68"/>
      <c r="AY350" s="68"/>
      <c r="AZ350" s="68"/>
      <c r="BB350" s="68"/>
      <c r="BC350" s="68"/>
      <c r="BJ350" s="68"/>
      <c r="BT350">
        <v>1</v>
      </c>
      <c r="BV350">
        <v>1</v>
      </c>
      <c r="BX350" s="68"/>
      <c r="BY350" s="68">
        <v>1</v>
      </c>
      <c r="BZ350" s="68">
        <v>0</v>
      </c>
      <c r="CA350" s="68">
        <v>0</v>
      </c>
      <c r="CB350" s="68">
        <v>0</v>
      </c>
      <c r="CC350" s="68">
        <f t="shared" si="104"/>
        <v>0</v>
      </c>
      <c r="CD350" s="68">
        <f t="shared" si="105"/>
        <v>0</v>
      </c>
    </row>
    <row r="351" spans="1:82" ht="15.75" customHeight="1" thickBot="1" x14ac:dyDescent="0.3">
      <c r="A351" s="6">
        <v>350</v>
      </c>
      <c r="B351" s="7" t="s">
        <v>340</v>
      </c>
      <c r="C351" s="7" t="s">
        <v>36</v>
      </c>
      <c r="D351" s="7" t="s">
        <v>43</v>
      </c>
      <c r="E351" s="50">
        <v>-125.68865670002199</v>
      </c>
      <c r="F351" s="50">
        <v>27.772262652187301</v>
      </c>
      <c r="G351" s="50">
        <v>40.050183500000003</v>
      </c>
      <c r="H351" s="50">
        <v>17.557010830324899</v>
      </c>
      <c r="I351" s="8">
        <v>0</v>
      </c>
      <c r="J351" s="50">
        <v>2.3785395910118701</v>
      </c>
      <c r="K351" s="248">
        <f>IFERROR(VLOOKUP(C351,Schedule!$T$3:$U$34,2,0),"FA")</f>
        <v>7</v>
      </c>
      <c r="L351" s="7" t="str">
        <f>D351&amp;COUNTIF(D$2:$D351,D351)</f>
        <v>TE71</v>
      </c>
      <c r="M351" s="50">
        <f t="array" ref="M351">IFERROR(F351-AVERAGE(VLOOKUP(D351,$D352:$F$885,3,0),INDEX($F352:$F$885,SMALL(IF(D351=$D352:$D$885,ROW($D352:$D$885)-ROW(D351)),2))),0)</f>
        <v>1.2554027795554497</v>
      </c>
      <c r="N351" s="50">
        <f>IFERROR(IF(VLOOKUP($B351,Input!$AC$2:$AC$162,1,0)=$B351,0),F351)</f>
        <v>27.772262652187301</v>
      </c>
      <c r="O351" s="50">
        <f>IFERROR(IF(VLOOKUP($B351,Input!$AC$2:$AC$162,1,0)=$B351,0,G351),G351)</f>
        <v>40.050183500000003</v>
      </c>
      <c r="P351" s="50">
        <f>IF(N351=0,0,F351-AVERAGE(INDEX(F:F,MATCH(VLOOKUP(D351,Input!$A$14:$L$22,10,0),L:L,0)),INDEX(F:F,MATCH(VLOOKUP(D351,Input!$A$14:$L$22,11,0),L:L,0)),INDEX(F:F,MATCH(VLOOKUP(D351,Input!$A$14:$L$22,12,0),L:L,0)))+(0.01-ROW()*0.01))</f>
        <v>-129.18865670002202</v>
      </c>
      <c r="Q351" s="106">
        <f t="shared" si="100"/>
        <v>-4.4569174609634742E-2</v>
      </c>
      <c r="R351" s="8">
        <f>IF(VLOOKUP($D351,$X$14:$Y$19,2,0)&lt;=0,1,IF(Q351&lt;0,1,ROUNDUP(IF(Q351*('Draft Center'!$L$28+'Draft Center'!$L$78-'Draft Center'!$L$82)&lt;1,1,Q351*('Draft Center'!$L$28+'Draft Center'!$L$78-'Draft Center'!$L$82)),0)))</f>
        <v>1</v>
      </c>
      <c r="S351" s="8">
        <f>IF(A351&lt;Input!$B$10+0.1,IF(ROUNDUP(R351*Input!$C$10,0)=0,1,ROUNDUP(R351*Input!$C$10,0)),IF(A351&gt;Input!$B$11,IF(ROUNDUP(R351*Input!$C$11,0)=0,1,ROUNDUP(R351*Input!$C$11,0)),IF(ROUNDUP(R351,0)=0,1,ROUNDUP(R351,0))))</f>
        <v>1</v>
      </c>
      <c r="T351" s="8">
        <f t="shared" si="101"/>
        <v>1</v>
      </c>
      <c r="U351" s="8">
        <f>IFERROR(VLOOKUP($B351,Input!$AC$2:$AE$161,3,0),0)</f>
        <v>0</v>
      </c>
      <c r="V351" s="256">
        <f t="shared" si="102"/>
        <v>0</v>
      </c>
      <c r="W351" s="263">
        <f t="shared" si="103"/>
        <v>1.0035099999999999</v>
      </c>
      <c r="X351" s="68"/>
      <c r="Y351" s="68"/>
      <c r="Z351" s="68"/>
      <c r="AA351" s="68"/>
      <c r="AB351" s="68"/>
      <c r="AC351" s="68"/>
      <c r="AD351" s="68"/>
      <c r="AE351" s="68"/>
      <c r="AF351" s="68"/>
      <c r="AG351" s="68"/>
      <c r="AH351" s="68"/>
      <c r="AI351" s="68"/>
      <c r="AJ351" s="68">
        <v>1</v>
      </c>
      <c r="AL351" s="68">
        <v>1</v>
      </c>
      <c r="AM351" s="68"/>
      <c r="AN351" s="68"/>
      <c r="AO351" s="68"/>
      <c r="AQ351" s="68"/>
      <c r="AR351" s="68"/>
      <c r="AS351" s="68"/>
      <c r="AT351" s="68"/>
      <c r="AU351" s="68"/>
      <c r="AV351" s="68"/>
      <c r="AW351" s="68"/>
      <c r="AX351" s="68"/>
      <c r="AY351" s="68"/>
      <c r="AZ351" s="68"/>
      <c r="BB351" s="68"/>
      <c r="BC351" s="68"/>
      <c r="BJ351" s="68"/>
      <c r="BT351">
        <v>1</v>
      </c>
      <c r="BV351">
        <v>1</v>
      </c>
      <c r="BX351" s="68"/>
      <c r="BY351" s="68">
        <v>1</v>
      </c>
      <c r="BZ351" s="68">
        <v>0</v>
      </c>
      <c r="CA351" s="68">
        <v>0</v>
      </c>
      <c r="CB351" s="68">
        <v>0</v>
      </c>
      <c r="CC351" s="68">
        <f t="shared" si="104"/>
        <v>0</v>
      </c>
      <c r="CD351" s="68">
        <f t="shared" si="105"/>
        <v>0</v>
      </c>
    </row>
    <row r="352" spans="1:82" ht="15.75" customHeight="1" thickBot="1" x14ac:dyDescent="0.3">
      <c r="A352" s="9">
        <v>351</v>
      </c>
      <c r="B352" s="10" t="s">
        <v>373</v>
      </c>
      <c r="C352" s="10" t="s">
        <v>27</v>
      </c>
      <c r="D352" s="10" t="s">
        <v>43</v>
      </c>
      <c r="E352" s="51">
        <v>-125.85513401809401</v>
      </c>
      <c r="F352" s="51">
        <v>27.605785334115701</v>
      </c>
      <c r="G352" s="51">
        <v>37.001878109897902</v>
      </c>
      <c r="H352" s="51">
        <v>10.7029615302833</v>
      </c>
      <c r="I352" s="11">
        <v>0</v>
      </c>
      <c r="J352" s="51">
        <v>6.4413411007296002</v>
      </c>
      <c r="K352" s="249">
        <f>IFERROR(VLOOKUP(C352,Schedule!$T$3:$U$34,2,0),"FA")</f>
        <v>8</v>
      </c>
      <c r="L352" s="10" t="str">
        <f>D352&amp;COUNTIF(D$2:$D352,D352)</f>
        <v>TE72</v>
      </c>
      <c r="M352" s="51">
        <f t="array" ref="M352">IFERROR(F352-AVERAGE(VLOOKUP(D352,$D353:$F$885,3,0),INDEX($F353:$F$885,SMALL(IF(D352=$D353:$D$885,ROW($D353:$D$885)-ROW(D352)),2))),0)</f>
        <v>2.6069702455999</v>
      </c>
      <c r="N352" s="51">
        <f>IFERROR(IF(VLOOKUP($B352,Input!$AC$2:$AC$162,1,0)=$B352,0),F352)</f>
        <v>27.605785334115701</v>
      </c>
      <c r="O352" s="51">
        <f>IFERROR(IF(VLOOKUP($B352,Input!$AC$2:$AC$162,1,0)=$B352,0,G352),G352)</f>
        <v>37.001878109897902</v>
      </c>
      <c r="P352" s="51">
        <f>IF(N352=0,0,F352-AVERAGE(INDEX(F:F,MATCH(VLOOKUP(D352,Input!$A$14:$L$22,10,0),L:L,0)),INDEX(F:F,MATCH(VLOOKUP(D352,Input!$A$14:$L$22,11,0),L:L,0)),INDEX(F:F,MATCH(VLOOKUP(D352,Input!$A$14:$L$22,12,0),L:L,0)))+(0.01-ROW()*0.01))</f>
        <v>-129.36513401809361</v>
      </c>
      <c r="Q352" s="107">
        <f t="shared" si="100"/>
        <v>-4.4630058038603558E-2</v>
      </c>
      <c r="R352" s="11">
        <f>IF(VLOOKUP($D352,$X$14:$Y$19,2,0)&lt;=0,1,IF(Q352&lt;0,1,ROUNDUP(IF(Q352*('Draft Center'!$L$28+'Draft Center'!$L$78-'Draft Center'!$L$82)&lt;1,1,Q352*('Draft Center'!$L$28+'Draft Center'!$L$78-'Draft Center'!$L$82)),0)))</f>
        <v>1</v>
      </c>
      <c r="S352" s="11">
        <f>IF(A352&lt;Input!$B$10+0.1,IF(ROUNDUP(R352*Input!$C$10,0)=0,1,ROUNDUP(R352*Input!$C$10,0)),IF(A352&gt;Input!$B$11,IF(ROUNDUP(R352*Input!$C$11,0)=0,1,ROUNDUP(R352*Input!$C$11,0)),IF(ROUNDUP(R352,0)=0,1,ROUNDUP(R352,0))))</f>
        <v>1</v>
      </c>
      <c r="T352" s="11">
        <f t="shared" si="101"/>
        <v>1</v>
      </c>
      <c r="U352" s="11">
        <f>IFERROR(VLOOKUP($B352,Input!$AC$2:$AE$161,3,0),0)</f>
        <v>0</v>
      </c>
      <c r="V352" s="257">
        <f t="shared" si="102"/>
        <v>0</v>
      </c>
      <c r="W352" s="264">
        <f t="shared" si="103"/>
        <v>1.00352</v>
      </c>
      <c r="X352" s="68"/>
      <c r="Y352" s="68"/>
      <c r="Z352" s="68"/>
      <c r="AA352" s="68"/>
      <c r="AB352" s="68"/>
      <c r="AC352" s="68"/>
      <c r="AD352" s="68"/>
      <c r="AE352" s="68"/>
      <c r="AF352" s="68"/>
      <c r="AG352" s="68"/>
      <c r="AH352" s="68"/>
      <c r="AI352" s="68"/>
      <c r="AJ352" s="68">
        <v>1</v>
      </c>
      <c r="AL352" s="68">
        <v>1</v>
      </c>
      <c r="AM352" s="68"/>
      <c r="AN352" s="68"/>
      <c r="AO352" s="68"/>
      <c r="AQ352" s="68"/>
      <c r="AR352" s="68"/>
      <c r="AS352" s="68"/>
      <c r="AT352" s="68"/>
      <c r="AU352" s="68"/>
      <c r="AV352" s="68"/>
      <c r="AW352" s="68"/>
      <c r="AX352" s="68"/>
      <c r="AY352" s="68"/>
      <c r="AZ352" s="68"/>
      <c r="BB352" s="68"/>
      <c r="BC352" s="68"/>
      <c r="BJ352" s="68"/>
      <c r="BT352">
        <v>1</v>
      </c>
      <c r="BV352">
        <v>1</v>
      </c>
      <c r="BX352" s="68"/>
      <c r="BY352" s="68">
        <v>1</v>
      </c>
      <c r="BZ352" s="68">
        <v>0</v>
      </c>
      <c r="CA352" s="68">
        <v>0</v>
      </c>
      <c r="CB352" s="68">
        <v>0</v>
      </c>
      <c r="CC352" s="68">
        <f t="shared" si="104"/>
        <v>0</v>
      </c>
      <c r="CD352" s="68">
        <f t="shared" si="105"/>
        <v>0</v>
      </c>
    </row>
    <row r="353" spans="1:82" ht="15.75" thickBot="1" x14ac:dyDescent="0.3">
      <c r="A353" s="6">
        <v>352</v>
      </c>
      <c r="B353" s="7" t="s">
        <v>962</v>
      </c>
      <c r="C353" s="7" t="s">
        <v>93</v>
      </c>
      <c r="D353" s="7" t="s">
        <v>19</v>
      </c>
      <c r="E353" s="50">
        <v>-126.53122914436599</v>
      </c>
      <c r="F353" s="50">
        <v>42.571168881586303</v>
      </c>
      <c r="G353" s="50">
        <v>70.272827467550201</v>
      </c>
      <c r="H353" s="50">
        <v>3.9622085048011</v>
      </c>
      <c r="I353" s="8" t="s">
        <v>1057</v>
      </c>
      <c r="J353" s="50">
        <v>6.5023620305804899</v>
      </c>
      <c r="K353" s="248">
        <f>IFERROR(VLOOKUP(C353,Schedule!$T$3:$U$34,2,0),"FA")</f>
        <v>11</v>
      </c>
      <c r="L353" s="7" t="str">
        <f>D353&amp;COUNTIF(D$2:$D353,D353)</f>
        <v>RB93</v>
      </c>
      <c r="M353" s="50">
        <f t="array" ref="M353">IFERROR(F353-AVERAGE(VLOOKUP(D353,$D354:$F$885,3,0),INDEX($F354:$F$885,SMALL(IF(D353=$D354:$D$885,ROW($D354:$D$885)-ROW(D353)),2))),0)</f>
        <v>0.83682794015665252</v>
      </c>
      <c r="N353" s="50">
        <f>IFERROR(IF(VLOOKUP($B353,Input!$AC$2:$AC$162,1,0)=$B353,0),F353)</f>
        <v>42.571168881586303</v>
      </c>
      <c r="O353" s="50">
        <f>IFERROR(IF(VLOOKUP($B353,Input!$AC$2:$AC$162,1,0)=$B353,0,G353),G353)</f>
        <v>70.272827467550201</v>
      </c>
      <c r="P353" s="50">
        <f>IF(N353=0,0,F353-AVERAGE(INDEX(F:F,MATCH(VLOOKUP(D353,Input!$A$14:$L$22,10,0),L:L,0)),INDEX(F:F,MATCH(VLOOKUP(D353,Input!$A$14:$L$22,11,0),L:L,0)),INDEX(F:F,MATCH(VLOOKUP(D353,Input!$A$14:$L$22,12,0),L:L,0)))+(0.01-ROW()*0.01))</f>
        <v>-130.05122914436569</v>
      </c>
      <c r="Q353" s="106">
        <f t="shared" si="100"/>
        <v>-4.4866756013973365E-2</v>
      </c>
      <c r="R353" s="8">
        <f>IF(VLOOKUP($D353,$X$14:$Y$19,2,0)&lt;=0,1,IF(Q353&lt;0,1,ROUNDUP(IF(Q353*('Draft Center'!$L$28+'Draft Center'!$L$78-'Draft Center'!$L$82)&lt;1,1,Q353*('Draft Center'!$L$28+'Draft Center'!$L$78-'Draft Center'!$L$82)),0)))</f>
        <v>1</v>
      </c>
      <c r="S353" s="8">
        <f>IF(A353&lt;Input!$B$10+0.1,IF(ROUNDUP(R353*Input!$C$10,0)=0,1,ROUNDUP(R353*Input!$C$10,0)),IF(A353&gt;Input!$B$11,IF(ROUNDUP(R353*Input!$C$11,0)=0,1,ROUNDUP(R353*Input!$C$11,0)),IF(ROUNDUP(R353,0)=0,1,ROUNDUP(R353,0))))</f>
        <v>1</v>
      </c>
      <c r="T353" s="8">
        <f t="shared" si="101"/>
        <v>1</v>
      </c>
      <c r="U353" s="8">
        <f>IFERROR(VLOOKUP($B353,Input!$AC$2:$AE$161,3,0),0)</f>
        <v>0</v>
      </c>
      <c r="V353" s="256">
        <f t="shared" si="102"/>
        <v>0</v>
      </c>
      <c r="W353" s="263">
        <f t="shared" si="103"/>
        <v>0</v>
      </c>
      <c r="X353" s="68"/>
      <c r="Y353" s="68"/>
      <c r="Z353" s="68"/>
      <c r="AA353" s="68"/>
      <c r="AB353" s="68"/>
      <c r="AC353" s="68"/>
      <c r="AD353" s="68"/>
      <c r="AE353" s="68"/>
      <c r="AF353" s="68"/>
      <c r="AG353" s="68"/>
      <c r="AH353" s="68"/>
      <c r="AI353" s="68"/>
      <c r="AJ353" s="68">
        <v>1</v>
      </c>
      <c r="AL353" s="68">
        <v>1</v>
      </c>
      <c r="AM353" s="68"/>
      <c r="AN353" s="68"/>
      <c r="AO353" s="68"/>
      <c r="AQ353" s="68"/>
      <c r="AR353" s="68"/>
      <c r="AS353" s="68"/>
      <c r="AT353" s="68"/>
      <c r="AU353" s="68"/>
      <c r="AV353" s="68"/>
      <c r="AW353" s="68"/>
      <c r="AX353" s="68"/>
      <c r="AY353" s="68"/>
      <c r="AZ353" s="68"/>
      <c r="BB353" s="68"/>
      <c r="BC353" s="68"/>
      <c r="BJ353" s="68"/>
      <c r="BT353">
        <v>1</v>
      </c>
      <c r="BV353">
        <v>1</v>
      </c>
      <c r="BX353" s="68"/>
      <c r="BY353" s="68">
        <v>1</v>
      </c>
      <c r="BZ353" s="68" t="s">
        <v>1057</v>
      </c>
      <c r="CA353" s="68" t="s">
        <v>1057</v>
      </c>
      <c r="CB353" s="68" t="s">
        <v>1057</v>
      </c>
      <c r="CC353" s="68" t="e">
        <f t="shared" si="104"/>
        <v>#DIV/0!</v>
      </c>
      <c r="CD353" s="68" t="str">
        <f t="shared" si="105"/>
        <v>NA</v>
      </c>
    </row>
    <row r="354" spans="1:82" ht="15.75" customHeight="1" thickBot="1" x14ac:dyDescent="0.3">
      <c r="A354" s="9">
        <v>353</v>
      </c>
      <c r="B354" s="10" t="s">
        <v>272</v>
      </c>
      <c r="C354" s="10" t="s">
        <v>31</v>
      </c>
      <c r="D354" s="10" t="s">
        <v>19</v>
      </c>
      <c r="E354" s="51">
        <v>-126.998750350142</v>
      </c>
      <c r="F354" s="51">
        <v>42.103647675809398</v>
      </c>
      <c r="G354" s="51">
        <v>56.988940042109299</v>
      </c>
      <c r="H354" s="51">
        <v>17.0441563786008</v>
      </c>
      <c r="I354" s="11" t="s">
        <v>1057</v>
      </c>
      <c r="J354" s="51">
        <v>5.5407555639427004</v>
      </c>
      <c r="K354" s="249">
        <f>IFERROR(VLOOKUP(C354,Schedule!$T$3:$U$34,2,0),"FA")</f>
        <v>9</v>
      </c>
      <c r="L354" s="10" t="str">
        <f>D354&amp;COUNTIF(D$2:$D354,D354)</f>
        <v>RB94</v>
      </c>
      <c r="M354" s="51">
        <f t="array" ref="M354">IFERROR(F354-AVERAGE(VLOOKUP(D354,$D355:$F$885,3,0),INDEX($F355:$F$885,SMALL(IF(D354=$D355:$D$885,ROW($D355:$D$885)-ROW(D354)),2))),0)</f>
        <v>0.97113057228445143</v>
      </c>
      <c r="N354" s="51">
        <f>IFERROR(IF(VLOOKUP($B354,Input!$AC$2:$AC$162,1,0)=$B354,0),F354)</f>
        <v>42.103647675809398</v>
      </c>
      <c r="O354" s="51">
        <f>IFERROR(IF(VLOOKUP($B354,Input!$AC$2:$AC$162,1,0)=$B354,0,G354),G354)</f>
        <v>56.988940042109299</v>
      </c>
      <c r="P354" s="51">
        <f>IF(N354=0,0,F354-AVERAGE(INDEX(F:F,MATCH(VLOOKUP(D354,Input!$A$14:$L$22,10,0),L:L,0)),INDEX(F:F,MATCH(VLOOKUP(D354,Input!$A$14:$L$22,11,0),L:L,0)),INDEX(F:F,MATCH(VLOOKUP(D354,Input!$A$14:$L$22,12,0),L:L,0)))+(0.01-ROW()*0.01))</f>
        <v>-130.52875035014259</v>
      </c>
      <c r="Q354" s="107">
        <f t="shared" si="100"/>
        <v>-4.5031497459110399E-2</v>
      </c>
      <c r="R354" s="11">
        <f>IF(VLOOKUP($D354,$X$14:$Y$19,2,0)&lt;=0,1,IF(Q354&lt;0,1,ROUNDUP(IF(Q354*('Draft Center'!$L$28+'Draft Center'!$L$78-'Draft Center'!$L$82)&lt;1,1,Q354*('Draft Center'!$L$28+'Draft Center'!$L$78-'Draft Center'!$L$82)),0)))</f>
        <v>1</v>
      </c>
      <c r="S354" s="11">
        <f>IF(A354&lt;Input!$B$10+0.1,IF(ROUNDUP(R354*Input!$C$10,0)=0,1,ROUNDUP(R354*Input!$C$10,0)),IF(A354&gt;Input!$B$11,IF(ROUNDUP(R354*Input!$C$11,0)=0,1,ROUNDUP(R354*Input!$C$11,0)),IF(ROUNDUP(R354,0)=0,1,ROUNDUP(R354,0))))</f>
        <v>1</v>
      </c>
      <c r="T354" s="11">
        <f t="shared" si="101"/>
        <v>1</v>
      </c>
      <c r="U354" s="11">
        <f>IFERROR(VLOOKUP($B354,Input!$AC$2:$AE$161,3,0),0)</f>
        <v>0</v>
      </c>
      <c r="V354" s="257">
        <f t="shared" si="102"/>
        <v>0</v>
      </c>
      <c r="W354" s="264">
        <f t="shared" si="103"/>
        <v>0</v>
      </c>
      <c r="X354" s="68"/>
      <c r="Y354" s="68"/>
      <c r="Z354" s="68"/>
      <c r="AA354" s="68"/>
      <c r="AB354" s="68"/>
      <c r="AC354" s="68"/>
      <c r="AD354" s="68"/>
      <c r="AE354" s="68"/>
      <c r="AF354" s="68"/>
      <c r="AG354" s="68"/>
      <c r="AH354" s="68"/>
      <c r="AI354" s="68"/>
      <c r="AJ354" s="68">
        <v>1</v>
      </c>
      <c r="AL354" s="68">
        <v>1</v>
      </c>
      <c r="AM354" s="68"/>
      <c r="AN354" s="68"/>
      <c r="AO354" s="68"/>
      <c r="AQ354" s="68"/>
      <c r="AR354" s="68"/>
      <c r="AS354" s="68"/>
      <c r="AT354" s="68"/>
      <c r="AU354" s="68"/>
      <c r="AV354" s="68"/>
      <c r="AW354" s="68"/>
      <c r="AX354" s="68"/>
      <c r="AY354" s="68"/>
      <c r="AZ354" s="68"/>
      <c r="BB354" s="68"/>
      <c r="BC354" s="68"/>
      <c r="BJ354" s="68"/>
      <c r="BT354">
        <v>1</v>
      </c>
      <c r="BV354">
        <v>1</v>
      </c>
      <c r="BX354" s="68"/>
      <c r="BY354" s="68">
        <v>1</v>
      </c>
      <c r="BZ354" s="68" t="s">
        <v>1057</v>
      </c>
      <c r="CA354" s="68" t="s">
        <v>1057</v>
      </c>
      <c r="CB354" s="68" t="s">
        <v>1057</v>
      </c>
      <c r="CC354" s="68" t="e">
        <f t="shared" si="104"/>
        <v>#DIV/0!</v>
      </c>
      <c r="CD354" s="68" t="str">
        <f t="shared" si="105"/>
        <v>NA</v>
      </c>
    </row>
    <row r="355" spans="1:82" ht="15.75" customHeight="1" thickBot="1" x14ac:dyDescent="0.3">
      <c r="A355" s="6">
        <v>354</v>
      </c>
      <c r="B355" s="7" t="s">
        <v>784</v>
      </c>
      <c r="C355" s="7" t="s">
        <v>42</v>
      </c>
      <c r="D355" s="7" t="s">
        <v>17</v>
      </c>
      <c r="E355" s="50">
        <v>-127.509780663147</v>
      </c>
      <c r="F355" s="50">
        <v>85.268135606202307</v>
      </c>
      <c r="G355" s="50">
        <v>118.938211245448</v>
      </c>
      <c r="H355" s="50">
        <v>13.3773731726435</v>
      </c>
      <c r="I355" s="8">
        <v>0</v>
      </c>
      <c r="J355" s="50">
        <v>7.4264394681905701</v>
      </c>
      <c r="K355" s="248">
        <f>IFERROR(VLOOKUP(C355,Schedule!$T$3:$U$34,2,0),"FA")</f>
        <v>9</v>
      </c>
      <c r="L355" s="7" t="str">
        <f>D355&amp;COUNTIF(D$2:$D355,D355)</f>
        <v>WR91</v>
      </c>
      <c r="M355" s="50">
        <f t="array" ref="M355">IFERROR(F355-AVERAGE(VLOOKUP(D355,$D356:$F$885,3,0),INDEX($F356:$F$885,SMALL(IF(D355=$D356:$D$885,ROW($D356:$D$885)-ROW(D355)),2))),0)</f>
        <v>0.41174215584625529</v>
      </c>
      <c r="N355" s="50">
        <f>IFERROR(IF(VLOOKUP($B355,Input!$AC$2:$AC$162,1,0)=$B355,0),F355)</f>
        <v>85.268135606202307</v>
      </c>
      <c r="O355" s="50">
        <f>IFERROR(IF(VLOOKUP($B355,Input!$AC$2:$AC$162,1,0)=$B355,0,G355),G355)</f>
        <v>118.938211245448</v>
      </c>
      <c r="P355" s="50">
        <f>IF(N355=0,0,F355-AVERAGE(INDEX(F:F,MATCH(VLOOKUP(D355,Input!$A$14:$L$22,10,0),L:L,0)),INDEX(F:F,MATCH(VLOOKUP(D355,Input!$A$14:$L$22,11,0),L:L,0)),INDEX(F:F,MATCH(VLOOKUP(D355,Input!$A$14:$L$22,12,0),L:L,0)))+(0.01-ROW()*0.01))</f>
        <v>-131.04978066314672</v>
      </c>
      <c r="Q355" s="106">
        <f t="shared" si="100"/>
        <v>-4.5211249239106958E-2</v>
      </c>
      <c r="R355" s="8">
        <f>IF(VLOOKUP($D355,$X$14:$Y$19,2,0)&lt;=0,1,IF(Q355&lt;0,1,ROUNDUP(IF(Q355*('Draft Center'!$L$28+'Draft Center'!$L$78-'Draft Center'!$L$82)&lt;1,1,Q355*('Draft Center'!$L$28+'Draft Center'!$L$78-'Draft Center'!$L$82)),0)))</f>
        <v>1</v>
      </c>
      <c r="S355" s="8">
        <f>IF(A355&lt;Input!$B$10+0.1,IF(ROUNDUP(R355*Input!$C$10,0)=0,1,ROUNDUP(R355*Input!$C$10,0)),IF(A355&gt;Input!$B$11,IF(ROUNDUP(R355*Input!$C$11,0)=0,1,ROUNDUP(R355*Input!$C$11,0)),IF(ROUNDUP(R355,0)=0,1,ROUNDUP(R355,0))))</f>
        <v>1</v>
      </c>
      <c r="T355" s="8">
        <f t="shared" si="101"/>
        <v>1</v>
      </c>
      <c r="U355" s="8">
        <f>IFERROR(VLOOKUP($B355,Input!$AC$2:$AE$161,3,0),0)</f>
        <v>0</v>
      </c>
      <c r="V355" s="256">
        <f t="shared" si="102"/>
        <v>0</v>
      </c>
      <c r="W355" s="263">
        <f t="shared" si="103"/>
        <v>1.0035499999999999</v>
      </c>
      <c r="X355" s="68"/>
      <c r="Y355" s="68"/>
      <c r="Z355" s="68"/>
      <c r="AA355" s="68"/>
      <c r="AB355" s="68"/>
      <c r="AC355" s="68"/>
      <c r="AD355" s="68"/>
      <c r="AE355" s="68"/>
      <c r="AF355" s="68"/>
      <c r="AG355" s="68"/>
      <c r="AH355" s="68"/>
      <c r="AI355" s="68"/>
      <c r="AJ355" s="68">
        <v>1</v>
      </c>
      <c r="AL355" s="68">
        <v>1</v>
      </c>
      <c r="AM355" s="68"/>
      <c r="AN355" s="68"/>
      <c r="AO355" s="68"/>
      <c r="AQ355" s="68"/>
      <c r="AR355" s="68"/>
      <c r="AS355" s="68"/>
      <c r="AT355" s="68"/>
      <c r="AU355" s="68"/>
      <c r="AV355" s="68"/>
      <c r="AW355" s="68"/>
      <c r="AX355" s="68"/>
      <c r="AY355" s="68"/>
      <c r="AZ355" s="68"/>
      <c r="BB355" s="68"/>
      <c r="BC355" s="68"/>
      <c r="BJ355" s="68"/>
      <c r="BT355">
        <v>1</v>
      </c>
      <c r="BV355">
        <v>1</v>
      </c>
      <c r="BX355" s="68"/>
      <c r="BY355" s="68">
        <v>1</v>
      </c>
      <c r="BZ355" s="68">
        <v>0</v>
      </c>
      <c r="CA355" s="68">
        <v>0</v>
      </c>
      <c r="CB355" s="68">
        <v>0</v>
      </c>
      <c r="CC355" s="68">
        <f t="shared" si="104"/>
        <v>0</v>
      </c>
      <c r="CD355" s="68">
        <f t="shared" si="105"/>
        <v>0</v>
      </c>
    </row>
    <row r="356" spans="1:82" ht="15.75" customHeight="1" thickBot="1" x14ac:dyDescent="0.3">
      <c r="A356" s="9">
        <v>355</v>
      </c>
      <c r="B356" s="10" t="s">
        <v>431</v>
      </c>
      <c r="C356" s="10" t="s">
        <v>27</v>
      </c>
      <c r="D356" s="10" t="s">
        <v>19</v>
      </c>
      <c r="E356" s="51">
        <v>-127.737363818902</v>
      </c>
      <c r="F356" s="51">
        <v>41.365034207049902</v>
      </c>
      <c r="G356" s="51">
        <v>73.362070000000003</v>
      </c>
      <c r="H356" s="51">
        <v>5.0151353874883302</v>
      </c>
      <c r="I356" s="11">
        <v>0</v>
      </c>
      <c r="J356" s="51">
        <v>7.1138700705701101</v>
      </c>
      <c r="K356" s="249">
        <f>IFERROR(VLOOKUP(C356,Schedule!$T$3:$U$34,2,0),"FA")</f>
        <v>8</v>
      </c>
      <c r="L356" s="10" t="str">
        <f>D356&amp;COUNTIF(D$2:$D356,D356)</f>
        <v>RB95</v>
      </c>
      <c r="M356" s="51">
        <f t="array" ref="M356">IFERROR(F356-AVERAGE(VLOOKUP(D356,$D357:$F$885,3,0),INDEX($F357:$F$885,SMALL(IF(D356=$D357:$D$885,ROW($D357:$D$885)-ROW(D356)),2))),0)</f>
        <v>1.6695661476664512</v>
      </c>
      <c r="N356" s="51">
        <f>IFERROR(IF(VLOOKUP($B356,Input!$AC$2:$AC$162,1,0)=$B356,0),F356)</f>
        <v>41.365034207049902</v>
      </c>
      <c r="O356" s="51">
        <f>IFERROR(IF(VLOOKUP($B356,Input!$AC$2:$AC$162,1,0)=$B356,0,G356),G356)</f>
        <v>73.362070000000003</v>
      </c>
      <c r="P356" s="51">
        <f>IF(N356=0,0,F356-AVERAGE(INDEX(F:F,MATCH(VLOOKUP(D356,Input!$A$14:$L$22,10,0),L:L,0)),INDEX(F:F,MATCH(VLOOKUP(D356,Input!$A$14:$L$22,11,0),L:L,0)),INDEX(F:F,MATCH(VLOOKUP(D356,Input!$A$14:$L$22,12,0),L:L,0)))+(0.01-ROW()*0.01))</f>
        <v>-131.28736381890209</v>
      </c>
      <c r="Q356" s="107">
        <f t="shared" si="100"/>
        <v>-4.5293213750726251E-2</v>
      </c>
      <c r="R356" s="11">
        <f>IF(VLOOKUP($D356,$X$14:$Y$19,2,0)&lt;=0,1,IF(Q356&lt;0,1,ROUNDUP(IF(Q356*('Draft Center'!$L$28+'Draft Center'!$L$78-'Draft Center'!$L$82)&lt;1,1,Q356*('Draft Center'!$L$28+'Draft Center'!$L$78-'Draft Center'!$L$82)),0)))</f>
        <v>1</v>
      </c>
      <c r="S356" s="11">
        <f>IF(A356&lt;Input!$B$10+0.1,IF(ROUNDUP(R356*Input!$C$10,0)=0,1,ROUNDUP(R356*Input!$C$10,0)),IF(A356&gt;Input!$B$11,IF(ROUNDUP(R356*Input!$C$11,0)=0,1,ROUNDUP(R356*Input!$C$11,0)),IF(ROUNDUP(R356,0)=0,1,ROUNDUP(R356,0))))</f>
        <v>1</v>
      </c>
      <c r="T356" s="11">
        <f t="shared" si="101"/>
        <v>1</v>
      </c>
      <c r="U356" s="11">
        <f>IFERROR(VLOOKUP($B356,Input!$AC$2:$AE$161,3,0),0)</f>
        <v>0</v>
      </c>
      <c r="V356" s="257">
        <f t="shared" si="102"/>
        <v>0</v>
      </c>
      <c r="W356" s="264">
        <f t="shared" si="103"/>
        <v>1.00356</v>
      </c>
      <c r="X356" s="68"/>
      <c r="Y356" s="68"/>
      <c r="Z356" s="68"/>
      <c r="AA356" s="68"/>
      <c r="AB356" s="68"/>
      <c r="AC356" s="68"/>
      <c r="AD356" s="68"/>
      <c r="AE356" s="68"/>
      <c r="AF356" s="68"/>
      <c r="AG356" s="68"/>
      <c r="AH356" s="68"/>
      <c r="AI356" s="68"/>
      <c r="AJ356" s="68">
        <v>1</v>
      </c>
      <c r="AL356" s="68">
        <v>1</v>
      </c>
      <c r="AM356" s="68"/>
      <c r="AN356" s="68"/>
      <c r="AO356" s="68"/>
      <c r="AQ356" s="68"/>
      <c r="AR356" s="68"/>
      <c r="AS356" s="68"/>
      <c r="AT356" s="68"/>
      <c r="AU356" s="68"/>
      <c r="AV356" s="68"/>
      <c r="AW356" s="68"/>
      <c r="AX356" s="68"/>
      <c r="AY356" s="68"/>
      <c r="AZ356" s="68"/>
      <c r="BB356" s="68"/>
      <c r="BC356" s="68"/>
      <c r="BJ356" s="68"/>
      <c r="BT356">
        <v>1</v>
      </c>
      <c r="BV356">
        <v>1</v>
      </c>
      <c r="BX356" s="68"/>
      <c r="BY356" s="68">
        <v>1</v>
      </c>
      <c r="BZ356" s="68">
        <v>0</v>
      </c>
      <c r="CA356" s="68">
        <v>0</v>
      </c>
      <c r="CB356" s="68">
        <v>0</v>
      </c>
      <c r="CC356" s="68">
        <f t="shared" si="104"/>
        <v>0</v>
      </c>
      <c r="CD356" s="68">
        <f t="shared" si="105"/>
        <v>0</v>
      </c>
    </row>
    <row r="357" spans="1:82" ht="15.75" customHeight="1" thickBot="1" x14ac:dyDescent="0.3">
      <c r="A357" s="6">
        <v>356</v>
      </c>
      <c r="B357" s="7" t="s">
        <v>1011</v>
      </c>
      <c r="C357" s="7" t="s">
        <v>57</v>
      </c>
      <c r="D357" s="7" t="s">
        <v>17</v>
      </c>
      <c r="E357" s="50">
        <v>-127.91533138168001</v>
      </c>
      <c r="F357" s="50">
        <v>84.8625848876692</v>
      </c>
      <c r="G357" s="50">
        <v>143.61815831228199</v>
      </c>
      <c r="H357" s="50">
        <v>22.5212345679012</v>
      </c>
      <c r="I357" s="8">
        <v>0</v>
      </c>
      <c r="J357" s="50">
        <v>8.4650109335422901</v>
      </c>
      <c r="K357" s="248">
        <f>IFERROR(VLOOKUP(C357,Schedule!$T$3:$U$34,2,0),"FA")</f>
        <v>11</v>
      </c>
      <c r="L357" s="7" t="str">
        <f>D357&amp;COUNTIF(D$2:$D357,D357)</f>
        <v>WR92</v>
      </c>
      <c r="M357" s="50">
        <f t="array" ref="M357">IFERROR(F357-AVERAGE(VLOOKUP(D357,$D358:$F$885,3,0),INDEX($F358:$F$885,SMALL(IF(D357=$D358:$D$885,ROW($D358:$D$885)-ROW(D357)),2))),0)</f>
        <v>0.43915992959495043</v>
      </c>
      <c r="N357" s="50">
        <f>IFERROR(IF(VLOOKUP($B357,Input!$AC$2:$AC$162,1,0)=$B357,0),F357)</f>
        <v>84.8625848876692</v>
      </c>
      <c r="O357" s="50">
        <f>IFERROR(IF(VLOOKUP($B357,Input!$AC$2:$AC$162,1,0)=$B357,0,G357),G357)</f>
        <v>143.61815831228199</v>
      </c>
      <c r="P357" s="50">
        <f>IF(N357=0,0,F357-AVERAGE(INDEX(F:F,MATCH(VLOOKUP(D357,Input!$A$14:$L$22,10,0),L:L,0)),INDEX(F:F,MATCH(VLOOKUP(D357,Input!$A$14:$L$22,11,0),L:L,0)),INDEX(F:F,MATCH(VLOOKUP(D357,Input!$A$14:$L$22,12,0),L:L,0)))+(0.01-ROW()*0.01))</f>
        <v>-131.47533138167981</v>
      </c>
      <c r="Q357" s="106">
        <f t="shared" si="100"/>
        <v>-4.5358061233008229E-2</v>
      </c>
      <c r="R357" s="8">
        <f>IF(VLOOKUP($D357,$X$14:$Y$19,2,0)&lt;=0,1,IF(Q357&lt;0,1,ROUNDUP(IF(Q357*('Draft Center'!$L$28+'Draft Center'!$L$78-'Draft Center'!$L$82)&lt;1,1,Q357*('Draft Center'!$L$28+'Draft Center'!$L$78-'Draft Center'!$L$82)),0)))</f>
        <v>1</v>
      </c>
      <c r="S357" s="8">
        <f>IF(A357&lt;Input!$B$10+0.1,IF(ROUNDUP(R357*Input!$C$10,0)=0,1,ROUNDUP(R357*Input!$C$10,0)),IF(A357&gt;Input!$B$11,IF(ROUNDUP(R357*Input!$C$11,0)=0,1,ROUNDUP(R357*Input!$C$11,0)),IF(ROUNDUP(R357,0)=0,1,ROUNDUP(R357,0))))</f>
        <v>1</v>
      </c>
      <c r="T357" s="8">
        <f t="shared" si="101"/>
        <v>1</v>
      </c>
      <c r="U357" s="8">
        <f>IFERROR(VLOOKUP($B357,Input!$AC$2:$AE$161,3,0),0)</f>
        <v>0</v>
      </c>
      <c r="V357" s="256">
        <f t="shared" si="102"/>
        <v>0</v>
      </c>
      <c r="W357" s="263">
        <f t="shared" si="103"/>
        <v>1.0035700000000001</v>
      </c>
      <c r="X357" s="68"/>
      <c r="Y357" s="68"/>
      <c r="Z357" s="68"/>
      <c r="AA357" s="68"/>
      <c r="AB357" s="68"/>
      <c r="AC357" s="68"/>
      <c r="AD357" s="68"/>
      <c r="AE357" s="68"/>
      <c r="AF357" s="68"/>
      <c r="AG357" s="68"/>
      <c r="AH357" s="68"/>
      <c r="AI357" s="68"/>
      <c r="AJ357" s="68">
        <v>1</v>
      </c>
      <c r="AL357" s="68">
        <v>1</v>
      </c>
      <c r="AM357" s="68"/>
      <c r="AN357" s="68"/>
      <c r="AO357" s="68"/>
      <c r="AQ357" s="68"/>
      <c r="AR357" s="68"/>
      <c r="AS357" s="68"/>
      <c r="AT357" s="68"/>
      <c r="AU357" s="68"/>
      <c r="AV357" s="68"/>
      <c r="AW357" s="68"/>
      <c r="AX357" s="68"/>
      <c r="AY357" s="68"/>
      <c r="AZ357" s="68"/>
      <c r="BB357" s="68"/>
      <c r="BC357" s="68"/>
      <c r="BJ357" s="68"/>
      <c r="BT357">
        <v>1</v>
      </c>
      <c r="BV357">
        <v>1</v>
      </c>
      <c r="BX357" s="68"/>
      <c r="BY357" s="68">
        <v>1</v>
      </c>
      <c r="BZ357" s="68">
        <v>0</v>
      </c>
      <c r="CA357" s="68">
        <v>0</v>
      </c>
      <c r="CB357" s="68">
        <v>0</v>
      </c>
      <c r="CC357" s="68">
        <f t="shared" si="104"/>
        <v>0</v>
      </c>
      <c r="CD357" s="68">
        <f t="shared" si="105"/>
        <v>0</v>
      </c>
    </row>
    <row r="358" spans="1:82" ht="15.75" customHeight="1" thickBot="1" x14ac:dyDescent="0.3">
      <c r="A358" s="9">
        <v>357</v>
      </c>
      <c r="B358" s="10" t="s">
        <v>324</v>
      </c>
      <c r="C358" s="10" t="s">
        <v>25</v>
      </c>
      <c r="D358" s="10" t="s">
        <v>17</v>
      </c>
      <c r="E358" s="51">
        <v>-127.927714256306</v>
      </c>
      <c r="F358" s="51">
        <v>84.850202013042903</v>
      </c>
      <c r="G358" s="51">
        <v>113.797195244264</v>
      </c>
      <c r="H358" s="51">
        <v>50.2491110131295</v>
      </c>
      <c r="I358" s="11">
        <v>0</v>
      </c>
      <c r="J358" s="51">
        <v>6.3944195907163097</v>
      </c>
      <c r="K358" s="249">
        <f>IFERROR(VLOOKUP(C358,Schedule!$T$3:$U$34,2,0),"FA")</f>
        <v>10</v>
      </c>
      <c r="L358" s="10" t="str">
        <f>D358&amp;COUNTIF(D$2:$D358,D358)</f>
        <v>WR93</v>
      </c>
      <c r="M358" s="51">
        <f t="array" ref="M358">IFERROR(F358-AVERAGE(VLOOKUP(D358,$D359:$F$885,3,0),INDEX($F359:$F$885,SMALL(IF(D358=$D359:$D$885,ROW($D359:$D$885)-ROW(D358)),2))),0)</f>
        <v>1.4379711457192599</v>
      </c>
      <c r="N358" s="51">
        <f>IFERROR(IF(VLOOKUP($B358,Input!$AC$2:$AC$162,1,0)=$B358,0),F358)</f>
        <v>84.850202013042903</v>
      </c>
      <c r="O358" s="51">
        <f>IFERROR(IF(VLOOKUP($B358,Input!$AC$2:$AC$162,1,0)=$B358,0,G358),G358)</f>
        <v>113.797195244264</v>
      </c>
      <c r="P358" s="51">
        <f>IF(N358=0,0,F358-AVERAGE(INDEX(F:F,MATCH(VLOOKUP(D358,Input!$A$14:$L$22,10,0),L:L,0)),INDEX(F:F,MATCH(VLOOKUP(D358,Input!$A$14:$L$22,11,0),L:L,0)),INDEX(F:F,MATCH(VLOOKUP(D358,Input!$A$14:$L$22,12,0),L:L,0)))+(0.01-ROW()*0.01))</f>
        <v>-131.49771425630612</v>
      </c>
      <c r="Q358" s="107">
        <f t="shared" si="100"/>
        <v>-4.5365783166752008E-2</v>
      </c>
      <c r="R358" s="11">
        <f>IF(VLOOKUP($D358,$X$14:$Y$19,2,0)&lt;=0,1,IF(Q358&lt;0,1,ROUNDUP(IF(Q358*('Draft Center'!$L$28+'Draft Center'!$L$78-'Draft Center'!$L$82)&lt;1,1,Q358*('Draft Center'!$L$28+'Draft Center'!$L$78-'Draft Center'!$L$82)),0)))</f>
        <v>1</v>
      </c>
      <c r="S358" s="11">
        <f>IF(A358&lt;Input!$B$10+0.1,IF(ROUNDUP(R358*Input!$C$10,0)=0,1,ROUNDUP(R358*Input!$C$10,0)),IF(A358&gt;Input!$B$11,IF(ROUNDUP(R358*Input!$C$11,0)=0,1,ROUNDUP(R358*Input!$C$11,0)),IF(ROUNDUP(R358,0)=0,1,ROUNDUP(R358,0))))</f>
        <v>1</v>
      </c>
      <c r="T358" s="11">
        <f t="shared" si="101"/>
        <v>1</v>
      </c>
      <c r="U358" s="11">
        <f>IFERROR(VLOOKUP($B358,Input!$AC$2:$AE$161,3,0),0)</f>
        <v>0</v>
      </c>
      <c r="V358" s="257">
        <f t="shared" si="102"/>
        <v>0</v>
      </c>
      <c r="W358" s="264">
        <f t="shared" si="103"/>
        <v>1.0035799999999999</v>
      </c>
      <c r="X358" s="68"/>
      <c r="Y358" s="68"/>
      <c r="Z358" s="68"/>
      <c r="AA358" s="68"/>
      <c r="AB358" s="68"/>
      <c r="AC358" s="68"/>
      <c r="AD358" s="68"/>
      <c r="AE358" s="68"/>
      <c r="AF358" s="68"/>
      <c r="AG358" s="68"/>
      <c r="AH358" s="68"/>
      <c r="AI358" s="68"/>
      <c r="AJ358" s="68">
        <v>1</v>
      </c>
      <c r="AL358" s="68">
        <v>1</v>
      </c>
      <c r="AM358" s="68"/>
      <c r="AN358" s="68"/>
      <c r="AO358" s="68"/>
      <c r="AQ358" s="68"/>
      <c r="AR358" s="68"/>
      <c r="AS358" s="68"/>
      <c r="AT358" s="68"/>
      <c r="AU358" s="68"/>
      <c r="AV358" s="68"/>
      <c r="AW358" s="68"/>
      <c r="AX358" s="68"/>
      <c r="AY358" s="68"/>
      <c r="AZ358" s="68"/>
      <c r="BB358" s="68"/>
      <c r="BC358" s="68"/>
      <c r="BJ358" s="68"/>
      <c r="BT358">
        <v>1</v>
      </c>
      <c r="BV358">
        <v>1</v>
      </c>
      <c r="BX358" s="68"/>
      <c r="BY358" s="68">
        <v>1</v>
      </c>
      <c r="BZ358" s="68">
        <v>0</v>
      </c>
      <c r="CA358" s="68">
        <v>0</v>
      </c>
      <c r="CB358" s="68">
        <v>0</v>
      </c>
      <c r="CC358" s="68">
        <f t="shared" si="104"/>
        <v>0</v>
      </c>
      <c r="CD358" s="68">
        <f t="shared" si="105"/>
        <v>0</v>
      </c>
    </row>
    <row r="359" spans="1:82" ht="15.75" customHeight="1" thickBot="1" x14ac:dyDescent="0.3">
      <c r="A359" s="6">
        <v>358</v>
      </c>
      <c r="B359" s="7" t="s">
        <v>228</v>
      </c>
      <c r="C359" s="7" t="s">
        <v>117</v>
      </c>
      <c r="D359" s="7" t="s">
        <v>43</v>
      </c>
      <c r="E359" s="50">
        <v>-128.03298494106099</v>
      </c>
      <c r="F359" s="50">
        <v>25.427934411148001</v>
      </c>
      <c r="G359" s="50">
        <v>53.100063487804903</v>
      </c>
      <c r="H359" s="50">
        <v>-6.2079826038159397E-2</v>
      </c>
      <c r="I359" s="8" t="s">
        <v>1057</v>
      </c>
      <c r="J359" s="50">
        <v>11.0645290255808</v>
      </c>
      <c r="K359" s="248">
        <f>IFERROR(VLOOKUP(C359,Schedule!$T$3:$U$34,2,0),"FA")</f>
        <v>8</v>
      </c>
      <c r="L359" s="7" t="str">
        <f>D359&amp;COUNTIF(D$2:$D359,D359)</f>
        <v>TE73</v>
      </c>
      <c r="M359" s="50">
        <f t="array" ref="M359">IFERROR(F359-AVERAGE(VLOOKUP(D359,$D360:$F$885,3,0),INDEX($F360:$F$885,SMALL(IF(D359=$D360:$D$885,ROW($D360:$D$885)-ROW(D359)),2))),0)</f>
        <v>1.4063825132669017</v>
      </c>
      <c r="N359" s="50">
        <f>IFERROR(IF(VLOOKUP($B359,Input!$AC$2:$AC$162,1,0)=$B359,0),F359)</f>
        <v>25.427934411148001</v>
      </c>
      <c r="O359" s="50">
        <f>IFERROR(IF(VLOOKUP($B359,Input!$AC$2:$AC$162,1,0)=$B359,0,G359),G359)</f>
        <v>53.100063487804903</v>
      </c>
      <c r="P359" s="50">
        <f>IF(N359=0,0,F359-AVERAGE(INDEX(F:F,MATCH(VLOOKUP(D359,Input!$A$14:$L$22,10,0),L:L,0)),INDEX(F:F,MATCH(VLOOKUP(D359,Input!$A$14:$L$22,11,0),L:L,0)),INDEX(F:F,MATCH(VLOOKUP(D359,Input!$A$14:$L$22,12,0),L:L,0)))+(0.01-ROW()*0.01))</f>
        <v>-131.61298494106134</v>
      </c>
      <c r="Q359" s="106">
        <f t="shared" si="100"/>
        <v>-4.540555073928864E-2</v>
      </c>
      <c r="R359" s="8">
        <f>IF(VLOOKUP($D359,$X$14:$Y$19,2,0)&lt;=0,1,IF(Q359&lt;0,1,ROUNDUP(IF(Q359*('Draft Center'!$L$28+'Draft Center'!$L$78-'Draft Center'!$L$82)&lt;1,1,Q359*('Draft Center'!$L$28+'Draft Center'!$L$78-'Draft Center'!$L$82)),0)))</f>
        <v>1</v>
      </c>
      <c r="S359" s="8">
        <f>IF(A359&lt;Input!$B$10+0.1,IF(ROUNDUP(R359*Input!$C$10,0)=0,1,ROUNDUP(R359*Input!$C$10,0)),IF(A359&gt;Input!$B$11,IF(ROUNDUP(R359*Input!$C$11,0)=0,1,ROUNDUP(R359*Input!$C$11,0)),IF(ROUNDUP(R359,0)=0,1,ROUNDUP(R359,0))))</f>
        <v>1</v>
      </c>
      <c r="T359" s="8">
        <f t="shared" si="101"/>
        <v>1</v>
      </c>
      <c r="U359" s="8">
        <f>IFERROR(VLOOKUP($B359,Input!$AC$2:$AE$161,3,0),0)</f>
        <v>0</v>
      </c>
      <c r="V359" s="256">
        <f t="shared" si="102"/>
        <v>0</v>
      </c>
      <c r="W359" s="263">
        <f t="shared" si="103"/>
        <v>0</v>
      </c>
      <c r="X359" s="68"/>
      <c r="Y359" s="68"/>
      <c r="Z359" s="68"/>
      <c r="AA359" s="68"/>
      <c r="AB359" s="68"/>
      <c r="AC359" s="68"/>
      <c r="AD359" s="68"/>
      <c r="AE359" s="68"/>
      <c r="AF359" s="68"/>
      <c r="AG359" s="68"/>
      <c r="AH359" s="68"/>
      <c r="AI359" s="68"/>
      <c r="AJ359" s="68">
        <v>1</v>
      </c>
      <c r="AL359" s="68">
        <v>1</v>
      </c>
      <c r="AM359" s="68"/>
      <c r="AN359" s="68"/>
      <c r="AO359" s="68"/>
      <c r="AQ359" s="68"/>
      <c r="AR359" s="68"/>
      <c r="AS359" s="68"/>
      <c r="AT359" s="68"/>
      <c r="AU359" s="68"/>
      <c r="AV359" s="68"/>
      <c r="AW359" s="68"/>
      <c r="AX359" s="68"/>
      <c r="AY359" s="68"/>
      <c r="AZ359" s="68"/>
      <c r="BB359" s="68"/>
      <c r="BC359" s="68"/>
      <c r="BJ359" s="68"/>
      <c r="BT359">
        <v>1</v>
      </c>
      <c r="BV359">
        <v>1</v>
      </c>
      <c r="BX359" s="68"/>
      <c r="BY359" s="68">
        <v>1</v>
      </c>
      <c r="BZ359" s="68" t="s">
        <v>1057</v>
      </c>
      <c r="CA359" s="68" t="s">
        <v>1057</v>
      </c>
      <c r="CB359" s="68" t="s">
        <v>1057</v>
      </c>
      <c r="CC359" s="68" t="e">
        <f t="shared" si="104"/>
        <v>#DIV/0!</v>
      </c>
      <c r="CD359" s="68" t="str">
        <f t="shared" si="105"/>
        <v>NA</v>
      </c>
    </row>
    <row r="360" spans="1:82" ht="15.75" customHeight="1" thickBot="1" x14ac:dyDescent="0.3">
      <c r="A360" s="9">
        <v>359</v>
      </c>
      <c r="B360" s="10" t="s">
        <v>373</v>
      </c>
      <c r="C360" s="10" t="s">
        <v>27</v>
      </c>
      <c r="D360" s="10" t="s">
        <v>19</v>
      </c>
      <c r="E360" s="51">
        <v>-128.20239802595199</v>
      </c>
      <c r="F360" s="51">
        <v>40.9</v>
      </c>
      <c r="G360" s="51">
        <v>40.9</v>
      </c>
      <c r="H360" s="51">
        <v>40.9</v>
      </c>
      <c r="I360" s="11">
        <v>0</v>
      </c>
      <c r="J360" s="51">
        <v>5.2784661649931897</v>
      </c>
      <c r="K360" s="249">
        <f>IFERROR(VLOOKUP(C360,Schedule!$T$3:$U$34,2,0),"FA")</f>
        <v>8</v>
      </c>
      <c r="L360" s="10" t="str">
        <f>D360&amp;COUNTIF(D$2:$D360,D360)</f>
        <v>RB96</v>
      </c>
      <c r="M360" s="51">
        <f t="array" ref="M360">IFERROR(F360-AVERAGE(VLOOKUP(D360,$D361:$F$885,3,0),INDEX($F361:$F$885,SMALL(IF(D360=$D361:$D$885,ROW($D361:$D$885)-ROW(D360)),2))),0)</f>
        <v>3.228302432419845</v>
      </c>
      <c r="N360" s="51">
        <f>IFERROR(IF(VLOOKUP($B360,Input!$AC$2:$AC$162,1,0)=$B360,0),F360)</f>
        <v>40.9</v>
      </c>
      <c r="O360" s="51">
        <f>IFERROR(IF(VLOOKUP($B360,Input!$AC$2:$AC$162,1,0)=$B360,0,G360),G360)</f>
        <v>40.9</v>
      </c>
      <c r="P360" s="51">
        <f>IF(N360=0,0,F360-AVERAGE(INDEX(F:F,MATCH(VLOOKUP(D360,Input!$A$14:$L$22,10,0),L:L,0)),INDEX(F:F,MATCH(VLOOKUP(D360,Input!$A$14:$L$22,11,0),L:L,0)),INDEX(F:F,MATCH(VLOOKUP(D360,Input!$A$14:$L$22,12,0),L:L,0)))+(0.01-ROW()*0.01))</f>
        <v>-131.792398025952</v>
      </c>
      <c r="Q360" s="107">
        <f t="shared" si="100"/>
        <v>-4.5467446987086248E-2</v>
      </c>
      <c r="R360" s="11">
        <f>IF(VLOOKUP($D360,$X$14:$Y$19,2,0)&lt;=0,1,IF(Q360&lt;0,1,ROUNDUP(IF(Q360*('Draft Center'!$L$28+'Draft Center'!$L$78-'Draft Center'!$L$82)&lt;1,1,Q360*('Draft Center'!$L$28+'Draft Center'!$L$78-'Draft Center'!$L$82)),0)))</f>
        <v>1</v>
      </c>
      <c r="S360" s="11">
        <f>IF(A360&lt;Input!$B$10+0.1,IF(ROUNDUP(R360*Input!$C$10,0)=0,1,ROUNDUP(R360*Input!$C$10,0)),IF(A360&gt;Input!$B$11,IF(ROUNDUP(R360*Input!$C$11,0)=0,1,ROUNDUP(R360*Input!$C$11,0)),IF(ROUNDUP(R360,0)=0,1,ROUNDUP(R360,0))))</f>
        <v>1</v>
      </c>
      <c r="T360" s="11">
        <f t="shared" si="101"/>
        <v>1</v>
      </c>
      <c r="U360" s="11">
        <f>IFERROR(VLOOKUP($B360,Input!$AC$2:$AE$161,3,0),0)</f>
        <v>0</v>
      </c>
      <c r="V360" s="257">
        <f t="shared" si="102"/>
        <v>0</v>
      </c>
      <c r="W360" s="264">
        <f t="shared" si="103"/>
        <v>1.0036</v>
      </c>
      <c r="X360" s="68"/>
      <c r="Y360" s="68"/>
      <c r="Z360" s="68"/>
      <c r="AA360" s="68"/>
      <c r="AB360" s="68"/>
      <c r="AC360" s="68"/>
      <c r="AD360" s="68"/>
      <c r="AE360" s="68"/>
      <c r="AF360" s="68"/>
      <c r="AG360" s="68"/>
      <c r="AH360" s="68"/>
      <c r="AI360" s="68"/>
      <c r="AJ360" s="68">
        <v>1</v>
      </c>
      <c r="AL360" s="68">
        <v>1</v>
      </c>
      <c r="AM360" s="68"/>
      <c r="AN360" s="68"/>
      <c r="AO360" s="68"/>
      <c r="AQ360" s="68"/>
      <c r="AR360" s="68"/>
      <c r="AS360" s="68"/>
      <c r="AT360" s="68"/>
      <c r="AU360" s="68"/>
      <c r="AV360" s="68"/>
      <c r="AW360" s="68"/>
      <c r="AX360" s="68"/>
      <c r="AY360" s="68"/>
      <c r="AZ360" s="68"/>
      <c r="BB360" s="68"/>
      <c r="BC360" s="68"/>
      <c r="BJ360" s="68"/>
      <c r="BT360">
        <v>1</v>
      </c>
      <c r="BV360">
        <v>1</v>
      </c>
      <c r="BX360" s="68"/>
      <c r="BY360" s="68">
        <v>1</v>
      </c>
      <c r="BZ360" s="68">
        <v>0</v>
      </c>
      <c r="CA360" s="68">
        <v>0</v>
      </c>
      <c r="CB360" s="68">
        <v>0</v>
      </c>
      <c r="CC360" s="68">
        <f t="shared" si="104"/>
        <v>0</v>
      </c>
      <c r="CD360" s="68">
        <f t="shared" si="105"/>
        <v>0</v>
      </c>
    </row>
    <row r="361" spans="1:82" ht="15.75" customHeight="1" thickBot="1" x14ac:dyDescent="0.3">
      <c r="A361" s="6">
        <v>360</v>
      </c>
      <c r="B361" s="7" t="s">
        <v>183</v>
      </c>
      <c r="C361" s="7" t="s">
        <v>311</v>
      </c>
      <c r="D361" s="7" t="s">
        <v>147</v>
      </c>
      <c r="E361" s="50">
        <v>-128.61522499011301</v>
      </c>
      <c r="F361" s="50">
        <v>2.7537634408602099</v>
      </c>
      <c r="G361" s="50">
        <v>4.8303488372093</v>
      </c>
      <c r="H361" s="50">
        <v>-1.5</v>
      </c>
      <c r="I361" s="8" t="s">
        <v>1057</v>
      </c>
      <c r="J361" s="50">
        <v>5.7539989799251101</v>
      </c>
      <c r="K361" s="248" t="str">
        <f>IFERROR(VLOOKUP(C361,Schedule!$T$3:$U$34,2,0),"FA")</f>
        <v>FA</v>
      </c>
      <c r="L361" s="7" t="str">
        <f>D361&amp;COUNTIF(D$2:$D361,D361)</f>
        <v>K38</v>
      </c>
      <c r="M361" s="50">
        <f t="array" ref="M361">IFERROR(F361-AVERAGE(VLOOKUP(D361,$D362:$F$885,3,0),INDEX($F362:$F$885,SMALL(IF(D361=$D362:$D$885,ROW($D362:$D$885)-ROW(D361)),2))),0)</f>
        <v>2.20376344086021</v>
      </c>
      <c r="N361" s="50">
        <f>IFERROR(IF(VLOOKUP($B361,Input!$AC$2:$AC$162,1,0)=$B361,0),F361)</f>
        <v>2.7537634408602099</v>
      </c>
      <c r="O361" s="50">
        <f>IFERROR(IF(VLOOKUP($B361,Input!$AC$2:$AC$162,1,0)=$B361,0,G361),G361)</f>
        <v>4.8303488372093</v>
      </c>
      <c r="P361" s="50">
        <f>IF(N361=0,0,F361-AVERAGE(INDEX(F:F,MATCH(VLOOKUP(D361,Input!$A$14:$L$22,10,0),L:L,0)),INDEX(F:F,MATCH(VLOOKUP(D361,Input!$A$14:$L$22,11,0),L:L,0)),INDEX(F:F,MATCH(VLOOKUP(D361,Input!$A$14:$L$22,12,0),L:L,0)))+(0.01-ROW()*0.01))</f>
        <v>-132.38921814126778</v>
      </c>
      <c r="Q361" s="106">
        <f t="shared" si="100"/>
        <v>-4.5673345713874748E-2</v>
      </c>
      <c r="R361" s="8">
        <f>IF(VLOOKUP($D361,$X$14:$Y$19,2,0)&lt;=0,1,IF(Q361&lt;0,1,ROUNDUP(IF(Q361*('Draft Center'!$L$28+'Draft Center'!$L$78-'Draft Center'!$L$82)&lt;1,1,Q361*('Draft Center'!$L$28+'Draft Center'!$L$78-'Draft Center'!$L$82)),0)))</f>
        <v>1</v>
      </c>
      <c r="S361" s="8">
        <f>IF(A361&lt;Input!$B$10+0.1,IF(ROUNDUP(R361*Input!$C$10,0)=0,1,ROUNDUP(R361*Input!$C$10,0)),IF(A361&gt;Input!$B$11,IF(ROUNDUP(R361*Input!$C$11,0)=0,1,ROUNDUP(R361*Input!$C$11,0)),IF(ROUNDUP(R361,0)=0,1,ROUNDUP(R361,0))))</f>
        <v>1</v>
      </c>
      <c r="T361" s="8">
        <f t="shared" si="101"/>
        <v>1</v>
      </c>
      <c r="U361" s="8">
        <f>IFERROR(VLOOKUP($B361,Input!$AC$2:$AE$161,3,0),0)</f>
        <v>0</v>
      </c>
      <c r="V361" s="256">
        <f t="shared" si="102"/>
        <v>0</v>
      </c>
      <c r="W361" s="263">
        <f t="shared" si="103"/>
        <v>0</v>
      </c>
      <c r="X361" s="68"/>
      <c r="Y361" s="68"/>
      <c r="Z361" s="68"/>
      <c r="AA361" s="68"/>
      <c r="AB361" s="68"/>
      <c r="AC361" s="68"/>
      <c r="AD361" s="68"/>
      <c r="AE361" s="68"/>
      <c r="AF361" s="68"/>
      <c r="AG361" s="68"/>
      <c r="AH361" s="68"/>
      <c r="AI361" s="68"/>
      <c r="AJ361" s="68">
        <v>1</v>
      </c>
      <c r="AL361" s="68">
        <v>1</v>
      </c>
      <c r="AM361" s="68"/>
      <c r="AN361" s="68"/>
      <c r="AO361" s="68"/>
      <c r="AQ361" s="68"/>
      <c r="AR361" s="68"/>
      <c r="AS361" s="68"/>
      <c r="AT361" s="68"/>
      <c r="AU361" s="68"/>
      <c r="AV361" s="68"/>
      <c r="AW361" s="68"/>
      <c r="AX361" s="68"/>
      <c r="AY361" s="68"/>
      <c r="AZ361" s="68"/>
      <c r="BB361" s="68"/>
      <c r="BC361" s="68"/>
      <c r="BJ361" s="68"/>
      <c r="BT361">
        <v>1</v>
      </c>
      <c r="BV361">
        <v>1</v>
      </c>
      <c r="BX361" s="68"/>
      <c r="BY361" s="68">
        <v>1</v>
      </c>
      <c r="BZ361" s="68" t="s">
        <v>1057</v>
      </c>
      <c r="CA361" s="68" t="s">
        <v>1057</v>
      </c>
      <c r="CB361" s="68" t="s">
        <v>1057</v>
      </c>
      <c r="CC361" s="68" t="e">
        <f t="shared" si="104"/>
        <v>#DIV/0!</v>
      </c>
      <c r="CD361" s="68" t="str">
        <f t="shared" si="105"/>
        <v>NA</v>
      </c>
    </row>
    <row r="362" spans="1:82" ht="15.75" customHeight="1" thickBot="1" x14ac:dyDescent="0.3">
      <c r="A362" s="9">
        <v>361</v>
      </c>
      <c r="B362" s="10" t="s">
        <v>302</v>
      </c>
      <c r="C362" s="10" t="s">
        <v>50</v>
      </c>
      <c r="D362" s="10" t="s">
        <v>17</v>
      </c>
      <c r="E362" s="51">
        <v>-128.78126836624301</v>
      </c>
      <c r="F362" s="51">
        <v>83.996647903105597</v>
      </c>
      <c r="G362" s="51">
        <v>120.55093071051201</v>
      </c>
      <c r="H362" s="51">
        <v>44.270427807172297</v>
      </c>
      <c r="I362" s="11">
        <v>0</v>
      </c>
      <c r="J362" s="51">
        <v>7.3518346723475698</v>
      </c>
      <c r="K362" s="249">
        <f>IFERROR(VLOOKUP(C362,Schedule!$T$3:$U$34,2,0),"FA")</f>
        <v>6</v>
      </c>
      <c r="L362" s="10" t="str">
        <f>D362&amp;COUNTIF(D$2:$D362,D362)</f>
        <v>WR94</v>
      </c>
      <c r="M362" s="51">
        <f t="array" ref="M362">IFERROR(F362-AVERAGE(VLOOKUP(D362,$D363:$F$885,3,0),INDEX($F363:$F$885,SMALL(IF(D362=$D363:$D$885,ROW($D363:$D$885)-ROW(D362)),2))),0)</f>
        <v>1.4147800819849436</v>
      </c>
      <c r="N362" s="51">
        <f>IFERROR(IF(VLOOKUP($B362,Input!$AC$2:$AC$162,1,0)=$B362,0),F362)</f>
        <v>83.996647903105597</v>
      </c>
      <c r="O362" s="51">
        <f>IFERROR(IF(VLOOKUP($B362,Input!$AC$2:$AC$162,1,0)=$B362,0,G362),G362)</f>
        <v>120.55093071051201</v>
      </c>
      <c r="P362" s="51">
        <f>IF(N362=0,0,F362-AVERAGE(INDEX(F:F,MATCH(VLOOKUP(D362,Input!$A$14:$L$22,10,0),L:L,0)),INDEX(F:F,MATCH(VLOOKUP(D362,Input!$A$14:$L$22,11,0),L:L,0)),INDEX(F:F,MATCH(VLOOKUP(D362,Input!$A$14:$L$22,12,0),L:L,0)))+(0.01-ROW()*0.01))</f>
        <v>-132.39126836624342</v>
      </c>
      <c r="Q362" s="107">
        <f t="shared" si="100"/>
        <v>-4.5674053027018664E-2</v>
      </c>
      <c r="R362" s="11">
        <f>IF(VLOOKUP($D362,$X$14:$Y$19,2,0)&lt;=0,1,IF(Q362&lt;0,1,ROUNDUP(IF(Q362*('Draft Center'!$L$28+'Draft Center'!$L$78-'Draft Center'!$L$82)&lt;1,1,Q362*('Draft Center'!$L$28+'Draft Center'!$L$78-'Draft Center'!$L$82)),0)))</f>
        <v>1</v>
      </c>
      <c r="S362" s="11">
        <f>IF(A362&lt;Input!$B$10+0.1,IF(ROUNDUP(R362*Input!$C$10,0)=0,1,ROUNDUP(R362*Input!$C$10,0)),IF(A362&gt;Input!$B$11,IF(ROUNDUP(R362*Input!$C$11,0)=0,1,ROUNDUP(R362*Input!$C$11,0)),IF(ROUNDUP(R362,0)=0,1,ROUNDUP(R362,0))))</f>
        <v>1</v>
      </c>
      <c r="T362" s="11">
        <f t="shared" si="101"/>
        <v>1</v>
      </c>
      <c r="U362" s="11">
        <f>IFERROR(VLOOKUP($B362,Input!$AC$2:$AE$161,3,0),0)</f>
        <v>0</v>
      </c>
      <c r="V362" s="257">
        <f t="shared" si="102"/>
        <v>0</v>
      </c>
      <c r="W362" s="264">
        <f t="shared" si="103"/>
        <v>1.00362</v>
      </c>
      <c r="X362" s="68"/>
      <c r="Y362" s="68"/>
      <c r="Z362" s="68"/>
      <c r="AA362" s="68"/>
      <c r="AB362" s="68"/>
      <c r="AC362" s="68"/>
      <c r="AD362" s="68"/>
      <c r="AE362" s="68"/>
      <c r="AF362" s="68"/>
      <c r="AG362" s="68"/>
      <c r="AH362" s="68"/>
      <c r="AI362" s="68"/>
      <c r="AJ362" s="68">
        <v>1</v>
      </c>
      <c r="AL362" s="68">
        <v>1</v>
      </c>
      <c r="AM362" s="68"/>
      <c r="AN362" s="68"/>
      <c r="AO362" s="68"/>
      <c r="AQ362" s="68"/>
      <c r="AR362" s="68"/>
      <c r="AS362" s="68"/>
      <c r="AT362" s="68"/>
      <c r="AU362" s="68"/>
      <c r="AV362" s="68"/>
      <c r="AW362" s="68"/>
      <c r="AX362" s="68"/>
      <c r="AY362" s="68"/>
      <c r="AZ362" s="68"/>
      <c r="BB362" s="68"/>
      <c r="BC362" s="68"/>
      <c r="BJ362" s="68"/>
      <c r="BT362">
        <v>1</v>
      </c>
      <c r="BV362">
        <v>1</v>
      </c>
      <c r="BX362" s="68"/>
      <c r="BY362" s="68">
        <v>1</v>
      </c>
      <c r="BZ362" s="68">
        <v>0</v>
      </c>
      <c r="CA362" s="68">
        <v>0</v>
      </c>
      <c r="CB362" s="68">
        <v>0</v>
      </c>
      <c r="CC362" s="68">
        <f t="shared" si="104"/>
        <v>0</v>
      </c>
      <c r="CD362" s="68">
        <f t="shared" si="105"/>
        <v>0</v>
      </c>
    </row>
    <row r="363" spans="1:82" ht="15.75" customHeight="1" thickBot="1" x14ac:dyDescent="0.3">
      <c r="A363" s="6">
        <v>362</v>
      </c>
      <c r="B363" s="7" t="s">
        <v>460</v>
      </c>
      <c r="C363" s="7" t="s">
        <v>45</v>
      </c>
      <c r="D363" s="7" t="s">
        <v>43</v>
      </c>
      <c r="E363" s="50">
        <v>-128.89122358632599</v>
      </c>
      <c r="F363" s="50">
        <v>24.569695765883601</v>
      </c>
      <c r="G363" s="50">
        <v>35.303596330275198</v>
      </c>
      <c r="H363" s="50">
        <v>12.785760971055099</v>
      </c>
      <c r="I363" s="8">
        <v>0</v>
      </c>
      <c r="J363" s="50">
        <v>8.1225003461300407</v>
      </c>
      <c r="K363" s="248">
        <f>IFERROR(VLOOKUP(C363,Schedule!$T$3:$U$34,2,0),"FA")</f>
        <v>6</v>
      </c>
      <c r="L363" s="7" t="str">
        <f>D363&amp;COUNTIF(D$2:$D363,D363)</f>
        <v>TE74</v>
      </c>
      <c r="M363" s="50">
        <f t="array" ref="M363">IFERROR(F363-AVERAGE(VLOOKUP(D363,$D364:$F$885,3,0),INDEX($F364:$F$885,SMALL(IF(D363=$D364:$D$885,ROW($D364:$D$885)-ROW(D363)),2))),0)</f>
        <v>1.6058364590726022</v>
      </c>
      <c r="N363" s="50">
        <f>IFERROR(IF(VLOOKUP($B363,Input!$AC$2:$AC$162,1,0)=$B363,0),F363)</f>
        <v>24.569695765883601</v>
      </c>
      <c r="O363" s="50">
        <f>IFERROR(IF(VLOOKUP($B363,Input!$AC$2:$AC$162,1,0)=$B363,0,G363),G363)</f>
        <v>35.303596330275198</v>
      </c>
      <c r="P363" s="50">
        <f>IF(N363=0,0,F363-AVERAGE(INDEX(F:F,MATCH(VLOOKUP(D363,Input!$A$14:$L$22,10,0),L:L,0)),INDEX(F:F,MATCH(VLOOKUP(D363,Input!$A$14:$L$22,11,0),L:L,0)),INDEX(F:F,MATCH(VLOOKUP(D363,Input!$A$14:$L$22,12,0),L:L,0)))+(0.01-ROW()*0.01))</f>
        <v>-132.51122358632571</v>
      </c>
      <c r="Q363" s="106">
        <f t="shared" si="100"/>
        <v>-4.5715436731174661E-2</v>
      </c>
      <c r="R363" s="8">
        <f>IF(VLOOKUP($D363,$X$14:$Y$19,2,0)&lt;=0,1,IF(Q363&lt;0,1,ROUNDUP(IF(Q363*('Draft Center'!$L$28+'Draft Center'!$L$78-'Draft Center'!$L$82)&lt;1,1,Q363*('Draft Center'!$L$28+'Draft Center'!$L$78-'Draft Center'!$L$82)),0)))</f>
        <v>1</v>
      </c>
      <c r="S363" s="8">
        <f>IF(A363&lt;Input!$B$10+0.1,IF(ROUNDUP(R363*Input!$C$10,0)=0,1,ROUNDUP(R363*Input!$C$10,0)),IF(A363&gt;Input!$B$11,IF(ROUNDUP(R363*Input!$C$11,0)=0,1,ROUNDUP(R363*Input!$C$11,0)),IF(ROUNDUP(R363,0)=0,1,ROUNDUP(R363,0))))</f>
        <v>1</v>
      </c>
      <c r="T363" s="8">
        <f t="shared" si="101"/>
        <v>1</v>
      </c>
      <c r="U363" s="8">
        <f>IFERROR(VLOOKUP($B363,Input!$AC$2:$AE$161,3,0),0)</f>
        <v>0</v>
      </c>
      <c r="V363" s="256">
        <f t="shared" si="102"/>
        <v>0</v>
      </c>
      <c r="W363" s="263">
        <f t="shared" si="103"/>
        <v>1.00363</v>
      </c>
      <c r="X363" s="68"/>
      <c r="Y363" s="68"/>
      <c r="Z363" s="68"/>
      <c r="AA363" s="68"/>
      <c r="AB363" s="68"/>
      <c r="AC363" s="68"/>
      <c r="AD363" s="68"/>
      <c r="AE363" s="68"/>
      <c r="AF363" s="68"/>
      <c r="AG363" s="68"/>
      <c r="AH363" s="68"/>
      <c r="AI363" s="68"/>
      <c r="AJ363" s="68">
        <v>1</v>
      </c>
      <c r="AL363" s="68">
        <v>1</v>
      </c>
      <c r="AM363" s="68"/>
      <c r="AN363" s="68"/>
      <c r="AO363" s="68"/>
      <c r="AQ363" s="68"/>
      <c r="AR363" s="68"/>
      <c r="AS363" s="68"/>
      <c r="AT363" s="68"/>
      <c r="AU363" s="68"/>
      <c r="AV363" s="68"/>
      <c r="AW363" s="68"/>
      <c r="AX363" s="68"/>
      <c r="AY363" s="68"/>
      <c r="AZ363" s="68"/>
      <c r="BB363" s="68"/>
      <c r="BC363" s="68"/>
      <c r="BJ363" s="68"/>
      <c r="BT363">
        <v>1</v>
      </c>
      <c r="BV363">
        <v>1</v>
      </c>
      <c r="BX363" s="68"/>
      <c r="BY363" s="68">
        <v>1</v>
      </c>
      <c r="BZ363" s="68">
        <v>0</v>
      </c>
      <c r="CA363" s="68">
        <v>0</v>
      </c>
      <c r="CB363" s="68">
        <v>0</v>
      </c>
      <c r="CC363" s="68">
        <f t="shared" si="104"/>
        <v>0</v>
      </c>
      <c r="CD363" s="68">
        <f t="shared" si="105"/>
        <v>0</v>
      </c>
    </row>
    <row r="364" spans="1:82" ht="15.75" customHeight="1" thickBot="1" x14ac:dyDescent="0.3">
      <c r="A364" s="9">
        <v>363</v>
      </c>
      <c r="B364" s="10" t="s">
        <v>957</v>
      </c>
      <c r="C364" s="10" t="s">
        <v>925</v>
      </c>
      <c r="D364" s="10" t="s">
        <v>17</v>
      </c>
      <c r="E364" s="51">
        <v>-129.950102437807</v>
      </c>
      <c r="F364" s="51">
        <v>82.827813831541704</v>
      </c>
      <c r="G364" s="51">
        <v>98.504809749618602</v>
      </c>
      <c r="H364" s="51">
        <v>35.148173130972502</v>
      </c>
      <c r="I364" s="11">
        <v>0</v>
      </c>
      <c r="J364" s="51">
        <v>6.7638680783194101</v>
      </c>
      <c r="K364" s="249">
        <f>IFERROR(VLOOKUP(C364,Schedule!$T$3:$U$34,2,0),"FA")</f>
        <v>8</v>
      </c>
      <c r="L364" s="10" t="str">
        <f>D364&amp;COUNTIF(D$2:$D364,D364)</f>
        <v>WR95</v>
      </c>
      <c r="M364" s="51">
        <f t="array" ref="M364">IFERROR(F364-AVERAGE(VLOOKUP(D364,$D365:$F$885,3,0),INDEX($F365:$F$885,SMALL(IF(D364=$D365:$D$885,ROW($D365:$D$885)-ROW(D364)),2))),0)</f>
        <v>0.84575253999145161</v>
      </c>
      <c r="N364" s="51">
        <f>IFERROR(IF(VLOOKUP($B364,Input!$AC$2:$AC$162,1,0)=$B364,0),F364)</f>
        <v>82.827813831541704</v>
      </c>
      <c r="O364" s="51">
        <f>IFERROR(IF(VLOOKUP($B364,Input!$AC$2:$AC$162,1,0)=$B364,0,G364),G364)</f>
        <v>98.504809749618602</v>
      </c>
      <c r="P364" s="51">
        <f>IF(N364=0,0,F364-AVERAGE(INDEX(F:F,MATCH(VLOOKUP(D364,Input!$A$14:$L$22,10,0),L:L,0)),INDEX(F:F,MATCH(VLOOKUP(D364,Input!$A$14:$L$22,11,0),L:L,0)),INDEX(F:F,MATCH(VLOOKUP(D364,Input!$A$14:$L$22,12,0),L:L,0)))+(0.01-ROW()*0.01))</f>
        <v>-133.58010243780731</v>
      </c>
      <c r="Q364" s="107">
        <f t="shared" si="100"/>
        <v>-4.6084192389644334E-2</v>
      </c>
      <c r="R364" s="11">
        <f>IF(VLOOKUP($D364,$X$14:$Y$19,2,0)&lt;=0,1,IF(Q364&lt;0,1,ROUNDUP(IF(Q364*('Draft Center'!$L$28+'Draft Center'!$L$78-'Draft Center'!$L$82)&lt;1,1,Q364*('Draft Center'!$L$28+'Draft Center'!$L$78-'Draft Center'!$L$82)),0)))</f>
        <v>1</v>
      </c>
      <c r="S364" s="11">
        <f>IF(A364&lt;Input!$B$10+0.1,IF(ROUNDUP(R364*Input!$C$10,0)=0,1,ROUNDUP(R364*Input!$C$10,0)),IF(A364&gt;Input!$B$11,IF(ROUNDUP(R364*Input!$C$11,0)=0,1,ROUNDUP(R364*Input!$C$11,0)),IF(ROUNDUP(R364,0)=0,1,ROUNDUP(R364,0))))</f>
        <v>1</v>
      </c>
      <c r="T364" s="11">
        <f t="shared" si="101"/>
        <v>1</v>
      </c>
      <c r="U364" s="11">
        <f>IFERROR(VLOOKUP($B364,Input!$AC$2:$AE$161,3,0),0)</f>
        <v>0</v>
      </c>
      <c r="V364" s="257">
        <f t="shared" si="102"/>
        <v>0</v>
      </c>
      <c r="W364" s="264">
        <f t="shared" si="103"/>
        <v>1.0036400000000001</v>
      </c>
      <c r="X364" s="68"/>
      <c r="Y364" s="68"/>
      <c r="Z364" s="68"/>
      <c r="AA364" s="68"/>
      <c r="AB364" s="68"/>
      <c r="AC364" s="68"/>
      <c r="AD364" s="68"/>
      <c r="AE364" s="68"/>
      <c r="AF364" s="68"/>
      <c r="AG364" s="68"/>
      <c r="AH364" s="68"/>
      <c r="AI364" s="68"/>
      <c r="AJ364" s="68">
        <v>1</v>
      </c>
      <c r="AL364" s="68">
        <v>1</v>
      </c>
      <c r="AM364" s="68"/>
      <c r="AN364" s="68"/>
      <c r="AO364" s="68"/>
      <c r="AQ364" s="68"/>
      <c r="AR364" s="68"/>
      <c r="AS364" s="68"/>
      <c r="AT364" s="68"/>
      <c r="AU364" s="68"/>
      <c r="AV364" s="68"/>
      <c r="AW364" s="68"/>
      <c r="AX364" s="68"/>
      <c r="AY364" s="68"/>
      <c r="AZ364" s="68"/>
      <c r="BB364" s="68"/>
      <c r="BC364" s="68"/>
      <c r="BJ364" s="68"/>
      <c r="BT364">
        <v>1</v>
      </c>
      <c r="BV364">
        <v>1</v>
      </c>
      <c r="BX364" s="68"/>
      <c r="BY364" s="68">
        <v>1</v>
      </c>
      <c r="BZ364" s="68">
        <v>0</v>
      </c>
      <c r="CA364" s="68">
        <v>0</v>
      </c>
      <c r="CB364" s="68">
        <v>0</v>
      </c>
      <c r="CC364" s="68">
        <f t="shared" si="104"/>
        <v>0</v>
      </c>
      <c r="CD364" s="68">
        <f t="shared" si="105"/>
        <v>0</v>
      </c>
    </row>
    <row r="365" spans="1:82" ht="15.75" customHeight="1" thickBot="1" x14ac:dyDescent="0.3">
      <c r="A365" s="6">
        <v>364</v>
      </c>
      <c r="B365" s="7" t="s">
        <v>264</v>
      </c>
      <c r="C365" s="7" t="s">
        <v>311</v>
      </c>
      <c r="D365" s="7" t="s">
        <v>43</v>
      </c>
      <c r="E365" s="50">
        <v>-129.98751132233099</v>
      </c>
      <c r="F365" s="50">
        <v>23.473408029878598</v>
      </c>
      <c r="G365" s="50">
        <v>38.223914373088697</v>
      </c>
      <c r="H365" s="50">
        <v>0</v>
      </c>
      <c r="I365" s="8" t="s">
        <v>1057</v>
      </c>
      <c r="J365" s="50" t="s">
        <v>1057</v>
      </c>
      <c r="K365" s="248" t="str">
        <f>IFERROR(VLOOKUP(C365,Schedule!$T$3:$U$34,2,0),"FA")</f>
        <v>FA</v>
      </c>
      <c r="L365" s="7" t="str">
        <f>D365&amp;COUNTIF(D$2:$D365,D365)</f>
        <v>TE75</v>
      </c>
      <c r="M365" s="50">
        <f t="array" ref="M365">IFERROR(F365-AVERAGE(VLOOKUP(D365,$D366:$F$885,3,0),INDEX($F366:$F$885,SMALL(IF(D365=$D366:$D$885,ROW($D366:$D$885)-ROW(D365)),2))),0)</f>
        <v>1.3070254208470473</v>
      </c>
      <c r="N365" s="50">
        <f>IFERROR(IF(VLOOKUP($B365,Input!$AC$2:$AC$162,1,0)=$B365,0),F365)</f>
        <v>23.473408029878598</v>
      </c>
      <c r="O365" s="50">
        <f>IFERROR(IF(VLOOKUP($B365,Input!$AC$2:$AC$162,1,0)=$B365,0,G365),G365)</f>
        <v>38.223914373088697</v>
      </c>
      <c r="P365" s="50">
        <f>IF(N365=0,0,F365-AVERAGE(INDEX(F:F,MATCH(VLOOKUP(D365,Input!$A$14:$L$22,10,0),L:L,0)),INDEX(F:F,MATCH(VLOOKUP(D365,Input!$A$14:$L$22,11,0),L:L,0)),INDEX(F:F,MATCH(VLOOKUP(D365,Input!$A$14:$L$22,12,0),L:L,0)))+(0.01-ROW()*0.01))</f>
        <v>-133.62751132233069</v>
      </c>
      <c r="Q365" s="106">
        <f t="shared" si="100"/>
        <v>-4.6100548120142228E-2</v>
      </c>
      <c r="R365" s="8">
        <f>IF(VLOOKUP($D365,$X$14:$Y$19,2,0)&lt;=0,1,IF(Q365&lt;0,1,ROUNDUP(IF(Q365*('Draft Center'!$L$28+'Draft Center'!$L$78-'Draft Center'!$L$82)&lt;1,1,Q365*('Draft Center'!$L$28+'Draft Center'!$L$78-'Draft Center'!$L$82)),0)))</f>
        <v>1</v>
      </c>
      <c r="S365" s="8">
        <f>IF(A365&lt;Input!$B$10+0.1,IF(ROUNDUP(R365*Input!$C$10,0)=0,1,ROUNDUP(R365*Input!$C$10,0)),IF(A365&gt;Input!$B$11,IF(ROUNDUP(R365*Input!$C$11,0)=0,1,ROUNDUP(R365*Input!$C$11,0)),IF(ROUNDUP(R365,0)=0,1,ROUNDUP(R365,0))))</f>
        <v>1</v>
      </c>
      <c r="T365" s="8">
        <f t="shared" si="101"/>
        <v>1</v>
      </c>
      <c r="U365" s="8">
        <f>IFERROR(VLOOKUP($B365,Input!$AC$2:$AE$161,3,0),0)</f>
        <v>0</v>
      </c>
      <c r="V365" s="256">
        <f t="shared" si="102"/>
        <v>0</v>
      </c>
      <c r="W365" s="263">
        <f t="shared" si="103"/>
        <v>0</v>
      </c>
      <c r="X365" s="68"/>
      <c r="Y365" s="68"/>
      <c r="Z365" s="68"/>
      <c r="AA365" s="68"/>
      <c r="AB365" s="68"/>
      <c r="AC365" s="68"/>
      <c r="AD365" s="68"/>
      <c r="AE365" s="68"/>
      <c r="AF365" s="68"/>
      <c r="AG365" s="68"/>
      <c r="AH365" s="68"/>
      <c r="AI365" s="68"/>
      <c r="AJ365" s="68">
        <v>1</v>
      </c>
      <c r="AL365" s="68">
        <v>1</v>
      </c>
      <c r="AM365" s="68"/>
      <c r="AN365" s="68"/>
      <c r="AO365" s="68"/>
      <c r="AQ365" s="68"/>
      <c r="AR365" s="68"/>
      <c r="AS365" s="68"/>
      <c r="AT365" s="68"/>
      <c r="AU365" s="68"/>
      <c r="AV365" s="68"/>
      <c r="AW365" s="68"/>
      <c r="AX365" s="68"/>
      <c r="AY365" s="68"/>
      <c r="AZ365" s="68"/>
      <c r="BB365" s="68"/>
      <c r="BC365" s="68"/>
      <c r="BJ365" s="68"/>
      <c r="BT365">
        <v>1</v>
      </c>
      <c r="BV365">
        <v>1</v>
      </c>
      <c r="BX365" s="68"/>
      <c r="BY365" s="68">
        <v>1</v>
      </c>
      <c r="BZ365" s="68" t="s">
        <v>1057</v>
      </c>
      <c r="CA365" s="68" t="s">
        <v>1057</v>
      </c>
      <c r="CB365" s="68" t="s">
        <v>1057</v>
      </c>
      <c r="CC365" s="68" t="e">
        <f t="shared" si="104"/>
        <v>#DIV/0!</v>
      </c>
      <c r="CD365" s="68" t="str">
        <f t="shared" si="105"/>
        <v>NA</v>
      </c>
    </row>
    <row r="366" spans="1:82" ht="15.75" customHeight="1" thickBot="1" x14ac:dyDescent="0.3">
      <c r="A366" s="9">
        <v>365</v>
      </c>
      <c r="B366" s="10" t="s">
        <v>237</v>
      </c>
      <c r="C366" s="10" t="s">
        <v>143</v>
      </c>
      <c r="D366" s="10" t="s">
        <v>147</v>
      </c>
      <c r="E366" s="51">
        <v>-130.268988430973</v>
      </c>
      <c r="F366" s="51">
        <v>1.1000000000000001</v>
      </c>
      <c r="G366" s="51">
        <v>1.1000000000000001</v>
      </c>
      <c r="H366" s="51">
        <v>1.1000000000000001</v>
      </c>
      <c r="I366" s="11">
        <v>0</v>
      </c>
      <c r="J366" s="51" t="s">
        <v>1057</v>
      </c>
      <c r="K366" s="249">
        <f>IFERROR(VLOOKUP(C366,Schedule!$T$3:$U$34,2,0),"FA")</f>
        <v>9</v>
      </c>
      <c r="L366" s="10" t="str">
        <f>D366&amp;COUNTIF(D$2:$D366,D366)</f>
        <v>K39</v>
      </c>
      <c r="M366" s="51">
        <f t="array" ref="M366">IFERROR(F366-AVERAGE(VLOOKUP(D366,$D367:$F$885,3,0),INDEX($F367:$F$885,SMALL(IF(D366=$D367:$D$885,ROW($D367:$D$885)-ROW(D366)),2))),0)</f>
        <v>1.1000000000000001</v>
      </c>
      <c r="N366" s="51">
        <f>IFERROR(IF(VLOOKUP($B366,Input!$AC$2:$AC$162,1,0)=$B366,0),F366)</f>
        <v>1.1000000000000001</v>
      </c>
      <c r="O366" s="51">
        <f>IFERROR(IF(VLOOKUP($B366,Input!$AC$2:$AC$162,1,0)=$B366,0,G366),G366)</f>
        <v>1.1000000000000001</v>
      </c>
      <c r="P366" s="51">
        <f>IF(N366=0,0,F366-AVERAGE(INDEX(F:F,MATCH(VLOOKUP(D366,Input!$A$14:$L$22,10,0),L:L,0)),INDEX(F:F,MATCH(VLOOKUP(D366,Input!$A$14:$L$22,11,0),L:L,0)),INDEX(F:F,MATCH(VLOOKUP(D366,Input!$A$14:$L$22,12,0),L:L,0)))+(0.01-ROW()*0.01))</f>
        <v>-134.092981582128</v>
      </c>
      <c r="Q366" s="107">
        <f t="shared" si="100"/>
        <v>-4.6261132073984787E-2</v>
      </c>
      <c r="R366" s="11">
        <f>IF(VLOOKUP($D366,$X$14:$Y$19,2,0)&lt;=0,1,IF(Q366&lt;0,1,ROUNDUP(IF(Q366*('Draft Center'!$L$28+'Draft Center'!$L$78-'Draft Center'!$L$82)&lt;1,1,Q366*('Draft Center'!$L$28+'Draft Center'!$L$78-'Draft Center'!$L$82)),0)))</f>
        <v>1</v>
      </c>
      <c r="S366" s="11">
        <f>IF(A366&lt;Input!$B$10+0.1,IF(ROUNDUP(R366*Input!$C$10,0)=0,1,ROUNDUP(R366*Input!$C$10,0)),IF(A366&gt;Input!$B$11,IF(ROUNDUP(R366*Input!$C$11,0)=0,1,ROUNDUP(R366*Input!$C$11,0)),IF(ROUNDUP(R366,0)=0,1,ROUNDUP(R366,0))))</f>
        <v>1</v>
      </c>
      <c r="T366" s="11">
        <f t="shared" si="101"/>
        <v>1</v>
      </c>
      <c r="U366" s="11">
        <f>IFERROR(VLOOKUP($B366,Input!$AC$2:$AE$161,3,0),0)</f>
        <v>0</v>
      </c>
      <c r="V366" s="257">
        <f t="shared" si="102"/>
        <v>0</v>
      </c>
      <c r="W366" s="264">
        <f t="shared" si="103"/>
        <v>1.00366</v>
      </c>
      <c r="X366" s="68"/>
      <c r="Y366" s="68"/>
      <c r="Z366" s="68"/>
      <c r="AA366" s="68"/>
      <c r="AB366" s="68"/>
      <c r="AC366" s="68"/>
      <c r="AD366" s="68"/>
      <c r="AE366" s="68"/>
      <c r="AF366" s="68"/>
      <c r="AG366" s="68"/>
      <c r="AH366" s="68"/>
      <c r="AI366" s="68"/>
      <c r="AJ366" s="68">
        <v>1</v>
      </c>
      <c r="AL366" s="68">
        <v>1</v>
      </c>
      <c r="AM366" s="68"/>
      <c r="AN366" s="68"/>
      <c r="AO366" s="68"/>
      <c r="AQ366" s="68"/>
      <c r="AR366" s="68"/>
      <c r="AS366" s="68"/>
      <c r="AT366" s="68"/>
      <c r="AU366" s="68"/>
      <c r="AV366" s="68"/>
      <c r="AW366" s="68"/>
      <c r="AX366" s="68"/>
      <c r="AY366" s="68"/>
      <c r="AZ366" s="68"/>
      <c r="BB366" s="68"/>
      <c r="BC366" s="68"/>
      <c r="BJ366" s="68"/>
      <c r="BT366">
        <v>1</v>
      </c>
      <c r="BV366">
        <v>1</v>
      </c>
      <c r="BX366" s="68"/>
      <c r="BY366" s="68">
        <v>1</v>
      </c>
      <c r="BZ366" s="68">
        <v>0</v>
      </c>
      <c r="CA366" s="68">
        <v>0</v>
      </c>
      <c r="CB366" s="68">
        <v>0</v>
      </c>
      <c r="CC366" s="68">
        <f t="shared" si="104"/>
        <v>0</v>
      </c>
      <c r="CD366" s="68">
        <f t="shared" si="105"/>
        <v>0</v>
      </c>
    </row>
    <row r="367" spans="1:82" ht="15.75" customHeight="1" thickBot="1" x14ac:dyDescent="0.3">
      <c r="A367" s="6">
        <v>366</v>
      </c>
      <c r="B367" s="7" t="s">
        <v>384</v>
      </c>
      <c r="C367" s="7" t="s">
        <v>311</v>
      </c>
      <c r="D367" s="7" t="s">
        <v>17</v>
      </c>
      <c r="E367" s="50">
        <v>-130.44199445864999</v>
      </c>
      <c r="F367" s="50">
        <v>82.335921810699602</v>
      </c>
      <c r="G367" s="50">
        <v>92.747471750000003</v>
      </c>
      <c r="H367" s="50">
        <v>61.103000000000002</v>
      </c>
      <c r="I367" s="8" t="s">
        <v>1057</v>
      </c>
      <c r="J367" s="50">
        <v>6.90475195354432</v>
      </c>
      <c r="K367" s="248" t="str">
        <f>IFERROR(VLOOKUP(C367,Schedule!$T$3:$U$34,2,0),"FA")</f>
        <v>FA</v>
      </c>
      <c r="L367" s="7" t="str">
        <f>D367&amp;COUNTIF(D$2:$D367,D367)</f>
        <v>WR96</v>
      </c>
      <c r="M367" s="50">
        <f t="array" ref="M367">IFERROR(F367-AVERAGE(VLOOKUP(D367,$D368:$F$885,3,0),INDEX($F368:$F$885,SMALL(IF(D367=$D368:$D$885,ROW($D368:$D$885)-ROW(D367)),2))),0)</f>
        <v>1.3828970539054524</v>
      </c>
      <c r="N367" s="50">
        <f>IFERROR(IF(VLOOKUP($B367,Input!$AC$2:$AC$162,1,0)=$B367,0),F367)</f>
        <v>82.335921810699602</v>
      </c>
      <c r="O367" s="50">
        <f>IFERROR(IF(VLOOKUP($B367,Input!$AC$2:$AC$162,1,0)=$B367,0,G367),G367)</f>
        <v>92.747471750000003</v>
      </c>
      <c r="P367" s="50">
        <f>IF(N367=0,0,F367-AVERAGE(INDEX(F:F,MATCH(VLOOKUP(D367,Input!$A$14:$L$22,10,0),L:L,0)),INDEX(F:F,MATCH(VLOOKUP(D367,Input!$A$14:$L$22,11,0),L:L,0)),INDEX(F:F,MATCH(VLOOKUP(D367,Input!$A$14:$L$22,12,0),L:L,0)))+(0.01-ROW()*0.01))</f>
        <v>-134.10199445864941</v>
      </c>
      <c r="Q367" s="106">
        <f t="shared" si="100"/>
        <v>-4.6264241452762145E-2</v>
      </c>
      <c r="R367" s="8">
        <f>IF(VLOOKUP($D367,$X$14:$Y$19,2,0)&lt;=0,1,IF(Q367&lt;0,1,ROUNDUP(IF(Q367*('Draft Center'!$L$28+'Draft Center'!$L$78-'Draft Center'!$L$82)&lt;1,1,Q367*('Draft Center'!$L$28+'Draft Center'!$L$78-'Draft Center'!$L$82)),0)))</f>
        <v>1</v>
      </c>
      <c r="S367" s="8">
        <f>IF(A367&lt;Input!$B$10+0.1,IF(ROUNDUP(R367*Input!$C$10,0)=0,1,ROUNDUP(R367*Input!$C$10,0)),IF(A367&gt;Input!$B$11,IF(ROUNDUP(R367*Input!$C$11,0)=0,1,ROUNDUP(R367*Input!$C$11,0)),IF(ROUNDUP(R367,0)=0,1,ROUNDUP(R367,0))))</f>
        <v>1</v>
      </c>
      <c r="T367" s="8">
        <f t="shared" si="101"/>
        <v>1</v>
      </c>
      <c r="U367" s="8">
        <f>IFERROR(VLOOKUP($B367,Input!$AC$2:$AE$161,3,0),0)</f>
        <v>0</v>
      </c>
      <c r="V367" s="256">
        <f t="shared" si="102"/>
        <v>0</v>
      </c>
      <c r="W367" s="263">
        <f t="shared" si="103"/>
        <v>0</v>
      </c>
      <c r="X367" s="68"/>
      <c r="Y367" s="68"/>
      <c r="Z367" s="68"/>
      <c r="AA367" s="68"/>
      <c r="AB367" s="68"/>
      <c r="AC367" s="68"/>
      <c r="AD367" s="68"/>
      <c r="AE367" s="68"/>
      <c r="AF367" s="68"/>
      <c r="AG367" s="68"/>
      <c r="AH367" s="68"/>
      <c r="AI367" s="68"/>
      <c r="AJ367" s="68">
        <v>1</v>
      </c>
      <c r="AL367" s="68">
        <v>1</v>
      </c>
      <c r="AM367" s="68"/>
      <c r="AN367" s="68"/>
      <c r="AO367" s="68"/>
      <c r="AQ367" s="68"/>
      <c r="AR367" s="68"/>
      <c r="AS367" s="68"/>
      <c r="AT367" s="68"/>
      <c r="AU367" s="68"/>
      <c r="AV367" s="68"/>
      <c r="AW367" s="68"/>
      <c r="AX367" s="68"/>
      <c r="AY367" s="68"/>
      <c r="AZ367" s="68"/>
      <c r="BB367" s="68"/>
      <c r="BC367" s="68"/>
      <c r="BJ367" s="68"/>
      <c r="BT367">
        <v>1</v>
      </c>
      <c r="BV367">
        <v>1</v>
      </c>
      <c r="BX367" s="68"/>
      <c r="BY367" s="68">
        <v>1</v>
      </c>
      <c r="BZ367" s="68" t="s">
        <v>1057</v>
      </c>
      <c r="CA367" s="68" t="s">
        <v>1057</v>
      </c>
      <c r="CB367" s="68" t="s">
        <v>1057</v>
      </c>
      <c r="CC367" s="68" t="e">
        <f t="shared" si="104"/>
        <v>#DIV/0!</v>
      </c>
      <c r="CD367" s="68" t="str">
        <f t="shared" si="105"/>
        <v>NA</v>
      </c>
    </row>
    <row r="368" spans="1:82" ht="15.75" customHeight="1" thickBot="1" x14ac:dyDescent="0.3">
      <c r="A368" s="9">
        <v>367</v>
      </c>
      <c r="B368" s="10" t="s">
        <v>956</v>
      </c>
      <c r="C368" s="10" t="s">
        <v>27</v>
      </c>
      <c r="D368" s="10" t="s">
        <v>19</v>
      </c>
      <c r="E368" s="51">
        <v>-130.611461907185</v>
      </c>
      <c r="F368" s="51">
        <v>38.490936118766903</v>
      </c>
      <c r="G368" s="51">
        <v>56.672817456734698</v>
      </c>
      <c r="H368" s="51">
        <v>18.22</v>
      </c>
      <c r="I368" s="11">
        <v>0</v>
      </c>
      <c r="J368" s="51">
        <v>5.3644749727737597</v>
      </c>
      <c r="K368" s="249">
        <f>IFERROR(VLOOKUP(C368,Schedule!$T$3:$U$34,2,0),"FA")</f>
        <v>8</v>
      </c>
      <c r="L368" s="10" t="str">
        <f>D368&amp;COUNTIF(D$2:$D368,D368)</f>
        <v>RB97</v>
      </c>
      <c r="M368" s="51">
        <f t="array" ref="M368">IFERROR(F368-AVERAGE(VLOOKUP(D368,$D369:$F$885,3,0),INDEX($F369:$F$885,SMALL(IF(D368=$D369:$D$885,ROW($D369:$D$885)-ROW(D368)),2))),0)</f>
        <v>1.6882206395151016</v>
      </c>
      <c r="N368" s="51">
        <f>IFERROR(IF(VLOOKUP($B368,Input!$AC$2:$AC$162,1,0)=$B368,0),F368)</f>
        <v>38.490936118766903</v>
      </c>
      <c r="O368" s="51">
        <f>IFERROR(IF(VLOOKUP($B368,Input!$AC$2:$AC$162,1,0)=$B368,0,G368),G368)</f>
        <v>56.672817456734698</v>
      </c>
      <c r="P368" s="51">
        <f>IF(N368=0,0,F368-AVERAGE(INDEX(F:F,MATCH(VLOOKUP(D368,Input!$A$14:$L$22,10,0),L:L,0)),INDEX(F:F,MATCH(VLOOKUP(D368,Input!$A$14:$L$22,11,0),L:L,0)),INDEX(F:F,MATCH(VLOOKUP(D368,Input!$A$14:$L$22,12,0),L:L,0)))+(0.01-ROW()*0.01))</f>
        <v>-134.28146190718508</v>
      </c>
      <c r="Q368" s="107">
        <f t="shared" si="100"/>
        <v>-4.6326156455633524E-2</v>
      </c>
      <c r="R368" s="11">
        <f>IF(VLOOKUP($D368,$X$14:$Y$19,2,0)&lt;=0,1,IF(Q368&lt;0,1,ROUNDUP(IF(Q368*('Draft Center'!$L$28+'Draft Center'!$L$78-'Draft Center'!$L$82)&lt;1,1,Q368*('Draft Center'!$L$28+'Draft Center'!$L$78-'Draft Center'!$L$82)),0)))</f>
        <v>1</v>
      </c>
      <c r="S368" s="11">
        <f>IF(A368&lt;Input!$B$10+0.1,IF(ROUNDUP(R368*Input!$C$10,0)=0,1,ROUNDUP(R368*Input!$C$10,0)),IF(A368&gt;Input!$B$11,IF(ROUNDUP(R368*Input!$C$11,0)=0,1,ROUNDUP(R368*Input!$C$11,0)),IF(ROUNDUP(R368,0)=0,1,ROUNDUP(R368,0))))</f>
        <v>1</v>
      </c>
      <c r="T368" s="11">
        <f t="shared" si="101"/>
        <v>1</v>
      </c>
      <c r="U368" s="11">
        <f>IFERROR(VLOOKUP($B368,Input!$AC$2:$AE$161,3,0),0)</f>
        <v>0</v>
      </c>
      <c r="V368" s="257">
        <f t="shared" si="102"/>
        <v>0</v>
      </c>
      <c r="W368" s="264">
        <f t="shared" si="103"/>
        <v>1.0036799999999999</v>
      </c>
      <c r="X368" s="68"/>
      <c r="Y368" s="68"/>
      <c r="Z368" s="68"/>
      <c r="AA368" s="68"/>
      <c r="AB368" s="68"/>
      <c r="AC368" s="68"/>
      <c r="AD368" s="68"/>
      <c r="AE368" s="68"/>
      <c r="AF368" s="68"/>
      <c r="AG368" s="68"/>
      <c r="AH368" s="68"/>
      <c r="AI368" s="68"/>
      <c r="AJ368" s="68">
        <v>1</v>
      </c>
      <c r="AL368" s="68">
        <v>1</v>
      </c>
      <c r="AM368" s="68"/>
      <c r="AN368" s="68"/>
      <c r="AO368" s="68"/>
      <c r="AQ368" s="68"/>
      <c r="AR368" s="68"/>
      <c r="AS368" s="68"/>
      <c r="AT368" s="68"/>
      <c r="AU368" s="68"/>
      <c r="AV368" s="68"/>
      <c r="AW368" s="68"/>
      <c r="AX368" s="68"/>
      <c r="AY368" s="68"/>
      <c r="AZ368" s="68"/>
      <c r="BB368" s="68"/>
      <c r="BC368" s="68"/>
      <c r="BJ368" s="68"/>
      <c r="BT368">
        <v>1</v>
      </c>
      <c r="BV368">
        <v>1</v>
      </c>
      <c r="BX368" s="68"/>
      <c r="BY368" s="68">
        <v>1</v>
      </c>
      <c r="BZ368" s="68">
        <v>0</v>
      </c>
      <c r="CA368" s="68">
        <v>0</v>
      </c>
      <c r="CB368" s="68">
        <v>0</v>
      </c>
      <c r="CC368" s="68">
        <f t="shared" si="104"/>
        <v>0</v>
      </c>
      <c r="CD368" s="68">
        <f t="shared" si="105"/>
        <v>0</v>
      </c>
    </row>
    <row r="369" spans="1:82" ht="15.75" customHeight="1" thickBot="1" x14ac:dyDescent="0.3">
      <c r="A369" s="6">
        <v>368</v>
      </c>
      <c r="B369" s="7" t="s">
        <v>354</v>
      </c>
      <c r="C369" s="7" t="s">
        <v>45</v>
      </c>
      <c r="D369" s="7" t="s">
        <v>43</v>
      </c>
      <c r="E369" s="50">
        <v>-131.00660876846601</v>
      </c>
      <c r="F369" s="50">
        <v>22.4543105837434</v>
      </c>
      <c r="G369" s="50">
        <v>36.100187428335403</v>
      </c>
      <c r="H369" s="50">
        <v>4.0686135214579702</v>
      </c>
      <c r="I369" s="8">
        <v>0</v>
      </c>
      <c r="J369" s="50">
        <v>6.1144490252350696</v>
      </c>
      <c r="K369" s="248">
        <f>IFERROR(VLOOKUP(C369,Schedule!$T$3:$U$34,2,0),"FA")</f>
        <v>6</v>
      </c>
      <c r="L369" s="7" t="str">
        <f>D369&amp;COUNTIF(D$2:$D369,D369)</f>
        <v>TE76</v>
      </c>
      <c r="M369" s="50">
        <f t="array" ref="M369">IFERROR(F369-AVERAGE(VLOOKUP(D369,$D370:$F$885,3,0),INDEX($F370:$F$885,SMALL(IF(D369=$D370:$D$885,ROW($D370:$D$885)-ROW(D369)),2))),0)</f>
        <v>0.79017491887060132</v>
      </c>
      <c r="N369" s="50">
        <f>IFERROR(IF(VLOOKUP($B369,Input!$AC$2:$AC$162,1,0)=$B369,0),F369)</f>
        <v>22.4543105837434</v>
      </c>
      <c r="O369" s="50">
        <f>IFERROR(IF(VLOOKUP($B369,Input!$AC$2:$AC$162,1,0)=$B369,0,G369),G369)</f>
        <v>36.100187428335403</v>
      </c>
      <c r="P369" s="50">
        <f>IF(N369=0,0,F369-AVERAGE(INDEX(F:F,MATCH(VLOOKUP(D369,Input!$A$14:$L$22,10,0),L:L,0)),INDEX(F:F,MATCH(VLOOKUP(D369,Input!$A$14:$L$22,11,0),L:L,0)),INDEX(F:F,MATCH(VLOOKUP(D369,Input!$A$14:$L$22,12,0),L:L,0)))+(0.01-ROW()*0.01))</f>
        <v>-134.68660876846593</v>
      </c>
      <c r="Q369" s="106">
        <f t="shared" si="100"/>
        <v>-4.6465929262815044E-2</v>
      </c>
      <c r="R369" s="8">
        <f>IF(VLOOKUP($D369,$X$14:$Y$19,2,0)&lt;=0,1,IF(Q369&lt;0,1,ROUNDUP(IF(Q369*('Draft Center'!$L$28+'Draft Center'!$L$78-'Draft Center'!$L$82)&lt;1,1,Q369*('Draft Center'!$L$28+'Draft Center'!$L$78-'Draft Center'!$L$82)),0)))</f>
        <v>1</v>
      </c>
      <c r="S369" s="8">
        <f>IF(A369&lt;Input!$B$10+0.1,IF(ROUNDUP(R369*Input!$C$10,0)=0,1,ROUNDUP(R369*Input!$C$10,0)),IF(A369&gt;Input!$B$11,IF(ROUNDUP(R369*Input!$C$11,0)=0,1,ROUNDUP(R369*Input!$C$11,0)),IF(ROUNDUP(R369,0)=0,1,ROUNDUP(R369,0))))</f>
        <v>1</v>
      </c>
      <c r="T369" s="8">
        <f t="shared" si="101"/>
        <v>1</v>
      </c>
      <c r="U369" s="8">
        <f>IFERROR(VLOOKUP($B369,Input!$AC$2:$AE$161,3,0),0)</f>
        <v>0</v>
      </c>
      <c r="V369" s="256">
        <f t="shared" si="102"/>
        <v>0</v>
      </c>
      <c r="W369" s="263">
        <f t="shared" si="103"/>
        <v>1.00369</v>
      </c>
      <c r="X369" s="68"/>
      <c r="Y369" s="68"/>
      <c r="Z369" s="68"/>
      <c r="AA369" s="68"/>
      <c r="AB369" s="68"/>
      <c r="AC369" s="68"/>
      <c r="AD369" s="68"/>
      <c r="AE369" s="68"/>
      <c r="AF369" s="68"/>
      <c r="AG369" s="68"/>
      <c r="AH369" s="68"/>
      <c r="AI369" s="68"/>
      <c r="AJ369" s="68">
        <v>1</v>
      </c>
      <c r="AL369" s="68">
        <v>1</v>
      </c>
      <c r="AM369" s="68"/>
      <c r="AN369" s="68"/>
      <c r="AO369" s="68"/>
      <c r="AQ369" s="68"/>
      <c r="AR369" s="68"/>
      <c r="AS369" s="68"/>
      <c r="AT369" s="68"/>
      <c r="AU369" s="68"/>
      <c r="AV369" s="68"/>
      <c r="AW369" s="68"/>
      <c r="AX369" s="68"/>
      <c r="AY369" s="68"/>
      <c r="AZ369" s="68"/>
      <c r="BB369" s="68"/>
      <c r="BC369" s="68"/>
      <c r="BJ369" s="68"/>
      <c r="BT369">
        <v>1</v>
      </c>
      <c r="BV369">
        <v>1</v>
      </c>
      <c r="BX369" s="68"/>
      <c r="BY369" s="68">
        <v>1</v>
      </c>
      <c r="BZ369" s="68">
        <v>0</v>
      </c>
      <c r="CA369" s="68">
        <v>0</v>
      </c>
      <c r="CB369" s="68">
        <v>0</v>
      </c>
      <c r="CC369" s="68">
        <f t="shared" si="104"/>
        <v>0</v>
      </c>
      <c r="CD369" s="68">
        <f t="shared" si="105"/>
        <v>0</v>
      </c>
    </row>
    <row r="370" spans="1:82" ht="15.75" customHeight="1" thickBot="1" x14ac:dyDescent="0.3">
      <c r="A370" s="9">
        <v>369</v>
      </c>
      <c r="B370" s="10" t="s">
        <v>415</v>
      </c>
      <c r="C370" s="10" t="s">
        <v>38</v>
      </c>
      <c r="D370" s="10" t="s">
        <v>17</v>
      </c>
      <c r="E370" s="51">
        <v>-131.14971549694801</v>
      </c>
      <c r="F370" s="51">
        <v>81.628200772400902</v>
      </c>
      <c r="G370" s="51">
        <v>115.861781206098</v>
      </c>
      <c r="H370" s="51">
        <v>36.3909967274152</v>
      </c>
      <c r="I370" s="11">
        <v>0</v>
      </c>
      <c r="J370" s="51">
        <v>6.6215350840729501</v>
      </c>
      <c r="K370" s="249">
        <f>IFERROR(VLOOKUP(C370,Schedule!$T$3:$U$34,2,0),"FA")</f>
        <v>6</v>
      </c>
      <c r="L370" s="10" t="str">
        <f>D370&amp;COUNTIF(D$2:$D370,D370)</f>
        <v>WR97</v>
      </c>
      <c r="M370" s="51">
        <f t="array" ref="M370">IFERROR(F370-AVERAGE(VLOOKUP(D370,$D371:$F$885,3,0),INDEX($F371:$F$885,SMALL(IF(D370=$D371:$D$885,ROW($D371:$D$885)-ROW(D370)),2))),0)</f>
        <v>1.8651598582060558</v>
      </c>
      <c r="N370" s="51">
        <f>IFERROR(IF(VLOOKUP($B370,Input!$AC$2:$AC$162,1,0)=$B370,0),F370)</f>
        <v>81.628200772400902</v>
      </c>
      <c r="O370" s="51">
        <f>IFERROR(IF(VLOOKUP($B370,Input!$AC$2:$AC$162,1,0)=$B370,0,G370),G370)</f>
        <v>115.861781206098</v>
      </c>
      <c r="P370" s="51">
        <f>IF(N370=0,0,F370-AVERAGE(INDEX(F:F,MATCH(VLOOKUP(D370,Input!$A$14:$L$22,10,0),L:L,0)),INDEX(F:F,MATCH(VLOOKUP(D370,Input!$A$14:$L$22,11,0),L:L,0)),INDEX(F:F,MATCH(VLOOKUP(D370,Input!$A$14:$L$22,12,0),L:L,0)))+(0.01-ROW()*0.01))</f>
        <v>-134.83971549694812</v>
      </c>
      <c r="Q370" s="107">
        <f t="shared" si="100"/>
        <v>-4.6518750003350158E-2</v>
      </c>
      <c r="R370" s="11">
        <f>IF(VLOOKUP($D370,$X$14:$Y$19,2,0)&lt;=0,1,IF(Q370&lt;0,1,ROUNDUP(IF(Q370*('Draft Center'!$L$28+'Draft Center'!$L$78-'Draft Center'!$L$82)&lt;1,1,Q370*('Draft Center'!$L$28+'Draft Center'!$L$78-'Draft Center'!$L$82)),0)))</f>
        <v>1</v>
      </c>
      <c r="S370" s="11">
        <f>IF(A370&lt;Input!$B$10+0.1,IF(ROUNDUP(R370*Input!$C$10,0)=0,1,ROUNDUP(R370*Input!$C$10,0)),IF(A370&gt;Input!$B$11,IF(ROUNDUP(R370*Input!$C$11,0)=0,1,ROUNDUP(R370*Input!$C$11,0)),IF(ROUNDUP(R370,0)=0,1,ROUNDUP(R370,0))))</f>
        <v>1</v>
      </c>
      <c r="T370" s="11">
        <f t="shared" si="101"/>
        <v>1</v>
      </c>
      <c r="U370" s="11">
        <f>IFERROR(VLOOKUP($B370,Input!$AC$2:$AE$161,3,0),0)</f>
        <v>0</v>
      </c>
      <c r="V370" s="257">
        <f t="shared" si="102"/>
        <v>0</v>
      </c>
      <c r="W370" s="264">
        <f t="shared" si="103"/>
        <v>1.0037</v>
      </c>
      <c r="X370" s="68"/>
      <c r="Y370" s="68"/>
      <c r="Z370" s="68"/>
      <c r="AA370" s="68"/>
      <c r="AB370" s="68"/>
      <c r="AC370" s="68"/>
      <c r="AD370" s="68"/>
      <c r="AE370" s="68"/>
      <c r="AF370" s="68"/>
      <c r="AG370" s="68"/>
      <c r="AH370" s="68"/>
      <c r="AI370" s="68"/>
      <c r="AJ370" s="68">
        <v>1</v>
      </c>
      <c r="AL370" s="68">
        <v>1</v>
      </c>
      <c r="AM370" s="68"/>
      <c r="AN370" s="68"/>
      <c r="AO370" s="68"/>
      <c r="AQ370" s="68"/>
      <c r="AR370" s="68"/>
      <c r="AS370" s="68"/>
      <c r="AT370" s="68"/>
      <c r="AU370" s="68"/>
      <c r="AV370" s="68"/>
      <c r="AW370" s="68"/>
      <c r="AX370" s="68"/>
      <c r="AY370" s="68"/>
      <c r="AZ370" s="68"/>
      <c r="BB370" s="68"/>
      <c r="BC370" s="68"/>
      <c r="BJ370" s="68"/>
      <c r="BT370">
        <v>1</v>
      </c>
      <c r="BV370">
        <v>1</v>
      </c>
      <c r="BX370" s="68"/>
      <c r="BY370" s="68">
        <v>1</v>
      </c>
      <c r="BZ370" s="68">
        <v>0</v>
      </c>
      <c r="CA370" s="68">
        <v>0</v>
      </c>
      <c r="CB370" s="68">
        <v>0</v>
      </c>
      <c r="CC370" s="68">
        <f t="shared" si="104"/>
        <v>0</v>
      </c>
      <c r="CD370" s="68">
        <f t="shared" si="105"/>
        <v>0</v>
      </c>
    </row>
    <row r="371" spans="1:82" ht="15.75" customHeight="1" thickBot="1" x14ac:dyDescent="0.3">
      <c r="A371" s="6">
        <v>370</v>
      </c>
      <c r="B371" s="7" t="s">
        <v>1061</v>
      </c>
      <c r="C371" s="7" t="s">
        <v>66</v>
      </c>
      <c r="D371" s="7" t="s">
        <v>147</v>
      </c>
      <c r="E371" s="50">
        <v>-131.36898843097299</v>
      </c>
      <c r="F371" s="50">
        <v>0</v>
      </c>
      <c r="G371" s="50">
        <v>0</v>
      </c>
      <c r="H371" s="50">
        <v>0</v>
      </c>
      <c r="I371" s="8" t="s">
        <v>1057</v>
      </c>
      <c r="J371" s="50">
        <v>2.5554412059401899</v>
      </c>
      <c r="K371" s="248">
        <f>IFERROR(VLOOKUP(C371,Schedule!$T$3:$U$34,2,0),"FA")</f>
        <v>7</v>
      </c>
      <c r="L371" s="7" t="str">
        <f>D371&amp;COUNTIF(D$2:$D371,D371)</f>
        <v>K40</v>
      </c>
      <c r="M371" s="50">
        <f t="array" ref="M371">IFERROR(F371-AVERAGE(VLOOKUP(D371,$D372:$F$885,3,0),INDEX($F372:$F$885,SMALL(IF(D371=$D372:$D$885,ROW($D372:$D$885)-ROW(D371)),2))),0)</f>
        <v>0</v>
      </c>
      <c r="N371" s="50">
        <f>IFERROR(IF(VLOOKUP($B371,Input!$AC$2:$AC$162,1,0)=$B371,0),F371)</f>
        <v>0</v>
      </c>
      <c r="O371" s="50">
        <f>IFERROR(IF(VLOOKUP($B371,Input!$AC$2:$AC$162,1,0)=$B371,0,G371),G371)</f>
        <v>0</v>
      </c>
      <c r="P371" s="50">
        <f>IF(N371=0,0,F371-AVERAGE(INDEX(F:F,MATCH(VLOOKUP(D371,Input!$A$14:$L$22,10,0),L:L,0)),INDEX(F:F,MATCH(VLOOKUP(D371,Input!$A$14:$L$22,11,0),L:L,0)),INDEX(F:F,MATCH(VLOOKUP(D371,Input!$A$14:$L$22,12,0),L:L,0)))+(0.01-ROW()*0.01))</f>
        <v>0</v>
      </c>
      <c r="Q371" s="106">
        <f t="shared" si="100"/>
        <v>0</v>
      </c>
      <c r="R371" s="8">
        <f>IF(VLOOKUP($D371,$X$14:$Y$19,2,0)&lt;=0,1,IF(Q371&lt;0,1,ROUNDUP(IF(Q371*('Draft Center'!$L$28+'Draft Center'!$L$78-'Draft Center'!$L$82)&lt;1,1,Q371*('Draft Center'!$L$28+'Draft Center'!$L$78-'Draft Center'!$L$82)),0)))</f>
        <v>1</v>
      </c>
      <c r="S371" s="8">
        <f>IF(A371&lt;Input!$B$10+0.1,IF(ROUNDUP(R371*Input!$C$10,0)=0,1,ROUNDUP(R371*Input!$C$10,0)),IF(A371&gt;Input!$B$11,IF(ROUNDUP(R371*Input!$C$11,0)=0,1,ROUNDUP(R371*Input!$C$11,0)),IF(ROUNDUP(R371,0)=0,1,ROUNDUP(R371,0))))</f>
        <v>1</v>
      </c>
      <c r="T371" s="8">
        <f t="shared" si="101"/>
        <v>1</v>
      </c>
      <c r="U371" s="8">
        <f>IFERROR(VLOOKUP($B371,Input!$AC$2:$AE$161,3,0),0)</f>
        <v>0</v>
      </c>
      <c r="V371" s="256">
        <f t="shared" si="102"/>
        <v>0</v>
      </c>
      <c r="W371" s="263">
        <f t="shared" si="103"/>
        <v>0</v>
      </c>
      <c r="X371" s="68"/>
      <c r="Y371" s="68"/>
      <c r="Z371" s="68"/>
      <c r="AA371" s="68"/>
      <c r="AB371" s="68"/>
      <c r="AC371" s="68"/>
      <c r="AD371" s="68"/>
      <c r="AE371" s="68"/>
      <c r="AF371" s="68"/>
      <c r="AG371" s="68"/>
      <c r="AH371" s="68"/>
      <c r="AI371" s="68"/>
      <c r="AJ371" s="68">
        <v>1</v>
      </c>
      <c r="AL371" s="68">
        <v>1</v>
      </c>
      <c r="AM371" s="68"/>
      <c r="AN371" s="68"/>
      <c r="AO371" s="68"/>
      <c r="AQ371" s="68"/>
      <c r="AR371" s="68"/>
      <c r="AS371" s="68"/>
      <c r="AT371" s="68"/>
      <c r="AU371" s="68"/>
      <c r="AV371" s="68"/>
      <c r="AW371" s="68"/>
      <c r="AX371" s="68"/>
      <c r="AY371" s="68"/>
      <c r="AZ371" s="68"/>
      <c r="BB371" s="68"/>
      <c r="BC371" s="68"/>
      <c r="BJ371" s="68"/>
      <c r="BT371">
        <v>1</v>
      </c>
      <c r="BV371">
        <v>1</v>
      </c>
      <c r="BX371" s="68"/>
      <c r="BY371" s="68">
        <v>1</v>
      </c>
      <c r="BZ371" s="68" t="s">
        <v>1057</v>
      </c>
      <c r="CA371" s="68" t="s">
        <v>1057</v>
      </c>
      <c r="CB371" s="68" t="s">
        <v>1057</v>
      </c>
      <c r="CC371" s="68" t="e">
        <f t="shared" si="104"/>
        <v>#DIV/0!</v>
      </c>
      <c r="CD371" s="68" t="str">
        <f t="shared" si="105"/>
        <v>NA</v>
      </c>
    </row>
    <row r="372" spans="1:82" ht="15.75" customHeight="1" thickBot="1" x14ac:dyDescent="0.3">
      <c r="A372" s="9">
        <v>371</v>
      </c>
      <c r="B372" s="10" t="s">
        <v>1062</v>
      </c>
      <c r="C372" s="10" t="s">
        <v>117</v>
      </c>
      <c r="D372" s="10" t="s">
        <v>147</v>
      </c>
      <c r="E372" s="51">
        <v>-131.36898843097299</v>
      </c>
      <c r="F372" s="51">
        <v>0</v>
      </c>
      <c r="G372" s="51">
        <v>0</v>
      </c>
      <c r="H372" s="51">
        <v>0</v>
      </c>
      <c r="I372" s="11">
        <v>0</v>
      </c>
      <c r="J372" s="51" t="s">
        <v>1057</v>
      </c>
      <c r="K372" s="249">
        <f>IFERROR(VLOOKUP(C372,Schedule!$T$3:$U$34,2,0),"FA")</f>
        <v>8</v>
      </c>
      <c r="L372" s="10" t="str">
        <f>D372&amp;COUNTIF(D$2:$D372,D372)</f>
        <v>K41</v>
      </c>
      <c r="M372" s="51">
        <f t="array" ref="M372">IFERROR(F372-AVERAGE(VLOOKUP(D372,$D373:$F$885,3,0),INDEX($F373:$F$885,SMALL(IF(D372=$D373:$D$885,ROW($D373:$D$885)-ROW(D372)),2))),0)</f>
        <v>0</v>
      </c>
      <c r="N372" s="51">
        <f>IFERROR(IF(VLOOKUP($B372,Input!$AC$2:$AC$162,1,0)=$B372,0),F372)</f>
        <v>0</v>
      </c>
      <c r="O372" s="51">
        <f>IFERROR(IF(VLOOKUP($B372,Input!$AC$2:$AC$162,1,0)=$B372,0,G372),G372)</f>
        <v>0</v>
      </c>
      <c r="P372" s="51">
        <f>IF(N372=0,0,F372-AVERAGE(INDEX(F:F,MATCH(VLOOKUP(D372,Input!$A$14:$L$22,10,0),L:L,0)),INDEX(F:F,MATCH(VLOOKUP(D372,Input!$A$14:$L$22,11,0),L:L,0)),INDEX(F:F,MATCH(VLOOKUP(D372,Input!$A$14:$L$22,12,0),L:L,0)))+(0.01-ROW()*0.01))</f>
        <v>0</v>
      </c>
      <c r="Q372" s="107">
        <f t="shared" si="100"/>
        <v>0</v>
      </c>
      <c r="R372" s="11">
        <f>IF(VLOOKUP($D372,$X$14:$Y$19,2,0)&lt;=0,1,IF(Q372&lt;0,1,ROUNDUP(IF(Q372*('Draft Center'!$L$28+'Draft Center'!$L$78-'Draft Center'!$L$82)&lt;1,1,Q372*('Draft Center'!$L$28+'Draft Center'!$L$78-'Draft Center'!$L$82)),0)))</f>
        <v>1</v>
      </c>
      <c r="S372" s="11">
        <f>IF(A372&lt;Input!$B$10+0.1,IF(ROUNDUP(R372*Input!$C$10,0)=0,1,ROUNDUP(R372*Input!$C$10,0)),IF(A372&gt;Input!$B$11,IF(ROUNDUP(R372*Input!$C$11,0)=0,1,ROUNDUP(R372*Input!$C$11,0)),IF(ROUNDUP(R372,0)=0,1,ROUNDUP(R372,0))))</f>
        <v>1</v>
      </c>
      <c r="T372" s="11">
        <f t="shared" si="101"/>
        <v>1</v>
      </c>
      <c r="U372" s="11">
        <f>IFERROR(VLOOKUP($B372,Input!$AC$2:$AE$161,3,0),0)</f>
        <v>0</v>
      </c>
      <c r="V372" s="257">
        <f t="shared" si="102"/>
        <v>0</v>
      </c>
      <c r="W372" s="264">
        <f t="shared" si="103"/>
        <v>1.0037199999999999</v>
      </c>
      <c r="X372" s="68"/>
      <c r="Y372" s="68"/>
      <c r="Z372" s="68"/>
      <c r="AA372" s="68"/>
      <c r="AB372" s="68"/>
      <c r="AC372" s="68"/>
      <c r="AD372" s="68"/>
      <c r="AE372" s="68"/>
      <c r="AF372" s="68"/>
      <c r="AG372" s="68"/>
      <c r="AH372" s="68"/>
      <c r="AI372" s="68"/>
      <c r="AJ372" s="68">
        <v>1</v>
      </c>
      <c r="AL372" s="68">
        <v>1</v>
      </c>
      <c r="AM372" s="68"/>
      <c r="AN372" s="68"/>
      <c r="AO372" s="68"/>
      <c r="AQ372" s="68"/>
      <c r="AR372" s="68"/>
      <c r="AS372" s="68"/>
      <c r="AT372" s="68"/>
      <c r="AU372" s="68"/>
      <c r="AV372" s="68"/>
      <c r="AW372" s="68"/>
      <c r="AX372" s="68"/>
      <c r="AY372" s="68"/>
      <c r="AZ372" s="68"/>
      <c r="BB372" s="68"/>
      <c r="BC372" s="68"/>
      <c r="BJ372" s="68"/>
      <c r="BT372">
        <v>1</v>
      </c>
      <c r="BV372">
        <v>1</v>
      </c>
      <c r="BX372" s="68"/>
      <c r="BY372" s="68">
        <v>1</v>
      </c>
      <c r="BZ372" s="68">
        <v>0</v>
      </c>
      <c r="CA372" s="68">
        <v>0</v>
      </c>
      <c r="CB372" s="68">
        <v>0</v>
      </c>
      <c r="CC372" s="68">
        <f t="shared" si="104"/>
        <v>0</v>
      </c>
      <c r="CD372" s="68">
        <f t="shared" si="105"/>
        <v>0</v>
      </c>
    </row>
    <row r="373" spans="1:82" ht="15.75" customHeight="1" thickBot="1" x14ac:dyDescent="0.3">
      <c r="A373" s="6">
        <v>372</v>
      </c>
      <c r="B373" s="7" t="s">
        <v>965</v>
      </c>
      <c r="C373" s="7" t="s">
        <v>21</v>
      </c>
      <c r="D373" s="7" t="s">
        <v>43</v>
      </c>
      <c r="E373" s="50">
        <v>-131.58246471788999</v>
      </c>
      <c r="F373" s="50">
        <v>21.878454634319699</v>
      </c>
      <c r="G373" s="50">
        <v>30.976649999999999</v>
      </c>
      <c r="H373" s="50">
        <v>5.93010752688172</v>
      </c>
      <c r="I373" s="8">
        <v>0</v>
      </c>
      <c r="J373" s="50">
        <v>9.5234663839637399</v>
      </c>
      <c r="K373" s="248">
        <f>IFERROR(VLOOKUP(C373,Schedule!$T$3:$U$34,2,0),"FA")</f>
        <v>5</v>
      </c>
      <c r="L373" s="7" t="str">
        <f>D373&amp;COUNTIF(D$2:$D373,D373)</f>
        <v>TE77</v>
      </c>
      <c r="M373" s="50">
        <f t="array" ref="M373">IFERROR(F373-AVERAGE(VLOOKUP(D373,$D374:$F$885,3,0),INDEX($F374:$F$885,SMALL(IF(D373=$D374:$D$885,ROW($D374:$D$885)-ROW(D373)),2))),0)</f>
        <v>1.0295938417521491</v>
      </c>
      <c r="N373" s="50">
        <f>IFERROR(IF(VLOOKUP($B373,Input!$AC$2:$AC$162,1,0)=$B373,0),F373)</f>
        <v>21.878454634319699</v>
      </c>
      <c r="O373" s="50">
        <f>IFERROR(IF(VLOOKUP($B373,Input!$AC$2:$AC$162,1,0)=$B373,0,G373),G373)</f>
        <v>30.976649999999999</v>
      </c>
      <c r="P373" s="50">
        <f>IF(N373=0,0,F373-AVERAGE(INDEX(F:F,MATCH(VLOOKUP(D373,Input!$A$14:$L$22,10,0),L:L,0)),INDEX(F:F,MATCH(VLOOKUP(D373,Input!$A$14:$L$22,11,0),L:L,0)),INDEX(F:F,MATCH(VLOOKUP(D373,Input!$A$14:$L$22,12,0),L:L,0)))+(0.01-ROW()*0.01))</f>
        <v>-135.30246471788962</v>
      </c>
      <c r="Q373" s="106">
        <f t="shared" si="100"/>
        <v>-4.6678395217995473E-2</v>
      </c>
      <c r="R373" s="8">
        <f>IF(VLOOKUP($D373,$X$14:$Y$19,2,0)&lt;=0,1,IF(Q373&lt;0,1,ROUNDUP(IF(Q373*('Draft Center'!$L$28+'Draft Center'!$L$78-'Draft Center'!$L$82)&lt;1,1,Q373*('Draft Center'!$L$28+'Draft Center'!$L$78-'Draft Center'!$L$82)),0)))</f>
        <v>1</v>
      </c>
      <c r="S373" s="8">
        <f>IF(A373&lt;Input!$B$10+0.1,IF(ROUNDUP(R373*Input!$C$10,0)=0,1,ROUNDUP(R373*Input!$C$10,0)),IF(A373&gt;Input!$B$11,IF(ROUNDUP(R373*Input!$C$11,0)=0,1,ROUNDUP(R373*Input!$C$11,0)),IF(ROUNDUP(R373,0)=0,1,ROUNDUP(R373,0))))</f>
        <v>1</v>
      </c>
      <c r="T373" s="8">
        <f t="shared" si="101"/>
        <v>1</v>
      </c>
      <c r="U373" s="8">
        <f>IFERROR(VLOOKUP($B373,Input!$AC$2:$AE$161,3,0),0)</f>
        <v>0</v>
      </c>
      <c r="V373" s="256">
        <f t="shared" si="102"/>
        <v>0</v>
      </c>
      <c r="W373" s="263">
        <f t="shared" si="103"/>
        <v>1.00373</v>
      </c>
      <c r="X373" s="68"/>
      <c r="Y373" s="68"/>
      <c r="Z373" s="68"/>
      <c r="AA373" s="68"/>
      <c r="AB373" s="68"/>
      <c r="AC373" s="68"/>
      <c r="AD373" s="68"/>
      <c r="AE373" s="68"/>
      <c r="AF373" s="68"/>
      <c r="AG373" s="68"/>
      <c r="AH373" s="68"/>
      <c r="AI373" s="68"/>
      <c r="AJ373" s="68">
        <v>1</v>
      </c>
      <c r="AL373" s="68">
        <v>1</v>
      </c>
      <c r="AM373" s="68"/>
      <c r="AN373" s="68"/>
      <c r="AO373" s="68"/>
      <c r="AQ373" s="68"/>
      <c r="AR373" s="68"/>
      <c r="AS373" s="68"/>
      <c r="AT373" s="68"/>
      <c r="AU373" s="68"/>
      <c r="AV373" s="68"/>
      <c r="AW373" s="68"/>
      <c r="AX373" s="68"/>
      <c r="AY373" s="68"/>
      <c r="AZ373" s="68"/>
      <c r="BB373" s="68"/>
      <c r="BC373" s="68"/>
      <c r="BJ373" s="68"/>
      <c r="BT373">
        <v>1</v>
      </c>
      <c r="BV373">
        <v>1</v>
      </c>
      <c r="BX373" s="68"/>
      <c r="BY373" s="68">
        <v>1</v>
      </c>
      <c r="BZ373" s="68">
        <v>0</v>
      </c>
      <c r="CA373" s="68">
        <v>0</v>
      </c>
      <c r="CB373" s="68">
        <v>0</v>
      </c>
      <c r="CC373" s="68">
        <f t="shared" si="104"/>
        <v>0</v>
      </c>
      <c r="CD373" s="68">
        <f t="shared" si="105"/>
        <v>0</v>
      </c>
    </row>
    <row r="374" spans="1:82" ht="15.75" customHeight="1" thickBot="1" x14ac:dyDescent="0.3">
      <c r="A374" s="9">
        <v>373</v>
      </c>
      <c r="B374" s="10" t="s">
        <v>395</v>
      </c>
      <c r="C374" s="10" t="s">
        <v>64</v>
      </c>
      <c r="D374" s="10" t="s">
        <v>43</v>
      </c>
      <c r="E374" s="51">
        <v>-132.01110265678301</v>
      </c>
      <c r="F374" s="51">
        <v>21.449816695425898</v>
      </c>
      <c r="G374" s="51">
        <v>42.186292488581998</v>
      </c>
      <c r="H374" s="51">
        <v>0</v>
      </c>
      <c r="I374" s="11">
        <v>0</v>
      </c>
      <c r="J374" s="51">
        <v>3.9196022326289399</v>
      </c>
      <c r="K374" s="249">
        <f>IFERROR(VLOOKUP(C374,Schedule!$T$3:$U$34,2,0),"FA")</f>
        <v>11</v>
      </c>
      <c r="L374" s="10" t="str">
        <f>D374&amp;COUNTIF(D$2:$D374,D374)</f>
        <v>TE78</v>
      </c>
      <c r="M374" s="51">
        <f t="array" ref="M374">IFERROR(F374-AVERAGE(VLOOKUP(D374,$D375:$F$885,3,0),INDEX($F375:$F$885,SMALL(IF(D374=$D375:$D$885,ROW($D375:$D$885)-ROW(D374)),2))),0)</f>
        <v>1.4360338295325974</v>
      </c>
      <c r="N374" s="51">
        <f>IFERROR(IF(VLOOKUP($B374,Input!$AC$2:$AC$162,1,0)=$B374,0),F374)</f>
        <v>21.449816695425898</v>
      </c>
      <c r="O374" s="51">
        <f>IFERROR(IF(VLOOKUP($B374,Input!$AC$2:$AC$162,1,0)=$B374,0,G374),G374)</f>
        <v>42.186292488581998</v>
      </c>
      <c r="P374" s="51">
        <f>IF(N374=0,0,F374-AVERAGE(INDEX(F:F,MATCH(VLOOKUP(D374,Input!$A$14:$L$22,10,0),L:L,0)),INDEX(F:F,MATCH(VLOOKUP(D374,Input!$A$14:$L$22,11,0),L:L,0)),INDEX(F:F,MATCH(VLOOKUP(D374,Input!$A$14:$L$22,12,0),L:L,0)))+(0.01-ROW()*0.01))</f>
        <v>-135.7411026567834</v>
      </c>
      <c r="Q374" s="107">
        <f t="shared" si="100"/>
        <v>-4.6829722210537564E-2</v>
      </c>
      <c r="R374" s="11">
        <f>IF(VLOOKUP($D374,$X$14:$Y$19,2,0)&lt;=0,1,IF(Q374&lt;0,1,ROUNDUP(IF(Q374*('Draft Center'!$L$28+'Draft Center'!$L$78-'Draft Center'!$L$82)&lt;1,1,Q374*('Draft Center'!$L$28+'Draft Center'!$L$78-'Draft Center'!$L$82)),0)))</f>
        <v>1</v>
      </c>
      <c r="S374" s="11">
        <f>IF(A374&lt;Input!$B$10+0.1,IF(ROUNDUP(R374*Input!$C$10,0)=0,1,ROUNDUP(R374*Input!$C$10,0)),IF(A374&gt;Input!$B$11,IF(ROUNDUP(R374*Input!$C$11,0)=0,1,ROUNDUP(R374*Input!$C$11,0)),IF(ROUNDUP(R374,0)=0,1,ROUNDUP(R374,0))))</f>
        <v>1</v>
      </c>
      <c r="T374" s="11">
        <f t="shared" si="101"/>
        <v>1</v>
      </c>
      <c r="U374" s="11">
        <f>IFERROR(VLOOKUP($B374,Input!$AC$2:$AE$161,3,0),0)</f>
        <v>0</v>
      </c>
      <c r="V374" s="257">
        <f t="shared" si="102"/>
        <v>0</v>
      </c>
      <c r="W374" s="264">
        <f t="shared" si="103"/>
        <v>1.0037400000000001</v>
      </c>
      <c r="X374" s="68"/>
      <c r="Y374" s="68"/>
      <c r="Z374" s="68"/>
      <c r="AA374" s="68"/>
      <c r="AB374" s="68"/>
      <c r="AC374" s="68"/>
      <c r="AD374" s="68"/>
      <c r="AE374" s="68"/>
      <c r="AF374" s="68"/>
      <c r="AG374" s="68"/>
      <c r="AH374" s="68"/>
      <c r="AI374" s="68"/>
      <c r="AJ374" s="68">
        <v>1</v>
      </c>
      <c r="AL374" s="68">
        <v>1</v>
      </c>
      <c r="AM374" s="68"/>
      <c r="AN374" s="68"/>
      <c r="AO374" s="68"/>
      <c r="AQ374" s="68"/>
      <c r="AR374" s="68"/>
      <c r="AS374" s="68"/>
      <c r="AT374" s="68"/>
      <c r="AU374" s="68"/>
      <c r="AV374" s="68"/>
      <c r="AW374" s="68"/>
      <c r="AX374" s="68"/>
      <c r="AY374" s="68"/>
      <c r="AZ374" s="68"/>
      <c r="BB374" s="68"/>
      <c r="BC374" s="68"/>
      <c r="BJ374" s="68"/>
      <c r="BT374">
        <v>1</v>
      </c>
      <c r="BV374">
        <v>1</v>
      </c>
      <c r="BX374" s="68"/>
      <c r="BY374" s="68">
        <v>1</v>
      </c>
      <c r="BZ374" s="68">
        <v>0</v>
      </c>
      <c r="CA374" s="68">
        <v>0</v>
      </c>
      <c r="CB374" s="68">
        <v>0</v>
      </c>
      <c r="CC374" s="68">
        <f t="shared" si="104"/>
        <v>0</v>
      </c>
      <c r="CD374" s="68">
        <f t="shared" si="105"/>
        <v>0</v>
      </c>
    </row>
    <row r="375" spans="1:82" ht="15.75" customHeight="1" thickBot="1" x14ac:dyDescent="0.3">
      <c r="A375" s="6">
        <v>374</v>
      </c>
      <c r="B375" s="7" t="s">
        <v>1125</v>
      </c>
      <c r="C375" s="7" t="s">
        <v>80</v>
      </c>
      <c r="D375" s="7" t="s">
        <v>19</v>
      </c>
      <c r="E375" s="50">
        <v>-132.24993900955801</v>
      </c>
      <c r="F375" s="50">
        <v>36.852459016393396</v>
      </c>
      <c r="G375" s="50">
        <v>58.654608832623502</v>
      </c>
      <c r="H375" s="50">
        <v>0</v>
      </c>
      <c r="I375" s="8">
        <v>0</v>
      </c>
      <c r="J375" s="50">
        <v>9.4332692175125104</v>
      </c>
      <c r="K375" s="248">
        <f>IFERROR(VLOOKUP(C375,Schedule!$T$3:$U$34,2,0),"FA")</f>
        <v>11</v>
      </c>
      <c r="L375" s="7" t="str">
        <f>D375&amp;COUNTIF(D$2:$D375,D375)</f>
        <v>RB98</v>
      </c>
      <c r="M375" s="50">
        <f t="array" ref="M375">IFERROR(F375-AVERAGE(VLOOKUP(D375,$D376:$F$885,3,0),INDEX($F376:$F$885,SMALL(IF(D375=$D376:$D$885,ROW($D376:$D$885)-ROW(D375)),2))),0)</f>
        <v>0.21462562610079772</v>
      </c>
      <c r="N375" s="50">
        <f>IFERROR(IF(VLOOKUP($B375,Input!$AC$2:$AC$162,1,0)=$B375,0),F375)</f>
        <v>36.852459016393396</v>
      </c>
      <c r="O375" s="50">
        <f>IFERROR(IF(VLOOKUP($B375,Input!$AC$2:$AC$162,1,0)=$B375,0,G375),G375)</f>
        <v>58.654608832623502</v>
      </c>
      <c r="P375" s="50">
        <f>IF(N375=0,0,F375-AVERAGE(INDEX(F:F,MATCH(VLOOKUP(D375,Input!$A$14:$L$22,10,0),L:L,0)),INDEX(F:F,MATCH(VLOOKUP(D375,Input!$A$14:$L$22,11,0),L:L,0)),INDEX(F:F,MATCH(VLOOKUP(D375,Input!$A$14:$L$22,12,0),L:L,0)))+(0.01-ROW()*0.01))</f>
        <v>-135.98993900955861</v>
      </c>
      <c r="Q375" s="106">
        <f t="shared" si="100"/>
        <v>-4.6915568995691583E-2</v>
      </c>
      <c r="R375" s="8">
        <f>IF(VLOOKUP($D375,$X$14:$Y$19,2,0)&lt;=0,1,IF(Q375&lt;0,1,ROUNDUP(IF(Q375*('Draft Center'!$L$28+'Draft Center'!$L$78-'Draft Center'!$L$82)&lt;1,1,Q375*('Draft Center'!$L$28+'Draft Center'!$L$78-'Draft Center'!$L$82)),0)))</f>
        <v>1</v>
      </c>
      <c r="S375" s="8">
        <f>IF(A375&lt;Input!$B$10+0.1,IF(ROUNDUP(R375*Input!$C$10,0)=0,1,ROUNDUP(R375*Input!$C$10,0)),IF(A375&gt;Input!$B$11,IF(ROUNDUP(R375*Input!$C$11,0)=0,1,ROUNDUP(R375*Input!$C$11,0)),IF(ROUNDUP(R375,0)=0,1,ROUNDUP(R375,0))))</f>
        <v>1</v>
      </c>
      <c r="T375" s="8">
        <f t="shared" si="101"/>
        <v>1</v>
      </c>
      <c r="U375" s="8">
        <f>IFERROR(VLOOKUP($B375,Input!$AC$2:$AE$161,3,0),0)</f>
        <v>0</v>
      </c>
      <c r="V375" s="256">
        <f t="shared" si="102"/>
        <v>0</v>
      </c>
      <c r="W375" s="263">
        <f t="shared" si="103"/>
        <v>1.0037499999999999</v>
      </c>
      <c r="X375" s="68"/>
      <c r="Y375" s="68"/>
      <c r="Z375" s="68"/>
      <c r="AA375" s="68"/>
      <c r="AB375" s="68"/>
      <c r="AC375" s="68"/>
      <c r="AD375" s="68"/>
      <c r="AE375" s="68"/>
      <c r="AF375" s="68"/>
      <c r="AG375" s="68"/>
      <c r="AH375" s="68"/>
      <c r="AI375" s="68"/>
      <c r="AJ375" s="68">
        <v>1</v>
      </c>
      <c r="AL375" s="68">
        <v>1</v>
      </c>
      <c r="AM375" s="68"/>
      <c r="AN375" s="68"/>
      <c r="AO375" s="68"/>
      <c r="AQ375" s="68"/>
      <c r="AR375" s="68"/>
      <c r="AS375" s="68"/>
      <c r="AT375" s="68"/>
      <c r="AU375" s="68"/>
      <c r="AV375" s="68"/>
      <c r="AW375" s="68"/>
      <c r="AX375" s="68"/>
      <c r="AY375" s="68"/>
      <c r="AZ375" s="68"/>
      <c r="BB375" s="68"/>
      <c r="BC375" s="68"/>
      <c r="BJ375" s="68"/>
      <c r="BT375">
        <v>1</v>
      </c>
      <c r="BV375">
        <v>1</v>
      </c>
      <c r="BX375" s="68"/>
      <c r="BY375" s="68">
        <v>1</v>
      </c>
      <c r="BZ375" s="68">
        <v>0</v>
      </c>
      <c r="CA375" s="68">
        <v>0</v>
      </c>
      <c r="CB375" s="68">
        <v>0</v>
      </c>
      <c r="CC375" s="68">
        <f t="shared" si="104"/>
        <v>0</v>
      </c>
      <c r="CD375" s="68">
        <f t="shared" si="105"/>
        <v>0</v>
      </c>
    </row>
    <row r="376" spans="1:82" ht="15.75" customHeight="1" thickBot="1" x14ac:dyDescent="0.3">
      <c r="A376" s="9">
        <v>375</v>
      </c>
      <c r="B376" s="10" t="s">
        <v>309</v>
      </c>
      <c r="C376" s="10" t="s">
        <v>85</v>
      </c>
      <c r="D376" s="10" t="s">
        <v>19</v>
      </c>
      <c r="E376" s="51">
        <v>-132.34942608384199</v>
      </c>
      <c r="F376" s="51">
        <v>36.7529719421102</v>
      </c>
      <c r="G376" s="51">
        <v>59.862828746177399</v>
      </c>
      <c r="H376" s="51">
        <v>2.3415219421101798</v>
      </c>
      <c r="I376" s="11" t="s">
        <v>1057</v>
      </c>
      <c r="J376" s="51">
        <v>7.3200270303782498</v>
      </c>
      <c r="K376" s="249">
        <f>IFERROR(VLOOKUP(C376,Schedule!$T$3:$U$34,2,0),"FA")</f>
        <v>11</v>
      </c>
      <c r="L376" s="10" t="str">
        <f>D376&amp;COUNTIF(D$2:$D376,D376)</f>
        <v>RB99</v>
      </c>
      <c r="M376" s="51">
        <f t="array" ref="M376">IFERROR(F376-AVERAGE(VLOOKUP(D376,$D377:$F$885,3,0),INDEX($F377:$F$885,SMALL(IF(D376=$D377:$D$885,ROW($D377:$D$885)-ROW(D376)),2))),0)</f>
        <v>1.7350921693155001</v>
      </c>
      <c r="N376" s="51">
        <f>IFERROR(IF(VLOOKUP($B376,Input!$AC$2:$AC$162,1,0)=$B376,0),F376)</f>
        <v>36.7529719421102</v>
      </c>
      <c r="O376" s="51">
        <f>IFERROR(IF(VLOOKUP($B376,Input!$AC$2:$AC$162,1,0)=$B376,0,G376),G376)</f>
        <v>59.862828746177399</v>
      </c>
      <c r="P376" s="51">
        <f>IF(N376=0,0,F376-AVERAGE(INDEX(F:F,MATCH(VLOOKUP(D376,Input!$A$14:$L$22,10,0),L:L,0)),INDEX(F:F,MATCH(VLOOKUP(D376,Input!$A$14:$L$22,11,0),L:L,0)),INDEX(F:F,MATCH(VLOOKUP(D376,Input!$A$14:$L$22,12,0),L:L,0)))+(0.01-ROW()*0.01))</f>
        <v>-136.09942608384179</v>
      </c>
      <c r="Q376" s="107">
        <f t="shared" si="100"/>
        <v>-4.6953341263442271E-2</v>
      </c>
      <c r="R376" s="11">
        <f>IF(VLOOKUP($D376,$X$14:$Y$19,2,0)&lt;=0,1,IF(Q376&lt;0,1,ROUNDUP(IF(Q376*('Draft Center'!$L$28+'Draft Center'!$L$78-'Draft Center'!$L$82)&lt;1,1,Q376*('Draft Center'!$L$28+'Draft Center'!$L$78-'Draft Center'!$L$82)),0)))</f>
        <v>1</v>
      </c>
      <c r="S376" s="11">
        <f>IF(A376&lt;Input!$B$10+0.1,IF(ROUNDUP(R376*Input!$C$10,0)=0,1,ROUNDUP(R376*Input!$C$10,0)),IF(A376&gt;Input!$B$11,IF(ROUNDUP(R376*Input!$C$11,0)=0,1,ROUNDUP(R376*Input!$C$11,0)),IF(ROUNDUP(R376,0)=0,1,ROUNDUP(R376,0))))</f>
        <v>1</v>
      </c>
      <c r="T376" s="11">
        <f t="shared" si="101"/>
        <v>1</v>
      </c>
      <c r="U376" s="11">
        <f>IFERROR(VLOOKUP($B376,Input!$AC$2:$AE$161,3,0),0)</f>
        <v>0</v>
      </c>
      <c r="V376" s="257">
        <f t="shared" si="102"/>
        <v>0</v>
      </c>
      <c r="W376" s="264">
        <f t="shared" si="103"/>
        <v>0</v>
      </c>
      <c r="X376" s="68"/>
      <c r="Y376" s="68"/>
      <c r="Z376" s="68"/>
      <c r="AA376" s="68"/>
      <c r="AB376" s="68"/>
      <c r="AC376" s="68"/>
      <c r="AD376" s="68"/>
      <c r="AE376" s="68"/>
      <c r="AF376" s="68"/>
      <c r="AG376" s="68"/>
      <c r="AH376" s="68"/>
      <c r="AI376" s="68"/>
      <c r="AJ376" s="68">
        <v>1</v>
      </c>
      <c r="AL376" s="68">
        <v>1</v>
      </c>
      <c r="AM376" s="68"/>
      <c r="AN376" s="68"/>
      <c r="AO376" s="68"/>
      <c r="AQ376" s="68"/>
      <c r="AR376" s="68"/>
      <c r="AS376" s="68"/>
      <c r="AT376" s="68"/>
      <c r="AU376" s="68"/>
      <c r="AV376" s="68"/>
      <c r="AW376" s="68"/>
      <c r="AX376" s="68"/>
      <c r="AY376" s="68"/>
      <c r="AZ376" s="68"/>
      <c r="BB376" s="68"/>
      <c r="BC376" s="68"/>
      <c r="BJ376" s="68"/>
      <c r="BT376">
        <v>1</v>
      </c>
      <c r="BV376">
        <v>1</v>
      </c>
      <c r="BX376" s="68"/>
      <c r="BY376" s="68">
        <v>1</v>
      </c>
      <c r="BZ376" s="68" t="s">
        <v>1057</v>
      </c>
      <c r="CA376" s="68" t="s">
        <v>1057</v>
      </c>
      <c r="CB376" s="68" t="s">
        <v>1057</v>
      </c>
      <c r="CC376" s="68" t="e">
        <f t="shared" si="104"/>
        <v>#DIV/0!</v>
      </c>
      <c r="CD376" s="68" t="str">
        <f t="shared" si="105"/>
        <v>NA</v>
      </c>
    </row>
    <row r="377" spans="1:82" ht="15.75" customHeight="1" thickBot="1" x14ac:dyDescent="0.3">
      <c r="A377" s="6">
        <v>376</v>
      </c>
      <c r="B377" s="7" t="s">
        <v>975</v>
      </c>
      <c r="C377" s="7" t="s">
        <v>93</v>
      </c>
      <c r="D377" s="7" t="s">
        <v>17</v>
      </c>
      <c r="E377" s="50">
        <v>-132.50006752816199</v>
      </c>
      <c r="F377" s="50">
        <v>80.277848741187398</v>
      </c>
      <c r="G377" s="50">
        <v>95.313193538002295</v>
      </c>
      <c r="H377" s="50">
        <v>30.987456445993001</v>
      </c>
      <c r="I377" s="8">
        <v>0</v>
      </c>
      <c r="J377" s="50">
        <v>6.5146462749140204</v>
      </c>
      <c r="K377" s="248">
        <f>IFERROR(VLOOKUP(C377,Schedule!$T$3:$U$34,2,0),"FA")</f>
        <v>11</v>
      </c>
      <c r="L377" s="7" t="str">
        <f>D377&amp;COUNTIF(D$2:$D377,D377)</f>
        <v>WR98</v>
      </c>
      <c r="M377" s="50">
        <f t="array" ref="M377">IFERROR(F377-AVERAGE(VLOOKUP(D377,$D378:$F$885,3,0),INDEX($F378:$F$885,SMALL(IF(D377=$D378:$D$885,ROW($D378:$D$885)-ROW(D377)),2))),0)</f>
        <v>1.3460991874169963</v>
      </c>
      <c r="N377" s="50">
        <f>IFERROR(IF(VLOOKUP($B377,Input!$AC$2:$AC$162,1,0)=$B377,0),F377)</f>
        <v>80.277848741187398</v>
      </c>
      <c r="O377" s="50">
        <f>IFERROR(IF(VLOOKUP($B377,Input!$AC$2:$AC$162,1,0)=$B377,0,G377),G377)</f>
        <v>95.313193538002295</v>
      </c>
      <c r="P377" s="50">
        <f>IF(N377=0,0,F377-AVERAGE(INDEX(F:F,MATCH(VLOOKUP(D377,Input!$A$14:$L$22,10,0),L:L,0)),INDEX(F:F,MATCH(VLOOKUP(D377,Input!$A$14:$L$22,11,0),L:L,0)),INDEX(F:F,MATCH(VLOOKUP(D377,Input!$A$14:$L$22,12,0),L:L,0)))+(0.01-ROW()*0.01))</f>
        <v>-136.26006752816161</v>
      </c>
      <c r="Q377" s="106">
        <f t="shared" si="100"/>
        <v>-4.700876142775328E-2</v>
      </c>
      <c r="R377" s="8">
        <f>IF(VLOOKUP($D377,$X$14:$Y$19,2,0)&lt;=0,1,IF(Q377&lt;0,1,ROUNDUP(IF(Q377*('Draft Center'!$L$28+'Draft Center'!$L$78-'Draft Center'!$L$82)&lt;1,1,Q377*('Draft Center'!$L$28+'Draft Center'!$L$78-'Draft Center'!$L$82)),0)))</f>
        <v>1</v>
      </c>
      <c r="S377" s="8">
        <f>IF(A377&lt;Input!$B$10+0.1,IF(ROUNDUP(R377*Input!$C$10,0)=0,1,ROUNDUP(R377*Input!$C$10,0)),IF(A377&gt;Input!$B$11,IF(ROUNDUP(R377*Input!$C$11,0)=0,1,ROUNDUP(R377*Input!$C$11,0)),IF(ROUNDUP(R377,0)=0,1,ROUNDUP(R377,0))))</f>
        <v>1</v>
      </c>
      <c r="T377" s="8">
        <f t="shared" si="101"/>
        <v>1</v>
      </c>
      <c r="U377" s="8">
        <f>IFERROR(VLOOKUP($B377,Input!$AC$2:$AE$161,3,0),0)</f>
        <v>0</v>
      </c>
      <c r="V377" s="256">
        <f t="shared" si="102"/>
        <v>0</v>
      </c>
      <c r="W377" s="263">
        <f t="shared" si="103"/>
        <v>1.0037700000000001</v>
      </c>
      <c r="X377" s="68"/>
      <c r="Y377" s="68"/>
      <c r="Z377" s="68"/>
      <c r="AA377" s="68"/>
      <c r="AB377" s="68"/>
      <c r="AC377" s="68"/>
      <c r="AD377" s="68"/>
      <c r="AE377" s="68"/>
      <c r="AF377" s="68"/>
      <c r="AG377" s="68"/>
      <c r="AH377" s="68"/>
      <c r="AI377" s="68"/>
      <c r="AJ377" s="68">
        <v>1</v>
      </c>
      <c r="AL377" s="68">
        <v>1</v>
      </c>
      <c r="AM377" s="68"/>
      <c r="AN377" s="68"/>
      <c r="AO377" s="68"/>
      <c r="AQ377" s="68"/>
      <c r="AR377" s="68"/>
      <c r="AS377" s="68"/>
      <c r="AT377" s="68"/>
      <c r="AU377" s="68"/>
      <c r="AV377" s="68"/>
      <c r="AW377" s="68"/>
      <c r="AX377" s="68"/>
      <c r="AY377" s="68"/>
      <c r="AZ377" s="68"/>
      <c r="BB377" s="68"/>
      <c r="BC377" s="68"/>
      <c r="BJ377" s="68"/>
      <c r="BT377">
        <v>1</v>
      </c>
      <c r="BV377">
        <v>1</v>
      </c>
      <c r="BX377" s="68"/>
      <c r="BY377" s="68">
        <v>1</v>
      </c>
      <c r="BZ377" s="68">
        <v>0</v>
      </c>
      <c r="CA377" s="68">
        <v>0</v>
      </c>
      <c r="CB377" s="68">
        <v>0</v>
      </c>
      <c r="CC377" s="68">
        <f t="shared" si="104"/>
        <v>0</v>
      </c>
      <c r="CD377" s="68">
        <f t="shared" si="105"/>
        <v>0</v>
      </c>
    </row>
    <row r="378" spans="1:82" ht="15.75" customHeight="1" thickBot="1" x14ac:dyDescent="0.3">
      <c r="A378" s="9">
        <v>377</v>
      </c>
      <c r="B378" s="10" t="s">
        <v>444</v>
      </c>
      <c r="C378" s="10" t="s">
        <v>927</v>
      </c>
      <c r="D378" s="10" t="s">
        <v>19</v>
      </c>
      <c r="E378" s="51">
        <v>-132.57970318747701</v>
      </c>
      <c r="F378" s="51">
        <v>36.522694838474997</v>
      </c>
      <c r="G378" s="51">
        <v>59.603400000000001</v>
      </c>
      <c r="H378" s="51">
        <v>10.116694772343999</v>
      </c>
      <c r="I378" s="11">
        <v>0</v>
      </c>
      <c r="J378" s="51">
        <v>7.3298306964620297</v>
      </c>
      <c r="K378" s="249">
        <f>IFERROR(VLOOKUP(C378,Schedule!$T$3:$U$34,2,0),"FA")</f>
        <v>9</v>
      </c>
      <c r="L378" s="10" t="str">
        <f>D378&amp;COUNTIF(D$2:$D378,D378)</f>
        <v>RB100</v>
      </c>
      <c r="M378" s="51">
        <f t="array" ref="M378">IFERROR(F378-AVERAGE(VLOOKUP(D378,$D379:$F$885,3,0),INDEX($F379:$F$885,SMALL(IF(D378=$D379:$D$885,ROW($D379:$D$885)-ROW(D378)),2))),0)</f>
        <v>3.1842896833063961</v>
      </c>
      <c r="N378" s="51">
        <f>IFERROR(IF(VLOOKUP($B378,Input!$AC$2:$AC$162,1,0)=$B378,0),F378)</f>
        <v>36.522694838474997</v>
      </c>
      <c r="O378" s="51">
        <f>IFERROR(IF(VLOOKUP($B378,Input!$AC$2:$AC$162,1,0)=$B378,0,G378),G378)</f>
        <v>59.603400000000001</v>
      </c>
      <c r="P378" s="51">
        <f>IF(N378=0,0,F378-AVERAGE(INDEX(F:F,MATCH(VLOOKUP(D378,Input!$A$14:$L$22,10,0),L:L,0)),INDEX(F:F,MATCH(VLOOKUP(D378,Input!$A$14:$L$22,11,0),L:L,0)),INDEX(F:F,MATCH(VLOOKUP(D378,Input!$A$14:$L$22,12,0),L:L,0)))+(0.01-ROW()*0.01))</f>
        <v>-136.34970318747702</v>
      </c>
      <c r="Q378" s="107">
        <f t="shared" si="100"/>
        <v>-4.7039685097472632E-2</v>
      </c>
      <c r="R378" s="11">
        <f>IF(VLOOKUP($D378,$X$14:$Y$19,2,0)&lt;=0,1,IF(Q378&lt;0,1,ROUNDUP(IF(Q378*('Draft Center'!$L$28+'Draft Center'!$L$78-'Draft Center'!$L$82)&lt;1,1,Q378*('Draft Center'!$L$28+'Draft Center'!$L$78-'Draft Center'!$L$82)),0)))</f>
        <v>1</v>
      </c>
      <c r="S378" s="11">
        <f>IF(A378&lt;Input!$B$10+0.1,IF(ROUNDUP(R378*Input!$C$10,0)=0,1,ROUNDUP(R378*Input!$C$10,0)),IF(A378&gt;Input!$B$11,IF(ROUNDUP(R378*Input!$C$11,0)=0,1,ROUNDUP(R378*Input!$C$11,0)),IF(ROUNDUP(R378,0)=0,1,ROUNDUP(R378,0))))</f>
        <v>1</v>
      </c>
      <c r="T378" s="11">
        <f t="shared" si="101"/>
        <v>1</v>
      </c>
      <c r="U378" s="11">
        <f>IFERROR(VLOOKUP($B378,Input!$AC$2:$AE$161,3,0),0)</f>
        <v>0</v>
      </c>
      <c r="V378" s="257">
        <f t="shared" si="102"/>
        <v>0</v>
      </c>
      <c r="W378" s="264">
        <f t="shared" si="103"/>
        <v>1.0037799999999999</v>
      </c>
      <c r="X378" s="68"/>
      <c r="Y378" s="68"/>
      <c r="Z378" s="68"/>
      <c r="AA378" s="68"/>
      <c r="AB378" s="68"/>
      <c r="AC378" s="68"/>
      <c r="AD378" s="68"/>
      <c r="AE378" s="68"/>
      <c r="AF378" s="68"/>
      <c r="AG378" s="68"/>
      <c r="AH378" s="68"/>
      <c r="AI378" s="68"/>
      <c r="AJ378" s="68">
        <v>1</v>
      </c>
      <c r="AL378" s="68">
        <v>1</v>
      </c>
      <c r="AM378" s="68"/>
      <c r="AN378" s="68"/>
      <c r="AO378" s="68"/>
      <c r="AQ378" s="68"/>
      <c r="AR378" s="68"/>
      <c r="AS378" s="68"/>
      <c r="AT378" s="68"/>
      <c r="AU378" s="68"/>
      <c r="AV378" s="68"/>
      <c r="AW378" s="68"/>
      <c r="AX378" s="68"/>
      <c r="AY378" s="68"/>
      <c r="AZ378" s="68"/>
      <c r="BB378" s="68"/>
      <c r="BC378" s="68"/>
      <c r="BJ378" s="68"/>
      <c r="BT378">
        <v>1</v>
      </c>
      <c r="BV378">
        <v>1</v>
      </c>
      <c r="BX378" s="68"/>
      <c r="BY378" s="68">
        <v>1</v>
      </c>
      <c r="BZ378" s="68">
        <v>0</v>
      </c>
      <c r="CA378" s="68">
        <v>0</v>
      </c>
      <c r="CB378" s="68">
        <v>0</v>
      </c>
      <c r="CC378" s="68">
        <f t="shared" si="104"/>
        <v>0</v>
      </c>
      <c r="CD378" s="68">
        <f t="shared" si="105"/>
        <v>0</v>
      </c>
    </row>
    <row r="379" spans="1:82" ht="15.75" customHeight="1" thickBot="1" x14ac:dyDescent="0.3">
      <c r="A379" s="6">
        <v>378</v>
      </c>
      <c r="B379" s="7" t="s">
        <v>976</v>
      </c>
      <c r="C379" s="7" t="s">
        <v>33</v>
      </c>
      <c r="D379" s="7" t="s">
        <v>43</v>
      </c>
      <c r="E379" s="50">
        <v>-133.21301446250001</v>
      </c>
      <c r="F379" s="50">
        <v>20.247904889709201</v>
      </c>
      <c r="G379" s="50">
        <v>28.486795610425201</v>
      </c>
      <c r="H379" s="50">
        <v>9.58658391398553</v>
      </c>
      <c r="I379" s="8" t="s">
        <v>1057</v>
      </c>
      <c r="J379" s="50">
        <v>4.5733863836179998</v>
      </c>
      <c r="K379" s="248">
        <f>IFERROR(VLOOKUP(C379,Schedule!$T$3:$U$34,2,0),"FA")</f>
        <v>9</v>
      </c>
      <c r="L379" s="7" t="str">
        <f>D379&amp;COUNTIF(D$2:$D379,D379)</f>
        <v>TE79</v>
      </c>
      <c r="M379" s="50">
        <f t="array" ref="M379">IFERROR(F379-AVERAGE(VLOOKUP(D379,$D380:$F$885,3,0),INDEX($F380:$F$885,SMALL(IF(D379=$D380:$D$885,ROW($D380:$D$885)-ROW(D379)),2))),0)</f>
        <v>0.55576688487569825</v>
      </c>
      <c r="N379" s="50">
        <f>IFERROR(IF(VLOOKUP($B379,Input!$AC$2:$AC$162,1,0)=$B379,0),F379)</f>
        <v>20.247904889709201</v>
      </c>
      <c r="O379" s="50">
        <f>IFERROR(IF(VLOOKUP($B379,Input!$AC$2:$AC$162,1,0)=$B379,0,G379),G379)</f>
        <v>28.486795610425201</v>
      </c>
      <c r="P379" s="50">
        <f>IF(N379=0,0,F379-AVERAGE(INDEX(F:F,MATCH(VLOOKUP(D379,Input!$A$14:$L$22,10,0),L:L,0)),INDEX(F:F,MATCH(VLOOKUP(D379,Input!$A$14:$L$22,11,0),L:L,0)),INDEX(F:F,MATCH(VLOOKUP(D379,Input!$A$14:$L$22,12,0),L:L,0)))+(0.01-ROW()*0.01))</f>
        <v>-136.99301446250013</v>
      </c>
      <c r="Q379" s="106">
        <f t="shared" si="100"/>
        <v>-4.726162294617578E-2</v>
      </c>
      <c r="R379" s="8">
        <f>IF(VLOOKUP($D379,$X$14:$Y$19,2,0)&lt;=0,1,IF(Q379&lt;0,1,ROUNDUP(IF(Q379*('Draft Center'!$L$28+'Draft Center'!$L$78-'Draft Center'!$L$82)&lt;1,1,Q379*('Draft Center'!$L$28+'Draft Center'!$L$78-'Draft Center'!$L$82)),0)))</f>
        <v>1</v>
      </c>
      <c r="S379" s="8">
        <f>IF(A379&lt;Input!$B$10+0.1,IF(ROUNDUP(R379*Input!$C$10,0)=0,1,ROUNDUP(R379*Input!$C$10,0)),IF(A379&gt;Input!$B$11,IF(ROUNDUP(R379*Input!$C$11,0)=0,1,ROUNDUP(R379*Input!$C$11,0)),IF(ROUNDUP(R379,0)=0,1,ROUNDUP(R379,0))))</f>
        <v>1</v>
      </c>
      <c r="T379" s="8">
        <f t="shared" si="101"/>
        <v>1</v>
      </c>
      <c r="U379" s="8">
        <f>IFERROR(VLOOKUP($B379,Input!$AC$2:$AE$161,3,0),0)</f>
        <v>0</v>
      </c>
      <c r="V379" s="256">
        <f t="shared" si="102"/>
        <v>0</v>
      </c>
      <c r="W379" s="263">
        <f t="shared" si="103"/>
        <v>0</v>
      </c>
      <c r="X379" s="68"/>
      <c r="Y379" s="68"/>
      <c r="Z379" s="68"/>
      <c r="AA379" s="68"/>
      <c r="AB379" s="68"/>
      <c r="AC379" s="68"/>
      <c r="AD379" s="68"/>
      <c r="AE379" s="68"/>
      <c r="AF379" s="68"/>
      <c r="AG379" s="68"/>
      <c r="AH379" s="68"/>
      <c r="AI379" s="68"/>
      <c r="AJ379" s="68">
        <v>1</v>
      </c>
      <c r="AL379" s="68">
        <v>1</v>
      </c>
      <c r="AM379" s="68"/>
      <c r="AN379" s="68"/>
      <c r="AO379" s="68"/>
      <c r="AQ379" s="68"/>
      <c r="AR379" s="68"/>
      <c r="AS379" s="68"/>
      <c r="AT379" s="68"/>
      <c r="AU379" s="68"/>
      <c r="AV379" s="68"/>
      <c r="AW379" s="68"/>
      <c r="AX379" s="68"/>
      <c r="AY379" s="68"/>
      <c r="AZ379" s="68"/>
      <c r="BB379" s="68"/>
      <c r="BC379" s="68"/>
      <c r="BJ379" s="68"/>
      <c r="BT379">
        <v>1</v>
      </c>
      <c r="BV379">
        <v>1</v>
      </c>
      <c r="BX379" s="68"/>
      <c r="BY379" s="68">
        <v>1</v>
      </c>
      <c r="BZ379" s="68" t="s">
        <v>1057</v>
      </c>
      <c r="CA379" s="68" t="s">
        <v>1057</v>
      </c>
      <c r="CB379" s="68" t="s">
        <v>1057</v>
      </c>
      <c r="CC379" s="68" t="e">
        <f t="shared" si="104"/>
        <v>#DIV/0!</v>
      </c>
      <c r="CD379" s="68" t="str">
        <f t="shared" si="105"/>
        <v>NA</v>
      </c>
    </row>
    <row r="380" spans="1:82" ht="15.75" customHeight="1" thickBot="1" x14ac:dyDescent="0.3">
      <c r="A380" s="9">
        <v>379</v>
      </c>
      <c r="B380" s="10" t="s">
        <v>327</v>
      </c>
      <c r="C380" s="10" t="s">
        <v>927</v>
      </c>
      <c r="D380" s="10" t="s">
        <v>17</v>
      </c>
      <c r="E380" s="51">
        <v>-133.52968318214701</v>
      </c>
      <c r="F380" s="51">
        <v>79.248233087202294</v>
      </c>
      <c r="G380" s="51">
        <v>141.28277530241701</v>
      </c>
      <c r="H380" s="51">
        <v>3.8041563786008199</v>
      </c>
      <c r="I380" s="11">
        <v>1.2</v>
      </c>
      <c r="J380" s="51">
        <v>9.8468422099919106</v>
      </c>
      <c r="K380" s="249">
        <f>IFERROR(VLOOKUP(C380,Schedule!$T$3:$U$34,2,0),"FA")</f>
        <v>9</v>
      </c>
      <c r="L380" s="10" t="str">
        <f>D380&amp;COUNTIF(D$2:$D380,D380)</f>
        <v>WR99</v>
      </c>
      <c r="M380" s="51">
        <f t="array" ref="M380">IFERROR(F380-AVERAGE(VLOOKUP(D380,$D381:$F$885,3,0),INDEX($F381:$F$885,SMALL(IF(D380=$D381:$D$885,ROW($D381:$D$885)-ROW(D380)),2))),0)</f>
        <v>1.9233634946085942</v>
      </c>
      <c r="N380" s="51">
        <f>IFERROR(IF(VLOOKUP($B380,Input!$AC$2:$AC$162,1,0)=$B380,0),F380)</f>
        <v>79.248233087202294</v>
      </c>
      <c r="O380" s="51">
        <f>IFERROR(IF(VLOOKUP($B380,Input!$AC$2:$AC$162,1,0)=$B380,0,G380),G380)</f>
        <v>141.28277530241701</v>
      </c>
      <c r="P380" s="51">
        <f>IF(N380=0,0,F380-AVERAGE(INDEX(F:F,MATCH(VLOOKUP(D380,Input!$A$14:$L$22,10,0),L:L,0)),INDEX(F:F,MATCH(VLOOKUP(D380,Input!$A$14:$L$22,11,0),L:L,0)),INDEX(F:F,MATCH(VLOOKUP(D380,Input!$A$14:$L$22,12,0),L:L,0)))+(0.01-ROW()*0.01))</f>
        <v>-137.31968318214672</v>
      </c>
      <c r="Q380" s="107">
        <f t="shared" si="100"/>
        <v>-4.7374321348476231E-2</v>
      </c>
      <c r="R380" s="11">
        <f>IF(VLOOKUP($D380,$X$14:$Y$19,2,0)&lt;=0,1,IF(Q380&lt;0,1,ROUNDUP(IF(Q380*('Draft Center'!$L$28+'Draft Center'!$L$78-'Draft Center'!$L$82)&lt;1,1,Q380*('Draft Center'!$L$28+'Draft Center'!$L$78-'Draft Center'!$L$82)),0)))</f>
        <v>1</v>
      </c>
      <c r="S380" s="11">
        <f>IF(A380&lt;Input!$B$10+0.1,IF(ROUNDUP(R380*Input!$C$10,0)=0,1,ROUNDUP(R380*Input!$C$10,0)),IF(A380&gt;Input!$B$11,IF(ROUNDUP(R380*Input!$C$11,0)=0,1,ROUNDUP(R380*Input!$C$11,0)),IF(ROUNDUP(R380,0)=0,1,ROUNDUP(R380,0))))</f>
        <v>1</v>
      </c>
      <c r="T380" s="11">
        <f t="shared" si="101"/>
        <v>1</v>
      </c>
      <c r="U380" s="11">
        <f>IFERROR(VLOOKUP($B380,Input!$AC$2:$AE$161,3,0),0)</f>
        <v>0</v>
      </c>
      <c r="V380" s="257">
        <f t="shared" si="102"/>
        <v>-0.16286666666666663</v>
      </c>
      <c r="W380" s="264">
        <f t="shared" si="103"/>
        <v>-0.19619999999999996</v>
      </c>
      <c r="X380" s="68"/>
      <c r="Y380" s="68"/>
      <c r="Z380" s="68"/>
      <c r="AA380" s="68"/>
      <c r="AB380" s="68"/>
      <c r="AC380" s="68"/>
      <c r="AD380" s="68"/>
      <c r="AE380" s="68"/>
      <c r="AF380" s="68"/>
      <c r="AG380" s="68"/>
      <c r="AH380" s="68"/>
      <c r="AI380" s="68"/>
      <c r="AJ380" s="68">
        <v>1</v>
      </c>
      <c r="AL380" s="68">
        <v>1</v>
      </c>
      <c r="AM380" s="68"/>
      <c r="AN380" s="68"/>
      <c r="AO380" s="68"/>
      <c r="AQ380" s="68"/>
      <c r="AR380" s="68"/>
      <c r="AS380" s="68"/>
      <c r="AT380" s="68"/>
      <c r="AU380" s="68"/>
      <c r="AV380" s="68"/>
      <c r="AW380" s="68"/>
      <c r="AX380" s="68"/>
      <c r="AY380" s="68"/>
      <c r="AZ380" s="68"/>
      <c r="BB380" s="68"/>
      <c r="BC380" s="68"/>
      <c r="BJ380" s="68"/>
      <c r="BT380">
        <v>1</v>
      </c>
      <c r="BV380">
        <v>1</v>
      </c>
      <c r="BX380" s="68"/>
      <c r="BY380" s="68">
        <v>1</v>
      </c>
      <c r="BZ380" s="68">
        <v>1.2</v>
      </c>
      <c r="CA380" s="68">
        <v>1.2</v>
      </c>
      <c r="CB380" s="68">
        <v>1.2</v>
      </c>
      <c r="CC380" s="68">
        <f t="shared" si="104"/>
        <v>1.2</v>
      </c>
      <c r="CD380" s="68">
        <f t="shared" si="105"/>
        <v>1.2</v>
      </c>
    </row>
    <row r="381" spans="1:82" ht="15.75" customHeight="1" thickBot="1" x14ac:dyDescent="0.3">
      <c r="A381" s="6">
        <v>380</v>
      </c>
      <c r="B381" s="7" t="s">
        <v>802</v>
      </c>
      <c r="C381" s="7" t="s">
        <v>38</v>
      </c>
      <c r="D381" s="7" t="s">
        <v>43</v>
      </c>
      <c r="E381" s="50">
        <v>-133.68125851013201</v>
      </c>
      <c r="F381" s="50">
        <v>19.779660842077401</v>
      </c>
      <c r="G381" s="50">
        <v>42.999764159726297</v>
      </c>
      <c r="H381" s="50">
        <v>0</v>
      </c>
      <c r="I381" s="8">
        <v>0</v>
      </c>
      <c r="J381" s="50">
        <v>4.3398920439790496</v>
      </c>
      <c r="K381" s="248">
        <f>IFERROR(VLOOKUP(C381,Schedule!$T$3:$U$34,2,0),"FA")</f>
        <v>6</v>
      </c>
      <c r="L381" s="7" t="str">
        <f>D381&amp;COUNTIF(D$2:$D381,D381)</f>
        <v>TE80</v>
      </c>
      <c r="M381" s="50">
        <f t="array" ref="M381">IFERROR(F381-AVERAGE(VLOOKUP(D381,$D382:$F$885,3,0),INDEX($F382:$F$885,SMALL(IF(D381=$D382:$D$885,ROW($D382:$D$885)-ROW(D381)),2))),0)</f>
        <v>0.37541222561680243</v>
      </c>
      <c r="N381" s="50">
        <f>IFERROR(IF(VLOOKUP($B381,Input!$AC$2:$AC$162,1,0)=$B381,0),F381)</f>
        <v>19.779660842077401</v>
      </c>
      <c r="O381" s="50">
        <f>IFERROR(IF(VLOOKUP($B381,Input!$AC$2:$AC$162,1,0)=$B381,0,G381),G381)</f>
        <v>42.999764159726297</v>
      </c>
      <c r="P381" s="50">
        <f>IF(N381=0,0,F381-AVERAGE(INDEX(F:F,MATCH(VLOOKUP(D381,Input!$A$14:$L$22,10,0),L:L,0)),INDEX(F:F,MATCH(VLOOKUP(D381,Input!$A$14:$L$22,11,0),L:L,0)),INDEX(F:F,MATCH(VLOOKUP(D381,Input!$A$14:$L$22,12,0),L:L,0)))+(0.01-ROW()*0.01))</f>
        <v>-137.48125851013194</v>
      </c>
      <c r="Q381" s="106">
        <f t="shared" si="100"/>
        <v>-4.7430063696059455E-2</v>
      </c>
      <c r="R381" s="8">
        <f>IF(VLOOKUP($D381,$X$14:$Y$19,2,0)&lt;=0,1,IF(Q381&lt;0,1,ROUNDUP(IF(Q381*('Draft Center'!$L$28+'Draft Center'!$L$78-'Draft Center'!$L$82)&lt;1,1,Q381*('Draft Center'!$L$28+'Draft Center'!$L$78-'Draft Center'!$L$82)),0)))</f>
        <v>1</v>
      </c>
      <c r="S381" s="8">
        <f>IF(A381&lt;Input!$B$10+0.1,IF(ROUNDUP(R381*Input!$C$10,0)=0,1,ROUNDUP(R381*Input!$C$10,0)),IF(A381&gt;Input!$B$11,IF(ROUNDUP(R381*Input!$C$11,0)=0,1,ROUNDUP(R381*Input!$C$11,0)),IF(ROUNDUP(R381,0)=0,1,ROUNDUP(R381,0))))</f>
        <v>1</v>
      </c>
      <c r="T381" s="8">
        <f t="shared" si="101"/>
        <v>1</v>
      </c>
      <c r="U381" s="8">
        <f>IFERROR(VLOOKUP($B381,Input!$AC$2:$AE$161,3,0),0)</f>
        <v>0</v>
      </c>
      <c r="V381" s="256">
        <f t="shared" si="102"/>
        <v>0</v>
      </c>
      <c r="W381" s="263">
        <f t="shared" si="103"/>
        <v>1.0038100000000001</v>
      </c>
      <c r="X381" s="68"/>
      <c r="Y381" s="68"/>
      <c r="Z381" s="68"/>
      <c r="AA381" s="68"/>
      <c r="AB381" s="68"/>
      <c r="AC381" s="68"/>
      <c r="AD381" s="68"/>
      <c r="AE381" s="68"/>
      <c r="AF381" s="68"/>
      <c r="AG381" s="68"/>
      <c r="AH381" s="68"/>
      <c r="AI381" s="68"/>
      <c r="AJ381" s="68">
        <v>1</v>
      </c>
      <c r="AL381" s="68">
        <v>1</v>
      </c>
      <c r="AM381" s="68"/>
      <c r="AN381" s="68"/>
      <c r="AO381" s="68"/>
      <c r="AQ381" s="68"/>
      <c r="AR381" s="68"/>
      <c r="AS381" s="68"/>
      <c r="AT381" s="68"/>
      <c r="AU381" s="68"/>
      <c r="AV381" s="68"/>
      <c r="AW381" s="68"/>
      <c r="AX381" s="68"/>
      <c r="AY381" s="68"/>
      <c r="AZ381" s="68"/>
      <c r="BB381" s="68"/>
      <c r="BC381" s="68"/>
      <c r="BJ381" s="68"/>
      <c r="BT381">
        <v>1</v>
      </c>
      <c r="BV381">
        <v>1</v>
      </c>
      <c r="BX381" s="68"/>
      <c r="BY381" s="68">
        <v>1</v>
      </c>
      <c r="BZ381" s="68">
        <v>0</v>
      </c>
      <c r="CA381" s="68">
        <v>0</v>
      </c>
      <c r="CB381" s="68">
        <v>0</v>
      </c>
      <c r="CC381" s="68">
        <f t="shared" si="104"/>
        <v>0</v>
      </c>
      <c r="CD381" s="68">
        <f t="shared" si="105"/>
        <v>0</v>
      </c>
    </row>
    <row r="382" spans="1:82" ht="15.75" customHeight="1" thickBot="1" x14ac:dyDescent="0.3">
      <c r="A382" s="9">
        <v>381</v>
      </c>
      <c r="B382" s="10" t="s">
        <v>985</v>
      </c>
      <c r="C382" s="10" t="s">
        <v>23</v>
      </c>
      <c r="D382" s="10" t="s">
        <v>43</v>
      </c>
      <c r="E382" s="51">
        <v>-133.85630418462</v>
      </c>
      <c r="F382" s="51">
        <v>19.6046151675896</v>
      </c>
      <c r="G382" s="51">
        <v>26.351315524127699</v>
      </c>
      <c r="H382" s="51">
        <v>9.8886158700207201</v>
      </c>
      <c r="I382" s="11">
        <v>0</v>
      </c>
      <c r="J382" s="51">
        <v>6.8149320441519201</v>
      </c>
      <c r="K382" s="249">
        <f>IFERROR(VLOOKUP(C382,Schedule!$T$3:$U$34,2,0),"FA")</f>
        <v>5</v>
      </c>
      <c r="L382" s="10" t="str">
        <f>D382&amp;COUNTIF(D$2:$D382,D382)</f>
        <v>TE81</v>
      </c>
      <c r="M382" s="51">
        <f t="array" ref="M382">IFERROR(F382-AVERAGE(VLOOKUP(D382,$D383:$F$885,3,0),INDEX($F383:$F$885,SMALL(IF(D382=$D383:$D$885,ROW($D383:$D$885)-ROW(D382)),2))),0)</f>
        <v>1.0341475832325493</v>
      </c>
      <c r="N382" s="51">
        <f>IFERROR(IF(VLOOKUP($B382,Input!$AC$2:$AC$162,1,0)=$B382,0),F382)</f>
        <v>19.6046151675896</v>
      </c>
      <c r="O382" s="51">
        <f>IFERROR(IF(VLOOKUP($B382,Input!$AC$2:$AC$162,1,0)=$B382,0,G382),G382)</f>
        <v>26.351315524127699</v>
      </c>
      <c r="P382" s="51">
        <f>IF(N382=0,0,F382-AVERAGE(INDEX(F:F,MATCH(VLOOKUP(D382,Input!$A$14:$L$22,10,0),L:L,0)),INDEX(F:F,MATCH(VLOOKUP(D382,Input!$A$14:$L$22,11,0),L:L,0)),INDEX(F:F,MATCH(VLOOKUP(D382,Input!$A$14:$L$22,12,0),L:L,0)))+(0.01-ROW()*0.01))</f>
        <v>-137.66630418461972</v>
      </c>
      <c r="Q382" s="107">
        <f t="shared" si="100"/>
        <v>-4.7493903147507226E-2</v>
      </c>
      <c r="R382" s="11">
        <f>IF(VLOOKUP($D382,$X$14:$Y$19,2,0)&lt;=0,1,IF(Q382&lt;0,1,ROUNDUP(IF(Q382*('Draft Center'!$L$28+'Draft Center'!$L$78-'Draft Center'!$L$82)&lt;1,1,Q382*('Draft Center'!$L$28+'Draft Center'!$L$78-'Draft Center'!$L$82)),0)))</f>
        <v>1</v>
      </c>
      <c r="S382" s="11">
        <f>IF(A382&lt;Input!$B$10+0.1,IF(ROUNDUP(R382*Input!$C$10,0)=0,1,ROUNDUP(R382*Input!$C$10,0)),IF(A382&gt;Input!$B$11,IF(ROUNDUP(R382*Input!$C$11,0)=0,1,ROUNDUP(R382*Input!$C$11,0)),IF(ROUNDUP(R382,0)=0,1,ROUNDUP(R382,0))))</f>
        <v>1</v>
      </c>
      <c r="T382" s="11">
        <f t="shared" si="101"/>
        <v>1</v>
      </c>
      <c r="U382" s="11">
        <f>IFERROR(VLOOKUP($B382,Input!$AC$2:$AE$161,3,0),0)</f>
        <v>0</v>
      </c>
      <c r="V382" s="257">
        <f t="shared" si="102"/>
        <v>0</v>
      </c>
      <c r="W382" s="264">
        <f t="shared" si="103"/>
        <v>1.0038199999999999</v>
      </c>
      <c r="X382" s="68"/>
      <c r="Y382" s="68"/>
      <c r="Z382" s="68"/>
      <c r="AA382" s="68"/>
      <c r="AB382" s="68"/>
      <c r="AC382" s="68"/>
      <c r="AD382" s="68"/>
      <c r="AE382" s="68"/>
      <c r="AF382" s="68"/>
      <c r="AG382" s="68"/>
      <c r="AH382" s="68"/>
      <c r="AI382" s="68"/>
      <c r="AJ382" s="68">
        <v>1</v>
      </c>
      <c r="AL382" s="68">
        <v>1</v>
      </c>
      <c r="AM382" s="68"/>
      <c r="AN382" s="68"/>
      <c r="AO382" s="68"/>
      <c r="AQ382" s="68"/>
      <c r="AR382" s="68"/>
      <c r="AS382" s="68"/>
      <c r="AT382" s="68"/>
      <c r="AU382" s="68"/>
      <c r="AV382" s="68"/>
      <c r="AW382" s="68"/>
      <c r="AX382" s="68"/>
      <c r="AY382" s="68"/>
      <c r="AZ382" s="68"/>
      <c r="BB382" s="68"/>
      <c r="BC382" s="68"/>
      <c r="BJ382" s="68"/>
      <c r="BT382">
        <v>1</v>
      </c>
      <c r="BV382">
        <v>1</v>
      </c>
      <c r="BX382" s="68"/>
      <c r="BY382" s="68">
        <v>1</v>
      </c>
      <c r="BZ382" s="68">
        <v>0</v>
      </c>
      <c r="CA382" s="68">
        <v>0</v>
      </c>
      <c r="CB382" s="68">
        <v>0</v>
      </c>
      <c r="CC382" s="68">
        <f t="shared" si="104"/>
        <v>0</v>
      </c>
      <c r="CD382" s="68">
        <f t="shared" si="105"/>
        <v>0</v>
      </c>
    </row>
    <row r="383" spans="1:82" ht="15.75" customHeight="1" thickBot="1" x14ac:dyDescent="0.3">
      <c r="A383" s="6">
        <v>382</v>
      </c>
      <c r="B383" s="7" t="s">
        <v>1016</v>
      </c>
      <c r="C383" s="7" t="s">
        <v>66</v>
      </c>
      <c r="D383" s="7" t="s">
        <v>53</v>
      </c>
      <c r="E383" s="50">
        <v>-134.11875120877099</v>
      </c>
      <c r="F383" s="50">
        <v>138.22889242406501</v>
      </c>
      <c r="G383" s="50">
        <v>215.601014159664</v>
      </c>
      <c r="H383" s="50">
        <v>0</v>
      </c>
      <c r="I383" s="8">
        <v>0</v>
      </c>
      <c r="J383" s="50">
        <v>11.298325609264101</v>
      </c>
      <c r="K383" s="248">
        <f>IFERROR(VLOOKUP(C383,Schedule!$T$3:$U$34,2,0),"FA")</f>
        <v>7</v>
      </c>
      <c r="L383" s="7" t="str">
        <f>D383&amp;COUNTIF(D$2:$D383,D383)</f>
        <v>QB29</v>
      </c>
      <c r="M383" s="50">
        <f t="array" ref="M383">IFERROR(F383-AVERAGE(VLOOKUP(D383,$D384:$F$885,3,0),INDEX($F384:$F$885,SMALL(IF(D383=$D384:$D$885,ROW($D384:$D$885)-ROW(D383)),2))),0)</f>
        <v>4.3247130569685055</v>
      </c>
      <c r="N383" s="50">
        <f>IFERROR(IF(VLOOKUP($B383,Input!$AC$2:$AC$162,1,0)=$B383,0),F383)</f>
        <v>138.22889242406501</v>
      </c>
      <c r="O383" s="50">
        <f>IFERROR(IF(VLOOKUP($B383,Input!$AC$2:$AC$162,1,0)=$B383,0,G383),G383)</f>
        <v>215.601014159664</v>
      </c>
      <c r="P383" s="50">
        <f>IF(N383=0,0,F383-AVERAGE(INDEX(F:F,MATCH(VLOOKUP(D383,Input!$A$14:$L$22,10,0),L:L,0)),INDEX(F:F,MATCH(VLOOKUP(D383,Input!$A$14:$L$22,11,0),L:L,0)),INDEX(F:F,MATCH(VLOOKUP(D383,Input!$A$14:$L$22,12,0),L:L,0)))+(0.01-ROW()*0.01))</f>
        <v>-137.93875120877061</v>
      </c>
      <c r="Q383" s="106">
        <f t="shared" si="100"/>
        <v>-4.7587895447616456E-2</v>
      </c>
      <c r="R383" s="8">
        <f>IF(VLOOKUP($D383,$X$14:$Y$19,2,0)&lt;=0,1,IF(Q383&lt;0,1,ROUNDUP(IF(Q383*('Draft Center'!$L$28+'Draft Center'!$L$78-'Draft Center'!$L$82)&lt;1,1,Q383*('Draft Center'!$L$28+'Draft Center'!$L$78-'Draft Center'!$L$82)),0)))</f>
        <v>1</v>
      </c>
      <c r="S383" s="8">
        <f>IF(A383&lt;Input!$B$10+0.1,IF(ROUNDUP(R383*Input!$C$10,0)=0,1,ROUNDUP(R383*Input!$C$10,0)),IF(A383&gt;Input!$B$11,IF(ROUNDUP(R383*Input!$C$11,0)=0,1,ROUNDUP(R383*Input!$C$11,0)),IF(ROUNDUP(R383,0)=0,1,ROUNDUP(R383,0))))</f>
        <v>1</v>
      </c>
      <c r="T383" s="8">
        <f t="shared" si="101"/>
        <v>1</v>
      </c>
      <c r="U383" s="8">
        <f>IFERROR(VLOOKUP($B383,Input!$AC$2:$AE$161,3,0),0)</f>
        <v>0</v>
      </c>
      <c r="V383" s="256">
        <f t="shared" si="102"/>
        <v>0</v>
      </c>
      <c r="W383" s="263">
        <f t="shared" si="103"/>
        <v>1.00383</v>
      </c>
      <c r="X383" s="68"/>
      <c r="Y383" s="68"/>
      <c r="Z383" s="68"/>
      <c r="AA383" s="68"/>
      <c r="AB383" s="68"/>
      <c r="AC383" s="68"/>
      <c r="AD383" s="68"/>
      <c r="AE383" s="68"/>
      <c r="AF383" s="68"/>
      <c r="AG383" s="68"/>
      <c r="AH383" s="68"/>
      <c r="AI383" s="68"/>
      <c r="AJ383" s="68">
        <v>1</v>
      </c>
      <c r="AL383" s="68">
        <v>1</v>
      </c>
      <c r="AM383" s="68"/>
      <c r="AN383" s="68"/>
      <c r="AO383" s="68"/>
      <c r="AQ383" s="68"/>
      <c r="AR383" s="68"/>
      <c r="AS383" s="68"/>
      <c r="AT383" s="68"/>
      <c r="AU383" s="68"/>
      <c r="AV383" s="68"/>
      <c r="AW383" s="68"/>
      <c r="AX383" s="68"/>
      <c r="AY383" s="68"/>
      <c r="AZ383" s="68"/>
      <c r="BB383" s="68"/>
      <c r="BC383" s="68"/>
      <c r="BJ383" s="68"/>
      <c r="BT383">
        <v>1</v>
      </c>
      <c r="BV383">
        <v>1</v>
      </c>
      <c r="BX383" s="68"/>
      <c r="BY383" s="68">
        <v>1</v>
      </c>
      <c r="BZ383" s="68">
        <v>0</v>
      </c>
      <c r="CA383" s="68">
        <v>0</v>
      </c>
      <c r="CB383" s="68">
        <v>0</v>
      </c>
      <c r="CC383" s="68">
        <f t="shared" si="104"/>
        <v>0</v>
      </c>
      <c r="CD383" s="68">
        <f t="shared" si="105"/>
        <v>0</v>
      </c>
    </row>
    <row r="384" spans="1:82" ht="15.75" customHeight="1" thickBot="1" x14ac:dyDescent="0.3">
      <c r="A384" s="9">
        <v>383</v>
      </c>
      <c r="B384" s="10" t="s">
        <v>438</v>
      </c>
      <c r="C384" s="10" t="s">
        <v>927</v>
      </c>
      <c r="D384" s="10" t="s">
        <v>17</v>
      </c>
      <c r="E384" s="51">
        <v>-134.16265024901099</v>
      </c>
      <c r="F384" s="51">
        <v>78.615266020338495</v>
      </c>
      <c r="G384" s="51">
        <v>118.034112013021</v>
      </c>
      <c r="H384" s="51">
        <v>40.975422790515402</v>
      </c>
      <c r="I384" s="11">
        <v>0</v>
      </c>
      <c r="J384" s="51">
        <v>7.1847082001857903</v>
      </c>
      <c r="K384" s="249">
        <f>IFERROR(VLOOKUP(C384,Schedule!$T$3:$U$34,2,0),"FA")</f>
        <v>9</v>
      </c>
      <c r="L384" s="10" t="str">
        <f>D384&amp;COUNTIF(D$2:$D384,D384)</f>
        <v>WR100</v>
      </c>
      <c r="M384" s="51">
        <f t="array" ref="M384">IFERROR(F384-AVERAGE(VLOOKUP(D384,$D385:$F$885,3,0),INDEX($F385:$F$885,SMALL(IF(D384=$D385:$D$885,ROW($D385:$D$885)-ROW(D384)),2))),0)</f>
        <v>3.2010629060331439</v>
      </c>
      <c r="N384" s="51">
        <f>IFERROR(IF(VLOOKUP($B384,Input!$AC$2:$AC$162,1,0)=$B384,0),F384)</f>
        <v>78.615266020338495</v>
      </c>
      <c r="O384" s="51">
        <f>IFERROR(IF(VLOOKUP($B384,Input!$AC$2:$AC$162,1,0)=$B384,0,G384),G384)</f>
        <v>118.034112013021</v>
      </c>
      <c r="P384" s="51">
        <f>IF(N384=0,0,F384-AVERAGE(INDEX(F:F,MATCH(VLOOKUP(D384,Input!$A$14:$L$22,10,0),L:L,0)),INDEX(F:F,MATCH(VLOOKUP(D384,Input!$A$14:$L$22,11,0),L:L,0)),INDEX(F:F,MATCH(VLOOKUP(D384,Input!$A$14:$L$22,12,0),L:L,0)))+(0.01-ROW()*0.01))</f>
        <v>-137.99265024901055</v>
      </c>
      <c r="Q384" s="107">
        <f t="shared" si="100"/>
        <v>-4.7606490236022092E-2</v>
      </c>
      <c r="R384" s="11">
        <f>IF(VLOOKUP($D384,$X$14:$Y$19,2,0)&lt;=0,1,IF(Q384&lt;0,1,ROUNDUP(IF(Q384*('Draft Center'!$L$28+'Draft Center'!$L$78-'Draft Center'!$L$82)&lt;1,1,Q384*('Draft Center'!$L$28+'Draft Center'!$L$78-'Draft Center'!$L$82)),0)))</f>
        <v>1</v>
      </c>
      <c r="S384" s="11">
        <f>IF(A384&lt;Input!$B$10+0.1,IF(ROUNDUP(R384*Input!$C$10,0)=0,1,ROUNDUP(R384*Input!$C$10,0)),IF(A384&gt;Input!$B$11,IF(ROUNDUP(R384*Input!$C$11,0)=0,1,ROUNDUP(R384*Input!$C$11,0)),IF(ROUNDUP(R384,0)=0,1,ROUNDUP(R384,0))))</f>
        <v>1</v>
      </c>
      <c r="T384" s="11">
        <f t="shared" si="101"/>
        <v>1</v>
      </c>
      <c r="U384" s="11">
        <f>IFERROR(VLOOKUP($B384,Input!$AC$2:$AE$161,3,0),0)</f>
        <v>0</v>
      </c>
      <c r="V384" s="257">
        <f t="shared" si="102"/>
        <v>0</v>
      </c>
      <c r="W384" s="264">
        <f t="shared" si="103"/>
        <v>1.0038400000000001</v>
      </c>
      <c r="X384" s="68"/>
      <c r="Y384" s="68"/>
      <c r="Z384" s="68"/>
      <c r="AA384" s="68"/>
      <c r="AB384" s="68"/>
      <c r="AC384" s="68"/>
      <c r="AD384" s="68"/>
      <c r="AE384" s="68"/>
      <c r="AF384" s="68"/>
      <c r="AG384" s="68"/>
      <c r="AH384" s="68"/>
      <c r="AI384" s="68"/>
      <c r="AJ384" s="68">
        <v>1</v>
      </c>
      <c r="AL384" s="68">
        <v>1</v>
      </c>
      <c r="AM384" s="68"/>
      <c r="AN384" s="68"/>
      <c r="AO384" s="68"/>
      <c r="AQ384" s="68"/>
      <c r="AR384" s="68"/>
      <c r="AS384" s="68"/>
      <c r="AT384" s="68"/>
      <c r="AU384" s="68"/>
      <c r="AV384" s="68"/>
      <c r="AW384" s="68"/>
      <c r="AX384" s="68"/>
      <c r="AY384" s="68"/>
      <c r="AZ384" s="68"/>
      <c r="BB384" s="68"/>
      <c r="BC384" s="68"/>
      <c r="BJ384" s="68"/>
      <c r="BT384">
        <v>1</v>
      </c>
      <c r="BV384">
        <v>1</v>
      </c>
      <c r="BX384" s="68"/>
      <c r="BY384" s="68">
        <v>1</v>
      </c>
      <c r="BZ384" s="68">
        <v>0</v>
      </c>
      <c r="CA384" s="68">
        <v>0</v>
      </c>
      <c r="CB384" s="68">
        <v>0</v>
      </c>
      <c r="CC384" s="68">
        <f t="shared" si="104"/>
        <v>0</v>
      </c>
      <c r="CD384" s="68">
        <f t="shared" si="105"/>
        <v>0</v>
      </c>
    </row>
    <row r="385" spans="1:82" ht="15.75" customHeight="1" thickBot="1" x14ac:dyDescent="0.3">
      <c r="A385" s="6">
        <v>384</v>
      </c>
      <c r="B385" s="7" t="s">
        <v>978</v>
      </c>
      <c r="C385" s="7" t="s">
        <v>33</v>
      </c>
      <c r="D385" s="7" t="s">
        <v>43</v>
      </c>
      <c r="E385" s="50">
        <v>-134.25703728687799</v>
      </c>
      <c r="F385" s="50">
        <v>19.203882065331602</v>
      </c>
      <c r="G385" s="50">
        <v>30.195742946776399</v>
      </c>
      <c r="H385" s="50">
        <v>2.2831824417009599</v>
      </c>
      <c r="I385" s="8">
        <v>0</v>
      </c>
      <c r="J385" s="50">
        <v>8.9163811009024698</v>
      </c>
      <c r="K385" s="248">
        <f>IFERROR(VLOOKUP(C385,Schedule!$T$3:$U$34,2,0),"FA")</f>
        <v>9</v>
      </c>
      <c r="L385" s="7" t="str">
        <f>D385&amp;COUNTIF(D$2:$D385,D385)</f>
        <v>TE82</v>
      </c>
      <c r="M385" s="50">
        <f t="array" ref="M385">IFERROR(F385-AVERAGE(VLOOKUP(D385,$D386:$F$885,3,0),INDEX($F386:$F$885,SMALL(IF(D385=$D386:$D$885,ROW($D386:$D$885)-ROW(D385)),2))),0)</f>
        <v>1.5515034315354015</v>
      </c>
      <c r="N385" s="50">
        <f>IFERROR(IF(VLOOKUP($B385,Input!$AC$2:$AC$162,1,0)=$B385,0),F385)</f>
        <v>19.203882065331602</v>
      </c>
      <c r="O385" s="50">
        <f>IFERROR(IF(VLOOKUP($B385,Input!$AC$2:$AC$162,1,0)=$B385,0,G385),G385)</f>
        <v>30.195742946776399</v>
      </c>
      <c r="P385" s="50">
        <f>IF(N385=0,0,F385-AVERAGE(INDEX(F:F,MATCH(VLOOKUP(D385,Input!$A$14:$L$22,10,0),L:L,0)),INDEX(F:F,MATCH(VLOOKUP(D385,Input!$A$14:$L$22,11,0),L:L,0)),INDEX(F:F,MATCH(VLOOKUP(D385,Input!$A$14:$L$22,12,0),L:L,0)))+(0.01-ROW()*0.01))</f>
        <v>-138.09703728687771</v>
      </c>
      <c r="Q385" s="106">
        <f t="shared" si="100"/>
        <v>-4.7642503027210771E-2</v>
      </c>
      <c r="R385" s="8">
        <f>IF(VLOOKUP($D385,$X$14:$Y$19,2,0)&lt;=0,1,IF(Q385&lt;0,1,ROUNDUP(IF(Q385*('Draft Center'!$L$28+'Draft Center'!$L$78-'Draft Center'!$L$82)&lt;1,1,Q385*('Draft Center'!$L$28+'Draft Center'!$L$78-'Draft Center'!$L$82)),0)))</f>
        <v>1</v>
      </c>
      <c r="S385" s="8">
        <f>IF(A385&lt;Input!$B$10+0.1,IF(ROUNDUP(R385*Input!$C$10,0)=0,1,ROUNDUP(R385*Input!$C$10,0)),IF(A385&gt;Input!$B$11,IF(ROUNDUP(R385*Input!$C$11,0)=0,1,ROUNDUP(R385*Input!$C$11,0)),IF(ROUNDUP(R385,0)=0,1,ROUNDUP(R385,0))))</f>
        <v>1</v>
      </c>
      <c r="T385" s="8">
        <f t="shared" si="101"/>
        <v>1</v>
      </c>
      <c r="U385" s="8">
        <f>IFERROR(VLOOKUP($B385,Input!$AC$2:$AE$161,3,0),0)</f>
        <v>0</v>
      </c>
      <c r="V385" s="256">
        <f t="shared" si="102"/>
        <v>0</v>
      </c>
      <c r="W385" s="263">
        <f t="shared" si="103"/>
        <v>1.0038499999999999</v>
      </c>
      <c r="X385" s="68"/>
      <c r="Y385" s="68"/>
      <c r="Z385" s="68"/>
      <c r="AA385" s="68"/>
      <c r="AB385" s="68"/>
      <c r="AC385" s="68"/>
      <c r="AD385" s="68"/>
      <c r="AE385" s="68"/>
      <c r="AF385" s="68"/>
      <c r="AG385" s="68"/>
      <c r="AH385" s="68"/>
      <c r="AI385" s="68"/>
      <c r="AJ385" s="68">
        <v>1</v>
      </c>
      <c r="AL385" s="68">
        <v>1</v>
      </c>
      <c r="AM385" s="68"/>
      <c r="AN385" s="68"/>
      <c r="AO385" s="68"/>
      <c r="AQ385" s="68"/>
      <c r="AR385" s="68"/>
      <c r="AS385" s="68"/>
      <c r="AT385" s="68"/>
      <c r="AU385" s="68"/>
      <c r="AV385" s="68"/>
      <c r="AW385" s="68"/>
      <c r="AX385" s="68"/>
      <c r="AY385" s="68"/>
      <c r="AZ385" s="68"/>
      <c r="BB385" s="68"/>
      <c r="BC385" s="68"/>
      <c r="BJ385" s="68"/>
      <c r="BT385">
        <v>1</v>
      </c>
      <c r="BV385">
        <v>1</v>
      </c>
      <c r="BX385" s="68"/>
      <c r="BY385" s="68">
        <v>1</v>
      </c>
      <c r="BZ385" s="68">
        <v>0</v>
      </c>
      <c r="CA385" s="68">
        <v>0</v>
      </c>
      <c r="CB385" s="68">
        <v>0</v>
      </c>
      <c r="CC385" s="68">
        <f t="shared" si="104"/>
        <v>0</v>
      </c>
      <c r="CD385" s="68">
        <f t="shared" si="105"/>
        <v>0</v>
      </c>
    </row>
    <row r="386" spans="1:82" ht="15.75" customHeight="1" thickBot="1" x14ac:dyDescent="0.3">
      <c r="A386" s="9">
        <v>385</v>
      </c>
      <c r="B386" s="10" t="s">
        <v>999</v>
      </c>
      <c r="C386" s="10" t="s">
        <v>925</v>
      </c>
      <c r="D386" s="10" t="s">
        <v>43</v>
      </c>
      <c r="E386" s="51">
        <v>-135.52386624882701</v>
      </c>
      <c r="F386" s="51">
        <v>17.9370531033825</v>
      </c>
      <c r="G386" s="51">
        <v>36.981345502205997</v>
      </c>
      <c r="H386" s="51">
        <v>0</v>
      </c>
      <c r="I386" s="11">
        <v>0</v>
      </c>
      <c r="J386" s="51" t="s">
        <v>1057</v>
      </c>
      <c r="K386" s="249">
        <f>IFERROR(VLOOKUP(C386,Schedule!$T$3:$U$34,2,0),"FA")</f>
        <v>8</v>
      </c>
      <c r="L386" s="10" t="str">
        <f>D386&amp;COUNTIF(D$2:$D386,D386)</f>
        <v>TE83</v>
      </c>
      <c r="M386" s="51">
        <f t="array" ref="M386">IFERROR(F386-AVERAGE(VLOOKUP(D386,$D387:$F$885,3,0),INDEX($F387:$F$885,SMALL(IF(D386=$D387:$D$885,ROW($D387:$D$885)-ROW(D386)),2))),0)</f>
        <v>0.86538064703034934</v>
      </c>
      <c r="N386" s="51">
        <f>IFERROR(IF(VLOOKUP($B386,Input!$AC$2:$AC$162,1,0)=$B386,0),F386)</f>
        <v>17.9370531033825</v>
      </c>
      <c r="O386" s="51">
        <f>IFERROR(IF(VLOOKUP($B386,Input!$AC$2:$AC$162,1,0)=$B386,0,G386),G386)</f>
        <v>36.981345502205997</v>
      </c>
      <c r="P386" s="51">
        <f>IF(N386=0,0,F386-AVERAGE(INDEX(F:F,MATCH(VLOOKUP(D386,Input!$A$14:$L$22,10,0),L:L,0)),INDEX(F:F,MATCH(VLOOKUP(D386,Input!$A$14:$L$22,11,0),L:L,0)),INDEX(F:F,MATCH(VLOOKUP(D386,Input!$A$14:$L$22,12,0),L:L,0)))+(0.01-ROW()*0.01))</f>
        <v>-139.3738662488268</v>
      </c>
      <c r="Q386" s="107">
        <f t="shared" ref="Q386:Q449" si="106">IFERROR(P386/SUMIF(P:P,"&gt;0",P:P),0)</f>
        <v>-4.8083000005857177E-2</v>
      </c>
      <c r="R386" s="11">
        <f>IF(VLOOKUP($D386,$X$14:$Y$19,2,0)&lt;=0,1,IF(Q386&lt;0,1,ROUNDUP(IF(Q386*('Draft Center'!$L$28+'Draft Center'!$L$78-'Draft Center'!$L$82)&lt;1,1,Q386*('Draft Center'!$L$28+'Draft Center'!$L$78-'Draft Center'!$L$82)),0)))</f>
        <v>1</v>
      </c>
      <c r="S386" s="11">
        <f>IF(A386&lt;Input!$B$10+0.1,IF(ROUNDUP(R386*Input!$C$10,0)=0,1,ROUNDUP(R386*Input!$C$10,0)),IF(A386&gt;Input!$B$11,IF(ROUNDUP(R386*Input!$C$11,0)=0,1,ROUNDUP(R386*Input!$C$11,0)),IF(ROUNDUP(R386,0)=0,1,ROUNDUP(R386,0))))</f>
        <v>1</v>
      </c>
      <c r="T386" s="11">
        <f t="shared" ref="T386:T449" si="107">IF(U386&gt;0,0,IF(AA386=1,R386,IF(AL386=0,1,AL386)))</f>
        <v>1</v>
      </c>
      <c r="U386" s="11">
        <f>IFERROR(VLOOKUP($B386,Input!$AC$2:$AE$161,3,0),0)</f>
        <v>0</v>
      </c>
      <c r="V386" s="257">
        <f t="shared" si="102"/>
        <v>0</v>
      </c>
      <c r="W386" s="264">
        <f t="shared" si="103"/>
        <v>1.00386</v>
      </c>
      <c r="X386" s="68"/>
      <c r="Y386" s="68"/>
      <c r="Z386" s="68"/>
      <c r="AA386" s="68"/>
      <c r="AB386" s="68"/>
      <c r="AC386" s="68"/>
      <c r="AD386" s="68"/>
      <c r="AE386" s="68"/>
      <c r="AF386" s="68"/>
      <c r="AG386" s="68"/>
      <c r="AH386" s="68"/>
      <c r="AI386" s="68"/>
      <c r="AJ386" s="68">
        <v>1</v>
      </c>
      <c r="AL386" s="68">
        <v>1</v>
      </c>
      <c r="AM386" s="68"/>
      <c r="AN386" s="68"/>
      <c r="AO386" s="68"/>
      <c r="AQ386" s="68"/>
      <c r="AR386" s="68"/>
      <c r="AS386" s="68"/>
      <c r="AT386" s="68"/>
      <c r="AU386" s="68"/>
      <c r="AV386" s="68"/>
      <c r="AW386" s="68"/>
      <c r="AX386" s="68"/>
      <c r="AY386" s="68"/>
      <c r="AZ386" s="68"/>
      <c r="BB386" s="68"/>
      <c r="BC386" s="68"/>
      <c r="BJ386" s="68"/>
      <c r="BT386">
        <v>1</v>
      </c>
      <c r="BV386">
        <v>1</v>
      </c>
      <c r="BX386" s="68"/>
      <c r="BY386" s="68">
        <v>1</v>
      </c>
      <c r="BZ386" s="68">
        <v>0</v>
      </c>
      <c r="CA386" s="68">
        <v>0</v>
      </c>
      <c r="CB386" s="68">
        <v>0</v>
      </c>
      <c r="CC386" s="68">
        <f t="shared" si="104"/>
        <v>0</v>
      </c>
      <c r="CD386" s="68">
        <f t="shared" si="105"/>
        <v>0</v>
      </c>
    </row>
    <row r="387" spans="1:82" ht="15.75" customHeight="1" thickBot="1" x14ac:dyDescent="0.3">
      <c r="A387" s="6">
        <v>386</v>
      </c>
      <c r="B387" s="7" t="s">
        <v>341</v>
      </c>
      <c r="C387" s="7" t="s">
        <v>85</v>
      </c>
      <c r="D387" s="7" t="s">
        <v>19</v>
      </c>
      <c r="E387" s="50">
        <v>-135.58933331883699</v>
      </c>
      <c r="F387" s="50">
        <v>33.513064707114403</v>
      </c>
      <c r="G387" s="50">
        <v>50.8253110573255</v>
      </c>
      <c r="H387" s="50">
        <v>9.9541563786008194</v>
      </c>
      <c r="I387" s="8">
        <v>0</v>
      </c>
      <c r="J387" s="50">
        <v>4.9110764872531396</v>
      </c>
      <c r="K387" s="248">
        <f>IFERROR(VLOOKUP(C387,Schedule!$T$3:$U$34,2,0),"FA")</f>
        <v>11</v>
      </c>
      <c r="L387" s="7" t="str">
        <f>D387&amp;COUNTIF(D$2:$D387,D387)</f>
        <v>RB101</v>
      </c>
      <c r="M387" s="50">
        <f t="array" ref="M387">IFERROR(F387-AVERAGE(VLOOKUP(D387,$D388:$F$885,3,0),INDEX($F388:$F$885,SMALL(IF(D387=$D388:$D$885,ROW($D388:$D$885)-ROW(D387)),2))),0)</f>
        <v>0.43897057030225284</v>
      </c>
      <c r="N387" s="50">
        <f>IFERROR(IF(VLOOKUP($B387,Input!$AC$2:$AC$162,1,0)=$B387,0),F387)</f>
        <v>33.513064707114403</v>
      </c>
      <c r="O387" s="50">
        <f>IFERROR(IF(VLOOKUP($B387,Input!$AC$2:$AC$162,1,0)=$B387,0,G387),G387)</f>
        <v>50.8253110573255</v>
      </c>
      <c r="P387" s="50">
        <f>IF(N387=0,0,F387-AVERAGE(INDEX(F:F,MATCH(VLOOKUP(D387,Input!$A$14:$L$22,10,0),L:L,0)),INDEX(F:F,MATCH(VLOOKUP(D387,Input!$A$14:$L$22,11,0),L:L,0)),INDEX(F:F,MATCH(VLOOKUP(D387,Input!$A$14:$L$22,12,0),L:L,0)))+(0.01-ROW()*0.01))</f>
        <v>-139.4493333188376</v>
      </c>
      <c r="Q387" s="106">
        <f t="shared" si="106"/>
        <v>-4.8109035612283517E-2</v>
      </c>
      <c r="R387" s="8">
        <f>IF(VLOOKUP($D387,$X$14:$Y$19,2,0)&lt;=0,1,IF(Q387&lt;0,1,ROUNDUP(IF(Q387*('Draft Center'!$L$28+'Draft Center'!$L$78-'Draft Center'!$L$82)&lt;1,1,Q387*('Draft Center'!$L$28+'Draft Center'!$L$78-'Draft Center'!$L$82)),0)))</f>
        <v>1</v>
      </c>
      <c r="S387" s="8">
        <f>IF(A387&lt;Input!$B$10+0.1,IF(ROUNDUP(R387*Input!$C$10,0)=0,1,ROUNDUP(R387*Input!$C$10,0)),IF(A387&gt;Input!$B$11,IF(ROUNDUP(R387*Input!$C$11,0)=0,1,ROUNDUP(R387*Input!$C$11,0)),IF(ROUNDUP(R387,0)=0,1,ROUNDUP(R387,0))))</f>
        <v>1</v>
      </c>
      <c r="T387" s="8">
        <f t="shared" si="107"/>
        <v>1</v>
      </c>
      <c r="U387" s="8">
        <f>IFERROR(VLOOKUP($B387,Input!$AC$2:$AE$161,3,0),0)</f>
        <v>0</v>
      </c>
      <c r="V387" s="256">
        <f t="shared" ref="V387:V450" si="108">IF(R387=0,0,IFERROR(((R387-CD387)/CD387)+(ROW()*0.00001),0))</f>
        <v>0</v>
      </c>
      <c r="W387" s="263">
        <f t="shared" ref="W387:W450" si="109">IF(R387=0,0,IFERROR(((R387-CD387))+(ROW()*0.00001),0))</f>
        <v>1.00387</v>
      </c>
      <c r="X387" s="68"/>
      <c r="Y387" s="68"/>
      <c r="Z387" s="68"/>
      <c r="AA387" s="68"/>
      <c r="AB387" s="68"/>
      <c r="AC387" s="68"/>
      <c r="AD387" s="68"/>
      <c r="AE387" s="68"/>
      <c r="AF387" s="68"/>
      <c r="AG387" s="68"/>
      <c r="AH387" s="68"/>
      <c r="AI387" s="68"/>
      <c r="AJ387" s="68">
        <v>1</v>
      </c>
      <c r="AL387" s="68">
        <v>1</v>
      </c>
      <c r="AM387" s="68"/>
      <c r="AN387" s="68"/>
      <c r="AO387" s="68"/>
      <c r="AQ387" s="68"/>
      <c r="AR387" s="68"/>
      <c r="AS387" s="68"/>
      <c r="AT387" s="68"/>
      <c r="AU387" s="68"/>
      <c r="AV387" s="68"/>
      <c r="AW387" s="68"/>
      <c r="AX387" s="68"/>
      <c r="AY387" s="68"/>
      <c r="AZ387" s="68"/>
      <c r="BB387" s="68"/>
      <c r="BC387" s="68"/>
      <c r="BJ387" s="68"/>
      <c r="BT387">
        <v>1</v>
      </c>
      <c r="BV387">
        <v>1</v>
      </c>
      <c r="BX387" s="68"/>
      <c r="BY387" s="68">
        <v>1</v>
      </c>
      <c r="BZ387" s="68">
        <v>0</v>
      </c>
      <c r="CA387" s="68">
        <v>0</v>
      </c>
      <c r="CB387" s="68">
        <v>0</v>
      </c>
      <c r="CC387" s="68">
        <f t="shared" ref="CC387:CC450" si="110">AVERAGE(BZ387:CB387)</f>
        <v>0</v>
      </c>
      <c r="CD387" s="68">
        <f t="shared" ref="CD387:CD450" si="111">IFERROR(HLOOKUP($CD$1,$BZ$1:$CC$930,ROW(),0),"")</f>
        <v>0</v>
      </c>
    </row>
    <row r="388" spans="1:82" ht="15.75" customHeight="1" thickBot="1" x14ac:dyDescent="0.3">
      <c r="A388" s="9">
        <v>387</v>
      </c>
      <c r="B388" s="10" t="s">
        <v>303</v>
      </c>
      <c r="C388" s="10" t="s">
        <v>50</v>
      </c>
      <c r="D388" s="10" t="s">
        <v>19</v>
      </c>
      <c r="E388" s="51">
        <v>-135.93865242272901</v>
      </c>
      <c r="F388" s="51">
        <v>33.1637456032228</v>
      </c>
      <c r="G388" s="51">
        <v>46.708871530382602</v>
      </c>
      <c r="H388" s="51">
        <v>7.5020503261882601</v>
      </c>
      <c r="I388" s="11">
        <v>0</v>
      </c>
      <c r="J388" s="51">
        <v>7.5991741763697602</v>
      </c>
      <c r="K388" s="249">
        <f>IFERROR(VLOOKUP(C388,Schedule!$T$3:$U$34,2,0),"FA")</f>
        <v>6</v>
      </c>
      <c r="L388" s="10" t="str">
        <f>D388&amp;COUNTIF(D$2:$D388,D388)</f>
        <v>RB102</v>
      </c>
      <c r="M388" s="51">
        <f t="array" ref="M388">IFERROR(F388-AVERAGE(VLOOKUP(D388,$D389:$F$885,3,0),INDEX($F389:$F$885,SMALL(IF(D388=$D389:$D$885,ROW($D389:$D$885)-ROW(D388)),2))),0)</f>
        <v>1.1203864071081995</v>
      </c>
      <c r="N388" s="51">
        <f>IFERROR(IF(VLOOKUP($B388,Input!$AC$2:$AC$162,1,0)=$B388,0),F388)</f>
        <v>33.1637456032228</v>
      </c>
      <c r="O388" s="51">
        <f>IFERROR(IF(VLOOKUP($B388,Input!$AC$2:$AC$162,1,0)=$B388,0,G388),G388)</f>
        <v>46.708871530382602</v>
      </c>
      <c r="P388" s="51">
        <f>IF(N388=0,0,F388-AVERAGE(INDEX(F:F,MATCH(VLOOKUP(D388,Input!$A$14:$L$22,10,0),L:L,0)),INDEX(F:F,MATCH(VLOOKUP(D388,Input!$A$14:$L$22,11,0),L:L,0)),INDEX(F:F,MATCH(VLOOKUP(D388,Input!$A$14:$L$22,12,0),L:L,0)))+(0.01-ROW()*0.01))</f>
        <v>-139.80865242272921</v>
      </c>
      <c r="Q388" s="107">
        <f t="shared" si="106"/>
        <v>-4.8232998166667131E-2</v>
      </c>
      <c r="R388" s="11">
        <f>IF(VLOOKUP($D388,$X$14:$Y$19,2,0)&lt;=0,1,IF(Q388&lt;0,1,ROUNDUP(IF(Q388*('Draft Center'!$L$28+'Draft Center'!$L$78-'Draft Center'!$L$82)&lt;1,1,Q388*('Draft Center'!$L$28+'Draft Center'!$L$78-'Draft Center'!$L$82)),0)))</f>
        <v>1</v>
      </c>
      <c r="S388" s="11">
        <f>IF(A388&lt;Input!$B$10+0.1,IF(ROUNDUP(R388*Input!$C$10,0)=0,1,ROUNDUP(R388*Input!$C$10,0)),IF(A388&gt;Input!$B$11,IF(ROUNDUP(R388*Input!$C$11,0)=0,1,ROUNDUP(R388*Input!$C$11,0)),IF(ROUNDUP(R388,0)=0,1,ROUNDUP(R388,0))))</f>
        <v>1</v>
      </c>
      <c r="T388" s="11">
        <f t="shared" si="107"/>
        <v>1</v>
      </c>
      <c r="U388" s="11">
        <f>IFERROR(VLOOKUP($B388,Input!$AC$2:$AE$161,3,0),0)</f>
        <v>0</v>
      </c>
      <c r="V388" s="257">
        <f t="shared" si="108"/>
        <v>0</v>
      </c>
      <c r="W388" s="264">
        <f t="shared" si="109"/>
        <v>1.0038800000000001</v>
      </c>
      <c r="X388" s="68"/>
      <c r="Y388" s="68"/>
      <c r="Z388" s="68"/>
      <c r="AA388" s="68"/>
      <c r="AB388" s="68"/>
      <c r="AC388" s="68"/>
      <c r="AD388" s="68"/>
      <c r="AE388" s="68"/>
      <c r="AF388" s="68"/>
      <c r="AG388" s="68"/>
      <c r="AH388" s="68"/>
      <c r="AI388" s="68"/>
      <c r="AJ388" s="68">
        <v>1</v>
      </c>
      <c r="AL388" s="68">
        <v>1</v>
      </c>
      <c r="AM388" s="68"/>
      <c r="AN388" s="68"/>
      <c r="AO388" s="68"/>
      <c r="AQ388" s="68"/>
      <c r="AR388" s="68"/>
      <c r="AS388" s="68"/>
      <c r="AT388" s="68"/>
      <c r="AU388" s="68"/>
      <c r="AV388" s="68"/>
      <c r="AW388" s="68"/>
      <c r="AX388" s="68"/>
      <c r="AY388" s="68"/>
      <c r="AZ388" s="68"/>
      <c r="BB388" s="68"/>
      <c r="BC388" s="68"/>
      <c r="BJ388" s="68"/>
      <c r="BT388">
        <v>1</v>
      </c>
      <c r="BV388">
        <v>1</v>
      </c>
      <c r="BX388" s="68"/>
      <c r="BY388" s="68">
        <v>1</v>
      </c>
      <c r="BZ388" s="68">
        <v>0</v>
      </c>
      <c r="CA388" s="68">
        <v>0</v>
      </c>
      <c r="CB388" s="68">
        <v>0</v>
      </c>
      <c r="CC388" s="68">
        <f t="shared" si="110"/>
        <v>0</v>
      </c>
      <c r="CD388" s="68">
        <f t="shared" si="111"/>
        <v>0</v>
      </c>
    </row>
    <row r="389" spans="1:82" ht="15.75" customHeight="1" thickBot="1" x14ac:dyDescent="0.3">
      <c r="A389" s="6">
        <v>388</v>
      </c>
      <c r="B389" s="7" t="s">
        <v>337</v>
      </c>
      <c r="C389" s="7" t="s">
        <v>68</v>
      </c>
      <c r="D389" s="7" t="s">
        <v>43</v>
      </c>
      <c r="E389" s="50">
        <v>-136.09321518799899</v>
      </c>
      <c r="F389" s="50">
        <v>17.367704164209901</v>
      </c>
      <c r="G389" s="50">
        <v>33.414976309742201</v>
      </c>
      <c r="H389" s="50">
        <v>0</v>
      </c>
      <c r="I389" s="8" t="s">
        <v>1057</v>
      </c>
      <c r="J389" s="50">
        <v>4.7134829874013704</v>
      </c>
      <c r="K389" s="248">
        <f>IFERROR(VLOOKUP(C389,Schedule!$T$3:$U$34,2,0),"FA")</f>
        <v>8</v>
      </c>
      <c r="L389" s="7" t="str">
        <f>D389&amp;COUNTIF(D$2:$D389,D389)</f>
        <v>TE84</v>
      </c>
      <c r="M389" s="50">
        <f t="array" ref="M389">IFERROR(F389-AVERAGE(VLOOKUP(D389,$D390:$F$885,3,0),INDEX($F390:$F$885,SMALL(IF(D389=$D390:$D$885,ROW($D390:$D$885)-ROW(D389)),2))),0)</f>
        <v>1.1408967619742505</v>
      </c>
      <c r="N389" s="50">
        <f>IFERROR(IF(VLOOKUP($B389,Input!$AC$2:$AC$162,1,0)=$B389,0),F389)</f>
        <v>17.367704164209901</v>
      </c>
      <c r="O389" s="50">
        <f>IFERROR(IF(VLOOKUP($B389,Input!$AC$2:$AC$162,1,0)=$B389,0,G389),G389)</f>
        <v>33.414976309742201</v>
      </c>
      <c r="P389" s="50">
        <f>IF(N389=0,0,F389-AVERAGE(INDEX(F:F,MATCH(VLOOKUP(D389,Input!$A$14:$L$22,10,0),L:L,0)),INDEX(F:F,MATCH(VLOOKUP(D389,Input!$A$14:$L$22,11,0),L:L,0)),INDEX(F:F,MATCH(VLOOKUP(D389,Input!$A$14:$L$22,12,0),L:L,0)))+(0.01-ROW()*0.01))</f>
        <v>-139.97321518799941</v>
      </c>
      <c r="Q389" s="106">
        <f t="shared" si="106"/>
        <v>-4.8289771159025142E-2</v>
      </c>
      <c r="R389" s="8">
        <f>IF(VLOOKUP($D389,$X$14:$Y$19,2,0)&lt;=0,1,IF(Q389&lt;0,1,ROUNDUP(IF(Q389*('Draft Center'!$L$28+'Draft Center'!$L$78-'Draft Center'!$L$82)&lt;1,1,Q389*('Draft Center'!$L$28+'Draft Center'!$L$78-'Draft Center'!$L$82)),0)))</f>
        <v>1</v>
      </c>
      <c r="S389" s="8">
        <f>IF(A389&lt;Input!$B$10+0.1,IF(ROUNDUP(R389*Input!$C$10,0)=0,1,ROUNDUP(R389*Input!$C$10,0)),IF(A389&gt;Input!$B$11,IF(ROUNDUP(R389*Input!$C$11,0)=0,1,ROUNDUP(R389*Input!$C$11,0)),IF(ROUNDUP(R389,0)=0,1,ROUNDUP(R389,0))))</f>
        <v>1</v>
      </c>
      <c r="T389" s="8">
        <f t="shared" si="107"/>
        <v>1</v>
      </c>
      <c r="U389" s="8">
        <f>IFERROR(VLOOKUP($B389,Input!$AC$2:$AE$161,3,0),0)</f>
        <v>0</v>
      </c>
      <c r="V389" s="256">
        <f t="shared" si="108"/>
        <v>0</v>
      </c>
      <c r="W389" s="263">
        <f t="shared" si="109"/>
        <v>0</v>
      </c>
      <c r="X389" s="68"/>
      <c r="Y389" s="68"/>
      <c r="Z389" s="68"/>
      <c r="AA389" s="68"/>
      <c r="AB389" s="68"/>
      <c r="AC389" s="68"/>
      <c r="AD389" s="68"/>
      <c r="AE389" s="68"/>
      <c r="AF389" s="68"/>
      <c r="AG389" s="68"/>
      <c r="AH389" s="68"/>
      <c r="AI389" s="68"/>
      <c r="AJ389" s="68">
        <v>1</v>
      </c>
      <c r="AL389" s="68">
        <v>1</v>
      </c>
      <c r="AM389" s="68"/>
      <c r="AN389" s="68"/>
      <c r="AO389" s="68"/>
      <c r="AQ389" s="68"/>
      <c r="AR389" s="68"/>
      <c r="AS389" s="68"/>
      <c r="AT389" s="68"/>
      <c r="AU389" s="68"/>
      <c r="AV389" s="68"/>
      <c r="AW389" s="68"/>
      <c r="AX389" s="68"/>
      <c r="AY389" s="68"/>
      <c r="AZ389" s="68"/>
      <c r="BB389" s="68"/>
      <c r="BC389" s="68"/>
      <c r="BJ389" s="68"/>
      <c r="BT389">
        <v>1</v>
      </c>
      <c r="BV389">
        <v>1</v>
      </c>
      <c r="BX389" s="68"/>
      <c r="BY389" s="68">
        <v>1</v>
      </c>
      <c r="BZ389" s="68" t="s">
        <v>1057</v>
      </c>
      <c r="CA389" s="68" t="s">
        <v>1057</v>
      </c>
      <c r="CB389" s="68" t="s">
        <v>1057</v>
      </c>
      <c r="CC389" s="68" t="e">
        <f t="shared" si="110"/>
        <v>#DIV/0!</v>
      </c>
      <c r="CD389" s="68" t="str">
        <f t="shared" si="111"/>
        <v>NA</v>
      </c>
    </row>
    <row r="390" spans="1:82" ht="15.75" thickBot="1" x14ac:dyDescent="0.3">
      <c r="A390" s="9">
        <v>389</v>
      </c>
      <c r="B390" s="10" t="s">
        <v>306</v>
      </c>
      <c r="C390" s="10" t="s">
        <v>48</v>
      </c>
      <c r="D390" s="10" t="s">
        <v>19</v>
      </c>
      <c r="E390" s="51">
        <v>-136.11795535555001</v>
      </c>
      <c r="F390" s="51">
        <v>32.984442670401499</v>
      </c>
      <c r="G390" s="51">
        <v>53.211901980771898</v>
      </c>
      <c r="H390" s="51">
        <v>10.641285714285701</v>
      </c>
      <c r="I390" s="11" t="s">
        <v>1057</v>
      </c>
      <c r="J390" s="51">
        <v>7.5360100240697703</v>
      </c>
      <c r="K390" s="249">
        <f>IFERROR(VLOOKUP(C390,Schedule!$T$3:$U$34,2,0),"FA")</f>
        <v>10</v>
      </c>
      <c r="L390" s="10" t="str">
        <f>D390&amp;COUNTIF(D$2:$D390,D390)</f>
        <v>RB103</v>
      </c>
      <c r="M390" s="51">
        <f t="array" ref="M390">IFERROR(F390-AVERAGE(VLOOKUP(D390,$D391:$F$885,3,0),INDEX($F391:$F$885,SMALL(IF(D390=$D391:$D$885,ROW($D391:$D$885)-ROW(D390)),2))),0)</f>
        <v>2.0868725265744992</v>
      </c>
      <c r="N390" s="51">
        <f>IFERROR(IF(VLOOKUP($B390,Input!$AC$2:$AC$162,1,0)=$B390,0),F390)</f>
        <v>32.984442670401499</v>
      </c>
      <c r="O390" s="51">
        <f>IFERROR(IF(VLOOKUP($B390,Input!$AC$2:$AC$162,1,0)=$B390,0,G390),G390)</f>
        <v>53.211901980771898</v>
      </c>
      <c r="P390" s="51">
        <f>IF(N390=0,0,F390-AVERAGE(INDEX(F:F,MATCH(VLOOKUP(D390,Input!$A$14:$L$22,10,0),L:L,0)),INDEX(F:F,MATCH(VLOOKUP(D390,Input!$A$14:$L$22,11,0),L:L,0)),INDEX(F:F,MATCH(VLOOKUP(D390,Input!$A$14:$L$22,12,0),L:L,0)))+(0.01-ROW()*0.01))</f>
        <v>-140.00795535555048</v>
      </c>
      <c r="Q390" s="107">
        <f t="shared" si="106"/>
        <v>-4.8301756271596955E-2</v>
      </c>
      <c r="R390" s="11">
        <f>IF(VLOOKUP($D390,$X$14:$Y$19,2,0)&lt;=0,1,IF(Q390&lt;0,1,ROUNDUP(IF(Q390*('Draft Center'!$L$28+'Draft Center'!$L$78-'Draft Center'!$L$82)&lt;1,1,Q390*('Draft Center'!$L$28+'Draft Center'!$L$78-'Draft Center'!$L$82)),0)))</f>
        <v>1</v>
      </c>
      <c r="S390" s="11">
        <f>IF(A390&lt;Input!$B$10+0.1,IF(ROUNDUP(R390*Input!$C$10,0)=0,1,ROUNDUP(R390*Input!$C$10,0)),IF(A390&gt;Input!$B$11,IF(ROUNDUP(R390*Input!$C$11,0)=0,1,ROUNDUP(R390*Input!$C$11,0)),IF(ROUNDUP(R390,0)=0,1,ROUNDUP(R390,0))))</f>
        <v>1</v>
      </c>
      <c r="T390" s="11">
        <f t="shared" si="107"/>
        <v>1</v>
      </c>
      <c r="U390" s="11">
        <f>IFERROR(VLOOKUP($B390,Input!$AC$2:$AE$161,3,0),0)</f>
        <v>0</v>
      </c>
      <c r="V390" s="257">
        <f t="shared" si="108"/>
        <v>0</v>
      </c>
      <c r="W390" s="264">
        <f t="shared" si="109"/>
        <v>0</v>
      </c>
      <c r="X390" s="68"/>
      <c r="Y390" s="68"/>
      <c r="Z390" s="68"/>
      <c r="AA390" s="68"/>
      <c r="AB390" s="68"/>
      <c r="AC390" s="68"/>
      <c r="AD390" s="68"/>
      <c r="AE390" s="68"/>
      <c r="AF390" s="68"/>
      <c r="AG390" s="68"/>
      <c r="AH390" s="68"/>
      <c r="AI390" s="68"/>
      <c r="AJ390" s="68">
        <v>1</v>
      </c>
      <c r="AL390" s="68">
        <v>1</v>
      </c>
      <c r="AM390" s="68"/>
      <c r="AN390" s="68"/>
      <c r="AO390" s="68"/>
      <c r="AQ390" s="68"/>
      <c r="AR390" s="68"/>
      <c r="AS390" s="68"/>
      <c r="AT390" s="68"/>
      <c r="AU390" s="68"/>
      <c r="AV390" s="68"/>
      <c r="AW390" s="68"/>
      <c r="AX390" s="68"/>
      <c r="AY390" s="68"/>
      <c r="AZ390" s="68"/>
      <c r="BB390" s="68"/>
      <c r="BC390" s="68"/>
      <c r="BJ390" s="68"/>
      <c r="BT390">
        <v>1</v>
      </c>
      <c r="BV390">
        <v>1</v>
      </c>
      <c r="BX390" s="68"/>
      <c r="BY390" s="68">
        <v>1</v>
      </c>
      <c r="BZ390" s="68" t="s">
        <v>1057</v>
      </c>
      <c r="CA390" s="68" t="s">
        <v>1057</v>
      </c>
      <c r="CB390" s="68" t="s">
        <v>1057</v>
      </c>
      <c r="CC390" s="68" t="e">
        <f t="shared" si="110"/>
        <v>#DIV/0!</v>
      </c>
      <c r="CD390" s="68" t="str">
        <f t="shared" si="111"/>
        <v>NA</v>
      </c>
    </row>
    <row r="391" spans="1:82" ht="15.75" customHeight="1" thickBot="1" x14ac:dyDescent="0.3">
      <c r="A391" s="6">
        <v>390</v>
      </c>
      <c r="B391" s="7" t="s">
        <v>436</v>
      </c>
      <c r="C391" s="7" t="s">
        <v>50</v>
      </c>
      <c r="D391" s="7" t="s">
        <v>43</v>
      </c>
      <c r="E391" s="50">
        <v>-136.68527860371501</v>
      </c>
      <c r="F391" s="50">
        <v>16.7756407484944</v>
      </c>
      <c r="G391" s="50">
        <v>29.720597104895301</v>
      </c>
      <c r="H391" s="50">
        <v>0</v>
      </c>
      <c r="I391" s="8">
        <v>0</v>
      </c>
      <c r="J391" s="50">
        <v>2.2851418551562901</v>
      </c>
      <c r="K391" s="248">
        <f>IFERROR(VLOOKUP(C391,Schedule!$T$3:$U$34,2,0),"FA")</f>
        <v>6</v>
      </c>
      <c r="L391" s="7" t="str">
        <f>D391&amp;COUNTIF(D$2:$D391,D391)</f>
        <v>TE85</v>
      </c>
      <c r="M391" s="50">
        <f t="array" ref="M391">IFERROR(F391-AVERAGE(VLOOKUP(D391,$D392:$F$885,3,0),INDEX($F392:$F$885,SMALL(IF(D391=$D392:$D$885,ROW($D392:$D$885)-ROW(D391)),2))),0)</f>
        <v>2.0420152233927986</v>
      </c>
      <c r="N391" s="50">
        <f>IFERROR(IF(VLOOKUP($B391,Input!$AC$2:$AC$162,1,0)=$B391,0),F391)</f>
        <v>16.7756407484944</v>
      </c>
      <c r="O391" s="50">
        <f>IFERROR(IF(VLOOKUP($B391,Input!$AC$2:$AC$162,1,0)=$B391,0,G391),G391)</f>
        <v>29.720597104895301</v>
      </c>
      <c r="P391" s="50">
        <f>IF(N391=0,0,F391-AVERAGE(INDEX(F:F,MATCH(VLOOKUP(D391,Input!$A$14:$L$22,10,0),L:L,0)),INDEX(F:F,MATCH(VLOOKUP(D391,Input!$A$14:$L$22,11,0),L:L,0)),INDEX(F:F,MATCH(VLOOKUP(D391,Input!$A$14:$L$22,12,0),L:L,0)))+(0.01-ROW()*0.01))</f>
        <v>-140.58527860371493</v>
      </c>
      <c r="Q391" s="106">
        <f t="shared" si="106"/>
        <v>-4.8500928716848017E-2</v>
      </c>
      <c r="R391" s="8">
        <f>IF(VLOOKUP($D391,$X$14:$Y$19,2,0)&lt;=0,1,IF(Q391&lt;0,1,ROUNDUP(IF(Q391*('Draft Center'!$L$28+'Draft Center'!$L$78-'Draft Center'!$L$82)&lt;1,1,Q391*('Draft Center'!$L$28+'Draft Center'!$L$78-'Draft Center'!$L$82)),0)))</f>
        <v>1</v>
      </c>
      <c r="S391" s="8">
        <f>IF(A391&lt;Input!$B$10+0.1,IF(ROUNDUP(R391*Input!$C$10,0)=0,1,ROUNDUP(R391*Input!$C$10,0)),IF(A391&gt;Input!$B$11,IF(ROUNDUP(R391*Input!$C$11,0)=0,1,ROUNDUP(R391*Input!$C$11,0)),IF(ROUNDUP(R391,0)=0,1,ROUNDUP(R391,0))))</f>
        <v>1</v>
      </c>
      <c r="T391" s="8">
        <f t="shared" si="107"/>
        <v>1</v>
      </c>
      <c r="U391" s="8">
        <f>IFERROR(VLOOKUP($B391,Input!$AC$2:$AE$161,3,0),0)</f>
        <v>0</v>
      </c>
      <c r="V391" s="256">
        <f t="shared" si="108"/>
        <v>0</v>
      </c>
      <c r="W391" s="263">
        <f t="shared" si="109"/>
        <v>1.0039100000000001</v>
      </c>
      <c r="X391" s="68"/>
      <c r="Y391" s="68"/>
      <c r="Z391" s="68"/>
      <c r="AA391" s="68"/>
      <c r="AB391" s="68"/>
      <c r="AC391" s="68"/>
      <c r="AD391" s="68"/>
      <c r="AE391" s="68"/>
      <c r="AF391" s="68"/>
      <c r="AG391" s="68"/>
      <c r="AH391" s="68"/>
      <c r="AI391" s="68"/>
      <c r="AJ391" s="68">
        <v>1</v>
      </c>
      <c r="AL391" s="68">
        <v>1</v>
      </c>
      <c r="AM391" s="68"/>
      <c r="AN391" s="68"/>
      <c r="AO391" s="68"/>
      <c r="AQ391" s="68"/>
      <c r="AR391" s="68"/>
      <c r="AS391" s="68"/>
      <c r="AT391" s="68"/>
      <c r="AU391" s="68"/>
      <c r="AV391" s="68"/>
      <c r="AW391" s="68"/>
      <c r="AX391" s="68"/>
      <c r="AY391" s="68"/>
      <c r="AZ391" s="68"/>
      <c r="BB391" s="68"/>
      <c r="BC391" s="68"/>
      <c r="BJ391" s="68"/>
      <c r="BT391">
        <v>1</v>
      </c>
      <c r="BV391">
        <v>1</v>
      </c>
      <c r="BX391" s="68"/>
      <c r="BY391" s="68">
        <v>1</v>
      </c>
      <c r="BZ391" s="68">
        <v>0</v>
      </c>
      <c r="CA391" s="68">
        <v>0</v>
      </c>
      <c r="CB391" s="68">
        <v>0</v>
      </c>
      <c r="CC391" s="68">
        <f t="shared" si="110"/>
        <v>0</v>
      </c>
      <c r="CD391" s="68">
        <f t="shared" si="111"/>
        <v>0</v>
      </c>
    </row>
    <row r="392" spans="1:82" ht="15.75" customHeight="1" thickBot="1" x14ac:dyDescent="0.3">
      <c r="A392" s="9">
        <v>391</v>
      </c>
      <c r="B392" s="10" t="s">
        <v>336</v>
      </c>
      <c r="C392" s="10" t="s">
        <v>52</v>
      </c>
      <c r="D392" s="10" t="s">
        <v>17</v>
      </c>
      <c r="E392" s="51">
        <v>-136.74344310449999</v>
      </c>
      <c r="F392" s="51">
        <v>76.034473164848905</v>
      </c>
      <c r="G392" s="51">
        <v>114.347340786792</v>
      </c>
      <c r="H392" s="51">
        <v>38.902208504801102</v>
      </c>
      <c r="I392" s="11">
        <v>0</v>
      </c>
      <c r="J392" s="51">
        <v>6.8866625733625098</v>
      </c>
      <c r="K392" s="249">
        <f>IFERROR(VLOOKUP(C392,Schedule!$T$3:$U$34,2,0),"FA")</f>
        <v>11</v>
      </c>
      <c r="L392" s="10" t="str">
        <f>D392&amp;COUNTIF(D$2:$D392,D392)</f>
        <v>WR101</v>
      </c>
      <c r="M392" s="51">
        <f t="array" ref="M392">IFERROR(F392-AVERAGE(VLOOKUP(D392,$D393:$F$885,3,0),INDEX($F393:$F$885,SMALL(IF(D392=$D393:$D$885,ROW($D393:$D$885)-ROW(D392)),2))),0)</f>
        <v>1.9421495968927474</v>
      </c>
      <c r="N392" s="51">
        <f>IFERROR(IF(VLOOKUP($B392,Input!$AC$2:$AC$162,1,0)=$B392,0),F392)</f>
        <v>76.034473164848905</v>
      </c>
      <c r="O392" s="51">
        <f>IFERROR(IF(VLOOKUP($B392,Input!$AC$2:$AC$162,1,0)=$B392,0,G392),G392)</f>
        <v>114.347340786792</v>
      </c>
      <c r="P392" s="51">
        <f>IF(N392=0,0,F392-AVERAGE(INDEX(F:F,MATCH(VLOOKUP(D392,Input!$A$14:$L$22,10,0),L:L,0)),INDEX(F:F,MATCH(VLOOKUP(D392,Input!$A$14:$L$22,11,0),L:L,0)),INDEX(F:F,MATCH(VLOOKUP(D392,Input!$A$14:$L$22,12,0),L:L,0)))+(0.01-ROW()*0.01))</f>
        <v>-140.6534431045001</v>
      </c>
      <c r="Q392" s="107">
        <f t="shared" si="106"/>
        <v>-4.8524444988440864E-2</v>
      </c>
      <c r="R392" s="11">
        <f>IF(VLOOKUP($D392,$X$14:$Y$19,2,0)&lt;=0,1,IF(Q392&lt;0,1,ROUNDUP(IF(Q392*('Draft Center'!$L$28+'Draft Center'!$L$78-'Draft Center'!$L$82)&lt;1,1,Q392*('Draft Center'!$L$28+'Draft Center'!$L$78-'Draft Center'!$L$82)),0)))</f>
        <v>1</v>
      </c>
      <c r="S392" s="11">
        <f>IF(A392&lt;Input!$B$10+0.1,IF(ROUNDUP(R392*Input!$C$10,0)=0,1,ROUNDUP(R392*Input!$C$10,0)),IF(A392&gt;Input!$B$11,IF(ROUNDUP(R392*Input!$C$11,0)=0,1,ROUNDUP(R392*Input!$C$11,0)),IF(ROUNDUP(R392,0)=0,1,ROUNDUP(R392,0))))</f>
        <v>1</v>
      </c>
      <c r="T392" s="11">
        <f t="shared" si="107"/>
        <v>1</v>
      </c>
      <c r="U392" s="11">
        <f>IFERROR(VLOOKUP($B392,Input!$AC$2:$AE$161,3,0),0)</f>
        <v>0</v>
      </c>
      <c r="V392" s="257">
        <f t="shared" si="108"/>
        <v>0</v>
      </c>
      <c r="W392" s="264">
        <f t="shared" si="109"/>
        <v>1.0039199999999999</v>
      </c>
      <c r="X392" s="68"/>
      <c r="Y392" s="68"/>
      <c r="Z392" s="68"/>
      <c r="AA392" s="68"/>
      <c r="AB392" s="68"/>
      <c r="AC392" s="68"/>
      <c r="AD392" s="68"/>
      <c r="AE392" s="68"/>
      <c r="AF392" s="68"/>
      <c r="AG392" s="68"/>
      <c r="AH392" s="68"/>
      <c r="AI392" s="68"/>
      <c r="AJ392" s="68">
        <v>1</v>
      </c>
      <c r="AL392" s="68">
        <v>1</v>
      </c>
      <c r="AM392" s="68"/>
      <c r="AN392" s="68"/>
      <c r="AO392" s="68"/>
      <c r="AQ392" s="68"/>
      <c r="AR392" s="68"/>
      <c r="AS392" s="68"/>
      <c r="AT392" s="68"/>
      <c r="AU392" s="68"/>
      <c r="AV392" s="68"/>
      <c r="AW392" s="68"/>
      <c r="AX392" s="68"/>
      <c r="AY392" s="68"/>
      <c r="AZ392" s="68"/>
      <c r="BB392" s="68"/>
      <c r="BC392" s="68"/>
      <c r="BJ392" s="68"/>
      <c r="BT392">
        <v>1</v>
      </c>
      <c r="BV392">
        <v>1</v>
      </c>
      <c r="BX392" s="68"/>
      <c r="BY392" s="68">
        <v>1</v>
      </c>
      <c r="BZ392" s="68">
        <v>0</v>
      </c>
      <c r="CA392" s="68">
        <v>0</v>
      </c>
      <c r="CB392" s="68">
        <v>0</v>
      </c>
      <c r="CC392" s="68">
        <f t="shared" si="110"/>
        <v>0</v>
      </c>
      <c r="CD392" s="68">
        <f t="shared" si="111"/>
        <v>0</v>
      </c>
    </row>
    <row r="393" spans="1:82" ht="15.75" customHeight="1" thickBot="1" x14ac:dyDescent="0.3">
      <c r="A393" s="6">
        <v>392</v>
      </c>
      <c r="B393" s="7" t="s">
        <v>472</v>
      </c>
      <c r="C393" s="7" t="s">
        <v>95</v>
      </c>
      <c r="D393" s="7" t="s">
        <v>43</v>
      </c>
      <c r="E393" s="50">
        <v>-137.78294529623199</v>
      </c>
      <c r="F393" s="50">
        <v>15.6779740559769</v>
      </c>
      <c r="G393" s="50">
        <v>25.289848973290901</v>
      </c>
      <c r="H393" s="50">
        <v>0</v>
      </c>
      <c r="I393" s="8" t="s">
        <v>1057</v>
      </c>
      <c r="J393" s="50">
        <v>7.6088127989243501</v>
      </c>
      <c r="K393" s="248">
        <f>IFERROR(VLOOKUP(C393,Schedule!$T$3:$U$34,2,0),"FA")</f>
        <v>8</v>
      </c>
      <c r="L393" s="7" t="str">
        <f>D393&amp;COUNTIF(D$2:$D393,D393)</f>
        <v>TE86</v>
      </c>
      <c r="M393" s="50">
        <f t="array" ref="M393">IFERROR(F393-AVERAGE(VLOOKUP(D393,$D394:$F$885,3,0),INDEX($F394:$F$885,SMALL(IF(D393=$D394:$D$885,ROW($D394:$D$885)-ROW(D393)),2))),0)</f>
        <v>2.0016397427163</v>
      </c>
      <c r="N393" s="50">
        <f>IFERROR(IF(VLOOKUP($B393,Input!$AC$2:$AC$162,1,0)=$B393,0),F393)</f>
        <v>15.6779740559769</v>
      </c>
      <c r="O393" s="50">
        <f>IFERROR(IF(VLOOKUP($B393,Input!$AC$2:$AC$162,1,0)=$B393,0,G393),G393)</f>
        <v>25.289848973290901</v>
      </c>
      <c r="P393" s="50">
        <f>IF(N393=0,0,F393-AVERAGE(INDEX(F:F,MATCH(VLOOKUP(D393,Input!$A$14:$L$22,10,0),L:L,0)),INDEX(F:F,MATCH(VLOOKUP(D393,Input!$A$14:$L$22,11,0),L:L,0)),INDEX(F:F,MATCH(VLOOKUP(D393,Input!$A$14:$L$22,12,0),L:L,0)))+(0.01-ROW()*0.01))</f>
        <v>-141.7029452962324</v>
      </c>
      <c r="Q393" s="106">
        <f t="shared" si="106"/>
        <v>-4.888651583607824E-2</v>
      </c>
      <c r="R393" s="8">
        <f>IF(VLOOKUP($D393,$X$14:$Y$19,2,0)&lt;=0,1,IF(Q393&lt;0,1,ROUNDUP(IF(Q393*('Draft Center'!$L$28+'Draft Center'!$L$78-'Draft Center'!$L$82)&lt;1,1,Q393*('Draft Center'!$L$28+'Draft Center'!$L$78-'Draft Center'!$L$82)),0)))</f>
        <v>1</v>
      </c>
      <c r="S393" s="8">
        <f>IF(A393&lt;Input!$B$10+0.1,IF(ROUNDUP(R393*Input!$C$10,0)=0,1,ROUNDUP(R393*Input!$C$10,0)),IF(A393&gt;Input!$B$11,IF(ROUNDUP(R393*Input!$C$11,0)=0,1,ROUNDUP(R393*Input!$C$11,0)),IF(ROUNDUP(R393,0)=0,1,ROUNDUP(R393,0))))</f>
        <v>1</v>
      </c>
      <c r="T393" s="8">
        <f t="shared" si="107"/>
        <v>1</v>
      </c>
      <c r="U393" s="8">
        <f>IFERROR(VLOOKUP($B393,Input!$AC$2:$AE$161,3,0),0)</f>
        <v>0</v>
      </c>
      <c r="V393" s="256">
        <f t="shared" si="108"/>
        <v>0</v>
      </c>
      <c r="W393" s="263">
        <f t="shared" si="109"/>
        <v>0</v>
      </c>
      <c r="X393" s="68"/>
      <c r="Y393" s="68"/>
      <c r="Z393" s="68"/>
      <c r="AA393" s="68"/>
      <c r="AB393" s="68"/>
      <c r="AC393" s="68"/>
      <c r="AD393" s="68"/>
      <c r="AE393" s="68"/>
      <c r="AF393" s="68"/>
      <c r="AG393" s="68"/>
      <c r="AH393" s="68"/>
      <c r="AI393" s="68"/>
      <c r="AJ393" s="68">
        <v>1</v>
      </c>
      <c r="AL393" s="68">
        <v>1</v>
      </c>
      <c r="AM393" s="68"/>
      <c r="AN393" s="68"/>
      <c r="AO393" s="68"/>
      <c r="AQ393" s="68"/>
      <c r="AR393" s="68"/>
      <c r="AS393" s="68"/>
      <c r="AT393" s="68"/>
      <c r="AU393" s="68"/>
      <c r="AV393" s="68"/>
      <c r="AW393" s="68"/>
      <c r="AX393" s="68"/>
      <c r="AY393" s="68"/>
      <c r="AZ393" s="68"/>
      <c r="BB393" s="68"/>
      <c r="BC393" s="68"/>
      <c r="BJ393" s="68"/>
      <c r="BT393">
        <v>1</v>
      </c>
      <c r="BV393">
        <v>1</v>
      </c>
      <c r="BX393" s="68"/>
      <c r="BY393" s="68">
        <v>1</v>
      </c>
      <c r="BZ393" s="68" t="s">
        <v>1057</v>
      </c>
      <c r="CA393" s="68" t="s">
        <v>1057</v>
      </c>
      <c r="CB393" s="68" t="s">
        <v>1057</v>
      </c>
      <c r="CC393" s="68" t="e">
        <f t="shared" si="110"/>
        <v>#DIV/0!</v>
      </c>
      <c r="CD393" s="68" t="str">
        <f t="shared" si="111"/>
        <v>NA</v>
      </c>
    </row>
    <row r="394" spans="1:82" ht="15.75" customHeight="1" thickBot="1" x14ac:dyDescent="0.3">
      <c r="A394" s="9">
        <v>393</v>
      </c>
      <c r="B394" s="10" t="s">
        <v>116</v>
      </c>
      <c r="C394" s="10" t="s">
        <v>31</v>
      </c>
      <c r="D394" s="10" t="s">
        <v>17</v>
      </c>
      <c r="E394" s="51">
        <v>-137.98398320558701</v>
      </c>
      <c r="F394" s="51">
        <v>74.793933063761799</v>
      </c>
      <c r="G394" s="51">
        <v>94.233460648591702</v>
      </c>
      <c r="H394" s="51">
        <v>47.000642092886501</v>
      </c>
      <c r="I394" s="11">
        <v>0</v>
      </c>
      <c r="J394" s="51">
        <v>5.3449940378795899</v>
      </c>
      <c r="K394" s="249">
        <f>IFERROR(VLOOKUP(C394,Schedule!$T$3:$U$34,2,0),"FA")</f>
        <v>9</v>
      </c>
      <c r="L394" s="10" t="str">
        <f>D394&amp;COUNTIF(D$2:$D394,D394)</f>
        <v>WR102</v>
      </c>
      <c r="M394" s="51">
        <f t="array" ref="M394">IFERROR(F394-AVERAGE(VLOOKUP(D394,$D395:$F$885,3,0),INDEX($F395:$F$885,SMALL(IF(D394=$D395:$D$885,ROW($D395:$D$885)-ROW(D394)),2))),0)</f>
        <v>3.4748766233700934</v>
      </c>
      <c r="N394" s="51">
        <f>IFERROR(IF(VLOOKUP($B394,Input!$AC$2:$AC$162,1,0)=$B394,0),F394)</f>
        <v>74.793933063761799</v>
      </c>
      <c r="O394" s="51">
        <f>IFERROR(IF(VLOOKUP($B394,Input!$AC$2:$AC$162,1,0)=$B394,0,G394),G394)</f>
        <v>94.233460648591702</v>
      </c>
      <c r="P394" s="51">
        <f>IF(N394=0,0,F394-AVERAGE(INDEX(F:F,MATCH(VLOOKUP(D394,Input!$A$14:$L$22,10,0),L:L,0)),INDEX(F:F,MATCH(VLOOKUP(D394,Input!$A$14:$L$22,11,0),L:L,0)),INDEX(F:F,MATCH(VLOOKUP(D394,Input!$A$14:$L$22,12,0),L:L,0)))+(0.01-ROW()*0.01))</f>
        <v>-141.91398320558721</v>
      </c>
      <c r="Q394" s="107">
        <f t="shared" si="106"/>
        <v>-4.8959322425074107E-2</v>
      </c>
      <c r="R394" s="11">
        <f>IF(VLOOKUP($D394,$X$14:$Y$19,2,0)&lt;=0,1,IF(Q394&lt;0,1,ROUNDUP(IF(Q394*('Draft Center'!$L$28+'Draft Center'!$L$78-'Draft Center'!$L$82)&lt;1,1,Q394*('Draft Center'!$L$28+'Draft Center'!$L$78-'Draft Center'!$L$82)),0)))</f>
        <v>1</v>
      </c>
      <c r="S394" s="11">
        <f>IF(A394&lt;Input!$B$10+0.1,IF(ROUNDUP(R394*Input!$C$10,0)=0,1,ROUNDUP(R394*Input!$C$10,0)),IF(A394&gt;Input!$B$11,IF(ROUNDUP(R394*Input!$C$11,0)=0,1,ROUNDUP(R394*Input!$C$11,0)),IF(ROUNDUP(R394,0)=0,1,ROUNDUP(R394,0))))</f>
        <v>1</v>
      </c>
      <c r="T394" s="11">
        <f t="shared" si="107"/>
        <v>1</v>
      </c>
      <c r="U394" s="11">
        <f>IFERROR(VLOOKUP($B394,Input!$AC$2:$AE$161,3,0),0)</f>
        <v>0</v>
      </c>
      <c r="V394" s="257">
        <f t="shared" si="108"/>
        <v>0</v>
      </c>
      <c r="W394" s="264">
        <f t="shared" si="109"/>
        <v>1.0039400000000001</v>
      </c>
      <c r="X394" s="68"/>
      <c r="Y394" s="68"/>
      <c r="Z394" s="68"/>
      <c r="AA394" s="68"/>
      <c r="AB394" s="68"/>
      <c r="AC394" s="68"/>
      <c r="AD394" s="68"/>
      <c r="AE394" s="68"/>
      <c r="AF394" s="68"/>
      <c r="AG394" s="68"/>
      <c r="AH394" s="68"/>
      <c r="AI394" s="68"/>
      <c r="AJ394" s="68">
        <v>1</v>
      </c>
      <c r="AL394" s="68">
        <v>1</v>
      </c>
      <c r="AM394" s="68"/>
      <c r="AN394" s="68"/>
      <c r="AO394" s="68"/>
      <c r="AQ394" s="68"/>
      <c r="AR394" s="68"/>
      <c r="AS394" s="68"/>
      <c r="AT394" s="68"/>
      <c r="AU394" s="68"/>
      <c r="AV394" s="68"/>
      <c r="AW394" s="68"/>
      <c r="AX394" s="68"/>
      <c r="AY394" s="68"/>
      <c r="AZ394" s="68"/>
      <c r="BB394" s="68"/>
      <c r="BC394" s="68"/>
      <c r="BJ394" s="68"/>
      <c r="BT394">
        <v>1</v>
      </c>
      <c r="BV394">
        <v>1</v>
      </c>
      <c r="BX394" s="68"/>
      <c r="BY394" s="68">
        <v>1</v>
      </c>
      <c r="BZ394" s="68">
        <v>0</v>
      </c>
      <c r="CA394" s="68">
        <v>0</v>
      </c>
      <c r="CB394" s="68">
        <v>0</v>
      </c>
      <c r="CC394" s="68">
        <f t="shared" si="110"/>
        <v>0</v>
      </c>
      <c r="CD394" s="68">
        <f t="shared" si="111"/>
        <v>0</v>
      </c>
    </row>
    <row r="395" spans="1:82" ht="15.75" customHeight="1" thickBot="1" x14ac:dyDescent="0.3">
      <c r="A395" s="6">
        <v>394</v>
      </c>
      <c r="B395" s="7" t="s">
        <v>363</v>
      </c>
      <c r="C395" s="7" t="s">
        <v>61</v>
      </c>
      <c r="D395" s="7" t="s">
        <v>19</v>
      </c>
      <c r="E395" s="50">
        <v>-138.00012230412401</v>
      </c>
      <c r="F395" s="50">
        <v>31.102275721827699</v>
      </c>
      <c r="G395" s="50">
        <v>47.610914355599803</v>
      </c>
      <c r="H395" s="50">
        <v>18.169282130150599</v>
      </c>
      <c r="I395" s="8">
        <v>0</v>
      </c>
      <c r="J395" s="50">
        <v>5.6561500429303999</v>
      </c>
      <c r="K395" s="248">
        <f>IFERROR(VLOOKUP(C395,Schedule!$T$3:$U$34,2,0),"FA")</f>
        <v>5</v>
      </c>
      <c r="L395" s="7" t="str">
        <f>D395&amp;COUNTIF(D$2:$D395,D395)</f>
        <v>RB104</v>
      </c>
      <c r="M395" s="50">
        <f t="array" ref="M395">IFERROR(F395-AVERAGE(VLOOKUP(D395,$D396:$F$885,3,0),INDEX($F396:$F$885,SMALL(IF(D395=$D396:$D$885,ROW($D396:$D$885)-ROW(D395)),2))),0)</f>
        <v>1.0446597267933484</v>
      </c>
      <c r="N395" s="50">
        <f>IFERROR(IF(VLOOKUP($B395,Input!$AC$2:$AC$162,1,0)=$B395,0),F395)</f>
        <v>31.102275721827699</v>
      </c>
      <c r="O395" s="50">
        <f>IFERROR(IF(VLOOKUP($B395,Input!$AC$2:$AC$162,1,0)=$B395,0,G395),G395)</f>
        <v>47.610914355599803</v>
      </c>
      <c r="P395" s="50">
        <f>IF(N395=0,0,F395-AVERAGE(INDEX(F:F,MATCH(VLOOKUP(D395,Input!$A$14:$L$22,10,0),L:L,0)),INDEX(F:F,MATCH(VLOOKUP(D395,Input!$A$14:$L$22,11,0),L:L,0)),INDEX(F:F,MATCH(VLOOKUP(D395,Input!$A$14:$L$22,12,0),L:L,0)))+(0.01-ROW()*0.01))</f>
        <v>-141.94012230412429</v>
      </c>
      <c r="Q395" s="106">
        <f t="shared" si="106"/>
        <v>-4.8968340229551655E-2</v>
      </c>
      <c r="R395" s="8">
        <f>IF(VLOOKUP($D395,$X$14:$Y$19,2,0)&lt;=0,1,IF(Q395&lt;0,1,ROUNDUP(IF(Q395*('Draft Center'!$L$28+'Draft Center'!$L$78-'Draft Center'!$L$82)&lt;1,1,Q395*('Draft Center'!$L$28+'Draft Center'!$L$78-'Draft Center'!$L$82)),0)))</f>
        <v>1</v>
      </c>
      <c r="S395" s="8">
        <f>IF(A395&lt;Input!$B$10+0.1,IF(ROUNDUP(R395*Input!$C$10,0)=0,1,ROUNDUP(R395*Input!$C$10,0)),IF(A395&gt;Input!$B$11,IF(ROUNDUP(R395*Input!$C$11,0)=0,1,ROUNDUP(R395*Input!$C$11,0)),IF(ROUNDUP(R395,0)=0,1,ROUNDUP(R395,0))))</f>
        <v>1</v>
      </c>
      <c r="T395" s="8">
        <f t="shared" si="107"/>
        <v>1</v>
      </c>
      <c r="U395" s="8">
        <f>IFERROR(VLOOKUP($B395,Input!$AC$2:$AE$161,3,0),0)</f>
        <v>0</v>
      </c>
      <c r="V395" s="256">
        <f t="shared" si="108"/>
        <v>0</v>
      </c>
      <c r="W395" s="263">
        <f t="shared" si="109"/>
        <v>1.0039499999999999</v>
      </c>
      <c r="X395" s="68"/>
      <c r="Y395" s="68"/>
      <c r="Z395" s="68"/>
      <c r="AA395" s="68"/>
      <c r="AB395" s="68"/>
      <c r="AC395" s="68"/>
      <c r="AD395" s="68"/>
      <c r="AE395" s="68"/>
      <c r="AF395" s="68"/>
      <c r="AG395" s="68"/>
      <c r="AH395" s="68"/>
      <c r="AI395" s="68"/>
      <c r="AJ395" s="68">
        <v>1</v>
      </c>
      <c r="AL395" s="68">
        <v>1</v>
      </c>
      <c r="AM395" s="68"/>
      <c r="AN395" s="68"/>
      <c r="AO395" s="68"/>
      <c r="AQ395" s="68"/>
      <c r="AR395" s="68"/>
      <c r="AS395" s="68"/>
      <c r="AT395" s="68"/>
      <c r="AU395" s="68"/>
      <c r="AV395" s="68"/>
      <c r="AW395" s="68"/>
      <c r="AX395" s="68"/>
      <c r="AY395" s="68"/>
      <c r="AZ395" s="68"/>
      <c r="BB395" s="68"/>
      <c r="BC395" s="68"/>
      <c r="BJ395" s="68"/>
      <c r="BT395">
        <v>1</v>
      </c>
      <c r="BV395">
        <v>1</v>
      </c>
      <c r="BX395" s="68"/>
      <c r="BY395" s="68">
        <v>1</v>
      </c>
      <c r="BZ395" s="68">
        <v>0</v>
      </c>
      <c r="CA395" s="68">
        <v>0</v>
      </c>
      <c r="CB395" s="68">
        <v>0</v>
      </c>
      <c r="CC395" s="68">
        <f t="shared" si="110"/>
        <v>0</v>
      </c>
      <c r="CD395" s="68">
        <f t="shared" si="111"/>
        <v>0</v>
      </c>
    </row>
    <row r="396" spans="1:82" ht="15.75" customHeight="1" thickBot="1" x14ac:dyDescent="0.3">
      <c r="A396" s="9">
        <v>395</v>
      </c>
      <c r="B396" s="10" t="s">
        <v>574</v>
      </c>
      <c r="C396" s="10" t="s">
        <v>21</v>
      </c>
      <c r="D396" s="10" t="s">
        <v>53</v>
      </c>
      <c r="E396" s="51">
        <v>-138.06771704057201</v>
      </c>
      <c r="F396" s="51">
        <v>134.279926592263</v>
      </c>
      <c r="G396" s="51">
        <v>182.74016392007201</v>
      </c>
      <c r="H396" s="51">
        <v>72.399615912208503</v>
      </c>
      <c r="I396" s="11">
        <v>0</v>
      </c>
      <c r="J396" s="51">
        <v>7.6095764335239897</v>
      </c>
      <c r="K396" s="249">
        <f>IFERROR(VLOOKUP(C396,Schedule!$T$3:$U$34,2,0),"FA")</f>
        <v>5</v>
      </c>
      <c r="L396" s="10" t="str">
        <f>D396&amp;COUNTIF(D$2:$D396,D396)</f>
        <v>QB30</v>
      </c>
      <c r="M396" s="51">
        <f t="array" ref="M396">IFERROR(F396-AVERAGE(VLOOKUP(D396,$D397:$F$885,3,0),INDEX($F397:$F$885,SMALL(IF(D396=$D397:$D$885,ROW($D397:$D$885)-ROW(D396)),2))),0)</f>
        <v>4.3240822893299935</v>
      </c>
      <c r="N396" s="51">
        <f>IFERROR(IF(VLOOKUP($B396,Input!$AC$2:$AC$162,1,0)=$B396,0),F396)</f>
        <v>134.279926592263</v>
      </c>
      <c r="O396" s="51">
        <f>IFERROR(IF(VLOOKUP($B396,Input!$AC$2:$AC$162,1,0)=$B396,0,G396),G396)</f>
        <v>182.74016392007201</v>
      </c>
      <c r="P396" s="51">
        <f>IF(N396=0,0,F396-AVERAGE(INDEX(F:F,MATCH(VLOOKUP(D396,Input!$A$14:$L$22,10,0),L:L,0)),INDEX(F:F,MATCH(VLOOKUP(D396,Input!$A$14:$L$22,11,0),L:L,0)),INDEX(F:F,MATCH(VLOOKUP(D396,Input!$A$14:$L$22,12,0),L:L,0)))+(0.01-ROW()*0.01))</f>
        <v>-142.01771704057262</v>
      </c>
      <c r="Q396" s="107">
        <f t="shared" si="106"/>
        <v>-4.8995109865879592E-2</v>
      </c>
      <c r="R396" s="11">
        <f>IF(VLOOKUP($D396,$X$14:$Y$19,2,0)&lt;=0,1,IF(Q396&lt;0,1,ROUNDUP(IF(Q396*('Draft Center'!$L$28+'Draft Center'!$L$78-'Draft Center'!$L$82)&lt;1,1,Q396*('Draft Center'!$L$28+'Draft Center'!$L$78-'Draft Center'!$L$82)),0)))</f>
        <v>1</v>
      </c>
      <c r="S396" s="11">
        <f>IF(A396&lt;Input!$B$10+0.1,IF(ROUNDUP(R396*Input!$C$10,0)=0,1,ROUNDUP(R396*Input!$C$10,0)),IF(A396&gt;Input!$B$11,IF(ROUNDUP(R396*Input!$C$11,0)=0,1,ROUNDUP(R396*Input!$C$11,0)),IF(ROUNDUP(R396,0)=0,1,ROUNDUP(R396,0))))</f>
        <v>1</v>
      </c>
      <c r="T396" s="11">
        <f t="shared" si="107"/>
        <v>1</v>
      </c>
      <c r="U396" s="11">
        <f>IFERROR(VLOOKUP($B396,Input!$AC$2:$AE$161,3,0),0)</f>
        <v>0</v>
      </c>
      <c r="V396" s="257">
        <f t="shared" si="108"/>
        <v>0</v>
      </c>
      <c r="W396" s="264">
        <f t="shared" si="109"/>
        <v>1.00396</v>
      </c>
      <c r="X396" s="68"/>
      <c r="Y396" s="68"/>
      <c r="Z396" s="68"/>
      <c r="AA396" s="68"/>
      <c r="AB396" s="68"/>
      <c r="AC396" s="68"/>
      <c r="AD396" s="68"/>
      <c r="AE396" s="68"/>
      <c r="AF396" s="68"/>
      <c r="AG396" s="68"/>
      <c r="AH396" s="68"/>
      <c r="AI396" s="68"/>
      <c r="AJ396" s="68">
        <v>1</v>
      </c>
      <c r="AL396" s="68">
        <v>1</v>
      </c>
      <c r="AM396" s="68"/>
      <c r="AN396" s="68"/>
      <c r="AO396" s="68"/>
      <c r="AQ396" s="68"/>
      <c r="AR396" s="68"/>
      <c r="AS396" s="68"/>
      <c r="AT396" s="68"/>
      <c r="AU396" s="68"/>
      <c r="AV396" s="68"/>
      <c r="AW396" s="68"/>
      <c r="AX396" s="68"/>
      <c r="AY396" s="68"/>
      <c r="AZ396" s="68"/>
      <c r="BB396" s="68"/>
      <c r="BC396" s="68"/>
      <c r="BJ396" s="68"/>
      <c r="BT396">
        <v>1</v>
      </c>
      <c r="BV396">
        <v>1</v>
      </c>
      <c r="BX396" s="68"/>
      <c r="BY396" s="68">
        <v>1</v>
      </c>
      <c r="BZ396" s="68">
        <v>0</v>
      </c>
      <c r="CA396" s="68">
        <v>0</v>
      </c>
      <c r="CB396" s="68">
        <v>0</v>
      </c>
      <c r="CC396" s="68">
        <f t="shared" si="110"/>
        <v>0</v>
      </c>
      <c r="CD396" s="68">
        <f t="shared" si="111"/>
        <v>0</v>
      </c>
    </row>
    <row r="397" spans="1:82" ht="15.75" customHeight="1" thickBot="1" x14ac:dyDescent="0.3">
      <c r="A397" s="6">
        <v>396</v>
      </c>
      <c r="B397" s="7" t="s">
        <v>993</v>
      </c>
      <c r="C397" s="7" t="s">
        <v>75</v>
      </c>
      <c r="D397" s="7" t="s">
        <v>19</v>
      </c>
      <c r="E397" s="50">
        <v>-138.409533460126</v>
      </c>
      <c r="F397" s="50">
        <v>30.692864565826302</v>
      </c>
      <c r="G397" s="50">
        <v>59.792680232558197</v>
      </c>
      <c r="H397" s="50">
        <v>0.17</v>
      </c>
      <c r="I397" s="8">
        <v>0</v>
      </c>
      <c r="J397" s="50">
        <v>10.166318618799901</v>
      </c>
      <c r="K397" s="248">
        <f>IFERROR(VLOOKUP(C397,Schedule!$T$3:$U$34,2,0),"FA")</f>
        <v>10</v>
      </c>
      <c r="L397" s="7" t="str">
        <f>D397&amp;COUNTIF(D$2:$D397,D397)</f>
        <v>RB105</v>
      </c>
      <c r="M397" s="50">
        <f t="array" ref="M397">IFERROR(F397-AVERAGE(VLOOKUP(D397,$D398:$F$885,3,0),INDEX($F398:$F$885,SMALL(IF(D397=$D398:$D$885,ROW($D398:$D$885)-ROW(D397)),2))),0)</f>
        <v>1.6994827867587041</v>
      </c>
      <c r="N397" s="50">
        <f>IFERROR(IF(VLOOKUP($B397,Input!$AC$2:$AC$162,1,0)=$B397,0),F397)</f>
        <v>30.692864565826302</v>
      </c>
      <c r="O397" s="50">
        <f>IFERROR(IF(VLOOKUP($B397,Input!$AC$2:$AC$162,1,0)=$B397,0,G397),G397)</f>
        <v>59.792680232558197</v>
      </c>
      <c r="P397" s="50">
        <f>IF(N397=0,0,F397-AVERAGE(INDEX(F:F,MATCH(VLOOKUP(D397,Input!$A$14:$L$22,10,0),L:L,0)),INDEX(F:F,MATCH(VLOOKUP(D397,Input!$A$14:$L$22,11,0),L:L,0)),INDEX(F:F,MATCH(VLOOKUP(D397,Input!$A$14:$L$22,12,0),L:L,0)))+(0.01-ROW()*0.01))</f>
        <v>-142.36953346012569</v>
      </c>
      <c r="Q397" s="106">
        <f t="shared" si="106"/>
        <v>-4.9116484047128393E-2</v>
      </c>
      <c r="R397" s="8">
        <f>IF(VLOOKUP($D397,$X$14:$Y$19,2,0)&lt;=0,1,IF(Q397&lt;0,1,ROUNDUP(IF(Q397*('Draft Center'!$L$28+'Draft Center'!$L$78-'Draft Center'!$L$82)&lt;1,1,Q397*('Draft Center'!$L$28+'Draft Center'!$L$78-'Draft Center'!$L$82)),0)))</f>
        <v>1</v>
      </c>
      <c r="S397" s="8">
        <f>IF(A397&lt;Input!$B$10+0.1,IF(ROUNDUP(R397*Input!$C$10,0)=0,1,ROUNDUP(R397*Input!$C$10,0)),IF(A397&gt;Input!$B$11,IF(ROUNDUP(R397*Input!$C$11,0)=0,1,ROUNDUP(R397*Input!$C$11,0)),IF(ROUNDUP(R397,0)=0,1,ROUNDUP(R397,0))))</f>
        <v>1</v>
      </c>
      <c r="T397" s="8">
        <f t="shared" si="107"/>
        <v>1</v>
      </c>
      <c r="U397" s="8">
        <f>IFERROR(VLOOKUP($B397,Input!$AC$2:$AE$161,3,0),0)</f>
        <v>0</v>
      </c>
      <c r="V397" s="256">
        <f t="shared" si="108"/>
        <v>0</v>
      </c>
      <c r="W397" s="263">
        <f t="shared" si="109"/>
        <v>1.00397</v>
      </c>
      <c r="X397" s="68"/>
      <c r="Y397" s="68"/>
      <c r="Z397" s="68"/>
      <c r="AA397" s="68"/>
      <c r="AB397" s="68"/>
      <c r="AC397" s="68"/>
      <c r="AD397" s="68"/>
      <c r="AE397" s="68"/>
      <c r="AF397" s="68"/>
      <c r="AG397" s="68"/>
      <c r="AH397" s="68"/>
      <c r="AI397" s="68"/>
      <c r="AJ397" s="68">
        <v>1</v>
      </c>
      <c r="AL397" s="68">
        <v>1</v>
      </c>
      <c r="AM397" s="68"/>
      <c r="AN397" s="68"/>
      <c r="AO397" s="68"/>
      <c r="AQ397" s="68"/>
      <c r="AR397" s="68"/>
      <c r="AS397" s="68"/>
      <c r="AT397" s="68"/>
      <c r="AU397" s="68"/>
      <c r="AV397" s="68"/>
      <c r="AW397" s="68"/>
      <c r="AX397" s="68"/>
      <c r="AY397" s="68"/>
      <c r="AZ397" s="68"/>
      <c r="BB397" s="68"/>
      <c r="BC397" s="68"/>
      <c r="BJ397" s="68"/>
      <c r="BT397">
        <v>1</v>
      </c>
      <c r="BV397">
        <v>1</v>
      </c>
      <c r="BX397" s="68"/>
      <c r="BY397" s="68">
        <v>1</v>
      </c>
      <c r="BZ397" s="68">
        <v>0</v>
      </c>
      <c r="CA397" s="68">
        <v>0</v>
      </c>
      <c r="CB397" s="68">
        <v>0</v>
      </c>
      <c r="CC397" s="68">
        <f t="shared" si="110"/>
        <v>0</v>
      </c>
      <c r="CD397" s="68">
        <f t="shared" si="111"/>
        <v>0</v>
      </c>
    </row>
    <row r="398" spans="1:82" ht="15.75" customHeight="1" thickBot="1" x14ac:dyDescent="0.3">
      <c r="A398" s="9">
        <v>397</v>
      </c>
      <c r="B398" s="10" t="s">
        <v>813</v>
      </c>
      <c r="C398" s="10" t="s">
        <v>143</v>
      </c>
      <c r="D398" s="10" t="s">
        <v>53</v>
      </c>
      <c r="E398" s="51">
        <v>-138.81921149090601</v>
      </c>
      <c r="F398" s="51">
        <v>133.52843214193001</v>
      </c>
      <c r="G398" s="51">
        <v>184.84881608839601</v>
      </c>
      <c r="H398" s="51">
        <v>54.9529218106996</v>
      </c>
      <c r="I398" s="11">
        <v>0</v>
      </c>
      <c r="J398" s="51">
        <v>7.7000921590034901</v>
      </c>
      <c r="K398" s="249">
        <f>IFERROR(VLOOKUP(C398,Schedule!$T$3:$U$34,2,0),"FA")</f>
        <v>9</v>
      </c>
      <c r="L398" s="10" t="str">
        <f>D398&amp;COUNTIF(D$2:$D398,D398)</f>
        <v>QB31</v>
      </c>
      <c r="M398" s="51">
        <f t="array" ref="M398">IFERROR(F398-AVERAGE(VLOOKUP(D398,$D399:$F$885,3,0),INDEX($F399:$F$885,SMALL(IF(D398=$D399:$D$885,ROW($D399:$D$885)-ROW(D398)),2))),0)</f>
        <v>23.081638543212662</v>
      </c>
      <c r="N398" s="51">
        <f>IFERROR(IF(VLOOKUP($B398,Input!$AC$2:$AC$162,1,0)=$B398,0),F398)</f>
        <v>133.52843214193001</v>
      </c>
      <c r="O398" s="51">
        <f>IFERROR(IF(VLOOKUP($B398,Input!$AC$2:$AC$162,1,0)=$B398,0,G398),G398)</f>
        <v>184.84881608839601</v>
      </c>
      <c r="P398" s="51">
        <f>IF(N398=0,0,F398-AVERAGE(INDEX(F:F,MATCH(VLOOKUP(D398,Input!$A$14:$L$22,10,0),L:L,0)),INDEX(F:F,MATCH(VLOOKUP(D398,Input!$A$14:$L$22,11,0),L:L,0)),INDEX(F:F,MATCH(VLOOKUP(D398,Input!$A$14:$L$22,12,0),L:L,0)))+(0.01-ROW()*0.01))</f>
        <v>-142.78921149090561</v>
      </c>
      <c r="Q398" s="107">
        <f t="shared" si="106"/>
        <v>-4.9261270005210536E-2</v>
      </c>
      <c r="R398" s="11">
        <f>IF(VLOOKUP($D398,$X$14:$Y$19,2,0)&lt;=0,1,IF(Q398&lt;0,1,ROUNDUP(IF(Q398*('Draft Center'!$L$28+'Draft Center'!$L$78-'Draft Center'!$L$82)&lt;1,1,Q398*('Draft Center'!$L$28+'Draft Center'!$L$78-'Draft Center'!$L$82)),0)))</f>
        <v>1</v>
      </c>
      <c r="S398" s="11">
        <f>IF(A398&lt;Input!$B$10+0.1,IF(ROUNDUP(R398*Input!$C$10,0)=0,1,ROUNDUP(R398*Input!$C$10,0)),IF(A398&gt;Input!$B$11,IF(ROUNDUP(R398*Input!$C$11,0)=0,1,ROUNDUP(R398*Input!$C$11,0)),IF(ROUNDUP(R398,0)=0,1,ROUNDUP(R398,0))))</f>
        <v>1</v>
      </c>
      <c r="T398" s="11">
        <f t="shared" si="107"/>
        <v>1</v>
      </c>
      <c r="U398" s="11">
        <f>IFERROR(VLOOKUP($B398,Input!$AC$2:$AE$161,3,0),0)</f>
        <v>0</v>
      </c>
      <c r="V398" s="257">
        <f t="shared" si="108"/>
        <v>0</v>
      </c>
      <c r="W398" s="264">
        <f t="shared" si="109"/>
        <v>1.0039800000000001</v>
      </c>
      <c r="X398" s="68"/>
      <c r="Y398" s="68"/>
      <c r="Z398" s="68"/>
      <c r="AA398" s="68"/>
      <c r="AB398" s="68"/>
      <c r="AC398" s="68"/>
      <c r="AD398" s="68"/>
      <c r="AE398" s="68"/>
      <c r="AF398" s="68"/>
      <c r="AG398" s="68"/>
      <c r="AH398" s="68"/>
      <c r="AI398" s="68"/>
      <c r="AJ398" s="68">
        <v>1</v>
      </c>
      <c r="AL398" s="68">
        <v>1</v>
      </c>
      <c r="AM398" s="68"/>
      <c r="AN398" s="68"/>
      <c r="AO398" s="68"/>
      <c r="AQ398" s="68"/>
      <c r="AR398" s="68"/>
      <c r="AS398" s="68"/>
      <c r="AT398" s="68"/>
      <c r="AU398" s="68"/>
      <c r="AV398" s="68"/>
      <c r="AW398" s="68"/>
      <c r="AX398" s="68"/>
      <c r="AY398" s="68"/>
      <c r="AZ398" s="68"/>
      <c r="BB398" s="68"/>
      <c r="BC398" s="68"/>
      <c r="BJ398" s="68"/>
      <c r="BT398">
        <v>1</v>
      </c>
      <c r="BV398">
        <v>1</v>
      </c>
      <c r="BX398" s="68"/>
      <c r="BY398" s="68">
        <v>1</v>
      </c>
      <c r="BZ398" s="68">
        <v>0</v>
      </c>
      <c r="CA398" s="68">
        <v>0</v>
      </c>
      <c r="CB398" s="68">
        <v>0</v>
      </c>
      <c r="CC398" s="68">
        <f t="shared" si="110"/>
        <v>0</v>
      </c>
      <c r="CD398" s="68">
        <f t="shared" si="111"/>
        <v>0</v>
      </c>
    </row>
    <row r="399" spans="1:82" ht="15.75" customHeight="1" thickBot="1" x14ac:dyDescent="0.3">
      <c r="A399" s="6">
        <v>398</v>
      </c>
      <c r="B399" s="7" t="s">
        <v>262</v>
      </c>
      <c r="C399" s="7" t="s">
        <v>61</v>
      </c>
      <c r="D399" s="7" t="s">
        <v>17</v>
      </c>
      <c r="E399" s="50">
        <v>-139.387202197199</v>
      </c>
      <c r="F399" s="50">
        <v>73.390714072150502</v>
      </c>
      <c r="G399" s="50">
        <v>91.711695786522498</v>
      </c>
      <c r="H399" s="50">
        <v>59.344379933372501</v>
      </c>
      <c r="I399" s="8">
        <v>0</v>
      </c>
      <c r="J399" s="50">
        <v>4.67396799072747</v>
      </c>
      <c r="K399" s="248">
        <f>IFERROR(VLOOKUP(C399,Schedule!$T$3:$U$34,2,0),"FA")</f>
        <v>5</v>
      </c>
      <c r="L399" s="7" t="str">
        <f>D399&amp;COUNTIF(D$2:$D399,D399)</f>
        <v>WR103</v>
      </c>
      <c r="M399" s="50">
        <f t="array" ref="M399">IFERROR(F399-AVERAGE(VLOOKUP(D399,$D400:$F$885,3,0),INDEX($F400:$F$885,SMALL(IF(D399=$D400:$D$885,ROW($D400:$D$885)-ROW(D399)),2))),0)</f>
        <v>4.1779057569429483</v>
      </c>
      <c r="N399" s="50">
        <f>IFERROR(IF(VLOOKUP($B399,Input!$AC$2:$AC$162,1,0)=$B399,0),F399)</f>
        <v>73.390714072150502</v>
      </c>
      <c r="O399" s="50">
        <f>IFERROR(IF(VLOOKUP($B399,Input!$AC$2:$AC$162,1,0)=$B399,0,G399),G399)</f>
        <v>91.711695786522498</v>
      </c>
      <c r="P399" s="50">
        <f>IF(N399=0,0,F399-AVERAGE(INDEX(F:F,MATCH(VLOOKUP(D399,Input!$A$14:$L$22,10,0),L:L,0)),INDEX(F:F,MATCH(VLOOKUP(D399,Input!$A$14:$L$22,11,0),L:L,0)),INDEX(F:F,MATCH(VLOOKUP(D399,Input!$A$14:$L$22,12,0),L:L,0)))+(0.01-ROW()*0.01))</f>
        <v>-143.36720219719851</v>
      </c>
      <c r="Q399" s="106">
        <f t="shared" si="106"/>
        <v>-4.946067271880427E-2</v>
      </c>
      <c r="R399" s="8">
        <f>IF(VLOOKUP($D399,$X$14:$Y$19,2,0)&lt;=0,1,IF(Q399&lt;0,1,ROUNDUP(IF(Q399*('Draft Center'!$L$28+'Draft Center'!$L$78-'Draft Center'!$L$82)&lt;1,1,Q399*('Draft Center'!$L$28+'Draft Center'!$L$78-'Draft Center'!$L$82)),0)))</f>
        <v>1</v>
      </c>
      <c r="S399" s="8">
        <f>IF(A399&lt;Input!$B$10+0.1,IF(ROUNDUP(R399*Input!$C$10,0)=0,1,ROUNDUP(R399*Input!$C$10,0)),IF(A399&gt;Input!$B$11,IF(ROUNDUP(R399*Input!$C$11,0)=0,1,ROUNDUP(R399*Input!$C$11,0)),IF(ROUNDUP(R399,0)=0,1,ROUNDUP(R399,0))))</f>
        <v>1</v>
      </c>
      <c r="T399" s="8">
        <f t="shared" si="107"/>
        <v>1</v>
      </c>
      <c r="U399" s="8">
        <f>IFERROR(VLOOKUP($B399,Input!$AC$2:$AE$161,3,0),0)</f>
        <v>0</v>
      </c>
      <c r="V399" s="256">
        <f t="shared" si="108"/>
        <v>0</v>
      </c>
      <c r="W399" s="263">
        <f t="shared" si="109"/>
        <v>1.0039899999999999</v>
      </c>
      <c r="X399" s="68"/>
      <c r="Y399" s="68"/>
      <c r="Z399" s="68"/>
      <c r="AA399" s="68"/>
      <c r="AB399" s="68"/>
      <c r="AC399" s="68"/>
      <c r="AD399" s="68"/>
      <c r="AE399" s="68"/>
      <c r="AF399" s="68"/>
      <c r="AG399" s="68"/>
      <c r="AH399" s="68"/>
      <c r="AI399" s="68"/>
      <c r="AJ399" s="68">
        <v>1</v>
      </c>
      <c r="AL399" s="68">
        <v>1</v>
      </c>
      <c r="AM399" s="68"/>
      <c r="AN399" s="68"/>
      <c r="AO399" s="68"/>
      <c r="AQ399" s="68"/>
      <c r="AR399" s="68"/>
      <c r="AS399" s="68"/>
      <c r="AT399" s="68"/>
      <c r="AU399" s="68"/>
      <c r="AV399" s="68"/>
      <c r="AW399" s="68"/>
      <c r="AX399" s="68"/>
      <c r="AY399" s="68"/>
      <c r="AZ399" s="68"/>
      <c r="BB399" s="68"/>
      <c r="BC399" s="68"/>
      <c r="BJ399" s="68"/>
      <c r="BT399">
        <v>1</v>
      </c>
      <c r="BV399">
        <v>1</v>
      </c>
      <c r="BX399" s="68"/>
      <c r="BY399" s="68">
        <v>1</v>
      </c>
      <c r="BZ399" s="68">
        <v>0</v>
      </c>
      <c r="CA399" s="68">
        <v>0</v>
      </c>
      <c r="CB399" s="68">
        <v>0</v>
      </c>
      <c r="CC399" s="68">
        <f t="shared" si="110"/>
        <v>0</v>
      </c>
      <c r="CD399" s="68">
        <f t="shared" si="111"/>
        <v>0</v>
      </c>
    </row>
    <row r="400" spans="1:82" ht="15.75" customHeight="1" thickBot="1" x14ac:dyDescent="0.3">
      <c r="A400" s="9">
        <v>399</v>
      </c>
      <c r="B400" s="10" t="s">
        <v>1063</v>
      </c>
      <c r="C400" s="10" t="s">
        <v>48</v>
      </c>
      <c r="D400" s="10" t="s">
        <v>43</v>
      </c>
      <c r="E400" s="51">
        <v>-139.67164235798299</v>
      </c>
      <c r="F400" s="51">
        <v>13.7892769942263</v>
      </c>
      <c r="G400" s="51">
        <v>22.232786946736699</v>
      </c>
      <c r="H400" s="51">
        <v>0</v>
      </c>
      <c r="I400" s="11" t="s">
        <v>1057</v>
      </c>
      <c r="J400" s="51" t="s">
        <v>1057</v>
      </c>
      <c r="K400" s="249">
        <f>IFERROR(VLOOKUP(C400,Schedule!$T$3:$U$34,2,0),"FA")</f>
        <v>10</v>
      </c>
      <c r="L400" s="10" t="str">
        <f>D400&amp;COUNTIF(D$2:$D400,D400)</f>
        <v>TE87</v>
      </c>
      <c r="M400" s="51">
        <f t="array" ref="M400">IFERROR(F400-AVERAGE(VLOOKUP(D400,$D401:$F$885,3,0),INDEX($F401:$F$885,SMALL(IF(D400=$D401:$D$885,ROW($D401:$D$885)-ROW(D400)),2))),0)</f>
        <v>0.6878548555382995</v>
      </c>
      <c r="N400" s="51">
        <f>IFERROR(IF(VLOOKUP($B400,Input!$AC$2:$AC$162,1,0)=$B400,0),F400)</f>
        <v>13.7892769942263</v>
      </c>
      <c r="O400" s="51">
        <f>IFERROR(IF(VLOOKUP($B400,Input!$AC$2:$AC$162,1,0)=$B400,0,G400),G400)</f>
        <v>22.232786946736699</v>
      </c>
      <c r="P400" s="51">
        <f>IF(N400=0,0,F400-AVERAGE(INDEX(F:F,MATCH(VLOOKUP(D400,Input!$A$14:$L$22,10,0),L:L,0)),INDEX(F:F,MATCH(VLOOKUP(D400,Input!$A$14:$L$22,11,0),L:L,0)),INDEX(F:F,MATCH(VLOOKUP(D400,Input!$A$14:$L$22,12,0),L:L,0)))+(0.01-ROW()*0.01))</f>
        <v>-143.66164235798303</v>
      </c>
      <c r="Q400" s="107">
        <f t="shared" si="106"/>
        <v>-4.9562252495800992E-2</v>
      </c>
      <c r="R400" s="11">
        <f>IF(VLOOKUP($D400,$X$14:$Y$19,2,0)&lt;=0,1,IF(Q400&lt;0,1,ROUNDUP(IF(Q400*('Draft Center'!$L$28+'Draft Center'!$L$78-'Draft Center'!$L$82)&lt;1,1,Q400*('Draft Center'!$L$28+'Draft Center'!$L$78-'Draft Center'!$L$82)),0)))</f>
        <v>1</v>
      </c>
      <c r="S400" s="11">
        <f>IF(A400&lt;Input!$B$10+0.1,IF(ROUNDUP(R400*Input!$C$10,0)=0,1,ROUNDUP(R400*Input!$C$10,0)),IF(A400&gt;Input!$B$11,IF(ROUNDUP(R400*Input!$C$11,0)=0,1,ROUNDUP(R400*Input!$C$11,0)),IF(ROUNDUP(R400,0)=0,1,ROUNDUP(R400,0))))</f>
        <v>1</v>
      </c>
      <c r="T400" s="11">
        <f t="shared" si="107"/>
        <v>1</v>
      </c>
      <c r="U400" s="11">
        <f>IFERROR(VLOOKUP($B400,Input!$AC$2:$AE$161,3,0),0)</f>
        <v>0</v>
      </c>
      <c r="V400" s="257">
        <f t="shared" si="108"/>
        <v>0</v>
      </c>
      <c r="W400" s="264">
        <f t="shared" si="109"/>
        <v>0</v>
      </c>
      <c r="X400" s="68"/>
      <c r="Y400" s="68"/>
      <c r="Z400" s="68"/>
      <c r="AA400" s="68"/>
      <c r="AB400" s="68"/>
      <c r="AC400" s="68"/>
      <c r="AD400" s="68"/>
      <c r="AE400" s="68"/>
      <c r="AF400" s="68"/>
      <c r="AG400" s="68"/>
      <c r="AH400" s="68"/>
      <c r="AI400" s="68"/>
      <c r="AJ400" s="68">
        <v>1</v>
      </c>
      <c r="AL400" s="68">
        <v>1</v>
      </c>
      <c r="AM400" s="68"/>
      <c r="AN400" s="68"/>
      <c r="AO400" s="68"/>
      <c r="AQ400" s="68"/>
      <c r="AR400" s="68"/>
      <c r="AS400" s="68"/>
      <c r="AT400" s="68"/>
      <c r="AU400" s="68"/>
      <c r="AV400" s="68"/>
      <c r="AW400" s="68"/>
      <c r="AX400" s="68"/>
      <c r="AY400" s="68"/>
      <c r="AZ400" s="68"/>
      <c r="BB400" s="68"/>
      <c r="BC400" s="68"/>
      <c r="BJ400" s="68"/>
      <c r="BT400">
        <v>1</v>
      </c>
      <c r="BV400">
        <v>1</v>
      </c>
      <c r="BX400" s="68"/>
      <c r="BY400" s="68">
        <v>1</v>
      </c>
      <c r="BZ400" s="68" t="s">
        <v>1057</v>
      </c>
      <c r="CA400" s="68" t="s">
        <v>1057</v>
      </c>
      <c r="CB400" s="68" t="s">
        <v>1057</v>
      </c>
      <c r="CC400" s="68" t="e">
        <f t="shared" si="110"/>
        <v>#DIV/0!</v>
      </c>
      <c r="CD400" s="68" t="str">
        <f t="shared" si="111"/>
        <v>NA</v>
      </c>
    </row>
    <row r="401" spans="1:82" ht="15.75" customHeight="1" thickBot="1" x14ac:dyDescent="0.3">
      <c r="A401" s="6">
        <v>400</v>
      </c>
      <c r="B401" s="7" t="s">
        <v>995</v>
      </c>
      <c r="C401" s="7" t="s">
        <v>21</v>
      </c>
      <c r="D401" s="7" t="s">
        <v>19</v>
      </c>
      <c r="E401" s="50">
        <v>-139.68003060170901</v>
      </c>
      <c r="F401" s="50">
        <v>29.422367424242399</v>
      </c>
      <c r="G401" s="50">
        <v>47.683050000000001</v>
      </c>
      <c r="H401" s="50">
        <v>0.02</v>
      </c>
      <c r="I401" s="8">
        <v>0</v>
      </c>
      <c r="J401" s="50">
        <v>7.9860096125305198</v>
      </c>
      <c r="K401" s="248">
        <f>IFERROR(VLOOKUP(C401,Schedule!$T$3:$U$34,2,0),"FA")</f>
        <v>5</v>
      </c>
      <c r="L401" s="7" t="str">
        <f>D401&amp;COUNTIF(D$2:$D401,D401)</f>
        <v>RB106</v>
      </c>
      <c r="M401" s="50">
        <f t="array" ref="M401">IFERROR(F401-AVERAGE(VLOOKUP(D401,$D402:$F$885,3,0),INDEX($F402:$F$885,SMALL(IF(D401=$D402:$D$885,ROW($D402:$D$885)-ROW(D401)),2))),0)</f>
        <v>1.4170942120095482</v>
      </c>
      <c r="N401" s="50">
        <f>IFERROR(IF(VLOOKUP($B401,Input!$AC$2:$AC$162,1,0)=$B401,0),F401)</f>
        <v>29.422367424242399</v>
      </c>
      <c r="O401" s="50">
        <f>IFERROR(IF(VLOOKUP($B401,Input!$AC$2:$AC$162,1,0)=$B401,0,G401),G401)</f>
        <v>47.683050000000001</v>
      </c>
      <c r="P401" s="50">
        <f>IF(N401=0,0,F401-AVERAGE(INDEX(F:F,MATCH(VLOOKUP(D401,Input!$A$14:$L$22,10,0),L:L,0)),INDEX(F:F,MATCH(VLOOKUP(D401,Input!$A$14:$L$22,11,0),L:L,0)),INDEX(F:F,MATCH(VLOOKUP(D401,Input!$A$14:$L$22,12,0),L:L,0)))+(0.01-ROW()*0.01))</f>
        <v>-143.6800306017096</v>
      </c>
      <c r="Q401" s="106">
        <f t="shared" si="106"/>
        <v>-4.9568596310082751E-2</v>
      </c>
      <c r="R401" s="8">
        <f>IF(VLOOKUP($D401,$X$14:$Y$19,2,0)&lt;=0,1,IF(Q401&lt;0,1,ROUNDUP(IF(Q401*('Draft Center'!$L$28+'Draft Center'!$L$78-'Draft Center'!$L$82)&lt;1,1,Q401*('Draft Center'!$L$28+'Draft Center'!$L$78-'Draft Center'!$L$82)),0)))</f>
        <v>1</v>
      </c>
      <c r="S401" s="8">
        <f>IF(A401&lt;Input!$B$10+0.1,IF(ROUNDUP(R401*Input!$C$10,0)=0,1,ROUNDUP(R401*Input!$C$10,0)),IF(A401&gt;Input!$B$11,IF(ROUNDUP(R401*Input!$C$11,0)=0,1,ROUNDUP(R401*Input!$C$11,0)),IF(ROUNDUP(R401,0)=0,1,ROUNDUP(R401,0))))</f>
        <v>1</v>
      </c>
      <c r="T401" s="8">
        <f t="shared" si="107"/>
        <v>1</v>
      </c>
      <c r="U401" s="8">
        <f>IFERROR(VLOOKUP($B401,Input!$AC$2:$AE$161,3,0),0)</f>
        <v>0</v>
      </c>
      <c r="V401" s="256">
        <f t="shared" si="108"/>
        <v>0</v>
      </c>
      <c r="W401" s="263">
        <f t="shared" si="109"/>
        <v>1.0040100000000001</v>
      </c>
      <c r="X401" s="68"/>
      <c r="Y401" s="68"/>
      <c r="Z401" s="68"/>
      <c r="AA401" s="68"/>
      <c r="AB401" s="68"/>
      <c r="AC401" s="68"/>
      <c r="AD401" s="68"/>
      <c r="AE401" s="68"/>
      <c r="AF401" s="68"/>
      <c r="AG401" s="68"/>
      <c r="AH401" s="68"/>
      <c r="AI401" s="68"/>
      <c r="AJ401" s="68">
        <v>1</v>
      </c>
      <c r="AL401" s="68">
        <v>1</v>
      </c>
      <c r="AM401" s="68"/>
      <c r="AN401" s="68"/>
      <c r="AO401" s="68"/>
      <c r="AQ401" s="68"/>
      <c r="AR401" s="68"/>
      <c r="AS401" s="68"/>
      <c r="AT401" s="68"/>
      <c r="AU401" s="68"/>
      <c r="AV401" s="68"/>
      <c r="AW401" s="68"/>
      <c r="AX401" s="68"/>
      <c r="AY401" s="68"/>
      <c r="AZ401" s="68"/>
      <c r="BB401" s="68"/>
      <c r="BC401" s="68"/>
      <c r="BJ401" s="68"/>
      <c r="BT401">
        <v>1</v>
      </c>
      <c r="BV401">
        <v>1</v>
      </c>
      <c r="BX401" s="68"/>
      <c r="BY401" s="68">
        <v>1</v>
      </c>
      <c r="BZ401" s="68">
        <v>0</v>
      </c>
      <c r="CA401" s="68">
        <v>0</v>
      </c>
      <c r="CB401" s="68">
        <v>0</v>
      </c>
      <c r="CC401" s="68">
        <f t="shared" si="110"/>
        <v>0</v>
      </c>
      <c r="CD401" s="68">
        <f t="shared" si="111"/>
        <v>0</v>
      </c>
    </row>
    <row r="402" spans="1:82" ht="15.75" customHeight="1" thickBot="1" x14ac:dyDescent="0.3">
      <c r="A402" s="9">
        <v>401</v>
      </c>
      <c r="B402" s="10" t="s">
        <v>434</v>
      </c>
      <c r="C402" s="10" t="s">
        <v>61</v>
      </c>
      <c r="D402" s="10" t="s">
        <v>43</v>
      </c>
      <c r="E402" s="51">
        <v>-139.897527719914</v>
      </c>
      <c r="F402" s="51">
        <v>13.5633916322949</v>
      </c>
      <c r="G402" s="51">
        <v>24.151281377579899</v>
      </c>
      <c r="H402" s="51">
        <v>0</v>
      </c>
      <c r="I402" s="11">
        <v>0</v>
      </c>
      <c r="J402" s="51">
        <v>4.2464943081234701</v>
      </c>
      <c r="K402" s="249">
        <f>IFERROR(VLOOKUP(C402,Schedule!$T$3:$U$34,2,0),"FA")</f>
        <v>5</v>
      </c>
      <c r="L402" s="10" t="str">
        <f>D402&amp;COUNTIF(D$2:$D402,D402)</f>
        <v>TE88</v>
      </c>
      <c r="M402" s="51">
        <f t="array" ref="M402">IFERROR(F402-AVERAGE(VLOOKUP(D402,$D403:$F$885,3,0),INDEX($F403:$F$885,SMALL(IF(D402=$D403:$D$885,ROW($D403:$D$885)-ROW(D402)),2))),0)</f>
        <v>1.2436653097543502</v>
      </c>
      <c r="N402" s="51">
        <f>IFERROR(IF(VLOOKUP($B402,Input!$AC$2:$AC$162,1,0)=$B402,0),F402)</f>
        <v>13.5633916322949</v>
      </c>
      <c r="O402" s="51">
        <f>IFERROR(IF(VLOOKUP($B402,Input!$AC$2:$AC$162,1,0)=$B402,0,G402),G402)</f>
        <v>24.151281377579899</v>
      </c>
      <c r="P402" s="51">
        <f>IF(N402=0,0,F402-AVERAGE(INDEX(F:F,MATCH(VLOOKUP(D402,Input!$A$14:$L$22,10,0),L:L,0)),INDEX(F:F,MATCH(VLOOKUP(D402,Input!$A$14:$L$22,11,0),L:L,0)),INDEX(F:F,MATCH(VLOOKUP(D402,Input!$A$14:$L$22,12,0),L:L,0)))+(0.01-ROW()*0.01))</f>
        <v>-143.90752771991441</v>
      </c>
      <c r="Q402" s="107">
        <f t="shared" si="106"/>
        <v>-4.9647081209945147E-2</v>
      </c>
      <c r="R402" s="11">
        <f>IF(VLOOKUP($D402,$X$14:$Y$19,2,0)&lt;=0,1,IF(Q402&lt;0,1,ROUNDUP(IF(Q402*('Draft Center'!$L$28+'Draft Center'!$L$78-'Draft Center'!$L$82)&lt;1,1,Q402*('Draft Center'!$L$28+'Draft Center'!$L$78-'Draft Center'!$L$82)),0)))</f>
        <v>1</v>
      </c>
      <c r="S402" s="11">
        <f>IF(A402&lt;Input!$B$10+0.1,IF(ROUNDUP(R402*Input!$C$10,0)=0,1,ROUNDUP(R402*Input!$C$10,0)),IF(A402&gt;Input!$B$11,IF(ROUNDUP(R402*Input!$C$11,0)=0,1,ROUNDUP(R402*Input!$C$11,0)),IF(ROUNDUP(R402,0)=0,1,ROUNDUP(R402,0))))</f>
        <v>1</v>
      </c>
      <c r="T402" s="11">
        <f t="shared" si="107"/>
        <v>1</v>
      </c>
      <c r="U402" s="11">
        <f>IFERROR(VLOOKUP($B402,Input!$AC$2:$AE$161,3,0),0)</f>
        <v>0</v>
      </c>
      <c r="V402" s="257">
        <f t="shared" si="108"/>
        <v>0</v>
      </c>
      <c r="W402" s="264">
        <f t="shared" si="109"/>
        <v>1.0040199999999999</v>
      </c>
      <c r="X402" s="68"/>
      <c r="Y402" s="68"/>
      <c r="Z402" s="68"/>
      <c r="AA402" s="68"/>
      <c r="AB402" s="68"/>
      <c r="AC402" s="68"/>
      <c r="AD402" s="68"/>
      <c r="AE402" s="68"/>
      <c r="AF402" s="68"/>
      <c r="AG402" s="68"/>
      <c r="AH402" s="68"/>
      <c r="AI402" s="68"/>
      <c r="AJ402" s="68">
        <v>1</v>
      </c>
      <c r="AL402" s="68">
        <v>1</v>
      </c>
      <c r="AM402" s="68"/>
      <c r="AN402" s="68"/>
      <c r="AO402" s="68"/>
      <c r="AQ402" s="68"/>
      <c r="AR402" s="68"/>
      <c r="AS402" s="68"/>
      <c r="AT402" s="68"/>
      <c r="AU402" s="68"/>
      <c r="AV402" s="68"/>
      <c r="AW402" s="68"/>
      <c r="AX402" s="68"/>
      <c r="AY402" s="68"/>
      <c r="AZ402" s="68"/>
      <c r="BB402" s="68"/>
      <c r="BC402" s="68"/>
      <c r="BJ402" s="68"/>
      <c r="BT402">
        <v>1</v>
      </c>
      <c r="BV402">
        <v>1</v>
      </c>
      <c r="BX402" s="68"/>
      <c r="BY402" s="68">
        <v>1</v>
      </c>
      <c r="BZ402" s="68">
        <v>0</v>
      </c>
      <c r="CA402" s="68">
        <v>0</v>
      </c>
      <c r="CB402" s="68">
        <v>0</v>
      </c>
      <c r="CC402" s="68">
        <f t="shared" si="110"/>
        <v>0</v>
      </c>
      <c r="CD402" s="68">
        <f t="shared" si="111"/>
        <v>0</v>
      </c>
    </row>
    <row r="403" spans="1:82" ht="15.75" customHeight="1" thickBot="1" x14ac:dyDescent="0.3">
      <c r="A403" s="6">
        <v>402</v>
      </c>
      <c r="B403" s="7" t="s">
        <v>977</v>
      </c>
      <c r="C403" s="7" t="s">
        <v>927</v>
      </c>
      <c r="D403" s="7" t="s">
        <v>19</v>
      </c>
      <c r="E403" s="50">
        <v>-140.53800189205899</v>
      </c>
      <c r="F403" s="50">
        <v>28.564396133892799</v>
      </c>
      <c r="G403" s="50">
        <v>53.199208874999997</v>
      </c>
      <c r="H403" s="50">
        <v>-0.91439825592788604</v>
      </c>
      <c r="I403" s="8" t="s">
        <v>1057</v>
      </c>
      <c r="J403" s="50">
        <v>5.6654509657193097</v>
      </c>
      <c r="K403" s="248">
        <f>IFERROR(VLOOKUP(C403,Schedule!$T$3:$U$34,2,0),"FA")</f>
        <v>9</v>
      </c>
      <c r="L403" s="7" t="str">
        <f>D403&amp;COUNTIF(D$2:$D403,D403)</f>
        <v>RB107</v>
      </c>
      <c r="M403" s="50">
        <f t="array" ref="M403">IFERROR(F403-AVERAGE(VLOOKUP(D403,$D404:$F$885,3,0),INDEX($F404:$F$885,SMALL(IF(D403=$D404:$D$885,ROW($D404:$D$885)-ROW(D403)),2))),0)</f>
        <v>1.4474028746940988</v>
      </c>
      <c r="N403" s="50">
        <f>IFERROR(IF(VLOOKUP($B403,Input!$AC$2:$AC$162,1,0)=$B403,0),F403)</f>
        <v>28.564396133892799</v>
      </c>
      <c r="O403" s="50">
        <f>IFERROR(IF(VLOOKUP($B403,Input!$AC$2:$AC$162,1,0)=$B403,0,G403),G403)</f>
        <v>53.199208874999997</v>
      </c>
      <c r="P403" s="50">
        <f>IF(N403=0,0,F403-AVERAGE(INDEX(F:F,MATCH(VLOOKUP(D403,Input!$A$14:$L$22,10,0),L:L,0)),INDEX(F:F,MATCH(VLOOKUP(D403,Input!$A$14:$L$22,11,0),L:L,0)),INDEX(F:F,MATCH(VLOOKUP(D403,Input!$A$14:$L$22,12,0),L:L,0)))+(0.01-ROW()*0.01))</f>
        <v>-144.5580018920592</v>
      </c>
      <c r="Q403" s="106">
        <f t="shared" si="106"/>
        <v>-4.9871490207591865E-2</v>
      </c>
      <c r="R403" s="8">
        <f>IF(VLOOKUP($D403,$X$14:$Y$19,2,0)&lt;=0,1,IF(Q403&lt;0,1,ROUNDUP(IF(Q403*('Draft Center'!$L$28+'Draft Center'!$L$78-'Draft Center'!$L$82)&lt;1,1,Q403*('Draft Center'!$L$28+'Draft Center'!$L$78-'Draft Center'!$L$82)),0)))</f>
        <v>1</v>
      </c>
      <c r="S403" s="8">
        <f>IF(A403&lt;Input!$B$10+0.1,IF(ROUNDUP(R403*Input!$C$10,0)=0,1,ROUNDUP(R403*Input!$C$10,0)),IF(A403&gt;Input!$B$11,IF(ROUNDUP(R403*Input!$C$11,0)=0,1,ROUNDUP(R403*Input!$C$11,0)),IF(ROUNDUP(R403,0)=0,1,ROUNDUP(R403,0))))</f>
        <v>1</v>
      </c>
      <c r="T403" s="8">
        <f t="shared" si="107"/>
        <v>1</v>
      </c>
      <c r="U403" s="8">
        <f>IFERROR(VLOOKUP($B403,Input!$AC$2:$AE$161,3,0),0)</f>
        <v>0</v>
      </c>
      <c r="V403" s="256">
        <f t="shared" si="108"/>
        <v>0</v>
      </c>
      <c r="W403" s="263">
        <f t="shared" si="109"/>
        <v>0</v>
      </c>
      <c r="X403" s="68"/>
      <c r="Y403" s="68"/>
      <c r="Z403" s="68"/>
      <c r="AA403" s="68"/>
      <c r="AB403" s="68"/>
      <c r="AC403" s="68"/>
      <c r="AD403" s="68"/>
      <c r="AE403" s="68"/>
      <c r="AF403" s="68"/>
      <c r="AG403" s="68"/>
      <c r="AH403" s="68"/>
      <c r="AI403" s="68"/>
      <c r="AJ403" s="68">
        <v>1</v>
      </c>
      <c r="AL403" s="68">
        <v>1</v>
      </c>
      <c r="AM403" s="68"/>
      <c r="AN403" s="68"/>
      <c r="AO403" s="68"/>
      <c r="AQ403" s="68"/>
      <c r="AR403" s="68"/>
      <c r="AS403" s="68"/>
      <c r="AT403" s="68"/>
      <c r="AU403" s="68"/>
      <c r="AV403" s="68"/>
      <c r="AW403" s="68"/>
      <c r="AX403" s="68"/>
      <c r="AY403" s="68"/>
      <c r="AZ403" s="68"/>
      <c r="BB403" s="68"/>
      <c r="BC403" s="68"/>
      <c r="BJ403" s="68"/>
      <c r="BT403">
        <v>1</v>
      </c>
      <c r="BV403">
        <v>1</v>
      </c>
      <c r="BX403" s="68"/>
      <c r="BY403" s="68">
        <v>1</v>
      </c>
      <c r="BZ403" s="68" t="s">
        <v>1057</v>
      </c>
      <c r="CA403" s="68" t="s">
        <v>1057</v>
      </c>
      <c r="CB403" s="68" t="s">
        <v>1057</v>
      </c>
      <c r="CC403" s="68" t="e">
        <f t="shared" si="110"/>
        <v>#DIV/0!</v>
      </c>
      <c r="CD403" s="68" t="str">
        <f t="shared" si="111"/>
        <v>NA</v>
      </c>
    </row>
    <row r="404" spans="1:82" ht="15.75" customHeight="1" thickBot="1" x14ac:dyDescent="0.3">
      <c r="A404" s="9">
        <v>403</v>
      </c>
      <c r="B404" s="10" t="s">
        <v>432</v>
      </c>
      <c r="C404" s="10" t="s">
        <v>80</v>
      </c>
      <c r="D404" s="10" t="s">
        <v>43</v>
      </c>
      <c r="E404" s="51">
        <v>-140.821466707128</v>
      </c>
      <c r="F404" s="51">
        <v>12.6394526450811</v>
      </c>
      <c r="G404" s="51">
        <v>22.5603591201752</v>
      </c>
      <c r="H404" s="51">
        <v>0</v>
      </c>
      <c r="I404" s="11">
        <v>0</v>
      </c>
      <c r="J404" s="51" t="s">
        <v>1057</v>
      </c>
      <c r="K404" s="249">
        <f>IFERROR(VLOOKUP(C404,Schedule!$T$3:$U$34,2,0),"FA")</f>
        <v>11</v>
      </c>
      <c r="L404" s="10" t="str">
        <f>D404&amp;COUNTIF(D$2:$D404,D404)</f>
        <v>TE89</v>
      </c>
      <c r="M404" s="51">
        <f t="array" ref="M404">IFERROR(F404-AVERAGE(VLOOKUP(D404,$D405:$F$885,3,0),INDEX($F405:$F$885,SMALL(IF(D404=$D405:$D$885,ROW($D405:$D$885)-ROW(D404)),2))),0)</f>
        <v>0.85211118166644972</v>
      </c>
      <c r="N404" s="51">
        <f>IFERROR(IF(VLOOKUP($B404,Input!$AC$2:$AC$162,1,0)=$B404,0),F404)</f>
        <v>12.6394526450811</v>
      </c>
      <c r="O404" s="51">
        <f>IFERROR(IF(VLOOKUP($B404,Input!$AC$2:$AC$162,1,0)=$B404,0,G404),G404)</f>
        <v>22.5603591201752</v>
      </c>
      <c r="P404" s="51">
        <f>IF(N404=0,0,F404-AVERAGE(INDEX(F:F,MATCH(VLOOKUP(D404,Input!$A$14:$L$22,10,0),L:L,0)),INDEX(F:F,MATCH(VLOOKUP(D404,Input!$A$14:$L$22,11,0),L:L,0)),INDEX(F:F,MATCH(VLOOKUP(D404,Input!$A$14:$L$22,12,0),L:L,0)))+(0.01-ROW()*0.01))</f>
        <v>-144.85146670712822</v>
      </c>
      <c r="Q404" s="107">
        <f t="shared" si="106"/>
        <v>-4.9972733497201778E-2</v>
      </c>
      <c r="R404" s="11">
        <f>IF(VLOOKUP($D404,$X$14:$Y$19,2,0)&lt;=0,1,IF(Q404&lt;0,1,ROUNDUP(IF(Q404*('Draft Center'!$L$28+'Draft Center'!$L$78-'Draft Center'!$L$82)&lt;1,1,Q404*('Draft Center'!$L$28+'Draft Center'!$L$78-'Draft Center'!$L$82)),0)))</f>
        <v>1</v>
      </c>
      <c r="S404" s="11">
        <f>IF(A404&lt;Input!$B$10+0.1,IF(ROUNDUP(R404*Input!$C$10,0)=0,1,ROUNDUP(R404*Input!$C$10,0)),IF(A404&gt;Input!$B$11,IF(ROUNDUP(R404*Input!$C$11,0)=0,1,ROUNDUP(R404*Input!$C$11,0)),IF(ROUNDUP(R404,0)=0,1,ROUNDUP(R404,0))))</f>
        <v>1</v>
      </c>
      <c r="T404" s="11">
        <f t="shared" si="107"/>
        <v>1</v>
      </c>
      <c r="U404" s="11">
        <f>IFERROR(VLOOKUP($B404,Input!$AC$2:$AE$161,3,0),0)</f>
        <v>0</v>
      </c>
      <c r="V404" s="257">
        <f t="shared" si="108"/>
        <v>0</v>
      </c>
      <c r="W404" s="264">
        <f t="shared" si="109"/>
        <v>1.00404</v>
      </c>
      <c r="X404" s="68"/>
      <c r="Y404" s="68"/>
      <c r="Z404" s="68"/>
      <c r="AA404" s="68"/>
      <c r="AB404" s="68"/>
      <c r="AC404" s="68"/>
      <c r="AD404" s="68"/>
      <c r="AE404" s="68"/>
      <c r="AF404" s="68"/>
      <c r="AG404" s="68"/>
      <c r="AH404" s="68"/>
      <c r="AI404" s="68"/>
      <c r="AJ404" s="68">
        <v>1</v>
      </c>
      <c r="AL404" s="68">
        <v>1</v>
      </c>
      <c r="AM404" s="68"/>
      <c r="AN404" s="68"/>
      <c r="AO404" s="68"/>
      <c r="AQ404" s="68"/>
      <c r="AR404" s="68"/>
      <c r="AS404" s="68"/>
      <c r="AT404" s="68"/>
      <c r="AU404" s="68"/>
      <c r="AV404" s="68"/>
      <c r="AW404" s="68"/>
      <c r="AX404" s="68"/>
      <c r="AY404" s="68"/>
      <c r="AZ404" s="68"/>
      <c r="BB404" s="68"/>
      <c r="BC404" s="68"/>
      <c r="BJ404" s="68"/>
      <c r="BT404">
        <v>1</v>
      </c>
      <c r="BV404">
        <v>1</v>
      </c>
      <c r="BX404" s="68"/>
      <c r="BY404" s="68">
        <v>1</v>
      </c>
      <c r="BZ404" s="68">
        <v>0</v>
      </c>
      <c r="CA404" s="68">
        <v>0</v>
      </c>
      <c r="CB404" s="68">
        <v>0</v>
      </c>
      <c r="CC404" s="68">
        <f t="shared" si="110"/>
        <v>0</v>
      </c>
      <c r="CD404" s="68">
        <f t="shared" si="111"/>
        <v>0</v>
      </c>
    </row>
    <row r="405" spans="1:82" ht="15.75" customHeight="1" thickBot="1" x14ac:dyDescent="0.3">
      <c r="A405" s="6">
        <v>404</v>
      </c>
      <c r="B405" s="7" t="s">
        <v>300</v>
      </c>
      <c r="C405" s="7" t="s">
        <v>311</v>
      </c>
      <c r="D405" s="7" t="s">
        <v>43</v>
      </c>
      <c r="E405" s="50">
        <v>-141.460919352209</v>
      </c>
      <c r="F405" s="50">
        <v>12</v>
      </c>
      <c r="G405" s="50">
        <v>12</v>
      </c>
      <c r="H405" s="50">
        <v>12</v>
      </c>
      <c r="I405" s="8" t="s">
        <v>1057</v>
      </c>
      <c r="J405" s="50" t="s">
        <v>1057</v>
      </c>
      <c r="K405" s="248" t="str">
        <f>IFERROR(VLOOKUP(C405,Schedule!$T$3:$U$34,2,0),"FA")</f>
        <v>FA</v>
      </c>
      <c r="L405" s="7" t="str">
        <f>D405&amp;COUNTIF(D$2:$D405,D405)</f>
        <v>TE90</v>
      </c>
      <c r="M405" s="50">
        <f t="array" ref="M405">IFERROR(F405-AVERAGE(VLOOKUP(D405,$D406:$F$885,3,0),INDEX($F406:$F$885,SMALL(IF(D405=$D406:$D$885,ROW($D406:$D$885)-ROW(D405)),2))),0)</f>
        <v>0.47292437812830102</v>
      </c>
      <c r="N405" s="50">
        <f>IFERROR(IF(VLOOKUP($B405,Input!$AC$2:$AC$162,1,0)=$B405,0),F405)</f>
        <v>12</v>
      </c>
      <c r="O405" s="50">
        <f>IFERROR(IF(VLOOKUP($B405,Input!$AC$2:$AC$162,1,0)=$B405,0,G405),G405)</f>
        <v>12</v>
      </c>
      <c r="P405" s="50">
        <f>IF(N405=0,0,F405-AVERAGE(INDEX(F:F,MATCH(VLOOKUP(D405,Input!$A$14:$L$22,10,0),L:L,0)),INDEX(F:F,MATCH(VLOOKUP(D405,Input!$A$14:$L$22,11,0),L:L,0)),INDEX(F:F,MATCH(VLOOKUP(D405,Input!$A$14:$L$22,12,0),L:L,0)))+(0.01-ROW()*0.01))</f>
        <v>-145.50091935220931</v>
      </c>
      <c r="Q405" s="106">
        <f t="shared" si="106"/>
        <v>-5.0196790075222555E-2</v>
      </c>
      <c r="R405" s="8">
        <f>IF(VLOOKUP($D405,$X$14:$Y$19,2,0)&lt;=0,1,IF(Q405&lt;0,1,ROUNDUP(IF(Q405*('Draft Center'!$L$28+'Draft Center'!$L$78-'Draft Center'!$L$82)&lt;1,1,Q405*('Draft Center'!$L$28+'Draft Center'!$L$78-'Draft Center'!$L$82)),0)))</f>
        <v>1</v>
      </c>
      <c r="S405" s="8">
        <f>IF(A405&lt;Input!$B$10+0.1,IF(ROUNDUP(R405*Input!$C$10,0)=0,1,ROUNDUP(R405*Input!$C$10,0)),IF(A405&gt;Input!$B$11,IF(ROUNDUP(R405*Input!$C$11,0)=0,1,ROUNDUP(R405*Input!$C$11,0)),IF(ROUNDUP(R405,0)=0,1,ROUNDUP(R405,0))))</f>
        <v>1</v>
      </c>
      <c r="T405" s="8">
        <f t="shared" si="107"/>
        <v>1</v>
      </c>
      <c r="U405" s="8">
        <f>IFERROR(VLOOKUP($B405,Input!$AC$2:$AE$161,3,0),0)</f>
        <v>0</v>
      </c>
      <c r="V405" s="256">
        <f t="shared" si="108"/>
        <v>0</v>
      </c>
      <c r="W405" s="263">
        <f t="shared" si="109"/>
        <v>0</v>
      </c>
      <c r="X405" s="68"/>
      <c r="Y405" s="68"/>
      <c r="Z405" s="68"/>
      <c r="AA405" s="68"/>
      <c r="AB405" s="68"/>
      <c r="AC405" s="68"/>
      <c r="AD405" s="68"/>
      <c r="AE405" s="68"/>
      <c r="AF405" s="68"/>
      <c r="AG405" s="68"/>
      <c r="AH405" s="68"/>
      <c r="AI405" s="68"/>
      <c r="AJ405" s="68">
        <v>1</v>
      </c>
      <c r="AL405" s="68">
        <v>1</v>
      </c>
      <c r="AM405" s="68"/>
      <c r="AN405" s="68"/>
      <c r="AO405" s="68"/>
      <c r="AQ405" s="68"/>
      <c r="AR405" s="68"/>
      <c r="AS405" s="68"/>
      <c r="AT405" s="68"/>
      <c r="AU405" s="68"/>
      <c r="AV405" s="68"/>
      <c r="AW405" s="68"/>
      <c r="AX405" s="68"/>
      <c r="AY405" s="68"/>
      <c r="AZ405" s="68"/>
      <c r="BB405" s="68"/>
      <c r="BC405" s="68"/>
      <c r="BJ405" s="68"/>
      <c r="BT405">
        <v>1</v>
      </c>
      <c r="BV405">
        <v>1</v>
      </c>
      <c r="BX405" s="68"/>
      <c r="BY405" s="68">
        <v>1</v>
      </c>
      <c r="BZ405" s="68" t="s">
        <v>1057</v>
      </c>
      <c r="CA405" s="68" t="s">
        <v>1057</v>
      </c>
      <c r="CB405" s="68" t="s">
        <v>1057</v>
      </c>
      <c r="CC405" s="68" t="e">
        <f t="shared" si="110"/>
        <v>#DIV/0!</v>
      </c>
      <c r="CD405" s="68" t="str">
        <f t="shared" si="111"/>
        <v>NA</v>
      </c>
    </row>
    <row r="406" spans="1:82" ht="15.75" customHeight="1" thickBot="1" x14ac:dyDescent="0.3">
      <c r="A406" s="9">
        <v>405</v>
      </c>
      <c r="B406" s="10" t="s">
        <v>416</v>
      </c>
      <c r="C406" s="10" t="s">
        <v>16</v>
      </c>
      <c r="D406" s="10" t="s">
        <v>19</v>
      </c>
      <c r="E406" s="51">
        <v>-141.656247735379</v>
      </c>
      <c r="F406" s="51">
        <v>27.446150290572898</v>
      </c>
      <c r="G406" s="51">
        <v>48.133200182633097</v>
      </c>
      <c r="H406" s="51">
        <v>3.5484328238291201</v>
      </c>
      <c r="I406" s="11">
        <v>0</v>
      </c>
      <c r="J406" s="51">
        <v>6.0325114923036196</v>
      </c>
      <c r="K406" s="249">
        <f>IFERROR(VLOOKUP(C406,Schedule!$T$3:$U$34,2,0),"FA")</f>
        <v>9</v>
      </c>
      <c r="L406" s="10" t="str">
        <f>D406&amp;COUNTIF(D$2:$D406,D406)</f>
        <v>RB108</v>
      </c>
      <c r="M406" s="51">
        <f t="array" ref="M406">IFERROR(F406-AVERAGE(VLOOKUP(D406,$D407:$F$885,3,0),INDEX($F407:$F$885,SMALL(IF(D406=$D407:$D$885,ROW($D407:$D$885)-ROW(D406)),2))),0)</f>
        <v>0.65950090859389832</v>
      </c>
      <c r="N406" s="51">
        <f>IFERROR(IF(VLOOKUP($B406,Input!$AC$2:$AC$162,1,0)=$B406,0),F406)</f>
        <v>27.446150290572898</v>
      </c>
      <c r="O406" s="51">
        <f>IFERROR(IF(VLOOKUP($B406,Input!$AC$2:$AC$162,1,0)=$B406,0,G406),G406)</f>
        <v>48.133200182633097</v>
      </c>
      <c r="P406" s="51">
        <f>IF(N406=0,0,F406-AVERAGE(INDEX(F:F,MATCH(VLOOKUP(D406,Input!$A$14:$L$22,10,0),L:L,0)),INDEX(F:F,MATCH(VLOOKUP(D406,Input!$A$14:$L$22,11,0),L:L,0)),INDEX(F:F,MATCH(VLOOKUP(D406,Input!$A$14:$L$22,12,0),L:L,0)))+(0.01-ROW()*0.01))</f>
        <v>-145.70624773537912</v>
      </c>
      <c r="Q406" s="107">
        <f t="shared" si="106"/>
        <v>-5.0267626917988549E-2</v>
      </c>
      <c r="R406" s="11">
        <f>IF(VLOOKUP($D406,$X$14:$Y$19,2,0)&lt;=0,1,IF(Q406&lt;0,1,ROUNDUP(IF(Q406*('Draft Center'!$L$28+'Draft Center'!$L$78-'Draft Center'!$L$82)&lt;1,1,Q406*('Draft Center'!$L$28+'Draft Center'!$L$78-'Draft Center'!$L$82)),0)))</f>
        <v>1</v>
      </c>
      <c r="S406" s="11">
        <f>IF(A406&lt;Input!$B$10+0.1,IF(ROUNDUP(R406*Input!$C$10,0)=0,1,ROUNDUP(R406*Input!$C$10,0)),IF(A406&gt;Input!$B$11,IF(ROUNDUP(R406*Input!$C$11,0)=0,1,ROUNDUP(R406*Input!$C$11,0)),IF(ROUNDUP(R406,0)=0,1,ROUNDUP(R406,0))))</f>
        <v>1</v>
      </c>
      <c r="T406" s="11">
        <f t="shared" si="107"/>
        <v>1</v>
      </c>
      <c r="U406" s="11">
        <f>IFERROR(VLOOKUP($B406,Input!$AC$2:$AE$161,3,0),0)</f>
        <v>0</v>
      </c>
      <c r="V406" s="257">
        <f t="shared" si="108"/>
        <v>0</v>
      </c>
      <c r="W406" s="264">
        <f t="shared" si="109"/>
        <v>1.00406</v>
      </c>
      <c r="X406" s="68"/>
      <c r="Y406" s="68"/>
      <c r="Z406" s="68"/>
      <c r="AA406" s="68"/>
      <c r="AB406" s="68"/>
      <c r="AC406" s="68"/>
      <c r="AD406" s="68"/>
      <c r="AE406" s="68"/>
      <c r="AF406" s="68"/>
      <c r="AG406" s="68"/>
      <c r="AH406" s="68"/>
      <c r="AI406" s="68"/>
      <c r="AJ406" s="68">
        <v>1</v>
      </c>
      <c r="AL406" s="68">
        <v>1</v>
      </c>
      <c r="AM406" s="68"/>
      <c r="AN406" s="68"/>
      <c r="AO406" s="68"/>
      <c r="AQ406" s="68"/>
      <c r="AR406" s="68"/>
      <c r="AS406" s="68"/>
      <c r="AT406" s="68"/>
      <c r="AU406" s="68"/>
      <c r="AV406" s="68"/>
      <c r="AW406" s="68"/>
      <c r="AX406" s="68"/>
      <c r="AY406" s="68"/>
      <c r="AZ406" s="68"/>
      <c r="BB406" s="68"/>
      <c r="BC406" s="68"/>
      <c r="BJ406" s="68"/>
      <c r="BT406">
        <v>1</v>
      </c>
      <c r="BV406">
        <v>1</v>
      </c>
      <c r="BX406" s="68"/>
      <c r="BY406" s="68">
        <v>1</v>
      </c>
      <c r="BZ406" s="68">
        <v>0</v>
      </c>
      <c r="CA406" s="68">
        <v>0</v>
      </c>
      <c r="CB406" s="68">
        <v>0</v>
      </c>
      <c r="CC406" s="68">
        <f t="shared" si="110"/>
        <v>0</v>
      </c>
      <c r="CD406" s="68">
        <f t="shared" si="111"/>
        <v>0</v>
      </c>
    </row>
    <row r="407" spans="1:82" ht="15.75" customHeight="1" thickBot="1" x14ac:dyDescent="0.3">
      <c r="A407" s="6">
        <v>406</v>
      </c>
      <c r="B407" s="7" t="s">
        <v>439</v>
      </c>
      <c r="C407" s="7" t="s">
        <v>35</v>
      </c>
      <c r="D407" s="7" t="s">
        <v>43</v>
      </c>
      <c r="E407" s="50">
        <v>-141.88623642537999</v>
      </c>
      <c r="F407" s="50">
        <v>11.574682926829301</v>
      </c>
      <c r="G407" s="50">
        <v>17.893617021276601</v>
      </c>
      <c r="H407" s="50">
        <v>0</v>
      </c>
      <c r="I407" s="8">
        <v>0</v>
      </c>
      <c r="J407" s="50">
        <v>3.3125169495676698</v>
      </c>
      <c r="K407" s="248">
        <f>IFERROR(VLOOKUP(C407,Schedule!$T$3:$U$34,2,0),"FA")</f>
        <v>6</v>
      </c>
      <c r="L407" s="7" t="str">
        <f>D407&amp;COUNTIF(D$2:$D407,D407)</f>
        <v>TE91</v>
      </c>
      <c r="M407" s="50">
        <f t="array" ref="M407">IFERROR(F407-AVERAGE(VLOOKUP(D407,$D408:$F$885,3,0),INDEX($F408:$F$885,SMALL(IF(D407=$D408:$D$885,ROW($D408:$D$885)-ROW(D407)),2))),0)</f>
        <v>0.18603022591049978</v>
      </c>
      <c r="N407" s="50">
        <f>IFERROR(IF(VLOOKUP($B407,Input!$AC$2:$AC$162,1,0)=$B407,0),F407)</f>
        <v>11.574682926829301</v>
      </c>
      <c r="O407" s="50">
        <f>IFERROR(IF(VLOOKUP($B407,Input!$AC$2:$AC$162,1,0)=$B407,0,G407),G407)</f>
        <v>17.893617021276601</v>
      </c>
      <c r="P407" s="50">
        <f>IF(N407=0,0,F407-AVERAGE(INDEX(F:F,MATCH(VLOOKUP(D407,Input!$A$14:$L$22,10,0),L:L,0)),INDEX(F:F,MATCH(VLOOKUP(D407,Input!$A$14:$L$22,11,0),L:L,0)),INDEX(F:F,MATCH(VLOOKUP(D407,Input!$A$14:$L$22,12,0),L:L,0)))+(0.01-ROW()*0.01))</f>
        <v>-145.94623642538002</v>
      </c>
      <c r="Q407" s="106">
        <f t="shared" si="106"/>
        <v>-5.0350421321941709E-2</v>
      </c>
      <c r="R407" s="8">
        <f>IF(VLOOKUP($D407,$X$14:$Y$19,2,0)&lt;=0,1,IF(Q407&lt;0,1,ROUNDUP(IF(Q407*('Draft Center'!$L$28+'Draft Center'!$L$78-'Draft Center'!$L$82)&lt;1,1,Q407*('Draft Center'!$L$28+'Draft Center'!$L$78-'Draft Center'!$L$82)),0)))</f>
        <v>1</v>
      </c>
      <c r="S407" s="8">
        <f>IF(A407&lt;Input!$B$10+0.1,IF(ROUNDUP(R407*Input!$C$10,0)=0,1,ROUNDUP(R407*Input!$C$10,0)),IF(A407&gt;Input!$B$11,IF(ROUNDUP(R407*Input!$C$11,0)=0,1,ROUNDUP(R407*Input!$C$11,0)),IF(ROUNDUP(R407,0)=0,1,ROUNDUP(R407,0))))</f>
        <v>1</v>
      </c>
      <c r="T407" s="8">
        <f t="shared" si="107"/>
        <v>1</v>
      </c>
      <c r="U407" s="8">
        <f>IFERROR(VLOOKUP($B407,Input!$AC$2:$AE$161,3,0),0)</f>
        <v>0</v>
      </c>
      <c r="V407" s="256">
        <f t="shared" si="108"/>
        <v>0</v>
      </c>
      <c r="W407" s="263">
        <f t="shared" si="109"/>
        <v>1.00407</v>
      </c>
      <c r="X407" s="68"/>
      <c r="Y407" s="68"/>
      <c r="Z407" s="68"/>
      <c r="AA407" s="68"/>
      <c r="AB407" s="68"/>
      <c r="AC407" s="68"/>
      <c r="AD407" s="68"/>
      <c r="AE407" s="68"/>
      <c r="AF407" s="68"/>
      <c r="AG407" s="68"/>
      <c r="AH407" s="68"/>
      <c r="AI407" s="68"/>
      <c r="AJ407" s="68">
        <v>1</v>
      </c>
      <c r="AL407" s="68">
        <v>1</v>
      </c>
      <c r="AM407" s="68"/>
      <c r="AN407" s="68"/>
      <c r="AO407" s="68"/>
      <c r="AQ407" s="68"/>
      <c r="AR407" s="68"/>
      <c r="AS407" s="68"/>
      <c r="AT407" s="68"/>
      <c r="AU407" s="68"/>
      <c r="AV407" s="68"/>
      <c r="AW407" s="68"/>
      <c r="AX407" s="68"/>
      <c r="AY407" s="68"/>
      <c r="AZ407" s="68"/>
      <c r="BB407" s="68"/>
      <c r="BC407" s="68"/>
      <c r="BJ407" s="68"/>
      <c r="BT407">
        <v>1</v>
      </c>
      <c r="BV407">
        <v>1</v>
      </c>
      <c r="BX407" s="68"/>
      <c r="BY407" s="68">
        <v>1</v>
      </c>
      <c r="BZ407" s="68">
        <v>0</v>
      </c>
      <c r="CA407" s="68">
        <v>0</v>
      </c>
      <c r="CB407" s="68">
        <v>0</v>
      </c>
      <c r="CC407" s="68">
        <f t="shared" si="110"/>
        <v>0</v>
      </c>
      <c r="CD407" s="68">
        <f t="shared" si="111"/>
        <v>0</v>
      </c>
    </row>
    <row r="408" spans="1:82" ht="15.75" customHeight="1" thickBot="1" x14ac:dyDescent="0.3">
      <c r="A408" s="9">
        <v>407</v>
      </c>
      <c r="B408" s="10" t="s">
        <v>509</v>
      </c>
      <c r="C408" s="10" t="s">
        <v>95</v>
      </c>
      <c r="D408" s="10" t="s">
        <v>43</v>
      </c>
      <c r="E408" s="51">
        <v>-141.98145103529501</v>
      </c>
      <c r="F408" s="51">
        <v>11.479468316914099</v>
      </c>
      <c r="G408" s="51">
        <v>19.189303463988399</v>
      </c>
      <c r="H408" s="51">
        <v>0</v>
      </c>
      <c r="I408" s="11" t="s">
        <v>1057</v>
      </c>
      <c r="J408" s="51" t="s">
        <v>1057</v>
      </c>
      <c r="K408" s="249">
        <f>IFERROR(VLOOKUP(C408,Schedule!$T$3:$U$34,2,0),"FA")</f>
        <v>8</v>
      </c>
      <c r="L408" s="10" t="str">
        <f>D408&amp;COUNTIF(D$2:$D408,D408)</f>
        <v>TE92</v>
      </c>
      <c r="M408" s="51">
        <f t="array" ref="M408">IFERROR(F408-AVERAGE(VLOOKUP(D408,$D409:$F$885,3,0),INDEX($F409:$F$885,SMALL(IF(D408=$D409:$D$885,ROW($D409:$D$885)-ROW(D408)),2))),0)</f>
        <v>0.25264951768299859</v>
      </c>
      <c r="N408" s="51">
        <f>IFERROR(IF(VLOOKUP($B408,Input!$AC$2:$AC$162,1,0)=$B408,0),F408)</f>
        <v>11.479468316914099</v>
      </c>
      <c r="O408" s="51">
        <f>IFERROR(IF(VLOOKUP($B408,Input!$AC$2:$AC$162,1,0)=$B408,0,G408),G408)</f>
        <v>19.189303463988399</v>
      </c>
      <c r="P408" s="51">
        <f>IF(N408=0,0,F408-AVERAGE(INDEX(F:F,MATCH(VLOOKUP(D408,Input!$A$14:$L$22,10,0),L:L,0)),INDEX(F:F,MATCH(VLOOKUP(D408,Input!$A$14:$L$22,11,0),L:L,0)),INDEX(F:F,MATCH(VLOOKUP(D408,Input!$A$14:$L$22,12,0),L:L,0)))+(0.01-ROW()*0.01))</f>
        <v>-146.0514510352952</v>
      </c>
      <c r="Q408" s="107">
        <f t="shared" si="106"/>
        <v>-5.0386719619645068E-2</v>
      </c>
      <c r="R408" s="11">
        <f>IF(VLOOKUP($D408,$X$14:$Y$19,2,0)&lt;=0,1,IF(Q408&lt;0,1,ROUNDUP(IF(Q408*('Draft Center'!$L$28+'Draft Center'!$L$78-'Draft Center'!$L$82)&lt;1,1,Q408*('Draft Center'!$L$28+'Draft Center'!$L$78-'Draft Center'!$L$82)),0)))</f>
        <v>1</v>
      </c>
      <c r="S408" s="11">
        <f>IF(A408&lt;Input!$B$10+0.1,IF(ROUNDUP(R408*Input!$C$10,0)=0,1,ROUNDUP(R408*Input!$C$10,0)),IF(A408&gt;Input!$B$11,IF(ROUNDUP(R408*Input!$C$11,0)=0,1,ROUNDUP(R408*Input!$C$11,0)),IF(ROUNDUP(R408,0)=0,1,ROUNDUP(R408,0))))</f>
        <v>1</v>
      </c>
      <c r="T408" s="11">
        <f t="shared" si="107"/>
        <v>1</v>
      </c>
      <c r="U408" s="11">
        <f>IFERROR(VLOOKUP($B408,Input!$AC$2:$AE$161,3,0),0)</f>
        <v>0</v>
      </c>
      <c r="V408" s="257">
        <f t="shared" si="108"/>
        <v>0</v>
      </c>
      <c r="W408" s="264">
        <f t="shared" si="109"/>
        <v>0</v>
      </c>
      <c r="X408" s="68"/>
      <c r="Y408" s="68"/>
      <c r="Z408" s="68"/>
      <c r="AA408" s="68"/>
      <c r="AB408" s="68"/>
      <c r="AC408" s="68"/>
      <c r="AD408" s="68"/>
      <c r="AE408" s="68"/>
      <c r="AF408" s="68"/>
      <c r="AG408" s="68"/>
      <c r="AH408" s="68"/>
      <c r="AI408" s="68"/>
      <c r="AJ408" s="68">
        <v>1</v>
      </c>
      <c r="AL408" s="68">
        <v>1</v>
      </c>
      <c r="AM408" s="68"/>
      <c r="AN408" s="68"/>
      <c r="AO408" s="68"/>
      <c r="AQ408" s="68"/>
      <c r="AR408" s="68"/>
      <c r="AS408" s="68"/>
      <c r="AT408" s="68"/>
      <c r="AU408" s="68"/>
      <c r="AV408" s="68"/>
      <c r="AW408" s="68"/>
      <c r="AX408" s="68"/>
      <c r="AY408" s="68"/>
      <c r="AZ408" s="68"/>
      <c r="BB408" s="68"/>
      <c r="BC408" s="68"/>
      <c r="BJ408" s="68"/>
      <c r="BT408">
        <v>1</v>
      </c>
      <c r="BV408">
        <v>1</v>
      </c>
      <c r="BX408" s="68"/>
      <c r="BY408" s="68">
        <v>1</v>
      </c>
      <c r="BZ408" s="68" t="s">
        <v>1057</v>
      </c>
      <c r="CA408" s="68" t="s">
        <v>1057</v>
      </c>
      <c r="CB408" s="68" t="s">
        <v>1057</v>
      </c>
      <c r="CC408" s="68" t="e">
        <f t="shared" si="110"/>
        <v>#DIV/0!</v>
      </c>
      <c r="CD408" s="68" t="str">
        <f t="shared" si="111"/>
        <v>NA</v>
      </c>
    </row>
    <row r="409" spans="1:82" ht="15.75" customHeight="1" thickBot="1" x14ac:dyDescent="0.3">
      <c r="A409" s="6">
        <v>408</v>
      </c>
      <c r="B409" s="7" t="s">
        <v>412</v>
      </c>
      <c r="C409" s="7" t="s">
        <v>75</v>
      </c>
      <c r="D409" s="7" t="s">
        <v>43</v>
      </c>
      <c r="E409" s="50">
        <v>-142.163082267286</v>
      </c>
      <c r="F409" s="50">
        <v>11.297837084923501</v>
      </c>
      <c r="G409" s="50">
        <v>19.211075938600999</v>
      </c>
      <c r="H409" s="50">
        <v>0</v>
      </c>
      <c r="I409" s="8">
        <v>0</v>
      </c>
      <c r="J409" s="50" t="s">
        <v>1057</v>
      </c>
      <c r="K409" s="248">
        <f>IFERROR(VLOOKUP(C409,Schedule!$T$3:$U$34,2,0),"FA")</f>
        <v>10</v>
      </c>
      <c r="L409" s="7" t="str">
        <f>D409&amp;COUNTIF(D$2:$D409,D409)</f>
        <v>TE93</v>
      </c>
      <c r="M409" s="50">
        <f t="array" ref="M409">IFERROR(F409-AVERAGE(VLOOKUP(D409,$D410:$F$885,3,0),INDEX($F410:$F$885,SMALL(IF(D409=$D410:$D$885,ROW($D410:$D$885)-ROW(D409)),2))),0)</f>
        <v>0.30155634262660058</v>
      </c>
      <c r="N409" s="50">
        <f>IFERROR(IF(VLOOKUP($B409,Input!$AC$2:$AC$162,1,0)=$B409,0),F409)</f>
        <v>11.297837084923501</v>
      </c>
      <c r="O409" s="50">
        <f>IFERROR(IF(VLOOKUP($B409,Input!$AC$2:$AC$162,1,0)=$B409,0,G409),G409)</f>
        <v>19.211075938600999</v>
      </c>
      <c r="P409" s="50">
        <f>IF(N409=0,0,F409-AVERAGE(INDEX(F:F,MATCH(VLOOKUP(D409,Input!$A$14:$L$22,10,0),L:L,0)),INDEX(F:F,MATCH(VLOOKUP(D409,Input!$A$14:$L$22,11,0),L:L,0)),INDEX(F:F,MATCH(VLOOKUP(D409,Input!$A$14:$L$22,12,0),L:L,0)))+(0.01-ROW()*0.01))</f>
        <v>-146.24308226728581</v>
      </c>
      <c r="Q409" s="106">
        <f t="shared" si="106"/>
        <v>-5.0452831041943397E-2</v>
      </c>
      <c r="R409" s="8">
        <f>IF(VLOOKUP($D409,$X$14:$Y$19,2,0)&lt;=0,1,IF(Q409&lt;0,1,ROUNDUP(IF(Q409*('Draft Center'!$L$28+'Draft Center'!$L$78-'Draft Center'!$L$82)&lt;1,1,Q409*('Draft Center'!$L$28+'Draft Center'!$L$78-'Draft Center'!$L$82)),0)))</f>
        <v>1</v>
      </c>
      <c r="S409" s="8">
        <f>IF(A409&lt;Input!$B$10+0.1,IF(ROUNDUP(R409*Input!$C$10,0)=0,1,ROUNDUP(R409*Input!$C$10,0)),IF(A409&gt;Input!$B$11,IF(ROUNDUP(R409*Input!$C$11,0)=0,1,ROUNDUP(R409*Input!$C$11,0)),IF(ROUNDUP(R409,0)=0,1,ROUNDUP(R409,0))))</f>
        <v>1</v>
      </c>
      <c r="T409" s="8">
        <f t="shared" si="107"/>
        <v>1</v>
      </c>
      <c r="U409" s="8">
        <f>IFERROR(VLOOKUP($B409,Input!$AC$2:$AE$161,3,0),0)</f>
        <v>0</v>
      </c>
      <c r="V409" s="256">
        <f t="shared" si="108"/>
        <v>0</v>
      </c>
      <c r="W409" s="263">
        <f t="shared" si="109"/>
        <v>1.0040899999999999</v>
      </c>
      <c r="X409" s="68"/>
      <c r="Y409" s="68"/>
      <c r="Z409" s="68"/>
      <c r="AA409" s="68"/>
      <c r="AB409" s="68"/>
      <c r="AC409" s="68"/>
      <c r="AD409" s="68"/>
      <c r="AE409" s="68"/>
      <c r="AF409" s="68"/>
      <c r="AG409" s="68"/>
      <c r="AH409" s="68"/>
      <c r="AI409" s="68"/>
      <c r="AJ409" s="68">
        <v>1</v>
      </c>
      <c r="AL409" s="68">
        <v>1</v>
      </c>
      <c r="AM409" s="68"/>
      <c r="AN409" s="68"/>
      <c r="AO409" s="68"/>
      <c r="AQ409" s="68"/>
      <c r="AR409" s="68"/>
      <c r="AS409" s="68"/>
      <c r="AT409" s="68"/>
      <c r="AU409" s="68"/>
      <c r="AV409" s="68"/>
      <c r="AW409" s="68"/>
      <c r="AX409" s="68"/>
      <c r="AY409" s="68"/>
      <c r="AZ409" s="68"/>
      <c r="BB409" s="68"/>
      <c r="BC409" s="68"/>
      <c r="BJ409" s="68"/>
      <c r="BT409">
        <v>1</v>
      </c>
      <c r="BV409">
        <v>1</v>
      </c>
      <c r="BX409" s="68"/>
      <c r="BY409" s="68">
        <v>1</v>
      </c>
      <c r="BZ409" s="68">
        <v>0</v>
      </c>
      <c r="CA409" s="68">
        <v>0</v>
      </c>
      <c r="CB409" s="68">
        <v>0</v>
      </c>
      <c r="CC409" s="68">
        <f t="shared" si="110"/>
        <v>0</v>
      </c>
      <c r="CD409" s="68">
        <f t="shared" si="111"/>
        <v>0</v>
      </c>
    </row>
    <row r="410" spans="1:82" ht="15.75" customHeight="1" thickBot="1" x14ac:dyDescent="0.3">
      <c r="A410" s="9">
        <v>409</v>
      </c>
      <c r="B410" s="10" t="s">
        <v>475</v>
      </c>
      <c r="C410" s="10" t="s">
        <v>117</v>
      </c>
      <c r="D410" s="10" t="s">
        <v>43</v>
      </c>
      <c r="E410" s="51">
        <v>-142.30511883867101</v>
      </c>
      <c r="F410" s="51">
        <v>11.155800513538701</v>
      </c>
      <c r="G410" s="51">
        <v>20.612168195718699</v>
      </c>
      <c r="H410" s="51">
        <v>0</v>
      </c>
      <c r="I410" s="11">
        <v>0</v>
      </c>
      <c r="J410" s="51">
        <v>3.54601128920662</v>
      </c>
      <c r="K410" s="249">
        <f>IFERROR(VLOOKUP(C410,Schedule!$T$3:$U$34,2,0),"FA")</f>
        <v>8</v>
      </c>
      <c r="L410" s="10" t="str">
        <f>D410&amp;COUNTIF(D$2:$D410,D410)</f>
        <v>TE94</v>
      </c>
      <c r="M410" s="51">
        <f t="array" ref="M410">IFERROR(F410-AVERAGE(VLOOKUP(D410,$D411:$F$885,3,0),INDEX($F411:$F$885,SMALL(IF(D410=$D411:$D$885,ROW($D411:$D$885)-ROW(D410)),2))),0)</f>
        <v>0.43742002801115021</v>
      </c>
      <c r="N410" s="51">
        <f>IFERROR(IF(VLOOKUP($B410,Input!$AC$2:$AC$162,1,0)=$B410,0),F410)</f>
        <v>11.155800513538701</v>
      </c>
      <c r="O410" s="51">
        <f>IFERROR(IF(VLOOKUP($B410,Input!$AC$2:$AC$162,1,0)=$B410,0,G410),G410)</f>
        <v>20.612168195718699</v>
      </c>
      <c r="P410" s="51">
        <f>IF(N410=0,0,F410-AVERAGE(INDEX(F:F,MATCH(VLOOKUP(D410,Input!$A$14:$L$22,10,0),L:L,0)),INDEX(F:F,MATCH(VLOOKUP(D410,Input!$A$14:$L$22,11,0),L:L,0)),INDEX(F:F,MATCH(VLOOKUP(D410,Input!$A$14:$L$22,12,0),L:L,0)))+(0.01-ROW()*0.01))</f>
        <v>-146.39511883867061</v>
      </c>
      <c r="Q410" s="107">
        <f t="shared" si="106"/>
        <v>-5.0505282585834234E-2</v>
      </c>
      <c r="R410" s="11">
        <f>IF(VLOOKUP($D410,$X$14:$Y$19,2,0)&lt;=0,1,IF(Q410&lt;0,1,ROUNDUP(IF(Q410*('Draft Center'!$L$28+'Draft Center'!$L$78-'Draft Center'!$L$82)&lt;1,1,Q410*('Draft Center'!$L$28+'Draft Center'!$L$78-'Draft Center'!$L$82)),0)))</f>
        <v>1</v>
      </c>
      <c r="S410" s="11">
        <f>IF(A410&lt;Input!$B$10+0.1,IF(ROUNDUP(R410*Input!$C$10,0)=0,1,ROUNDUP(R410*Input!$C$10,0)),IF(A410&gt;Input!$B$11,IF(ROUNDUP(R410*Input!$C$11,0)=0,1,ROUNDUP(R410*Input!$C$11,0)),IF(ROUNDUP(R410,0)=0,1,ROUNDUP(R410,0))))</f>
        <v>1</v>
      </c>
      <c r="T410" s="11">
        <f t="shared" si="107"/>
        <v>1</v>
      </c>
      <c r="U410" s="11">
        <f>IFERROR(VLOOKUP($B410,Input!$AC$2:$AE$161,3,0),0)</f>
        <v>0</v>
      </c>
      <c r="V410" s="257">
        <f t="shared" si="108"/>
        <v>0</v>
      </c>
      <c r="W410" s="264">
        <f t="shared" si="109"/>
        <v>1.0041</v>
      </c>
      <c r="X410" s="68"/>
      <c r="Y410" s="68"/>
      <c r="Z410" s="68"/>
      <c r="AA410" s="68"/>
      <c r="AB410" s="68"/>
      <c r="AC410" s="68"/>
      <c r="AD410" s="68"/>
      <c r="AE410" s="68"/>
      <c r="AF410" s="68"/>
      <c r="AG410" s="68"/>
      <c r="AH410" s="68"/>
      <c r="AI410" s="68"/>
      <c r="AJ410" s="68">
        <v>1</v>
      </c>
      <c r="AL410" s="68">
        <v>1</v>
      </c>
      <c r="AM410" s="68"/>
      <c r="AN410" s="68"/>
      <c r="AO410" s="68"/>
      <c r="AQ410" s="68"/>
      <c r="AR410" s="68"/>
      <c r="AS410" s="68"/>
      <c r="AT410" s="68"/>
      <c r="AU410" s="68"/>
      <c r="AV410" s="68"/>
      <c r="AW410" s="68"/>
      <c r="AX410" s="68"/>
      <c r="AY410" s="68"/>
      <c r="AZ410" s="68"/>
      <c r="BB410" s="68"/>
      <c r="BC410" s="68"/>
      <c r="BJ410" s="68"/>
      <c r="BT410">
        <v>1</v>
      </c>
      <c r="BV410">
        <v>1</v>
      </c>
      <c r="BX410" s="68"/>
      <c r="BY410" s="68">
        <v>1</v>
      </c>
      <c r="BZ410" s="68">
        <v>0</v>
      </c>
      <c r="CA410" s="68">
        <v>0</v>
      </c>
      <c r="CB410" s="68">
        <v>0</v>
      </c>
      <c r="CC410" s="68">
        <f t="shared" si="110"/>
        <v>0</v>
      </c>
      <c r="CD410" s="68">
        <f t="shared" si="111"/>
        <v>0</v>
      </c>
    </row>
    <row r="411" spans="1:82" ht="15.75" customHeight="1" thickBot="1" x14ac:dyDescent="0.3">
      <c r="A411" s="6">
        <v>410</v>
      </c>
      <c r="B411" s="7" t="s">
        <v>456</v>
      </c>
      <c r="C411" s="7" t="s">
        <v>80</v>
      </c>
      <c r="D411" s="7" t="s">
        <v>19</v>
      </c>
      <c r="E411" s="50">
        <v>-142.31456179812699</v>
      </c>
      <c r="F411" s="50">
        <v>26.787836227824499</v>
      </c>
      <c r="G411" s="50">
        <v>43.336179999999999</v>
      </c>
      <c r="H411" s="50">
        <v>6.3710000000000004</v>
      </c>
      <c r="I411" s="8">
        <v>0</v>
      </c>
      <c r="J411" s="50">
        <v>8.2617168783175394</v>
      </c>
      <c r="K411" s="248">
        <f>IFERROR(VLOOKUP(C411,Schedule!$T$3:$U$34,2,0),"FA")</f>
        <v>11</v>
      </c>
      <c r="L411" s="7" t="str">
        <f>D411&amp;COUNTIF(D$2:$D411,D411)</f>
        <v>RB109</v>
      </c>
      <c r="M411" s="50">
        <f t="array" ref="M411">IFERROR(F411-AVERAGE(VLOOKUP(D411,$D412:$F$885,3,0),INDEX($F412:$F$885,SMALL(IF(D411=$D412:$D$885,ROW($D412:$D$885)-ROW(D411)),2))),0)</f>
        <v>4.9551835176750103E-2</v>
      </c>
      <c r="N411" s="50">
        <f>IFERROR(IF(VLOOKUP($B411,Input!$AC$2:$AC$162,1,0)=$B411,0),F411)</f>
        <v>26.787836227824499</v>
      </c>
      <c r="O411" s="50">
        <f>IFERROR(IF(VLOOKUP($B411,Input!$AC$2:$AC$162,1,0)=$B411,0,G411),G411)</f>
        <v>43.336179999999999</v>
      </c>
      <c r="P411" s="50">
        <f>IF(N411=0,0,F411-AVERAGE(INDEX(F:F,MATCH(VLOOKUP(D411,Input!$A$14:$L$22,10,0),L:L,0)),INDEX(F:F,MATCH(VLOOKUP(D411,Input!$A$14:$L$22,11,0),L:L,0)),INDEX(F:F,MATCH(VLOOKUP(D411,Input!$A$14:$L$22,12,0),L:L,0)))+(0.01-ROW()*0.01))</f>
        <v>-146.41456179812749</v>
      </c>
      <c r="Q411" s="106">
        <f t="shared" si="106"/>
        <v>-5.0511990269597629E-2</v>
      </c>
      <c r="R411" s="8">
        <f>IF(VLOOKUP($D411,$X$14:$Y$19,2,0)&lt;=0,1,IF(Q411&lt;0,1,ROUNDUP(IF(Q411*('Draft Center'!$L$28+'Draft Center'!$L$78-'Draft Center'!$L$82)&lt;1,1,Q411*('Draft Center'!$L$28+'Draft Center'!$L$78-'Draft Center'!$L$82)),0)))</f>
        <v>1</v>
      </c>
      <c r="S411" s="8">
        <f>IF(A411&lt;Input!$B$10+0.1,IF(ROUNDUP(R411*Input!$C$10,0)=0,1,ROUNDUP(R411*Input!$C$10,0)),IF(A411&gt;Input!$B$11,IF(ROUNDUP(R411*Input!$C$11,0)=0,1,ROUNDUP(R411*Input!$C$11,0)),IF(ROUNDUP(R411,0)=0,1,ROUNDUP(R411,0))))</f>
        <v>1</v>
      </c>
      <c r="T411" s="8">
        <f t="shared" si="107"/>
        <v>1</v>
      </c>
      <c r="U411" s="8">
        <f>IFERROR(VLOOKUP($B411,Input!$AC$2:$AE$161,3,0),0)</f>
        <v>0</v>
      </c>
      <c r="V411" s="256">
        <f t="shared" si="108"/>
        <v>0</v>
      </c>
      <c r="W411" s="263">
        <f t="shared" si="109"/>
        <v>1.0041100000000001</v>
      </c>
      <c r="X411" s="68"/>
      <c r="Y411" s="68"/>
      <c r="Z411" s="68"/>
      <c r="AA411" s="68"/>
      <c r="AB411" s="68"/>
      <c r="AC411" s="68"/>
      <c r="AD411" s="68"/>
      <c r="AE411" s="68"/>
      <c r="AF411" s="68"/>
      <c r="AG411" s="68"/>
      <c r="AH411" s="68"/>
      <c r="AI411" s="68"/>
      <c r="AJ411" s="68">
        <v>1</v>
      </c>
      <c r="AL411" s="68">
        <v>1</v>
      </c>
      <c r="AM411" s="68"/>
      <c r="AN411" s="68"/>
      <c r="AO411" s="68"/>
      <c r="AQ411" s="68"/>
      <c r="AR411" s="68"/>
      <c r="AS411" s="68"/>
      <c r="AT411" s="68"/>
      <c r="AU411" s="68"/>
      <c r="AV411" s="68"/>
      <c r="AW411" s="68"/>
      <c r="AX411" s="68"/>
      <c r="AY411" s="68"/>
      <c r="AZ411" s="68"/>
      <c r="BB411" s="68"/>
      <c r="BC411" s="68"/>
      <c r="BJ411" s="68"/>
      <c r="BT411">
        <v>1</v>
      </c>
      <c r="BV411">
        <v>1</v>
      </c>
      <c r="BX411" s="68"/>
      <c r="BY411" s="68">
        <v>1</v>
      </c>
      <c r="BZ411" s="68">
        <v>0</v>
      </c>
      <c r="CA411" s="68">
        <v>0</v>
      </c>
      <c r="CB411" s="68">
        <v>0</v>
      </c>
      <c r="CC411" s="68">
        <f t="shared" si="110"/>
        <v>0</v>
      </c>
      <c r="CD411" s="68">
        <f t="shared" si="111"/>
        <v>0</v>
      </c>
    </row>
    <row r="412" spans="1:82" ht="15.75" customHeight="1" thickBot="1" x14ac:dyDescent="0.3">
      <c r="A412" s="9">
        <v>411</v>
      </c>
      <c r="B412" s="10" t="s">
        <v>82</v>
      </c>
      <c r="C412" s="10" t="s">
        <v>35</v>
      </c>
      <c r="D412" s="10" t="s">
        <v>19</v>
      </c>
      <c r="E412" s="51">
        <v>-142.31693548981801</v>
      </c>
      <c r="F412" s="51">
        <v>26.785462536133501</v>
      </c>
      <c r="G412" s="51">
        <v>35.071062782193302</v>
      </c>
      <c r="H412" s="51">
        <v>8.9329370762296705</v>
      </c>
      <c r="I412" s="11">
        <v>0</v>
      </c>
      <c r="J412" s="51">
        <v>4.9451667261549703</v>
      </c>
      <c r="K412" s="249">
        <f>IFERROR(VLOOKUP(C412,Schedule!$T$3:$U$34,2,0),"FA")</f>
        <v>6</v>
      </c>
      <c r="L412" s="10" t="str">
        <f>D412&amp;COUNTIF(D$2:$D412,D412)</f>
        <v>RB110</v>
      </c>
      <c r="M412" s="51">
        <f t="array" ref="M412">IFERROR(F412-AVERAGE(VLOOKUP(D412,$D413:$F$885,3,0),INDEX($F413:$F$885,SMALL(IF(D412=$D413:$D$885,ROW($D413:$D$885)-ROW(D412)),2))),0)</f>
        <v>0.63439313224195004</v>
      </c>
      <c r="N412" s="51">
        <f>IFERROR(IF(VLOOKUP($B412,Input!$AC$2:$AC$162,1,0)=$B412,0),F412)</f>
        <v>26.785462536133501</v>
      </c>
      <c r="O412" s="51">
        <f>IFERROR(IF(VLOOKUP($B412,Input!$AC$2:$AC$162,1,0)=$B412,0,G412),G412)</f>
        <v>35.071062782193302</v>
      </c>
      <c r="P412" s="51">
        <f>IF(N412=0,0,F412-AVERAGE(INDEX(F:F,MATCH(VLOOKUP(D412,Input!$A$14:$L$22,10,0),L:L,0)),INDEX(F:F,MATCH(VLOOKUP(D412,Input!$A$14:$L$22,11,0),L:L,0)),INDEX(F:F,MATCH(VLOOKUP(D412,Input!$A$14:$L$22,12,0),L:L,0)))+(0.01-ROW()*0.01))</f>
        <v>-146.4269354898185</v>
      </c>
      <c r="Q412" s="107">
        <f t="shared" si="106"/>
        <v>-5.0516259105884261E-2</v>
      </c>
      <c r="R412" s="11">
        <f>IF(VLOOKUP($D412,$X$14:$Y$19,2,0)&lt;=0,1,IF(Q412&lt;0,1,ROUNDUP(IF(Q412*('Draft Center'!$L$28+'Draft Center'!$L$78-'Draft Center'!$L$82)&lt;1,1,Q412*('Draft Center'!$L$28+'Draft Center'!$L$78-'Draft Center'!$L$82)),0)))</f>
        <v>1</v>
      </c>
      <c r="S412" s="11">
        <f>IF(A412&lt;Input!$B$10+0.1,IF(ROUNDUP(R412*Input!$C$10,0)=0,1,ROUNDUP(R412*Input!$C$10,0)),IF(A412&gt;Input!$B$11,IF(ROUNDUP(R412*Input!$C$11,0)=0,1,ROUNDUP(R412*Input!$C$11,0)),IF(ROUNDUP(R412,0)=0,1,ROUNDUP(R412,0))))</f>
        <v>1</v>
      </c>
      <c r="T412" s="11">
        <f t="shared" si="107"/>
        <v>1</v>
      </c>
      <c r="U412" s="11">
        <f>IFERROR(VLOOKUP($B412,Input!$AC$2:$AE$161,3,0),0)</f>
        <v>0</v>
      </c>
      <c r="V412" s="257">
        <f t="shared" si="108"/>
        <v>0</v>
      </c>
      <c r="W412" s="264">
        <f t="shared" si="109"/>
        <v>1.0041199999999999</v>
      </c>
      <c r="X412" s="68"/>
      <c r="Y412" s="68"/>
      <c r="Z412" s="68"/>
      <c r="AA412" s="68"/>
      <c r="AB412" s="68"/>
      <c r="AC412" s="68"/>
      <c r="AD412" s="68"/>
      <c r="AE412" s="68"/>
      <c r="AF412" s="68"/>
      <c r="AG412" s="68"/>
      <c r="AH412" s="68"/>
      <c r="AI412" s="68"/>
      <c r="AJ412" s="68">
        <v>1</v>
      </c>
      <c r="AL412" s="68">
        <v>1</v>
      </c>
      <c r="AM412" s="68"/>
      <c r="AN412" s="68"/>
      <c r="AO412" s="68"/>
      <c r="AQ412" s="68"/>
      <c r="AR412" s="68"/>
      <c r="AS412" s="68"/>
      <c r="AT412" s="68"/>
      <c r="AU412" s="68"/>
      <c r="AV412" s="68"/>
      <c r="AW412" s="68"/>
      <c r="AX412" s="68"/>
      <c r="AY412" s="68"/>
      <c r="AZ412" s="68"/>
      <c r="BB412" s="68"/>
      <c r="BC412" s="68"/>
      <c r="BJ412" s="68"/>
      <c r="BT412">
        <v>1</v>
      </c>
      <c r="BV412">
        <v>1</v>
      </c>
      <c r="BX412" s="68"/>
      <c r="BY412" s="68">
        <v>1</v>
      </c>
      <c r="BZ412" s="68">
        <v>0</v>
      </c>
      <c r="CA412" s="68">
        <v>0</v>
      </c>
      <c r="CB412" s="68">
        <v>0</v>
      </c>
      <c r="CC412" s="68">
        <f t="shared" si="110"/>
        <v>0</v>
      </c>
      <c r="CD412" s="68">
        <f t="shared" si="111"/>
        <v>0</v>
      </c>
    </row>
    <row r="413" spans="1:82" ht="15.75" customHeight="1" thickBot="1" x14ac:dyDescent="0.3">
      <c r="A413" s="6">
        <v>412</v>
      </c>
      <c r="B413" s="7" t="s">
        <v>988</v>
      </c>
      <c r="C413" s="7" t="s">
        <v>57</v>
      </c>
      <c r="D413" s="7" t="s">
        <v>19</v>
      </c>
      <c r="E413" s="50">
        <v>-142.41129177678999</v>
      </c>
      <c r="F413" s="50">
        <v>26.691106249162001</v>
      </c>
      <c r="G413" s="50">
        <v>46.534556231003002</v>
      </c>
      <c r="H413" s="50">
        <v>1.5222085048011</v>
      </c>
      <c r="I413" s="8">
        <v>0</v>
      </c>
      <c r="J413" s="50">
        <v>6.3376339406676898</v>
      </c>
      <c r="K413" s="248">
        <f>IFERROR(VLOOKUP(C413,Schedule!$T$3:$U$34,2,0),"FA")</f>
        <v>11</v>
      </c>
      <c r="L413" s="7" t="str">
        <f>D413&amp;COUNTIF(D$2:$D413,D413)</f>
        <v>RB111</v>
      </c>
      <c r="M413" s="50">
        <f t="array" ref="M413">IFERROR(F413-AVERAGE(VLOOKUP(D413,$D414:$F$885,3,0),INDEX($F414:$F$885,SMALL(IF(D413=$D414:$D$885,ROW($D414:$D$885)-ROW(D413)),2))),0)</f>
        <v>1.3053095310092502</v>
      </c>
      <c r="N413" s="50">
        <f>IFERROR(IF(VLOOKUP($B413,Input!$AC$2:$AC$162,1,0)=$B413,0),F413)</f>
        <v>26.691106249162001</v>
      </c>
      <c r="O413" s="50">
        <f>IFERROR(IF(VLOOKUP($B413,Input!$AC$2:$AC$162,1,0)=$B413,0,G413),G413)</f>
        <v>46.534556231003002</v>
      </c>
      <c r="P413" s="50">
        <f>IF(N413=0,0,F413-AVERAGE(INDEX(F:F,MATCH(VLOOKUP(D413,Input!$A$14:$L$22,10,0),L:L,0)),INDEX(F:F,MATCH(VLOOKUP(D413,Input!$A$14:$L$22,11,0),L:L,0)),INDEX(F:F,MATCH(VLOOKUP(D413,Input!$A$14:$L$22,12,0),L:L,0)))+(0.01-ROW()*0.01))</f>
        <v>-146.53129177679</v>
      </c>
      <c r="Q413" s="106">
        <f t="shared" si="106"/>
        <v>-5.055226128823101E-2</v>
      </c>
      <c r="R413" s="8">
        <f>IF(VLOOKUP($D413,$X$14:$Y$19,2,0)&lt;=0,1,IF(Q413&lt;0,1,ROUNDUP(IF(Q413*('Draft Center'!$L$28+'Draft Center'!$L$78-'Draft Center'!$L$82)&lt;1,1,Q413*('Draft Center'!$L$28+'Draft Center'!$L$78-'Draft Center'!$L$82)),0)))</f>
        <v>1</v>
      </c>
      <c r="S413" s="8">
        <f>IF(A413&lt;Input!$B$10+0.1,IF(ROUNDUP(R413*Input!$C$10,0)=0,1,ROUNDUP(R413*Input!$C$10,0)),IF(A413&gt;Input!$B$11,IF(ROUNDUP(R413*Input!$C$11,0)=0,1,ROUNDUP(R413*Input!$C$11,0)),IF(ROUNDUP(R413,0)=0,1,ROUNDUP(R413,0))))</f>
        <v>1</v>
      </c>
      <c r="T413" s="8">
        <f t="shared" si="107"/>
        <v>1</v>
      </c>
      <c r="U413" s="8">
        <f>IFERROR(VLOOKUP($B413,Input!$AC$2:$AE$161,3,0),0)</f>
        <v>0</v>
      </c>
      <c r="V413" s="256">
        <f t="shared" si="108"/>
        <v>0</v>
      </c>
      <c r="W413" s="263">
        <f t="shared" si="109"/>
        <v>1.00413</v>
      </c>
      <c r="X413" s="68"/>
      <c r="Y413" s="68"/>
      <c r="Z413" s="68"/>
      <c r="AA413" s="68"/>
      <c r="AB413" s="68"/>
      <c r="AC413" s="68"/>
      <c r="AD413" s="68"/>
      <c r="AE413" s="68"/>
      <c r="AF413" s="68"/>
      <c r="AG413" s="68"/>
      <c r="AH413" s="68"/>
      <c r="AI413" s="68"/>
      <c r="AJ413" s="68">
        <v>1</v>
      </c>
      <c r="AL413" s="68">
        <v>1</v>
      </c>
      <c r="AM413" s="68"/>
      <c r="AN413" s="68"/>
      <c r="AO413" s="68"/>
      <c r="AQ413" s="68"/>
      <c r="AR413" s="68"/>
      <c r="AS413" s="68"/>
      <c r="AT413" s="68"/>
      <c r="AU413" s="68"/>
      <c r="AV413" s="68"/>
      <c r="AW413" s="68"/>
      <c r="AX413" s="68"/>
      <c r="AY413" s="68"/>
      <c r="AZ413" s="68"/>
      <c r="BB413" s="68"/>
      <c r="BC413" s="68"/>
      <c r="BJ413" s="68"/>
      <c r="BT413">
        <v>1</v>
      </c>
      <c r="BV413">
        <v>1</v>
      </c>
      <c r="BX413" s="68"/>
      <c r="BY413" s="68">
        <v>1</v>
      </c>
      <c r="BZ413" s="68">
        <v>0</v>
      </c>
      <c r="CA413" s="68">
        <v>0</v>
      </c>
      <c r="CB413" s="68">
        <v>0</v>
      </c>
      <c r="CC413" s="68">
        <f t="shared" si="110"/>
        <v>0</v>
      </c>
      <c r="CD413" s="68">
        <f t="shared" si="111"/>
        <v>0</v>
      </c>
    </row>
    <row r="414" spans="1:82" ht="15.75" customHeight="1" thickBot="1" x14ac:dyDescent="0.3">
      <c r="A414" s="9">
        <v>413</v>
      </c>
      <c r="B414" s="10" t="s">
        <v>998</v>
      </c>
      <c r="C414" s="10" t="s">
        <v>31</v>
      </c>
      <c r="D414" s="10" t="s">
        <v>43</v>
      </c>
      <c r="E414" s="51">
        <v>-142.62415838115399</v>
      </c>
      <c r="F414" s="51">
        <v>10.836760971055099</v>
      </c>
      <c r="G414" s="51">
        <v>16.124472679738599</v>
      </c>
      <c r="H414" s="51">
        <v>2.62</v>
      </c>
      <c r="I414" s="11" t="s">
        <v>1057</v>
      </c>
      <c r="J414" s="51" t="s">
        <v>1057</v>
      </c>
      <c r="K414" s="249">
        <f>IFERROR(VLOOKUP(C414,Schedule!$T$3:$U$34,2,0),"FA")</f>
        <v>9</v>
      </c>
      <c r="L414" s="10" t="str">
        <f>D414&amp;COUNTIF(D$2:$D414,D414)</f>
        <v>TE95</v>
      </c>
      <c r="M414" s="51">
        <f t="array" ref="M414">IFERROR(F414-AVERAGE(VLOOKUP(D414,$D415:$F$885,3,0),INDEX($F415:$F$885,SMALL(IF(D414=$D415:$D$885,ROW($D415:$D$885)-ROW(D414)),2))),0)</f>
        <v>0.31663049575220015</v>
      </c>
      <c r="N414" s="51">
        <f>IFERROR(IF(VLOOKUP($B414,Input!$AC$2:$AC$162,1,0)=$B414,0),F414)</f>
        <v>10.836760971055099</v>
      </c>
      <c r="O414" s="51">
        <f>IFERROR(IF(VLOOKUP($B414,Input!$AC$2:$AC$162,1,0)=$B414,0,G414),G414)</f>
        <v>16.124472679738599</v>
      </c>
      <c r="P414" s="51">
        <f>IF(N414=0,0,F414-AVERAGE(INDEX(F:F,MATCH(VLOOKUP(D414,Input!$A$14:$L$22,10,0),L:L,0)),INDEX(F:F,MATCH(VLOOKUP(D414,Input!$A$14:$L$22,11,0),L:L,0)),INDEX(F:F,MATCH(VLOOKUP(D414,Input!$A$14:$L$22,12,0),L:L,0)))+(0.01-ROW()*0.01))</f>
        <v>-146.75415838115421</v>
      </c>
      <c r="Q414" s="107">
        <f t="shared" si="106"/>
        <v>-5.062914869350553E-2</v>
      </c>
      <c r="R414" s="11">
        <f>IF(VLOOKUP($D414,$X$14:$Y$19,2,0)&lt;=0,1,IF(Q414&lt;0,1,ROUNDUP(IF(Q414*('Draft Center'!$L$28+'Draft Center'!$L$78-'Draft Center'!$L$82)&lt;1,1,Q414*('Draft Center'!$L$28+'Draft Center'!$L$78-'Draft Center'!$L$82)),0)))</f>
        <v>1</v>
      </c>
      <c r="S414" s="11">
        <f>IF(A414&lt;Input!$B$10+0.1,IF(ROUNDUP(R414*Input!$C$10,0)=0,1,ROUNDUP(R414*Input!$C$10,0)),IF(A414&gt;Input!$B$11,IF(ROUNDUP(R414*Input!$C$11,0)=0,1,ROUNDUP(R414*Input!$C$11,0)),IF(ROUNDUP(R414,0)=0,1,ROUNDUP(R414,0))))</f>
        <v>1</v>
      </c>
      <c r="T414" s="11">
        <f t="shared" si="107"/>
        <v>1</v>
      </c>
      <c r="U414" s="11">
        <f>IFERROR(VLOOKUP($B414,Input!$AC$2:$AE$161,3,0),0)</f>
        <v>0</v>
      </c>
      <c r="V414" s="257">
        <f t="shared" si="108"/>
        <v>0</v>
      </c>
      <c r="W414" s="264">
        <f t="shared" si="109"/>
        <v>0</v>
      </c>
      <c r="X414" s="68"/>
      <c r="Y414" s="68"/>
      <c r="Z414" s="68"/>
      <c r="AA414" s="68"/>
      <c r="AB414" s="68"/>
      <c r="AC414" s="68"/>
      <c r="AD414" s="68"/>
      <c r="AE414" s="68"/>
      <c r="AF414" s="68"/>
      <c r="AG414" s="68"/>
      <c r="AH414" s="68"/>
      <c r="AI414" s="68"/>
      <c r="AJ414" s="68">
        <v>1</v>
      </c>
      <c r="AL414" s="68">
        <v>1</v>
      </c>
      <c r="AM414" s="68"/>
      <c r="AN414" s="68"/>
      <c r="AO414" s="68"/>
      <c r="AQ414" s="68"/>
      <c r="AR414" s="68"/>
      <c r="AS414" s="68"/>
      <c r="AT414" s="68"/>
      <c r="AU414" s="68"/>
      <c r="AV414" s="68"/>
      <c r="AW414" s="68"/>
      <c r="AX414" s="68"/>
      <c r="AY414" s="68"/>
      <c r="AZ414" s="68"/>
      <c r="BB414" s="68"/>
      <c r="BC414" s="68"/>
      <c r="BJ414" s="68"/>
      <c r="BT414">
        <v>1</v>
      </c>
      <c r="BV414">
        <v>1</v>
      </c>
      <c r="BX414" s="68"/>
      <c r="BY414" s="68">
        <v>1</v>
      </c>
      <c r="BZ414" s="68" t="s">
        <v>1057</v>
      </c>
      <c r="CA414" s="68" t="s">
        <v>1057</v>
      </c>
      <c r="CB414" s="68" t="s">
        <v>1057</v>
      </c>
      <c r="CC414" s="68" t="e">
        <f t="shared" si="110"/>
        <v>#DIV/0!</v>
      </c>
      <c r="CD414" s="68" t="str">
        <f t="shared" si="111"/>
        <v>NA</v>
      </c>
    </row>
    <row r="415" spans="1:82" ht="15.75" customHeight="1" thickBot="1" x14ac:dyDescent="0.3">
      <c r="A415" s="6">
        <v>414</v>
      </c>
      <c r="B415" s="7" t="s">
        <v>983</v>
      </c>
      <c r="C415" s="7" t="s">
        <v>42</v>
      </c>
      <c r="D415" s="7" t="s">
        <v>43</v>
      </c>
      <c r="E415" s="50">
        <v>-142.86091935220901</v>
      </c>
      <c r="F415" s="50">
        <v>10.6</v>
      </c>
      <c r="G415" s="50">
        <v>9.3087790697674393</v>
      </c>
      <c r="H415" s="50">
        <v>4</v>
      </c>
      <c r="I415" s="8" t="s">
        <v>1057</v>
      </c>
      <c r="J415" s="50" t="s">
        <v>1057</v>
      </c>
      <c r="K415" s="248">
        <f>IFERROR(VLOOKUP(C415,Schedule!$T$3:$U$34,2,0),"FA")</f>
        <v>9</v>
      </c>
      <c r="L415" s="7" t="str">
        <f>D415&amp;COUNTIF(D$2:$D415,D415)</f>
        <v>TE96</v>
      </c>
      <c r="M415" s="50">
        <f t="array" ref="M415">IFERROR(F415-AVERAGE(VLOOKUP(D415,$D416:$F$885,3,0),INDEX($F416:$F$885,SMALL(IF(D415=$D416:$D$885,ROW($D416:$D$885)-ROW(D415)),2))),0)</f>
        <v>1.1660519663980597</v>
      </c>
      <c r="N415" s="50">
        <f>IFERROR(IF(VLOOKUP($B415,Input!$AC$2:$AC$162,1,0)=$B415,0),F415)</f>
        <v>10.6</v>
      </c>
      <c r="O415" s="50">
        <f>IFERROR(IF(VLOOKUP($B415,Input!$AC$2:$AC$162,1,0)=$B415,0,G415),G415)</f>
        <v>9.3087790697674393</v>
      </c>
      <c r="P415" s="50">
        <f>IF(N415=0,0,F415-AVERAGE(INDEX(F:F,MATCH(VLOOKUP(D415,Input!$A$14:$L$22,10,0),L:L,0)),INDEX(F:F,MATCH(VLOOKUP(D415,Input!$A$14:$L$22,11,0),L:L,0)),INDEX(F:F,MATCH(VLOOKUP(D415,Input!$A$14:$L$22,12,0),L:L,0)))+(0.01-ROW()*0.01))</f>
        <v>-147.00091935220934</v>
      </c>
      <c r="Q415" s="106">
        <f t="shared" si="106"/>
        <v>-5.071427948661638E-2</v>
      </c>
      <c r="R415" s="8">
        <f>IF(VLOOKUP($D415,$X$14:$Y$19,2,0)&lt;=0,1,IF(Q415&lt;0,1,ROUNDUP(IF(Q415*('Draft Center'!$L$28+'Draft Center'!$L$78-'Draft Center'!$L$82)&lt;1,1,Q415*('Draft Center'!$L$28+'Draft Center'!$L$78-'Draft Center'!$L$82)),0)))</f>
        <v>1</v>
      </c>
      <c r="S415" s="8">
        <f>IF(A415&lt;Input!$B$10+0.1,IF(ROUNDUP(R415*Input!$C$10,0)=0,1,ROUNDUP(R415*Input!$C$10,0)),IF(A415&gt;Input!$B$11,IF(ROUNDUP(R415*Input!$C$11,0)=0,1,ROUNDUP(R415*Input!$C$11,0)),IF(ROUNDUP(R415,0)=0,1,ROUNDUP(R415,0))))</f>
        <v>1</v>
      </c>
      <c r="T415" s="8">
        <f t="shared" si="107"/>
        <v>1</v>
      </c>
      <c r="U415" s="8">
        <f>IFERROR(VLOOKUP($B415,Input!$AC$2:$AE$161,3,0),0)</f>
        <v>0</v>
      </c>
      <c r="V415" s="256">
        <f t="shared" si="108"/>
        <v>0</v>
      </c>
      <c r="W415" s="263">
        <f t="shared" si="109"/>
        <v>0</v>
      </c>
      <c r="X415" s="68"/>
      <c r="Y415" s="68"/>
      <c r="Z415" s="68"/>
      <c r="AA415" s="68"/>
      <c r="AB415" s="68"/>
      <c r="AC415" s="68"/>
      <c r="AD415" s="68"/>
      <c r="AE415" s="68"/>
      <c r="AF415" s="68"/>
      <c r="AG415" s="68"/>
      <c r="AH415" s="68"/>
      <c r="AI415" s="68"/>
      <c r="AJ415" s="68">
        <v>1</v>
      </c>
      <c r="AL415" s="68">
        <v>1</v>
      </c>
      <c r="AM415" s="68"/>
      <c r="AN415" s="68"/>
      <c r="AO415" s="68"/>
      <c r="AQ415" s="68"/>
      <c r="AR415" s="68"/>
      <c r="AS415" s="68"/>
      <c r="AT415" s="68"/>
      <c r="AU415" s="68"/>
      <c r="AV415" s="68"/>
      <c r="AW415" s="68"/>
      <c r="AX415" s="68"/>
      <c r="AY415" s="68"/>
      <c r="AZ415" s="68"/>
      <c r="BB415" s="68"/>
      <c r="BC415" s="68"/>
      <c r="BJ415" s="68"/>
      <c r="BT415">
        <v>1</v>
      </c>
      <c r="BV415">
        <v>1</v>
      </c>
      <c r="BX415" s="68"/>
      <c r="BY415" s="68">
        <v>1</v>
      </c>
      <c r="BZ415" s="68" t="s">
        <v>1057</v>
      </c>
      <c r="CA415" s="68" t="s">
        <v>1057</v>
      </c>
      <c r="CB415" s="68" t="s">
        <v>1057</v>
      </c>
      <c r="CC415" s="68" t="e">
        <f t="shared" si="110"/>
        <v>#DIV/0!</v>
      </c>
      <c r="CD415" s="68" t="str">
        <f t="shared" si="111"/>
        <v>NA</v>
      </c>
    </row>
    <row r="416" spans="1:82" ht="15.75" customHeight="1" thickBot="1" x14ac:dyDescent="0.3">
      <c r="A416" s="9">
        <v>415</v>
      </c>
      <c r="B416" s="10" t="s">
        <v>992</v>
      </c>
      <c r="C416" s="10" t="s">
        <v>83</v>
      </c>
      <c r="D416" s="10" t="s">
        <v>43</v>
      </c>
      <c r="E416" s="51">
        <v>-143.02065840160401</v>
      </c>
      <c r="F416" s="51">
        <v>10.440260950605801</v>
      </c>
      <c r="G416" s="51">
        <v>15.776285</v>
      </c>
      <c r="H416" s="51">
        <v>0</v>
      </c>
      <c r="I416" s="11" t="s">
        <v>1057</v>
      </c>
      <c r="J416" s="51" t="s">
        <v>1057</v>
      </c>
      <c r="K416" s="249">
        <f>IFERROR(VLOOKUP(C416,Schedule!$T$3:$U$34,2,0),"FA")</f>
        <v>5</v>
      </c>
      <c r="L416" s="10" t="str">
        <f>D416&amp;COUNTIF(D$2:$D416,D416)</f>
        <v>TE97</v>
      </c>
      <c r="M416" s="51">
        <f t="array" ref="M416">IFERROR(F416-AVERAGE(VLOOKUP(D416,$D417:$F$885,3,0),INDEX($F417:$F$885,SMALL(IF(D416=$D417:$D$885,ROW($D417:$D$885)-ROW(D416)),2))),0)</f>
        <v>2.1331649286579264</v>
      </c>
      <c r="N416" s="51">
        <f>IFERROR(IF(VLOOKUP($B416,Input!$AC$2:$AC$162,1,0)=$B416,0),F416)</f>
        <v>10.440260950605801</v>
      </c>
      <c r="O416" s="51">
        <f>IFERROR(IF(VLOOKUP($B416,Input!$AC$2:$AC$162,1,0)=$B416,0,G416),G416)</f>
        <v>15.776285</v>
      </c>
      <c r="P416" s="51">
        <f>IF(N416=0,0,F416-AVERAGE(INDEX(F:F,MATCH(VLOOKUP(D416,Input!$A$14:$L$22,10,0),L:L,0)),INDEX(F:F,MATCH(VLOOKUP(D416,Input!$A$14:$L$22,11,0),L:L,0)),INDEX(F:F,MATCH(VLOOKUP(D416,Input!$A$14:$L$22,12,0),L:L,0)))+(0.01-ROW()*0.01))</f>
        <v>-147.17065840160353</v>
      </c>
      <c r="Q416" s="107">
        <f t="shared" si="106"/>
        <v>-5.0772838260457413E-2</v>
      </c>
      <c r="R416" s="11">
        <f>IF(VLOOKUP($D416,$X$14:$Y$19,2,0)&lt;=0,1,IF(Q416&lt;0,1,ROUNDUP(IF(Q416*('Draft Center'!$L$28+'Draft Center'!$L$78-'Draft Center'!$L$82)&lt;1,1,Q416*('Draft Center'!$L$28+'Draft Center'!$L$78-'Draft Center'!$L$82)),0)))</f>
        <v>1</v>
      </c>
      <c r="S416" s="11">
        <f>IF(A416&lt;Input!$B$10+0.1,IF(ROUNDUP(R416*Input!$C$10,0)=0,1,ROUNDUP(R416*Input!$C$10,0)),IF(A416&gt;Input!$B$11,IF(ROUNDUP(R416*Input!$C$11,0)=0,1,ROUNDUP(R416*Input!$C$11,0)),IF(ROUNDUP(R416,0)=0,1,ROUNDUP(R416,0))))</f>
        <v>1</v>
      </c>
      <c r="T416" s="11">
        <f t="shared" si="107"/>
        <v>1</v>
      </c>
      <c r="U416" s="11">
        <f>IFERROR(VLOOKUP($B416,Input!$AC$2:$AE$161,3,0),0)</f>
        <v>0</v>
      </c>
      <c r="V416" s="257">
        <f t="shared" si="108"/>
        <v>0</v>
      </c>
      <c r="W416" s="264">
        <f t="shared" si="109"/>
        <v>0</v>
      </c>
      <c r="X416" s="68"/>
      <c r="Y416" s="68"/>
      <c r="Z416" s="68"/>
      <c r="AA416" s="68"/>
      <c r="AB416" s="68"/>
      <c r="AC416" s="68"/>
      <c r="AD416" s="68"/>
      <c r="AE416" s="68"/>
      <c r="AF416" s="68"/>
      <c r="AG416" s="68"/>
      <c r="AH416" s="68"/>
      <c r="AI416" s="68"/>
      <c r="AJ416" s="68">
        <v>1</v>
      </c>
      <c r="AL416" s="68">
        <v>1</v>
      </c>
      <c r="AM416" s="68"/>
      <c r="AN416" s="68"/>
      <c r="AO416" s="68"/>
      <c r="AQ416" s="68"/>
      <c r="AR416" s="68"/>
      <c r="AS416" s="68"/>
      <c r="AT416" s="68"/>
      <c r="AU416" s="68"/>
      <c r="AV416" s="68"/>
      <c r="AW416" s="68"/>
      <c r="AX416" s="68"/>
      <c r="AY416" s="68"/>
      <c r="AZ416" s="68"/>
      <c r="BB416" s="68"/>
      <c r="BC416" s="68"/>
      <c r="BJ416" s="68"/>
      <c r="BT416">
        <v>1</v>
      </c>
      <c r="BV416">
        <v>1</v>
      </c>
      <c r="BX416" s="68"/>
      <c r="BY416" s="68">
        <v>1</v>
      </c>
      <c r="BZ416" s="68" t="s">
        <v>1057</v>
      </c>
      <c r="CA416" s="68" t="s">
        <v>1057</v>
      </c>
      <c r="CB416" s="68" t="s">
        <v>1057</v>
      </c>
      <c r="CC416" s="68" t="e">
        <f t="shared" si="110"/>
        <v>#DIV/0!</v>
      </c>
      <c r="CD416" s="68" t="str">
        <f t="shared" si="111"/>
        <v>NA</v>
      </c>
    </row>
    <row r="417" spans="1:82" ht="15.75" customHeight="1" thickBot="1" x14ac:dyDescent="0.3">
      <c r="A417" s="6">
        <v>416</v>
      </c>
      <c r="B417" s="7" t="s">
        <v>974</v>
      </c>
      <c r="C417" s="7" t="s">
        <v>23</v>
      </c>
      <c r="D417" s="7" t="s">
        <v>19</v>
      </c>
      <c r="E417" s="50">
        <v>-143.49136546733101</v>
      </c>
      <c r="F417" s="50">
        <v>25.611032558621101</v>
      </c>
      <c r="G417" s="50">
        <v>36.053371208873301</v>
      </c>
      <c r="H417" s="50">
        <v>9.5722085048011003</v>
      </c>
      <c r="I417" s="8">
        <v>0</v>
      </c>
      <c r="J417" s="50">
        <v>5.7102426164208104</v>
      </c>
      <c r="K417" s="248">
        <f>IFERROR(VLOOKUP(C417,Schedule!$T$3:$U$34,2,0),"FA")</f>
        <v>5</v>
      </c>
      <c r="L417" s="7" t="str">
        <f>D417&amp;COUNTIF(D$2:$D417,D417)</f>
        <v>RB112</v>
      </c>
      <c r="M417" s="50">
        <f t="array" ref="M417">IFERROR(F417-AVERAGE(VLOOKUP(D417,$D418:$F$885,3,0),INDEX($F418:$F$885,SMALL(IF(D417=$D418:$D$885,ROW($D418:$D$885)-ROW(D417)),2))),0)</f>
        <v>0.57533373843460112</v>
      </c>
      <c r="N417" s="50">
        <f>IFERROR(IF(VLOOKUP($B417,Input!$AC$2:$AC$162,1,0)=$B417,0),F417)</f>
        <v>25.611032558621101</v>
      </c>
      <c r="O417" s="50">
        <f>IFERROR(IF(VLOOKUP($B417,Input!$AC$2:$AC$162,1,0)=$B417,0,G417),G417)</f>
        <v>36.053371208873301</v>
      </c>
      <c r="P417" s="50">
        <f>IF(N417=0,0,F417-AVERAGE(INDEX(F:F,MATCH(VLOOKUP(D417,Input!$A$14:$L$22,10,0),L:L,0)),INDEX(F:F,MATCH(VLOOKUP(D417,Input!$A$14:$L$22,11,0),L:L,0)),INDEX(F:F,MATCH(VLOOKUP(D417,Input!$A$14:$L$22,12,0),L:L,0)))+(0.01-ROW()*0.01))</f>
        <v>-147.65136546733089</v>
      </c>
      <c r="Q417" s="106">
        <f t="shared" si="106"/>
        <v>-5.0938678804788147E-2</v>
      </c>
      <c r="R417" s="8">
        <f>IF(VLOOKUP($D417,$X$14:$Y$19,2,0)&lt;=0,1,IF(Q417&lt;0,1,ROUNDUP(IF(Q417*('Draft Center'!$L$28+'Draft Center'!$L$78-'Draft Center'!$L$82)&lt;1,1,Q417*('Draft Center'!$L$28+'Draft Center'!$L$78-'Draft Center'!$L$82)),0)))</f>
        <v>1</v>
      </c>
      <c r="S417" s="8">
        <f>IF(A417&lt;Input!$B$10+0.1,IF(ROUNDUP(R417*Input!$C$10,0)=0,1,ROUNDUP(R417*Input!$C$10,0)),IF(A417&gt;Input!$B$11,IF(ROUNDUP(R417*Input!$C$11,0)=0,1,ROUNDUP(R417*Input!$C$11,0)),IF(ROUNDUP(R417,0)=0,1,ROUNDUP(R417,0))))</f>
        <v>1</v>
      </c>
      <c r="T417" s="8">
        <f t="shared" si="107"/>
        <v>1</v>
      </c>
      <c r="U417" s="8">
        <f>IFERROR(VLOOKUP($B417,Input!$AC$2:$AE$161,3,0),0)</f>
        <v>0</v>
      </c>
      <c r="V417" s="256">
        <f t="shared" si="108"/>
        <v>0</v>
      </c>
      <c r="W417" s="263">
        <f t="shared" si="109"/>
        <v>1.00417</v>
      </c>
      <c r="X417" s="68"/>
      <c r="Y417" s="68"/>
      <c r="Z417" s="68"/>
      <c r="AA417" s="68"/>
      <c r="AB417" s="68"/>
      <c r="AC417" s="68"/>
      <c r="AD417" s="68"/>
      <c r="AE417" s="68"/>
      <c r="AF417" s="68"/>
      <c r="AG417" s="68"/>
      <c r="AH417" s="68"/>
      <c r="AI417" s="68"/>
      <c r="AJ417" s="68">
        <v>1</v>
      </c>
      <c r="AL417" s="68">
        <v>1</v>
      </c>
      <c r="AM417" s="68"/>
      <c r="AN417" s="68"/>
      <c r="AO417" s="68"/>
      <c r="AQ417" s="68"/>
      <c r="AR417" s="68"/>
      <c r="AS417" s="68"/>
      <c r="AT417" s="68"/>
      <c r="AU417" s="68"/>
      <c r="AV417" s="68"/>
      <c r="AW417" s="68"/>
      <c r="AX417" s="68"/>
      <c r="AY417" s="68"/>
      <c r="AZ417" s="68"/>
      <c r="BB417" s="68"/>
      <c r="BC417" s="68"/>
      <c r="BJ417" s="68"/>
      <c r="BT417">
        <v>1</v>
      </c>
      <c r="BV417">
        <v>1</v>
      </c>
      <c r="BX417" s="68"/>
      <c r="BY417" s="68">
        <v>1</v>
      </c>
      <c r="BZ417" s="68">
        <v>0</v>
      </c>
      <c r="CA417" s="68">
        <v>0</v>
      </c>
      <c r="CB417" s="68">
        <v>0</v>
      </c>
      <c r="CC417" s="68">
        <f t="shared" si="110"/>
        <v>0</v>
      </c>
      <c r="CD417" s="68">
        <f t="shared" si="111"/>
        <v>0</v>
      </c>
    </row>
    <row r="418" spans="1:82" ht="15.75" customHeight="1" thickBot="1" x14ac:dyDescent="0.3">
      <c r="A418" s="9">
        <v>417</v>
      </c>
      <c r="B418" s="10" t="s">
        <v>968</v>
      </c>
      <c r="C418" s="10" t="s">
        <v>29</v>
      </c>
      <c r="D418" s="10" t="s">
        <v>17</v>
      </c>
      <c r="E418" s="51">
        <v>-143.530517460716</v>
      </c>
      <c r="F418" s="51">
        <v>69.247398808632894</v>
      </c>
      <c r="G418" s="51">
        <v>92.446737813694696</v>
      </c>
      <c r="H418" s="51">
        <v>18.737053870272401</v>
      </c>
      <c r="I418" s="11">
        <v>0</v>
      </c>
      <c r="J418" s="51">
        <v>5.3915768313772396</v>
      </c>
      <c r="K418" s="249">
        <f>IFERROR(VLOOKUP(C418,Schedule!$T$3:$U$34,2,0),"FA")</f>
        <v>8</v>
      </c>
      <c r="L418" s="10" t="str">
        <f>D418&amp;COUNTIF(D$2:$D418,D418)</f>
        <v>WR104</v>
      </c>
      <c r="M418" s="51">
        <f t="array" ref="M418">IFERROR(F418-AVERAGE(VLOOKUP(D418,$D419:$F$885,3,0),INDEX($F419:$F$885,SMALL(IF(D418=$D419:$D$885,ROW($D419:$D$885)-ROW(D418)),2))),0)</f>
        <v>0.81726495378359232</v>
      </c>
      <c r="N418" s="51">
        <f>IFERROR(IF(VLOOKUP($B418,Input!$AC$2:$AC$162,1,0)=$B418,0),F418)</f>
        <v>69.247398808632894</v>
      </c>
      <c r="O418" s="51">
        <f>IFERROR(IF(VLOOKUP($B418,Input!$AC$2:$AC$162,1,0)=$B418,0,G418),G418)</f>
        <v>92.446737813694696</v>
      </c>
      <c r="P418" s="51">
        <f>IF(N418=0,0,F418-AVERAGE(INDEX(F:F,MATCH(VLOOKUP(D418,Input!$A$14:$L$22,10,0),L:L,0)),INDEX(F:F,MATCH(VLOOKUP(D418,Input!$A$14:$L$22,11,0),L:L,0)),INDEX(F:F,MATCH(VLOOKUP(D418,Input!$A$14:$L$22,12,0),L:L,0)))+(0.01-ROW()*0.01))</f>
        <v>-147.7005174607161</v>
      </c>
      <c r="Q418" s="107">
        <f t="shared" si="106"/>
        <v>-5.0955635895538642E-2</v>
      </c>
      <c r="R418" s="11">
        <f>IF(VLOOKUP($D418,$X$14:$Y$19,2,0)&lt;=0,1,IF(Q418&lt;0,1,ROUNDUP(IF(Q418*('Draft Center'!$L$28+'Draft Center'!$L$78-'Draft Center'!$L$82)&lt;1,1,Q418*('Draft Center'!$L$28+'Draft Center'!$L$78-'Draft Center'!$L$82)),0)))</f>
        <v>1</v>
      </c>
      <c r="S418" s="11">
        <f>IF(A418&lt;Input!$B$10+0.1,IF(ROUNDUP(R418*Input!$C$10,0)=0,1,ROUNDUP(R418*Input!$C$10,0)),IF(A418&gt;Input!$B$11,IF(ROUNDUP(R418*Input!$C$11,0)=0,1,ROUNDUP(R418*Input!$C$11,0)),IF(ROUNDUP(R418,0)=0,1,ROUNDUP(R418,0))))</f>
        <v>1</v>
      </c>
      <c r="T418" s="11">
        <f t="shared" si="107"/>
        <v>1</v>
      </c>
      <c r="U418" s="11">
        <f>IFERROR(VLOOKUP($B418,Input!$AC$2:$AE$161,3,0),0)</f>
        <v>0</v>
      </c>
      <c r="V418" s="257">
        <f t="shared" si="108"/>
        <v>0</v>
      </c>
      <c r="W418" s="264">
        <f t="shared" si="109"/>
        <v>1.0041800000000001</v>
      </c>
      <c r="X418" s="68"/>
      <c r="Y418" s="68"/>
      <c r="Z418" s="68"/>
      <c r="AA418" s="68"/>
      <c r="AB418" s="68"/>
      <c r="AC418" s="68"/>
      <c r="AD418" s="68"/>
      <c r="AE418" s="68"/>
      <c r="AF418" s="68"/>
      <c r="AG418" s="68"/>
      <c r="AH418" s="68"/>
      <c r="AI418" s="68"/>
      <c r="AJ418" s="68">
        <v>1</v>
      </c>
      <c r="AL418" s="68">
        <v>1</v>
      </c>
      <c r="AM418" s="68"/>
      <c r="AN418" s="68"/>
      <c r="AO418" s="68"/>
      <c r="AQ418" s="68"/>
      <c r="AR418" s="68"/>
      <c r="AS418" s="68"/>
      <c r="AT418" s="68"/>
      <c r="AU418" s="68"/>
      <c r="AV418" s="68"/>
      <c r="AW418" s="68"/>
      <c r="AX418" s="68"/>
      <c r="AY418" s="68"/>
      <c r="AZ418" s="68"/>
      <c r="BB418" s="68"/>
      <c r="BC418" s="68"/>
      <c r="BJ418" s="68"/>
      <c r="BT418">
        <v>1</v>
      </c>
      <c r="BV418">
        <v>1</v>
      </c>
      <c r="BX418" s="68"/>
      <c r="BY418" s="68">
        <v>1</v>
      </c>
      <c r="BZ418" s="68">
        <v>0</v>
      </c>
      <c r="CA418" s="68">
        <v>0</v>
      </c>
      <c r="CB418" s="68">
        <v>0</v>
      </c>
      <c r="CC418" s="68">
        <f t="shared" si="110"/>
        <v>0</v>
      </c>
      <c r="CD418" s="68">
        <f t="shared" si="111"/>
        <v>0</v>
      </c>
    </row>
    <row r="419" spans="1:82" ht="15.75" customHeight="1" thickBot="1" x14ac:dyDescent="0.3">
      <c r="A419" s="6">
        <v>418</v>
      </c>
      <c r="B419" s="7" t="s">
        <v>526</v>
      </c>
      <c r="C419" s="7" t="s">
        <v>143</v>
      </c>
      <c r="D419" s="7" t="s">
        <v>17</v>
      </c>
      <c r="E419" s="50">
        <v>-143.59969844756699</v>
      </c>
      <c r="F419" s="50">
        <v>69.178217821782198</v>
      </c>
      <c r="G419" s="50">
        <v>111.54544483985801</v>
      </c>
      <c r="H419" s="50">
        <v>0</v>
      </c>
      <c r="I419" s="8">
        <v>0</v>
      </c>
      <c r="J419" s="50">
        <v>11.154134257454301</v>
      </c>
      <c r="K419" s="248">
        <f>IFERROR(VLOOKUP(C419,Schedule!$T$3:$U$34,2,0),"FA")</f>
        <v>9</v>
      </c>
      <c r="L419" s="7" t="str">
        <f>D419&amp;COUNTIF(D$2:$D419,D419)</f>
        <v>WR105</v>
      </c>
      <c r="M419" s="50">
        <f t="array" ref="M419">IFERROR(F419-AVERAGE(VLOOKUP(D419,$D420:$F$885,3,0),INDEX($F420:$F$885,SMALL(IF(D419=$D420:$D$885,ROW($D420:$D$885)-ROW(D419)),2))),0)</f>
        <v>1.8479974193425903</v>
      </c>
      <c r="N419" s="50">
        <f>IFERROR(IF(VLOOKUP($B419,Input!$AC$2:$AC$162,1,0)=$B419,0),F419)</f>
        <v>69.178217821782198</v>
      </c>
      <c r="O419" s="50">
        <f>IFERROR(IF(VLOOKUP($B419,Input!$AC$2:$AC$162,1,0)=$B419,0,G419),G419)</f>
        <v>111.54544483985801</v>
      </c>
      <c r="P419" s="50">
        <f>IF(N419=0,0,F419-AVERAGE(INDEX(F:F,MATCH(VLOOKUP(D419,Input!$A$14:$L$22,10,0),L:L,0)),INDEX(F:F,MATCH(VLOOKUP(D419,Input!$A$14:$L$22,11,0),L:L,0)),INDEX(F:F,MATCH(VLOOKUP(D419,Input!$A$14:$L$22,12,0),L:L,0)))+(0.01-ROW()*0.01))</f>
        <v>-147.77969844756683</v>
      </c>
      <c r="Q419" s="106">
        <f t="shared" si="106"/>
        <v>-5.0982952777057951E-2</v>
      </c>
      <c r="R419" s="8">
        <f>IF(VLOOKUP($D419,$X$14:$Y$19,2,0)&lt;=0,1,IF(Q419&lt;0,1,ROUNDUP(IF(Q419*('Draft Center'!$L$28+'Draft Center'!$L$78-'Draft Center'!$L$82)&lt;1,1,Q419*('Draft Center'!$L$28+'Draft Center'!$L$78-'Draft Center'!$L$82)),0)))</f>
        <v>1</v>
      </c>
      <c r="S419" s="8">
        <f>IF(A419&lt;Input!$B$10+0.1,IF(ROUNDUP(R419*Input!$C$10,0)=0,1,ROUNDUP(R419*Input!$C$10,0)),IF(A419&gt;Input!$B$11,IF(ROUNDUP(R419*Input!$C$11,0)=0,1,ROUNDUP(R419*Input!$C$11,0)),IF(ROUNDUP(R419,0)=0,1,ROUNDUP(R419,0))))</f>
        <v>1</v>
      </c>
      <c r="T419" s="8">
        <f t="shared" si="107"/>
        <v>1</v>
      </c>
      <c r="U419" s="8">
        <f>IFERROR(VLOOKUP($B419,Input!$AC$2:$AE$161,3,0),0)</f>
        <v>0</v>
      </c>
      <c r="V419" s="256">
        <f t="shared" si="108"/>
        <v>0</v>
      </c>
      <c r="W419" s="263">
        <f t="shared" si="109"/>
        <v>1.0041899999999999</v>
      </c>
      <c r="X419" s="68"/>
      <c r="Y419" s="68"/>
      <c r="Z419" s="68"/>
      <c r="AA419" s="68"/>
      <c r="AB419" s="68"/>
      <c r="AC419" s="68"/>
      <c r="AD419" s="68"/>
      <c r="AE419" s="68"/>
      <c r="AF419" s="68"/>
      <c r="AG419" s="68"/>
      <c r="AH419" s="68"/>
      <c r="AI419" s="68"/>
      <c r="AJ419" s="68">
        <v>1</v>
      </c>
      <c r="AL419" s="68">
        <v>1</v>
      </c>
      <c r="AM419" s="68"/>
      <c r="AN419" s="68"/>
      <c r="AO419" s="68"/>
      <c r="AQ419" s="68"/>
      <c r="AR419" s="68"/>
      <c r="AS419" s="68"/>
      <c r="AT419" s="68"/>
      <c r="AU419" s="68"/>
      <c r="AV419" s="68"/>
      <c r="AW419" s="68"/>
      <c r="AX419" s="68"/>
      <c r="AY419" s="68"/>
      <c r="AZ419" s="68"/>
      <c r="BB419" s="68"/>
      <c r="BC419" s="68"/>
      <c r="BJ419" s="68"/>
      <c r="BT419">
        <v>1</v>
      </c>
      <c r="BV419">
        <v>1</v>
      </c>
      <c r="BX419" s="68"/>
      <c r="BY419" s="68">
        <v>1</v>
      </c>
      <c r="BZ419" s="68">
        <v>0</v>
      </c>
      <c r="CA419" s="68">
        <v>0</v>
      </c>
      <c r="CB419" s="68">
        <v>0</v>
      </c>
      <c r="CC419" s="68">
        <f t="shared" si="110"/>
        <v>0</v>
      </c>
      <c r="CD419" s="68">
        <f t="shared" si="111"/>
        <v>0</v>
      </c>
    </row>
    <row r="420" spans="1:82" ht="15.75" customHeight="1" thickBot="1" x14ac:dyDescent="0.3">
      <c r="A420" s="9">
        <v>419</v>
      </c>
      <c r="B420" s="10" t="s">
        <v>796</v>
      </c>
      <c r="C420" s="10" t="s">
        <v>38</v>
      </c>
      <c r="D420" s="10" t="s">
        <v>19</v>
      </c>
      <c r="E420" s="51">
        <v>-143.94183714826701</v>
      </c>
      <c r="F420" s="51">
        <v>25.1605608776844</v>
      </c>
      <c r="G420" s="51">
        <v>43.840877675841</v>
      </c>
      <c r="H420" s="51">
        <v>-0.80971055088702104</v>
      </c>
      <c r="I420" s="11" t="s">
        <v>1057</v>
      </c>
      <c r="J420" s="51">
        <v>7.8683550268850997</v>
      </c>
      <c r="K420" s="249">
        <f>IFERROR(VLOOKUP(C420,Schedule!$T$3:$U$34,2,0),"FA")</f>
        <v>6</v>
      </c>
      <c r="L420" s="10" t="str">
        <f>D420&amp;COUNTIF(D$2:$D420,D420)</f>
        <v>RB113</v>
      </c>
      <c r="M420" s="51">
        <f t="array" ref="M420">IFERROR(F420-AVERAGE(VLOOKUP(D420,$D421:$F$885,3,0),INDEX($F421:$F$885,SMALL(IF(D420=$D421:$D$885,ROW($D421:$D$885)-ROW(D420)),2))),0)</f>
        <v>0.61845009740990164</v>
      </c>
      <c r="N420" s="51">
        <f>IFERROR(IF(VLOOKUP($B420,Input!$AC$2:$AC$162,1,0)=$B420,0),F420)</f>
        <v>25.1605608776844</v>
      </c>
      <c r="O420" s="51">
        <f>IFERROR(IF(VLOOKUP($B420,Input!$AC$2:$AC$162,1,0)=$B420,0,G420),G420)</f>
        <v>43.840877675841</v>
      </c>
      <c r="P420" s="51">
        <f>IF(N420=0,0,F420-AVERAGE(INDEX(F:F,MATCH(VLOOKUP(D420,Input!$A$14:$L$22,10,0),L:L,0)),INDEX(F:F,MATCH(VLOOKUP(D420,Input!$A$14:$L$22,11,0),L:L,0)),INDEX(F:F,MATCH(VLOOKUP(D420,Input!$A$14:$L$22,12,0),L:L,0)))+(0.01-ROW()*0.01))</f>
        <v>-148.13183714826761</v>
      </c>
      <c r="Q420" s="107">
        <f t="shared" si="106"/>
        <v>-5.1104438143027703E-2</v>
      </c>
      <c r="R420" s="11">
        <f>IF(VLOOKUP($D420,$X$14:$Y$19,2,0)&lt;=0,1,IF(Q420&lt;0,1,ROUNDUP(IF(Q420*('Draft Center'!$L$28+'Draft Center'!$L$78-'Draft Center'!$L$82)&lt;1,1,Q420*('Draft Center'!$L$28+'Draft Center'!$L$78-'Draft Center'!$L$82)),0)))</f>
        <v>1</v>
      </c>
      <c r="S420" s="11">
        <f>IF(A420&lt;Input!$B$10+0.1,IF(ROUNDUP(R420*Input!$C$10,0)=0,1,ROUNDUP(R420*Input!$C$10,0)),IF(A420&gt;Input!$B$11,IF(ROUNDUP(R420*Input!$C$11,0)=0,1,ROUNDUP(R420*Input!$C$11,0)),IF(ROUNDUP(R420,0)=0,1,ROUNDUP(R420,0))))</f>
        <v>1</v>
      </c>
      <c r="T420" s="11">
        <f t="shared" si="107"/>
        <v>1</v>
      </c>
      <c r="U420" s="11">
        <f>IFERROR(VLOOKUP($B420,Input!$AC$2:$AE$161,3,0),0)</f>
        <v>0</v>
      </c>
      <c r="V420" s="257">
        <f t="shared" si="108"/>
        <v>0</v>
      </c>
      <c r="W420" s="264">
        <f t="shared" si="109"/>
        <v>0</v>
      </c>
      <c r="X420" s="68"/>
      <c r="Y420" s="68"/>
      <c r="Z420" s="68"/>
      <c r="AA420" s="68"/>
      <c r="AB420" s="68"/>
      <c r="AC420" s="68"/>
      <c r="AD420" s="68"/>
      <c r="AE420" s="68"/>
      <c r="AF420" s="68"/>
      <c r="AG420" s="68"/>
      <c r="AH420" s="68"/>
      <c r="AI420" s="68"/>
      <c r="AJ420" s="68">
        <v>1</v>
      </c>
      <c r="AL420" s="68">
        <v>1</v>
      </c>
      <c r="AM420" s="68"/>
      <c r="AN420" s="68"/>
      <c r="AO420" s="68"/>
      <c r="AQ420" s="68"/>
      <c r="AR420" s="68"/>
      <c r="AS420" s="68"/>
      <c r="AT420" s="68"/>
      <c r="AU420" s="68"/>
      <c r="AV420" s="68"/>
      <c r="AW420" s="68"/>
      <c r="AX420" s="68"/>
      <c r="AY420" s="68"/>
      <c r="AZ420" s="68"/>
      <c r="BB420" s="68"/>
      <c r="BC420" s="68"/>
      <c r="BJ420" s="68"/>
      <c r="BT420">
        <v>1</v>
      </c>
      <c r="BV420">
        <v>1</v>
      </c>
      <c r="BX420" s="68"/>
      <c r="BY420" s="68">
        <v>1</v>
      </c>
      <c r="BZ420" s="68" t="s">
        <v>1057</v>
      </c>
      <c r="CA420" s="68" t="s">
        <v>1057</v>
      </c>
      <c r="CB420" s="68" t="s">
        <v>1057</v>
      </c>
      <c r="CC420" s="68" t="e">
        <f t="shared" si="110"/>
        <v>#DIV/0!</v>
      </c>
      <c r="CD420" s="68" t="str">
        <f t="shared" si="111"/>
        <v>NA</v>
      </c>
    </row>
    <row r="421" spans="1:82" ht="15.75" customHeight="1" thickBot="1" x14ac:dyDescent="0.3">
      <c r="A421" s="6">
        <v>420</v>
      </c>
      <c r="B421" s="7" t="s">
        <v>888</v>
      </c>
      <c r="C421" s="7" t="s">
        <v>83</v>
      </c>
      <c r="D421" s="7" t="s">
        <v>19</v>
      </c>
      <c r="E421" s="50">
        <v>-144.191561263263</v>
      </c>
      <c r="F421" s="50">
        <v>24.9108367626886</v>
      </c>
      <c r="G421" s="50">
        <v>35.365472290809301</v>
      </c>
      <c r="H421" s="50">
        <v>0</v>
      </c>
      <c r="I421" s="8" t="s">
        <v>1057</v>
      </c>
      <c r="J421" s="50">
        <v>6.7914439355481004</v>
      </c>
      <c r="K421" s="248">
        <f>IFERROR(VLOOKUP(C421,Schedule!$T$3:$U$34,2,0),"FA")</f>
        <v>5</v>
      </c>
      <c r="L421" s="7" t="str">
        <f>D421&amp;COUNTIF(D$2:$D421,D421)</f>
        <v>RB114</v>
      </c>
      <c r="M421" s="50">
        <f t="array" ref="M421">IFERROR(F421-AVERAGE(VLOOKUP(D421,$D422:$F$885,3,0),INDEX($F422:$F$885,SMALL(IF(D421=$D422:$D$885,ROW($D422:$D$885)-ROW(D421)),2))),0)</f>
        <v>0.79328649345744751</v>
      </c>
      <c r="N421" s="50">
        <f>IFERROR(IF(VLOOKUP($B421,Input!$AC$2:$AC$162,1,0)=$B421,0),F421)</f>
        <v>24.9108367626886</v>
      </c>
      <c r="O421" s="50">
        <f>IFERROR(IF(VLOOKUP($B421,Input!$AC$2:$AC$162,1,0)=$B421,0,G421),G421)</f>
        <v>35.365472290809301</v>
      </c>
      <c r="P421" s="50">
        <f>IF(N421=0,0,F421-AVERAGE(INDEX(F:F,MATCH(VLOOKUP(D421,Input!$A$14:$L$22,10,0),L:L,0)),INDEX(F:F,MATCH(VLOOKUP(D421,Input!$A$14:$L$22,11,0),L:L,0)),INDEX(F:F,MATCH(VLOOKUP(D421,Input!$A$14:$L$22,12,0),L:L,0)))+(0.01-ROW()*0.01))</f>
        <v>-148.39156126326338</v>
      </c>
      <c r="Q421" s="106">
        <f t="shared" si="106"/>
        <v>-5.1194041129290338E-2</v>
      </c>
      <c r="R421" s="8">
        <f>IF(VLOOKUP($D421,$X$14:$Y$19,2,0)&lt;=0,1,IF(Q421&lt;0,1,ROUNDUP(IF(Q421*('Draft Center'!$L$28+'Draft Center'!$L$78-'Draft Center'!$L$82)&lt;1,1,Q421*('Draft Center'!$L$28+'Draft Center'!$L$78-'Draft Center'!$L$82)),0)))</f>
        <v>1</v>
      </c>
      <c r="S421" s="8">
        <f>IF(A421&lt;Input!$B$10+0.1,IF(ROUNDUP(R421*Input!$C$10,0)=0,1,ROUNDUP(R421*Input!$C$10,0)),IF(A421&gt;Input!$B$11,IF(ROUNDUP(R421*Input!$C$11,0)=0,1,ROUNDUP(R421*Input!$C$11,0)),IF(ROUNDUP(R421,0)=0,1,ROUNDUP(R421,0))))</f>
        <v>1</v>
      </c>
      <c r="T421" s="8">
        <f t="shared" si="107"/>
        <v>1</v>
      </c>
      <c r="U421" s="8">
        <f>IFERROR(VLOOKUP($B421,Input!$AC$2:$AE$161,3,0),0)</f>
        <v>0</v>
      </c>
      <c r="V421" s="256">
        <f t="shared" si="108"/>
        <v>0</v>
      </c>
      <c r="W421" s="263">
        <f t="shared" si="109"/>
        <v>0</v>
      </c>
      <c r="X421" s="68"/>
      <c r="Y421" s="68"/>
      <c r="Z421" s="68"/>
      <c r="AA421" s="68"/>
      <c r="AB421" s="68"/>
      <c r="AC421" s="68"/>
      <c r="AD421" s="68"/>
      <c r="AE421" s="68"/>
      <c r="AF421" s="68"/>
      <c r="AG421" s="68"/>
      <c r="AH421" s="68"/>
      <c r="AI421" s="68"/>
      <c r="AJ421" s="68">
        <v>1</v>
      </c>
      <c r="AL421" s="68">
        <v>1</v>
      </c>
      <c r="AM421" s="68"/>
      <c r="AN421" s="68"/>
      <c r="AO421" s="68"/>
      <c r="AQ421" s="68"/>
      <c r="AR421" s="68"/>
      <c r="AS421" s="68"/>
      <c r="AT421" s="68"/>
      <c r="AU421" s="68"/>
      <c r="AV421" s="68"/>
      <c r="AW421" s="68"/>
      <c r="AX421" s="68"/>
      <c r="AY421" s="68"/>
      <c r="AZ421" s="68"/>
      <c r="BB421" s="68"/>
      <c r="BC421" s="68"/>
      <c r="BJ421" s="68"/>
      <c r="BT421">
        <v>1</v>
      </c>
      <c r="BV421">
        <v>1</v>
      </c>
      <c r="BX421" s="68"/>
      <c r="BY421" s="68">
        <v>1</v>
      </c>
      <c r="BZ421" s="68" t="s">
        <v>1057</v>
      </c>
      <c r="CA421" s="68" t="s">
        <v>1057</v>
      </c>
      <c r="CB421" s="68" t="s">
        <v>1057</v>
      </c>
      <c r="CC421" s="68" t="e">
        <f t="shared" si="110"/>
        <v>#DIV/0!</v>
      </c>
      <c r="CD421" s="68" t="str">
        <f t="shared" si="111"/>
        <v>NA</v>
      </c>
    </row>
    <row r="422" spans="1:82" ht="15.75" customHeight="1" thickBot="1" x14ac:dyDescent="0.3">
      <c r="A422" s="9">
        <v>421</v>
      </c>
      <c r="B422" s="10" t="s">
        <v>865</v>
      </c>
      <c r="C422" s="10" t="s">
        <v>52</v>
      </c>
      <c r="D422" s="10" t="s">
        <v>19</v>
      </c>
      <c r="E422" s="51">
        <v>-144.92901322809101</v>
      </c>
      <c r="F422" s="51">
        <v>24.1733847978604</v>
      </c>
      <c r="G422" s="51">
        <v>47.122959625</v>
      </c>
      <c r="H422" s="51">
        <v>-0.21765539878502799</v>
      </c>
      <c r="I422" s="11" t="s">
        <v>1057</v>
      </c>
      <c r="J422" s="51">
        <v>7.7013189618022801</v>
      </c>
      <c r="K422" s="249">
        <f>IFERROR(VLOOKUP(C422,Schedule!$T$3:$U$34,2,0),"FA")</f>
        <v>11</v>
      </c>
      <c r="L422" s="10" t="str">
        <f>D422&amp;COUNTIF(D$2:$D422,D422)</f>
        <v>RB115</v>
      </c>
      <c r="M422" s="51">
        <f t="array" ref="M422">IFERROR(F422-AVERAGE(VLOOKUP(D422,$D423:$F$885,3,0),INDEX($F423:$F$885,SMALL(IF(D422=$D423:$D$885,ROW($D423:$D$885)-ROW(D422)),2))),0)</f>
        <v>0.46450073454425223</v>
      </c>
      <c r="N422" s="51">
        <f>IFERROR(IF(VLOOKUP($B422,Input!$AC$2:$AC$162,1,0)=$B422,0),F422)</f>
        <v>24.1733847978604</v>
      </c>
      <c r="O422" s="51">
        <f>IFERROR(IF(VLOOKUP($B422,Input!$AC$2:$AC$162,1,0)=$B422,0,G422),G422)</f>
        <v>47.122959625</v>
      </c>
      <c r="P422" s="51">
        <f>IF(N422=0,0,F422-AVERAGE(INDEX(F:F,MATCH(VLOOKUP(D422,Input!$A$14:$L$22,10,0),L:L,0)),INDEX(F:F,MATCH(VLOOKUP(D422,Input!$A$14:$L$22,11,0),L:L,0)),INDEX(F:F,MATCH(VLOOKUP(D422,Input!$A$14:$L$22,12,0),L:L,0)))+(0.01-ROW()*0.01))</f>
        <v>-149.13901322809161</v>
      </c>
      <c r="Q422" s="107">
        <f t="shared" si="106"/>
        <v>-5.1451906780839746E-2</v>
      </c>
      <c r="R422" s="11">
        <f>IF(VLOOKUP($D422,$X$14:$Y$19,2,0)&lt;=0,1,IF(Q422&lt;0,1,ROUNDUP(IF(Q422*('Draft Center'!$L$28+'Draft Center'!$L$78-'Draft Center'!$L$82)&lt;1,1,Q422*('Draft Center'!$L$28+'Draft Center'!$L$78-'Draft Center'!$L$82)),0)))</f>
        <v>1</v>
      </c>
      <c r="S422" s="11">
        <f>IF(A422&lt;Input!$B$10+0.1,IF(ROUNDUP(R422*Input!$C$10,0)=0,1,ROUNDUP(R422*Input!$C$10,0)),IF(A422&gt;Input!$B$11,IF(ROUNDUP(R422*Input!$C$11,0)=0,1,ROUNDUP(R422*Input!$C$11,0)),IF(ROUNDUP(R422,0)=0,1,ROUNDUP(R422,0))))</f>
        <v>1</v>
      </c>
      <c r="T422" s="11">
        <f t="shared" si="107"/>
        <v>1</v>
      </c>
      <c r="U422" s="11">
        <f>IFERROR(VLOOKUP($B422,Input!$AC$2:$AE$161,3,0),0)</f>
        <v>0</v>
      </c>
      <c r="V422" s="257">
        <f t="shared" si="108"/>
        <v>0</v>
      </c>
      <c r="W422" s="264">
        <f t="shared" si="109"/>
        <v>0</v>
      </c>
      <c r="X422" s="68"/>
      <c r="Y422" s="68"/>
      <c r="Z422" s="68"/>
      <c r="AA422" s="68"/>
      <c r="AB422" s="68"/>
      <c r="AC422" s="68"/>
      <c r="AD422" s="68"/>
      <c r="AE422" s="68"/>
      <c r="AF422" s="68"/>
      <c r="AG422" s="68"/>
      <c r="AH422" s="68"/>
      <c r="AI422" s="68"/>
      <c r="AJ422" s="68">
        <v>1</v>
      </c>
      <c r="AL422" s="68">
        <v>1</v>
      </c>
      <c r="AM422" s="68"/>
      <c r="AN422" s="68"/>
      <c r="AO422" s="68"/>
      <c r="AQ422" s="68"/>
      <c r="AR422" s="68"/>
      <c r="AS422" s="68"/>
      <c r="AT422" s="68"/>
      <c r="AU422" s="68"/>
      <c r="AV422" s="68"/>
      <c r="AW422" s="68"/>
      <c r="AX422" s="68"/>
      <c r="AY422" s="68"/>
      <c r="AZ422" s="68"/>
      <c r="BB422" s="68"/>
      <c r="BC422" s="68"/>
      <c r="BJ422" s="68"/>
      <c r="BT422">
        <v>1</v>
      </c>
      <c r="BV422">
        <v>1</v>
      </c>
      <c r="BX422" s="68"/>
      <c r="BY422" s="68">
        <v>1</v>
      </c>
      <c r="BZ422" s="68" t="s">
        <v>1057</v>
      </c>
      <c r="CA422" s="68" t="s">
        <v>1057</v>
      </c>
      <c r="CB422" s="68" t="s">
        <v>1057</v>
      </c>
      <c r="CC422" s="68" t="e">
        <f t="shared" si="110"/>
        <v>#DIV/0!</v>
      </c>
      <c r="CD422" s="68" t="str">
        <f t="shared" si="111"/>
        <v>NA</v>
      </c>
    </row>
    <row r="423" spans="1:82" ht="15.75" customHeight="1" thickBot="1" x14ac:dyDescent="0.3">
      <c r="A423" s="6">
        <v>422</v>
      </c>
      <c r="B423" s="7" t="s">
        <v>1064</v>
      </c>
      <c r="C423" s="7" t="s">
        <v>35</v>
      </c>
      <c r="D423" s="7" t="s">
        <v>43</v>
      </c>
      <c r="E423" s="50">
        <v>-145.03328423561101</v>
      </c>
      <c r="F423" s="50">
        <v>8.4276351165980792</v>
      </c>
      <c r="G423" s="50">
        <v>14.536204863221901</v>
      </c>
      <c r="H423" s="50">
        <v>0</v>
      </c>
      <c r="I423" s="8" t="s">
        <v>1057</v>
      </c>
      <c r="J423" s="50">
        <v>5.1337727987514796</v>
      </c>
      <c r="K423" s="248">
        <f>IFERROR(VLOOKUP(C423,Schedule!$T$3:$U$34,2,0),"FA")</f>
        <v>6</v>
      </c>
      <c r="L423" s="7" t="str">
        <f>D423&amp;COUNTIF(D$2:$D423,D423)</f>
        <v>TE98</v>
      </c>
      <c r="M423" s="50">
        <f t="array" ref="M423">IFERROR(F423-AVERAGE(VLOOKUP(D423,$D424:$F$885,3,0),INDEX($F424:$F$885,SMALL(IF(D423=$D424:$D$885,ROW($D424:$D$885)-ROW(D423)),2))),0)</f>
        <v>0.66688385382218485</v>
      </c>
      <c r="N423" s="50">
        <f>IFERROR(IF(VLOOKUP($B423,Input!$AC$2:$AC$162,1,0)=$B423,0),F423)</f>
        <v>8.4276351165980792</v>
      </c>
      <c r="O423" s="50">
        <f>IFERROR(IF(VLOOKUP($B423,Input!$AC$2:$AC$162,1,0)=$B423,0,G423),G423)</f>
        <v>14.536204863221901</v>
      </c>
      <c r="P423" s="50">
        <f>IF(N423=0,0,F423-AVERAGE(INDEX(F:F,MATCH(VLOOKUP(D423,Input!$A$14:$L$22,10,0),L:L,0)),INDEX(F:F,MATCH(VLOOKUP(D423,Input!$A$14:$L$22,11,0),L:L,0)),INDEX(F:F,MATCH(VLOOKUP(D423,Input!$A$14:$L$22,12,0),L:L,0)))+(0.01-ROW()*0.01))</f>
        <v>-149.25328423561123</v>
      </c>
      <c r="Q423" s="106">
        <f t="shared" si="106"/>
        <v>-5.1491329471786883E-2</v>
      </c>
      <c r="R423" s="8">
        <f>IF(VLOOKUP($D423,$X$14:$Y$19,2,0)&lt;=0,1,IF(Q423&lt;0,1,ROUNDUP(IF(Q423*('Draft Center'!$L$28+'Draft Center'!$L$78-'Draft Center'!$L$82)&lt;1,1,Q423*('Draft Center'!$L$28+'Draft Center'!$L$78-'Draft Center'!$L$82)),0)))</f>
        <v>1</v>
      </c>
      <c r="S423" s="8">
        <f>IF(A423&lt;Input!$B$10+0.1,IF(ROUNDUP(R423*Input!$C$10,0)=0,1,ROUNDUP(R423*Input!$C$10,0)),IF(A423&gt;Input!$B$11,IF(ROUNDUP(R423*Input!$C$11,0)=0,1,ROUNDUP(R423*Input!$C$11,0)),IF(ROUNDUP(R423,0)=0,1,ROUNDUP(R423,0))))</f>
        <v>1</v>
      </c>
      <c r="T423" s="8">
        <f t="shared" si="107"/>
        <v>1</v>
      </c>
      <c r="U423" s="8">
        <f>IFERROR(VLOOKUP($B423,Input!$AC$2:$AE$161,3,0),0)</f>
        <v>0</v>
      </c>
      <c r="V423" s="256">
        <f t="shared" si="108"/>
        <v>0</v>
      </c>
      <c r="W423" s="263">
        <f t="shared" si="109"/>
        <v>0</v>
      </c>
      <c r="X423" s="68"/>
      <c r="Y423" s="68"/>
      <c r="Z423" s="68"/>
      <c r="AA423" s="68"/>
      <c r="AB423" s="68"/>
      <c r="AC423" s="68"/>
      <c r="AD423" s="68"/>
      <c r="AE423" s="68"/>
      <c r="AF423" s="68"/>
      <c r="AG423" s="68"/>
      <c r="AH423" s="68"/>
      <c r="AI423" s="68"/>
      <c r="AJ423" s="68">
        <v>1</v>
      </c>
      <c r="AL423" s="68">
        <v>1</v>
      </c>
      <c r="AM423" s="68"/>
      <c r="AN423" s="68"/>
      <c r="AO423" s="68"/>
      <c r="AQ423" s="68"/>
      <c r="AR423" s="68"/>
      <c r="AS423" s="68"/>
      <c r="AT423" s="68"/>
      <c r="AU423" s="68"/>
      <c r="AV423" s="68"/>
      <c r="AW423" s="68"/>
      <c r="AX423" s="68"/>
      <c r="AY423" s="68"/>
      <c r="AZ423" s="68"/>
      <c r="BB423" s="68"/>
      <c r="BC423" s="68"/>
      <c r="BJ423" s="68"/>
      <c r="BT423">
        <v>1</v>
      </c>
      <c r="BV423">
        <v>1</v>
      </c>
      <c r="BX423" s="68"/>
      <c r="BY423" s="68">
        <v>1</v>
      </c>
      <c r="BZ423" s="68" t="s">
        <v>1057</v>
      </c>
      <c r="CA423" s="68" t="s">
        <v>1057</v>
      </c>
      <c r="CB423" s="68" t="s">
        <v>1057</v>
      </c>
      <c r="CC423" s="68" t="e">
        <f t="shared" si="110"/>
        <v>#DIV/0!</v>
      </c>
      <c r="CD423" s="68" t="str">
        <f t="shared" si="111"/>
        <v>NA</v>
      </c>
    </row>
    <row r="424" spans="1:82" ht="15.75" customHeight="1" thickBot="1" x14ac:dyDescent="0.3">
      <c r="A424" s="9">
        <v>423</v>
      </c>
      <c r="B424" s="10" t="s">
        <v>447</v>
      </c>
      <c r="C424" s="10" t="s">
        <v>95</v>
      </c>
      <c r="D424" s="10" t="s">
        <v>19</v>
      </c>
      <c r="E424" s="51">
        <v>-145.04068228534999</v>
      </c>
      <c r="F424" s="51">
        <v>24.061715740601901</v>
      </c>
      <c r="G424" s="51">
        <v>45.497757999999997</v>
      </c>
      <c r="H424" s="51">
        <v>-0.26935539878502801</v>
      </c>
      <c r="I424" s="11" t="s">
        <v>1057</v>
      </c>
      <c r="J424" s="51">
        <v>6.5761027386318203</v>
      </c>
      <c r="K424" s="249">
        <f>IFERROR(VLOOKUP(C424,Schedule!$T$3:$U$34,2,0),"FA")</f>
        <v>8</v>
      </c>
      <c r="L424" s="10" t="str">
        <f>D424&amp;COUNTIF(D$2:$D424,D424)</f>
        <v>RB116</v>
      </c>
      <c r="M424" s="51">
        <f t="array" ref="M424">IFERROR(F424-AVERAGE(VLOOKUP(D424,$D425:$F$885,3,0),INDEX($F425:$F$885,SMALL(IF(D424=$D425:$D$885,ROW($D425:$D$885)-ROW(D424)),2))),0)</f>
        <v>0.87012381908460057</v>
      </c>
      <c r="N424" s="51">
        <f>IFERROR(IF(VLOOKUP($B424,Input!$AC$2:$AC$162,1,0)=$B424,0),F424)</f>
        <v>24.061715740601901</v>
      </c>
      <c r="O424" s="51">
        <f>IFERROR(IF(VLOOKUP($B424,Input!$AC$2:$AC$162,1,0)=$B424,0,G424),G424)</f>
        <v>45.497757999999997</v>
      </c>
      <c r="P424" s="51">
        <f>IF(N424=0,0,F424-AVERAGE(INDEX(F:F,MATCH(VLOOKUP(D424,Input!$A$14:$L$22,10,0),L:L,0)),INDEX(F:F,MATCH(VLOOKUP(D424,Input!$A$14:$L$22,11,0),L:L,0)),INDEX(F:F,MATCH(VLOOKUP(D424,Input!$A$14:$L$22,12,0),L:L,0)))+(0.01-ROW()*0.01))</f>
        <v>-149.27068228535009</v>
      </c>
      <c r="Q424" s="107">
        <f t="shared" si="106"/>
        <v>-5.149733167613272E-2</v>
      </c>
      <c r="R424" s="11">
        <f>IF(VLOOKUP($D424,$X$14:$Y$19,2,0)&lt;=0,1,IF(Q424&lt;0,1,ROUNDUP(IF(Q424*('Draft Center'!$L$28+'Draft Center'!$L$78-'Draft Center'!$L$82)&lt;1,1,Q424*('Draft Center'!$L$28+'Draft Center'!$L$78-'Draft Center'!$L$82)),0)))</f>
        <v>1</v>
      </c>
      <c r="S424" s="11">
        <f>IF(A424&lt;Input!$B$10+0.1,IF(ROUNDUP(R424*Input!$C$10,0)=0,1,ROUNDUP(R424*Input!$C$10,0)),IF(A424&gt;Input!$B$11,IF(ROUNDUP(R424*Input!$C$11,0)=0,1,ROUNDUP(R424*Input!$C$11,0)),IF(ROUNDUP(R424,0)=0,1,ROUNDUP(R424,0))))</f>
        <v>1</v>
      </c>
      <c r="T424" s="11">
        <f t="shared" si="107"/>
        <v>1</v>
      </c>
      <c r="U424" s="11">
        <f>IFERROR(VLOOKUP($B424,Input!$AC$2:$AE$161,3,0),0)</f>
        <v>0</v>
      </c>
      <c r="V424" s="257">
        <f t="shared" si="108"/>
        <v>0</v>
      </c>
      <c r="W424" s="264">
        <f t="shared" si="109"/>
        <v>0</v>
      </c>
      <c r="X424" s="68"/>
      <c r="Y424" s="68"/>
      <c r="Z424" s="68"/>
      <c r="AA424" s="68"/>
      <c r="AB424" s="68"/>
      <c r="AC424" s="68"/>
      <c r="AD424" s="68"/>
      <c r="AE424" s="68"/>
      <c r="AF424" s="68"/>
      <c r="AG424" s="68"/>
      <c r="AH424" s="68"/>
      <c r="AI424" s="68"/>
      <c r="AJ424" s="68">
        <v>1</v>
      </c>
      <c r="AL424" s="68">
        <v>1</v>
      </c>
      <c r="AM424" s="68"/>
      <c r="AN424" s="68"/>
      <c r="AO424" s="68"/>
      <c r="AQ424" s="68"/>
      <c r="AR424" s="68"/>
      <c r="AS424" s="68"/>
      <c r="AT424" s="68"/>
      <c r="AU424" s="68"/>
      <c r="AV424" s="68"/>
      <c r="AW424" s="68"/>
      <c r="AX424" s="68"/>
      <c r="AY424" s="68"/>
      <c r="AZ424" s="68"/>
      <c r="BB424" s="68"/>
      <c r="BC424" s="68"/>
      <c r="BJ424" s="68"/>
      <c r="BT424">
        <v>1</v>
      </c>
      <c r="BV424">
        <v>1</v>
      </c>
      <c r="BX424" s="68"/>
      <c r="BY424" s="68">
        <v>1</v>
      </c>
      <c r="BZ424" s="68" t="s">
        <v>1057</v>
      </c>
      <c r="CA424" s="68" t="s">
        <v>1057</v>
      </c>
      <c r="CB424" s="68" t="s">
        <v>1057</v>
      </c>
      <c r="CC424" s="68" t="e">
        <f t="shared" si="110"/>
        <v>#DIV/0!</v>
      </c>
      <c r="CD424" s="68" t="str">
        <f t="shared" si="111"/>
        <v>NA</v>
      </c>
    </row>
    <row r="425" spans="1:82" ht="15.75" customHeight="1" thickBot="1" x14ac:dyDescent="0.3">
      <c r="A425" s="6">
        <v>424</v>
      </c>
      <c r="B425" s="7" t="s">
        <v>278</v>
      </c>
      <c r="C425" s="7" t="s">
        <v>75</v>
      </c>
      <c r="D425" s="7" t="s">
        <v>17</v>
      </c>
      <c r="E425" s="50">
        <v>-145.09586638143301</v>
      </c>
      <c r="F425" s="50">
        <v>67.682049887916406</v>
      </c>
      <c r="G425" s="50">
        <v>101.089086159815</v>
      </c>
      <c r="H425" s="50">
        <v>30.632911013129501</v>
      </c>
      <c r="I425" s="8">
        <v>0</v>
      </c>
      <c r="J425" s="50">
        <v>6.2087313130318904</v>
      </c>
      <c r="K425" s="248">
        <f>IFERROR(VLOOKUP(C425,Schedule!$T$3:$U$34,2,0),"FA")</f>
        <v>10</v>
      </c>
      <c r="L425" s="7" t="str">
        <f>D425&amp;COUNTIF(D$2:$D425,D425)</f>
        <v>WR106</v>
      </c>
      <c r="M425" s="50">
        <f t="array" ref="M425">IFERROR(F425-AVERAGE(VLOOKUP(D425,$D426:$F$885,3,0),INDEX($F426:$F$885,SMALL(IF(D425=$D426:$D$885,ROW($D426:$D$885)-ROW(D425)),2))),0)</f>
        <v>1.0442180373282071</v>
      </c>
      <c r="N425" s="50">
        <f>IFERROR(IF(VLOOKUP($B425,Input!$AC$2:$AC$162,1,0)=$B425,0),F425)</f>
        <v>67.682049887916406</v>
      </c>
      <c r="O425" s="50">
        <f>IFERROR(IF(VLOOKUP($B425,Input!$AC$2:$AC$162,1,0)=$B425,0,G425),G425)</f>
        <v>101.089086159815</v>
      </c>
      <c r="P425" s="50">
        <f>IF(N425=0,0,F425-AVERAGE(INDEX(F:F,MATCH(VLOOKUP(D425,Input!$A$14:$L$22,10,0),L:L,0)),INDEX(F:F,MATCH(VLOOKUP(D425,Input!$A$14:$L$22,11,0),L:L,0)),INDEX(F:F,MATCH(VLOOKUP(D425,Input!$A$14:$L$22,12,0),L:L,0)))+(0.01-ROW()*0.01))</f>
        <v>-149.33586638143262</v>
      </c>
      <c r="Q425" s="106">
        <f t="shared" si="106"/>
        <v>-5.1519819729142047E-2</v>
      </c>
      <c r="R425" s="8">
        <f>IF(VLOOKUP($D425,$X$14:$Y$19,2,0)&lt;=0,1,IF(Q425&lt;0,1,ROUNDUP(IF(Q425*('Draft Center'!$L$28+'Draft Center'!$L$78-'Draft Center'!$L$82)&lt;1,1,Q425*('Draft Center'!$L$28+'Draft Center'!$L$78-'Draft Center'!$L$82)),0)))</f>
        <v>1</v>
      </c>
      <c r="S425" s="8">
        <f>IF(A425&lt;Input!$B$10+0.1,IF(ROUNDUP(R425*Input!$C$10,0)=0,1,ROUNDUP(R425*Input!$C$10,0)),IF(A425&gt;Input!$B$11,IF(ROUNDUP(R425*Input!$C$11,0)=0,1,ROUNDUP(R425*Input!$C$11,0)),IF(ROUNDUP(R425,0)=0,1,ROUNDUP(R425,0))))</f>
        <v>1</v>
      </c>
      <c r="T425" s="8">
        <f t="shared" si="107"/>
        <v>1</v>
      </c>
      <c r="U425" s="8">
        <f>IFERROR(VLOOKUP($B425,Input!$AC$2:$AE$161,3,0),0)</f>
        <v>0</v>
      </c>
      <c r="V425" s="256">
        <f t="shared" si="108"/>
        <v>0</v>
      </c>
      <c r="W425" s="263">
        <f t="shared" si="109"/>
        <v>1.0042500000000001</v>
      </c>
      <c r="X425" s="68"/>
      <c r="Y425" s="68"/>
      <c r="Z425" s="68"/>
      <c r="AA425" s="68"/>
      <c r="AB425" s="68"/>
      <c r="AC425" s="68"/>
      <c r="AD425" s="68"/>
      <c r="AE425" s="68"/>
      <c r="AF425" s="68"/>
      <c r="AG425" s="68"/>
      <c r="AH425" s="68"/>
      <c r="AI425" s="68"/>
      <c r="AJ425" s="68">
        <v>1</v>
      </c>
      <c r="AL425" s="68">
        <v>1</v>
      </c>
      <c r="AM425" s="68"/>
      <c r="AN425" s="68"/>
      <c r="AO425" s="68"/>
      <c r="AQ425" s="68"/>
      <c r="AR425" s="68"/>
      <c r="AS425" s="68"/>
      <c r="AT425" s="68"/>
      <c r="AU425" s="68"/>
      <c r="AV425" s="68"/>
      <c r="AW425" s="68"/>
      <c r="AX425" s="68"/>
      <c r="AY425" s="68"/>
      <c r="AZ425" s="68"/>
      <c r="BB425" s="68"/>
      <c r="BC425" s="68"/>
      <c r="BJ425" s="68"/>
      <c r="BT425">
        <v>1</v>
      </c>
      <c r="BV425">
        <v>1</v>
      </c>
      <c r="BX425" s="68"/>
      <c r="BY425" s="68">
        <v>1</v>
      </c>
      <c r="BZ425" s="68">
        <v>0</v>
      </c>
      <c r="CA425" s="68">
        <v>0</v>
      </c>
      <c r="CB425" s="68">
        <v>0</v>
      </c>
      <c r="CC425" s="68">
        <f t="shared" si="110"/>
        <v>0</v>
      </c>
      <c r="CD425" s="68">
        <f t="shared" si="111"/>
        <v>0</v>
      </c>
    </row>
    <row r="426" spans="1:82" ht="15.75" customHeight="1" thickBot="1" x14ac:dyDescent="0.3">
      <c r="A426" s="9">
        <v>425</v>
      </c>
      <c r="B426" s="10" t="s">
        <v>1006</v>
      </c>
      <c r="C426" s="10" t="s">
        <v>45</v>
      </c>
      <c r="D426" s="10" t="s">
        <v>43</v>
      </c>
      <c r="E426" s="51">
        <v>-145.274362424912</v>
      </c>
      <c r="F426" s="51">
        <v>8.1865569272976693</v>
      </c>
      <c r="G426" s="51">
        <v>12.0040852400549</v>
      </c>
      <c r="H426" s="51">
        <v>0</v>
      </c>
      <c r="I426" s="11" t="s">
        <v>1057</v>
      </c>
      <c r="J426" s="51" t="s">
        <v>1057</v>
      </c>
      <c r="K426" s="249">
        <f>IFERROR(VLOOKUP(C426,Schedule!$T$3:$U$34,2,0),"FA")</f>
        <v>6</v>
      </c>
      <c r="L426" s="10" t="str">
        <f>D426&amp;COUNTIF(D$2:$D426,D426)</f>
        <v>TE99</v>
      </c>
      <c r="M426" s="51">
        <f t="array" ref="M426">IFERROR(F426-AVERAGE(VLOOKUP(D426,$D427:$F$885,3,0),INDEX($F427:$F$885,SMALL(IF(D426=$D427:$D$885,ROW($D427:$D$885)-ROW(D426)),2))),0)</f>
        <v>0.85443601176139428</v>
      </c>
      <c r="N426" s="51">
        <f>IFERROR(IF(VLOOKUP($B426,Input!$AC$2:$AC$162,1,0)=$B426,0),F426)</f>
        <v>8.1865569272976693</v>
      </c>
      <c r="O426" s="51">
        <f>IFERROR(IF(VLOOKUP($B426,Input!$AC$2:$AC$162,1,0)=$B426,0,G426),G426)</f>
        <v>12.0040852400549</v>
      </c>
      <c r="P426" s="51">
        <f>IF(N426=0,0,F426-AVERAGE(INDEX(F:F,MATCH(VLOOKUP(D426,Input!$A$14:$L$22,10,0),L:L,0)),INDEX(F:F,MATCH(VLOOKUP(D426,Input!$A$14:$L$22,11,0),L:L,0)),INDEX(F:F,MATCH(VLOOKUP(D426,Input!$A$14:$L$22,12,0),L:L,0)))+(0.01-ROW()*0.01))</f>
        <v>-149.52436242491166</v>
      </c>
      <c r="Q426" s="107">
        <f t="shared" si="106"/>
        <v>-5.1584849533535398E-2</v>
      </c>
      <c r="R426" s="11">
        <f>IF(VLOOKUP($D426,$X$14:$Y$19,2,0)&lt;=0,1,IF(Q426&lt;0,1,ROUNDUP(IF(Q426*('Draft Center'!$L$28+'Draft Center'!$L$78-'Draft Center'!$L$82)&lt;1,1,Q426*('Draft Center'!$L$28+'Draft Center'!$L$78-'Draft Center'!$L$82)),0)))</f>
        <v>1</v>
      </c>
      <c r="S426" s="11">
        <f>IF(A426&lt;Input!$B$10+0.1,IF(ROUNDUP(R426*Input!$C$10,0)=0,1,ROUNDUP(R426*Input!$C$10,0)),IF(A426&gt;Input!$B$11,IF(ROUNDUP(R426*Input!$C$11,0)=0,1,ROUNDUP(R426*Input!$C$11,0)),IF(ROUNDUP(R426,0)=0,1,ROUNDUP(R426,0))))</f>
        <v>1</v>
      </c>
      <c r="T426" s="11">
        <f t="shared" si="107"/>
        <v>1</v>
      </c>
      <c r="U426" s="11">
        <f>IFERROR(VLOOKUP($B426,Input!$AC$2:$AE$161,3,0),0)</f>
        <v>0</v>
      </c>
      <c r="V426" s="257">
        <f t="shared" si="108"/>
        <v>0</v>
      </c>
      <c r="W426" s="264">
        <f t="shared" si="109"/>
        <v>0</v>
      </c>
      <c r="X426" s="68"/>
      <c r="Y426" s="68"/>
      <c r="Z426" s="68"/>
      <c r="AA426" s="68"/>
      <c r="AB426" s="68"/>
      <c r="AC426" s="68"/>
      <c r="AD426" s="68"/>
      <c r="AE426" s="68"/>
      <c r="AF426" s="68"/>
      <c r="AG426" s="68"/>
      <c r="AH426" s="68"/>
      <c r="AI426" s="68"/>
      <c r="AJ426" s="68">
        <v>1</v>
      </c>
      <c r="AL426" s="68">
        <v>1</v>
      </c>
      <c r="AM426" s="68"/>
      <c r="AN426" s="68"/>
      <c r="AO426" s="68"/>
      <c r="AQ426" s="68"/>
      <c r="AR426" s="68"/>
      <c r="AS426" s="68"/>
      <c r="AT426" s="68"/>
      <c r="AU426" s="68"/>
      <c r="AV426" s="68"/>
      <c r="AW426" s="68"/>
      <c r="AX426" s="68"/>
      <c r="AY426" s="68"/>
      <c r="AZ426" s="68"/>
      <c r="BB426" s="68"/>
      <c r="BC426" s="68"/>
      <c r="BJ426" s="68"/>
      <c r="BT426">
        <v>1</v>
      </c>
      <c r="BV426">
        <v>1</v>
      </c>
      <c r="BX426" s="68"/>
      <c r="BY426" s="68">
        <v>1</v>
      </c>
      <c r="BZ426" s="68" t="s">
        <v>1057</v>
      </c>
      <c r="CA426" s="68" t="s">
        <v>1057</v>
      </c>
      <c r="CB426" s="68" t="s">
        <v>1057</v>
      </c>
      <c r="CC426" s="68" t="e">
        <f t="shared" si="110"/>
        <v>#DIV/0!</v>
      </c>
      <c r="CD426" s="68" t="str">
        <f t="shared" si="111"/>
        <v>NA</v>
      </c>
    </row>
    <row r="427" spans="1:82" ht="15.75" customHeight="1" thickBot="1" x14ac:dyDescent="0.3">
      <c r="A427" s="6">
        <v>426</v>
      </c>
      <c r="B427" s="7" t="s">
        <v>290</v>
      </c>
      <c r="C427" s="7" t="s">
        <v>68</v>
      </c>
      <c r="D427" s="7" t="s">
        <v>19</v>
      </c>
      <c r="E427" s="50">
        <v>-145.746345639921</v>
      </c>
      <c r="F427" s="50">
        <v>23.356052386030399</v>
      </c>
      <c r="G427" s="50">
        <v>39.616048486395997</v>
      </c>
      <c r="H427" s="50">
        <v>0</v>
      </c>
      <c r="I427" s="8">
        <v>0</v>
      </c>
      <c r="J427" s="50">
        <v>5.0539265970457796</v>
      </c>
      <c r="K427" s="248">
        <f>IFERROR(VLOOKUP(C427,Schedule!$T$3:$U$34,2,0),"FA")</f>
        <v>8</v>
      </c>
      <c r="L427" s="7" t="str">
        <f>D427&amp;COUNTIF(D$2:$D427,D427)</f>
        <v>RB117</v>
      </c>
      <c r="M427" s="50">
        <f t="array" ref="M427">IFERROR(F427-AVERAGE(VLOOKUP(D427,$D428:$F$885,3,0),INDEX($F428:$F$885,SMALL(IF(D427=$D428:$D$885,ROW($D428:$D$885)-ROW(D427)),2))),0)</f>
        <v>0.6256052353729018</v>
      </c>
      <c r="N427" s="50">
        <f>IFERROR(IF(VLOOKUP($B427,Input!$AC$2:$AC$162,1,0)=$B427,0),F427)</f>
        <v>23.356052386030399</v>
      </c>
      <c r="O427" s="50">
        <f>IFERROR(IF(VLOOKUP($B427,Input!$AC$2:$AC$162,1,0)=$B427,0,G427),G427)</f>
        <v>39.616048486395997</v>
      </c>
      <c r="P427" s="50">
        <f>IF(N427=0,0,F427-AVERAGE(INDEX(F:F,MATCH(VLOOKUP(D427,Input!$A$14:$L$22,10,0),L:L,0)),INDEX(F:F,MATCH(VLOOKUP(D427,Input!$A$14:$L$22,11,0),L:L,0)),INDEX(F:F,MATCH(VLOOKUP(D427,Input!$A$14:$L$22,12,0),L:L,0)))+(0.01-ROW()*0.01))</f>
        <v>-150.00634563992159</v>
      </c>
      <c r="Q427" s="106">
        <f t="shared" si="106"/>
        <v>-5.1751130340360191E-2</v>
      </c>
      <c r="R427" s="8">
        <f>IF(VLOOKUP($D427,$X$14:$Y$19,2,0)&lt;=0,1,IF(Q427&lt;0,1,ROUNDUP(IF(Q427*('Draft Center'!$L$28+'Draft Center'!$L$78-'Draft Center'!$L$82)&lt;1,1,Q427*('Draft Center'!$L$28+'Draft Center'!$L$78-'Draft Center'!$L$82)),0)))</f>
        <v>1</v>
      </c>
      <c r="S427" s="8">
        <f>IF(A427&lt;Input!$B$10+0.1,IF(ROUNDUP(R427*Input!$C$10,0)=0,1,ROUNDUP(R427*Input!$C$10,0)),IF(A427&gt;Input!$B$11,IF(ROUNDUP(R427*Input!$C$11,0)=0,1,ROUNDUP(R427*Input!$C$11,0)),IF(ROUNDUP(R427,0)=0,1,ROUNDUP(R427,0))))</f>
        <v>1</v>
      </c>
      <c r="T427" s="8">
        <f t="shared" si="107"/>
        <v>1</v>
      </c>
      <c r="U427" s="8">
        <f>IFERROR(VLOOKUP($B427,Input!$AC$2:$AE$161,3,0),0)</f>
        <v>0</v>
      </c>
      <c r="V427" s="256">
        <f t="shared" si="108"/>
        <v>0</v>
      </c>
      <c r="W427" s="263">
        <f t="shared" si="109"/>
        <v>1.00427</v>
      </c>
      <c r="X427" s="68"/>
      <c r="Y427" s="68"/>
      <c r="Z427" s="68"/>
      <c r="AA427" s="68"/>
      <c r="AB427" s="68"/>
      <c r="AC427" s="68"/>
      <c r="AD427" s="68"/>
      <c r="AE427" s="68"/>
      <c r="AF427" s="68"/>
      <c r="AG427" s="68"/>
      <c r="AH427" s="68"/>
      <c r="AI427" s="68"/>
      <c r="AJ427" s="68">
        <v>1</v>
      </c>
      <c r="AL427" s="68">
        <v>1</v>
      </c>
      <c r="AM427" s="68"/>
      <c r="AN427" s="68"/>
      <c r="AO427" s="68"/>
      <c r="AQ427" s="68"/>
      <c r="AR427" s="68"/>
      <c r="AS427" s="68"/>
      <c r="AT427" s="68"/>
      <c r="AU427" s="68"/>
      <c r="AV427" s="68"/>
      <c r="AW427" s="68"/>
      <c r="AX427" s="68"/>
      <c r="AY427" s="68"/>
      <c r="AZ427" s="68"/>
      <c r="BB427" s="68"/>
      <c r="BC427" s="68"/>
      <c r="BJ427" s="68"/>
      <c r="BT427">
        <v>1</v>
      </c>
      <c r="BV427">
        <v>1</v>
      </c>
      <c r="BX427" s="68"/>
      <c r="BY427" s="68">
        <v>1</v>
      </c>
      <c r="BZ427" s="68">
        <v>0</v>
      </c>
      <c r="CA427" s="68">
        <v>0</v>
      </c>
      <c r="CB427" s="68">
        <v>0</v>
      </c>
      <c r="CC427" s="68">
        <f t="shared" si="110"/>
        <v>0</v>
      </c>
      <c r="CD427" s="68">
        <f t="shared" si="111"/>
        <v>0</v>
      </c>
    </row>
    <row r="428" spans="1:82" ht="15.75" customHeight="1" thickBot="1" x14ac:dyDescent="0.3">
      <c r="A428" s="9">
        <v>427</v>
      </c>
      <c r="B428" s="10" t="s">
        <v>772</v>
      </c>
      <c r="C428" s="10" t="s">
        <v>66</v>
      </c>
      <c r="D428" s="10" t="s">
        <v>17</v>
      </c>
      <c r="E428" s="51">
        <v>-145.79952535238601</v>
      </c>
      <c r="F428" s="51">
        <v>66.978390916962795</v>
      </c>
      <c r="G428" s="51">
        <v>88.353059875500904</v>
      </c>
      <c r="H428" s="51">
        <v>51.493428892636302</v>
      </c>
      <c r="I428" s="11">
        <v>0</v>
      </c>
      <c r="J428" s="51">
        <v>5.9893190965477396</v>
      </c>
      <c r="K428" s="249">
        <f>IFERROR(VLOOKUP(C428,Schedule!$T$3:$U$34,2,0),"FA")</f>
        <v>7</v>
      </c>
      <c r="L428" s="10" t="str">
        <f>D428&amp;COUNTIF(D$2:$D428,D428)</f>
        <v>WR107</v>
      </c>
      <c r="M428" s="51">
        <f t="array" ref="M428">IFERROR(F428-AVERAGE(VLOOKUP(D428,$D429:$F$885,3,0),INDEX($F429:$F$885,SMALL(IF(D428=$D429:$D$885,ROW($D429:$D$885)-ROW(D428)),2))),0)</f>
        <v>1.2396340926910483</v>
      </c>
      <c r="N428" s="51">
        <f>IFERROR(IF(VLOOKUP($B428,Input!$AC$2:$AC$162,1,0)=$B428,0),F428)</f>
        <v>66.978390916962795</v>
      </c>
      <c r="O428" s="51">
        <f>IFERROR(IF(VLOOKUP($B428,Input!$AC$2:$AC$162,1,0)=$B428,0,G428),G428)</f>
        <v>88.353059875500904</v>
      </c>
      <c r="P428" s="51">
        <f>IF(N428=0,0,F428-AVERAGE(INDEX(F:F,MATCH(VLOOKUP(D428,Input!$A$14:$L$22,10,0),L:L,0)),INDEX(F:F,MATCH(VLOOKUP(D428,Input!$A$14:$L$22,11,0),L:L,0)),INDEX(F:F,MATCH(VLOOKUP(D428,Input!$A$14:$L$22,12,0),L:L,0)))+(0.01-ROW()*0.01))</f>
        <v>-150.06952535238625</v>
      </c>
      <c r="Q428" s="107">
        <f t="shared" si="106"/>
        <v>-5.1772926895170435E-2</v>
      </c>
      <c r="R428" s="11">
        <f>IF(VLOOKUP($D428,$X$14:$Y$19,2,0)&lt;=0,1,IF(Q428&lt;0,1,ROUNDUP(IF(Q428*('Draft Center'!$L$28+'Draft Center'!$L$78-'Draft Center'!$L$82)&lt;1,1,Q428*('Draft Center'!$L$28+'Draft Center'!$L$78-'Draft Center'!$L$82)),0)))</f>
        <v>1</v>
      </c>
      <c r="S428" s="11">
        <f>IF(A428&lt;Input!$B$10+0.1,IF(ROUNDUP(R428*Input!$C$10,0)=0,1,ROUNDUP(R428*Input!$C$10,0)),IF(A428&gt;Input!$B$11,IF(ROUNDUP(R428*Input!$C$11,0)=0,1,ROUNDUP(R428*Input!$C$11,0)),IF(ROUNDUP(R428,0)=0,1,ROUNDUP(R428,0))))</f>
        <v>1</v>
      </c>
      <c r="T428" s="11">
        <f t="shared" si="107"/>
        <v>1</v>
      </c>
      <c r="U428" s="11">
        <f>IFERROR(VLOOKUP($B428,Input!$AC$2:$AE$161,3,0),0)</f>
        <v>0</v>
      </c>
      <c r="V428" s="257">
        <f t="shared" si="108"/>
        <v>0</v>
      </c>
      <c r="W428" s="264">
        <f t="shared" si="109"/>
        <v>1.0042800000000001</v>
      </c>
      <c r="X428" s="68"/>
      <c r="Y428" s="68"/>
      <c r="Z428" s="68"/>
      <c r="AA428" s="68"/>
      <c r="AB428" s="68"/>
      <c r="AC428" s="68"/>
      <c r="AD428" s="68"/>
      <c r="AE428" s="68"/>
      <c r="AF428" s="68"/>
      <c r="AG428" s="68"/>
      <c r="AH428" s="68"/>
      <c r="AI428" s="68"/>
      <c r="AJ428" s="68">
        <v>1</v>
      </c>
      <c r="AL428" s="68">
        <v>1</v>
      </c>
      <c r="AM428" s="68"/>
      <c r="AN428" s="68"/>
      <c r="AO428" s="68"/>
      <c r="AQ428" s="68"/>
      <c r="AR428" s="68"/>
      <c r="AS428" s="68"/>
      <c r="AT428" s="68"/>
      <c r="AU428" s="68"/>
      <c r="AV428" s="68"/>
      <c r="AW428" s="68"/>
      <c r="AX428" s="68"/>
      <c r="AY428" s="68"/>
      <c r="AZ428" s="68"/>
      <c r="BB428" s="68"/>
      <c r="BC428" s="68"/>
      <c r="BJ428" s="68"/>
      <c r="BT428">
        <v>1</v>
      </c>
      <c r="BV428">
        <v>1</v>
      </c>
      <c r="BX428" s="68"/>
      <c r="BY428" s="68">
        <v>1</v>
      </c>
      <c r="BZ428" s="68">
        <v>0</v>
      </c>
      <c r="CA428" s="68">
        <v>0</v>
      </c>
      <c r="CB428" s="68">
        <v>0</v>
      </c>
      <c r="CC428" s="68">
        <f t="shared" si="110"/>
        <v>0</v>
      </c>
      <c r="CD428" s="68">
        <f t="shared" si="111"/>
        <v>0</v>
      </c>
    </row>
    <row r="429" spans="1:82" ht="15.75" customHeight="1" thickBot="1" x14ac:dyDescent="0.3">
      <c r="A429" s="6">
        <v>428</v>
      </c>
      <c r="B429" s="7" t="s">
        <v>344</v>
      </c>
      <c r="C429" s="7" t="s">
        <v>93</v>
      </c>
      <c r="D429" s="7" t="s">
        <v>53</v>
      </c>
      <c r="E429" s="50">
        <v>-145.9643871689</v>
      </c>
      <c r="F429" s="50">
        <v>126.38325646393599</v>
      </c>
      <c r="G429" s="50">
        <v>169.11588474169699</v>
      </c>
      <c r="H429" s="50">
        <v>27.389170515549701</v>
      </c>
      <c r="I429" s="8">
        <v>0</v>
      </c>
      <c r="J429" s="50">
        <v>7.6057598064344099</v>
      </c>
      <c r="K429" s="248">
        <f>IFERROR(VLOOKUP(C429,Schedule!$T$3:$U$34,2,0),"FA")</f>
        <v>11</v>
      </c>
      <c r="L429" s="7" t="str">
        <f>D429&amp;COUNTIF(D$2:$D429,D429)</f>
        <v>QB32</v>
      </c>
      <c r="M429" s="50">
        <f t="array" ref="M429">IFERROR(F429-AVERAGE(VLOOKUP(D429,$D430:$F$885,3,0),INDEX($F430:$F$885,SMALL(IF(D429=$D430:$D$885,ROW($D430:$D$885)-ROW(D429)),2))),0)</f>
        <v>37.546159441153947</v>
      </c>
      <c r="N429" s="50">
        <f>IFERROR(IF(VLOOKUP($B429,Input!$AC$2:$AC$162,1,0)=$B429,0),F429)</f>
        <v>126.38325646393599</v>
      </c>
      <c r="O429" s="50">
        <f>IFERROR(IF(VLOOKUP($B429,Input!$AC$2:$AC$162,1,0)=$B429,0,G429),G429)</f>
        <v>169.11588474169699</v>
      </c>
      <c r="P429" s="50">
        <f>IF(N429=0,0,F429-AVERAGE(INDEX(F:F,MATCH(VLOOKUP(D429,Input!$A$14:$L$22,10,0),L:L,0)),INDEX(F:F,MATCH(VLOOKUP(D429,Input!$A$14:$L$22,11,0),L:L,0)),INDEX(F:F,MATCH(VLOOKUP(D429,Input!$A$14:$L$22,12,0),L:L,0)))+(0.01-ROW()*0.01))</f>
        <v>-150.24438716889964</v>
      </c>
      <c r="Q429" s="106">
        <f t="shared" si="106"/>
        <v>-5.1833252987505615E-2</v>
      </c>
      <c r="R429" s="8">
        <f>IF(VLOOKUP($D429,$X$14:$Y$19,2,0)&lt;=0,1,IF(Q429&lt;0,1,ROUNDUP(IF(Q429*('Draft Center'!$L$28+'Draft Center'!$L$78-'Draft Center'!$L$82)&lt;1,1,Q429*('Draft Center'!$L$28+'Draft Center'!$L$78-'Draft Center'!$L$82)),0)))</f>
        <v>1</v>
      </c>
      <c r="S429" s="8">
        <f>IF(A429&lt;Input!$B$10+0.1,IF(ROUNDUP(R429*Input!$C$10,0)=0,1,ROUNDUP(R429*Input!$C$10,0)),IF(A429&gt;Input!$B$11,IF(ROUNDUP(R429*Input!$C$11,0)=0,1,ROUNDUP(R429*Input!$C$11,0)),IF(ROUNDUP(R429,0)=0,1,ROUNDUP(R429,0))))</f>
        <v>1</v>
      </c>
      <c r="T429" s="8">
        <f t="shared" si="107"/>
        <v>1</v>
      </c>
      <c r="U429" s="8">
        <f>IFERROR(VLOOKUP($B429,Input!$AC$2:$AE$161,3,0),0)</f>
        <v>0</v>
      </c>
      <c r="V429" s="256">
        <f t="shared" si="108"/>
        <v>0</v>
      </c>
      <c r="W429" s="263">
        <f t="shared" si="109"/>
        <v>1.0042899999999999</v>
      </c>
      <c r="X429" s="68"/>
      <c r="Y429" s="68"/>
      <c r="Z429" s="68"/>
      <c r="AA429" s="68"/>
      <c r="AB429" s="68"/>
      <c r="AC429" s="68"/>
      <c r="AD429" s="68"/>
      <c r="AE429" s="68"/>
      <c r="AF429" s="68"/>
      <c r="AG429" s="68"/>
      <c r="AH429" s="68"/>
      <c r="AI429" s="68"/>
      <c r="AJ429" s="68">
        <v>1</v>
      </c>
      <c r="AL429" s="68">
        <v>1</v>
      </c>
      <c r="AM429" s="68"/>
      <c r="AN429" s="68"/>
      <c r="AO429" s="68"/>
      <c r="AQ429" s="68"/>
      <c r="AR429" s="68"/>
      <c r="AS429" s="68"/>
      <c r="AT429" s="68"/>
      <c r="AU429" s="68"/>
      <c r="AV429" s="68"/>
      <c r="AW429" s="68"/>
      <c r="AX429" s="68"/>
      <c r="AY429" s="68"/>
      <c r="AZ429" s="68"/>
      <c r="BB429" s="68"/>
      <c r="BC429" s="68"/>
      <c r="BJ429" s="68"/>
      <c r="BT429">
        <v>1</v>
      </c>
      <c r="BV429">
        <v>1</v>
      </c>
      <c r="BX429" s="68"/>
      <c r="BY429" s="68">
        <v>1</v>
      </c>
      <c r="BZ429" s="68">
        <v>0</v>
      </c>
      <c r="CA429" s="68">
        <v>0</v>
      </c>
      <c r="CB429" s="68">
        <v>0</v>
      </c>
      <c r="CC429" s="68">
        <f t="shared" si="110"/>
        <v>0</v>
      </c>
      <c r="CD429" s="68">
        <f t="shared" si="111"/>
        <v>0</v>
      </c>
    </row>
    <row r="430" spans="1:82" ht="15.75" customHeight="1" thickBot="1" x14ac:dyDescent="0.3">
      <c r="A430" s="9">
        <v>429</v>
      </c>
      <c r="B430" s="10" t="s">
        <v>884</v>
      </c>
      <c r="C430" s="10" t="s">
        <v>36</v>
      </c>
      <c r="D430" s="10" t="s">
        <v>19</v>
      </c>
      <c r="E430" s="51">
        <v>-146.075266568948</v>
      </c>
      <c r="F430" s="51">
        <v>23.027131457004199</v>
      </c>
      <c r="G430" s="51">
        <v>43.395615126719498</v>
      </c>
      <c r="H430" s="51">
        <v>-0.21156041544189699</v>
      </c>
      <c r="I430" s="11">
        <v>0</v>
      </c>
      <c r="J430" s="51">
        <v>6.07094135132132</v>
      </c>
      <c r="K430" s="249">
        <f>IFERROR(VLOOKUP(C430,Schedule!$T$3:$U$34,2,0),"FA")</f>
        <v>7</v>
      </c>
      <c r="L430" s="10" t="str">
        <f>D430&amp;COUNTIF(D$2:$D430,D430)</f>
        <v>RB118</v>
      </c>
      <c r="M430" s="51">
        <f t="array" ref="M430">IFERROR(F430-AVERAGE(VLOOKUP(D430,$D431:$F$885,3,0),INDEX($F431:$F$885,SMALL(IF(D430=$D431:$D$885,ROW($D431:$D$885)-ROW(D430)),2))),0)</f>
        <v>0.73131900396360194</v>
      </c>
      <c r="N430" s="51">
        <f>IFERROR(IF(VLOOKUP($B430,Input!$AC$2:$AC$162,1,0)=$B430,0),F430)</f>
        <v>23.027131457004199</v>
      </c>
      <c r="O430" s="51">
        <f>IFERROR(IF(VLOOKUP($B430,Input!$AC$2:$AC$162,1,0)=$B430,0,G430),G430)</f>
        <v>43.395615126719498</v>
      </c>
      <c r="P430" s="51">
        <f>IF(N430=0,0,F430-AVERAGE(INDEX(F:F,MATCH(VLOOKUP(D430,Input!$A$14:$L$22,10,0),L:L,0)),INDEX(F:F,MATCH(VLOOKUP(D430,Input!$A$14:$L$22,11,0),L:L,0)),INDEX(F:F,MATCH(VLOOKUP(D430,Input!$A$14:$L$22,12,0),L:L,0)))+(0.01-ROW()*0.01))</f>
        <v>-150.36526656894779</v>
      </c>
      <c r="Q430" s="107">
        <f t="shared" si="106"/>
        <v>-5.1874955527225985E-2</v>
      </c>
      <c r="R430" s="11">
        <f>IF(VLOOKUP($D430,$X$14:$Y$19,2,0)&lt;=0,1,IF(Q430&lt;0,1,ROUNDUP(IF(Q430*('Draft Center'!$L$28+'Draft Center'!$L$78-'Draft Center'!$L$82)&lt;1,1,Q430*('Draft Center'!$L$28+'Draft Center'!$L$78-'Draft Center'!$L$82)),0)))</f>
        <v>1</v>
      </c>
      <c r="S430" s="11">
        <f>IF(A430&lt;Input!$B$10+0.1,IF(ROUNDUP(R430*Input!$C$10,0)=0,1,ROUNDUP(R430*Input!$C$10,0)),IF(A430&gt;Input!$B$11,IF(ROUNDUP(R430*Input!$C$11,0)=0,1,ROUNDUP(R430*Input!$C$11,0)),IF(ROUNDUP(R430,0)=0,1,ROUNDUP(R430,0))))</f>
        <v>1</v>
      </c>
      <c r="T430" s="11">
        <f t="shared" si="107"/>
        <v>1</v>
      </c>
      <c r="U430" s="11">
        <f>IFERROR(VLOOKUP($B430,Input!$AC$2:$AE$161,3,0),0)</f>
        <v>0</v>
      </c>
      <c r="V430" s="257">
        <f t="shared" si="108"/>
        <v>0</v>
      </c>
      <c r="W430" s="264">
        <f t="shared" si="109"/>
        <v>1.0043</v>
      </c>
      <c r="X430" s="68"/>
      <c r="Y430" s="68"/>
      <c r="Z430" s="68"/>
      <c r="AA430" s="68"/>
      <c r="AB430" s="68"/>
      <c r="AC430" s="68"/>
      <c r="AD430" s="68"/>
      <c r="AE430" s="68"/>
      <c r="AF430" s="68"/>
      <c r="AG430" s="68"/>
      <c r="AH430" s="68"/>
      <c r="AI430" s="68"/>
      <c r="AJ430" s="68">
        <v>1</v>
      </c>
      <c r="AL430" s="68">
        <v>1</v>
      </c>
      <c r="AM430" s="68"/>
      <c r="AN430" s="68"/>
      <c r="AO430" s="68"/>
      <c r="AQ430" s="68"/>
      <c r="AR430" s="68"/>
      <c r="AS430" s="68"/>
      <c r="AT430" s="68"/>
      <c r="AU430" s="68"/>
      <c r="AV430" s="68"/>
      <c r="AW430" s="68"/>
      <c r="AX430" s="68"/>
      <c r="AY430" s="68"/>
      <c r="AZ430" s="68"/>
      <c r="BB430" s="68"/>
      <c r="BC430" s="68"/>
      <c r="BJ430" s="68"/>
      <c r="BT430">
        <v>1</v>
      </c>
      <c r="BV430">
        <v>1</v>
      </c>
      <c r="BX430" s="68"/>
      <c r="BY430" s="68">
        <v>1</v>
      </c>
      <c r="BZ430" s="68">
        <v>0</v>
      </c>
      <c r="CA430" s="68">
        <v>0</v>
      </c>
      <c r="CB430" s="68">
        <v>0</v>
      </c>
      <c r="CC430" s="68">
        <f t="shared" si="110"/>
        <v>0</v>
      </c>
      <c r="CD430" s="68">
        <f t="shared" si="111"/>
        <v>0</v>
      </c>
    </row>
    <row r="431" spans="1:82" ht="15.75" customHeight="1" thickBot="1" x14ac:dyDescent="0.3">
      <c r="A431" s="6">
        <v>430</v>
      </c>
      <c r="B431" s="7" t="s">
        <v>1065</v>
      </c>
      <c r="C431" s="7" t="s">
        <v>16</v>
      </c>
      <c r="D431" s="7" t="s">
        <v>43</v>
      </c>
      <c r="E431" s="50">
        <v>-146.12597375395501</v>
      </c>
      <c r="F431" s="50">
        <v>7.3349455982541203</v>
      </c>
      <c r="G431" s="50">
        <v>11.368164057839699</v>
      </c>
      <c r="H431" s="50">
        <v>0</v>
      </c>
      <c r="I431" s="8">
        <v>0</v>
      </c>
      <c r="J431" s="50">
        <v>5.3205682704626396</v>
      </c>
      <c r="K431" s="248">
        <f>IFERROR(VLOOKUP(C431,Schedule!$T$3:$U$34,2,0),"FA")</f>
        <v>9</v>
      </c>
      <c r="L431" s="7" t="str">
        <f>D431&amp;COUNTIF(D$2:$D431,D431)</f>
        <v>TE100</v>
      </c>
      <c r="M431" s="50">
        <f t="array" ref="M431">IFERROR(F431-AVERAGE(VLOOKUP(D431,$D432:$F$885,3,0),INDEX($F432:$F$885,SMALL(IF(D431=$D432:$D$885,ROW($D432:$D$885)-ROW(D431)),2))),0)</f>
        <v>0.12357318569997044</v>
      </c>
      <c r="N431" s="50">
        <f>IFERROR(IF(VLOOKUP($B431,Input!$AC$2:$AC$162,1,0)=$B431,0),F431)</f>
        <v>7.3349455982541203</v>
      </c>
      <c r="O431" s="50">
        <f>IFERROR(IF(VLOOKUP($B431,Input!$AC$2:$AC$162,1,0)=$B431,0,G431),G431)</f>
        <v>11.368164057839699</v>
      </c>
      <c r="P431" s="50">
        <f>IF(N431=0,0,F431-AVERAGE(INDEX(F:F,MATCH(VLOOKUP(D431,Input!$A$14:$L$22,10,0),L:L,0)),INDEX(F:F,MATCH(VLOOKUP(D431,Input!$A$14:$L$22,11,0),L:L,0)),INDEX(F:F,MATCH(VLOOKUP(D431,Input!$A$14:$L$22,12,0),L:L,0)))+(0.01-ROW()*0.01))</f>
        <v>-150.42597375395522</v>
      </c>
      <c r="Q431" s="106">
        <f t="shared" si="106"/>
        <v>-5.1895899077517231E-2</v>
      </c>
      <c r="R431" s="8">
        <f>IF(VLOOKUP($D431,$X$14:$Y$19,2,0)&lt;=0,1,IF(Q431&lt;0,1,ROUNDUP(IF(Q431*('Draft Center'!$L$28+'Draft Center'!$L$78-'Draft Center'!$L$82)&lt;1,1,Q431*('Draft Center'!$L$28+'Draft Center'!$L$78-'Draft Center'!$L$82)),0)))</f>
        <v>1</v>
      </c>
      <c r="S431" s="8">
        <f>IF(A431&lt;Input!$B$10+0.1,IF(ROUNDUP(R431*Input!$C$10,0)=0,1,ROUNDUP(R431*Input!$C$10,0)),IF(A431&gt;Input!$B$11,IF(ROUNDUP(R431*Input!$C$11,0)=0,1,ROUNDUP(R431*Input!$C$11,0)),IF(ROUNDUP(R431,0)=0,1,ROUNDUP(R431,0))))</f>
        <v>1</v>
      </c>
      <c r="T431" s="8">
        <f t="shared" si="107"/>
        <v>1</v>
      </c>
      <c r="U431" s="8">
        <f>IFERROR(VLOOKUP($B431,Input!$AC$2:$AE$161,3,0),0)</f>
        <v>0</v>
      </c>
      <c r="V431" s="256">
        <f t="shared" si="108"/>
        <v>0</v>
      </c>
      <c r="W431" s="263">
        <f t="shared" si="109"/>
        <v>1.00431</v>
      </c>
      <c r="X431" s="68"/>
      <c r="Y431" s="68"/>
      <c r="Z431" s="68"/>
      <c r="AA431" s="68"/>
      <c r="AB431" s="68"/>
      <c r="AC431" s="68"/>
      <c r="AD431" s="68"/>
      <c r="AE431" s="68"/>
      <c r="AF431" s="68"/>
      <c r="AG431" s="68"/>
      <c r="AH431" s="68"/>
      <c r="AI431" s="68"/>
      <c r="AJ431" s="68">
        <v>1</v>
      </c>
      <c r="AL431" s="68">
        <v>1</v>
      </c>
      <c r="AM431" s="68"/>
      <c r="AN431" s="68"/>
      <c r="AO431" s="68"/>
      <c r="AQ431" s="68"/>
      <c r="AR431" s="68"/>
      <c r="AS431" s="68"/>
      <c r="AT431" s="68"/>
      <c r="AU431" s="68"/>
      <c r="AV431" s="68"/>
      <c r="AW431" s="68"/>
      <c r="AX431" s="68"/>
      <c r="AY431" s="68"/>
      <c r="AZ431" s="68"/>
      <c r="BB431" s="68"/>
      <c r="BC431" s="68"/>
      <c r="BJ431" s="68"/>
      <c r="BT431">
        <v>1</v>
      </c>
      <c r="BV431">
        <v>1</v>
      </c>
      <c r="BX431" s="68"/>
      <c r="BY431" s="68">
        <v>1</v>
      </c>
      <c r="BZ431" s="68">
        <v>0</v>
      </c>
      <c r="CA431" s="68">
        <v>0</v>
      </c>
      <c r="CB431" s="68">
        <v>0</v>
      </c>
      <c r="CC431" s="68">
        <f t="shared" si="110"/>
        <v>0</v>
      </c>
      <c r="CD431" s="68">
        <f t="shared" si="111"/>
        <v>0</v>
      </c>
    </row>
    <row r="432" spans="1:82" ht="15.75" customHeight="1" thickBot="1" x14ac:dyDescent="0.3">
      <c r="A432" s="9">
        <v>431</v>
      </c>
      <c r="B432" s="10" t="s">
        <v>453</v>
      </c>
      <c r="C432" s="10" t="s">
        <v>57</v>
      </c>
      <c r="D432" s="10" t="s">
        <v>43</v>
      </c>
      <c r="E432" s="51">
        <v>-146.13162311939101</v>
      </c>
      <c r="F432" s="51">
        <v>7.3292962328184297</v>
      </c>
      <c r="G432" s="51">
        <v>11.467352394711501</v>
      </c>
      <c r="H432" s="51">
        <v>0</v>
      </c>
      <c r="I432" s="11">
        <v>0</v>
      </c>
      <c r="J432" s="51" t="s">
        <v>1057</v>
      </c>
      <c r="K432" s="249">
        <f>IFERROR(VLOOKUP(C432,Schedule!$T$3:$U$34,2,0),"FA")</f>
        <v>11</v>
      </c>
      <c r="L432" s="10" t="str">
        <f>D432&amp;COUNTIF(D$2:$D432,D432)</f>
        <v>TE101</v>
      </c>
      <c r="M432" s="51">
        <f t="array" ref="M432">IFERROR(F432-AVERAGE(VLOOKUP(D432,$D433:$F$885,3,0),INDEX($F433:$F$885,SMALL(IF(D432=$D433:$D$885,ROW($D433:$D$885)-ROW(D432)),2))),0)</f>
        <v>0.37974614792177963</v>
      </c>
      <c r="N432" s="51">
        <f>IFERROR(IF(VLOOKUP($B432,Input!$AC$2:$AC$162,1,0)=$B432,0),F432)</f>
        <v>7.3292962328184297</v>
      </c>
      <c r="O432" s="51">
        <f>IFERROR(IF(VLOOKUP($B432,Input!$AC$2:$AC$162,1,0)=$B432,0,G432),G432)</f>
        <v>11.467352394711501</v>
      </c>
      <c r="P432" s="51">
        <f>IF(N432=0,0,F432-AVERAGE(INDEX(F:F,MATCH(VLOOKUP(D432,Input!$A$14:$L$22,10,0),L:L,0)),INDEX(F:F,MATCH(VLOOKUP(D432,Input!$A$14:$L$22,11,0),L:L,0)),INDEX(F:F,MATCH(VLOOKUP(D432,Input!$A$14:$L$22,12,0),L:L,0)))+(0.01-ROW()*0.01))</f>
        <v>-150.4416231193909</v>
      </c>
      <c r="Q432" s="107">
        <f t="shared" si="106"/>
        <v>-5.1901297998122563E-2</v>
      </c>
      <c r="R432" s="11">
        <f>IF(VLOOKUP($D432,$X$14:$Y$19,2,0)&lt;=0,1,IF(Q432&lt;0,1,ROUNDUP(IF(Q432*('Draft Center'!$L$28+'Draft Center'!$L$78-'Draft Center'!$L$82)&lt;1,1,Q432*('Draft Center'!$L$28+'Draft Center'!$L$78-'Draft Center'!$L$82)),0)))</f>
        <v>1</v>
      </c>
      <c r="S432" s="11">
        <f>IF(A432&lt;Input!$B$10+0.1,IF(ROUNDUP(R432*Input!$C$10,0)=0,1,ROUNDUP(R432*Input!$C$10,0)),IF(A432&gt;Input!$B$11,IF(ROUNDUP(R432*Input!$C$11,0)=0,1,ROUNDUP(R432*Input!$C$11,0)),IF(ROUNDUP(R432,0)=0,1,ROUNDUP(R432,0))))</f>
        <v>1</v>
      </c>
      <c r="T432" s="11">
        <f t="shared" si="107"/>
        <v>1</v>
      </c>
      <c r="U432" s="11">
        <f>IFERROR(VLOOKUP($B432,Input!$AC$2:$AE$161,3,0),0)</f>
        <v>0</v>
      </c>
      <c r="V432" s="257">
        <f t="shared" si="108"/>
        <v>0</v>
      </c>
      <c r="W432" s="264">
        <f t="shared" si="109"/>
        <v>1.0043200000000001</v>
      </c>
      <c r="X432" s="68"/>
      <c r="Y432" s="68"/>
      <c r="Z432" s="68"/>
      <c r="AA432" s="68"/>
      <c r="AB432" s="68"/>
      <c r="AC432" s="68"/>
      <c r="AD432" s="68"/>
      <c r="AE432" s="68"/>
      <c r="AF432" s="68"/>
      <c r="AG432" s="68"/>
      <c r="AH432" s="68"/>
      <c r="AI432" s="68"/>
      <c r="AJ432" s="68">
        <v>1</v>
      </c>
      <c r="AL432" s="68">
        <v>1</v>
      </c>
      <c r="AM432" s="68"/>
      <c r="AN432" s="68"/>
      <c r="AO432" s="68"/>
      <c r="AQ432" s="68"/>
      <c r="AR432" s="68"/>
      <c r="AS432" s="68"/>
      <c r="AT432" s="68"/>
      <c r="AU432" s="68"/>
      <c r="AV432" s="68"/>
      <c r="AW432" s="68"/>
      <c r="AX432" s="68"/>
      <c r="AY432" s="68"/>
      <c r="AZ432" s="68"/>
      <c r="BB432" s="68"/>
      <c r="BC432" s="68"/>
      <c r="BJ432" s="68"/>
      <c r="BT432">
        <v>1</v>
      </c>
      <c r="BV432">
        <v>1</v>
      </c>
      <c r="BX432" s="68"/>
      <c r="BY432" s="68">
        <v>1</v>
      </c>
      <c r="BZ432" s="68">
        <v>0</v>
      </c>
      <c r="CA432" s="68">
        <v>0</v>
      </c>
      <c r="CB432" s="68">
        <v>0</v>
      </c>
      <c r="CC432" s="68">
        <f t="shared" si="110"/>
        <v>0</v>
      </c>
      <c r="CD432" s="68">
        <f t="shared" si="111"/>
        <v>0</v>
      </c>
    </row>
    <row r="433" spans="1:82" ht="15.75" customHeight="1" thickBot="1" x14ac:dyDescent="0.3">
      <c r="A433" s="6">
        <v>432</v>
      </c>
      <c r="B433" s="7" t="s">
        <v>471</v>
      </c>
      <c r="C433" s="7" t="s">
        <v>35</v>
      </c>
      <c r="D433" s="7" t="s">
        <v>43</v>
      </c>
      <c r="E433" s="50">
        <v>-146.367470759919</v>
      </c>
      <c r="F433" s="50">
        <v>7.09344859228987</v>
      </c>
      <c r="G433" s="50">
        <v>12.3893016766168</v>
      </c>
      <c r="H433" s="50">
        <v>0</v>
      </c>
      <c r="I433" s="8">
        <v>0</v>
      </c>
      <c r="J433" s="50">
        <v>4.9936761949681099</v>
      </c>
      <c r="K433" s="248">
        <f>IFERROR(VLOOKUP(C433,Schedule!$T$3:$U$34,2,0),"FA")</f>
        <v>6</v>
      </c>
      <c r="L433" s="7" t="str">
        <f>D433&amp;COUNTIF(D$2:$D433,D433)</f>
        <v>TE102</v>
      </c>
      <c r="M433" s="50">
        <f t="array" ref="M433">IFERROR(F433-AVERAGE(VLOOKUP(D433,$D434:$F$885,3,0),INDEX($F434:$F$885,SMALL(IF(D433=$D434:$D$885,ROW($D434:$D$885)-ROW(D433)),2))),0)</f>
        <v>0.34062280353815488</v>
      </c>
      <c r="N433" s="50">
        <f>IFERROR(IF(VLOOKUP($B433,Input!$AC$2:$AC$162,1,0)=$B433,0),F433)</f>
        <v>7.09344859228987</v>
      </c>
      <c r="O433" s="50">
        <f>IFERROR(IF(VLOOKUP($B433,Input!$AC$2:$AC$162,1,0)=$B433,0,G433),G433)</f>
        <v>12.3893016766168</v>
      </c>
      <c r="P433" s="50">
        <f>IF(N433=0,0,F433-AVERAGE(INDEX(F:F,MATCH(VLOOKUP(D433,Input!$A$14:$L$22,10,0),L:L,0)),INDEX(F:F,MATCH(VLOOKUP(D433,Input!$A$14:$L$22,11,0),L:L,0)),INDEX(F:F,MATCH(VLOOKUP(D433,Input!$A$14:$L$22,12,0),L:L,0)))+(0.01-ROW()*0.01))</f>
        <v>-150.68747075991945</v>
      </c>
      <c r="Q433" s="106">
        <f t="shared" si="106"/>
        <v>-5.1986113698649014E-2</v>
      </c>
      <c r="R433" s="8">
        <f>IF(VLOOKUP($D433,$X$14:$Y$19,2,0)&lt;=0,1,IF(Q433&lt;0,1,ROUNDUP(IF(Q433*('Draft Center'!$L$28+'Draft Center'!$L$78-'Draft Center'!$L$82)&lt;1,1,Q433*('Draft Center'!$L$28+'Draft Center'!$L$78-'Draft Center'!$L$82)),0)))</f>
        <v>1</v>
      </c>
      <c r="S433" s="8">
        <f>IF(A433&lt;Input!$B$10+0.1,IF(ROUNDUP(R433*Input!$C$10,0)=0,1,ROUNDUP(R433*Input!$C$10,0)),IF(A433&gt;Input!$B$11,IF(ROUNDUP(R433*Input!$C$11,0)=0,1,ROUNDUP(R433*Input!$C$11,0)),IF(ROUNDUP(R433,0)=0,1,ROUNDUP(R433,0))))</f>
        <v>1</v>
      </c>
      <c r="T433" s="8">
        <f t="shared" si="107"/>
        <v>1</v>
      </c>
      <c r="U433" s="8">
        <f>IFERROR(VLOOKUP($B433,Input!$AC$2:$AE$161,3,0),0)</f>
        <v>0</v>
      </c>
      <c r="V433" s="256">
        <f t="shared" si="108"/>
        <v>0</v>
      </c>
      <c r="W433" s="263">
        <f t="shared" si="109"/>
        <v>1.0043299999999999</v>
      </c>
      <c r="X433" s="68"/>
      <c r="Y433" s="68"/>
      <c r="Z433" s="68"/>
      <c r="AA433" s="68"/>
      <c r="AB433" s="68"/>
      <c r="AC433" s="68"/>
      <c r="AD433" s="68"/>
      <c r="AE433" s="68"/>
      <c r="AF433" s="68"/>
      <c r="AG433" s="68"/>
      <c r="AH433" s="68"/>
      <c r="AI433" s="68"/>
      <c r="AJ433" s="68">
        <v>1</v>
      </c>
      <c r="AL433" s="68">
        <v>1</v>
      </c>
      <c r="AM433" s="68"/>
      <c r="AN433" s="68"/>
      <c r="AO433" s="68"/>
      <c r="AQ433" s="68"/>
      <c r="AR433" s="68"/>
      <c r="AS433" s="68"/>
      <c r="AT433" s="68"/>
      <c r="AU433" s="68"/>
      <c r="AV433" s="68"/>
      <c r="AW433" s="68"/>
      <c r="AX433" s="68"/>
      <c r="AY433" s="68"/>
      <c r="AZ433" s="68"/>
      <c r="BB433" s="68"/>
      <c r="BC433" s="68"/>
      <c r="BJ433" s="68"/>
      <c r="BT433">
        <v>1</v>
      </c>
      <c r="BV433">
        <v>1</v>
      </c>
      <c r="BX433" s="68"/>
      <c r="BY433" s="68">
        <v>1</v>
      </c>
      <c r="BZ433" s="68">
        <v>0</v>
      </c>
      <c r="CA433" s="68">
        <v>0</v>
      </c>
      <c r="CB433" s="68">
        <v>0</v>
      </c>
      <c r="CC433" s="68">
        <f t="shared" si="110"/>
        <v>0</v>
      </c>
      <c r="CD433" s="68">
        <f t="shared" si="111"/>
        <v>0</v>
      </c>
    </row>
    <row r="434" spans="1:82" ht="15.75" customHeight="1" thickBot="1" x14ac:dyDescent="0.3">
      <c r="A434" s="9">
        <v>433</v>
      </c>
      <c r="B434" s="10" t="s">
        <v>823</v>
      </c>
      <c r="C434" s="10" t="s">
        <v>117</v>
      </c>
      <c r="D434" s="10" t="s">
        <v>17</v>
      </c>
      <c r="E434" s="51">
        <v>-146.480643485136</v>
      </c>
      <c r="F434" s="51">
        <v>66.297272784213604</v>
      </c>
      <c r="G434" s="51">
        <v>108.250548857223</v>
      </c>
      <c r="H434" s="51">
        <v>7.27566564765824</v>
      </c>
      <c r="I434" s="11">
        <v>0</v>
      </c>
      <c r="J434" s="51">
        <v>8.2062558094968097</v>
      </c>
      <c r="K434" s="249">
        <f>IFERROR(VLOOKUP(C434,Schedule!$T$3:$U$34,2,0),"FA")</f>
        <v>8</v>
      </c>
      <c r="L434" s="10" t="str">
        <f>D434&amp;COUNTIF(D$2:$D434,D434)</f>
        <v>WR108</v>
      </c>
      <c r="M434" s="51">
        <f t="array" ref="M434">IFERROR(F434-AVERAGE(VLOOKUP(D434,$D435:$F$885,3,0),INDEX($F435:$F$885,SMALL(IF(D434=$D435:$D$885,ROW($D435:$D$885)-ROW(D434)),2))),0)</f>
        <v>1.3506976826962926</v>
      </c>
      <c r="N434" s="51">
        <f>IFERROR(IF(VLOOKUP($B434,Input!$AC$2:$AC$162,1,0)=$B434,0),F434)</f>
        <v>66.297272784213604</v>
      </c>
      <c r="O434" s="51">
        <f>IFERROR(IF(VLOOKUP($B434,Input!$AC$2:$AC$162,1,0)=$B434,0,G434),G434)</f>
        <v>108.250548857223</v>
      </c>
      <c r="P434" s="51">
        <f>IF(N434=0,0,F434-AVERAGE(INDEX(F:F,MATCH(VLOOKUP(D434,Input!$A$14:$L$22,10,0),L:L,0)),INDEX(F:F,MATCH(VLOOKUP(D434,Input!$A$14:$L$22,11,0),L:L,0)),INDEX(F:F,MATCH(VLOOKUP(D434,Input!$A$14:$L$22,12,0),L:L,0)))+(0.01-ROW()*0.01))</f>
        <v>-150.81064348513544</v>
      </c>
      <c r="Q434" s="107">
        <f t="shared" si="106"/>
        <v>-5.2028607419363548E-2</v>
      </c>
      <c r="R434" s="11">
        <f>IF(VLOOKUP($D434,$X$14:$Y$19,2,0)&lt;=0,1,IF(Q434&lt;0,1,ROUNDUP(IF(Q434*('Draft Center'!$L$28+'Draft Center'!$L$78-'Draft Center'!$L$82)&lt;1,1,Q434*('Draft Center'!$L$28+'Draft Center'!$L$78-'Draft Center'!$L$82)),0)))</f>
        <v>1</v>
      </c>
      <c r="S434" s="11">
        <f>IF(A434&lt;Input!$B$10+0.1,IF(ROUNDUP(R434*Input!$C$10,0)=0,1,ROUNDUP(R434*Input!$C$10,0)),IF(A434&gt;Input!$B$11,IF(ROUNDUP(R434*Input!$C$11,0)=0,1,ROUNDUP(R434*Input!$C$11,0)),IF(ROUNDUP(R434,0)=0,1,ROUNDUP(R434,0))))</f>
        <v>1</v>
      </c>
      <c r="T434" s="11">
        <f t="shared" si="107"/>
        <v>1</v>
      </c>
      <c r="U434" s="11">
        <f>IFERROR(VLOOKUP($B434,Input!$AC$2:$AE$161,3,0),0)</f>
        <v>0</v>
      </c>
      <c r="V434" s="257">
        <f t="shared" si="108"/>
        <v>0</v>
      </c>
      <c r="W434" s="264">
        <f t="shared" si="109"/>
        <v>1.00434</v>
      </c>
      <c r="X434" s="68"/>
      <c r="Y434" s="68"/>
      <c r="Z434" s="68"/>
      <c r="AA434" s="68"/>
      <c r="AB434" s="68"/>
      <c r="AC434" s="68"/>
      <c r="AD434" s="68"/>
      <c r="AE434" s="68"/>
      <c r="AF434" s="68"/>
      <c r="AG434" s="68"/>
      <c r="AH434" s="68"/>
      <c r="AI434" s="68"/>
      <c r="AJ434" s="68">
        <v>1</v>
      </c>
      <c r="AL434" s="68">
        <v>1</v>
      </c>
      <c r="AM434" s="68"/>
      <c r="AN434" s="68"/>
      <c r="AO434" s="68"/>
      <c r="AQ434" s="68"/>
      <c r="AR434" s="68"/>
      <c r="AS434" s="68"/>
      <c r="AT434" s="68"/>
      <c r="AU434" s="68"/>
      <c r="AV434" s="68"/>
      <c r="AW434" s="68"/>
      <c r="AX434" s="68"/>
      <c r="AY434" s="68"/>
      <c r="AZ434" s="68"/>
      <c r="BB434" s="68"/>
      <c r="BC434" s="68"/>
      <c r="BJ434" s="68"/>
      <c r="BT434">
        <v>1</v>
      </c>
      <c r="BV434">
        <v>1</v>
      </c>
      <c r="BX434" s="68"/>
      <c r="BY434" s="68">
        <v>1</v>
      </c>
      <c r="BZ434" s="68">
        <v>0</v>
      </c>
      <c r="CA434" s="68">
        <v>0</v>
      </c>
      <c r="CB434" s="68">
        <v>0</v>
      </c>
      <c r="CC434" s="68">
        <f t="shared" si="110"/>
        <v>0</v>
      </c>
      <c r="CD434" s="68">
        <f t="shared" si="111"/>
        <v>0</v>
      </c>
    </row>
    <row r="435" spans="1:82" ht="15.75" customHeight="1" thickBot="1" x14ac:dyDescent="0.3">
      <c r="A435" s="6">
        <v>434</v>
      </c>
      <c r="B435" s="7" t="s">
        <v>809</v>
      </c>
      <c r="C435" s="7" t="s">
        <v>27</v>
      </c>
      <c r="D435" s="7" t="s">
        <v>43</v>
      </c>
      <c r="E435" s="50">
        <v>-146.655267774706</v>
      </c>
      <c r="F435" s="50">
        <v>6.8056515775034301</v>
      </c>
      <c r="G435" s="50">
        <v>11.7385653495441</v>
      </c>
      <c r="H435" s="50">
        <v>0</v>
      </c>
      <c r="I435" s="8" t="s">
        <v>1057</v>
      </c>
      <c r="J435" s="50" t="s">
        <v>1057</v>
      </c>
      <c r="K435" s="248">
        <f>IFERROR(VLOOKUP(C435,Schedule!$T$3:$U$34,2,0),"FA")</f>
        <v>8</v>
      </c>
      <c r="L435" s="7" t="str">
        <f>D435&amp;COUNTIF(D$2:$D435,D435)</f>
        <v>TE103</v>
      </c>
      <c r="M435" s="50">
        <f t="array" ref="M435">IFERROR(F435-AVERAGE(VLOOKUP(D435,$D436:$F$885,3,0),INDEX($F436:$F$885,SMALL(IF(D435=$D436:$D$885,ROW($D436:$D$885)-ROW(D435)),2))),0)</f>
        <v>0.49271037769017045</v>
      </c>
      <c r="N435" s="50">
        <f>IFERROR(IF(VLOOKUP($B435,Input!$AC$2:$AC$162,1,0)=$B435,0),F435)</f>
        <v>6.8056515775034301</v>
      </c>
      <c r="O435" s="50">
        <f>IFERROR(IF(VLOOKUP($B435,Input!$AC$2:$AC$162,1,0)=$B435,0,G435),G435)</f>
        <v>11.7385653495441</v>
      </c>
      <c r="P435" s="50">
        <f>IF(N435=0,0,F435-AVERAGE(INDEX(F:F,MATCH(VLOOKUP(D435,Input!$A$14:$L$22,10,0),L:L,0)),INDEX(F:F,MATCH(VLOOKUP(D435,Input!$A$14:$L$22,11,0),L:L,0)),INDEX(F:F,MATCH(VLOOKUP(D435,Input!$A$14:$L$22,12,0),L:L,0)))+(0.01-ROW()*0.01))</f>
        <v>-150.99526777470589</v>
      </c>
      <c r="Q435" s="106">
        <f t="shared" si="106"/>
        <v>-5.2092301495989424E-2</v>
      </c>
      <c r="R435" s="8">
        <f>IF(VLOOKUP($D435,$X$14:$Y$19,2,0)&lt;=0,1,IF(Q435&lt;0,1,ROUNDUP(IF(Q435*('Draft Center'!$L$28+'Draft Center'!$L$78-'Draft Center'!$L$82)&lt;1,1,Q435*('Draft Center'!$L$28+'Draft Center'!$L$78-'Draft Center'!$L$82)),0)))</f>
        <v>1</v>
      </c>
      <c r="S435" s="8">
        <f>IF(A435&lt;Input!$B$10+0.1,IF(ROUNDUP(R435*Input!$C$10,0)=0,1,ROUNDUP(R435*Input!$C$10,0)),IF(A435&gt;Input!$B$11,IF(ROUNDUP(R435*Input!$C$11,0)=0,1,ROUNDUP(R435*Input!$C$11,0)),IF(ROUNDUP(R435,0)=0,1,ROUNDUP(R435,0))))</f>
        <v>1</v>
      </c>
      <c r="T435" s="8">
        <f t="shared" si="107"/>
        <v>1</v>
      </c>
      <c r="U435" s="8">
        <f>IFERROR(VLOOKUP($B435,Input!$AC$2:$AE$161,3,0),0)</f>
        <v>0</v>
      </c>
      <c r="V435" s="256">
        <f t="shared" si="108"/>
        <v>0</v>
      </c>
      <c r="W435" s="263">
        <f t="shared" si="109"/>
        <v>0</v>
      </c>
      <c r="X435" s="68"/>
      <c r="Y435" s="68"/>
      <c r="Z435" s="68"/>
      <c r="AA435" s="68"/>
      <c r="AB435" s="68"/>
      <c r="AC435" s="68"/>
      <c r="AD435" s="68"/>
      <c r="AE435" s="68"/>
      <c r="AF435" s="68"/>
      <c r="AG435" s="68"/>
      <c r="AH435" s="68"/>
      <c r="AI435" s="68"/>
      <c r="AJ435" s="68">
        <v>1</v>
      </c>
      <c r="AL435" s="68">
        <v>1</v>
      </c>
      <c r="AM435" s="68"/>
      <c r="AN435" s="68"/>
      <c r="AO435" s="68"/>
      <c r="AQ435" s="68"/>
      <c r="AR435" s="68"/>
      <c r="AS435" s="68"/>
      <c r="AT435" s="68"/>
      <c r="AU435" s="68"/>
      <c r="AV435" s="68"/>
      <c r="AW435" s="68"/>
      <c r="AX435" s="68"/>
      <c r="AY435" s="68"/>
      <c r="AZ435" s="68"/>
      <c r="BB435" s="68"/>
      <c r="BC435" s="68"/>
      <c r="BJ435" s="68"/>
      <c r="BT435">
        <v>1</v>
      </c>
      <c r="BV435">
        <v>1</v>
      </c>
      <c r="BX435" s="68"/>
      <c r="BY435" s="68">
        <v>1</v>
      </c>
      <c r="BZ435" s="68" t="s">
        <v>1057</v>
      </c>
      <c r="CA435" s="68" t="s">
        <v>1057</v>
      </c>
      <c r="CB435" s="68" t="s">
        <v>1057</v>
      </c>
      <c r="CC435" s="68" t="e">
        <f t="shared" si="110"/>
        <v>#DIV/0!</v>
      </c>
      <c r="CD435" s="68" t="str">
        <f t="shared" si="111"/>
        <v>NA</v>
      </c>
    </row>
    <row r="436" spans="1:82" ht="15.75" customHeight="1" thickBot="1" x14ac:dyDescent="0.3">
      <c r="A436" s="9">
        <v>435</v>
      </c>
      <c r="B436" s="10" t="s">
        <v>442</v>
      </c>
      <c r="C436" s="10" t="s">
        <v>925</v>
      </c>
      <c r="D436" s="10" t="s">
        <v>19</v>
      </c>
      <c r="E436" s="51">
        <v>-146.66863518164101</v>
      </c>
      <c r="F436" s="51">
        <v>22.433762844310799</v>
      </c>
      <c r="G436" s="51">
        <v>30.077003236659898</v>
      </c>
      <c r="H436" s="51">
        <v>11.399882441700999</v>
      </c>
      <c r="I436" s="11">
        <v>0</v>
      </c>
      <c r="J436" s="51">
        <v>4.6087169321313599</v>
      </c>
      <c r="K436" s="249">
        <f>IFERROR(VLOOKUP(C436,Schedule!$T$3:$U$34,2,0),"FA")</f>
        <v>8</v>
      </c>
      <c r="L436" s="10" t="str">
        <f>D436&amp;COUNTIF(D$2:$D436,D436)</f>
        <v>RB119</v>
      </c>
      <c r="M436" s="51">
        <f t="array" ref="M436">IFERROR(F436-AVERAGE(VLOOKUP(D436,$D437:$F$885,3,0),INDEX($F437:$F$885,SMALL(IF(D436=$D437:$D$885,ROW($D437:$D$885)-ROW(D436)),2))),0)</f>
        <v>1.2720731927359523</v>
      </c>
      <c r="N436" s="51">
        <f>IFERROR(IF(VLOOKUP($B436,Input!$AC$2:$AC$162,1,0)=$B436,0),F436)</f>
        <v>22.433762844310799</v>
      </c>
      <c r="O436" s="51">
        <f>IFERROR(IF(VLOOKUP($B436,Input!$AC$2:$AC$162,1,0)=$B436,0,G436),G436)</f>
        <v>30.077003236659898</v>
      </c>
      <c r="P436" s="51">
        <f>IF(N436=0,0,F436-AVERAGE(INDEX(F:F,MATCH(VLOOKUP(D436,Input!$A$14:$L$22,10,0),L:L,0)),INDEX(F:F,MATCH(VLOOKUP(D436,Input!$A$14:$L$22,11,0),L:L,0)),INDEX(F:F,MATCH(VLOOKUP(D436,Input!$A$14:$L$22,12,0),L:L,0)))+(0.01-ROW()*0.01))</f>
        <v>-151.0186351816412</v>
      </c>
      <c r="Q436" s="107">
        <f t="shared" si="106"/>
        <v>-5.2100363086429922E-2</v>
      </c>
      <c r="R436" s="11">
        <f>IF(VLOOKUP($D436,$X$14:$Y$19,2,0)&lt;=0,1,IF(Q436&lt;0,1,ROUNDUP(IF(Q436*('Draft Center'!$L$28+'Draft Center'!$L$78-'Draft Center'!$L$82)&lt;1,1,Q436*('Draft Center'!$L$28+'Draft Center'!$L$78-'Draft Center'!$L$82)),0)))</f>
        <v>1</v>
      </c>
      <c r="S436" s="11">
        <f>IF(A436&lt;Input!$B$10+0.1,IF(ROUNDUP(R436*Input!$C$10,0)=0,1,ROUNDUP(R436*Input!$C$10,0)),IF(A436&gt;Input!$B$11,IF(ROUNDUP(R436*Input!$C$11,0)=0,1,ROUNDUP(R436*Input!$C$11,0)),IF(ROUNDUP(R436,0)=0,1,ROUNDUP(R436,0))))</f>
        <v>1</v>
      </c>
      <c r="T436" s="11">
        <f t="shared" si="107"/>
        <v>1</v>
      </c>
      <c r="U436" s="11">
        <f>IFERROR(VLOOKUP($B436,Input!$AC$2:$AE$161,3,0),0)</f>
        <v>0</v>
      </c>
      <c r="V436" s="257">
        <f t="shared" si="108"/>
        <v>0</v>
      </c>
      <c r="W436" s="264">
        <f t="shared" si="109"/>
        <v>1.0043599999999999</v>
      </c>
      <c r="X436" s="68"/>
      <c r="Y436" s="68"/>
      <c r="Z436" s="68"/>
      <c r="AA436" s="68"/>
      <c r="AB436" s="68"/>
      <c r="AC436" s="68"/>
      <c r="AD436" s="68"/>
      <c r="AE436" s="68"/>
      <c r="AF436" s="68"/>
      <c r="AG436" s="68"/>
      <c r="AH436" s="68"/>
      <c r="AI436" s="68"/>
      <c r="AJ436" s="68">
        <v>1</v>
      </c>
      <c r="AL436" s="68">
        <v>1</v>
      </c>
      <c r="AM436" s="68"/>
      <c r="AN436" s="68"/>
      <c r="AO436" s="68"/>
      <c r="AQ436" s="68"/>
      <c r="AR436" s="68"/>
      <c r="AS436" s="68"/>
      <c r="AT436" s="68"/>
      <c r="AU436" s="68"/>
      <c r="AV436" s="68"/>
      <c r="AW436" s="68"/>
      <c r="AX436" s="68"/>
      <c r="AY436" s="68"/>
      <c r="AZ436" s="68"/>
      <c r="BB436" s="68"/>
      <c r="BC436" s="68"/>
      <c r="BJ436" s="68"/>
      <c r="BT436">
        <v>1</v>
      </c>
      <c r="BV436">
        <v>1</v>
      </c>
      <c r="BX436" s="68"/>
      <c r="BY436" s="68">
        <v>1</v>
      </c>
      <c r="BZ436" s="68">
        <v>0</v>
      </c>
      <c r="CA436" s="68">
        <v>0</v>
      </c>
      <c r="CB436" s="68">
        <v>0</v>
      </c>
      <c r="CC436" s="68">
        <f t="shared" si="110"/>
        <v>0</v>
      </c>
      <c r="CD436" s="68">
        <f t="shared" si="111"/>
        <v>0</v>
      </c>
    </row>
    <row r="437" spans="1:82" ht="15.75" customHeight="1" thickBot="1" x14ac:dyDescent="0.3">
      <c r="A437" s="6">
        <v>436</v>
      </c>
      <c r="B437" s="7" t="s">
        <v>473</v>
      </c>
      <c r="C437" s="7" t="s">
        <v>311</v>
      </c>
      <c r="D437" s="7" t="s">
        <v>43</v>
      </c>
      <c r="E437" s="50">
        <v>-146.76091935220899</v>
      </c>
      <c r="F437" s="50">
        <v>6.7</v>
      </c>
      <c r="G437" s="50">
        <v>6.1717732558139504</v>
      </c>
      <c r="H437" s="50">
        <v>4</v>
      </c>
      <c r="I437" s="8" t="s">
        <v>1057</v>
      </c>
      <c r="J437" s="50" t="s">
        <v>1057</v>
      </c>
      <c r="K437" s="248" t="str">
        <f>IFERROR(VLOOKUP(C437,Schedule!$T$3:$U$34,2,0),"FA")</f>
        <v>FA</v>
      </c>
      <c r="L437" s="7" t="str">
        <f>D437&amp;COUNTIF(D$2:$D437,D437)</f>
        <v>TE104</v>
      </c>
      <c r="M437" s="50">
        <f t="array" ref="M437">IFERROR(F437-AVERAGE(VLOOKUP(D437,$D438:$F$885,3,0),INDEX($F438:$F$885,SMALL(IF(D437=$D438:$D$885,ROW($D438:$D$885)-ROW(D437)),2))),0)</f>
        <v>0.80072973972327066</v>
      </c>
      <c r="N437" s="50">
        <f>IFERROR(IF(VLOOKUP($B437,Input!$AC$2:$AC$162,1,0)=$B437,0),F437)</f>
        <v>6.7</v>
      </c>
      <c r="O437" s="50">
        <f>IFERROR(IF(VLOOKUP($B437,Input!$AC$2:$AC$162,1,0)=$B437,0,G437),G437)</f>
        <v>6.1717732558139504</v>
      </c>
      <c r="P437" s="50">
        <f>IF(N437=0,0,F437-AVERAGE(INDEX(F:F,MATCH(VLOOKUP(D437,Input!$A$14:$L$22,10,0),L:L,0)),INDEX(F:F,MATCH(VLOOKUP(D437,Input!$A$14:$L$22,11,0),L:L,0)),INDEX(F:F,MATCH(VLOOKUP(D437,Input!$A$14:$L$22,12,0),L:L,0)))+(0.01-ROW()*0.01))</f>
        <v>-151.12091935220934</v>
      </c>
      <c r="Q437" s="106">
        <f t="shared" si="106"/>
        <v>-5.2135650403244728E-2</v>
      </c>
      <c r="R437" s="8">
        <f>IF(VLOOKUP($D437,$X$14:$Y$19,2,0)&lt;=0,1,IF(Q437&lt;0,1,ROUNDUP(IF(Q437*('Draft Center'!$L$28+'Draft Center'!$L$78-'Draft Center'!$L$82)&lt;1,1,Q437*('Draft Center'!$L$28+'Draft Center'!$L$78-'Draft Center'!$L$82)),0)))</f>
        <v>1</v>
      </c>
      <c r="S437" s="8">
        <f>IF(A437&lt;Input!$B$10+0.1,IF(ROUNDUP(R437*Input!$C$10,0)=0,1,ROUNDUP(R437*Input!$C$10,0)),IF(A437&gt;Input!$B$11,IF(ROUNDUP(R437*Input!$C$11,0)=0,1,ROUNDUP(R437*Input!$C$11,0)),IF(ROUNDUP(R437,0)=0,1,ROUNDUP(R437,0))))</f>
        <v>1</v>
      </c>
      <c r="T437" s="8">
        <f t="shared" si="107"/>
        <v>1</v>
      </c>
      <c r="U437" s="8">
        <f>IFERROR(VLOOKUP($B437,Input!$AC$2:$AE$161,3,0),0)</f>
        <v>0</v>
      </c>
      <c r="V437" s="256">
        <f t="shared" si="108"/>
        <v>0</v>
      </c>
      <c r="W437" s="263">
        <f t="shared" si="109"/>
        <v>0</v>
      </c>
      <c r="X437" s="68"/>
      <c r="Y437" s="68"/>
      <c r="Z437" s="68"/>
      <c r="AA437" s="68"/>
      <c r="AB437" s="68"/>
      <c r="AC437" s="68"/>
      <c r="AD437" s="68"/>
      <c r="AE437" s="68"/>
      <c r="AF437" s="68"/>
      <c r="AG437" s="68"/>
      <c r="AH437" s="68"/>
      <c r="AI437" s="68"/>
      <c r="AJ437" s="68">
        <v>1</v>
      </c>
      <c r="AL437" s="68">
        <v>1</v>
      </c>
      <c r="AM437" s="68"/>
      <c r="AN437" s="68"/>
      <c r="AO437" s="68"/>
      <c r="AQ437" s="68"/>
      <c r="AR437" s="68"/>
      <c r="AS437" s="68"/>
      <c r="AT437" s="68"/>
      <c r="AU437" s="68"/>
      <c r="AV437" s="68"/>
      <c r="AW437" s="68"/>
      <c r="AX437" s="68"/>
      <c r="AY437" s="68"/>
      <c r="AZ437" s="68"/>
      <c r="BB437" s="68"/>
      <c r="BC437" s="68"/>
      <c r="BJ437" s="68"/>
      <c r="BT437">
        <v>1</v>
      </c>
      <c r="BV437">
        <v>1</v>
      </c>
      <c r="BX437" s="68"/>
      <c r="BY437" s="68">
        <v>1</v>
      </c>
      <c r="BZ437" s="68" t="s">
        <v>1057</v>
      </c>
      <c r="CA437" s="68" t="s">
        <v>1057</v>
      </c>
      <c r="CB437" s="68" t="s">
        <v>1057</v>
      </c>
      <c r="CC437" s="68" t="e">
        <f t="shared" si="110"/>
        <v>#DIV/0!</v>
      </c>
      <c r="CD437" s="68" t="str">
        <f t="shared" si="111"/>
        <v>NA</v>
      </c>
    </row>
    <row r="438" spans="1:82" ht="15.75" customHeight="1" thickBot="1" x14ac:dyDescent="0.3">
      <c r="A438" s="9">
        <v>437</v>
      </c>
      <c r="B438" s="10" t="s">
        <v>201</v>
      </c>
      <c r="C438" s="10" t="s">
        <v>16</v>
      </c>
      <c r="D438" s="10" t="s">
        <v>19</v>
      </c>
      <c r="E438" s="51">
        <v>-146.944535964181</v>
      </c>
      <c r="F438" s="51">
        <v>22.157862061770398</v>
      </c>
      <c r="G438" s="51">
        <v>48.696849499999999</v>
      </c>
      <c r="H438" s="51">
        <v>-0.21193435234176</v>
      </c>
      <c r="I438" s="11">
        <v>0</v>
      </c>
      <c r="J438" s="51">
        <v>6.63513151953443</v>
      </c>
      <c r="K438" s="249">
        <f>IFERROR(VLOOKUP(C438,Schedule!$T$3:$U$34,2,0),"FA")</f>
        <v>9</v>
      </c>
      <c r="L438" s="10" t="str">
        <f>D438&amp;COUNTIF(D$2:$D438,D438)</f>
        <v>RB120</v>
      </c>
      <c r="M438" s="51">
        <f t="array" ref="M438">IFERROR(F438-AVERAGE(VLOOKUP(D438,$D439:$F$885,3,0),INDEX($F439:$F$885,SMALL(IF(D438=$D439:$D$885,ROW($D439:$D$885)-ROW(D438)),2))),0)</f>
        <v>2.2674816372634972</v>
      </c>
      <c r="N438" s="51">
        <f>IFERROR(IF(VLOOKUP($B438,Input!$AC$2:$AC$162,1,0)=$B438,0),F438)</f>
        <v>22.157862061770398</v>
      </c>
      <c r="O438" s="51">
        <f>IFERROR(IF(VLOOKUP($B438,Input!$AC$2:$AC$162,1,0)=$B438,0,G438),G438)</f>
        <v>48.696849499999999</v>
      </c>
      <c r="P438" s="51">
        <f>IF(N438=0,0,F438-AVERAGE(INDEX(F:F,MATCH(VLOOKUP(D438,Input!$A$14:$L$22,10,0),L:L,0)),INDEX(F:F,MATCH(VLOOKUP(D438,Input!$A$14:$L$22,11,0),L:L,0)),INDEX(F:F,MATCH(VLOOKUP(D438,Input!$A$14:$L$22,12,0),L:L,0)))+(0.01-ROW()*0.01))</f>
        <v>-151.3145359641816</v>
      </c>
      <c r="Q438" s="107">
        <f t="shared" si="106"/>
        <v>-5.2202446767621792E-2</v>
      </c>
      <c r="R438" s="11">
        <f>IF(VLOOKUP($D438,$X$14:$Y$19,2,0)&lt;=0,1,IF(Q438&lt;0,1,ROUNDUP(IF(Q438*('Draft Center'!$L$28+'Draft Center'!$L$78-'Draft Center'!$L$82)&lt;1,1,Q438*('Draft Center'!$L$28+'Draft Center'!$L$78-'Draft Center'!$L$82)),0)))</f>
        <v>1</v>
      </c>
      <c r="S438" s="11">
        <f>IF(A438&lt;Input!$B$10+0.1,IF(ROUNDUP(R438*Input!$C$10,0)=0,1,ROUNDUP(R438*Input!$C$10,0)),IF(A438&gt;Input!$B$11,IF(ROUNDUP(R438*Input!$C$11,0)=0,1,ROUNDUP(R438*Input!$C$11,0)),IF(ROUNDUP(R438,0)=0,1,ROUNDUP(R438,0))))</f>
        <v>1</v>
      </c>
      <c r="T438" s="11">
        <f t="shared" si="107"/>
        <v>1</v>
      </c>
      <c r="U438" s="11">
        <f>IFERROR(VLOOKUP($B438,Input!$AC$2:$AE$161,3,0),0)</f>
        <v>0</v>
      </c>
      <c r="V438" s="257">
        <f t="shared" si="108"/>
        <v>0</v>
      </c>
      <c r="W438" s="264">
        <f t="shared" si="109"/>
        <v>1.0043800000000001</v>
      </c>
      <c r="X438" s="68"/>
      <c r="Y438" s="68"/>
      <c r="Z438" s="68"/>
      <c r="AA438" s="68"/>
      <c r="AB438" s="68"/>
      <c r="AC438" s="68"/>
      <c r="AD438" s="68"/>
      <c r="AE438" s="68"/>
      <c r="AF438" s="68"/>
      <c r="AG438" s="68"/>
      <c r="AH438" s="68"/>
      <c r="AI438" s="68"/>
      <c r="AJ438" s="68">
        <v>1</v>
      </c>
      <c r="AL438" s="68">
        <v>1</v>
      </c>
      <c r="AM438" s="68"/>
      <c r="AN438" s="68"/>
      <c r="AO438" s="68"/>
      <c r="AQ438" s="68"/>
      <c r="AR438" s="68"/>
      <c r="AS438" s="68"/>
      <c r="AT438" s="68"/>
      <c r="AU438" s="68"/>
      <c r="AV438" s="68"/>
      <c r="AW438" s="68"/>
      <c r="AX438" s="68"/>
      <c r="AY438" s="68"/>
      <c r="AZ438" s="68"/>
      <c r="BB438" s="68"/>
      <c r="BC438" s="68"/>
      <c r="BJ438" s="68"/>
      <c r="BT438">
        <v>1</v>
      </c>
      <c r="BV438">
        <v>1</v>
      </c>
      <c r="BX438" s="68"/>
      <c r="BY438" s="68">
        <v>1</v>
      </c>
      <c r="BZ438" s="68">
        <v>0</v>
      </c>
      <c r="CA438" s="68">
        <v>0</v>
      </c>
      <c r="CB438" s="68">
        <v>0</v>
      </c>
      <c r="CC438" s="68">
        <f t="shared" si="110"/>
        <v>0</v>
      </c>
      <c r="CD438" s="68">
        <f t="shared" si="111"/>
        <v>0</v>
      </c>
    </row>
    <row r="439" spans="1:82" ht="15.75" customHeight="1" thickBot="1" x14ac:dyDescent="0.3">
      <c r="A439" s="6">
        <v>438</v>
      </c>
      <c r="B439" s="7" t="s">
        <v>441</v>
      </c>
      <c r="C439" s="7" t="s">
        <v>61</v>
      </c>
      <c r="D439" s="7" t="s">
        <v>43</v>
      </c>
      <c r="E439" s="50">
        <v>-147.535036952583</v>
      </c>
      <c r="F439" s="50">
        <v>5.92588239962652</v>
      </c>
      <c r="G439" s="50">
        <v>12.225985465116301</v>
      </c>
      <c r="H439" s="50">
        <v>-6.4239028944911306E-2</v>
      </c>
      <c r="I439" s="8">
        <v>0</v>
      </c>
      <c r="J439" s="50" t="s">
        <v>1057</v>
      </c>
      <c r="K439" s="248">
        <f>IFERROR(VLOOKUP(C439,Schedule!$T$3:$U$34,2,0),"FA")</f>
        <v>5</v>
      </c>
      <c r="L439" s="7" t="str">
        <f>D439&amp;COUNTIF(D$2:$D439,D439)</f>
        <v>TE105</v>
      </c>
      <c r="M439" s="50">
        <f t="array" ref="M439">IFERROR(F439-AVERAGE(VLOOKUP(D439,$D440:$F$885,3,0),INDEX($F440:$F$885,SMALL(IF(D439=$D440:$D$885,ROW($D440:$D$885)-ROW(D439)),2))),0)</f>
        <v>0.26870409194452982</v>
      </c>
      <c r="N439" s="50">
        <f>IFERROR(IF(VLOOKUP($B439,Input!$AC$2:$AC$162,1,0)=$B439,0),F439)</f>
        <v>5.92588239962652</v>
      </c>
      <c r="O439" s="50">
        <f>IFERROR(IF(VLOOKUP($B439,Input!$AC$2:$AC$162,1,0)=$B439,0,G439),G439)</f>
        <v>12.225985465116301</v>
      </c>
      <c r="P439" s="50">
        <f>IF(N439=0,0,F439-AVERAGE(INDEX(F:F,MATCH(VLOOKUP(D439,Input!$A$14:$L$22,10,0),L:L,0)),INDEX(F:F,MATCH(VLOOKUP(D439,Input!$A$14:$L$22,11,0),L:L,0)),INDEX(F:F,MATCH(VLOOKUP(D439,Input!$A$14:$L$22,12,0),L:L,0)))+(0.01-ROW()*0.01))</f>
        <v>-151.9150369525828</v>
      </c>
      <c r="Q439" s="106">
        <f t="shared" si="106"/>
        <v>-5.2409615369641213E-2</v>
      </c>
      <c r="R439" s="8">
        <f>IF(VLOOKUP($D439,$X$14:$Y$19,2,0)&lt;=0,1,IF(Q439&lt;0,1,ROUNDUP(IF(Q439*('Draft Center'!$L$28+'Draft Center'!$L$78-'Draft Center'!$L$82)&lt;1,1,Q439*('Draft Center'!$L$28+'Draft Center'!$L$78-'Draft Center'!$L$82)),0)))</f>
        <v>1</v>
      </c>
      <c r="S439" s="8">
        <f>IF(A439&lt;Input!$B$10+0.1,IF(ROUNDUP(R439*Input!$C$10,0)=0,1,ROUNDUP(R439*Input!$C$10,0)),IF(A439&gt;Input!$B$11,IF(ROUNDUP(R439*Input!$C$11,0)=0,1,ROUNDUP(R439*Input!$C$11,0)),IF(ROUNDUP(R439,0)=0,1,ROUNDUP(R439,0))))</f>
        <v>1</v>
      </c>
      <c r="T439" s="8">
        <f t="shared" si="107"/>
        <v>1</v>
      </c>
      <c r="U439" s="8">
        <f>IFERROR(VLOOKUP($B439,Input!$AC$2:$AE$161,3,0),0)</f>
        <v>0</v>
      </c>
      <c r="V439" s="256">
        <f t="shared" si="108"/>
        <v>0</v>
      </c>
      <c r="W439" s="263">
        <f t="shared" si="109"/>
        <v>1.0043899999999999</v>
      </c>
      <c r="X439" s="68"/>
      <c r="Y439" s="68"/>
      <c r="Z439" s="68"/>
      <c r="AA439" s="68"/>
      <c r="AB439" s="68"/>
      <c r="AC439" s="68"/>
      <c r="AD439" s="68"/>
      <c r="AE439" s="68"/>
      <c r="AF439" s="68"/>
      <c r="AG439" s="68"/>
      <c r="AH439" s="68"/>
      <c r="AI439" s="68"/>
      <c r="AJ439" s="68">
        <v>1</v>
      </c>
      <c r="AL439" s="68">
        <v>1</v>
      </c>
      <c r="AM439" s="68"/>
      <c r="AN439" s="68"/>
      <c r="AO439" s="68"/>
      <c r="AQ439" s="68"/>
      <c r="AR439" s="68"/>
      <c r="AS439" s="68"/>
      <c r="AT439" s="68"/>
      <c r="AU439" s="68"/>
      <c r="AV439" s="68"/>
      <c r="AW439" s="68"/>
      <c r="AX439" s="68"/>
      <c r="AY439" s="68"/>
      <c r="AZ439" s="68"/>
      <c r="BB439" s="68"/>
      <c r="BC439" s="68"/>
      <c r="BJ439" s="68"/>
      <c r="BT439">
        <v>1</v>
      </c>
      <c r="BV439">
        <v>1</v>
      </c>
      <c r="BX439" s="68"/>
      <c r="BY439" s="68">
        <v>1</v>
      </c>
      <c r="BZ439" s="68">
        <v>0</v>
      </c>
      <c r="CA439" s="68">
        <v>0</v>
      </c>
      <c r="CB439" s="68">
        <v>0</v>
      </c>
      <c r="CC439" s="68">
        <f t="shared" si="110"/>
        <v>0</v>
      </c>
      <c r="CD439" s="68">
        <f t="shared" si="111"/>
        <v>0</v>
      </c>
    </row>
    <row r="440" spans="1:82" ht="15.75" customHeight="1" thickBot="1" x14ac:dyDescent="0.3">
      <c r="A440" s="9">
        <v>439</v>
      </c>
      <c r="B440" s="10" t="s">
        <v>404</v>
      </c>
      <c r="C440" s="10" t="s">
        <v>83</v>
      </c>
      <c r="D440" s="10" t="s">
        <v>43</v>
      </c>
      <c r="E440" s="51">
        <v>-147.58826123128199</v>
      </c>
      <c r="F440" s="51">
        <v>5.87265812092694</v>
      </c>
      <c r="G440" s="51">
        <v>10.3435984167425</v>
      </c>
      <c r="H440" s="51">
        <v>0</v>
      </c>
      <c r="I440" s="11">
        <v>0</v>
      </c>
      <c r="J440" s="51">
        <v>8.16919921405783</v>
      </c>
      <c r="K440" s="249">
        <f>IFERROR(VLOOKUP(C440,Schedule!$T$3:$U$34,2,0),"FA")</f>
        <v>5</v>
      </c>
      <c r="L440" s="10" t="str">
        <f>D440&amp;COUNTIF(D$2:$D440,D440)</f>
        <v>TE106</v>
      </c>
      <c r="M440" s="51">
        <f t="array" ref="M440">IFERROR(F440-AVERAGE(VLOOKUP(D440,$D441:$F$885,3,0),INDEX($F441:$F$885,SMALL(IF(D440=$D441:$D$885,ROW($D441:$D$885)-ROW(D440)),2))),0)</f>
        <v>0.51097509859050483</v>
      </c>
      <c r="N440" s="51">
        <f>IFERROR(IF(VLOOKUP($B440,Input!$AC$2:$AC$162,1,0)=$B440,0),F440)</f>
        <v>5.87265812092694</v>
      </c>
      <c r="O440" s="51">
        <f>IFERROR(IF(VLOOKUP($B440,Input!$AC$2:$AC$162,1,0)=$B440,0,G440),G440)</f>
        <v>10.3435984167425</v>
      </c>
      <c r="P440" s="51">
        <f>IF(N440=0,0,F440-AVERAGE(INDEX(F:F,MATCH(VLOOKUP(D440,Input!$A$14:$L$22,10,0),L:L,0)),INDEX(F:F,MATCH(VLOOKUP(D440,Input!$A$14:$L$22,11,0),L:L,0)),INDEX(F:F,MATCH(VLOOKUP(D440,Input!$A$14:$L$22,12,0),L:L,0)))+(0.01-ROW()*0.01))</f>
        <v>-151.97826123128237</v>
      </c>
      <c r="Q440" s="107">
        <f t="shared" si="106"/>
        <v>-5.2431427299487909E-2</v>
      </c>
      <c r="R440" s="11">
        <f>IF(VLOOKUP($D440,$X$14:$Y$19,2,0)&lt;=0,1,IF(Q440&lt;0,1,ROUNDUP(IF(Q440*('Draft Center'!$L$28+'Draft Center'!$L$78-'Draft Center'!$L$82)&lt;1,1,Q440*('Draft Center'!$L$28+'Draft Center'!$L$78-'Draft Center'!$L$82)),0)))</f>
        <v>1</v>
      </c>
      <c r="S440" s="11">
        <f>IF(A440&lt;Input!$B$10+0.1,IF(ROUNDUP(R440*Input!$C$10,0)=0,1,ROUNDUP(R440*Input!$C$10,0)),IF(A440&gt;Input!$B$11,IF(ROUNDUP(R440*Input!$C$11,0)=0,1,ROUNDUP(R440*Input!$C$11,0)),IF(ROUNDUP(R440,0)=0,1,ROUNDUP(R440,0))))</f>
        <v>1</v>
      </c>
      <c r="T440" s="11">
        <f t="shared" si="107"/>
        <v>1</v>
      </c>
      <c r="U440" s="11">
        <f>IFERROR(VLOOKUP($B440,Input!$AC$2:$AE$161,3,0),0)</f>
        <v>0</v>
      </c>
      <c r="V440" s="257">
        <f t="shared" si="108"/>
        <v>0</v>
      </c>
      <c r="W440" s="264">
        <f t="shared" si="109"/>
        <v>1.0044</v>
      </c>
      <c r="X440" s="68"/>
      <c r="Y440" s="68"/>
      <c r="Z440" s="68"/>
      <c r="AA440" s="68"/>
      <c r="AB440" s="68"/>
      <c r="AC440" s="68"/>
      <c r="AD440" s="68"/>
      <c r="AE440" s="68"/>
      <c r="AF440" s="68"/>
      <c r="AG440" s="68"/>
      <c r="AH440" s="68"/>
      <c r="AI440" s="68"/>
      <c r="AJ440" s="68">
        <v>1</v>
      </c>
      <c r="AL440" s="68">
        <v>1</v>
      </c>
      <c r="AM440" s="68"/>
      <c r="AN440" s="68"/>
      <c r="AO440" s="68"/>
      <c r="AQ440" s="68"/>
      <c r="AR440" s="68"/>
      <c r="AS440" s="68"/>
      <c r="AT440" s="68"/>
      <c r="AU440" s="68"/>
      <c r="AV440" s="68"/>
      <c r="AW440" s="68"/>
      <c r="AX440" s="68"/>
      <c r="AY440" s="68"/>
      <c r="AZ440" s="68"/>
      <c r="BB440" s="68"/>
      <c r="BC440" s="68"/>
      <c r="BJ440" s="68"/>
      <c r="BT440">
        <v>1</v>
      </c>
      <c r="BV440">
        <v>1</v>
      </c>
      <c r="BX440" s="68"/>
      <c r="BY440" s="68">
        <v>1</v>
      </c>
      <c r="BZ440" s="68">
        <v>0</v>
      </c>
      <c r="CA440" s="68">
        <v>0</v>
      </c>
      <c r="CB440" s="68">
        <v>0</v>
      </c>
      <c r="CC440" s="68">
        <f t="shared" si="110"/>
        <v>0</v>
      </c>
      <c r="CD440" s="68">
        <f t="shared" si="111"/>
        <v>0</v>
      </c>
    </row>
    <row r="441" spans="1:82" ht="15.75" customHeight="1" thickBot="1" x14ac:dyDescent="0.3">
      <c r="A441" s="6">
        <v>440</v>
      </c>
      <c r="B441" s="7" t="s">
        <v>479</v>
      </c>
      <c r="C441" s="7" t="s">
        <v>35</v>
      </c>
      <c r="D441" s="7" t="s">
        <v>17</v>
      </c>
      <c r="E441" s="50">
        <v>-147.597675405019</v>
      </c>
      <c r="F441" s="50">
        <v>65.180240864329903</v>
      </c>
      <c r="G441" s="50">
        <v>82.830062926829299</v>
      </c>
      <c r="H441" s="50">
        <v>20.817650365373801</v>
      </c>
      <c r="I441" s="8">
        <v>0</v>
      </c>
      <c r="J441" s="50">
        <v>6.0549575289344499</v>
      </c>
      <c r="K441" s="248">
        <f>IFERROR(VLOOKUP(C441,Schedule!$T$3:$U$34,2,0),"FA")</f>
        <v>6</v>
      </c>
      <c r="L441" s="7" t="str">
        <f>D441&amp;COUNTIF(D$2:$D441,D441)</f>
        <v>WR109</v>
      </c>
      <c r="M441" s="50">
        <f t="array" ref="M441">IFERROR(F441-AVERAGE(VLOOKUP(D441,$D442:$F$885,3,0),INDEX($F442:$F$885,SMALL(IF(D441=$D442:$D$885,ROW($D442:$D$885)-ROW(D441)),2))),0)</f>
        <v>1.489388543062347</v>
      </c>
      <c r="N441" s="50">
        <f>IFERROR(IF(VLOOKUP($B441,Input!$AC$2:$AC$162,1,0)=$B441,0),F441)</f>
        <v>65.180240864329903</v>
      </c>
      <c r="O441" s="50">
        <f>IFERROR(IF(VLOOKUP($B441,Input!$AC$2:$AC$162,1,0)=$B441,0,G441),G441)</f>
        <v>82.830062926829299</v>
      </c>
      <c r="P441" s="50">
        <f>IF(N441=0,0,F441-AVERAGE(INDEX(F:F,MATCH(VLOOKUP(D441,Input!$A$14:$L$22,10,0),L:L,0)),INDEX(F:F,MATCH(VLOOKUP(D441,Input!$A$14:$L$22,11,0),L:L,0)),INDEX(F:F,MATCH(VLOOKUP(D441,Input!$A$14:$L$22,12,0),L:L,0)))+(0.01-ROW()*0.01))</f>
        <v>-151.99767540501912</v>
      </c>
      <c r="Q441" s="106">
        <f t="shared" si="106"/>
        <v>-5.243812505238106E-2</v>
      </c>
      <c r="R441" s="8">
        <f>IF(VLOOKUP($D441,$X$14:$Y$19,2,0)&lt;=0,1,IF(Q441&lt;0,1,ROUNDUP(IF(Q441*('Draft Center'!$L$28+'Draft Center'!$L$78-'Draft Center'!$L$82)&lt;1,1,Q441*('Draft Center'!$L$28+'Draft Center'!$L$78-'Draft Center'!$L$82)),0)))</f>
        <v>1</v>
      </c>
      <c r="S441" s="8">
        <f>IF(A441&lt;Input!$B$10+0.1,IF(ROUNDUP(R441*Input!$C$10,0)=0,1,ROUNDUP(R441*Input!$C$10,0)),IF(A441&gt;Input!$B$11,IF(ROUNDUP(R441*Input!$C$11,0)=0,1,ROUNDUP(R441*Input!$C$11,0)),IF(ROUNDUP(R441,0)=0,1,ROUNDUP(R441,0))))</f>
        <v>1</v>
      </c>
      <c r="T441" s="8">
        <f t="shared" si="107"/>
        <v>1</v>
      </c>
      <c r="U441" s="8">
        <f>IFERROR(VLOOKUP($B441,Input!$AC$2:$AE$161,3,0),0)</f>
        <v>0</v>
      </c>
      <c r="V441" s="256">
        <f t="shared" si="108"/>
        <v>0</v>
      </c>
      <c r="W441" s="263">
        <f t="shared" si="109"/>
        <v>1.00441</v>
      </c>
      <c r="X441" s="68"/>
      <c r="Y441" s="68"/>
      <c r="Z441" s="68"/>
      <c r="AA441" s="68"/>
      <c r="AB441" s="68"/>
      <c r="AC441" s="68"/>
      <c r="AD441" s="68"/>
      <c r="AE441" s="68"/>
      <c r="AF441" s="68"/>
      <c r="AG441" s="68"/>
      <c r="AH441" s="68"/>
      <c r="AI441" s="68"/>
      <c r="AJ441" s="68">
        <v>1</v>
      </c>
      <c r="AL441" s="68">
        <v>1</v>
      </c>
      <c r="AM441" s="68"/>
      <c r="AN441" s="68"/>
      <c r="AO441" s="68"/>
      <c r="AQ441" s="68"/>
      <c r="AR441" s="68"/>
      <c r="AS441" s="68"/>
      <c r="AT441" s="68"/>
      <c r="AU441" s="68"/>
      <c r="AV441" s="68"/>
      <c r="AW441" s="68"/>
      <c r="AX441" s="68"/>
      <c r="AY441" s="68"/>
      <c r="AZ441" s="68"/>
      <c r="BB441" s="68"/>
      <c r="BC441" s="68"/>
      <c r="BJ441" s="68"/>
      <c r="BT441">
        <v>1</v>
      </c>
      <c r="BV441">
        <v>1</v>
      </c>
      <c r="BX441" s="68"/>
      <c r="BY441" s="68">
        <v>1</v>
      </c>
      <c r="BZ441" s="68">
        <v>0</v>
      </c>
      <c r="CA441" s="68">
        <v>0</v>
      </c>
      <c r="CB441" s="68">
        <v>0</v>
      </c>
      <c r="CC441" s="68">
        <f t="shared" si="110"/>
        <v>0</v>
      </c>
      <c r="CD441" s="68">
        <f t="shared" si="111"/>
        <v>0</v>
      </c>
    </row>
    <row r="442" spans="1:82" ht="15.75" customHeight="1" thickBot="1" x14ac:dyDescent="0.3">
      <c r="A442" s="9">
        <v>441</v>
      </c>
      <c r="B442" s="10" t="s">
        <v>427</v>
      </c>
      <c r="C442" s="10" t="s">
        <v>80</v>
      </c>
      <c r="D442" s="10" t="s">
        <v>43</v>
      </c>
      <c r="E442" s="51">
        <v>-148.01922085777201</v>
      </c>
      <c r="F442" s="51">
        <v>5.4416984944370403</v>
      </c>
      <c r="G442" s="51">
        <v>10.3741627954048</v>
      </c>
      <c r="H442" s="51">
        <v>-8.3164667842445597E-2</v>
      </c>
      <c r="I442" s="11">
        <v>0</v>
      </c>
      <c r="J442" s="51">
        <v>8.6361878933357303</v>
      </c>
      <c r="K442" s="249">
        <f>IFERROR(VLOOKUP(C442,Schedule!$T$3:$U$34,2,0),"FA")</f>
        <v>11</v>
      </c>
      <c r="L442" s="10" t="str">
        <f>D442&amp;COUNTIF(D$2:$D442,D442)</f>
        <v>TE107</v>
      </c>
      <c r="M442" s="51">
        <f t="array" ref="M442">IFERROR(F442-AVERAGE(VLOOKUP(D442,$D443:$F$885,3,0),INDEX($F443:$F$885,SMALL(IF(D442=$D443:$D$885,ROW($D443:$D$885)-ROW(D442)),2))),0)</f>
        <v>0.39656364405031042</v>
      </c>
      <c r="N442" s="51">
        <f>IFERROR(IF(VLOOKUP($B442,Input!$AC$2:$AC$162,1,0)=$B442,0),F442)</f>
        <v>5.4416984944370403</v>
      </c>
      <c r="O442" s="51">
        <f>IFERROR(IF(VLOOKUP($B442,Input!$AC$2:$AC$162,1,0)=$B442,0,G442),G442)</f>
        <v>10.3741627954048</v>
      </c>
      <c r="P442" s="51">
        <f>IF(N442=0,0,F442-AVERAGE(INDEX(F:F,MATCH(VLOOKUP(D442,Input!$A$14:$L$22,10,0),L:L,0)),INDEX(F:F,MATCH(VLOOKUP(D442,Input!$A$14:$L$22,11,0),L:L,0)),INDEX(F:F,MATCH(VLOOKUP(D442,Input!$A$14:$L$22,12,0),L:L,0)))+(0.01-ROW()*0.01))</f>
        <v>-152.42922085777226</v>
      </c>
      <c r="Q442" s="107">
        <f t="shared" si="106"/>
        <v>-5.2587005187270996E-2</v>
      </c>
      <c r="R442" s="11">
        <f>IF(VLOOKUP($D442,$X$14:$Y$19,2,0)&lt;=0,1,IF(Q442&lt;0,1,ROUNDUP(IF(Q442*('Draft Center'!$L$28+'Draft Center'!$L$78-'Draft Center'!$L$82)&lt;1,1,Q442*('Draft Center'!$L$28+'Draft Center'!$L$78-'Draft Center'!$L$82)),0)))</f>
        <v>1</v>
      </c>
      <c r="S442" s="11">
        <f>IF(A442&lt;Input!$B$10+0.1,IF(ROUNDUP(R442*Input!$C$10,0)=0,1,ROUNDUP(R442*Input!$C$10,0)),IF(A442&gt;Input!$B$11,IF(ROUNDUP(R442*Input!$C$11,0)=0,1,ROUNDUP(R442*Input!$C$11,0)),IF(ROUNDUP(R442,0)=0,1,ROUNDUP(R442,0))))</f>
        <v>1</v>
      </c>
      <c r="T442" s="11">
        <f t="shared" si="107"/>
        <v>1</v>
      </c>
      <c r="U442" s="11">
        <f>IFERROR(VLOOKUP($B442,Input!$AC$2:$AE$161,3,0),0)</f>
        <v>0</v>
      </c>
      <c r="V442" s="257">
        <f t="shared" si="108"/>
        <v>0</v>
      </c>
      <c r="W442" s="264">
        <f t="shared" si="109"/>
        <v>1.0044200000000001</v>
      </c>
      <c r="X442" s="68"/>
      <c r="Y442" s="68"/>
      <c r="Z442" s="68"/>
      <c r="AA442" s="68"/>
      <c r="AB442" s="68"/>
      <c r="AC442" s="68"/>
      <c r="AD442" s="68"/>
      <c r="AE442" s="68"/>
      <c r="AF442" s="68"/>
      <c r="AG442" s="68"/>
      <c r="AH442" s="68"/>
      <c r="AI442" s="68"/>
      <c r="AJ442" s="68">
        <v>1</v>
      </c>
      <c r="AL442" s="68">
        <v>1</v>
      </c>
      <c r="AM442" s="68"/>
      <c r="AN442" s="68"/>
      <c r="AO442" s="68"/>
      <c r="AQ442" s="68"/>
      <c r="AR442" s="68"/>
      <c r="AS442" s="68"/>
      <c r="AT442" s="68"/>
      <c r="AU442" s="68"/>
      <c r="AV442" s="68"/>
      <c r="AW442" s="68"/>
      <c r="AX442" s="68"/>
      <c r="AY442" s="68"/>
      <c r="AZ442" s="68"/>
      <c r="BB442" s="68"/>
      <c r="BC442" s="68"/>
      <c r="BJ442" s="68"/>
      <c r="BT442">
        <v>1</v>
      </c>
      <c r="BV442">
        <v>1</v>
      </c>
      <c r="BX442" s="68"/>
      <c r="BY442" s="68">
        <v>1</v>
      </c>
      <c r="BZ442" s="68">
        <v>0</v>
      </c>
      <c r="CA442" s="68">
        <v>0</v>
      </c>
      <c r="CB442" s="68">
        <v>0</v>
      </c>
      <c r="CC442" s="68">
        <f t="shared" si="110"/>
        <v>0</v>
      </c>
      <c r="CD442" s="68">
        <f t="shared" si="111"/>
        <v>0</v>
      </c>
    </row>
    <row r="443" spans="1:82" ht="15.75" customHeight="1" thickBot="1" x14ac:dyDescent="0.3">
      <c r="A443" s="6">
        <v>442</v>
      </c>
      <c r="B443" s="7" t="s">
        <v>960</v>
      </c>
      <c r="C443" s="7" t="s">
        <v>117</v>
      </c>
      <c r="D443" s="7" t="s">
        <v>17</v>
      </c>
      <c r="E443" s="50">
        <v>-148.06500693064399</v>
      </c>
      <c r="F443" s="50">
        <v>64.712909338704705</v>
      </c>
      <c r="G443" s="50">
        <v>76.306299999999993</v>
      </c>
      <c r="H443" s="50">
        <v>23.914538676607599</v>
      </c>
      <c r="I443" s="8">
        <v>0</v>
      </c>
      <c r="J443" s="50">
        <v>6.0058035388595803</v>
      </c>
      <c r="K443" s="248">
        <f>IFERROR(VLOOKUP(C443,Schedule!$T$3:$U$34,2,0),"FA")</f>
        <v>8</v>
      </c>
      <c r="L443" s="7" t="str">
        <f>D443&amp;COUNTIF(D$2:$D443,D443)</f>
        <v>WR110</v>
      </c>
      <c r="M443" s="50">
        <f t="array" ref="M443">IFERROR(F443-AVERAGE(VLOOKUP(D443,$D444:$F$885,3,0),INDEX($F444:$F$885,SMALL(IF(D443=$D444:$D$885,ROW($D444:$D$885)-ROW(D443)),2))),0)</f>
        <v>2.3075439448540038</v>
      </c>
      <c r="N443" s="50">
        <f>IFERROR(IF(VLOOKUP($B443,Input!$AC$2:$AC$162,1,0)=$B443,0),F443)</f>
        <v>64.712909338704705</v>
      </c>
      <c r="O443" s="50">
        <f>IFERROR(IF(VLOOKUP($B443,Input!$AC$2:$AC$162,1,0)=$B443,0,G443),G443)</f>
        <v>76.306299999999993</v>
      </c>
      <c r="P443" s="50">
        <f>IF(N443=0,0,F443-AVERAGE(INDEX(F:F,MATCH(VLOOKUP(D443,Input!$A$14:$L$22,10,0),L:L,0)),INDEX(F:F,MATCH(VLOOKUP(D443,Input!$A$14:$L$22,11,0),L:L,0)),INDEX(F:F,MATCH(VLOOKUP(D443,Input!$A$14:$L$22,12,0),L:L,0)))+(0.01-ROW()*0.01))</f>
        <v>-152.48500693064429</v>
      </c>
      <c r="Q443" s="106">
        <f t="shared" si="106"/>
        <v>-5.260625098861401E-2</v>
      </c>
      <c r="R443" s="8">
        <f>IF(VLOOKUP($D443,$X$14:$Y$19,2,0)&lt;=0,1,IF(Q443&lt;0,1,ROUNDUP(IF(Q443*('Draft Center'!$L$28+'Draft Center'!$L$78-'Draft Center'!$L$82)&lt;1,1,Q443*('Draft Center'!$L$28+'Draft Center'!$L$78-'Draft Center'!$L$82)),0)))</f>
        <v>1</v>
      </c>
      <c r="S443" s="8">
        <f>IF(A443&lt;Input!$B$10+0.1,IF(ROUNDUP(R443*Input!$C$10,0)=0,1,ROUNDUP(R443*Input!$C$10,0)),IF(A443&gt;Input!$B$11,IF(ROUNDUP(R443*Input!$C$11,0)=0,1,ROUNDUP(R443*Input!$C$11,0)),IF(ROUNDUP(R443,0)=0,1,ROUNDUP(R443,0))))</f>
        <v>1</v>
      </c>
      <c r="T443" s="8">
        <f t="shared" si="107"/>
        <v>1</v>
      </c>
      <c r="U443" s="8">
        <f>IFERROR(VLOOKUP($B443,Input!$AC$2:$AE$161,3,0),0)</f>
        <v>0</v>
      </c>
      <c r="V443" s="256">
        <f t="shared" si="108"/>
        <v>0</v>
      </c>
      <c r="W443" s="263">
        <f t="shared" si="109"/>
        <v>1.0044299999999999</v>
      </c>
      <c r="X443" s="68"/>
      <c r="Y443" s="68"/>
      <c r="Z443" s="68"/>
      <c r="AA443" s="68"/>
      <c r="AB443" s="68"/>
      <c r="AC443" s="68"/>
      <c r="AD443" s="68"/>
      <c r="AE443" s="68"/>
      <c r="AF443" s="68"/>
      <c r="AG443" s="68"/>
      <c r="AH443" s="68"/>
      <c r="AI443" s="68"/>
      <c r="AJ443" s="68">
        <v>1</v>
      </c>
      <c r="AL443" s="68">
        <v>1</v>
      </c>
      <c r="AM443" s="68"/>
      <c r="AN443" s="68"/>
      <c r="AO443" s="68"/>
      <c r="AQ443" s="68"/>
      <c r="AR443" s="68"/>
      <c r="AS443" s="68"/>
      <c r="AT443" s="68"/>
      <c r="AU443" s="68"/>
      <c r="AV443" s="68"/>
      <c r="AW443" s="68"/>
      <c r="AX443" s="68"/>
      <c r="AY443" s="68"/>
      <c r="AZ443" s="68"/>
      <c r="BB443" s="68"/>
      <c r="BC443" s="68"/>
      <c r="BJ443" s="68"/>
      <c r="BT443">
        <v>1</v>
      </c>
      <c r="BV443">
        <v>1</v>
      </c>
      <c r="BX443" s="68"/>
      <c r="BY443" s="68">
        <v>1</v>
      </c>
      <c r="BZ443" s="68">
        <v>0</v>
      </c>
      <c r="CA443" s="68">
        <v>0</v>
      </c>
      <c r="CB443" s="68">
        <v>0</v>
      </c>
      <c r="CC443" s="68">
        <f t="shared" si="110"/>
        <v>0</v>
      </c>
      <c r="CD443" s="68">
        <f t="shared" si="111"/>
        <v>0</v>
      </c>
    </row>
    <row r="444" spans="1:82" ht="15.75" customHeight="1" thickBot="1" x14ac:dyDescent="0.3">
      <c r="A444" s="9">
        <v>443</v>
      </c>
      <c r="B444" s="10" t="s">
        <v>365</v>
      </c>
      <c r="C444" s="10" t="s">
        <v>42</v>
      </c>
      <c r="D444" s="10" t="s">
        <v>43</v>
      </c>
      <c r="E444" s="51">
        <v>-148.17925180197301</v>
      </c>
      <c r="F444" s="51">
        <v>5.2816675502358299</v>
      </c>
      <c r="G444" s="51">
        <v>12.103579922634999</v>
      </c>
      <c r="H444" s="51">
        <v>-8.6444707798475406E-2</v>
      </c>
      <c r="I444" s="11">
        <v>0</v>
      </c>
      <c r="J444" s="51">
        <v>4.0129999684845199</v>
      </c>
      <c r="K444" s="249">
        <f>IFERROR(VLOOKUP(C444,Schedule!$T$3:$U$34,2,0),"FA")</f>
        <v>9</v>
      </c>
      <c r="L444" s="10" t="str">
        <f>D444&amp;COUNTIF(D$2:$D444,D444)</f>
        <v>TE108</v>
      </c>
      <c r="M444" s="51">
        <f t="array" ref="M444">IFERROR(F444-AVERAGE(VLOOKUP(D444,$D445:$F$885,3,0),INDEX($F445:$F$885,SMALL(IF(D444=$D445:$D$885,ROW($D445:$D$885)-ROW(D444)),2))),0)</f>
        <v>0.69287641056074545</v>
      </c>
      <c r="N444" s="51">
        <f>IFERROR(IF(VLOOKUP($B444,Input!$AC$2:$AC$162,1,0)=$B444,0),F444)</f>
        <v>5.2816675502358299</v>
      </c>
      <c r="O444" s="51">
        <f>IFERROR(IF(VLOOKUP($B444,Input!$AC$2:$AC$162,1,0)=$B444,0,G444),G444)</f>
        <v>12.103579922634999</v>
      </c>
      <c r="P444" s="51">
        <f>IF(N444=0,0,F444-AVERAGE(INDEX(F:F,MATCH(VLOOKUP(D444,Input!$A$14:$L$22,10,0),L:L,0)),INDEX(F:F,MATCH(VLOOKUP(D444,Input!$A$14:$L$22,11,0),L:L,0)),INDEX(F:F,MATCH(VLOOKUP(D444,Input!$A$14:$L$22,12,0),L:L,0)))+(0.01-ROW()*0.01))</f>
        <v>-152.6092518019735</v>
      </c>
      <c r="Q444" s="107">
        <f t="shared" si="106"/>
        <v>-5.2649114592169241E-2</v>
      </c>
      <c r="R444" s="11">
        <f>IF(VLOOKUP($D444,$X$14:$Y$19,2,0)&lt;=0,1,IF(Q444&lt;0,1,ROUNDUP(IF(Q444*('Draft Center'!$L$28+'Draft Center'!$L$78-'Draft Center'!$L$82)&lt;1,1,Q444*('Draft Center'!$L$28+'Draft Center'!$L$78-'Draft Center'!$L$82)),0)))</f>
        <v>1</v>
      </c>
      <c r="S444" s="11">
        <f>IF(A444&lt;Input!$B$10+0.1,IF(ROUNDUP(R444*Input!$C$10,0)=0,1,ROUNDUP(R444*Input!$C$10,0)),IF(A444&gt;Input!$B$11,IF(ROUNDUP(R444*Input!$C$11,0)=0,1,ROUNDUP(R444*Input!$C$11,0)),IF(ROUNDUP(R444,0)=0,1,ROUNDUP(R444,0))))</f>
        <v>1</v>
      </c>
      <c r="T444" s="11">
        <f t="shared" si="107"/>
        <v>1</v>
      </c>
      <c r="U444" s="11">
        <f>IFERROR(VLOOKUP($B444,Input!$AC$2:$AE$161,3,0),0)</f>
        <v>0</v>
      </c>
      <c r="V444" s="257">
        <f t="shared" si="108"/>
        <v>0</v>
      </c>
      <c r="W444" s="264">
        <f t="shared" si="109"/>
        <v>1.00444</v>
      </c>
      <c r="X444" s="68"/>
      <c r="Y444" s="68"/>
      <c r="Z444" s="68"/>
      <c r="AA444" s="68"/>
      <c r="AB444" s="68"/>
      <c r="AC444" s="68"/>
      <c r="AD444" s="68"/>
      <c r="AE444" s="68"/>
      <c r="AF444" s="68"/>
      <c r="AG444" s="68"/>
      <c r="AH444" s="68"/>
      <c r="AI444" s="68"/>
      <c r="AJ444" s="68">
        <v>1</v>
      </c>
      <c r="AL444" s="68">
        <v>1</v>
      </c>
      <c r="AM444" s="68"/>
      <c r="AN444" s="68"/>
      <c r="AO444" s="68"/>
      <c r="AQ444" s="68"/>
      <c r="AR444" s="68"/>
      <c r="AS444" s="68"/>
      <c r="AT444" s="68"/>
      <c r="AU444" s="68"/>
      <c r="AV444" s="68"/>
      <c r="AW444" s="68"/>
      <c r="AX444" s="68"/>
      <c r="AY444" s="68"/>
      <c r="AZ444" s="68"/>
      <c r="BB444" s="68"/>
      <c r="BC444" s="68"/>
      <c r="BJ444" s="68"/>
      <c r="BT444">
        <v>1</v>
      </c>
      <c r="BV444">
        <v>1</v>
      </c>
      <c r="BX444" s="68"/>
      <c r="BY444" s="68">
        <v>1</v>
      </c>
      <c r="BZ444" s="68">
        <v>0</v>
      </c>
      <c r="CA444" s="68">
        <v>0</v>
      </c>
      <c r="CB444" s="68">
        <v>0</v>
      </c>
      <c r="CC444" s="68">
        <f t="shared" si="110"/>
        <v>0</v>
      </c>
      <c r="CD444" s="68">
        <f t="shared" si="111"/>
        <v>0</v>
      </c>
    </row>
    <row r="445" spans="1:82" ht="15.75" customHeight="1" thickBot="1" x14ac:dyDescent="0.3">
      <c r="A445" s="6">
        <v>444</v>
      </c>
      <c r="B445" s="7" t="s">
        <v>898</v>
      </c>
      <c r="C445" s="7" t="s">
        <v>68</v>
      </c>
      <c r="D445" s="7" t="s">
        <v>43</v>
      </c>
      <c r="E445" s="50">
        <v>-148.65231720167199</v>
      </c>
      <c r="F445" s="50">
        <v>4.80860215053763</v>
      </c>
      <c r="G445" s="50">
        <v>7.7329282320580104</v>
      </c>
      <c r="H445" s="50">
        <v>0</v>
      </c>
      <c r="I445" s="8" t="s">
        <v>1057</v>
      </c>
      <c r="J445" s="50" t="s">
        <v>1057</v>
      </c>
      <c r="K445" s="248">
        <f>IFERROR(VLOOKUP(C445,Schedule!$T$3:$U$34,2,0),"FA")</f>
        <v>8</v>
      </c>
      <c r="L445" s="7" t="str">
        <f>D445&amp;COUNTIF(D$2:$D445,D445)</f>
        <v>TE109</v>
      </c>
      <c r="M445" s="50">
        <f t="array" ref="M445">IFERROR(F445-AVERAGE(VLOOKUP(D445,$D446:$F$885,3,0),INDEX($F446:$F$885,SMALL(IF(D445=$D446:$D$885,ROW($D446:$D$885)-ROW(D445)),2))),0)</f>
        <v>0.49301527061260497</v>
      </c>
      <c r="N445" s="50">
        <f>IFERROR(IF(VLOOKUP($B445,Input!$AC$2:$AC$162,1,0)=$B445,0),F445)</f>
        <v>4.80860215053763</v>
      </c>
      <c r="O445" s="50">
        <f>IFERROR(IF(VLOOKUP($B445,Input!$AC$2:$AC$162,1,0)=$B445,0,G445),G445)</f>
        <v>7.7329282320580104</v>
      </c>
      <c r="P445" s="50">
        <f>IF(N445=0,0,F445-AVERAGE(INDEX(F:F,MATCH(VLOOKUP(D445,Input!$A$14:$L$22,10,0),L:L,0)),INDEX(F:F,MATCH(VLOOKUP(D445,Input!$A$14:$L$22,11,0),L:L,0)),INDEX(F:F,MATCH(VLOOKUP(D445,Input!$A$14:$L$22,12,0),L:L,0)))+(0.01-ROW()*0.01))</f>
        <v>-153.09231720167168</v>
      </c>
      <c r="Q445" s="106">
        <f t="shared" si="106"/>
        <v>-5.281576874507226E-2</v>
      </c>
      <c r="R445" s="8">
        <f>IF(VLOOKUP($D445,$X$14:$Y$19,2,0)&lt;=0,1,IF(Q445&lt;0,1,ROUNDUP(IF(Q445*('Draft Center'!$L$28+'Draft Center'!$L$78-'Draft Center'!$L$82)&lt;1,1,Q445*('Draft Center'!$L$28+'Draft Center'!$L$78-'Draft Center'!$L$82)),0)))</f>
        <v>1</v>
      </c>
      <c r="S445" s="8">
        <f>IF(A445&lt;Input!$B$10+0.1,IF(ROUNDUP(R445*Input!$C$10,0)=0,1,ROUNDUP(R445*Input!$C$10,0)),IF(A445&gt;Input!$B$11,IF(ROUNDUP(R445*Input!$C$11,0)=0,1,ROUNDUP(R445*Input!$C$11,0)),IF(ROUNDUP(R445,0)=0,1,ROUNDUP(R445,0))))</f>
        <v>1</v>
      </c>
      <c r="T445" s="8">
        <f t="shared" si="107"/>
        <v>1</v>
      </c>
      <c r="U445" s="8">
        <f>IFERROR(VLOOKUP($B445,Input!$AC$2:$AE$161,3,0),0)</f>
        <v>0</v>
      </c>
      <c r="V445" s="256">
        <f t="shared" si="108"/>
        <v>0</v>
      </c>
      <c r="W445" s="263">
        <f t="shared" si="109"/>
        <v>0</v>
      </c>
      <c r="X445" s="68"/>
      <c r="Y445" s="68"/>
      <c r="Z445" s="68"/>
      <c r="AA445" s="68"/>
      <c r="AB445" s="68"/>
      <c r="AC445" s="68"/>
      <c r="AD445" s="68"/>
      <c r="AE445" s="68"/>
      <c r="AF445" s="68"/>
      <c r="AG445" s="68"/>
      <c r="AH445" s="68"/>
      <c r="AI445" s="68"/>
      <c r="AJ445" s="68">
        <v>1</v>
      </c>
      <c r="AL445" s="68">
        <v>1</v>
      </c>
      <c r="AM445" s="68"/>
      <c r="AN445" s="68"/>
      <c r="AO445" s="68"/>
      <c r="AQ445" s="68"/>
      <c r="AR445" s="68"/>
      <c r="AS445" s="68"/>
      <c r="AT445" s="68"/>
      <c r="AU445" s="68"/>
      <c r="AV445" s="68"/>
      <c r="AW445" s="68"/>
      <c r="AX445" s="68"/>
      <c r="AY445" s="68"/>
      <c r="AZ445" s="68"/>
      <c r="BB445" s="68"/>
      <c r="BC445" s="68"/>
      <c r="BJ445" s="68"/>
      <c r="BT445">
        <v>1</v>
      </c>
      <c r="BV445">
        <v>1</v>
      </c>
      <c r="BX445" s="68"/>
      <c r="BY445" s="68">
        <v>1</v>
      </c>
      <c r="BZ445" s="68" t="s">
        <v>1057</v>
      </c>
      <c r="CA445" s="68" t="s">
        <v>1057</v>
      </c>
      <c r="CB445" s="68" t="s">
        <v>1057</v>
      </c>
      <c r="CC445" s="68" t="e">
        <f t="shared" si="110"/>
        <v>#DIV/0!</v>
      </c>
      <c r="CD445" s="68" t="str">
        <f t="shared" si="111"/>
        <v>NA</v>
      </c>
    </row>
    <row r="446" spans="1:82" ht="15.75" customHeight="1" thickBot="1" x14ac:dyDescent="0.3">
      <c r="A446" s="9">
        <v>445</v>
      </c>
      <c r="B446" s="10" t="s">
        <v>308</v>
      </c>
      <c r="C446" s="10" t="s">
        <v>38</v>
      </c>
      <c r="D446" s="10" t="s">
        <v>19</v>
      </c>
      <c r="E446" s="51">
        <v>-148.93688078457299</v>
      </c>
      <c r="F446" s="51">
        <v>20.165517241379298</v>
      </c>
      <c r="G446" s="51">
        <v>40.661797123908201</v>
      </c>
      <c r="H446" s="51">
        <v>0</v>
      </c>
      <c r="I446" s="11">
        <v>0</v>
      </c>
      <c r="J446" s="51">
        <v>7.7100685191800196</v>
      </c>
      <c r="K446" s="249">
        <f>IFERROR(VLOOKUP(C446,Schedule!$T$3:$U$34,2,0),"FA")</f>
        <v>6</v>
      </c>
      <c r="L446" s="10" t="str">
        <f>D446&amp;COUNTIF(D$2:$D446,D446)</f>
        <v>RB121</v>
      </c>
      <c r="M446" s="51">
        <f t="array" ref="M446">IFERROR(F446-AVERAGE(VLOOKUP(D446,$D447:$F$885,3,0),INDEX($F447:$F$885,SMALL(IF(D446=$D447:$D$885,ROW($D447:$D$885)-ROW(D446)),2))),0)</f>
        <v>0.59095244288329951</v>
      </c>
      <c r="N446" s="51">
        <f>IFERROR(IF(VLOOKUP($B446,Input!$AC$2:$AC$162,1,0)=$B446,0),F446)</f>
        <v>20.165517241379298</v>
      </c>
      <c r="O446" s="51">
        <f>IFERROR(IF(VLOOKUP($B446,Input!$AC$2:$AC$162,1,0)=$B446,0,G446),G446)</f>
        <v>40.661797123908201</v>
      </c>
      <c r="P446" s="51">
        <f>IF(N446=0,0,F446-AVERAGE(INDEX(F:F,MATCH(VLOOKUP(D446,Input!$A$14:$L$22,10,0),L:L,0)),INDEX(F:F,MATCH(VLOOKUP(D446,Input!$A$14:$L$22,11,0),L:L,0)),INDEX(F:F,MATCH(VLOOKUP(D446,Input!$A$14:$L$22,12,0),L:L,0)))+(0.01-ROW()*0.01))</f>
        <v>-153.3868807845727</v>
      </c>
      <c r="Q446" s="107">
        <f t="shared" si="106"/>
        <v>-5.2917391101827929E-2</v>
      </c>
      <c r="R446" s="11">
        <f>IF(VLOOKUP($D446,$X$14:$Y$19,2,0)&lt;=0,1,IF(Q446&lt;0,1,ROUNDUP(IF(Q446*('Draft Center'!$L$28+'Draft Center'!$L$78-'Draft Center'!$L$82)&lt;1,1,Q446*('Draft Center'!$L$28+'Draft Center'!$L$78-'Draft Center'!$L$82)),0)))</f>
        <v>1</v>
      </c>
      <c r="S446" s="11">
        <f>IF(A446&lt;Input!$B$10+0.1,IF(ROUNDUP(R446*Input!$C$10,0)=0,1,ROUNDUP(R446*Input!$C$10,0)),IF(A446&gt;Input!$B$11,IF(ROUNDUP(R446*Input!$C$11,0)=0,1,ROUNDUP(R446*Input!$C$11,0)),IF(ROUNDUP(R446,0)=0,1,ROUNDUP(R446,0))))</f>
        <v>1</v>
      </c>
      <c r="T446" s="11">
        <f t="shared" si="107"/>
        <v>1</v>
      </c>
      <c r="U446" s="11">
        <f>IFERROR(VLOOKUP($B446,Input!$AC$2:$AE$161,3,0),0)</f>
        <v>0</v>
      </c>
      <c r="V446" s="257">
        <f t="shared" si="108"/>
        <v>0</v>
      </c>
      <c r="W446" s="264">
        <f t="shared" si="109"/>
        <v>1.0044599999999999</v>
      </c>
      <c r="X446" s="68"/>
      <c r="Y446" s="68"/>
      <c r="Z446" s="68"/>
      <c r="AA446" s="68"/>
      <c r="AB446" s="68"/>
      <c r="AC446" s="68"/>
      <c r="AD446" s="68"/>
      <c r="AE446" s="68"/>
      <c r="AF446" s="68"/>
      <c r="AG446" s="68"/>
      <c r="AH446" s="68"/>
      <c r="AI446" s="68"/>
      <c r="AJ446" s="68">
        <v>1</v>
      </c>
      <c r="AL446" s="68">
        <v>1</v>
      </c>
      <c r="AM446" s="68"/>
      <c r="AN446" s="68"/>
      <c r="AO446" s="68"/>
      <c r="AQ446" s="68"/>
      <c r="AR446" s="68"/>
      <c r="AS446" s="68"/>
      <c r="AT446" s="68"/>
      <c r="AU446" s="68"/>
      <c r="AV446" s="68"/>
      <c r="AW446" s="68"/>
      <c r="AX446" s="68"/>
      <c r="AY446" s="68"/>
      <c r="AZ446" s="68"/>
      <c r="BB446" s="68"/>
      <c r="BC446" s="68"/>
      <c r="BJ446" s="68"/>
      <c r="BT446">
        <v>1</v>
      </c>
      <c r="BV446">
        <v>1</v>
      </c>
      <c r="BX446" s="68"/>
      <c r="BY446" s="68">
        <v>1</v>
      </c>
      <c r="BZ446" s="68">
        <v>0</v>
      </c>
      <c r="CA446" s="68">
        <v>0</v>
      </c>
      <c r="CB446" s="68">
        <v>0</v>
      </c>
      <c r="CC446" s="68">
        <f t="shared" si="110"/>
        <v>0</v>
      </c>
      <c r="CD446" s="68">
        <f t="shared" si="111"/>
        <v>0</v>
      </c>
    </row>
    <row r="447" spans="1:82" ht="15.75" customHeight="1" thickBot="1" x14ac:dyDescent="0.3">
      <c r="A447" s="6">
        <v>446</v>
      </c>
      <c r="B447" s="7" t="s">
        <v>405</v>
      </c>
      <c r="C447" s="7" t="s">
        <v>45</v>
      </c>
      <c r="D447" s="7" t="s">
        <v>43</v>
      </c>
      <c r="E447" s="50">
        <v>-149.09193922339699</v>
      </c>
      <c r="F447" s="50">
        <v>4.3689801288125398</v>
      </c>
      <c r="G447" s="50">
        <v>7.3918484461681704</v>
      </c>
      <c r="H447" s="50">
        <v>0</v>
      </c>
      <c r="I447" s="8" t="s">
        <v>1057</v>
      </c>
      <c r="J447" s="50" t="s">
        <v>1057</v>
      </c>
      <c r="K447" s="248">
        <f>IFERROR(VLOOKUP(C447,Schedule!$T$3:$U$34,2,0),"FA")</f>
        <v>6</v>
      </c>
      <c r="L447" s="7" t="str">
        <f>D447&amp;COUNTIF(D$2:$D447,D447)</f>
        <v>TE110</v>
      </c>
      <c r="M447" s="50">
        <f t="array" ref="M447">IFERROR(F447-AVERAGE(VLOOKUP(D447,$D448:$F$885,3,0),INDEX($F448:$F$885,SMALL(IF(D447=$D448:$D$885,ROW($D448:$D$885)-ROW(D447)),2))),0)</f>
        <v>0.19967308602105938</v>
      </c>
      <c r="N447" s="50">
        <f>IFERROR(IF(VLOOKUP($B447,Input!$AC$2:$AC$162,1,0)=$B447,0),F447)</f>
        <v>4.3689801288125398</v>
      </c>
      <c r="O447" s="50">
        <f>IFERROR(IF(VLOOKUP($B447,Input!$AC$2:$AC$162,1,0)=$B447,0,G447),G447)</f>
        <v>7.3918484461681704</v>
      </c>
      <c r="P447" s="50">
        <f>IF(N447=0,0,F447-AVERAGE(INDEX(F:F,MATCH(VLOOKUP(D447,Input!$A$14:$L$22,10,0),L:L,0)),INDEX(F:F,MATCH(VLOOKUP(D447,Input!$A$14:$L$22,11,0),L:L,0)),INDEX(F:F,MATCH(VLOOKUP(D447,Input!$A$14:$L$22,12,0),L:L,0)))+(0.01-ROW()*0.01))</f>
        <v>-153.55193922339677</v>
      </c>
      <c r="Q447" s="106">
        <f t="shared" si="106"/>
        <v>-5.2974335098063034E-2</v>
      </c>
      <c r="R447" s="8">
        <f>IF(VLOOKUP($D447,$X$14:$Y$19,2,0)&lt;=0,1,IF(Q447&lt;0,1,ROUNDUP(IF(Q447*('Draft Center'!$L$28+'Draft Center'!$L$78-'Draft Center'!$L$82)&lt;1,1,Q447*('Draft Center'!$L$28+'Draft Center'!$L$78-'Draft Center'!$L$82)),0)))</f>
        <v>1</v>
      </c>
      <c r="S447" s="8">
        <f>IF(A447&lt;Input!$B$10+0.1,IF(ROUNDUP(R447*Input!$C$10,0)=0,1,ROUNDUP(R447*Input!$C$10,0)),IF(A447&gt;Input!$B$11,IF(ROUNDUP(R447*Input!$C$11,0)=0,1,ROUNDUP(R447*Input!$C$11,0)),IF(ROUNDUP(R447,0)=0,1,ROUNDUP(R447,0))))</f>
        <v>1</v>
      </c>
      <c r="T447" s="8">
        <f t="shared" si="107"/>
        <v>1</v>
      </c>
      <c r="U447" s="8">
        <f>IFERROR(VLOOKUP($B447,Input!$AC$2:$AE$161,3,0),0)</f>
        <v>0</v>
      </c>
      <c r="V447" s="256">
        <f t="shared" si="108"/>
        <v>0</v>
      </c>
      <c r="W447" s="263">
        <f t="shared" si="109"/>
        <v>0</v>
      </c>
      <c r="X447" s="68"/>
      <c r="Y447" s="68"/>
      <c r="Z447" s="68"/>
      <c r="AA447" s="68"/>
      <c r="AB447" s="68"/>
      <c r="AC447" s="68"/>
      <c r="AD447" s="68"/>
      <c r="AE447" s="68"/>
      <c r="AF447" s="68"/>
      <c r="AG447" s="68"/>
      <c r="AH447" s="68"/>
      <c r="AI447" s="68"/>
      <c r="AJ447" s="68">
        <v>1</v>
      </c>
      <c r="AL447" s="68">
        <v>1</v>
      </c>
      <c r="AM447" s="68"/>
      <c r="AN447" s="68"/>
      <c r="AO447" s="68"/>
      <c r="AQ447" s="68"/>
      <c r="AR447" s="68"/>
      <c r="AS447" s="68"/>
      <c r="AT447" s="68"/>
      <c r="AU447" s="68"/>
      <c r="AV447" s="68"/>
      <c r="AW447" s="68"/>
      <c r="AX447" s="68"/>
      <c r="AY447" s="68"/>
      <c r="AZ447" s="68"/>
      <c r="BB447" s="68"/>
      <c r="BC447" s="68"/>
      <c r="BJ447" s="68"/>
      <c r="BT447">
        <v>1</v>
      </c>
      <c r="BV447">
        <v>1</v>
      </c>
      <c r="BX447" s="68"/>
      <c r="BY447" s="68">
        <v>1</v>
      </c>
      <c r="BZ447" s="68" t="s">
        <v>1057</v>
      </c>
      <c r="CA447" s="68" t="s">
        <v>1057</v>
      </c>
      <c r="CB447" s="68" t="s">
        <v>1057</v>
      </c>
      <c r="CC447" s="68" t="e">
        <f t="shared" si="110"/>
        <v>#DIV/0!</v>
      </c>
      <c r="CD447" s="68" t="str">
        <f t="shared" si="111"/>
        <v>NA</v>
      </c>
    </row>
    <row r="448" spans="1:82" ht="15.75" customHeight="1" thickBot="1" x14ac:dyDescent="0.3">
      <c r="A448" s="9">
        <v>447</v>
      </c>
      <c r="B448" s="10" t="s">
        <v>433</v>
      </c>
      <c r="C448" s="10" t="s">
        <v>143</v>
      </c>
      <c r="D448" s="10" t="s">
        <v>43</v>
      </c>
      <c r="E448" s="51">
        <v>-149.198725721172</v>
      </c>
      <c r="F448" s="51">
        <v>4.2621936310375101</v>
      </c>
      <c r="G448" s="51">
        <v>8.0055449485146095</v>
      </c>
      <c r="H448" s="51">
        <v>0</v>
      </c>
      <c r="I448" s="11">
        <v>0</v>
      </c>
      <c r="J448" s="51">
        <v>4.6667841194735802</v>
      </c>
      <c r="K448" s="249">
        <f>IFERROR(VLOOKUP(C448,Schedule!$T$3:$U$34,2,0),"FA")</f>
        <v>9</v>
      </c>
      <c r="L448" s="10" t="str">
        <f>D448&amp;COUNTIF(D$2:$D448,D448)</f>
        <v>TE111</v>
      </c>
      <c r="M448" s="51">
        <f t="array" ref="M448">IFERROR(F448-AVERAGE(VLOOKUP(D448,$D449:$F$885,3,0),INDEX($F449:$F$885,SMALL(IF(D448=$D449:$D$885,ROW($D449:$D$885)-ROW(D448)),2))),0)</f>
        <v>0.206297279192035</v>
      </c>
      <c r="N448" s="51">
        <f>IFERROR(IF(VLOOKUP($B448,Input!$AC$2:$AC$162,1,0)=$B448,0),F448)</f>
        <v>4.2621936310375101</v>
      </c>
      <c r="O448" s="51">
        <f>IFERROR(IF(VLOOKUP($B448,Input!$AC$2:$AC$162,1,0)=$B448,0,G448),G448)</f>
        <v>8.0055449485146095</v>
      </c>
      <c r="P448" s="51">
        <f>IF(N448=0,0,F448-AVERAGE(INDEX(F:F,MATCH(VLOOKUP(D448,Input!$A$14:$L$22,10,0),L:L,0)),INDEX(F:F,MATCH(VLOOKUP(D448,Input!$A$14:$L$22,11,0),L:L,0)),INDEX(F:F,MATCH(VLOOKUP(D448,Input!$A$14:$L$22,12,0),L:L,0)))+(0.01-ROW()*0.01))</f>
        <v>-153.6687257211718</v>
      </c>
      <c r="Q448" s="107">
        <f t="shared" si="106"/>
        <v>-5.3014625615391262E-2</v>
      </c>
      <c r="R448" s="11">
        <f>IF(VLOOKUP($D448,$X$14:$Y$19,2,0)&lt;=0,1,IF(Q448&lt;0,1,ROUNDUP(IF(Q448*('Draft Center'!$L$28+'Draft Center'!$L$78-'Draft Center'!$L$82)&lt;1,1,Q448*('Draft Center'!$L$28+'Draft Center'!$L$78-'Draft Center'!$L$82)),0)))</f>
        <v>1</v>
      </c>
      <c r="S448" s="11">
        <f>IF(A448&lt;Input!$B$10+0.1,IF(ROUNDUP(R448*Input!$C$10,0)=0,1,ROUNDUP(R448*Input!$C$10,0)),IF(A448&gt;Input!$B$11,IF(ROUNDUP(R448*Input!$C$11,0)=0,1,ROUNDUP(R448*Input!$C$11,0)),IF(ROUNDUP(R448,0)=0,1,ROUNDUP(R448,0))))</f>
        <v>1</v>
      </c>
      <c r="T448" s="11">
        <f t="shared" si="107"/>
        <v>1</v>
      </c>
      <c r="U448" s="11">
        <f>IFERROR(VLOOKUP($B448,Input!$AC$2:$AE$161,3,0),0)</f>
        <v>0</v>
      </c>
      <c r="V448" s="257">
        <f t="shared" si="108"/>
        <v>0</v>
      </c>
      <c r="W448" s="264">
        <f t="shared" si="109"/>
        <v>1.00448</v>
      </c>
      <c r="X448" s="68"/>
      <c r="Y448" s="68"/>
      <c r="Z448" s="68"/>
      <c r="AA448" s="68"/>
      <c r="AB448" s="68"/>
      <c r="AC448" s="68"/>
      <c r="AD448" s="68"/>
      <c r="AE448" s="68"/>
      <c r="AF448" s="68"/>
      <c r="AG448" s="68"/>
      <c r="AH448" s="68"/>
      <c r="AI448" s="68"/>
      <c r="AJ448" s="68">
        <v>1</v>
      </c>
      <c r="AL448" s="68">
        <v>1</v>
      </c>
      <c r="AM448" s="68"/>
      <c r="AN448" s="68"/>
      <c r="AO448" s="68"/>
      <c r="AQ448" s="68"/>
      <c r="AR448" s="68"/>
      <c r="AS448" s="68"/>
      <c r="AT448" s="68"/>
      <c r="AU448" s="68"/>
      <c r="AV448" s="68"/>
      <c r="AW448" s="68"/>
      <c r="AX448" s="68"/>
      <c r="AY448" s="68"/>
      <c r="AZ448" s="68"/>
      <c r="BB448" s="68"/>
      <c r="BC448" s="68"/>
      <c r="BJ448" s="68"/>
      <c r="BT448">
        <v>1</v>
      </c>
      <c r="BV448">
        <v>1</v>
      </c>
      <c r="BX448" s="68"/>
      <c r="BY448" s="68">
        <v>1</v>
      </c>
      <c r="BZ448" s="68">
        <v>0</v>
      </c>
      <c r="CA448" s="68">
        <v>0</v>
      </c>
      <c r="CB448" s="68">
        <v>0</v>
      </c>
      <c r="CC448" s="68">
        <f t="shared" si="110"/>
        <v>0</v>
      </c>
      <c r="CD448" s="68">
        <f t="shared" si="111"/>
        <v>0</v>
      </c>
    </row>
    <row r="449" spans="1:82" ht="15.75" customHeight="1" thickBot="1" x14ac:dyDescent="0.3">
      <c r="A449" s="6">
        <v>448</v>
      </c>
      <c r="B449" s="7" t="s">
        <v>1004</v>
      </c>
      <c r="C449" s="7" t="s">
        <v>42</v>
      </c>
      <c r="D449" s="7" t="s">
        <v>43</v>
      </c>
      <c r="E449" s="50">
        <v>-149.384498897664</v>
      </c>
      <c r="F449" s="50">
        <v>4.0764204545454499</v>
      </c>
      <c r="G449" s="50">
        <v>7.1743161094224899</v>
      </c>
      <c r="H449" s="50">
        <v>0</v>
      </c>
      <c r="I449" s="8">
        <v>0</v>
      </c>
      <c r="J449" s="50" t="s">
        <v>1057</v>
      </c>
      <c r="K449" s="248">
        <f>IFERROR(VLOOKUP(C449,Schedule!$T$3:$U$34,2,0),"FA")</f>
        <v>9</v>
      </c>
      <c r="L449" s="7" t="str">
        <f>D449&amp;COUNTIF(D$2:$D449,D449)</f>
        <v>TE112</v>
      </c>
      <c r="M449" s="50">
        <f t="array" ref="M449">IFERROR(F449-AVERAGE(VLOOKUP(D449,$D450:$F$885,3,0),INDEX($F450:$F$885,SMALL(IF(D449=$D450:$D$885,ROW($D450:$D$885)-ROW(D449)),2))),0)</f>
        <v>0.20927196438129947</v>
      </c>
      <c r="N449" s="50">
        <f>IFERROR(IF(VLOOKUP($B449,Input!$AC$2:$AC$162,1,0)=$B449,0),F449)</f>
        <v>4.0764204545454499</v>
      </c>
      <c r="O449" s="50">
        <f>IFERROR(IF(VLOOKUP($B449,Input!$AC$2:$AC$162,1,0)=$B449,0,G449),G449)</f>
        <v>7.1743161094224899</v>
      </c>
      <c r="P449" s="50">
        <f>IF(N449=0,0,F449-AVERAGE(INDEX(F:F,MATCH(VLOOKUP(D449,Input!$A$14:$L$22,10,0),L:L,0)),INDEX(F:F,MATCH(VLOOKUP(D449,Input!$A$14:$L$22,11,0),L:L,0)),INDEX(F:F,MATCH(VLOOKUP(D449,Input!$A$14:$L$22,12,0),L:L,0)))+(0.01-ROW()*0.01))</f>
        <v>-153.86449889766385</v>
      </c>
      <c r="Q449" s="106">
        <f t="shared" si="106"/>
        <v>-5.3082165979304305E-2</v>
      </c>
      <c r="R449" s="8">
        <f>IF(VLOOKUP($D449,$X$14:$Y$19,2,0)&lt;=0,1,IF(Q449&lt;0,1,ROUNDUP(IF(Q449*('Draft Center'!$L$28+'Draft Center'!$L$78-'Draft Center'!$L$82)&lt;1,1,Q449*('Draft Center'!$L$28+'Draft Center'!$L$78-'Draft Center'!$L$82)),0)))</f>
        <v>1</v>
      </c>
      <c r="S449" s="8">
        <f>IF(A449&lt;Input!$B$10+0.1,IF(ROUNDUP(R449*Input!$C$10,0)=0,1,ROUNDUP(R449*Input!$C$10,0)),IF(A449&gt;Input!$B$11,IF(ROUNDUP(R449*Input!$C$11,0)=0,1,ROUNDUP(R449*Input!$C$11,0)),IF(ROUNDUP(R449,0)=0,1,ROUNDUP(R449,0))))</f>
        <v>1</v>
      </c>
      <c r="T449" s="8">
        <f t="shared" si="107"/>
        <v>1</v>
      </c>
      <c r="U449" s="8">
        <f>IFERROR(VLOOKUP($B449,Input!$AC$2:$AE$161,3,0),0)</f>
        <v>0</v>
      </c>
      <c r="V449" s="256">
        <f t="shared" si="108"/>
        <v>0</v>
      </c>
      <c r="W449" s="263">
        <f t="shared" si="109"/>
        <v>1.0044900000000001</v>
      </c>
      <c r="X449" s="68"/>
      <c r="Y449" s="68"/>
      <c r="Z449" s="68"/>
      <c r="AA449" s="68"/>
      <c r="AB449" s="68"/>
      <c r="AC449" s="68"/>
      <c r="AD449" s="68"/>
      <c r="AE449" s="68"/>
      <c r="AF449" s="68"/>
      <c r="AG449" s="68"/>
      <c r="AH449" s="68"/>
      <c r="AI449" s="68"/>
      <c r="AJ449" s="68">
        <v>1</v>
      </c>
      <c r="AL449" s="68">
        <v>1</v>
      </c>
      <c r="AM449" s="68"/>
      <c r="AN449" s="68"/>
      <c r="AO449" s="68"/>
      <c r="AQ449" s="68"/>
      <c r="AR449" s="68"/>
      <c r="AS449" s="68"/>
      <c r="AT449" s="68"/>
      <c r="AU449" s="68"/>
      <c r="AV449" s="68"/>
      <c r="AW449" s="68"/>
      <c r="AX449" s="68"/>
      <c r="AY449" s="68"/>
      <c r="AZ449" s="68"/>
      <c r="BB449" s="68"/>
      <c r="BC449" s="68"/>
      <c r="BJ449" s="68"/>
      <c r="BT449">
        <v>1</v>
      </c>
      <c r="BV449">
        <v>1</v>
      </c>
      <c r="BX449" s="68"/>
      <c r="BY449" s="68">
        <v>1</v>
      </c>
      <c r="BZ449" s="68">
        <v>0</v>
      </c>
      <c r="CA449" s="68">
        <v>0</v>
      </c>
      <c r="CB449" s="68">
        <v>0</v>
      </c>
      <c r="CC449" s="68">
        <f t="shared" si="110"/>
        <v>0</v>
      </c>
      <c r="CD449" s="68">
        <f t="shared" si="111"/>
        <v>0</v>
      </c>
    </row>
    <row r="450" spans="1:82" ht="15.75" customHeight="1" thickBot="1" x14ac:dyDescent="0.3">
      <c r="A450" s="9">
        <v>449</v>
      </c>
      <c r="B450" s="10" t="s">
        <v>470</v>
      </c>
      <c r="C450" s="10" t="s">
        <v>52</v>
      </c>
      <c r="D450" s="10" t="s">
        <v>43</v>
      </c>
      <c r="E450" s="51">
        <v>-149.42554710306399</v>
      </c>
      <c r="F450" s="51">
        <v>4.0353722491455004</v>
      </c>
      <c r="G450" s="51">
        <v>8.1764510703363893</v>
      </c>
      <c r="H450" s="51">
        <v>-8.6742857142857094E-2</v>
      </c>
      <c r="I450" s="11">
        <v>0</v>
      </c>
      <c r="J450" s="51" t="s">
        <v>1057</v>
      </c>
      <c r="K450" s="249">
        <f>IFERROR(VLOOKUP(C450,Schedule!$T$3:$U$34,2,0),"FA")</f>
        <v>11</v>
      </c>
      <c r="L450" s="10" t="str">
        <f>D450&amp;COUNTIF(D$2:$D450,D450)</f>
        <v>TE113</v>
      </c>
      <c r="M450" s="51">
        <f t="array" ref="M450">IFERROR(F450-AVERAGE(VLOOKUP(D450,$D451:$F$885,3,0),INDEX($F451:$F$885,SMALL(IF(D450=$D451:$D$885,ROW($D451:$D$885)-ROW(D450)),2))),0)</f>
        <v>0.5025702544867654</v>
      </c>
      <c r="N450" s="51">
        <f>IFERROR(IF(VLOOKUP($B450,Input!$AC$2:$AC$162,1,0)=$B450,0),F450)</f>
        <v>4.0353722491455004</v>
      </c>
      <c r="O450" s="51">
        <f>IFERROR(IF(VLOOKUP($B450,Input!$AC$2:$AC$162,1,0)=$B450,0,G450),G450)</f>
        <v>8.1764510703363893</v>
      </c>
      <c r="P450" s="51">
        <f>IF(N450=0,0,F450-AVERAGE(INDEX(F:F,MATCH(VLOOKUP(D450,Input!$A$14:$L$22,10,0),L:L,0)),INDEX(F:F,MATCH(VLOOKUP(D450,Input!$A$14:$L$22,11,0),L:L,0)),INDEX(F:F,MATCH(VLOOKUP(D450,Input!$A$14:$L$22,12,0),L:L,0)))+(0.01-ROW()*0.01))</f>
        <v>-153.91554710306383</v>
      </c>
      <c r="Q450" s="107">
        <f t="shared" ref="Q450:Q513" si="112">IFERROR(P450/SUMIF(P:P,"&gt;0",P:P),0)</f>
        <v>-5.3099777249814406E-2</v>
      </c>
      <c r="R450" s="11">
        <f>IF(VLOOKUP($D450,$X$14:$Y$19,2,0)&lt;=0,1,IF(Q450&lt;0,1,ROUNDUP(IF(Q450*('Draft Center'!$L$28+'Draft Center'!$L$78-'Draft Center'!$L$82)&lt;1,1,Q450*('Draft Center'!$L$28+'Draft Center'!$L$78-'Draft Center'!$L$82)),0)))</f>
        <v>1</v>
      </c>
      <c r="S450" s="11">
        <f>IF(A450&lt;Input!$B$10+0.1,IF(ROUNDUP(R450*Input!$C$10,0)=0,1,ROUNDUP(R450*Input!$C$10,0)),IF(A450&gt;Input!$B$11,IF(ROUNDUP(R450*Input!$C$11,0)=0,1,ROUNDUP(R450*Input!$C$11,0)),IF(ROUNDUP(R450,0)=0,1,ROUNDUP(R450,0))))</f>
        <v>1</v>
      </c>
      <c r="T450" s="11">
        <f t="shared" ref="T450:T513" si="113">IF(U450&gt;0,0,IF(AA450=1,R450,IF(AL450=0,1,AL450)))</f>
        <v>1</v>
      </c>
      <c r="U450" s="11">
        <f>IFERROR(VLOOKUP($B450,Input!$AC$2:$AE$161,3,0),0)</f>
        <v>0</v>
      </c>
      <c r="V450" s="257">
        <f t="shared" si="108"/>
        <v>0</v>
      </c>
      <c r="W450" s="264">
        <f t="shared" si="109"/>
        <v>1.0044999999999999</v>
      </c>
      <c r="X450" s="68"/>
      <c r="Y450" s="68"/>
      <c r="Z450" s="68"/>
      <c r="AA450" s="68"/>
      <c r="AB450" s="68"/>
      <c r="AC450" s="68"/>
      <c r="AD450" s="68"/>
      <c r="AE450" s="68"/>
      <c r="AF450" s="68"/>
      <c r="AG450" s="68"/>
      <c r="AH450" s="68"/>
      <c r="AI450" s="68"/>
      <c r="AJ450" s="68">
        <v>1</v>
      </c>
      <c r="AL450" s="68">
        <v>1</v>
      </c>
      <c r="AM450" s="68"/>
      <c r="AN450" s="68"/>
      <c r="AO450" s="68"/>
      <c r="AQ450" s="68"/>
      <c r="AR450" s="68"/>
      <c r="AS450" s="68"/>
      <c r="AT450" s="68"/>
      <c r="AU450" s="68"/>
      <c r="AV450" s="68"/>
      <c r="AW450" s="68"/>
      <c r="AX450" s="68"/>
      <c r="AY450" s="68"/>
      <c r="AZ450" s="68"/>
      <c r="BB450" s="68"/>
      <c r="BC450" s="68"/>
      <c r="BJ450" s="68"/>
      <c r="BT450">
        <v>1</v>
      </c>
      <c r="BV450">
        <v>1</v>
      </c>
      <c r="BX450" s="68"/>
      <c r="BY450" s="68">
        <v>1</v>
      </c>
      <c r="BZ450" s="68">
        <v>0</v>
      </c>
      <c r="CA450" s="68">
        <v>0</v>
      </c>
      <c r="CB450" s="68">
        <v>0</v>
      </c>
      <c r="CC450" s="68">
        <f t="shared" si="110"/>
        <v>0</v>
      </c>
      <c r="CD450" s="68">
        <f t="shared" si="111"/>
        <v>0</v>
      </c>
    </row>
    <row r="451" spans="1:82" ht="15.75" customHeight="1" thickBot="1" x14ac:dyDescent="0.3">
      <c r="A451" s="6">
        <v>450</v>
      </c>
      <c r="B451" s="7" t="s">
        <v>254</v>
      </c>
      <c r="C451" s="7" t="s">
        <v>927</v>
      </c>
      <c r="D451" s="7" t="s">
        <v>19</v>
      </c>
      <c r="E451" s="50">
        <v>-149.487154418317</v>
      </c>
      <c r="F451" s="50">
        <v>19.6152436076345</v>
      </c>
      <c r="G451" s="50">
        <v>37.076018919470698</v>
      </c>
      <c r="H451" s="50">
        <v>0</v>
      </c>
      <c r="I451" s="8">
        <v>0</v>
      </c>
      <c r="J451" s="50">
        <v>7.5182230263084504</v>
      </c>
      <c r="K451" s="248">
        <f>IFERROR(VLOOKUP(C451,Schedule!$T$3:$U$34,2,0),"FA")</f>
        <v>9</v>
      </c>
      <c r="L451" s="7" t="str">
        <f>D451&amp;COUNTIF(D$2:$D451,D451)</f>
        <v>RB122</v>
      </c>
      <c r="M451" s="50">
        <f t="array" ref="M451">IFERROR(F451-AVERAGE(VLOOKUP(D451,$D452:$F$885,3,0),INDEX($F452:$F$885,SMALL(IF(D451=$D452:$D$885,ROW($D452:$D$885)-ROW(D451)),2))),0)</f>
        <v>0.21825326447089921</v>
      </c>
      <c r="N451" s="50">
        <f>IFERROR(IF(VLOOKUP($B451,Input!$AC$2:$AC$162,1,0)=$B451,0),F451)</f>
        <v>19.6152436076345</v>
      </c>
      <c r="O451" s="50">
        <f>IFERROR(IF(VLOOKUP($B451,Input!$AC$2:$AC$162,1,0)=$B451,0,G451),G451)</f>
        <v>37.076018919470698</v>
      </c>
      <c r="P451" s="50">
        <f>IF(N451=0,0,F451-AVERAGE(INDEX(F:F,MATCH(VLOOKUP(D451,Input!$A$14:$L$22,10,0),L:L,0)),INDEX(F:F,MATCH(VLOOKUP(D451,Input!$A$14:$L$22,11,0),L:L,0)),INDEX(F:F,MATCH(VLOOKUP(D451,Input!$A$14:$L$22,12,0),L:L,0)))+(0.01-ROW()*0.01))</f>
        <v>-153.98715441831749</v>
      </c>
      <c r="Q451" s="106">
        <f t="shared" si="112"/>
        <v>-5.3124481268095811E-2</v>
      </c>
      <c r="R451" s="8">
        <f>IF(VLOOKUP($D451,$X$14:$Y$19,2,0)&lt;=0,1,IF(Q451&lt;0,1,ROUNDUP(IF(Q451*('Draft Center'!$L$28+'Draft Center'!$L$78-'Draft Center'!$L$82)&lt;1,1,Q451*('Draft Center'!$L$28+'Draft Center'!$L$78-'Draft Center'!$L$82)),0)))</f>
        <v>1</v>
      </c>
      <c r="S451" s="8">
        <f>IF(A451&lt;Input!$B$10+0.1,IF(ROUNDUP(R451*Input!$C$10,0)=0,1,ROUNDUP(R451*Input!$C$10,0)),IF(A451&gt;Input!$B$11,IF(ROUNDUP(R451*Input!$C$11,0)=0,1,ROUNDUP(R451*Input!$C$11,0)),IF(ROUNDUP(R451,0)=0,1,ROUNDUP(R451,0))))</f>
        <v>1</v>
      </c>
      <c r="T451" s="8">
        <f t="shared" si="113"/>
        <v>1</v>
      </c>
      <c r="U451" s="8">
        <f>IFERROR(VLOOKUP($B451,Input!$AC$2:$AE$161,3,0),0)</f>
        <v>0</v>
      </c>
      <c r="V451" s="256">
        <f t="shared" ref="V451:V514" si="114">IF(R451=0,0,IFERROR(((R451-CD451)/CD451)+(ROW()*0.00001),0))</f>
        <v>0</v>
      </c>
      <c r="W451" s="263">
        <f t="shared" ref="W451:W514" si="115">IF(R451=0,0,IFERROR(((R451-CD451))+(ROW()*0.00001),0))</f>
        <v>1.00451</v>
      </c>
      <c r="X451" s="68"/>
      <c r="Y451" s="68"/>
      <c r="Z451" s="68"/>
      <c r="AA451" s="68"/>
      <c r="AB451" s="68"/>
      <c r="AC451" s="68"/>
      <c r="AD451" s="68"/>
      <c r="AE451" s="68"/>
      <c r="AF451" s="68"/>
      <c r="AG451" s="68"/>
      <c r="AH451" s="68"/>
      <c r="AI451" s="68"/>
      <c r="AJ451" s="68">
        <v>1</v>
      </c>
      <c r="AL451" s="68">
        <v>1</v>
      </c>
      <c r="AM451" s="68"/>
      <c r="AN451" s="68"/>
      <c r="AO451" s="68"/>
      <c r="AQ451" s="68"/>
      <c r="AR451" s="68"/>
      <c r="AS451" s="68"/>
      <c r="AT451" s="68"/>
      <c r="AU451" s="68"/>
      <c r="AV451" s="68"/>
      <c r="AW451" s="68"/>
      <c r="AX451" s="68"/>
      <c r="AY451" s="68"/>
      <c r="AZ451" s="68"/>
      <c r="BB451" s="68"/>
      <c r="BC451" s="68"/>
      <c r="BJ451" s="68"/>
      <c r="BT451">
        <v>1</v>
      </c>
      <c r="BV451">
        <v>1</v>
      </c>
      <c r="BX451" s="68"/>
      <c r="BY451" s="68">
        <v>1</v>
      </c>
      <c r="BZ451" s="68">
        <v>0</v>
      </c>
      <c r="CA451" s="68">
        <v>0</v>
      </c>
      <c r="CB451" s="68">
        <v>0</v>
      </c>
      <c r="CC451" s="68">
        <f t="shared" ref="CC451:CC514" si="116">AVERAGE(BZ451:CB451)</f>
        <v>0</v>
      </c>
      <c r="CD451" s="68">
        <f t="shared" ref="CD451:CD514" si="117">IFERROR(HLOOKUP($CD$1,$BZ$1:$CC$930,ROW(),0),"")</f>
        <v>0</v>
      </c>
    </row>
    <row r="452" spans="1:82" ht="15.75" customHeight="1" thickBot="1" x14ac:dyDescent="0.3">
      <c r="A452" s="9">
        <v>451</v>
      </c>
      <c r="B452" s="10" t="s">
        <v>358</v>
      </c>
      <c r="C452" s="10" t="s">
        <v>31</v>
      </c>
      <c r="D452" s="10" t="s">
        <v>19</v>
      </c>
      <c r="E452" s="51">
        <v>-149.568512036594</v>
      </c>
      <c r="F452" s="51">
        <v>19.533885989357501</v>
      </c>
      <c r="G452" s="51">
        <v>31.2932308027478</v>
      </c>
      <c r="H452" s="51">
        <v>-0.18117720948461699</v>
      </c>
      <c r="I452" s="11">
        <v>0</v>
      </c>
      <c r="J452" s="51">
        <v>5.5523817419309101</v>
      </c>
      <c r="K452" s="249">
        <f>IFERROR(VLOOKUP(C452,Schedule!$T$3:$U$34,2,0),"FA")</f>
        <v>9</v>
      </c>
      <c r="L452" s="10" t="str">
        <f>D452&amp;COUNTIF(D$2:$D452,D452)</f>
        <v>RB123</v>
      </c>
      <c r="M452" s="51">
        <f t="array" ref="M452">IFERROR(F452-AVERAGE(VLOOKUP(D452,$D453:$F$885,3,0),INDEX($F453:$F$885,SMALL(IF(D452=$D453:$D$885,ROW($D453:$D$885)-ROW(D452)),2))),0)</f>
        <v>0.65261537837960049</v>
      </c>
      <c r="N452" s="51">
        <f>IFERROR(IF(VLOOKUP($B452,Input!$AC$2:$AC$162,1,0)=$B452,0),F452)</f>
        <v>19.533885989357501</v>
      </c>
      <c r="O452" s="51">
        <f>IFERROR(IF(VLOOKUP($B452,Input!$AC$2:$AC$162,1,0)=$B452,0,G452),G452)</f>
        <v>31.2932308027478</v>
      </c>
      <c r="P452" s="51">
        <f>IF(N452=0,0,F452-AVERAGE(INDEX(F:F,MATCH(VLOOKUP(D452,Input!$A$14:$L$22,10,0),L:L,0)),INDEX(F:F,MATCH(VLOOKUP(D452,Input!$A$14:$L$22,11,0),L:L,0)),INDEX(F:F,MATCH(VLOOKUP(D452,Input!$A$14:$L$22,12,0),L:L,0)))+(0.01-ROW()*0.01))</f>
        <v>-154.07851203659447</v>
      </c>
      <c r="Q452" s="107">
        <f t="shared" si="112"/>
        <v>-5.3155999001501475E-2</v>
      </c>
      <c r="R452" s="11">
        <f>IF(VLOOKUP($D452,$X$14:$Y$19,2,0)&lt;=0,1,IF(Q452&lt;0,1,ROUNDUP(IF(Q452*('Draft Center'!$L$28+'Draft Center'!$L$78-'Draft Center'!$L$82)&lt;1,1,Q452*('Draft Center'!$L$28+'Draft Center'!$L$78-'Draft Center'!$L$82)),0)))</f>
        <v>1</v>
      </c>
      <c r="S452" s="11">
        <f>IF(A452&lt;Input!$B$10+0.1,IF(ROUNDUP(R452*Input!$C$10,0)=0,1,ROUNDUP(R452*Input!$C$10,0)),IF(A452&gt;Input!$B$11,IF(ROUNDUP(R452*Input!$C$11,0)=0,1,ROUNDUP(R452*Input!$C$11,0)),IF(ROUNDUP(R452,0)=0,1,ROUNDUP(R452,0))))</f>
        <v>1</v>
      </c>
      <c r="T452" s="11">
        <f t="shared" si="113"/>
        <v>1</v>
      </c>
      <c r="U452" s="11">
        <f>IFERROR(VLOOKUP($B452,Input!$AC$2:$AE$161,3,0),0)</f>
        <v>0</v>
      </c>
      <c r="V452" s="257">
        <f t="shared" si="114"/>
        <v>0</v>
      </c>
      <c r="W452" s="264">
        <f t="shared" si="115"/>
        <v>1.0045200000000001</v>
      </c>
      <c r="X452" s="68"/>
      <c r="Y452" s="68"/>
      <c r="Z452" s="68"/>
      <c r="AA452" s="68"/>
      <c r="AB452" s="68"/>
      <c r="AC452" s="68"/>
      <c r="AD452" s="68"/>
      <c r="AE452" s="68"/>
      <c r="AF452" s="68"/>
      <c r="AG452" s="68"/>
      <c r="AH452" s="68"/>
      <c r="AI452" s="68"/>
      <c r="AJ452" s="68">
        <v>1</v>
      </c>
      <c r="AL452" s="68">
        <v>1</v>
      </c>
      <c r="AM452" s="68"/>
      <c r="AN452" s="68"/>
      <c r="AO452" s="68"/>
      <c r="AQ452" s="68"/>
      <c r="AR452" s="68"/>
      <c r="AS452" s="68"/>
      <c r="AT452" s="68"/>
      <c r="AU452" s="68"/>
      <c r="AV452" s="68"/>
      <c r="AW452" s="68"/>
      <c r="AX452" s="68"/>
      <c r="AY452" s="68"/>
      <c r="AZ452" s="68"/>
      <c r="BB452" s="68"/>
      <c r="BC452" s="68"/>
      <c r="BJ452" s="68"/>
      <c r="BT452">
        <v>1</v>
      </c>
      <c r="BV452">
        <v>1</v>
      </c>
      <c r="BX452" s="68"/>
      <c r="BY452" s="68">
        <v>1</v>
      </c>
      <c r="BZ452" s="68">
        <v>0</v>
      </c>
      <c r="CA452" s="68">
        <v>0</v>
      </c>
      <c r="CB452" s="68">
        <v>0</v>
      </c>
      <c r="CC452" s="68">
        <f t="shared" si="116"/>
        <v>0</v>
      </c>
      <c r="CD452" s="68">
        <f t="shared" si="117"/>
        <v>0</v>
      </c>
    </row>
    <row r="453" spans="1:82" ht="15.75" customHeight="1" thickBot="1" x14ac:dyDescent="0.3">
      <c r="A453" s="6">
        <v>452</v>
      </c>
      <c r="B453" s="7" t="s">
        <v>562</v>
      </c>
      <c r="C453" s="7" t="s">
        <v>50</v>
      </c>
      <c r="D453" s="7" t="s">
        <v>43</v>
      </c>
      <c r="E453" s="50">
        <v>-149.76199462102699</v>
      </c>
      <c r="F453" s="50">
        <v>3.6989247311828</v>
      </c>
      <c r="G453" s="50">
        <v>6.2697674418604699</v>
      </c>
      <c r="H453" s="50">
        <v>0</v>
      </c>
      <c r="I453" s="8" t="s">
        <v>1057</v>
      </c>
      <c r="J453" s="50" t="s">
        <v>1057</v>
      </c>
      <c r="K453" s="248">
        <f>IFERROR(VLOOKUP(C453,Schedule!$T$3:$U$34,2,0),"FA")</f>
        <v>6</v>
      </c>
      <c r="L453" s="7" t="str">
        <f>D453&amp;COUNTIF(D$2:$D453,D453)</f>
        <v>TE114</v>
      </c>
      <c r="M453" s="50">
        <f t="array" ref="M453">IFERROR(F453-AVERAGE(VLOOKUP(D453,$D454:$F$885,3,0),INDEX($F454:$F$885,SMALL(IF(D453=$D454:$D$885,ROW($D454:$D$885)-ROW(D453)),2))),0)</f>
        <v>0.38838318801649008</v>
      </c>
      <c r="N453" s="50">
        <f>IFERROR(IF(VLOOKUP($B453,Input!$AC$2:$AC$162,1,0)=$B453,0),F453)</f>
        <v>3.6989247311828</v>
      </c>
      <c r="O453" s="50">
        <f>IFERROR(IF(VLOOKUP($B453,Input!$AC$2:$AC$162,1,0)=$B453,0,G453),G453)</f>
        <v>6.2697674418604699</v>
      </c>
      <c r="P453" s="50">
        <f>IF(N453=0,0,F453-AVERAGE(INDEX(F:F,MATCH(VLOOKUP(D453,Input!$A$14:$L$22,10,0),L:L,0)),INDEX(F:F,MATCH(VLOOKUP(D453,Input!$A$14:$L$22,11,0),L:L,0)),INDEX(F:F,MATCH(VLOOKUP(D453,Input!$A$14:$L$22,12,0),L:L,0)))+(0.01-ROW()*0.01))</f>
        <v>-154.28199462102651</v>
      </c>
      <c r="Q453" s="106">
        <f t="shared" si="112"/>
        <v>-5.3226199056732558E-2</v>
      </c>
      <c r="R453" s="8">
        <f>IF(VLOOKUP($D453,$X$14:$Y$19,2,0)&lt;=0,1,IF(Q453&lt;0,1,ROUNDUP(IF(Q453*('Draft Center'!$L$28+'Draft Center'!$L$78-'Draft Center'!$L$82)&lt;1,1,Q453*('Draft Center'!$L$28+'Draft Center'!$L$78-'Draft Center'!$L$82)),0)))</f>
        <v>1</v>
      </c>
      <c r="S453" s="8">
        <f>IF(A453&lt;Input!$B$10+0.1,IF(ROUNDUP(R453*Input!$C$10,0)=0,1,ROUNDUP(R453*Input!$C$10,0)),IF(A453&gt;Input!$B$11,IF(ROUNDUP(R453*Input!$C$11,0)=0,1,ROUNDUP(R453*Input!$C$11,0)),IF(ROUNDUP(R453,0)=0,1,ROUNDUP(R453,0))))</f>
        <v>1</v>
      </c>
      <c r="T453" s="8">
        <f t="shared" si="113"/>
        <v>1</v>
      </c>
      <c r="U453" s="8">
        <f>IFERROR(VLOOKUP($B453,Input!$AC$2:$AE$161,3,0),0)</f>
        <v>0</v>
      </c>
      <c r="V453" s="256">
        <f t="shared" si="114"/>
        <v>0</v>
      </c>
      <c r="W453" s="263">
        <f t="shared" si="115"/>
        <v>0</v>
      </c>
      <c r="X453" s="68"/>
      <c r="Y453" s="68"/>
      <c r="Z453" s="68"/>
      <c r="AA453" s="68"/>
      <c r="AB453" s="68"/>
      <c r="AC453" s="68"/>
      <c r="AD453" s="68"/>
      <c r="AE453" s="68"/>
      <c r="AF453" s="68"/>
      <c r="AG453" s="68"/>
      <c r="AH453" s="68"/>
      <c r="AI453" s="68"/>
      <c r="AJ453" s="68">
        <v>1</v>
      </c>
      <c r="AL453" s="68">
        <v>1</v>
      </c>
      <c r="AM453" s="68"/>
      <c r="AN453" s="68"/>
      <c r="AO453" s="68"/>
      <c r="AQ453" s="68"/>
      <c r="AR453" s="68"/>
      <c r="AS453" s="68"/>
      <c r="AT453" s="68"/>
      <c r="AU453" s="68"/>
      <c r="AV453" s="68"/>
      <c r="AW453" s="68"/>
      <c r="AX453" s="68"/>
      <c r="AY453" s="68"/>
      <c r="AZ453" s="68"/>
      <c r="BB453" s="68"/>
      <c r="BC453" s="68"/>
      <c r="BJ453" s="68"/>
      <c r="BT453">
        <v>1</v>
      </c>
      <c r="BV453">
        <v>1</v>
      </c>
      <c r="BX453" s="68"/>
      <c r="BY453" s="68">
        <v>1</v>
      </c>
      <c r="BZ453" s="68" t="s">
        <v>1057</v>
      </c>
      <c r="CA453" s="68" t="s">
        <v>1057</v>
      </c>
      <c r="CB453" s="68" t="s">
        <v>1057</v>
      </c>
      <c r="CC453" s="68" t="e">
        <f t="shared" si="116"/>
        <v>#DIV/0!</v>
      </c>
      <c r="CD453" s="68" t="str">
        <f t="shared" si="117"/>
        <v>NA</v>
      </c>
    </row>
    <row r="454" spans="1:82" ht="15.75" customHeight="1" thickBot="1" x14ac:dyDescent="0.3">
      <c r="A454" s="9">
        <v>453</v>
      </c>
      <c r="B454" s="10" t="s">
        <v>791</v>
      </c>
      <c r="C454" s="10" t="s">
        <v>23</v>
      </c>
      <c r="D454" s="10" t="s">
        <v>19</v>
      </c>
      <c r="E454" s="51">
        <v>-149.84230332898201</v>
      </c>
      <c r="F454" s="51">
        <v>19.260094696969698</v>
      </c>
      <c r="G454" s="51">
        <v>24.262507645259898</v>
      </c>
      <c r="H454" s="51">
        <v>4.3132575757575804</v>
      </c>
      <c r="I454" s="11" t="s">
        <v>1057</v>
      </c>
      <c r="J454" s="51">
        <v>4.0387846207363003</v>
      </c>
      <c r="K454" s="249">
        <f>IFERROR(VLOOKUP(C454,Schedule!$T$3:$U$34,2,0),"FA")</f>
        <v>5</v>
      </c>
      <c r="L454" s="10" t="str">
        <f>D454&amp;COUNTIF(D$2:$D454,D454)</f>
        <v>RB124</v>
      </c>
      <c r="M454" s="51">
        <f t="array" ref="M454">IFERROR(F454-AVERAGE(VLOOKUP(D454,$D455:$F$885,3,0),INDEX($F455:$F$885,SMALL(IF(D454=$D455:$D$885,ROW($D455:$D$885)-ROW(D454)),2))),0)</f>
        <v>1.2195813504475979</v>
      </c>
      <c r="N454" s="51">
        <f>IFERROR(IF(VLOOKUP($B454,Input!$AC$2:$AC$162,1,0)=$B454,0),F454)</f>
        <v>19.260094696969698</v>
      </c>
      <c r="O454" s="51">
        <f>IFERROR(IF(VLOOKUP($B454,Input!$AC$2:$AC$162,1,0)=$B454,0,G454),G454)</f>
        <v>24.262507645259898</v>
      </c>
      <c r="P454" s="51">
        <f>IF(N454=0,0,F454-AVERAGE(INDEX(F:F,MATCH(VLOOKUP(D454,Input!$A$14:$L$22,10,0),L:L,0)),INDEX(F:F,MATCH(VLOOKUP(D454,Input!$A$14:$L$22,11,0),L:L,0)),INDEX(F:F,MATCH(VLOOKUP(D454,Input!$A$14:$L$22,12,0),L:L,0)))+(0.01-ROW()*0.01))</f>
        <v>-154.3723033289823</v>
      </c>
      <c r="Q454" s="107">
        <f t="shared" si="112"/>
        <v>-5.3257354923481742E-2</v>
      </c>
      <c r="R454" s="11">
        <f>IF(VLOOKUP($D454,$X$14:$Y$19,2,0)&lt;=0,1,IF(Q454&lt;0,1,ROUNDUP(IF(Q454*('Draft Center'!$L$28+'Draft Center'!$L$78-'Draft Center'!$L$82)&lt;1,1,Q454*('Draft Center'!$L$28+'Draft Center'!$L$78-'Draft Center'!$L$82)),0)))</f>
        <v>1</v>
      </c>
      <c r="S454" s="11">
        <f>IF(A454&lt;Input!$B$10+0.1,IF(ROUNDUP(R454*Input!$C$10,0)=0,1,ROUNDUP(R454*Input!$C$10,0)),IF(A454&gt;Input!$B$11,IF(ROUNDUP(R454*Input!$C$11,0)=0,1,ROUNDUP(R454*Input!$C$11,0)),IF(ROUNDUP(R454,0)=0,1,ROUNDUP(R454,0))))</f>
        <v>1</v>
      </c>
      <c r="T454" s="11">
        <f t="shared" si="113"/>
        <v>1</v>
      </c>
      <c r="U454" s="11">
        <f>IFERROR(VLOOKUP($B454,Input!$AC$2:$AE$161,3,0),0)</f>
        <v>0</v>
      </c>
      <c r="V454" s="257">
        <f t="shared" si="114"/>
        <v>0</v>
      </c>
      <c r="W454" s="264">
        <f t="shared" si="115"/>
        <v>0</v>
      </c>
      <c r="X454" s="68"/>
      <c r="Y454" s="68"/>
      <c r="Z454" s="68"/>
      <c r="AA454" s="68"/>
      <c r="AB454" s="68"/>
      <c r="AC454" s="68"/>
      <c r="AD454" s="68"/>
      <c r="AE454" s="68"/>
      <c r="AF454" s="68"/>
      <c r="AG454" s="68"/>
      <c r="AH454" s="68"/>
      <c r="AI454" s="68"/>
      <c r="AJ454" s="68">
        <v>1</v>
      </c>
      <c r="AL454" s="68">
        <v>1</v>
      </c>
      <c r="AM454" s="68"/>
      <c r="AN454" s="68"/>
      <c r="AO454" s="68"/>
      <c r="AQ454" s="68"/>
      <c r="AR454" s="68"/>
      <c r="AS454" s="68"/>
      <c r="AT454" s="68"/>
      <c r="AU454" s="68"/>
      <c r="AV454" s="68"/>
      <c r="AW454" s="68"/>
      <c r="AX454" s="68"/>
      <c r="AY454" s="68"/>
      <c r="AZ454" s="68"/>
      <c r="BB454" s="68"/>
      <c r="BC454" s="68"/>
      <c r="BJ454" s="68"/>
      <c r="BT454">
        <v>1</v>
      </c>
      <c r="BV454">
        <v>1</v>
      </c>
      <c r="BX454" s="68"/>
      <c r="BY454" s="68">
        <v>1</v>
      </c>
      <c r="BZ454" s="68" t="s">
        <v>1057</v>
      </c>
      <c r="CA454" s="68" t="s">
        <v>1057</v>
      </c>
      <c r="CB454" s="68" t="s">
        <v>1057</v>
      </c>
      <c r="CC454" s="68" t="e">
        <f t="shared" si="116"/>
        <v>#DIV/0!</v>
      </c>
      <c r="CD454" s="68" t="str">
        <f t="shared" si="117"/>
        <v>NA</v>
      </c>
    </row>
    <row r="455" spans="1:82" ht="15.75" customHeight="1" thickBot="1" x14ac:dyDescent="0.3">
      <c r="A455" s="6">
        <v>454</v>
      </c>
      <c r="B455" s="7" t="s">
        <v>830</v>
      </c>
      <c r="C455" s="7" t="s">
        <v>927</v>
      </c>
      <c r="D455" s="7" t="s">
        <v>43</v>
      </c>
      <c r="E455" s="50">
        <v>-150.09424009407499</v>
      </c>
      <c r="F455" s="50">
        <v>3.3666792581346701</v>
      </c>
      <c r="G455" s="50">
        <v>5.0640032028312598</v>
      </c>
      <c r="H455" s="50">
        <v>0</v>
      </c>
      <c r="I455" s="8" t="s">
        <v>1057</v>
      </c>
      <c r="J455" s="50" t="s">
        <v>1057</v>
      </c>
      <c r="K455" s="248">
        <f>IFERROR(VLOOKUP(C455,Schedule!$T$3:$U$34,2,0),"FA")</f>
        <v>9</v>
      </c>
      <c r="L455" s="7" t="str">
        <f>D455&amp;COUNTIF(D$2:$D455,D455)</f>
        <v>TE115</v>
      </c>
      <c r="M455" s="50">
        <f t="array" ref="M455">IFERROR(F455-AVERAGE(VLOOKUP(D455,$D456:$F$885,3,0),INDEX($F456:$F$885,SMALL(IF(D455=$D456:$D$885,ROW($D456:$D$885)-ROW(D455)),2))),0)</f>
        <v>0.18537900136529517</v>
      </c>
      <c r="N455" s="50">
        <f>IFERROR(IF(VLOOKUP($B455,Input!$AC$2:$AC$162,1,0)=$B455,0),F455)</f>
        <v>3.3666792581346701</v>
      </c>
      <c r="O455" s="50">
        <f>IFERROR(IF(VLOOKUP($B455,Input!$AC$2:$AC$162,1,0)=$B455,0,G455),G455)</f>
        <v>5.0640032028312598</v>
      </c>
      <c r="P455" s="50">
        <f>IF(N455=0,0,F455-AVERAGE(INDEX(F:F,MATCH(VLOOKUP(D455,Input!$A$14:$L$22,10,0),L:L,0)),INDEX(F:F,MATCH(VLOOKUP(D455,Input!$A$14:$L$22,11,0),L:L,0)),INDEX(F:F,MATCH(VLOOKUP(D455,Input!$A$14:$L$22,12,0),L:L,0)))+(0.01-ROW()*0.01))</f>
        <v>-154.63424009407464</v>
      </c>
      <c r="Q455" s="106">
        <f t="shared" si="112"/>
        <v>-5.3347721258408434E-2</v>
      </c>
      <c r="R455" s="8">
        <f>IF(VLOOKUP($D455,$X$14:$Y$19,2,0)&lt;=0,1,IF(Q455&lt;0,1,ROUNDUP(IF(Q455*('Draft Center'!$L$28+'Draft Center'!$L$78-'Draft Center'!$L$82)&lt;1,1,Q455*('Draft Center'!$L$28+'Draft Center'!$L$78-'Draft Center'!$L$82)),0)))</f>
        <v>1</v>
      </c>
      <c r="S455" s="8">
        <f>IF(A455&lt;Input!$B$10+0.1,IF(ROUNDUP(R455*Input!$C$10,0)=0,1,ROUNDUP(R455*Input!$C$10,0)),IF(A455&gt;Input!$B$11,IF(ROUNDUP(R455*Input!$C$11,0)=0,1,ROUNDUP(R455*Input!$C$11,0)),IF(ROUNDUP(R455,0)=0,1,ROUNDUP(R455,0))))</f>
        <v>1</v>
      </c>
      <c r="T455" s="8">
        <f t="shared" si="113"/>
        <v>1</v>
      </c>
      <c r="U455" s="8">
        <f>IFERROR(VLOOKUP($B455,Input!$AC$2:$AE$161,3,0),0)</f>
        <v>0</v>
      </c>
      <c r="V455" s="256">
        <f t="shared" si="114"/>
        <v>0</v>
      </c>
      <c r="W455" s="263">
        <f t="shared" si="115"/>
        <v>0</v>
      </c>
      <c r="X455" s="68"/>
      <c r="Y455" s="68"/>
      <c r="Z455" s="68"/>
      <c r="AA455" s="68"/>
      <c r="AB455" s="68"/>
      <c r="AC455" s="68"/>
      <c r="AD455" s="68"/>
      <c r="AE455" s="68"/>
      <c r="AF455" s="68"/>
      <c r="AG455" s="68"/>
      <c r="AH455" s="68"/>
      <c r="AI455" s="68"/>
      <c r="AJ455" s="68">
        <v>1</v>
      </c>
      <c r="AL455" s="68">
        <v>1</v>
      </c>
      <c r="AM455" s="68"/>
      <c r="AN455" s="68"/>
      <c r="AO455" s="68"/>
      <c r="AQ455" s="68"/>
      <c r="AR455" s="68"/>
      <c r="AS455" s="68"/>
      <c r="AT455" s="68"/>
      <c r="AU455" s="68"/>
      <c r="AV455" s="68"/>
      <c r="AW455" s="68"/>
      <c r="AX455" s="68"/>
      <c r="AY455" s="68"/>
      <c r="AZ455" s="68"/>
      <c r="BB455" s="68"/>
      <c r="BC455" s="68"/>
      <c r="BJ455" s="68"/>
      <c r="BT455">
        <v>1</v>
      </c>
      <c r="BV455">
        <v>1</v>
      </c>
      <c r="BX455" s="68"/>
      <c r="BY455" s="68">
        <v>1</v>
      </c>
      <c r="BZ455" s="68" t="s">
        <v>1057</v>
      </c>
      <c r="CA455" s="68" t="s">
        <v>1057</v>
      </c>
      <c r="CB455" s="68" t="s">
        <v>1057</v>
      </c>
      <c r="CC455" s="68" t="e">
        <f t="shared" si="116"/>
        <v>#DIV/0!</v>
      </c>
      <c r="CD455" s="68" t="str">
        <f t="shared" si="117"/>
        <v>NA</v>
      </c>
    </row>
    <row r="456" spans="1:82" ht="15.75" customHeight="1" thickBot="1" x14ac:dyDescent="0.3">
      <c r="A456" s="9">
        <v>455</v>
      </c>
      <c r="B456" s="10" t="s">
        <v>288</v>
      </c>
      <c r="C456" s="10" t="s">
        <v>50</v>
      </c>
      <c r="D456" s="10" t="s">
        <v>17</v>
      </c>
      <c r="E456" s="51">
        <v>-150.109120965519</v>
      </c>
      <c r="F456" s="51">
        <v>62.6687953038304</v>
      </c>
      <c r="G456" s="51">
        <v>84.397045724137897</v>
      </c>
      <c r="H456" s="51">
        <v>31.830260631001401</v>
      </c>
      <c r="I456" s="11" t="s">
        <v>1057</v>
      </c>
      <c r="J456" s="51">
        <v>5.4902548237221502</v>
      </c>
      <c r="K456" s="249">
        <f>IFERROR(VLOOKUP(C456,Schedule!$T$3:$U$34,2,0),"FA")</f>
        <v>6</v>
      </c>
      <c r="L456" s="10" t="str">
        <f>D456&amp;COUNTIF(D$2:$D456,D456)</f>
        <v>WR111</v>
      </c>
      <c r="M456" s="51">
        <f t="array" ref="M456">IFERROR(F456-AVERAGE(VLOOKUP(D456,$D457:$F$885,3,0),INDEX($F457:$F$885,SMALL(IF(D456=$D457:$D$885,ROW($D457:$D$885)-ROW(D456)),2))),0)</f>
        <v>1.1265103143252944</v>
      </c>
      <c r="N456" s="51">
        <f>IFERROR(IF(VLOOKUP($B456,Input!$AC$2:$AC$162,1,0)=$B456,0),F456)</f>
        <v>62.6687953038304</v>
      </c>
      <c r="O456" s="51">
        <f>IFERROR(IF(VLOOKUP($B456,Input!$AC$2:$AC$162,1,0)=$B456,0,G456),G456)</f>
        <v>84.397045724137897</v>
      </c>
      <c r="P456" s="51">
        <f>IF(N456=0,0,F456-AVERAGE(INDEX(F:F,MATCH(VLOOKUP(D456,Input!$A$14:$L$22,10,0),L:L,0)),INDEX(F:F,MATCH(VLOOKUP(D456,Input!$A$14:$L$22,11,0),L:L,0)),INDEX(F:F,MATCH(VLOOKUP(D456,Input!$A$14:$L$22,12,0),L:L,0)))+(0.01-ROW()*0.01))</f>
        <v>-154.65912096551864</v>
      </c>
      <c r="Q456" s="107">
        <f t="shared" si="112"/>
        <v>-5.3356304983420783E-2</v>
      </c>
      <c r="R456" s="11">
        <f>IF(VLOOKUP($D456,$X$14:$Y$19,2,0)&lt;=0,1,IF(Q456&lt;0,1,ROUNDUP(IF(Q456*('Draft Center'!$L$28+'Draft Center'!$L$78-'Draft Center'!$L$82)&lt;1,1,Q456*('Draft Center'!$L$28+'Draft Center'!$L$78-'Draft Center'!$L$82)),0)))</f>
        <v>1</v>
      </c>
      <c r="S456" s="11">
        <f>IF(A456&lt;Input!$B$10+0.1,IF(ROUNDUP(R456*Input!$C$10,0)=0,1,ROUNDUP(R456*Input!$C$10,0)),IF(A456&gt;Input!$B$11,IF(ROUNDUP(R456*Input!$C$11,0)=0,1,ROUNDUP(R456*Input!$C$11,0)),IF(ROUNDUP(R456,0)=0,1,ROUNDUP(R456,0))))</f>
        <v>1</v>
      </c>
      <c r="T456" s="11">
        <f t="shared" si="113"/>
        <v>1</v>
      </c>
      <c r="U456" s="11">
        <f>IFERROR(VLOOKUP($B456,Input!$AC$2:$AE$161,3,0),0)</f>
        <v>0</v>
      </c>
      <c r="V456" s="257">
        <f t="shared" si="114"/>
        <v>0</v>
      </c>
      <c r="W456" s="264">
        <f t="shared" si="115"/>
        <v>0</v>
      </c>
      <c r="X456" s="68"/>
      <c r="Y456" s="68"/>
      <c r="Z456" s="68"/>
      <c r="AA456" s="68"/>
      <c r="AB456" s="68"/>
      <c r="AC456" s="68"/>
      <c r="AD456" s="68"/>
      <c r="AE456" s="68"/>
      <c r="AF456" s="68"/>
      <c r="AG456" s="68"/>
      <c r="AH456" s="68"/>
      <c r="AI456" s="68"/>
      <c r="AJ456" s="68">
        <v>1</v>
      </c>
      <c r="AL456" s="68">
        <v>1</v>
      </c>
      <c r="AM456" s="68"/>
      <c r="AN456" s="68"/>
      <c r="AO456" s="68"/>
      <c r="AQ456" s="68"/>
      <c r="AR456" s="68"/>
      <c r="AS456" s="68"/>
      <c r="AT456" s="68"/>
      <c r="AU456" s="68"/>
      <c r="AV456" s="68"/>
      <c r="AW456" s="68"/>
      <c r="AX456" s="68"/>
      <c r="AY456" s="68"/>
      <c r="AZ456" s="68"/>
      <c r="BB456" s="68"/>
      <c r="BC456" s="68"/>
      <c r="BJ456" s="68"/>
      <c r="BT456">
        <v>1</v>
      </c>
      <c r="BV456">
        <v>1</v>
      </c>
      <c r="BX456" s="68"/>
      <c r="BY456" s="68">
        <v>1</v>
      </c>
      <c r="BZ456" s="68" t="s">
        <v>1057</v>
      </c>
      <c r="CA456" s="68" t="s">
        <v>1057</v>
      </c>
      <c r="CB456" s="68" t="s">
        <v>1057</v>
      </c>
      <c r="CC456" s="68" t="e">
        <f t="shared" si="116"/>
        <v>#DIV/0!</v>
      </c>
      <c r="CD456" s="68" t="str">
        <f t="shared" si="117"/>
        <v>NA</v>
      </c>
    </row>
    <row r="457" spans="1:82" ht="15.75" customHeight="1" thickBot="1" x14ac:dyDescent="0.3">
      <c r="A457" s="6">
        <v>456</v>
      </c>
      <c r="B457" s="7" t="s">
        <v>375</v>
      </c>
      <c r="C457" s="7" t="s">
        <v>31</v>
      </c>
      <c r="D457" s="7" t="s">
        <v>43</v>
      </c>
      <c r="E457" s="50">
        <v>-150.206515524011</v>
      </c>
      <c r="F457" s="50">
        <v>3.2544038281979502</v>
      </c>
      <c r="G457" s="50">
        <v>6.6748837209302296</v>
      </c>
      <c r="H457" s="50">
        <v>-6.4239028944911306E-2</v>
      </c>
      <c r="I457" s="8">
        <v>0</v>
      </c>
      <c r="J457" s="50" t="s">
        <v>1057</v>
      </c>
      <c r="K457" s="248">
        <f>IFERROR(VLOOKUP(C457,Schedule!$T$3:$U$34,2,0),"FA")</f>
        <v>9</v>
      </c>
      <c r="L457" s="7" t="str">
        <f>D457&amp;COUNTIF(D$2:$D457,D457)</f>
        <v>TE116</v>
      </c>
      <c r="M457" s="50">
        <f t="array" ref="M457">IFERROR(F457-AVERAGE(VLOOKUP(D457,$D458:$F$885,3,0),INDEX($F458:$F$885,SMALL(IF(D457=$D458:$D$885,ROW($D458:$D$885)-ROW(D457)),2))),0)</f>
        <v>0.22300714285715006</v>
      </c>
      <c r="N457" s="50">
        <f>IFERROR(IF(VLOOKUP($B457,Input!$AC$2:$AC$162,1,0)=$B457,0),F457)</f>
        <v>3.2544038281979502</v>
      </c>
      <c r="O457" s="50">
        <f>IFERROR(IF(VLOOKUP($B457,Input!$AC$2:$AC$162,1,0)=$B457,0,G457),G457)</f>
        <v>6.6748837209302296</v>
      </c>
      <c r="P457" s="50">
        <f>IF(N457=0,0,F457-AVERAGE(INDEX(F:F,MATCH(VLOOKUP(D457,Input!$A$14:$L$22,10,0),L:L,0)),INDEX(F:F,MATCH(VLOOKUP(D457,Input!$A$14:$L$22,11,0),L:L,0)),INDEX(F:F,MATCH(VLOOKUP(D457,Input!$A$14:$L$22,12,0),L:L,0)))+(0.01-ROW()*0.01))</f>
        <v>-154.76651552401137</v>
      </c>
      <c r="Q457" s="106">
        <f t="shared" si="112"/>
        <v>-5.3393355347994984E-2</v>
      </c>
      <c r="R457" s="8">
        <f>IF(VLOOKUP($D457,$X$14:$Y$19,2,0)&lt;=0,1,IF(Q457&lt;0,1,ROUNDUP(IF(Q457*('Draft Center'!$L$28+'Draft Center'!$L$78-'Draft Center'!$L$82)&lt;1,1,Q457*('Draft Center'!$L$28+'Draft Center'!$L$78-'Draft Center'!$L$82)),0)))</f>
        <v>1</v>
      </c>
      <c r="S457" s="8">
        <f>IF(A457&lt;Input!$B$10+0.1,IF(ROUNDUP(R457*Input!$C$10,0)=0,1,ROUNDUP(R457*Input!$C$10,0)),IF(A457&gt;Input!$B$11,IF(ROUNDUP(R457*Input!$C$11,0)=0,1,ROUNDUP(R457*Input!$C$11,0)),IF(ROUNDUP(R457,0)=0,1,ROUNDUP(R457,0))))</f>
        <v>1</v>
      </c>
      <c r="T457" s="8">
        <f t="shared" si="113"/>
        <v>1</v>
      </c>
      <c r="U457" s="8">
        <f>IFERROR(VLOOKUP($B457,Input!$AC$2:$AE$161,3,0),0)</f>
        <v>0</v>
      </c>
      <c r="V457" s="256">
        <f t="shared" si="114"/>
        <v>0</v>
      </c>
      <c r="W457" s="263">
        <f t="shared" si="115"/>
        <v>1.00457</v>
      </c>
      <c r="X457" s="68"/>
      <c r="Y457" s="68"/>
      <c r="Z457" s="68"/>
      <c r="AA457" s="68"/>
      <c r="AB457" s="68"/>
      <c r="AC457" s="68"/>
      <c r="AD457" s="68"/>
      <c r="AE457" s="68"/>
      <c r="AF457" s="68"/>
      <c r="AG457" s="68"/>
      <c r="AH457" s="68"/>
      <c r="AI457" s="68"/>
      <c r="AJ457" s="68">
        <v>1</v>
      </c>
      <c r="AL457" s="68">
        <v>1</v>
      </c>
      <c r="AM457" s="68"/>
      <c r="AN457" s="68"/>
      <c r="AO457" s="68"/>
      <c r="AQ457" s="68"/>
      <c r="AR457" s="68"/>
      <c r="AS457" s="68"/>
      <c r="AT457" s="68"/>
      <c r="AU457" s="68"/>
      <c r="AV457" s="68"/>
      <c r="AW457" s="68"/>
      <c r="AX457" s="68"/>
      <c r="AY457" s="68"/>
      <c r="AZ457" s="68"/>
      <c r="BB457" s="68"/>
      <c r="BC457" s="68"/>
      <c r="BJ457" s="68"/>
      <c r="BT457">
        <v>1</v>
      </c>
      <c r="BV457">
        <v>1</v>
      </c>
      <c r="BX457" s="68"/>
      <c r="BY457" s="68">
        <v>1</v>
      </c>
      <c r="BZ457" s="68">
        <v>0</v>
      </c>
      <c r="CA457" s="68">
        <v>0</v>
      </c>
      <c r="CB457" s="68">
        <v>0</v>
      </c>
      <c r="CC457" s="68">
        <f t="shared" si="116"/>
        <v>0</v>
      </c>
      <c r="CD457" s="68">
        <f t="shared" si="117"/>
        <v>0</v>
      </c>
    </row>
    <row r="458" spans="1:82" ht="15.75" customHeight="1" thickBot="1" x14ac:dyDescent="0.3">
      <c r="A458" s="9">
        <v>457</v>
      </c>
      <c r="B458" s="10" t="s">
        <v>352</v>
      </c>
      <c r="C458" s="10" t="s">
        <v>83</v>
      </c>
      <c r="D458" s="10" t="s">
        <v>43</v>
      </c>
      <c r="E458" s="51">
        <v>-150.352722666869</v>
      </c>
      <c r="F458" s="51">
        <v>3.1081966853408001</v>
      </c>
      <c r="G458" s="51">
        <v>6.4543517441860496</v>
      </c>
      <c r="H458" s="51">
        <v>-6.4239028944911306E-2</v>
      </c>
      <c r="I458" s="11">
        <v>0</v>
      </c>
      <c r="J458" s="51" t="s">
        <v>1057</v>
      </c>
      <c r="K458" s="249">
        <f>IFERROR(VLOOKUP(C458,Schedule!$T$3:$U$34,2,0),"FA")</f>
        <v>5</v>
      </c>
      <c r="L458" s="10" t="str">
        <f>D458&amp;COUNTIF(D$2:$D458,D458)</f>
        <v>TE117</v>
      </c>
      <c r="M458" s="51">
        <f t="array" ref="M458">IFERROR(F458-AVERAGE(VLOOKUP(D458,$D459:$F$885,3,0),INDEX($F459:$F$885,SMALL(IF(D458=$D459:$D$885,ROW($D459:$D$885)-ROW(D458)),2))),0)</f>
        <v>0.21245252648384527</v>
      </c>
      <c r="N458" s="51">
        <f>IFERROR(IF(VLOOKUP($B458,Input!$AC$2:$AC$162,1,0)=$B458,0),F458)</f>
        <v>3.1081966853408001</v>
      </c>
      <c r="O458" s="51">
        <f>IFERROR(IF(VLOOKUP($B458,Input!$AC$2:$AC$162,1,0)=$B458,0,G458),G458)</f>
        <v>6.4543517441860496</v>
      </c>
      <c r="P458" s="51">
        <f>IF(N458=0,0,F458-AVERAGE(INDEX(F:F,MATCH(VLOOKUP(D458,Input!$A$14:$L$22,10,0),L:L,0)),INDEX(F:F,MATCH(VLOOKUP(D458,Input!$A$14:$L$22,11,0),L:L,0)),INDEX(F:F,MATCH(VLOOKUP(D458,Input!$A$14:$L$22,12,0),L:L,0)))+(0.01-ROW()*0.01))</f>
        <v>-154.92272266686851</v>
      </c>
      <c r="Q458" s="107">
        <f t="shared" si="112"/>
        <v>-5.3447245709603415E-2</v>
      </c>
      <c r="R458" s="11">
        <f>IF(VLOOKUP($D458,$X$14:$Y$19,2,0)&lt;=0,1,IF(Q458&lt;0,1,ROUNDUP(IF(Q458*('Draft Center'!$L$28+'Draft Center'!$L$78-'Draft Center'!$L$82)&lt;1,1,Q458*('Draft Center'!$L$28+'Draft Center'!$L$78-'Draft Center'!$L$82)),0)))</f>
        <v>1</v>
      </c>
      <c r="S458" s="11">
        <f>IF(A458&lt;Input!$B$10+0.1,IF(ROUNDUP(R458*Input!$C$10,0)=0,1,ROUNDUP(R458*Input!$C$10,0)),IF(A458&gt;Input!$B$11,IF(ROUNDUP(R458*Input!$C$11,0)=0,1,ROUNDUP(R458*Input!$C$11,0)),IF(ROUNDUP(R458,0)=0,1,ROUNDUP(R458,0))))</f>
        <v>1</v>
      </c>
      <c r="T458" s="11">
        <f t="shared" si="113"/>
        <v>1</v>
      </c>
      <c r="U458" s="11">
        <f>IFERROR(VLOOKUP($B458,Input!$AC$2:$AE$161,3,0),0)</f>
        <v>0</v>
      </c>
      <c r="V458" s="257">
        <f t="shared" si="114"/>
        <v>0</v>
      </c>
      <c r="W458" s="264">
        <f t="shared" si="115"/>
        <v>1.00458</v>
      </c>
      <c r="X458" s="68"/>
      <c r="Y458" s="68"/>
      <c r="Z458" s="68"/>
      <c r="AA458" s="68"/>
      <c r="AB458" s="68"/>
      <c r="AC458" s="68"/>
      <c r="AD458" s="68"/>
      <c r="AE458" s="68"/>
      <c r="AF458" s="68"/>
      <c r="AG458" s="68"/>
      <c r="AH458" s="68"/>
      <c r="AI458" s="68"/>
      <c r="AJ458" s="68">
        <v>1</v>
      </c>
      <c r="AL458" s="68">
        <v>1</v>
      </c>
      <c r="AM458" s="68"/>
      <c r="AN458" s="68"/>
      <c r="AO458" s="68"/>
      <c r="AQ458" s="68"/>
      <c r="AR458" s="68"/>
      <c r="AS458" s="68"/>
      <c r="AT458" s="68"/>
      <c r="AU458" s="68"/>
      <c r="AV458" s="68"/>
      <c r="AW458" s="68"/>
      <c r="AX458" s="68"/>
      <c r="AY458" s="68"/>
      <c r="AZ458" s="68"/>
      <c r="BB458" s="68"/>
      <c r="BC458" s="68"/>
      <c r="BJ458" s="68"/>
      <c r="BT458">
        <v>1</v>
      </c>
      <c r="BV458">
        <v>1</v>
      </c>
      <c r="BX458" s="68"/>
      <c r="BY458" s="68">
        <v>1</v>
      </c>
      <c r="BZ458" s="68">
        <v>0</v>
      </c>
      <c r="CA458" s="68">
        <v>0</v>
      </c>
      <c r="CB458" s="68">
        <v>0</v>
      </c>
      <c r="CC458" s="68">
        <f t="shared" si="116"/>
        <v>0</v>
      </c>
      <c r="CD458" s="68">
        <f t="shared" si="117"/>
        <v>0</v>
      </c>
    </row>
    <row r="459" spans="1:82" ht="15.75" customHeight="1" thickBot="1" x14ac:dyDescent="0.3">
      <c r="A459" s="6">
        <v>458</v>
      </c>
      <c r="B459" s="7" t="s">
        <v>400</v>
      </c>
      <c r="C459" s="7" t="s">
        <v>61</v>
      </c>
      <c r="D459" s="7" t="s">
        <v>43</v>
      </c>
      <c r="E459" s="50">
        <v>-150.50632266686901</v>
      </c>
      <c r="F459" s="50">
        <v>2.9545966853408001</v>
      </c>
      <c r="G459" s="50">
        <v>6.08618895348837</v>
      </c>
      <c r="H459" s="50">
        <v>-6.4239028944911306E-2</v>
      </c>
      <c r="I459" s="8">
        <v>0</v>
      </c>
      <c r="J459" s="50" t="s">
        <v>1057</v>
      </c>
      <c r="K459" s="248">
        <f>IFERROR(VLOOKUP(C459,Schedule!$T$3:$U$34,2,0),"FA")</f>
        <v>5</v>
      </c>
      <c r="L459" s="7" t="str">
        <f>D459&amp;COUNTIF(D$2:$D459,D459)</f>
        <v>TE118</v>
      </c>
      <c r="M459" s="50">
        <f t="array" ref="M459">IFERROR(F459-AVERAGE(VLOOKUP(D459,$D460:$F$885,3,0),INDEX($F460:$F$885,SMALL(IF(D459=$D460:$D$885,ROW($D460:$D$885)-ROW(D459)),2))),0)</f>
        <v>0.12087542564350517</v>
      </c>
      <c r="N459" s="50">
        <f>IFERROR(IF(VLOOKUP($B459,Input!$AC$2:$AC$162,1,0)=$B459,0),F459)</f>
        <v>2.9545966853408001</v>
      </c>
      <c r="O459" s="50">
        <f>IFERROR(IF(VLOOKUP($B459,Input!$AC$2:$AC$162,1,0)=$B459,0,G459),G459)</f>
        <v>6.08618895348837</v>
      </c>
      <c r="P459" s="50">
        <f>IF(N459=0,0,F459-AVERAGE(INDEX(F:F,MATCH(VLOOKUP(D459,Input!$A$14:$L$22,10,0),L:L,0)),INDEX(F:F,MATCH(VLOOKUP(D459,Input!$A$14:$L$22,11,0),L:L,0)),INDEX(F:F,MATCH(VLOOKUP(D459,Input!$A$14:$L$22,12,0),L:L,0)))+(0.01-ROW()*0.01))</f>
        <v>-155.08632266686854</v>
      </c>
      <c r="Q459" s="106">
        <f t="shared" si="112"/>
        <v>-5.3503686554739444E-2</v>
      </c>
      <c r="R459" s="8">
        <f>IF(VLOOKUP($D459,$X$14:$Y$19,2,0)&lt;=0,1,IF(Q459&lt;0,1,ROUNDUP(IF(Q459*('Draft Center'!$L$28+'Draft Center'!$L$78-'Draft Center'!$L$82)&lt;1,1,Q459*('Draft Center'!$L$28+'Draft Center'!$L$78-'Draft Center'!$L$82)),0)))</f>
        <v>1</v>
      </c>
      <c r="S459" s="8">
        <f>IF(A459&lt;Input!$B$10+0.1,IF(ROUNDUP(R459*Input!$C$10,0)=0,1,ROUNDUP(R459*Input!$C$10,0)),IF(A459&gt;Input!$B$11,IF(ROUNDUP(R459*Input!$C$11,0)=0,1,ROUNDUP(R459*Input!$C$11,0)),IF(ROUNDUP(R459,0)=0,1,ROUNDUP(R459,0))))</f>
        <v>1</v>
      </c>
      <c r="T459" s="8">
        <f t="shared" si="113"/>
        <v>1</v>
      </c>
      <c r="U459" s="8">
        <f>IFERROR(VLOOKUP($B459,Input!$AC$2:$AE$161,3,0),0)</f>
        <v>0</v>
      </c>
      <c r="V459" s="256">
        <f t="shared" si="114"/>
        <v>0</v>
      </c>
      <c r="W459" s="263">
        <f t="shared" si="115"/>
        <v>1.0045900000000001</v>
      </c>
      <c r="X459" s="68"/>
      <c r="Y459" s="68"/>
      <c r="Z459" s="68"/>
      <c r="AA459" s="68"/>
      <c r="AB459" s="68"/>
      <c r="AC459" s="68"/>
      <c r="AD459" s="68"/>
      <c r="AE459" s="68"/>
      <c r="AF459" s="68"/>
      <c r="AG459" s="68"/>
      <c r="AH459" s="68"/>
      <c r="AI459" s="68"/>
      <c r="AJ459" s="68">
        <v>1</v>
      </c>
      <c r="AL459" s="68">
        <v>1</v>
      </c>
      <c r="AM459" s="68"/>
      <c r="AN459" s="68"/>
      <c r="AO459" s="68"/>
      <c r="AQ459" s="68"/>
      <c r="AR459" s="68"/>
      <c r="AS459" s="68"/>
      <c r="AT459" s="68"/>
      <c r="AU459" s="68"/>
      <c r="AV459" s="68"/>
      <c r="AW459" s="68"/>
      <c r="AX459" s="68"/>
      <c r="AY459" s="68"/>
      <c r="AZ459" s="68"/>
      <c r="BB459" s="68"/>
      <c r="BC459" s="68"/>
      <c r="BJ459" s="68"/>
      <c r="BT459">
        <v>1</v>
      </c>
      <c r="BV459">
        <v>1</v>
      </c>
      <c r="BX459" s="68"/>
      <c r="BY459" s="68">
        <v>1</v>
      </c>
      <c r="BZ459" s="68">
        <v>0</v>
      </c>
      <c r="CA459" s="68">
        <v>0</v>
      </c>
      <c r="CB459" s="68">
        <v>0</v>
      </c>
      <c r="CC459" s="68">
        <f t="shared" si="116"/>
        <v>0</v>
      </c>
      <c r="CD459" s="68">
        <f t="shared" si="117"/>
        <v>0</v>
      </c>
    </row>
    <row r="460" spans="1:82" ht="15.75" customHeight="1" thickBot="1" x14ac:dyDescent="0.3">
      <c r="A460" s="9">
        <v>459</v>
      </c>
      <c r="B460" s="10" t="s">
        <v>458</v>
      </c>
      <c r="C460" s="10" t="s">
        <v>66</v>
      </c>
      <c r="D460" s="10" t="s">
        <v>19</v>
      </c>
      <c r="E460" s="51">
        <v>-150.599951500966</v>
      </c>
      <c r="F460" s="51">
        <v>18.502446524986102</v>
      </c>
      <c r="G460" s="51">
        <v>28.933820074208299</v>
      </c>
      <c r="H460" s="51">
        <v>5.7631824417009598</v>
      </c>
      <c r="I460" s="11" t="s">
        <v>1057</v>
      </c>
      <c r="J460" s="51">
        <v>6.16174999807519</v>
      </c>
      <c r="K460" s="249">
        <f>IFERROR(VLOOKUP(C460,Schedule!$T$3:$U$34,2,0),"FA")</f>
        <v>7</v>
      </c>
      <c r="L460" s="10" t="str">
        <f>D460&amp;COUNTIF(D$2:$D460,D460)</f>
        <v>RB125</v>
      </c>
      <c r="M460" s="51">
        <f t="array" ref="M460">IFERROR(F460-AVERAGE(VLOOKUP(D460,$D461:$F$885,3,0),INDEX($F461:$F$885,SMALL(IF(D460=$D461:$D$885,ROW($D461:$D$885)-ROW(D460)),2))),0)</f>
        <v>1.3218117439873502</v>
      </c>
      <c r="N460" s="51">
        <f>IFERROR(IF(VLOOKUP($B460,Input!$AC$2:$AC$162,1,0)=$B460,0),F460)</f>
        <v>18.502446524986102</v>
      </c>
      <c r="O460" s="51">
        <f>IFERROR(IF(VLOOKUP($B460,Input!$AC$2:$AC$162,1,0)=$B460,0,G460),G460)</f>
        <v>28.933820074208299</v>
      </c>
      <c r="P460" s="51">
        <f>IF(N460=0,0,F460-AVERAGE(INDEX(F:F,MATCH(VLOOKUP(D460,Input!$A$14:$L$22,10,0),L:L,0)),INDEX(F:F,MATCH(VLOOKUP(D460,Input!$A$14:$L$22,11,0),L:L,0)),INDEX(F:F,MATCH(VLOOKUP(D460,Input!$A$14:$L$22,12,0),L:L,0)))+(0.01-ROW()*0.01))</f>
        <v>-155.18995150096589</v>
      </c>
      <c r="Q460" s="107">
        <f t="shared" si="112"/>
        <v>-5.3539437770979754E-2</v>
      </c>
      <c r="R460" s="11">
        <f>IF(VLOOKUP($D460,$X$14:$Y$19,2,0)&lt;=0,1,IF(Q460&lt;0,1,ROUNDUP(IF(Q460*('Draft Center'!$L$28+'Draft Center'!$L$78-'Draft Center'!$L$82)&lt;1,1,Q460*('Draft Center'!$L$28+'Draft Center'!$L$78-'Draft Center'!$L$82)),0)))</f>
        <v>1</v>
      </c>
      <c r="S460" s="11">
        <f>IF(A460&lt;Input!$B$10+0.1,IF(ROUNDUP(R460*Input!$C$10,0)=0,1,ROUNDUP(R460*Input!$C$10,0)),IF(A460&gt;Input!$B$11,IF(ROUNDUP(R460*Input!$C$11,0)=0,1,ROUNDUP(R460*Input!$C$11,0)),IF(ROUNDUP(R460,0)=0,1,ROUNDUP(R460,0))))</f>
        <v>1</v>
      </c>
      <c r="T460" s="11">
        <f t="shared" si="113"/>
        <v>1</v>
      </c>
      <c r="U460" s="11">
        <f>IFERROR(VLOOKUP($B460,Input!$AC$2:$AE$161,3,0),0)</f>
        <v>0</v>
      </c>
      <c r="V460" s="257">
        <f t="shared" si="114"/>
        <v>0</v>
      </c>
      <c r="W460" s="264">
        <f t="shared" si="115"/>
        <v>0</v>
      </c>
      <c r="X460" s="68"/>
      <c r="Y460" s="68"/>
      <c r="Z460" s="68"/>
      <c r="AA460" s="68"/>
      <c r="AB460" s="68"/>
      <c r="AC460" s="68"/>
      <c r="AD460" s="68"/>
      <c r="AE460" s="68"/>
      <c r="AF460" s="68"/>
      <c r="AG460" s="68"/>
      <c r="AH460" s="68"/>
      <c r="AI460" s="68"/>
      <c r="AJ460" s="68">
        <v>1</v>
      </c>
      <c r="AL460" s="68">
        <v>1</v>
      </c>
      <c r="AM460" s="68"/>
      <c r="AN460" s="68"/>
      <c r="AO460" s="68"/>
      <c r="AQ460" s="68"/>
      <c r="AR460" s="68"/>
      <c r="AS460" s="68"/>
      <c r="AT460" s="68"/>
      <c r="AU460" s="68"/>
      <c r="AV460" s="68"/>
      <c r="AW460" s="68"/>
      <c r="AX460" s="68"/>
      <c r="AY460" s="68"/>
      <c r="AZ460" s="68"/>
      <c r="BB460" s="68"/>
      <c r="BC460" s="68"/>
      <c r="BJ460" s="68"/>
      <c r="BT460">
        <v>1</v>
      </c>
      <c r="BV460">
        <v>1</v>
      </c>
      <c r="BX460" s="68"/>
      <c r="BY460" s="68">
        <v>1</v>
      </c>
      <c r="BZ460" s="68" t="s">
        <v>1057</v>
      </c>
      <c r="CA460" s="68" t="s">
        <v>1057</v>
      </c>
      <c r="CB460" s="68" t="s">
        <v>1057</v>
      </c>
      <c r="CC460" s="68" t="e">
        <f t="shared" si="116"/>
        <v>#DIV/0!</v>
      </c>
      <c r="CD460" s="68" t="str">
        <f t="shared" si="117"/>
        <v>NA</v>
      </c>
    </row>
    <row r="461" spans="1:82" ht="15.75" customHeight="1" thickBot="1" x14ac:dyDescent="0.3">
      <c r="A461" s="6">
        <v>460</v>
      </c>
      <c r="B461" s="7" t="s">
        <v>1067</v>
      </c>
      <c r="C461" s="7" t="s">
        <v>68</v>
      </c>
      <c r="D461" s="7" t="s">
        <v>43</v>
      </c>
      <c r="E461" s="50">
        <v>-150.62402771983599</v>
      </c>
      <c r="F461" s="50">
        <v>2.8368916323731099</v>
      </c>
      <c r="G461" s="50">
        <v>4.2645446808510599</v>
      </c>
      <c r="H461" s="50">
        <v>-7.2208504801097403E-2</v>
      </c>
      <c r="I461" s="8">
        <v>0</v>
      </c>
      <c r="J461" s="50" t="s">
        <v>1057</v>
      </c>
      <c r="K461" s="248">
        <f>IFERROR(VLOOKUP(C461,Schedule!$T$3:$U$34,2,0),"FA")</f>
        <v>8</v>
      </c>
      <c r="L461" s="7" t="str">
        <f>D461&amp;COUNTIF(D$2:$D461,D461)</f>
        <v>TE119</v>
      </c>
      <c r="M461" s="50">
        <f t="array" ref="M461">IFERROR(F461-AVERAGE(VLOOKUP(D461,$D462:$F$885,3,0),INDEX($F462:$F$885,SMALL(IF(D461=$D462:$D$885,ROW($D462:$D$885)-ROW(D461)),2))),0)</f>
        <v>0.31006261743379993</v>
      </c>
      <c r="N461" s="50">
        <f>IFERROR(IF(VLOOKUP($B461,Input!$AC$2:$AC$162,1,0)=$B461,0),F461)</f>
        <v>2.8368916323731099</v>
      </c>
      <c r="O461" s="50">
        <f>IFERROR(IF(VLOOKUP($B461,Input!$AC$2:$AC$162,1,0)=$B461,0,G461),G461)</f>
        <v>4.2645446808510599</v>
      </c>
      <c r="P461" s="50">
        <f>IF(N461=0,0,F461-AVERAGE(INDEX(F:F,MATCH(VLOOKUP(D461,Input!$A$14:$L$22,10,0),L:L,0)),INDEX(F:F,MATCH(VLOOKUP(D461,Input!$A$14:$L$22,11,0),L:L,0)),INDEX(F:F,MATCH(VLOOKUP(D461,Input!$A$14:$L$22,12,0),L:L,0)))+(0.01-ROW()*0.01))</f>
        <v>-155.22402771983619</v>
      </c>
      <c r="Q461" s="106">
        <f t="shared" si="112"/>
        <v>-5.3551193825943567E-2</v>
      </c>
      <c r="R461" s="8">
        <f>IF(VLOOKUP($D461,$X$14:$Y$19,2,0)&lt;=0,1,IF(Q461&lt;0,1,ROUNDUP(IF(Q461*('Draft Center'!$L$28+'Draft Center'!$L$78-'Draft Center'!$L$82)&lt;1,1,Q461*('Draft Center'!$L$28+'Draft Center'!$L$78-'Draft Center'!$L$82)),0)))</f>
        <v>1</v>
      </c>
      <c r="S461" s="8">
        <f>IF(A461&lt;Input!$B$10+0.1,IF(ROUNDUP(R461*Input!$C$10,0)=0,1,ROUNDUP(R461*Input!$C$10,0)),IF(A461&gt;Input!$B$11,IF(ROUNDUP(R461*Input!$C$11,0)=0,1,ROUNDUP(R461*Input!$C$11,0)),IF(ROUNDUP(R461,0)=0,1,ROUNDUP(R461,0))))</f>
        <v>1</v>
      </c>
      <c r="T461" s="8">
        <f t="shared" si="113"/>
        <v>1</v>
      </c>
      <c r="U461" s="8">
        <f>IFERROR(VLOOKUP($B461,Input!$AC$2:$AE$161,3,0),0)</f>
        <v>0</v>
      </c>
      <c r="V461" s="256">
        <f t="shared" si="114"/>
        <v>0</v>
      </c>
      <c r="W461" s="263">
        <f t="shared" si="115"/>
        <v>1.00461</v>
      </c>
      <c r="X461" s="68"/>
      <c r="Y461" s="68"/>
      <c r="Z461" s="68"/>
      <c r="AA461" s="68"/>
      <c r="AB461" s="68"/>
      <c r="AC461" s="68"/>
      <c r="AD461" s="68"/>
      <c r="AE461" s="68"/>
      <c r="AF461" s="68"/>
      <c r="AG461" s="68"/>
      <c r="AH461" s="68"/>
      <c r="AI461" s="68"/>
      <c r="AJ461" s="68">
        <v>1</v>
      </c>
      <c r="AL461" s="68">
        <v>1</v>
      </c>
      <c r="AM461" s="68"/>
      <c r="AN461" s="68"/>
      <c r="AO461" s="68"/>
      <c r="AQ461" s="68"/>
      <c r="AR461" s="68"/>
      <c r="AS461" s="68"/>
      <c r="AT461" s="68"/>
      <c r="AU461" s="68"/>
      <c r="AV461" s="68"/>
      <c r="AW461" s="68"/>
      <c r="AX461" s="68"/>
      <c r="AY461" s="68"/>
      <c r="AZ461" s="68"/>
      <c r="BB461" s="68"/>
      <c r="BC461" s="68"/>
      <c r="BJ461" s="68"/>
      <c r="BT461">
        <v>1</v>
      </c>
      <c r="BV461">
        <v>1</v>
      </c>
      <c r="BX461" s="68"/>
      <c r="BY461" s="68">
        <v>1</v>
      </c>
      <c r="BZ461" s="68">
        <v>0</v>
      </c>
      <c r="CA461" s="68">
        <v>0</v>
      </c>
      <c r="CB461" s="68">
        <v>0</v>
      </c>
      <c r="CC461" s="68">
        <f t="shared" si="116"/>
        <v>0</v>
      </c>
      <c r="CD461" s="68">
        <f t="shared" si="117"/>
        <v>0</v>
      </c>
    </row>
    <row r="462" spans="1:82" ht="15.75" customHeight="1" thickBot="1" x14ac:dyDescent="0.3">
      <c r="A462" s="9">
        <v>461</v>
      </c>
      <c r="B462" s="10" t="s">
        <v>263</v>
      </c>
      <c r="C462" s="10" t="s">
        <v>311</v>
      </c>
      <c r="D462" s="10" t="s">
        <v>43</v>
      </c>
      <c r="E462" s="51">
        <v>-150.63036846518801</v>
      </c>
      <c r="F462" s="51">
        <v>2.8305508870214799</v>
      </c>
      <c r="G462" s="51">
        <v>5.7393197674418603</v>
      </c>
      <c r="H462" s="51">
        <v>0</v>
      </c>
      <c r="I462" s="11" t="s">
        <v>1057</v>
      </c>
      <c r="J462" s="51" t="s">
        <v>1057</v>
      </c>
      <c r="K462" s="249" t="str">
        <f>IFERROR(VLOOKUP(C462,Schedule!$T$3:$U$34,2,0),"FA")</f>
        <v>FA</v>
      </c>
      <c r="L462" s="10" t="str">
        <f>D462&amp;COUNTIF(D$2:$D462,D462)</f>
        <v>TE120</v>
      </c>
      <c r="M462" s="51">
        <f t="array" ref="M462">IFERROR(F462-AVERAGE(VLOOKUP(D462,$D463:$F$885,3,0),INDEX($F463:$F$885,SMALL(IF(D462=$D463:$D$885,ROW($D463:$D$885)-ROW(D462)),2))),0)</f>
        <v>0.64998567028121013</v>
      </c>
      <c r="N462" s="51">
        <f>IFERROR(IF(VLOOKUP($B462,Input!$AC$2:$AC$162,1,0)=$B462,0),F462)</f>
        <v>2.8305508870214799</v>
      </c>
      <c r="O462" s="51">
        <f>IFERROR(IF(VLOOKUP($B462,Input!$AC$2:$AC$162,1,0)=$B462,0,G462),G462)</f>
        <v>5.7393197674418603</v>
      </c>
      <c r="P462" s="51">
        <f>IF(N462=0,0,F462-AVERAGE(INDEX(F:F,MATCH(VLOOKUP(D462,Input!$A$14:$L$22,10,0),L:L,0)),INDEX(F:F,MATCH(VLOOKUP(D462,Input!$A$14:$L$22,11,0),L:L,0)),INDEX(F:F,MATCH(VLOOKUP(D462,Input!$A$14:$L$22,12,0),L:L,0)))+(0.01-ROW()*0.01))</f>
        <v>-155.24036846518786</v>
      </c>
      <c r="Q462" s="107">
        <f t="shared" si="112"/>
        <v>-5.3556831267739413E-2</v>
      </c>
      <c r="R462" s="11">
        <f>IF(VLOOKUP($D462,$X$14:$Y$19,2,0)&lt;=0,1,IF(Q462&lt;0,1,ROUNDUP(IF(Q462*('Draft Center'!$L$28+'Draft Center'!$L$78-'Draft Center'!$L$82)&lt;1,1,Q462*('Draft Center'!$L$28+'Draft Center'!$L$78-'Draft Center'!$L$82)),0)))</f>
        <v>1</v>
      </c>
      <c r="S462" s="11">
        <f>IF(A462&lt;Input!$B$10+0.1,IF(ROUNDUP(R462*Input!$C$10,0)=0,1,ROUNDUP(R462*Input!$C$10,0)),IF(A462&gt;Input!$B$11,IF(ROUNDUP(R462*Input!$C$11,0)=0,1,ROUNDUP(R462*Input!$C$11,0)),IF(ROUNDUP(R462,0)=0,1,ROUNDUP(R462,0))))</f>
        <v>1</v>
      </c>
      <c r="T462" s="11">
        <f t="shared" si="113"/>
        <v>1</v>
      </c>
      <c r="U462" s="11">
        <f>IFERROR(VLOOKUP($B462,Input!$AC$2:$AE$161,3,0),0)</f>
        <v>0</v>
      </c>
      <c r="V462" s="257">
        <f t="shared" si="114"/>
        <v>0</v>
      </c>
      <c r="W462" s="264">
        <f t="shared" si="115"/>
        <v>0</v>
      </c>
      <c r="X462" s="68"/>
      <c r="Y462" s="68"/>
      <c r="Z462" s="68"/>
      <c r="AA462" s="68"/>
      <c r="AB462" s="68"/>
      <c r="AC462" s="68"/>
      <c r="AD462" s="68"/>
      <c r="AE462" s="68"/>
      <c r="AF462" s="68"/>
      <c r="AG462" s="68"/>
      <c r="AH462" s="68"/>
      <c r="AI462" s="68"/>
      <c r="AJ462" s="68">
        <v>1</v>
      </c>
      <c r="AL462" s="68">
        <v>1</v>
      </c>
      <c r="AM462" s="68"/>
      <c r="AN462" s="68"/>
      <c r="AO462" s="68"/>
      <c r="AQ462" s="68"/>
      <c r="AR462" s="68"/>
      <c r="AS462" s="68"/>
      <c r="AT462" s="68"/>
      <c r="AU462" s="68"/>
      <c r="AV462" s="68"/>
      <c r="AW462" s="68"/>
      <c r="AX462" s="68"/>
      <c r="AY462" s="68"/>
      <c r="AZ462" s="68"/>
      <c r="BB462" s="68"/>
      <c r="BC462" s="68"/>
      <c r="BJ462" s="68"/>
      <c r="BT462">
        <v>1</v>
      </c>
      <c r="BV462">
        <v>1</v>
      </c>
      <c r="BX462" s="68"/>
      <c r="BY462" s="68">
        <v>1</v>
      </c>
      <c r="BZ462" s="68" t="s">
        <v>1057</v>
      </c>
      <c r="CA462" s="68" t="s">
        <v>1057</v>
      </c>
      <c r="CB462" s="68" t="s">
        <v>1057</v>
      </c>
      <c r="CC462" s="68" t="e">
        <f t="shared" si="116"/>
        <v>#DIV/0!</v>
      </c>
      <c r="CD462" s="68" t="str">
        <f t="shared" si="117"/>
        <v>NA</v>
      </c>
    </row>
    <row r="463" spans="1:82" ht="15.75" customHeight="1" thickBot="1" x14ac:dyDescent="0.3">
      <c r="A463" s="6">
        <v>462</v>
      </c>
      <c r="B463" s="7" t="s">
        <v>110</v>
      </c>
      <c r="C463" s="7" t="s">
        <v>311</v>
      </c>
      <c r="D463" s="7" t="s">
        <v>17</v>
      </c>
      <c r="E463" s="50">
        <v>-150.63598078547801</v>
      </c>
      <c r="F463" s="50">
        <v>62.141935483871002</v>
      </c>
      <c r="G463" s="50">
        <v>100.121822330583</v>
      </c>
      <c r="H463" s="50">
        <v>0</v>
      </c>
      <c r="I463" s="8" t="s">
        <v>1057</v>
      </c>
      <c r="J463" s="50">
        <v>10.984941785200601</v>
      </c>
      <c r="K463" s="248" t="str">
        <f>IFERROR(VLOOKUP(C463,Schedule!$T$3:$U$34,2,0),"FA")</f>
        <v>FA</v>
      </c>
      <c r="L463" s="7" t="str">
        <f>D463&amp;COUNTIF(D$2:$D463,D463)</f>
        <v>WR112</v>
      </c>
      <c r="M463" s="50">
        <f t="array" ref="M463">IFERROR(F463-AVERAGE(VLOOKUP(D463,$D464:$F$885,3,0),INDEX($F464:$F$885,SMALL(IF(D463=$D464:$D$885,ROW($D464:$D$885)-ROW(D463)),2))),0)</f>
        <v>1.5470571452772504</v>
      </c>
      <c r="N463" s="50">
        <f>IFERROR(IF(VLOOKUP($B463,Input!$AC$2:$AC$162,1,0)=$B463,0),F463)</f>
        <v>62.141935483871002</v>
      </c>
      <c r="O463" s="50">
        <f>IFERROR(IF(VLOOKUP($B463,Input!$AC$2:$AC$162,1,0)=$B463,0,G463),G463)</f>
        <v>100.121822330583</v>
      </c>
      <c r="P463" s="50">
        <f>IF(N463=0,0,F463-AVERAGE(INDEX(F:F,MATCH(VLOOKUP(D463,Input!$A$14:$L$22,10,0),L:L,0)),INDEX(F:F,MATCH(VLOOKUP(D463,Input!$A$14:$L$22,11,0),L:L,0)),INDEX(F:F,MATCH(VLOOKUP(D463,Input!$A$14:$L$22,12,0),L:L,0)))+(0.01-ROW()*0.01))</f>
        <v>-155.25598078547802</v>
      </c>
      <c r="Q463" s="106">
        <f t="shared" si="112"/>
        <v>-5.3562217408031049E-2</v>
      </c>
      <c r="R463" s="8">
        <f>IF(VLOOKUP($D463,$X$14:$Y$19,2,0)&lt;=0,1,IF(Q463&lt;0,1,ROUNDUP(IF(Q463*('Draft Center'!$L$28+'Draft Center'!$L$78-'Draft Center'!$L$82)&lt;1,1,Q463*('Draft Center'!$L$28+'Draft Center'!$L$78-'Draft Center'!$L$82)),0)))</f>
        <v>1</v>
      </c>
      <c r="S463" s="8">
        <f>IF(A463&lt;Input!$B$10+0.1,IF(ROUNDUP(R463*Input!$C$10,0)=0,1,ROUNDUP(R463*Input!$C$10,0)),IF(A463&gt;Input!$B$11,IF(ROUNDUP(R463*Input!$C$11,0)=0,1,ROUNDUP(R463*Input!$C$11,0)),IF(ROUNDUP(R463,0)=0,1,ROUNDUP(R463,0))))</f>
        <v>1</v>
      </c>
      <c r="T463" s="8">
        <f t="shared" si="113"/>
        <v>1</v>
      </c>
      <c r="U463" s="8">
        <f>IFERROR(VLOOKUP($B463,Input!$AC$2:$AE$161,3,0),0)</f>
        <v>0</v>
      </c>
      <c r="V463" s="256">
        <f t="shared" si="114"/>
        <v>0</v>
      </c>
      <c r="W463" s="263">
        <f t="shared" si="115"/>
        <v>0</v>
      </c>
      <c r="X463" s="68"/>
      <c r="Y463" s="68"/>
      <c r="Z463" s="68"/>
      <c r="AA463" s="68"/>
      <c r="AB463" s="68"/>
      <c r="AC463" s="68"/>
      <c r="AD463" s="68"/>
      <c r="AE463" s="68"/>
      <c r="AF463" s="68"/>
      <c r="AG463" s="68"/>
      <c r="AH463" s="68"/>
      <c r="AI463" s="68"/>
      <c r="AJ463" s="68">
        <v>1</v>
      </c>
      <c r="AL463" s="68">
        <v>1</v>
      </c>
      <c r="AM463" s="68"/>
      <c r="AN463" s="68"/>
      <c r="AO463" s="68"/>
      <c r="AQ463" s="68"/>
      <c r="AR463" s="68"/>
      <c r="AS463" s="68"/>
      <c r="AT463" s="68"/>
      <c r="AU463" s="68"/>
      <c r="AV463" s="68"/>
      <c r="AW463" s="68"/>
      <c r="AX463" s="68"/>
      <c r="AY463" s="68"/>
      <c r="AZ463" s="68"/>
      <c r="BB463" s="68"/>
      <c r="BC463" s="68"/>
      <c r="BJ463" s="68"/>
      <c r="BT463">
        <v>1</v>
      </c>
      <c r="BV463">
        <v>1</v>
      </c>
      <c r="BX463" s="68"/>
      <c r="BY463" s="68">
        <v>1</v>
      </c>
      <c r="BZ463" s="68" t="s">
        <v>1057</v>
      </c>
      <c r="CA463" s="68" t="s">
        <v>1057</v>
      </c>
      <c r="CB463" s="68" t="s">
        <v>1057</v>
      </c>
      <c r="CC463" s="68" t="e">
        <f t="shared" si="116"/>
        <v>#DIV/0!</v>
      </c>
      <c r="CD463" s="68" t="str">
        <f t="shared" si="117"/>
        <v>NA</v>
      </c>
    </row>
    <row r="464" spans="1:82" ht="15.75" customHeight="1" thickBot="1" x14ac:dyDescent="0.3">
      <c r="A464" s="9">
        <v>463</v>
      </c>
      <c r="B464" s="10" t="s">
        <v>1000</v>
      </c>
      <c r="C464" s="10" t="s">
        <v>36</v>
      </c>
      <c r="D464" s="10" t="s">
        <v>43</v>
      </c>
      <c r="E464" s="51">
        <v>-151.237812209352</v>
      </c>
      <c r="F464" s="51">
        <v>2.2231071428571401</v>
      </c>
      <c r="G464" s="51">
        <v>5.3575581395348904</v>
      </c>
      <c r="H464" s="51">
        <v>0</v>
      </c>
      <c r="I464" s="11" t="s">
        <v>1057</v>
      </c>
      <c r="J464" s="51">
        <v>6.1144490252350696</v>
      </c>
      <c r="K464" s="249">
        <f>IFERROR(VLOOKUP(C464,Schedule!$T$3:$U$34,2,0),"FA")</f>
        <v>7</v>
      </c>
      <c r="L464" s="10" t="str">
        <f>D464&amp;COUNTIF(D$2:$D464,D464)</f>
        <v>TE121</v>
      </c>
      <c r="M464" s="51">
        <f t="array" ref="M464">IFERROR(F464-AVERAGE(VLOOKUP(D464,$D465:$F$885,3,0),INDEX($F465:$F$885,SMALL(IF(D464=$D465:$D$885,ROW($D465:$D$885)-ROW(D464)),2))),0)</f>
        <v>0.558417143886905</v>
      </c>
      <c r="N464" s="51">
        <f>IFERROR(IF(VLOOKUP($B464,Input!$AC$2:$AC$162,1,0)=$B464,0),F464)</f>
        <v>2.2231071428571401</v>
      </c>
      <c r="O464" s="51">
        <f>IFERROR(IF(VLOOKUP($B464,Input!$AC$2:$AC$162,1,0)=$B464,0,G464),G464)</f>
        <v>5.3575581395348904</v>
      </c>
      <c r="P464" s="51">
        <f>IF(N464=0,0,F464-AVERAGE(INDEX(F:F,MATCH(VLOOKUP(D464,Input!$A$14:$L$22,10,0),L:L,0)),INDEX(F:F,MATCH(VLOOKUP(D464,Input!$A$14:$L$22,11,0),L:L,0)),INDEX(F:F,MATCH(VLOOKUP(D464,Input!$A$14:$L$22,12,0),L:L,0)))+(0.01-ROW()*0.01))</f>
        <v>-155.86781220935217</v>
      </c>
      <c r="Q464" s="107">
        <f t="shared" si="112"/>
        <v>-5.3773294930306297E-2</v>
      </c>
      <c r="R464" s="11">
        <f>IF(VLOOKUP($D464,$X$14:$Y$19,2,0)&lt;=0,1,IF(Q464&lt;0,1,ROUNDUP(IF(Q464*('Draft Center'!$L$28+'Draft Center'!$L$78-'Draft Center'!$L$82)&lt;1,1,Q464*('Draft Center'!$L$28+'Draft Center'!$L$78-'Draft Center'!$L$82)),0)))</f>
        <v>1</v>
      </c>
      <c r="S464" s="11">
        <f>IF(A464&lt;Input!$B$10+0.1,IF(ROUNDUP(R464*Input!$C$10,0)=0,1,ROUNDUP(R464*Input!$C$10,0)),IF(A464&gt;Input!$B$11,IF(ROUNDUP(R464*Input!$C$11,0)=0,1,ROUNDUP(R464*Input!$C$11,0)),IF(ROUNDUP(R464,0)=0,1,ROUNDUP(R464,0))))</f>
        <v>1</v>
      </c>
      <c r="T464" s="11">
        <f t="shared" si="113"/>
        <v>1</v>
      </c>
      <c r="U464" s="11">
        <f>IFERROR(VLOOKUP($B464,Input!$AC$2:$AE$161,3,0),0)</f>
        <v>0</v>
      </c>
      <c r="V464" s="257">
        <f t="shared" si="114"/>
        <v>0</v>
      </c>
      <c r="W464" s="264">
        <f t="shared" si="115"/>
        <v>0</v>
      </c>
      <c r="X464" s="68"/>
      <c r="Y464" s="68"/>
      <c r="Z464" s="68"/>
      <c r="AA464" s="68"/>
      <c r="AB464" s="68"/>
      <c r="AC464" s="68"/>
      <c r="AD464" s="68"/>
      <c r="AE464" s="68"/>
      <c r="AF464" s="68"/>
      <c r="AG464" s="68"/>
      <c r="AH464" s="68"/>
      <c r="AI464" s="68"/>
      <c r="AJ464" s="68">
        <v>1</v>
      </c>
      <c r="AL464" s="68">
        <v>1</v>
      </c>
      <c r="AM464" s="68"/>
      <c r="AN464" s="68"/>
      <c r="AO464" s="68"/>
      <c r="AQ464" s="68"/>
      <c r="AR464" s="68"/>
      <c r="AS464" s="68"/>
      <c r="AT464" s="68"/>
      <c r="AU464" s="68"/>
      <c r="AV464" s="68"/>
      <c r="AW464" s="68"/>
      <c r="AX464" s="68"/>
      <c r="AY464" s="68"/>
      <c r="AZ464" s="68"/>
      <c r="BB464" s="68"/>
      <c r="BC464" s="68"/>
      <c r="BJ464" s="68"/>
      <c r="BT464">
        <v>1</v>
      </c>
      <c r="BV464">
        <v>1</v>
      </c>
      <c r="BX464" s="68"/>
      <c r="BY464" s="68">
        <v>1</v>
      </c>
      <c r="BZ464" s="68" t="s">
        <v>1057</v>
      </c>
      <c r="CA464" s="68" t="s">
        <v>1057</v>
      </c>
      <c r="CB464" s="68" t="s">
        <v>1057</v>
      </c>
      <c r="CC464" s="68" t="e">
        <f t="shared" si="116"/>
        <v>#DIV/0!</v>
      </c>
      <c r="CD464" s="68" t="str">
        <f t="shared" si="117"/>
        <v>NA</v>
      </c>
    </row>
    <row r="465" spans="1:82" ht="15.75" customHeight="1" thickBot="1" x14ac:dyDescent="0.3">
      <c r="A465" s="6">
        <v>464</v>
      </c>
      <c r="B465" s="7" t="s">
        <v>1005</v>
      </c>
      <c r="C465" s="7" t="s">
        <v>85</v>
      </c>
      <c r="D465" s="7" t="s">
        <v>43</v>
      </c>
      <c r="E465" s="50">
        <v>-151.32289606158599</v>
      </c>
      <c r="F465" s="50">
        <v>2.1380232906234</v>
      </c>
      <c r="G465" s="50">
        <v>5.1816908019981804</v>
      </c>
      <c r="H465" s="50">
        <v>-5.3592249657064602E-3</v>
      </c>
      <c r="I465" s="8" t="s">
        <v>1057</v>
      </c>
      <c r="J465" s="50" t="s">
        <v>1057</v>
      </c>
      <c r="K465" s="248">
        <f>IFERROR(VLOOKUP(C465,Schedule!$T$3:$U$34,2,0),"FA")</f>
        <v>11</v>
      </c>
      <c r="L465" s="7" t="str">
        <f>D465&amp;COUNTIF(D$2:$D465,D465)</f>
        <v>TE122</v>
      </c>
      <c r="M465" s="50">
        <f t="array" ref="M465">IFERROR(F465-AVERAGE(VLOOKUP(D465,$D466:$F$885,3,0),INDEX($F466:$F$885,SMALL(IF(D465=$D466:$D$885,ROW($D466:$D$885)-ROW(D465)),2))),0)</f>
        <v>1.0253794841170598</v>
      </c>
      <c r="N465" s="50">
        <f>IFERROR(IF(VLOOKUP($B465,Input!$AC$2:$AC$162,1,0)=$B465,0),F465)</f>
        <v>2.1380232906234</v>
      </c>
      <c r="O465" s="50">
        <f>IFERROR(IF(VLOOKUP($B465,Input!$AC$2:$AC$162,1,0)=$B465,0,G465),G465)</f>
        <v>5.1816908019981804</v>
      </c>
      <c r="P465" s="50">
        <f>IF(N465=0,0,F465-AVERAGE(INDEX(F:F,MATCH(VLOOKUP(D465,Input!$A$14:$L$22,10,0),L:L,0)),INDEX(F:F,MATCH(VLOOKUP(D465,Input!$A$14:$L$22,11,0),L:L,0)),INDEX(F:F,MATCH(VLOOKUP(D465,Input!$A$14:$L$22,12,0),L:L,0)))+(0.01-ROW()*0.01))</f>
        <v>-155.96289606158592</v>
      </c>
      <c r="Q465" s="106">
        <f t="shared" si="112"/>
        <v>-5.3806098188123298E-2</v>
      </c>
      <c r="R465" s="8">
        <f>IF(VLOOKUP($D465,$X$14:$Y$19,2,0)&lt;=0,1,IF(Q465&lt;0,1,ROUNDUP(IF(Q465*('Draft Center'!$L$28+'Draft Center'!$L$78-'Draft Center'!$L$82)&lt;1,1,Q465*('Draft Center'!$L$28+'Draft Center'!$L$78-'Draft Center'!$L$82)),0)))</f>
        <v>1</v>
      </c>
      <c r="S465" s="8">
        <f>IF(A465&lt;Input!$B$10+0.1,IF(ROUNDUP(R465*Input!$C$10,0)=0,1,ROUNDUP(R465*Input!$C$10,0)),IF(A465&gt;Input!$B$11,IF(ROUNDUP(R465*Input!$C$11,0)=0,1,ROUNDUP(R465*Input!$C$11,0)),IF(ROUNDUP(R465,0)=0,1,ROUNDUP(R465,0))))</f>
        <v>1</v>
      </c>
      <c r="T465" s="8">
        <f t="shared" si="113"/>
        <v>1</v>
      </c>
      <c r="U465" s="8">
        <f>IFERROR(VLOOKUP($B465,Input!$AC$2:$AE$161,3,0),0)</f>
        <v>0</v>
      </c>
      <c r="V465" s="256">
        <f t="shared" si="114"/>
        <v>0</v>
      </c>
      <c r="W465" s="263">
        <f t="shared" si="115"/>
        <v>0</v>
      </c>
      <c r="X465" s="68"/>
      <c r="Y465" s="68"/>
      <c r="Z465" s="68"/>
      <c r="AA465" s="68"/>
      <c r="AB465" s="68"/>
      <c r="AC465" s="68"/>
      <c r="AD465" s="68"/>
      <c r="AE465" s="68"/>
      <c r="AF465" s="68"/>
      <c r="AG465" s="68"/>
      <c r="AH465" s="68"/>
      <c r="AI465" s="68"/>
      <c r="AJ465" s="68">
        <v>1</v>
      </c>
      <c r="AL465" s="68">
        <v>1</v>
      </c>
      <c r="AM465" s="68"/>
      <c r="AN465" s="68"/>
      <c r="AO465" s="68"/>
      <c r="AQ465" s="68"/>
      <c r="AR465" s="68"/>
      <c r="AS465" s="68"/>
      <c r="AT465" s="68"/>
      <c r="AU465" s="68"/>
      <c r="AV465" s="68"/>
      <c r="AW465" s="68"/>
      <c r="AX465" s="68"/>
      <c r="AY465" s="68"/>
      <c r="AZ465" s="68"/>
      <c r="BB465" s="68"/>
      <c r="BC465" s="68"/>
      <c r="BJ465" s="68"/>
      <c r="BT465">
        <v>1</v>
      </c>
      <c r="BV465">
        <v>1</v>
      </c>
      <c r="BX465" s="68"/>
      <c r="BY465" s="68">
        <v>1</v>
      </c>
      <c r="BZ465" s="68" t="s">
        <v>1057</v>
      </c>
      <c r="CA465" s="68" t="s">
        <v>1057</v>
      </c>
      <c r="CB465" s="68" t="s">
        <v>1057</v>
      </c>
      <c r="CC465" s="68" t="e">
        <f t="shared" si="116"/>
        <v>#DIV/0!</v>
      </c>
      <c r="CD465" s="68" t="str">
        <f t="shared" si="117"/>
        <v>NA</v>
      </c>
    </row>
    <row r="466" spans="1:82" ht="15.75" customHeight="1" thickBot="1" x14ac:dyDescent="0.3">
      <c r="A466" s="9">
        <v>465</v>
      </c>
      <c r="B466" s="10" t="s">
        <v>961</v>
      </c>
      <c r="C466" s="10" t="s">
        <v>68</v>
      </c>
      <c r="D466" s="10" t="s">
        <v>19</v>
      </c>
      <c r="E466" s="51">
        <v>-151.52381785789399</v>
      </c>
      <c r="F466" s="51">
        <v>17.5785801680581</v>
      </c>
      <c r="G466" s="51">
        <v>34.380296686742099</v>
      </c>
      <c r="H466" s="51">
        <v>-0.33496438146901097</v>
      </c>
      <c r="I466" s="11">
        <v>0</v>
      </c>
      <c r="J466" s="51">
        <v>5.1947506336063203</v>
      </c>
      <c r="K466" s="249">
        <f>IFERROR(VLOOKUP(C466,Schedule!$T$3:$U$34,2,0),"FA")</f>
        <v>8</v>
      </c>
      <c r="L466" s="10" t="str">
        <f>D466&amp;COUNTIF(D$2:$D466,D466)</f>
        <v>RB126</v>
      </c>
      <c r="M466" s="51">
        <f t="array" ref="M466">IFERROR(F466-AVERAGE(VLOOKUP(D466,$D467:$F$885,3,0),INDEX($F467:$F$885,SMALL(IF(D466=$D467:$D$885,ROW($D467:$D$885)-ROW(D466)),2))),0)</f>
        <v>1.2967718095207488</v>
      </c>
      <c r="N466" s="51">
        <f>IFERROR(IF(VLOOKUP($B466,Input!$AC$2:$AC$162,1,0)=$B466,0),F466)</f>
        <v>17.5785801680581</v>
      </c>
      <c r="O466" s="51">
        <f>IFERROR(IF(VLOOKUP($B466,Input!$AC$2:$AC$162,1,0)=$B466,0,G466),G466)</f>
        <v>34.380296686742099</v>
      </c>
      <c r="P466" s="51">
        <f>IF(N466=0,0,F466-AVERAGE(INDEX(F:F,MATCH(VLOOKUP(D466,Input!$A$14:$L$22,10,0),L:L,0)),INDEX(F:F,MATCH(VLOOKUP(D466,Input!$A$14:$L$22,11,0),L:L,0)),INDEX(F:F,MATCH(VLOOKUP(D466,Input!$A$14:$L$22,12,0),L:L,0)))+(0.01-ROW()*0.01))</f>
        <v>-156.17381785789391</v>
      </c>
      <c r="Q466" s="107">
        <f t="shared" si="112"/>
        <v>-5.3878864718937665E-2</v>
      </c>
      <c r="R466" s="11">
        <f>IF(VLOOKUP($D466,$X$14:$Y$19,2,0)&lt;=0,1,IF(Q466&lt;0,1,ROUNDUP(IF(Q466*('Draft Center'!$L$28+'Draft Center'!$L$78-'Draft Center'!$L$82)&lt;1,1,Q466*('Draft Center'!$L$28+'Draft Center'!$L$78-'Draft Center'!$L$82)),0)))</f>
        <v>1</v>
      </c>
      <c r="S466" s="11">
        <f>IF(A466&lt;Input!$B$10+0.1,IF(ROUNDUP(R466*Input!$C$10,0)=0,1,ROUNDUP(R466*Input!$C$10,0)),IF(A466&gt;Input!$B$11,IF(ROUNDUP(R466*Input!$C$11,0)=0,1,ROUNDUP(R466*Input!$C$11,0)),IF(ROUNDUP(R466,0)=0,1,ROUNDUP(R466,0))))</f>
        <v>1</v>
      </c>
      <c r="T466" s="11">
        <f t="shared" si="113"/>
        <v>1</v>
      </c>
      <c r="U466" s="11">
        <f>IFERROR(VLOOKUP($B466,Input!$AC$2:$AE$161,3,0),0)</f>
        <v>0</v>
      </c>
      <c r="V466" s="257">
        <f t="shared" si="114"/>
        <v>0</v>
      </c>
      <c r="W466" s="264">
        <f t="shared" si="115"/>
        <v>1.0046600000000001</v>
      </c>
      <c r="X466" s="68"/>
      <c r="Y466" s="68"/>
      <c r="Z466" s="68"/>
      <c r="AA466" s="68"/>
      <c r="AB466" s="68"/>
      <c r="AC466" s="68"/>
      <c r="AD466" s="68"/>
      <c r="AE466" s="68"/>
      <c r="AF466" s="68"/>
      <c r="AG466" s="68"/>
      <c r="AH466" s="68"/>
      <c r="AI466" s="68"/>
      <c r="AJ466" s="68">
        <v>1</v>
      </c>
      <c r="AL466" s="68">
        <v>1</v>
      </c>
      <c r="AM466" s="68"/>
      <c r="AN466" s="68"/>
      <c r="AO466" s="68"/>
      <c r="AQ466" s="68"/>
      <c r="AR466" s="68"/>
      <c r="AS466" s="68"/>
      <c r="AT466" s="68"/>
      <c r="AU466" s="68"/>
      <c r="AV466" s="68"/>
      <c r="AW466" s="68"/>
      <c r="AX466" s="68"/>
      <c r="AY466" s="68"/>
      <c r="AZ466" s="68"/>
      <c r="BB466" s="68"/>
      <c r="BC466" s="68"/>
      <c r="BJ466" s="68"/>
      <c r="BT466">
        <v>1</v>
      </c>
      <c r="BV466">
        <v>1</v>
      </c>
      <c r="BX466" s="68"/>
      <c r="BY466" s="68">
        <v>1</v>
      </c>
      <c r="BZ466" s="68">
        <v>0</v>
      </c>
      <c r="CA466" s="68">
        <v>0</v>
      </c>
      <c r="CB466" s="68">
        <v>0</v>
      </c>
      <c r="CC466" s="68">
        <f t="shared" si="116"/>
        <v>0</v>
      </c>
      <c r="CD466" s="68">
        <f t="shared" si="117"/>
        <v>0</v>
      </c>
    </row>
    <row r="467" spans="1:82" ht="15.75" customHeight="1" thickBot="1" x14ac:dyDescent="0.3">
      <c r="A467" s="6">
        <v>466</v>
      </c>
      <c r="B467" s="7" t="s">
        <v>971</v>
      </c>
      <c r="C467" s="7" t="s">
        <v>16</v>
      </c>
      <c r="D467" s="7" t="s">
        <v>17</v>
      </c>
      <c r="E467" s="50">
        <v>-151.83528177420999</v>
      </c>
      <c r="F467" s="50">
        <v>60.942634495139202</v>
      </c>
      <c r="G467" s="50">
        <v>90.1102282899286</v>
      </c>
      <c r="H467" s="50">
        <v>9.0260631001371702E-2</v>
      </c>
      <c r="I467" s="8">
        <v>0</v>
      </c>
      <c r="J467" s="50">
        <v>7.5482499458959502</v>
      </c>
      <c r="K467" s="248">
        <f>IFERROR(VLOOKUP(C467,Schedule!$T$3:$U$34,2,0),"FA")</f>
        <v>9</v>
      </c>
      <c r="L467" s="7" t="str">
        <f>D467&amp;COUNTIF(D$2:$D467,D467)</f>
        <v>WR113</v>
      </c>
      <c r="M467" s="50">
        <f t="array" ref="M467">IFERROR(F467-AVERAGE(VLOOKUP(D467,$D468:$F$885,3,0),INDEX($F468:$F$885,SMALL(IF(D467=$D468:$D$885,ROW($D468:$D$885)-ROW(D467)),2))),0)</f>
        <v>1.4067006393282497</v>
      </c>
      <c r="N467" s="50">
        <f>IFERROR(IF(VLOOKUP($B467,Input!$AC$2:$AC$162,1,0)=$B467,0),F467)</f>
        <v>60.942634495139202</v>
      </c>
      <c r="O467" s="50">
        <f>IFERROR(IF(VLOOKUP($B467,Input!$AC$2:$AC$162,1,0)=$B467,0,G467),G467)</f>
        <v>90.1102282899286</v>
      </c>
      <c r="P467" s="50">
        <f>IF(N467=0,0,F467-AVERAGE(INDEX(F:F,MATCH(VLOOKUP(D467,Input!$A$14:$L$22,10,0),L:L,0)),INDEX(F:F,MATCH(VLOOKUP(D467,Input!$A$14:$L$22,11,0),L:L,0)),INDEX(F:F,MATCH(VLOOKUP(D467,Input!$A$14:$L$22,12,0),L:L,0)))+(0.01-ROW()*0.01))</f>
        <v>-156.49528177420981</v>
      </c>
      <c r="Q467" s="106">
        <f t="shared" si="112"/>
        <v>-5.3989767500830108E-2</v>
      </c>
      <c r="R467" s="8">
        <f>IF(VLOOKUP($D467,$X$14:$Y$19,2,0)&lt;=0,1,IF(Q467&lt;0,1,ROUNDUP(IF(Q467*('Draft Center'!$L$28+'Draft Center'!$L$78-'Draft Center'!$L$82)&lt;1,1,Q467*('Draft Center'!$L$28+'Draft Center'!$L$78-'Draft Center'!$L$82)),0)))</f>
        <v>1</v>
      </c>
      <c r="S467" s="8">
        <f>IF(A467&lt;Input!$B$10+0.1,IF(ROUNDUP(R467*Input!$C$10,0)=0,1,ROUNDUP(R467*Input!$C$10,0)),IF(A467&gt;Input!$B$11,IF(ROUNDUP(R467*Input!$C$11,0)=0,1,ROUNDUP(R467*Input!$C$11,0)),IF(ROUNDUP(R467,0)=0,1,ROUNDUP(R467,0))))</f>
        <v>1</v>
      </c>
      <c r="T467" s="8">
        <f t="shared" si="113"/>
        <v>1</v>
      </c>
      <c r="U467" s="8">
        <f>IFERROR(VLOOKUP($B467,Input!$AC$2:$AE$161,3,0),0)</f>
        <v>0</v>
      </c>
      <c r="V467" s="256">
        <f t="shared" si="114"/>
        <v>0</v>
      </c>
      <c r="W467" s="263">
        <f t="shared" si="115"/>
        <v>1.00467</v>
      </c>
      <c r="X467" s="68"/>
      <c r="Y467" s="68"/>
      <c r="Z467" s="68"/>
      <c r="AA467" s="68"/>
      <c r="AB467" s="68"/>
      <c r="AC467" s="68"/>
      <c r="AD467" s="68"/>
      <c r="AE467" s="68"/>
      <c r="AF467" s="68"/>
      <c r="AG467" s="68"/>
      <c r="AH467" s="68"/>
      <c r="AI467" s="68"/>
      <c r="AJ467" s="68">
        <v>1</v>
      </c>
      <c r="AL467" s="68">
        <v>1</v>
      </c>
      <c r="AM467" s="68"/>
      <c r="AN467" s="68"/>
      <c r="AO467" s="68"/>
      <c r="AQ467" s="68"/>
      <c r="AR467" s="68"/>
      <c r="AS467" s="68"/>
      <c r="AT467" s="68"/>
      <c r="AU467" s="68"/>
      <c r="AV467" s="68"/>
      <c r="AW467" s="68"/>
      <c r="AX467" s="68"/>
      <c r="AY467" s="68"/>
      <c r="AZ467" s="68"/>
      <c r="BB467" s="68"/>
      <c r="BC467" s="68"/>
      <c r="BJ467" s="68"/>
      <c r="BT467">
        <v>1</v>
      </c>
      <c r="BV467">
        <v>1</v>
      </c>
      <c r="BX467" s="68"/>
      <c r="BY467" s="68">
        <v>1</v>
      </c>
      <c r="BZ467" s="68">
        <v>0</v>
      </c>
      <c r="CA467" s="68">
        <v>0</v>
      </c>
      <c r="CB467" s="68">
        <v>0</v>
      </c>
      <c r="CC467" s="68">
        <f t="shared" si="116"/>
        <v>0</v>
      </c>
      <c r="CD467" s="68">
        <f t="shared" si="117"/>
        <v>0</v>
      </c>
    </row>
    <row r="468" spans="1:82" ht="15.75" customHeight="1" thickBot="1" x14ac:dyDescent="0.3">
      <c r="A468" s="9">
        <v>467</v>
      </c>
      <c r="B468" s="10" t="s">
        <v>485</v>
      </c>
      <c r="C468" s="10" t="s">
        <v>36</v>
      </c>
      <c r="D468" s="10" t="s">
        <v>43</v>
      </c>
      <c r="E468" s="51">
        <v>-152.26956264489201</v>
      </c>
      <c r="F468" s="51">
        <v>1.1913567073170701</v>
      </c>
      <c r="G468" s="51">
        <v>1.9403508428432901</v>
      </c>
      <c r="H468" s="51">
        <v>0</v>
      </c>
      <c r="I468" s="11" t="s">
        <v>1057</v>
      </c>
      <c r="J468" s="51" t="s">
        <v>1057</v>
      </c>
      <c r="K468" s="249">
        <f>IFERROR(VLOOKUP(C468,Schedule!$T$3:$U$34,2,0),"FA")</f>
        <v>7</v>
      </c>
      <c r="L468" s="10" t="str">
        <f>D468&amp;COUNTIF(D$2:$D468,D468)</f>
        <v>TE123</v>
      </c>
      <c r="M468" s="51">
        <f t="array" ref="M468">IFERROR(F468-AVERAGE(VLOOKUP(D468,$D469:$F$885,3,0),INDEX($F469:$F$885,SMALL(IF(D468=$D469:$D$885,ROW($D469:$D$885)-ROW(D468)),2))),0)</f>
        <v>0.22383727719653757</v>
      </c>
      <c r="N468" s="51">
        <f>IFERROR(IF(VLOOKUP($B468,Input!$AC$2:$AC$162,1,0)=$B468,0),F468)</f>
        <v>1.1913567073170701</v>
      </c>
      <c r="O468" s="51">
        <f>IFERROR(IF(VLOOKUP($B468,Input!$AC$2:$AC$162,1,0)=$B468,0,G468),G468)</f>
        <v>1.9403508428432901</v>
      </c>
      <c r="P468" s="51">
        <f>IF(N468=0,0,F468-AVERAGE(INDEX(F:F,MATCH(VLOOKUP(D468,Input!$A$14:$L$22,10,0),L:L,0)),INDEX(F:F,MATCH(VLOOKUP(D468,Input!$A$14:$L$22,11,0),L:L,0)),INDEX(F:F,MATCH(VLOOKUP(D468,Input!$A$14:$L$22,12,0),L:L,0)))+(0.01-ROW()*0.01))</f>
        <v>-156.93956264489222</v>
      </c>
      <c r="Q468" s="107">
        <f t="shared" si="112"/>
        <v>-5.4143041265005423E-2</v>
      </c>
      <c r="R468" s="11">
        <f>IF(VLOOKUP($D468,$X$14:$Y$19,2,0)&lt;=0,1,IF(Q468&lt;0,1,ROUNDUP(IF(Q468*('Draft Center'!$L$28+'Draft Center'!$L$78-'Draft Center'!$L$82)&lt;1,1,Q468*('Draft Center'!$L$28+'Draft Center'!$L$78-'Draft Center'!$L$82)),0)))</f>
        <v>1</v>
      </c>
      <c r="S468" s="11">
        <f>IF(A468&lt;Input!$B$10+0.1,IF(ROUNDUP(R468*Input!$C$10,0)=0,1,ROUNDUP(R468*Input!$C$10,0)),IF(A468&gt;Input!$B$11,IF(ROUNDUP(R468*Input!$C$11,0)=0,1,ROUNDUP(R468*Input!$C$11,0)),IF(ROUNDUP(R468,0)=0,1,ROUNDUP(R468,0))))</f>
        <v>1</v>
      </c>
      <c r="T468" s="11">
        <f t="shared" si="113"/>
        <v>1</v>
      </c>
      <c r="U468" s="11">
        <f>IFERROR(VLOOKUP($B468,Input!$AC$2:$AE$161,3,0),0)</f>
        <v>0</v>
      </c>
      <c r="V468" s="257">
        <f t="shared" si="114"/>
        <v>0</v>
      </c>
      <c r="W468" s="264">
        <f t="shared" si="115"/>
        <v>0</v>
      </c>
      <c r="X468" s="68"/>
      <c r="Y468" s="68"/>
      <c r="Z468" s="68"/>
      <c r="AA468" s="68"/>
      <c r="AB468" s="68"/>
      <c r="AC468" s="68"/>
      <c r="AD468" s="68"/>
      <c r="AE468" s="68"/>
      <c r="AF468" s="68"/>
      <c r="AG468" s="68"/>
      <c r="AH468" s="68"/>
      <c r="AI468" s="68"/>
      <c r="AJ468" s="68">
        <v>1</v>
      </c>
      <c r="AL468" s="68">
        <v>1</v>
      </c>
      <c r="AM468" s="68"/>
      <c r="AN468" s="68"/>
      <c r="AO468" s="68"/>
      <c r="AQ468" s="68"/>
      <c r="AR468" s="68"/>
      <c r="AS468" s="68"/>
      <c r="AT468" s="68"/>
      <c r="AU468" s="68"/>
      <c r="AV468" s="68"/>
      <c r="AW468" s="68"/>
      <c r="AX468" s="68"/>
      <c r="AY468" s="68"/>
      <c r="AZ468" s="68"/>
      <c r="BB468" s="68"/>
      <c r="BC468" s="68"/>
      <c r="BJ468" s="68"/>
      <c r="BT468">
        <v>1</v>
      </c>
      <c r="BV468">
        <v>1</v>
      </c>
      <c r="BX468" s="68"/>
      <c r="BY468" s="68">
        <v>1</v>
      </c>
      <c r="BZ468" s="68" t="s">
        <v>1057</v>
      </c>
      <c r="CA468" s="68" t="s">
        <v>1057</v>
      </c>
      <c r="CB468" s="68" t="s">
        <v>1057</v>
      </c>
      <c r="CC468" s="68" t="e">
        <f t="shared" si="116"/>
        <v>#DIV/0!</v>
      </c>
      <c r="CD468" s="68" t="str">
        <f t="shared" si="117"/>
        <v>NA</v>
      </c>
    </row>
    <row r="469" spans="1:82" ht="15.75" customHeight="1" thickBot="1" x14ac:dyDescent="0.3">
      <c r="A469" s="6">
        <v>468</v>
      </c>
      <c r="B469" s="7" t="s">
        <v>984</v>
      </c>
      <c r="C469" s="7" t="s">
        <v>117</v>
      </c>
      <c r="D469" s="7" t="s">
        <v>19</v>
      </c>
      <c r="E469" s="50">
        <v>-152.31970863201201</v>
      </c>
      <c r="F469" s="50">
        <v>16.7826893939394</v>
      </c>
      <c r="G469" s="50">
        <v>23.350512500000001</v>
      </c>
      <c r="H469" s="50">
        <v>6.2351325757575804</v>
      </c>
      <c r="I469" s="8">
        <v>0</v>
      </c>
      <c r="J469" s="50">
        <v>5.9943682494088097</v>
      </c>
      <c r="K469" s="248">
        <f>IFERROR(VLOOKUP(C469,Schedule!$T$3:$U$34,2,0),"FA")</f>
        <v>8</v>
      </c>
      <c r="L469" s="7" t="str">
        <f>D469&amp;COUNTIF(D$2:$D469,D469)</f>
        <v>RB127</v>
      </c>
      <c r="M469" s="50">
        <f t="array" ref="M469">IFERROR(F469-AVERAGE(VLOOKUP(D469,$D470:$F$885,3,0),INDEX($F470:$F$885,SMALL(IF(D469=$D470:$D$885,ROW($D470:$D$885)-ROW(D469)),2))),0)</f>
        <v>1.3055238883008009</v>
      </c>
      <c r="N469" s="50">
        <f>IFERROR(IF(VLOOKUP($B469,Input!$AC$2:$AC$162,1,0)=$B469,0),F469)</f>
        <v>16.7826893939394</v>
      </c>
      <c r="O469" s="50">
        <f>IFERROR(IF(VLOOKUP($B469,Input!$AC$2:$AC$162,1,0)=$B469,0,G469),G469)</f>
        <v>23.350512500000001</v>
      </c>
      <c r="P469" s="50">
        <f>IF(N469=0,0,F469-AVERAGE(INDEX(F:F,MATCH(VLOOKUP(D469,Input!$A$14:$L$22,10,0),L:L,0)),INDEX(F:F,MATCH(VLOOKUP(D469,Input!$A$14:$L$22,11,0),L:L,0)),INDEX(F:F,MATCH(VLOOKUP(D469,Input!$A$14:$L$22,12,0),L:L,0)))+(0.01-ROW()*0.01))</f>
        <v>-156.99970863201261</v>
      </c>
      <c r="Q469" s="106">
        <f t="shared" si="112"/>
        <v>-5.4163791205987175E-2</v>
      </c>
      <c r="R469" s="8">
        <f>IF(VLOOKUP($D469,$X$14:$Y$19,2,0)&lt;=0,1,IF(Q469&lt;0,1,ROUNDUP(IF(Q469*('Draft Center'!$L$28+'Draft Center'!$L$78-'Draft Center'!$L$82)&lt;1,1,Q469*('Draft Center'!$L$28+'Draft Center'!$L$78-'Draft Center'!$L$82)),0)))</f>
        <v>1</v>
      </c>
      <c r="S469" s="8">
        <f>IF(A469&lt;Input!$B$10+0.1,IF(ROUNDUP(R469*Input!$C$10,0)=0,1,ROUNDUP(R469*Input!$C$10,0)),IF(A469&gt;Input!$B$11,IF(ROUNDUP(R469*Input!$C$11,0)=0,1,ROUNDUP(R469*Input!$C$11,0)),IF(ROUNDUP(R469,0)=0,1,ROUNDUP(R469,0))))</f>
        <v>1</v>
      </c>
      <c r="T469" s="8">
        <f t="shared" si="113"/>
        <v>1</v>
      </c>
      <c r="U469" s="8">
        <f>IFERROR(VLOOKUP($B469,Input!$AC$2:$AE$161,3,0),0)</f>
        <v>0</v>
      </c>
      <c r="V469" s="256">
        <f t="shared" si="114"/>
        <v>0</v>
      </c>
      <c r="W469" s="263">
        <f t="shared" si="115"/>
        <v>1.0046900000000001</v>
      </c>
      <c r="X469" s="68"/>
      <c r="Y469" s="68"/>
      <c r="Z469" s="68"/>
      <c r="AA469" s="68"/>
      <c r="AB469" s="68"/>
      <c r="AC469" s="68"/>
      <c r="AD469" s="68"/>
      <c r="AE469" s="68"/>
      <c r="AF469" s="68"/>
      <c r="AG469" s="68"/>
      <c r="AH469" s="68"/>
      <c r="AI469" s="68"/>
      <c r="AJ469" s="68">
        <v>1</v>
      </c>
      <c r="AL469" s="68">
        <v>1</v>
      </c>
      <c r="AM469" s="68"/>
      <c r="AN469" s="68"/>
      <c r="AO469" s="68"/>
      <c r="AQ469" s="68"/>
      <c r="AR469" s="68"/>
      <c r="AS469" s="68"/>
      <c r="AT469" s="68"/>
      <c r="AU469" s="68"/>
      <c r="AV469" s="68"/>
      <c r="AW469" s="68"/>
      <c r="AX469" s="68"/>
      <c r="AY469" s="68"/>
      <c r="AZ469" s="68"/>
      <c r="BB469" s="68"/>
      <c r="BC469" s="68"/>
      <c r="BJ469" s="68"/>
      <c r="BT469">
        <v>1</v>
      </c>
      <c r="BV469">
        <v>1</v>
      </c>
      <c r="BX469" s="68"/>
      <c r="BY469" s="68">
        <v>1</v>
      </c>
      <c r="BZ469" s="68">
        <v>0</v>
      </c>
      <c r="CA469" s="68">
        <v>0</v>
      </c>
      <c r="CB469" s="68">
        <v>0</v>
      </c>
      <c r="CC469" s="68">
        <f t="shared" si="116"/>
        <v>0</v>
      </c>
      <c r="CD469" s="68">
        <f t="shared" si="117"/>
        <v>0</v>
      </c>
    </row>
    <row r="470" spans="1:82" ht="15.75" customHeight="1" thickBot="1" x14ac:dyDescent="0.3">
      <c r="A470" s="9">
        <v>469</v>
      </c>
      <c r="B470" s="10" t="s">
        <v>449</v>
      </c>
      <c r="C470" s="10" t="s">
        <v>925</v>
      </c>
      <c r="D470" s="10" t="s">
        <v>43</v>
      </c>
      <c r="E470" s="51">
        <v>-152.426988446514</v>
      </c>
      <c r="F470" s="51">
        <v>1.0339309056956101</v>
      </c>
      <c r="G470" s="51">
        <v>2.1591123271013801</v>
      </c>
      <c r="H470" s="51">
        <v>0</v>
      </c>
      <c r="I470" s="11" t="s">
        <v>1057</v>
      </c>
      <c r="J470" s="51" t="s">
        <v>1057</v>
      </c>
      <c r="K470" s="249">
        <f>IFERROR(VLOOKUP(C470,Schedule!$T$3:$U$34,2,0),"FA")</f>
        <v>8</v>
      </c>
      <c r="L470" s="10" t="str">
        <f>D470&amp;COUNTIF(D$2:$D470,D470)</f>
        <v>TE124</v>
      </c>
      <c r="M470" s="51">
        <f t="array" ref="M470">IFERROR(F470-AVERAGE(VLOOKUP(D470,$D471:$F$885,3,0),INDEX($F471:$F$885,SMALL(IF(D470=$D471:$D$885,ROW($D471:$D$885)-ROW(D470)),2))),0)</f>
        <v>0.2392847688630475</v>
      </c>
      <c r="N470" s="51">
        <f>IFERROR(IF(VLOOKUP($B470,Input!$AC$2:$AC$162,1,0)=$B470,0),F470)</f>
        <v>1.0339309056956101</v>
      </c>
      <c r="O470" s="51">
        <f>IFERROR(IF(VLOOKUP($B470,Input!$AC$2:$AC$162,1,0)=$B470,0,G470),G470)</f>
        <v>2.1591123271013801</v>
      </c>
      <c r="P470" s="51">
        <f>IF(N470=0,0,F470-AVERAGE(INDEX(F:F,MATCH(VLOOKUP(D470,Input!$A$14:$L$22,10,0),L:L,0)),INDEX(F:F,MATCH(VLOOKUP(D470,Input!$A$14:$L$22,11,0),L:L,0)),INDEX(F:F,MATCH(VLOOKUP(D470,Input!$A$14:$L$22,12,0),L:L,0)))+(0.01-ROW()*0.01))</f>
        <v>-157.11698844651372</v>
      </c>
      <c r="Q470" s="107">
        <f t="shared" si="112"/>
        <v>-5.4204251914103545E-2</v>
      </c>
      <c r="R470" s="11">
        <f>IF(VLOOKUP($D470,$X$14:$Y$19,2,0)&lt;=0,1,IF(Q470&lt;0,1,ROUNDUP(IF(Q470*('Draft Center'!$L$28+'Draft Center'!$L$78-'Draft Center'!$L$82)&lt;1,1,Q470*('Draft Center'!$L$28+'Draft Center'!$L$78-'Draft Center'!$L$82)),0)))</f>
        <v>1</v>
      </c>
      <c r="S470" s="11">
        <f>IF(A470&lt;Input!$B$10+0.1,IF(ROUNDUP(R470*Input!$C$10,0)=0,1,ROUNDUP(R470*Input!$C$10,0)),IF(A470&gt;Input!$B$11,IF(ROUNDUP(R470*Input!$C$11,0)=0,1,ROUNDUP(R470*Input!$C$11,0)),IF(ROUNDUP(R470,0)=0,1,ROUNDUP(R470,0))))</f>
        <v>1</v>
      </c>
      <c r="T470" s="11">
        <f t="shared" si="113"/>
        <v>1</v>
      </c>
      <c r="U470" s="11">
        <f>IFERROR(VLOOKUP($B470,Input!$AC$2:$AE$161,3,0),0)</f>
        <v>0</v>
      </c>
      <c r="V470" s="257">
        <f t="shared" si="114"/>
        <v>0</v>
      </c>
      <c r="W470" s="264">
        <f t="shared" si="115"/>
        <v>0</v>
      </c>
      <c r="X470" s="68"/>
      <c r="Y470" s="68"/>
      <c r="Z470" s="68"/>
      <c r="AA470" s="68"/>
      <c r="AB470" s="68"/>
      <c r="AC470" s="68"/>
      <c r="AD470" s="68"/>
      <c r="AE470" s="68"/>
      <c r="AF470" s="68"/>
      <c r="AG470" s="68"/>
      <c r="AH470" s="68"/>
      <c r="AI470" s="68"/>
      <c r="AJ470" s="68">
        <v>1</v>
      </c>
      <c r="AL470" s="68">
        <v>1</v>
      </c>
      <c r="AM470" s="68"/>
      <c r="AN470" s="68"/>
      <c r="AO470" s="68"/>
      <c r="AQ470" s="68"/>
      <c r="AR470" s="68"/>
      <c r="AS470" s="68"/>
      <c r="AT470" s="68"/>
      <c r="AU470" s="68"/>
      <c r="AV470" s="68"/>
      <c r="AW470" s="68"/>
      <c r="AX470" s="68"/>
      <c r="AY470" s="68"/>
      <c r="AZ470" s="68"/>
      <c r="BB470" s="68"/>
      <c r="BC470" s="68"/>
      <c r="BJ470" s="68"/>
      <c r="BT470">
        <v>1</v>
      </c>
      <c r="BV470">
        <v>1</v>
      </c>
      <c r="BX470" s="68"/>
      <c r="BY470" s="68">
        <v>1</v>
      </c>
      <c r="BZ470" s="68" t="s">
        <v>1057</v>
      </c>
      <c r="CA470" s="68" t="s">
        <v>1057</v>
      </c>
      <c r="CB470" s="68" t="s">
        <v>1057</v>
      </c>
      <c r="CC470" s="68" t="e">
        <f t="shared" si="116"/>
        <v>#DIV/0!</v>
      </c>
      <c r="CD470" s="68" t="str">
        <f t="shared" si="117"/>
        <v>NA</v>
      </c>
    </row>
    <row r="471" spans="1:82" ht="15.75" customHeight="1" thickBot="1" x14ac:dyDescent="0.3">
      <c r="A471" s="6">
        <v>470</v>
      </c>
      <c r="B471" s="7" t="s">
        <v>887</v>
      </c>
      <c r="C471" s="7" t="s">
        <v>93</v>
      </c>
      <c r="D471" s="7" t="s">
        <v>17</v>
      </c>
      <c r="E471" s="50">
        <v>-152.53079408730099</v>
      </c>
      <c r="F471" s="50">
        <v>60.247122182048301</v>
      </c>
      <c r="G471" s="50">
        <v>70.062968374699594</v>
      </c>
      <c r="H471" s="50">
        <v>49.085232823829102</v>
      </c>
      <c r="I471" s="8">
        <v>0</v>
      </c>
      <c r="J471" s="50">
        <v>4.3360803891335404</v>
      </c>
      <c r="K471" s="248">
        <f>IFERROR(VLOOKUP(C471,Schedule!$T$3:$U$34,2,0),"FA")</f>
        <v>11</v>
      </c>
      <c r="L471" s="7" t="str">
        <f>D471&amp;COUNTIF(D$2:$D471,D471)</f>
        <v>WR114</v>
      </c>
      <c r="M471" s="50">
        <f t="array" ref="M471">IFERROR(F471-AVERAGE(VLOOKUP(D471,$D472:$F$885,3,0),INDEX($F472:$F$885,SMALL(IF(D471=$D472:$D$885,ROW($D472:$D$885)-ROW(D471)),2))),0)</f>
        <v>2.3812227286831984</v>
      </c>
      <c r="N471" s="50">
        <f>IFERROR(IF(VLOOKUP($B471,Input!$AC$2:$AC$162,1,0)=$B471,0),F471)</f>
        <v>60.247122182048301</v>
      </c>
      <c r="O471" s="50">
        <f>IFERROR(IF(VLOOKUP($B471,Input!$AC$2:$AC$162,1,0)=$B471,0,G471),G471)</f>
        <v>70.062968374699594</v>
      </c>
      <c r="P471" s="50">
        <f>IF(N471=0,0,F471-AVERAGE(INDEX(F:F,MATCH(VLOOKUP(D471,Input!$A$14:$L$22,10,0),L:L,0)),INDEX(F:F,MATCH(VLOOKUP(D471,Input!$A$14:$L$22,11,0),L:L,0)),INDEX(F:F,MATCH(VLOOKUP(D471,Input!$A$14:$L$22,12,0),L:L,0)))+(0.01-ROW()*0.01))</f>
        <v>-157.23079408730069</v>
      </c>
      <c r="Q471" s="106">
        <f t="shared" si="112"/>
        <v>-5.4243514056812978E-2</v>
      </c>
      <c r="R471" s="8">
        <f>IF(VLOOKUP($D471,$X$14:$Y$19,2,0)&lt;=0,1,IF(Q471&lt;0,1,ROUNDUP(IF(Q471*('Draft Center'!$L$28+'Draft Center'!$L$78-'Draft Center'!$L$82)&lt;1,1,Q471*('Draft Center'!$L$28+'Draft Center'!$L$78-'Draft Center'!$L$82)),0)))</f>
        <v>1</v>
      </c>
      <c r="S471" s="8">
        <f>IF(A471&lt;Input!$B$10+0.1,IF(ROUNDUP(R471*Input!$C$10,0)=0,1,ROUNDUP(R471*Input!$C$10,0)),IF(A471&gt;Input!$B$11,IF(ROUNDUP(R471*Input!$C$11,0)=0,1,ROUNDUP(R471*Input!$C$11,0)),IF(ROUNDUP(R471,0)=0,1,ROUNDUP(R471,0))))</f>
        <v>1</v>
      </c>
      <c r="T471" s="8">
        <f t="shared" si="113"/>
        <v>1</v>
      </c>
      <c r="U471" s="8">
        <f>IFERROR(VLOOKUP($B471,Input!$AC$2:$AE$161,3,0),0)</f>
        <v>0</v>
      </c>
      <c r="V471" s="256">
        <f t="shared" si="114"/>
        <v>0</v>
      </c>
      <c r="W471" s="263">
        <f t="shared" si="115"/>
        <v>1.00471</v>
      </c>
      <c r="X471" s="68"/>
      <c r="Y471" s="68"/>
      <c r="Z471" s="68"/>
      <c r="AA471" s="68"/>
      <c r="AB471" s="68"/>
      <c r="AC471" s="68"/>
      <c r="AD471" s="68"/>
      <c r="AE471" s="68"/>
      <c r="AF471" s="68"/>
      <c r="AG471" s="68"/>
      <c r="AH471" s="68"/>
      <c r="AI471" s="68"/>
      <c r="AJ471" s="68">
        <v>1</v>
      </c>
      <c r="AL471" s="68">
        <v>1</v>
      </c>
      <c r="AM471" s="68"/>
      <c r="AN471" s="68"/>
      <c r="AO471" s="68"/>
      <c r="AQ471" s="68"/>
      <c r="AR471" s="68"/>
      <c r="AS471" s="68"/>
      <c r="AT471" s="68"/>
      <c r="AU471" s="68"/>
      <c r="AV471" s="68"/>
      <c r="AW471" s="68"/>
      <c r="AX471" s="68"/>
      <c r="AY471" s="68"/>
      <c r="AZ471" s="68"/>
      <c r="BB471" s="68"/>
      <c r="BC471" s="68"/>
      <c r="BJ471" s="68"/>
      <c r="BT471">
        <v>1</v>
      </c>
      <c r="BV471">
        <v>1</v>
      </c>
      <c r="BX471" s="68"/>
      <c r="BY471" s="68">
        <v>1</v>
      </c>
      <c r="BZ471" s="68">
        <v>0</v>
      </c>
      <c r="CA471" s="68">
        <v>0</v>
      </c>
      <c r="CB471" s="68">
        <v>0</v>
      </c>
      <c r="CC471" s="68">
        <f t="shared" si="116"/>
        <v>0</v>
      </c>
      <c r="CD471" s="68">
        <f t="shared" si="117"/>
        <v>0</v>
      </c>
    </row>
    <row r="472" spans="1:82" ht="15.75" customHeight="1" thickBot="1" x14ac:dyDescent="0.3">
      <c r="A472" s="9">
        <v>471</v>
      </c>
      <c r="B472" s="10" t="s">
        <v>418</v>
      </c>
      <c r="C472" s="10" t="s">
        <v>93</v>
      </c>
      <c r="D472" s="10" t="s">
        <v>43</v>
      </c>
      <c r="E472" s="51">
        <v>-152.55981139766399</v>
      </c>
      <c r="F472" s="51">
        <v>0.901107954545455</v>
      </c>
      <c r="G472" s="51">
        <v>1.8348634278565501</v>
      </c>
      <c r="H472" s="51">
        <v>0</v>
      </c>
      <c r="I472" s="11" t="s">
        <v>1057</v>
      </c>
      <c r="J472" s="51" t="s">
        <v>1057</v>
      </c>
      <c r="K472" s="249">
        <f>IFERROR(VLOOKUP(C472,Schedule!$T$3:$U$34,2,0),"FA")</f>
        <v>11</v>
      </c>
      <c r="L472" s="10" t="str">
        <f>D472&amp;COUNTIF(D$2:$D472,D472)</f>
        <v>TE125</v>
      </c>
      <c r="M472" s="51">
        <f t="array" ref="M472">IFERROR(F472-AVERAGE(VLOOKUP(D472,$D473:$F$885,3,0),INDEX($F473:$F$885,SMALL(IF(D472=$D473:$D$885,ROW($D473:$D$885)-ROW(D472)),2))),0)</f>
        <v>0.50978745935976022</v>
      </c>
      <c r="N472" s="51">
        <f>IFERROR(IF(VLOOKUP($B472,Input!$AC$2:$AC$162,1,0)=$B472,0),F472)</f>
        <v>0.901107954545455</v>
      </c>
      <c r="O472" s="51">
        <f>IFERROR(IF(VLOOKUP($B472,Input!$AC$2:$AC$162,1,0)=$B472,0,G472),G472)</f>
        <v>1.8348634278565501</v>
      </c>
      <c r="P472" s="51">
        <f>IF(N472=0,0,F472-AVERAGE(INDEX(F:F,MATCH(VLOOKUP(D472,Input!$A$14:$L$22,10,0),L:L,0)),INDEX(F:F,MATCH(VLOOKUP(D472,Input!$A$14:$L$22,11,0),L:L,0)),INDEX(F:F,MATCH(VLOOKUP(D472,Input!$A$14:$L$22,12,0),L:L,0)))+(0.01-ROW()*0.01))</f>
        <v>-157.26981139766386</v>
      </c>
      <c r="Q472" s="107">
        <f t="shared" si="112"/>
        <v>-5.4256974753462313E-2</v>
      </c>
      <c r="R472" s="11">
        <f>IF(VLOOKUP($D472,$X$14:$Y$19,2,0)&lt;=0,1,IF(Q472&lt;0,1,ROUNDUP(IF(Q472*('Draft Center'!$L$28+'Draft Center'!$L$78-'Draft Center'!$L$82)&lt;1,1,Q472*('Draft Center'!$L$28+'Draft Center'!$L$78-'Draft Center'!$L$82)),0)))</f>
        <v>1</v>
      </c>
      <c r="S472" s="11">
        <f>IF(A472&lt;Input!$B$10+0.1,IF(ROUNDUP(R472*Input!$C$10,0)=0,1,ROUNDUP(R472*Input!$C$10,0)),IF(A472&gt;Input!$B$11,IF(ROUNDUP(R472*Input!$C$11,0)=0,1,ROUNDUP(R472*Input!$C$11,0)),IF(ROUNDUP(R472,0)=0,1,ROUNDUP(R472,0))))</f>
        <v>1</v>
      </c>
      <c r="T472" s="11">
        <f t="shared" si="113"/>
        <v>1</v>
      </c>
      <c r="U472" s="11">
        <f>IFERROR(VLOOKUP($B472,Input!$AC$2:$AE$161,3,0),0)</f>
        <v>0</v>
      </c>
      <c r="V472" s="257">
        <f t="shared" si="114"/>
        <v>0</v>
      </c>
      <c r="W472" s="264">
        <f t="shared" si="115"/>
        <v>0</v>
      </c>
      <c r="X472" s="68"/>
      <c r="Y472" s="68"/>
      <c r="Z472" s="68"/>
      <c r="AA472" s="68"/>
      <c r="AB472" s="68"/>
      <c r="AC472" s="68"/>
      <c r="AD472" s="68"/>
      <c r="AE472" s="68"/>
      <c r="AF472" s="68"/>
      <c r="AG472" s="68"/>
      <c r="AH472" s="68"/>
      <c r="AI472" s="68"/>
      <c r="AJ472" s="68">
        <v>1</v>
      </c>
      <c r="AL472" s="68">
        <v>1</v>
      </c>
      <c r="AM472" s="68"/>
      <c r="AN472" s="68"/>
      <c r="AO472" s="68"/>
      <c r="AQ472" s="68"/>
      <c r="AR472" s="68"/>
      <c r="AS472" s="68"/>
      <c r="AT472" s="68"/>
      <c r="AU472" s="68"/>
      <c r="AV472" s="68"/>
      <c r="AW472" s="68"/>
      <c r="AX472" s="68"/>
      <c r="AY472" s="68"/>
      <c r="AZ472" s="68"/>
      <c r="BB472" s="68"/>
      <c r="BC472" s="68"/>
      <c r="BJ472" s="68"/>
      <c r="BT472">
        <v>1</v>
      </c>
      <c r="BV472">
        <v>1</v>
      </c>
      <c r="BX472" s="68"/>
      <c r="BY472" s="68">
        <v>1</v>
      </c>
      <c r="BZ472" s="68" t="s">
        <v>1057</v>
      </c>
      <c r="CA472" s="68" t="s">
        <v>1057</v>
      </c>
      <c r="CB472" s="68" t="s">
        <v>1057</v>
      </c>
      <c r="CC472" s="68" t="e">
        <f t="shared" si="116"/>
        <v>#DIV/0!</v>
      </c>
      <c r="CD472" s="68" t="str">
        <f t="shared" si="117"/>
        <v>NA</v>
      </c>
    </row>
    <row r="473" spans="1:82" ht="15.75" customHeight="1" thickBot="1" x14ac:dyDescent="0.3">
      <c r="A473" s="6">
        <v>472</v>
      </c>
      <c r="B473" s="7" t="s">
        <v>265</v>
      </c>
      <c r="C473" s="7" t="s">
        <v>311</v>
      </c>
      <c r="D473" s="7" t="s">
        <v>43</v>
      </c>
      <c r="E473" s="50">
        <v>-152.77273503308999</v>
      </c>
      <c r="F473" s="50">
        <v>0.68818431911967004</v>
      </c>
      <c r="G473" s="50">
        <v>1.18984403669725</v>
      </c>
      <c r="H473" s="50">
        <v>0</v>
      </c>
      <c r="I473" s="8" t="s">
        <v>1057</v>
      </c>
      <c r="J473" s="50" t="s">
        <v>1057</v>
      </c>
      <c r="K473" s="248" t="str">
        <f>IFERROR(VLOOKUP(C473,Schedule!$T$3:$U$34,2,0),"FA")</f>
        <v>FA</v>
      </c>
      <c r="L473" s="7" t="str">
        <f>D473&amp;COUNTIF(D$2:$D473,D473)</f>
        <v>TE126</v>
      </c>
      <c r="M473" s="50">
        <f t="array" ref="M473">IFERROR(F473-AVERAGE(VLOOKUP(D473,$D474:$F$885,3,0),INDEX($F474:$F$885,SMALL(IF(D473=$D474:$D$885,ROW($D474:$D$885)-ROW(D473)),2))),0)</f>
        <v>0.63420907840440177</v>
      </c>
      <c r="N473" s="50">
        <f>IFERROR(IF(VLOOKUP($B473,Input!$AC$2:$AC$162,1,0)=$B473,0),F473)</f>
        <v>0.68818431911967004</v>
      </c>
      <c r="O473" s="50">
        <f>IFERROR(IF(VLOOKUP($B473,Input!$AC$2:$AC$162,1,0)=$B473,0,G473),G473)</f>
        <v>1.18984403669725</v>
      </c>
      <c r="P473" s="50">
        <f>IF(N473=0,0,F473-AVERAGE(INDEX(F:F,MATCH(VLOOKUP(D473,Input!$A$14:$L$22,10,0),L:L,0)),INDEX(F:F,MATCH(VLOOKUP(D473,Input!$A$14:$L$22,11,0),L:L,0)),INDEX(F:F,MATCH(VLOOKUP(D473,Input!$A$14:$L$22,12,0),L:L,0)))+(0.01-ROW()*0.01))</f>
        <v>-157.49273503308964</v>
      </c>
      <c r="Q473" s="106">
        <f t="shared" si="112"/>
        <v>-5.4333881834050482E-2</v>
      </c>
      <c r="R473" s="8">
        <f>IF(VLOOKUP($D473,$X$14:$Y$19,2,0)&lt;=0,1,IF(Q473&lt;0,1,ROUNDUP(IF(Q473*('Draft Center'!$L$28+'Draft Center'!$L$78-'Draft Center'!$L$82)&lt;1,1,Q473*('Draft Center'!$L$28+'Draft Center'!$L$78-'Draft Center'!$L$82)),0)))</f>
        <v>1</v>
      </c>
      <c r="S473" s="8">
        <f>IF(A473&lt;Input!$B$10+0.1,IF(ROUNDUP(R473*Input!$C$10,0)=0,1,ROUNDUP(R473*Input!$C$10,0)),IF(A473&gt;Input!$B$11,IF(ROUNDUP(R473*Input!$C$11,0)=0,1,ROUNDUP(R473*Input!$C$11,0)),IF(ROUNDUP(R473,0)=0,1,ROUNDUP(R473,0))))</f>
        <v>1</v>
      </c>
      <c r="T473" s="8">
        <f t="shared" si="113"/>
        <v>1</v>
      </c>
      <c r="U473" s="8">
        <f>IFERROR(VLOOKUP($B473,Input!$AC$2:$AE$161,3,0),0)</f>
        <v>0</v>
      </c>
      <c r="V473" s="256">
        <f t="shared" si="114"/>
        <v>0</v>
      </c>
      <c r="W473" s="263">
        <f t="shared" si="115"/>
        <v>0</v>
      </c>
      <c r="X473" s="68"/>
      <c r="Y473" s="68"/>
      <c r="Z473" s="68"/>
      <c r="AA473" s="68"/>
      <c r="AB473" s="68"/>
      <c r="AC473" s="68"/>
      <c r="AD473" s="68"/>
      <c r="AE473" s="68"/>
      <c r="AF473" s="68"/>
      <c r="AG473" s="68"/>
      <c r="AH473" s="68"/>
      <c r="AI473" s="68"/>
      <c r="AJ473" s="68">
        <v>1</v>
      </c>
      <c r="AL473" s="68">
        <v>1</v>
      </c>
      <c r="AM473" s="68"/>
      <c r="AN473" s="68"/>
      <c r="AO473" s="68"/>
      <c r="AQ473" s="68"/>
      <c r="AR473" s="68"/>
      <c r="AS473" s="68"/>
      <c r="AT473" s="68"/>
      <c r="AU473" s="68"/>
      <c r="AV473" s="68"/>
      <c r="AW473" s="68"/>
      <c r="AX473" s="68"/>
      <c r="AY473" s="68"/>
      <c r="AZ473" s="68"/>
      <c r="BB473" s="68"/>
      <c r="BC473" s="68"/>
      <c r="BJ473" s="68"/>
      <c r="BT473">
        <v>1</v>
      </c>
      <c r="BV473">
        <v>1</v>
      </c>
      <c r="BX473" s="68"/>
      <c r="BY473" s="68">
        <v>1</v>
      </c>
      <c r="BZ473" s="68" t="s">
        <v>1057</v>
      </c>
      <c r="CA473" s="68" t="s">
        <v>1057</v>
      </c>
      <c r="CB473" s="68" t="s">
        <v>1057</v>
      </c>
      <c r="CC473" s="68" t="e">
        <f t="shared" si="116"/>
        <v>#DIV/0!</v>
      </c>
      <c r="CD473" s="68" t="str">
        <f t="shared" si="117"/>
        <v>NA</v>
      </c>
    </row>
    <row r="474" spans="1:82" ht="15.75" customHeight="1" thickBot="1" x14ac:dyDescent="0.3">
      <c r="A474" s="9">
        <v>473</v>
      </c>
      <c r="B474" s="10" t="s">
        <v>255</v>
      </c>
      <c r="C474" s="10" t="s">
        <v>48</v>
      </c>
      <c r="D474" s="10" t="s">
        <v>19</v>
      </c>
      <c r="E474" s="51">
        <v>-153.32147070281701</v>
      </c>
      <c r="F474" s="51">
        <v>15.7809273231353</v>
      </c>
      <c r="G474" s="51">
        <v>26.9184357142857</v>
      </c>
      <c r="H474" s="51">
        <v>0.21318244170096001</v>
      </c>
      <c r="I474" s="11">
        <v>0</v>
      </c>
      <c r="J474" s="51">
        <v>5.3932469267362197</v>
      </c>
      <c r="K474" s="249">
        <f>IFERROR(VLOOKUP(C474,Schedule!$T$3:$U$34,2,0),"FA")</f>
        <v>10</v>
      </c>
      <c r="L474" s="10" t="str">
        <f>D474&amp;COUNTIF(D$2:$D474,D474)</f>
        <v>RB128</v>
      </c>
      <c r="M474" s="51">
        <f t="array" ref="M474">IFERROR(F474-AVERAGE(VLOOKUP(D474,$D475:$F$885,3,0),INDEX($F475:$F$885,SMALL(IF(D474=$D475:$D$885,ROW($D475:$D$885)-ROW(D474)),2))),0)</f>
        <v>0.61233247494910081</v>
      </c>
      <c r="N474" s="51">
        <f>IFERROR(IF(VLOOKUP($B474,Input!$AC$2:$AC$162,1,0)=$B474,0),F474)</f>
        <v>15.7809273231353</v>
      </c>
      <c r="O474" s="51">
        <f>IFERROR(IF(VLOOKUP($B474,Input!$AC$2:$AC$162,1,0)=$B474,0,G474),G474)</f>
        <v>26.9184357142857</v>
      </c>
      <c r="P474" s="51">
        <f>IF(N474=0,0,F474-AVERAGE(INDEX(F:F,MATCH(VLOOKUP(D474,Input!$A$14:$L$22,10,0),L:L,0)),INDEX(F:F,MATCH(VLOOKUP(D474,Input!$A$14:$L$22,11,0),L:L,0)),INDEX(F:F,MATCH(VLOOKUP(D474,Input!$A$14:$L$22,12,0),L:L,0)))+(0.01-ROW()*0.01))</f>
        <v>-158.05147070281669</v>
      </c>
      <c r="Q474" s="107">
        <f t="shared" si="112"/>
        <v>-5.4526641695951672E-2</v>
      </c>
      <c r="R474" s="11">
        <f>IF(VLOOKUP($D474,$X$14:$Y$19,2,0)&lt;=0,1,IF(Q474&lt;0,1,ROUNDUP(IF(Q474*('Draft Center'!$L$28+'Draft Center'!$L$78-'Draft Center'!$L$82)&lt;1,1,Q474*('Draft Center'!$L$28+'Draft Center'!$L$78-'Draft Center'!$L$82)),0)))</f>
        <v>1</v>
      </c>
      <c r="S474" s="11">
        <f>IF(A474&lt;Input!$B$10+0.1,IF(ROUNDUP(R474*Input!$C$10,0)=0,1,ROUNDUP(R474*Input!$C$10,0)),IF(A474&gt;Input!$B$11,IF(ROUNDUP(R474*Input!$C$11,0)=0,1,ROUNDUP(R474*Input!$C$11,0)),IF(ROUNDUP(R474,0)=0,1,ROUNDUP(R474,0))))</f>
        <v>1</v>
      </c>
      <c r="T474" s="11">
        <f t="shared" si="113"/>
        <v>1</v>
      </c>
      <c r="U474" s="11">
        <f>IFERROR(VLOOKUP($B474,Input!$AC$2:$AE$161,3,0),0)</f>
        <v>0</v>
      </c>
      <c r="V474" s="257">
        <f t="shared" si="114"/>
        <v>0</v>
      </c>
      <c r="W474" s="264">
        <f t="shared" si="115"/>
        <v>1.00474</v>
      </c>
      <c r="X474" s="68"/>
      <c r="Y474" s="68"/>
      <c r="Z474" s="68"/>
      <c r="AA474" s="68"/>
      <c r="AB474" s="68"/>
      <c r="AC474" s="68"/>
      <c r="AD474" s="68"/>
      <c r="AE474" s="68"/>
      <c r="AF474" s="68"/>
      <c r="AG474" s="68"/>
      <c r="AH474" s="68"/>
      <c r="AI474" s="68"/>
      <c r="AJ474" s="68">
        <v>1</v>
      </c>
      <c r="AL474" s="68">
        <v>1</v>
      </c>
      <c r="AM474" s="68"/>
      <c r="AN474" s="68"/>
      <c r="AO474" s="68"/>
      <c r="AQ474" s="68"/>
      <c r="AR474" s="68"/>
      <c r="AS474" s="68"/>
      <c r="AT474" s="68"/>
      <c r="AU474" s="68"/>
      <c r="AV474" s="68"/>
      <c r="AW474" s="68"/>
      <c r="AX474" s="68"/>
      <c r="AY474" s="68"/>
      <c r="AZ474" s="68"/>
      <c r="BB474" s="68"/>
      <c r="BC474" s="68"/>
      <c r="BJ474" s="68"/>
      <c r="BT474">
        <v>1</v>
      </c>
      <c r="BV474">
        <v>1</v>
      </c>
      <c r="BX474" s="68"/>
      <c r="BY474" s="68">
        <v>1</v>
      </c>
      <c r="BZ474" s="68">
        <v>0</v>
      </c>
      <c r="CA474" s="68">
        <v>0</v>
      </c>
      <c r="CB474" s="68">
        <v>0</v>
      </c>
      <c r="CC474" s="68">
        <f t="shared" si="116"/>
        <v>0</v>
      </c>
      <c r="CD474" s="68">
        <f t="shared" si="117"/>
        <v>0</v>
      </c>
    </row>
    <row r="475" spans="1:82" ht="15.75" customHeight="1" thickBot="1" x14ac:dyDescent="0.3">
      <c r="A475" s="6">
        <v>474</v>
      </c>
      <c r="B475" s="7" t="s">
        <v>481</v>
      </c>
      <c r="C475" s="7" t="s">
        <v>83</v>
      </c>
      <c r="D475" s="7" t="s">
        <v>43</v>
      </c>
      <c r="E475" s="50">
        <v>-153.36646268095799</v>
      </c>
      <c r="F475" s="50">
        <v>9.4456671251719401E-2</v>
      </c>
      <c r="G475" s="50">
        <v>0.156708933281173</v>
      </c>
      <c r="H475" s="50">
        <v>0</v>
      </c>
      <c r="I475" s="8" t="s">
        <v>1057</v>
      </c>
      <c r="J475" s="50" t="s">
        <v>1057</v>
      </c>
      <c r="K475" s="248">
        <f>IFERROR(VLOOKUP(C475,Schedule!$T$3:$U$34,2,0),"FA")</f>
        <v>5</v>
      </c>
      <c r="L475" s="7" t="str">
        <f>D475&amp;COUNTIF(D$2:$D475,D475)</f>
        <v>TE127</v>
      </c>
      <c r="M475" s="50">
        <f t="array" ref="M475">IFERROR(F475-AVERAGE(VLOOKUP(D475,$D476:$F$885,3,0),INDEX($F476:$F$885,SMALL(IF(D475=$D476:$D$885,ROW($D476:$D$885)-ROW(D475)),2))),0)</f>
        <v>8.7709766162310854E-2</v>
      </c>
      <c r="N475" s="50">
        <f>IFERROR(IF(VLOOKUP($B475,Input!$AC$2:$AC$162,1,0)=$B475,0),F475)</f>
        <v>9.4456671251719401E-2</v>
      </c>
      <c r="O475" s="50">
        <f>IFERROR(IF(VLOOKUP($B475,Input!$AC$2:$AC$162,1,0)=$B475,0,G475),G475)</f>
        <v>0.156708933281173</v>
      </c>
      <c r="P475" s="50">
        <f>IF(N475=0,0,F475-AVERAGE(INDEX(F:F,MATCH(VLOOKUP(D475,Input!$A$14:$L$22,10,0),L:L,0)),INDEX(F:F,MATCH(VLOOKUP(D475,Input!$A$14:$L$22,11,0),L:L,0)),INDEX(F:F,MATCH(VLOOKUP(D475,Input!$A$14:$L$22,12,0),L:L,0)))+(0.01-ROW()*0.01))</f>
        <v>-158.10646268095761</v>
      </c>
      <c r="Q475" s="106">
        <f t="shared" si="112"/>
        <v>-5.4545613540218023E-2</v>
      </c>
      <c r="R475" s="8">
        <f>IF(VLOOKUP($D475,$X$14:$Y$19,2,0)&lt;=0,1,IF(Q475&lt;0,1,ROUNDUP(IF(Q475*('Draft Center'!$L$28+'Draft Center'!$L$78-'Draft Center'!$L$82)&lt;1,1,Q475*('Draft Center'!$L$28+'Draft Center'!$L$78-'Draft Center'!$L$82)),0)))</f>
        <v>1</v>
      </c>
      <c r="S475" s="8">
        <f>IF(A475&lt;Input!$B$10+0.1,IF(ROUNDUP(R475*Input!$C$10,0)=0,1,ROUNDUP(R475*Input!$C$10,0)),IF(A475&gt;Input!$B$11,IF(ROUNDUP(R475*Input!$C$11,0)=0,1,ROUNDUP(R475*Input!$C$11,0)),IF(ROUNDUP(R475,0)=0,1,ROUNDUP(R475,0))))</f>
        <v>1</v>
      </c>
      <c r="T475" s="8">
        <f t="shared" si="113"/>
        <v>1</v>
      </c>
      <c r="U475" s="8">
        <f>IFERROR(VLOOKUP($B475,Input!$AC$2:$AE$161,3,0),0)</f>
        <v>0</v>
      </c>
      <c r="V475" s="256">
        <f t="shared" si="114"/>
        <v>0</v>
      </c>
      <c r="W475" s="263">
        <f t="shared" si="115"/>
        <v>0</v>
      </c>
      <c r="X475" s="68"/>
      <c r="Y475" s="68"/>
      <c r="Z475" s="68"/>
      <c r="AA475" s="68"/>
      <c r="AB475" s="68"/>
      <c r="AC475" s="68"/>
      <c r="AD475" s="68"/>
      <c r="AE475" s="68"/>
      <c r="AF475" s="68"/>
      <c r="AG475" s="68"/>
      <c r="AH475" s="68"/>
      <c r="AI475" s="68"/>
      <c r="AJ475" s="68">
        <v>1</v>
      </c>
      <c r="AL475" s="68">
        <v>1</v>
      </c>
      <c r="AM475" s="68"/>
      <c r="AN475" s="68"/>
      <c r="AO475" s="68"/>
      <c r="AQ475" s="68"/>
      <c r="AR475" s="68"/>
      <c r="AS475" s="68"/>
      <c r="AT475" s="68"/>
      <c r="AU475" s="68"/>
      <c r="AV475" s="68"/>
      <c r="AW475" s="68"/>
      <c r="AX475" s="68"/>
      <c r="AY475" s="68"/>
      <c r="AZ475" s="68"/>
      <c r="BB475" s="68"/>
      <c r="BC475" s="68"/>
      <c r="BJ475" s="68"/>
      <c r="BT475">
        <v>1</v>
      </c>
      <c r="BV475">
        <v>1</v>
      </c>
      <c r="BX475" s="68"/>
      <c r="BY475" s="68">
        <v>1</v>
      </c>
      <c r="BZ475" s="68" t="s">
        <v>1057</v>
      </c>
      <c r="CA475" s="68" t="s">
        <v>1057</v>
      </c>
      <c r="CB475" s="68" t="s">
        <v>1057</v>
      </c>
      <c r="CC475" s="68" t="e">
        <f t="shared" si="116"/>
        <v>#DIV/0!</v>
      </c>
      <c r="CD475" s="68" t="str">
        <f t="shared" si="117"/>
        <v>NA</v>
      </c>
    </row>
    <row r="476" spans="1:82" ht="15.75" customHeight="1" thickBot="1" x14ac:dyDescent="0.3">
      <c r="A476" s="9">
        <v>475</v>
      </c>
      <c r="B476" s="10" t="s">
        <v>357</v>
      </c>
      <c r="C476" s="10" t="s">
        <v>311</v>
      </c>
      <c r="D476" s="10" t="s">
        <v>43</v>
      </c>
      <c r="E476" s="51">
        <v>-153.44742554203</v>
      </c>
      <c r="F476" s="51">
        <v>1.34938101788171E-2</v>
      </c>
      <c r="G476" s="51">
        <v>2.3330275229357801E-2</v>
      </c>
      <c r="H476" s="51">
        <v>0</v>
      </c>
      <c r="I476" s="11" t="s">
        <v>1057</v>
      </c>
      <c r="J476" s="51" t="s">
        <v>1057</v>
      </c>
      <c r="K476" s="249" t="str">
        <f>IFERROR(VLOOKUP(C476,Schedule!$T$3:$U$34,2,0),"FA")</f>
        <v>FA</v>
      </c>
      <c r="L476" s="10" t="str">
        <f>D476&amp;COUNTIF(D$2:$D476,D476)</f>
        <v>TE128</v>
      </c>
      <c r="M476" s="51">
        <f t="array" ref="M476">IFERROR(F476-AVERAGE(VLOOKUP(D476,$D477:$F$885,3,0),INDEX($F477:$F$885,SMALL(IF(D476=$D477:$D$885,ROW($D477:$D$885)-ROW(D476)),2))),0)</f>
        <v>1.34938101788171E-2</v>
      </c>
      <c r="N476" s="51">
        <f>IFERROR(IF(VLOOKUP($B476,Input!$AC$2:$AC$162,1,0)=$B476,0),F476)</f>
        <v>1.34938101788171E-2</v>
      </c>
      <c r="O476" s="51">
        <f>IFERROR(IF(VLOOKUP($B476,Input!$AC$2:$AC$162,1,0)=$B476,0,G476),G476)</f>
        <v>2.3330275229357801E-2</v>
      </c>
      <c r="P476" s="51">
        <f>IF(N476=0,0,F476-AVERAGE(INDEX(F:F,MATCH(VLOOKUP(D476,Input!$A$14:$L$22,10,0),L:L,0)),INDEX(F:F,MATCH(VLOOKUP(D476,Input!$A$14:$L$22,11,0),L:L,0)),INDEX(F:F,MATCH(VLOOKUP(D476,Input!$A$14:$L$22,12,0),L:L,0)))+(0.01-ROW()*0.01))</f>
        <v>-158.19742554203049</v>
      </c>
      <c r="Q476" s="107">
        <f t="shared" si="112"/>
        <v>-5.4576995085174891E-2</v>
      </c>
      <c r="R476" s="11">
        <f>IF(VLOOKUP($D476,$X$14:$Y$19,2,0)&lt;=0,1,IF(Q476&lt;0,1,ROUNDUP(IF(Q476*('Draft Center'!$L$28+'Draft Center'!$L$78-'Draft Center'!$L$82)&lt;1,1,Q476*('Draft Center'!$L$28+'Draft Center'!$L$78-'Draft Center'!$L$82)),0)))</f>
        <v>1</v>
      </c>
      <c r="S476" s="11">
        <f>IF(A476&lt;Input!$B$10+0.1,IF(ROUNDUP(R476*Input!$C$10,0)=0,1,ROUNDUP(R476*Input!$C$10,0)),IF(A476&gt;Input!$B$11,IF(ROUNDUP(R476*Input!$C$11,0)=0,1,ROUNDUP(R476*Input!$C$11,0)),IF(ROUNDUP(R476,0)=0,1,ROUNDUP(R476,0))))</f>
        <v>1</v>
      </c>
      <c r="T476" s="11">
        <f t="shared" si="113"/>
        <v>1</v>
      </c>
      <c r="U476" s="11">
        <f>IFERROR(VLOOKUP($B476,Input!$AC$2:$AE$161,3,0),0)</f>
        <v>0</v>
      </c>
      <c r="V476" s="257">
        <f t="shared" si="114"/>
        <v>0</v>
      </c>
      <c r="W476" s="264">
        <f t="shared" si="115"/>
        <v>0</v>
      </c>
      <c r="X476" s="68"/>
      <c r="Y476" s="68"/>
      <c r="Z476" s="68"/>
      <c r="AA476" s="68"/>
      <c r="AB476" s="68"/>
      <c r="AC476" s="68"/>
      <c r="AD476" s="68"/>
      <c r="AE476" s="68"/>
      <c r="AF476" s="68"/>
      <c r="AG476" s="68"/>
      <c r="AH476" s="68"/>
      <c r="AI476" s="68"/>
      <c r="AJ476" s="68">
        <v>1</v>
      </c>
      <c r="AL476" s="68">
        <v>1</v>
      </c>
      <c r="AM476" s="68"/>
      <c r="AN476" s="68"/>
      <c r="AO476" s="68"/>
      <c r="AQ476" s="68"/>
      <c r="AR476" s="68"/>
      <c r="AS476" s="68"/>
      <c r="AT476" s="68"/>
      <c r="AU476" s="68"/>
      <c r="AV476" s="68"/>
      <c r="AW476" s="68"/>
      <c r="AX476" s="68"/>
      <c r="AY476" s="68"/>
      <c r="AZ476" s="68"/>
      <c r="BB476" s="68"/>
      <c r="BC476" s="68"/>
      <c r="BJ476" s="68"/>
      <c r="BT476">
        <v>1</v>
      </c>
      <c r="BV476">
        <v>1</v>
      </c>
      <c r="BX476" s="68"/>
      <c r="BY476" s="68">
        <v>1</v>
      </c>
      <c r="BZ476" s="68" t="s">
        <v>1057</v>
      </c>
      <c r="CA476" s="68" t="s">
        <v>1057</v>
      </c>
      <c r="CB476" s="68" t="s">
        <v>1057</v>
      </c>
      <c r="CC476" s="68" t="e">
        <f t="shared" si="116"/>
        <v>#DIV/0!</v>
      </c>
      <c r="CD476" s="68" t="str">
        <f t="shared" si="117"/>
        <v>NA</v>
      </c>
    </row>
    <row r="477" spans="1:82" ht="15.75" customHeight="1" thickBot="1" x14ac:dyDescent="0.3">
      <c r="A477" s="6">
        <v>476</v>
      </c>
      <c r="B477" s="7" t="s">
        <v>1068</v>
      </c>
      <c r="C477" s="7" t="s">
        <v>68</v>
      </c>
      <c r="D477" s="7" t="s">
        <v>43</v>
      </c>
      <c r="E477" s="50">
        <v>-153.460919352209</v>
      </c>
      <c r="F477" s="50">
        <v>0</v>
      </c>
      <c r="G477" s="50">
        <v>0</v>
      </c>
      <c r="H477" s="50">
        <v>0</v>
      </c>
      <c r="I477" s="8">
        <v>0</v>
      </c>
      <c r="J477" s="50" t="s">
        <v>1057</v>
      </c>
      <c r="K477" s="248">
        <f>IFERROR(VLOOKUP(C477,Schedule!$T$3:$U$34,2,0),"FA")</f>
        <v>8</v>
      </c>
      <c r="L477" s="7" t="str">
        <f>D477&amp;COUNTIF(D$2:$D477,D477)</f>
        <v>TE129</v>
      </c>
      <c r="M477" s="50">
        <f t="array" ref="M477">IFERROR(F477-AVERAGE(VLOOKUP(D477,$D478:$F$885,3,0),INDEX($F478:$F$885,SMALL(IF(D477=$D478:$D$885,ROW($D478:$D$885)-ROW(D477)),2))),0)</f>
        <v>0</v>
      </c>
      <c r="N477" s="50">
        <f>IFERROR(IF(VLOOKUP($B477,Input!$AC$2:$AC$162,1,0)=$B477,0),F477)</f>
        <v>0</v>
      </c>
      <c r="O477" s="50">
        <f>IFERROR(IF(VLOOKUP($B477,Input!$AC$2:$AC$162,1,0)=$B477,0,G477),G477)</f>
        <v>0</v>
      </c>
      <c r="P477" s="50">
        <f>IF(N477=0,0,F477-AVERAGE(INDEX(F:F,MATCH(VLOOKUP(D477,Input!$A$14:$L$22,10,0),L:L,0)),INDEX(F:F,MATCH(VLOOKUP(D477,Input!$A$14:$L$22,11,0),L:L,0)),INDEX(F:F,MATCH(VLOOKUP(D477,Input!$A$14:$L$22,12,0),L:L,0)))+(0.01-ROW()*0.01))</f>
        <v>0</v>
      </c>
      <c r="Q477" s="106">
        <f t="shared" si="112"/>
        <v>0</v>
      </c>
      <c r="R477" s="8">
        <f>IF(VLOOKUP($D477,$X$14:$Y$19,2,0)&lt;=0,1,IF(Q477&lt;0,1,ROUNDUP(IF(Q477*('Draft Center'!$L$28+'Draft Center'!$L$78-'Draft Center'!$L$82)&lt;1,1,Q477*('Draft Center'!$L$28+'Draft Center'!$L$78-'Draft Center'!$L$82)),0)))</f>
        <v>1</v>
      </c>
      <c r="S477" s="8">
        <f>IF(A477&lt;Input!$B$10+0.1,IF(ROUNDUP(R477*Input!$C$10,0)=0,1,ROUNDUP(R477*Input!$C$10,0)),IF(A477&gt;Input!$B$11,IF(ROUNDUP(R477*Input!$C$11,0)=0,1,ROUNDUP(R477*Input!$C$11,0)),IF(ROUNDUP(R477,0)=0,1,ROUNDUP(R477,0))))</f>
        <v>1</v>
      </c>
      <c r="T477" s="8">
        <f t="shared" si="113"/>
        <v>1</v>
      </c>
      <c r="U477" s="8">
        <f>IFERROR(VLOOKUP($B477,Input!$AC$2:$AE$161,3,0),0)</f>
        <v>0</v>
      </c>
      <c r="V477" s="256">
        <f t="shared" si="114"/>
        <v>0</v>
      </c>
      <c r="W477" s="263">
        <f t="shared" si="115"/>
        <v>1.0047699999999999</v>
      </c>
      <c r="X477" s="68"/>
      <c r="Y477" s="68"/>
      <c r="Z477" s="68"/>
      <c r="AA477" s="68"/>
      <c r="AB477" s="68"/>
      <c r="AC477" s="68"/>
      <c r="AD477" s="68"/>
      <c r="AE477" s="68"/>
      <c r="AF477" s="68"/>
      <c r="AG477" s="68"/>
      <c r="AH477" s="68"/>
      <c r="AI477" s="68"/>
      <c r="AJ477" s="68">
        <v>1</v>
      </c>
      <c r="AL477" s="68">
        <v>1</v>
      </c>
      <c r="AM477" s="68"/>
      <c r="AN477" s="68"/>
      <c r="AO477" s="68"/>
      <c r="AQ477" s="68"/>
      <c r="AR477" s="68"/>
      <c r="AS477" s="68"/>
      <c r="AT477" s="68"/>
      <c r="AU477" s="68"/>
      <c r="AV477" s="68"/>
      <c r="AW477" s="68"/>
      <c r="AX477" s="68"/>
      <c r="AY477" s="68"/>
      <c r="AZ477" s="68"/>
      <c r="BB477" s="68"/>
      <c r="BC477" s="68"/>
      <c r="BJ477" s="68"/>
      <c r="BT477">
        <v>1</v>
      </c>
      <c r="BV477">
        <v>1</v>
      </c>
      <c r="BX477" s="68"/>
      <c r="BY477" s="68">
        <v>1</v>
      </c>
      <c r="BZ477" s="68">
        <v>0</v>
      </c>
      <c r="CA477" s="68">
        <v>0</v>
      </c>
      <c r="CB477" s="68">
        <v>0</v>
      </c>
      <c r="CC477" s="68">
        <f t="shared" si="116"/>
        <v>0</v>
      </c>
      <c r="CD477" s="68">
        <f t="shared" si="117"/>
        <v>0</v>
      </c>
    </row>
    <row r="478" spans="1:82" ht="15.75" customHeight="1" thickBot="1" x14ac:dyDescent="0.3">
      <c r="A478" s="9">
        <v>477</v>
      </c>
      <c r="B478" s="10" t="s">
        <v>487</v>
      </c>
      <c r="C478" s="10" t="s">
        <v>48</v>
      </c>
      <c r="D478" s="10" t="s">
        <v>43</v>
      </c>
      <c r="E478" s="51">
        <v>-153.460919352209</v>
      </c>
      <c r="F478" s="51">
        <v>0</v>
      </c>
      <c r="G478" s="51">
        <v>0</v>
      </c>
      <c r="H478" s="51">
        <v>0</v>
      </c>
      <c r="I478" s="11" t="s">
        <v>1057</v>
      </c>
      <c r="J478" s="51" t="s">
        <v>1057</v>
      </c>
      <c r="K478" s="249">
        <f>IFERROR(VLOOKUP(C478,Schedule!$T$3:$U$34,2,0),"FA")</f>
        <v>10</v>
      </c>
      <c r="L478" s="10" t="str">
        <f>D478&amp;COUNTIF(D$2:$D478,D478)</f>
        <v>TE130</v>
      </c>
      <c r="M478" s="51">
        <f t="array" ref="M478">IFERROR(F478-AVERAGE(VLOOKUP(D478,$D479:$F$885,3,0),INDEX($F479:$F$885,SMALL(IF(D478=$D479:$D$885,ROW($D479:$D$885)-ROW(D478)),2))),0)</f>
        <v>0</v>
      </c>
      <c r="N478" s="51">
        <f>IFERROR(IF(VLOOKUP($B478,Input!$AC$2:$AC$162,1,0)=$B478,0),F478)</f>
        <v>0</v>
      </c>
      <c r="O478" s="51">
        <f>IFERROR(IF(VLOOKUP($B478,Input!$AC$2:$AC$162,1,0)=$B478,0,G478),G478)</f>
        <v>0</v>
      </c>
      <c r="P478" s="51">
        <f>IF(N478=0,0,F478-AVERAGE(INDEX(F:F,MATCH(VLOOKUP(D478,Input!$A$14:$L$22,10,0),L:L,0)),INDEX(F:F,MATCH(VLOOKUP(D478,Input!$A$14:$L$22,11,0),L:L,0)),INDEX(F:F,MATCH(VLOOKUP(D478,Input!$A$14:$L$22,12,0),L:L,0)))+(0.01-ROW()*0.01))</f>
        <v>0</v>
      </c>
      <c r="Q478" s="107">
        <f t="shared" si="112"/>
        <v>0</v>
      </c>
      <c r="R478" s="11">
        <f>IF(VLOOKUP($D478,$X$14:$Y$19,2,0)&lt;=0,1,IF(Q478&lt;0,1,ROUNDUP(IF(Q478*('Draft Center'!$L$28+'Draft Center'!$L$78-'Draft Center'!$L$82)&lt;1,1,Q478*('Draft Center'!$L$28+'Draft Center'!$L$78-'Draft Center'!$L$82)),0)))</f>
        <v>1</v>
      </c>
      <c r="S478" s="11">
        <f>IF(A478&lt;Input!$B$10+0.1,IF(ROUNDUP(R478*Input!$C$10,0)=0,1,ROUNDUP(R478*Input!$C$10,0)),IF(A478&gt;Input!$B$11,IF(ROUNDUP(R478*Input!$C$11,0)=0,1,ROUNDUP(R478*Input!$C$11,0)),IF(ROUNDUP(R478,0)=0,1,ROUNDUP(R478,0))))</f>
        <v>1</v>
      </c>
      <c r="T478" s="11">
        <f t="shared" si="113"/>
        <v>1</v>
      </c>
      <c r="U478" s="11">
        <f>IFERROR(VLOOKUP($B478,Input!$AC$2:$AE$161,3,0),0)</f>
        <v>0</v>
      </c>
      <c r="V478" s="257">
        <f t="shared" si="114"/>
        <v>0</v>
      </c>
      <c r="W478" s="264">
        <f t="shared" si="115"/>
        <v>0</v>
      </c>
      <c r="X478" s="68"/>
      <c r="Y478" s="68"/>
      <c r="Z478" s="68"/>
      <c r="AA478" s="68"/>
      <c r="AB478" s="68"/>
      <c r="AC478" s="68"/>
      <c r="AD478" s="68"/>
      <c r="AE478" s="68"/>
      <c r="AF478" s="68"/>
      <c r="AG478" s="68"/>
      <c r="AH478" s="68"/>
      <c r="AI478" s="68"/>
      <c r="AJ478" s="68">
        <v>1</v>
      </c>
      <c r="AL478" s="68">
        <v>1</v>
      </c>
      <c r="AM478" s="68"/>
      <c r="AN478" s="68"/>
      <c r="AO478" s="68"/>
      <c r="AQ478" s="68"/>
      <c r="AR478" s="68"/>
      <c r="AS478" s="68"/>
      <c r="AT478" s="68"/>
      <c r="AU478" s="68"/>
      <c r="AV478" s="68"/>
      <c r="AW478" s="68"/>
      <c r="AX478" s="68"/>
      <c r="AY478" s="68"/>
      <c r="AZ478" s="68"/>
      <c r="BB478" s="68"/>
      <c r="BC478" s="68"/>
      <c r="BJ478" s="68"/>
      <c r="BT478">
        <v>1</v>
      </c>
      <c r="BV478">
        <v>1</v>
      </c>
      <c r="BX478" s="68"/>
      <c r="BY478" s="68">
        <v>1</v>
      </c>
      <c r="BZ478" s="68" t="s">
        <v>1057</v>
      </c>
      <c r="CA478" s="68" t="s">
        <v>1057</v>
      </c>
      <c r="CB478" s="68" t="s">
        <v>1057</v>
      </c>
      <c r="CC478" s="68" t="e">
        <f t="shared" si="116"/>
        <v>#DIV/0!</v>
      </c>
      <c r="CD478" s="68" t="str">
        <f t="shared" si="117"/>
        <v>NA</v>
      </c>
    </row>
    <row r="479" spans="1:82" ht="15.75" customHeight="1" thickBot="1" x14ac:dyDescent="0.3">
      <c r="A479" s="6">
        <v>478</v>
      </c>
      <c r="B479" s="7" t="s">
        <v>1069</v>
      </c>
      <c r="C479" s="7" t="s">
        <v>31</v>
      </c>
      <c r="D479" s="7" t="s">
        <v>43</v>
      </c>
      <c r="E479" s="50">
        <v>-153.460919352209</v>
      </c>
      <c r="F479" s="50">
        <v>0</v>
      </c>
      <c r="G479" s="50">
        <v>0</v>
      </c>
      <c r="H479" s="50">
        <v>0</v>
      </c>
      <c r="I479" s="8" t="s">
        <v>1057</v>
      </c>
      <c r="J479" s="50" t="s">
        <v>1057</v>
      </c>
      <c r="K479" s="248">
        <f>IFERROR(VLOOKUP(C479,Schedule!$T$3:$U$34,2,0),"FA")</f>
        <v>9</v>
      </c>
      <c r="L479" s="7" t="str">
        <f>D479&amp;COUNTIF(D$2:$D479,D479)</f>
        <v>TE131</v>
      </c>
      <c r="M479" s="50">
        <f t="array" ref="M479">IFERROR(F479-AVERAGE(VLOOKUP(D479,$D480:$F$885,3,0),INDEX($F480:$F$885,SMALL(IF(D479=$D480:$D$885,ROW($D480:$D$885)-ROW(D479)),2))),0)</f>
        <v>0</v>
      </c>
      <c r="N479" s="50">
        <f>IFERROR(IF(VLOOKUP($B479,Input!$AC$2:$AC$162,1,0)=$B479,0),F479)</f>
        <v>0</v>
      </c>
      <c r="O479" s="50">
        <f>IFERROR(IF(VLOOKUP($B479,Input!$AC$2:$AC$162,1,0)=$B479,0,G479),G479)</f>
        <v>0</v>
      </c>
      <c r="P479" s="50">
        <f>IF(N479=0,0,F479-AVERAGE(INDEX(F:F,MATCH(VLOOKUP(D479,Input!$A$14:$L$22,10,0),L:L,0)),INDEX(F:F,MATCH(VLOOKUP(D479,Input!$A$14:$L$22,11,0),L:L,0)),INDEX(F:F,MATCH(VLOOKUP(D479,Input!$A$14:$L$22,12,0),L:L,0)))+(0.01-ROW()*0.01))</f>
        <v>0</v>
      </c>
      <c r="Q479" s="106">
        <f t="shared" si="112"/>
        <v>0</v>
      </c>
      <c r="R479" s="8">
        <f>IF(VLOOKUP($D479,$X$14:$Y$19,2,0)&lt;=0,1,IF(Q479&lt;0,1,ROUNDUP(IF(Q479*('Draft Center'!$L$28+'Draft Center'!$L$78-'Draft Center'!$L$82)&lt;1,1,Q479*('Draft Center'!$L$28+'Draft Center'!$L$78-'Draft Center'!$L$82)),0)))</f>
        <v>1</v>
      </c>
      <c r="S479" s="8">
        <f>IF(A479&lt;Input!$B$10+0.1,IF(ROUNDUP(R479*Input!$C$10,0)=0,1,ROUNDUP(R479*Input!$C$10,0)),IF(A479&gt;Input!$B$11,IF(ROUNDUP(R479*Input!$C$11,0)=0,1,ROUNDUP(R479*Input!$C$11,0)),IF(ROUNDUP(R479,0)=0,1,ROUNDUP(R479,0))))</f>
        <v>1</v>
      </c>
      <c r="T479" s="8">
        <f t="shared" si="113"/>
        <v>1</v>
      </c>
      <c r="U479" s="8">
        <f>IFERROR(VLOOKUP($B479,Input!$AC$2:$AE$161,3,0),0)</f>
        <v>0</v>
      </c>
      <c r="V479" s="256">
        <f t="shared" si="114"/>
        <v>0</v>
      </c>
      <c r="W479" s="263">
        <f t="shared" si="115"/>
        <v>0</v>
      </c>
      <c r="X479" s="68"/>
      <c r="Y479" s="68"/>
      <c r="Z479" s="68"/>
      <c r="AA479" s="68"/>
      <c r="AB479" s="68"/>
      <c r="AC479" s="68"/>
      <c r="AD479" s="68"/>
      <c r="AE479" s="68"/>
      <c r="AF479" s="68"/>
      <c r="AG479" s="68"/>
      <c r="AH479" s="68"/>
      <c r="AI479" s="68"/>
      <c r="AJ479" s="68">
        <v>1</v>
      </c>
      <c r="AL479" s="68">
        <v>1</v>
      </c>
      <c r="AM479" s="68"/>
      <c r="AN479" s="68"/>
      <c r="AO479" s="68"/>
      <c r="AQ479" s="68"/>
      <c r="AR479" s="68"/>
      <c r="AS479" s="68"/>
      <c r="AT479" s="68"/>
      <c r="AU479" s="68"/>
      <c r="AV479" s="68"/>
      <c r="AW479" s="68"/>
      <c r="AX479" s="68"/>
      <c r="AY479" s="68"/>
      <c r="AZ479" s="68"/>
      <c r="BB479" s="68"/>
      <c r="BC479" s="68"/>
      <c r="BJ479" s="68"/>
      <c r="BT479">
        <v>1</v>
      </c>
      <c r="BV479">
        <v>1</v>
      </c>
      <c r="BX479" s="68"/>
      <c r="BY479" s="68">
        <v>1</v>
      </c>
      <c r="BZ479" s="68" t="s">
        <v>1057</v>
      </c>
      <c r="CA479" s="68" t="s">
        <v>1057</v>
      </c>
      <c r="CB479" s="68" t="s">
        <v>1057</v>
      </c>
      <c r="CC479" s="68" t="e">
        <f t="shared" si="116"/>
        <v>#DIV/0!</v>
      </c>
      <c r="CD479" s="68" t="str">
        <f t="shared" si="117"/>
        <v>NA</v>
      </c>
    </row>
    <row r="480" spans="1:82" ht="15.75" customHeight="1" thickBot="1" x14ac:dyDescent="0.3">
      <c r="A480" s="9">
        <v>479</v>
      </c>
      <c r="B480" s="10" t="s">
        <v>484</v>
      </c>
      <c r="C480" s="10" t="s">
        <v>45</v>
      </c>
      <c r="D480" s="10" t="s">
        <v>43</v>
      </c>
      <c r="E480" s="51">
        <v>-153.460919352209</v>
      </c>
      <c r="F480" s="51">
        <v>0</v>
      </c>
      <c r="G480" s="51">
        <v>0</v>
      </c>
      <c r="H480" s="51">
        <v>0</v>
      </c>
      <c r="I480" s="11" t="s">
        <v>1057</v>
      </c>
      <c r="J480" s="51" t="s">
        <v>1057</v>
      </c>
      <c r="K480" s="249">
        <f>IFERROR(VLOOKUP(C480,Schedule!$T$3:$U$34,2,0),"FA")</f>
        <v>6</v>
      </c>
      <c r="L480" s="10" t="str">
        <f>D480&amp;COUNTIF(D$2:$D480,D480)</f>
        <v>TE132</v>
      </c>
      <c r="M480" s="51">
        <f t="array" ref="M480">IFERROR(F480-AVERAGE(VLOOKUP(D480,$D481:$F$885,3,0),INDEX($F481:$F$885,SMALL(IF(D480=$D481:$D$885,ROW($D481:$D$885)-ROW(D480)),2))),0)</f>
        <v>0</v>
      </c>
      <c r="N480" s="51">
        <f>IFERROR(IF(VLOOKUP($B480,Input!$AC$2:$AC$162,1,0)=$B480,0),F480)</f>
        <v>0</v>
      </c>
      <c r="O480" s="51">
        <f>IFERROR(IF(VLOOKUP($B480,Input!$AC$2:$AC$162,1,0)=$B480,0,G480),G480)</f>
        <v>0</v>
      </c>
      <c r="P480" s="51">
        <f>IF(N480=0,0,F480-AVERAGE(INDEX(F:F,MATCH(VLOOKUP(D480,Input!$A$14:$L$22,10,0),L:L,0)),INDEX(F:F,MATCH(VLOOKUP(D480,Input!$A$14:$L$22,11,0),L:L,0)),INDEX(F:F,MATCH(VLOOKUP(D480,Input!$A$14:$L$22,12,0),L:L,0)))+(0.01-ROW()*0.01))</f>
        <v>0</v>
      </c>
      <c r="Q480" s="107">
        <f t="shared" si="112"/>
        <v>0</v>
      </c>
      <c r="R480" s="11">
        <f>IF(VLOOKUP($D480,$X$14:$Y$19,2,0)&lt;=0,1,IF(Q480&lt;0,1,ROUNDUP(IF(Q480*('Draft Center'!$L$28+'Draft Center'!$L$78-'Draft Center'!$L$82)&lt;1,1,Q480*('Draft Center'!$L$28+'Draft Center'!$L$78-'Draft Center'!$L$82)),0)))</f>
        <v>1</v>
      </c>
      <c r="S480" s="11">
        <f>IF(A480&lt;Input!$B$10+0.1,IF(ROUNDUP(R480*Input!$C$10,0)=0,1,ROUNDUP(R480*Input!$C$10,0)),IF(A480&gt;Input!$B$11,IF(ROUNDUP(R480*Input!$C$11,0)=0,1,ROUNDUP(R480*Input!$C$11,0)),IF(ROUNDUP(R480,0)=0,1,ROUNDUP(R480,0))))</f>
        <v>1</v>
      </c>
      <c r="T480" s="11">
        <f t="shared" si="113"/>
        <v>1</v>
      </c>
      <c r="U480" s="11">
        <f>IFERROR(VLOOKUP($B480,Input!$AC$2:$AE$161,3,0),0)</f>
        <v>0</v>
      </c>
      <c r="V480" s="257">
        <f t="shared" si="114"/>
        <v>0</v>
      </c>
      <c r="W480" s="264">
        <f t="shared" si="115"/>
        <v>0</v>
      </c>
      <c r="X480" s="68"/>
      <c r="Y480" s="68"/>
      <c r="Z480" s="68"/>
      <c r="AA480" s="68"/>
      <c r="AB480" s="68"/>
      <c r="AC480" s="68"/>
      <c r="AD480" s="68"/>
      <c r="AE480" s="68"/>
      <c r="AF480" s="68"/>
      <c r="AG480" s="68"/>
      <c r="AH480" s="68"/>
      <c r="AI480" s="68"/>
      <c r="AJ480" s="68">
        <v>1</v>
      </c>
      <c r="AL480" s="68">
        <v>1</v>
      </c>
      <c r="AM480" s="68"/>
      <c r="AN480" s="68"/>
      <c r="AO480" s="68"/>
      <c r="AQ480" s="68"/>
      <c r="AR480" s="68"/>
      <c r="AS480" s="68"/>
      <c r="AT480" s="68"/>
      <c r="AU480" s="68"/>
      <c r="AV480" s="68"/>
      <c r="AW480" s="68"/>
      <c r="AX480" s="68"/>
      <c r="AY480" s="68"/>
      <c r="AZ480" s="68"/>
      <c r="BB480" s="68"/>
      <c r="BC480" s="68"/>
      <c r="BJ480" s="68"/>
      <c r="BT480">
        <v>1</v>
      </c>
      <c r="BV480">
        <v>1</v>
      </c>
      <c r="BX480" s="68"/>
      <c r="BY480" s="68">
        <v>1</v>
      </c>
      <c r="BZ480" s="68" t="s">
        <v>1057</v>
      </c>
      <c r="CA480" s="68" t="s">
        <v>1057</v>
      </c>
      <c r="CB480" s="68" t="s">
        <v>1057</v>
      </c>
      <c r="CC480" s="68" t="e">
        <f t="shared" si="116"/>
        <v>#DIV/0!</v>
      </c>
      <c r="CD480" s="68" t="str">
        <f t="shared" si="117"/>
        <v>NA</v>
      </c>
    </row>
    <row r="481" spans="1:82" ht="15.75" customHeight="1" thickBot="1" x14ac:dyDescent="0.3">
      <c r="A481" s="6">
        <v>480</v>
      </c>
      <c r="B481" s="7" t="s">
        <v>979</v>
      </c>
      <c r="C481" s="7" t="s">
        <v>143</v>
      </c>
      <c r="D481" s="7" t="s">
        <v>43</v>
      </c>
      <c r="E481" s="50">
        <v>-153.460919352209</v>
      </c>
      <c r="F481" s="50">
        <v>0</v>
      </c>
      <c r="G481" s="50">
        <v>0</v>
      </c>
      <c r="H481" s="50">
        <v>0</v>
      </c>
      <c r="I481" s="8" t="s">
        <v>1057</v>
      </c>
      <c r="J481" s="50" t="s">
        <v>1057</v>
      </c>
      <c r="K481" s="248">
        <f>IFERROR(VLOOKUP(C481,Schedule!$T$3:$U$34,2,0),"FA")</f>
        <v>9</v>
      </c>
      <c r="L481" s="7" t="str">
        <f>D481&amp;COUNTIF(D$2:$D481,D481)</f>
        <v>TE133</v>
      </c>
      <c r="M481" s="50">
        <f t="array" ref="M481">IFERROR(F481-AVERAGE(VLOOKUP(D481,$D482:$F$885,3,0),INDEX($F482:$F$885,SMALL(IF(D481=$D482:$D$885,ROW($D482:$D$885)-ROW(D481)),2))),0)</f>
        <v>0</v>
      </c>
      <c r="N481" s="50">
        <f>IFERROR(IF(VLOOKUP($B481,Input!$AC$2:$AC$162,1,0)=$B481,0),F481)</f>
        <v>0</v>
      </c>
      <c r="O481" s="50">
        <f>IFERROR(IF(VLOOKUP($B481,Input!$AC$2:$AC$162,1,0)=$B481,0,G481),G481)</f>
        <v>0</v>
      </c>
      <c r="P481" s="50">
        <f>IF(N481=0,0,F481-AVERAGE(INDEX(F:F,MATCH(VLOOKUP(D481,Input!$A$14:$L$22,10,0),L:L,0)),INDEX(F:F,MATCH(VLOOKUP(D481,Input!$A$14:$L$22,11,0),L:L,0)),INDEX(F:F,MATCH(VLOOKUP(D481,Input!$A$14:$L$22,12,0),L:L,0)))+(0.01-ROW()*0.01))</f>
        <v>0</v>
      </c>
      <c r="Q481" s="106">
        <f t="shared" si="112"/>
        <v>0</v>
      </c>
      <c r="R481" s="8">
        <f>IF(VLOOKUP($D481,$X$14:$Y$19,2,0)&lt;=0,1,IF(Q481&lt;0,1,ROUNDUP(IF(Q481*('Draft Center'!$L$28+'Draft Center'!$L$78-'Draft Center'!$L$82)&lt;1,1,Q481*('Draft Center'!$L$28+'Draft Center'!$L$78-'Draft Center'!$L$82)),0)))</f>
        <v>1</v>
      </c>
      <c r="S481" s="8">
        <f>IF(A481&lt;Input!$B$10+0.1,IF(ROUNDUP(R481*Input!$C$10,0)=0,1,ROUNDUP(R481*Input!$C$10,0)),IF(A481&gt;Input!$B$11,IF(ROUNDUP(R481*Input!$C$11,0)=0,1,ROUNDUP(R481*Input!$C$11,0)),IF(ROUNDUP(R481,0)=0,1,ROUNDUP(R481,0))))</f>
        <v>1</v>
      </c>
      <c r="T481" s="8">
        <f t="shared" si="113"/>
        <v>1</v>
      </c>
      <c r="U481" s="8">
        <f>IFERROR(VLOOKUP($B481,Input!$AC$2:$AE$161,3,0),0)</f>
        <v>0</v>
      </c>
      <c r="V481" s="256">
        <f t="shared" si="114"/>
        <v>0</v>
      </c>
      <c r="W481" s="263">
        <f t="shared" si="115"/>
        <v>0</v>
      </c>
      <c r="X481" s="68"/>
      <c r="Y481" s="68"/>
      <c r="Z481" s="68"/>
      <c r="AA481" s="68"/>
      <c r="AB481" s="68"/>
      <c r="AC481" s="68"/>
      <c r="AD481" s="68"/>
      <c r="AE481" s="68"/>
      <c r="AF481" s="68"/>
      <c r="AG481" s="68"/>
      <c r="AH481" s="68"/>
      <c r="AI481" s="68"/>
      <c r="AJ481" s="68">
        <v>1</v>
      </c>
      <c r="AL481" s="68">
        <v>1</v>
      </c>
      <c r="AM481" s="68"/>
      <c r="AN481" s="68"/>
      <c r="AO481" s="68"/>
      <c r="AQ481" s="68"/>
      <c r="AR481" s="68"/>
      <c r="AS481" s="68"/>
      <c r="AT481" s="68"/>
      <c r="AU481" s="68"/>
      <c r="AV481" s="68"/>
      <c r="AW481" s="68"/>
      <c r="AX481" s="68"/>
      <c r="AY481" s="68"/>
      <c r="AZ481" s="68"/>
      <c r="BB481" s="68"/>
      <c r="BC481" s="68"/>
      <c r="BJ481" s="68"/>
      <c r="BT481">
        <v>1</v>
      </c>
      <c r="BV481">
        <v>1</v>
      </c>
      <c r="BX481" s="68"/>
      <c r="BY481" s="68">
        <v>1</v>
      </c>
      <c r="BZ481" s="68" t="s">
        <v>1057</v>
      </c>
      <c r="CA481" s="68" t="s">
        <v>1057</v>
      </c>
      <c r="CB481" s="68" t="s">
        <v>1057</v>
      </c>
      <c r="CC481" s="68" t="e">
        <f t="shared" si="116"/>
        <v>#DIV/0!</v>
      </c>
      <c r="CD481" s="68" t="str">
        <f t="shared" si="117"/>
        <v>NA</v>
      </c>
    </row>
    <row r="482" spans="1:82" ht="15.75" customHeight="1" thickBot="1" x14ac:dyDescent="0.3">
      <c r="A482" s="9">
        <v>481</v>
      </c>
      <c r="B482" s="10" t="s">
        <v>804</v>
      </c>
      <c r="C482" s="10" t="s">
        <v>36</v>
      </c>
      <c r="D482" s="10" t="s">
        <v>43</v>
      </c>
      <c r="E482" s="51">
        <v>-153.460919352209</v>
      </c>
      <c r="F482" s="51">
        <v>0</v>
      </c>
      <c r="G482" s="51">
        <v>0</v>
      </c>
      <c r="H482" s="51">
        <v>0</v>
      </c>
      <c r="I482" s="11" t="s">
        <v>1057</v>
      </c>
      <c r="J482" s="51" t="s">
        <v>1057</v>
      </c>
      <c r="K482" s="249">
        <f>IFERROR(VLOOKUP(C482,Schedule!$T$3:$U$34,2,0),"FA")</f>
        <v>7</v>
      </c>
      <c r="L482" s="10" t="str">
        <f>D482&amp;COUNTIF(D$2:$D482,D482)</f>
        <v>TE134</v>
      </c>
      <c r="M482" s="51">
        <f t="array" ref="M482">IFERROR(F482-AVERAGE(VLOOKUP(D482,$D483:$F$885,3,0),INDEX($F483:$F$885,SMALL(IF(D482=$D483:$D$885,ROW($D483:$D$885)-ROW(D482)),2))),0)</f>
        <v>0</v>
      </c>
      <c r="N482" s="51">
        <f>IFERROR(IF(VLOOKUP($B482,Input!$AC$2:$AC$162,1,0)=$B482,0),F482)</f>
        <v>0</v>
      </c>
      <c r="O482" s="51">
        <f>IFERROR(IF(VLOOKUP($B482,Input!$AC$2:$AC$162,1,0)=$B482,0,G482),G482)</f>
        <v>0</v>
      </c>
      <c r="P482" s="51">
        <f>IF(N482=0,0,F482-AVERAGE(INDEX(F:F,MATCH(VLOOKUP(D482,Input!$A$14:$L$22,10,0),L:L,0)),INDEX(F:F,MATCH(VLOOKUP(D482,Input!$A$14:$L$22,11,0),L:L,0)),INDEX(F:F,MATCH(VLOOKUP(D482,Input!$A$14:$L$22,12,0),L:L,0)))+(0.01-ROW()*0.01))</f>
        <v>0</v>
      </c>
      <c r="Q482" s="107">
        <f t="shared" si="112"/>
        <v>0</v>
      </c>
      <c r="R482" s="11">
        <f>IF(VLOOKUP($D482,$X$14:$Y$19,2,0)&lt;=0,1,IF(Q482&lt;0,1,ROUNDUP(IF(Q482*('Draft Center'!$L$28+'Draft Center'!$L$78-'Draft Center'!$L$82)&lt;1,1,Q482*('Draft Center'!$L$28+'Draft Center'!$L$78-'Draft Center'!$L$82)),0)))</f>
        <v>1</v>
      </c>
      <c r="S482" s="11">
        <f>IF(A482&lt;Input!$B$10+0.1,IF(ROUNDUP(R482*Input!$C$10,0)=0,1,ROUNDUP(R482*Input!$C$10,0)),IF(A482&gt;Input!$B$11,IF(ROUNDUP(R482*Input!$C$11,0)=0,1,ROUNDUP(R482*Input!$C$11,0)),IF(ROUNDUP(R482,0)=0,1,ROUNDUP(R482,0))))</f>
        <v>1</v>
      </c>
      <c r="T482" s="11">
        <f t="shared" si="113"/>
        <v>1</v>
      </c>
      <c r="U482" s="11">
        <f>IFERROR(VLOOKUP($B482,Input!$AC$2:$AE$161,3,0),0)</f>
        <v>0</v>
      </c>
      <c r="V482" s="257">
        <f t="shared" si="114"/>
        <v>0</v>
      </c>
      <c r="W482" s="264">
        <f t="shared" si="115"/>
        <v>0</v>
      </c>
      <c r="X482" s="68"/>
      <c r="Y482" s="68"/>
      <c r="Z482" s="68"/>
      <c r="AA482" s="68"/>
      <c r="AB482" s="68"/>
      <c r="AC482" s="68"/>
      <c r="AD482" s="68"/>
      <c r="AE482" s="68"/>
      <c r="AF482" s="68"/>
      <c r="AG482" s="68"/>
      <c r="AH482" s="68"/>
      <c r="AI482" s="68"/>
      <c r="AJ482" s="68">
        <v>1</v>
      </c>
      <c r="AL482" s="68">
        <v>1</v>
      </c>
      <c r="AM482" s="68"/>
      <c r="AN482" s="68"/>
      <c r="AO482" s="68"/>
      <c r="AQ482" s="68"/>
      <c r="AR482" s="68"/>
      <c r="AS482" s="68"/>
      <c r="AT482" s="68"/>
      <c r="AU482" s="68"/>
      <c r="AV482" s="68"/>
      <c r="AW482" s="68"/>
      <c r="AX482" s="68"/>
      <c r="AY482" s="68"/>
      <c r="AZ482" s="68"/>
      <c r="BB482" s="68"/>
      <c r="BC482" s="68"/>
      <c r="BJ482" s="68"/>
      <c r="BT482">
        <v>1</v>
      </c>
      <c r="BV482">
        <v>1</v>
      </c>
      <c r="BX482" s="68"/>
      <c r="BY482" s="68">
        <v>1</v>
      </c>
      <c r="BZ482" s="68" t="s">
        <v>1057</v>
      </c>
      <c r="CA482" s="68" t="s">
        <v>1057</v>
      </c>
      <c r="CB482" s="68" t="s">
        <v>1057</v>
      </c>
      <c r="CC482" s="68" t="e">
        <f t="shared" si="116"/>
        <v>#DIV/0!</v>
      </c>
      <c r="CD482" s="68" t="str">
        <f t="shared" si="117"/>
        <v>NA</v>
      </c>
    </row>
    <row r="483" spans="1:82" ht="15.75" customHeight="1" thickBot="1" x14ac:dyDescent="0.3">
      <c r="A483" s="6">
        <v>482</v>
      </c>
      <c r="B483" s="7" t="s">
        <v>1070</v>
      </c>
      <c r="C483" s="7" t="s">
        <v>311</v>
      </c>
      <c r="D483" s="7" t="s">
        <v>43</v>
      </c>
      <c r="E483" s="50">
        <v>-153.460919352209</v>
      </c>
      <c r="F483" s="50">
        <v>0</v>
      </c>
      <c r="G483" s="50">
        <v>0</v>
      </c>
      <c r="H483" s="50">
        <v>0</v>
      </c>
      <c r="I483" s="8" t="s">
        <v>1057</v>
      </c>
      <c r="J483" s="50">
        <v>6.1611478931628598</v>
      </c>
      <c r="K483" s="248" t="str">
        <f>IFERROR(VLOOKUP(C483,Schedule!$T$3:$U$34,2,0),"FA")</f>
        <v>FA</v>
      </c>
      <c r="L483" s="7" t="str">
        <f>D483&amp;COUNTIF(D$2:$D483,D483)</f>
        <v>TE135</v>
      </c>
      <c r="M483" s="50">
        <f t="array" ref="M483">IFERROR(F483-AVERAGE(VLOOKUP(D483,$D484:$F$885,3,0),INDEX($F484:$F$885,SMALL(IF(D483=$D484:$D$885,ROW($D484:$D$885)-ROW(D483)),2))),0)</f>
        <v>0</v>
      </c>
      <c r="N483" s="50">
        <f>IFERROR(IF(VLOOKUP($B483,Input!$AC$2:$AC$162,1,0)=$B483,0),F483)</f>
        <v>0</v>
      </c>
      <c r="O483" s="50">
        <f>IFERROR(IF(VLOOKUP($B483,Input!$AC$2:$AC$162,1,0)=$B483,0,G483),G483)</f>
        <v>0</v>
      </c>
      <c r="P483" s="50">
        <f>IF(N483=0,0,F483-AVERAGE(INDEX(F:F,MATCH(VLOOKUP(D483,Input!$A$14:$L$22,10,0),L:L,0)),INDEX(F:F,MATCH(VLOOKUP(D483,Input!$A$14:$L$22,11,0),L:L,0)),INDEX(F:F,MATCH(VLOOKUP(D483,Input!$A$14:$L$22,12,0),L:L,0)))+(0.01-ROW()*0.01))</f>
        <v>0</v>
      </c>
      <c r="Q483" s="106">
        <f t="shared" si="112"/>
        <v>0</v>
      </c>
      <c r="R483" s="8">
        <f>IF(VLOOKUP($D483,$X$14:$Y$19,2,0)&lt;=0,1,IF(Q483&lt;0,1,ROUNDUP(IF(Q483*('Draft Center'!$L$28+'Draft Center'!$L$78-'Draft Center'!$L$82)&lt;1,1,Q483*('Draft Center'!$L$28+'Draft Center'!$L$78-'Draft Center'!$L$82)),0)))</f>
        <v>1</v>
      </c>
      <c r="S483" s="8">
        <f>IF(A483&lt;Input!$B$10+0.1,IF(ROUNDUP(R483*Input!$C$10,0)=0,1,ROUNDUP(R483*Input!$C$10,0)),IF(A483&gt;Input!$B$11,IF(ROUNDUP(R483*Input!$C$11,0)=0,1,ROUNDUP(R483*Input!$C$11,0)),IF(ROUNDUP(R483,0)=0,1,ROUNDUP(R483,0))))</f>
        <v>1</v>
      </c>
      <c r="T483" s="8">
        <f t="shared" si="113"/>
        <v>1</v>
      </c>
      <c r="U483" s="8">
        <f>IFERROR(VLOOKUP($B483,Input!$AC$2:$AE$161,3,0),0)</f>
        <v>0</v>
      </c>
      <c r="V483" s="256">
        <f t="shared" si="114"/>
        <v>0</v>
      </c>
      <c r="W483" s="263">
        <f t="shared" si="115"/>
        <v>0</v>
      </c>
      <c r="X483" s="68"/>
      <c r="Y483" s="68"/>
      <c r="Z483" s="68"/>
      <c r="AA483" s="68"/>
      <c r="AB483" s="68"/>
      <c r="AC483" s="68"/>
      <c r="AD483" s="68"/>
      <c r="AE483" s="68"/>
      <c r="AF483" s="68"/>
      <c r="AG483" s="68"/>
      <c r="AH483" s="68"/>
      <c r="AI483" s="68"/>
      <c r="AJ483" s="68">
        <v>1</v>
      </c>
      <c r="AL483" s="68">
        <v>1</v>
      </c>
      <c r="AM483" s="68"/>
      <c r="AN483" s="68"/>
      <c r="AO483" s="68"/>
      <c r="AQ483" s="68"/>
      <c r="AR483" s="68"/>
      <c r="AS483" s="68"/>
      <c r="AT483" s="68"/>
      <c r="AU483" s="68"/>
      <c r="AV483" s="68"/>
      <c r="AW483" s="68"/>
      <c r="AX483" s="68"/>
      <c r="AY483" s="68"/>
      <c r="AZ483" s="68"/>
      <c r="BB483" s="68"/>
      <c r="BC483" s="68"/>
      <c r="BJ483" s="68"/>
      <c r="BT483">
        <v>1</v>
      </c>
      <c r="BV483">
        <v>1</v>
      </c>
      <c r="BX483" s="68"/>
      <c r="BY483" s="68">
        <v>1</v>
      </c>
      <c r="BZ483" s="68" t="s">
        <v>1057</v>
      </c>
      <c r="CA483" s="68" t="s">
        <v>1057</v>
      </c>
      <c r="CB483" s="68" t="s">
        <v>1057</v>
      </c>
      <c r="CC483" s="68" t="e">
        <f t="shared" si="116"/>
        <v>#DIV/0!</v>
      </c>
      <c r="CD483" s="68" t="str">
        <f t="shared" si="117"/>
        <v>NA</v>
      </c>
    </row>
    <row r="484" spans="1:82" ht="15.75" customHeight="1" thickBot="1" x14ac:dyDescent="0.3">
      <c r="A484" s="9">
        <v>483</v>
      </c>
      <c r="B484" s="10" t="s">
        <v>1071</v>
      </c>
      <c r="C484" s="10" t="s">
        <v>311</v>
      </c>
      <c r="D484" s="10" t="s">
        <v>43</v>
      </c>
      <c r="E484" s="51">
        <v>-153.460919352209</v>
      </c>
      <c r="F484" s="51">
        <v>0</v>
      </c>
      <c r="G484" s="51">
        <v>0</v>
      </c>
      <c r="H484" s="51">
        <v>0</v>
      </c>
      <c r="I484" s="11" t="s">
        <v>1057</v>
      </c>
      <c r="J484" s="51" t="s">
        <v>1057</v>
      </c>
      <c r="K484" s="249" t="str">
        <f>IFERROR(VLOOKUP(C484,Schedule!$T$3:$U$34,2,0),"FA")</f>
        <v>FA</v>
      </c>
      <c r="L484" s="10" t="str">
        <f>D484&amp;COUNTIF(D$2:$D484,D484)</f>
        <v>TE136</v>
      </c>
      <c r="M484" s="51">
        <f t="array" ref="M484">IFERROR(F484-AVERAGE(VLOOKUP(D484,$D485:$F$885,3,0),INDEX($F485:$F$885,SMALL(IF(D484=$D485:$D$885,ROW($D485:$D$885)-ROW(D484)),2))),0)</f>
        <v>0</v>
      </c>
      <c r="N484" s="51">
        <f>IFERROR(IF(VLOOKUP($B484,Input!$AC$2:$AC$162,1,0)=$B484,0),F484)</f>
        <v>0</v>
      </c>
      <c r="O484" s="51">
        <f>IFERROR(IF(VLOOKUP($B484,Input!$AC$2:$AC$162,1,0)=$B484,0,G484),G484)</f>
        <v>0</v>
      </c>
      <c r="P484" s="51">
        <f>IF(N484=0,0,F484-AVERAGE(INDEX(F:F,MATCH(VLOOKUP(D484,Input!$A$14:$L$22,10,0),L:L,0)),INDEX(F:F,MATCH(VLOOKUP(D484,Input!$A$14:$L$22,11,0),L:L,0)),INDEX(F:F,MATCH(VLOOKUP(D484,Input!$A$14:$L$22,12,0),L:L,0)))+(0.01-ROW()*0.01))</f>
        <v>0</v>
      </c>
      <c r="Q484" s="107">
        <f t="shared" si="112"/>
        <v>0</v>
      </c>
      <c r="R484" s="11">
        <f>IF(VLOOKUP($D484,$X$14:$Y$19,2,0)&lt;=0,1,IF(Q484&lt;0,1,ROUNDUP(IF(Q484*('Draft Center'!$L$28+'Draft Center'!$L$78-'Draft Center'!$L$82)&lt;1,1,Q484*('Draft Center'!$L$28+'Draft Center'!$L$78-'Draft Center'!$L$82)),0)))</f>
        <v>1</v>
      </c>
      <c r="S484" s="11">
        <f>IF(A484&lt;Input!$B$10+0.1,IF(ROUNDUP(R484*Input!$C$10,0)=0,1,ROUNDUP(R484*Input!$C$10,0)),IF(A484&gt;Input!$B$11,IF(ROUNDUP(R484*Input!$C$11,0)=0,1,ROUNDUP(R484*Input!$C$11,0)),IF(ROUNDUP(R484,0)=0,1,ROUNDUP(R484,0))))</f>
        <v>1</v>
      </c>
      <c r="T484" s="11">
        <f t="shared" si="113"/>
        <v>1</v>
      </c>
      <c r="U484" s="11">
        <f>IFERROR(VLOOKUP($B484,Input!$AC$2:$AE$161,3,0),0)</f>
        <v>0</v>
      </c>
      <c r="V484" s="257">
        <f t="shared" si="114"/>
        <v>0</v>
      </c>
      <c r="W484" s="264">
        <f t="shared" si="115"/>
        <v>0</v>
      </c>
      <c r="X484" s="68"/>
      <c r="Y484" s="68"/>
      <c r="Z484" s="68"/>
      <c r="AA484" s="68"/>
      <c r="AB484" s="68"/>
      <c r="AC484" s="68"/>
      <c r="AD484" s="68"/>
      <c r="AE484" s="68"/>
      <c r="AF484" s="68"/>
      <c r="AG484" s="68"/>
      <c r="AH484" s="68"/>
      <c r="AI484" s="68"/>
      <c r="AJ484" s="68">
        <v>1</v>
      </c>
      <c r="AL484" s="68">
        <v>1</v>
      </c>
      <c r="AM484" s="68"/>
      <c r="AN484" s="68"/>
      <c r="AO484" s="68"/>
      <c r="AQ484" s="68"/>
      <c r="AR484" s="68"/>
      <c r="AS484" s="68"/>
      <c r="AT484" s="68"/>
      <c r="AU484" s="68"/>
      <c r="AV484" s="68"/>
      <c r="AW484" s="68"/>
      <c r="AX484" s="68"/>
      <c r="AY484" s="68"/>
      <c r="AZ484" s="68"/>
      <c r="BB484" s="68"/>
      <c r="BC484" s="68"/>
      <c r="BJ484" s="68"/>
      <c r="BT484">
        <v>1</v>
      </c>
      <c r="BV484">
        <v>1</v>
      </c>
      <c r="BX484" s="68"/>
      <c r="BY484" s="68">
        <v>1</v>
      </c>
      <c r="BZ484" s="68" t="s">
        <v>1057</v>
      </c>
      <c r="CA484" s="68" t="s">
        <v>1057</v>
      </c>
      <c r="CB484" s="68" t="s">
        <v>1057</v>
      </c>
      <c r="CC484" s="68" t="e">
        <f t="shared" si="116"/>
        <v>#DIV/0!</v>
      </c>
      <c r="CD484" s="68" t="str">
        <f t="shared" si="117"/>
        <v>NA</v>
      </c>
    </row>
    <row r="485" spans="1:82" ht="15.75" customHeight="1" thickBot="1" x14ac:dyDescent="0.3">
      <c r="A485" s="6">
        <v>484</v>
      </c>
      <c r="B485" s="7" t="s">
        <v>1072</v>
      </c>
      <c r="C485" s="7" t="s">
        <v>311</v>
      </c>
      <c r="D485" s="7" t="s">
        <v>43</v>
      </c>
      <c r="E485" s="50">
        <v>-153.460919352209</v>
      </c>
      <c r="F485" s="50">
        <v>0</v>
      </c>
      <c r="G485" s="50">
        <v>0</v>
      </c>
      <c r="H485" s="50">
        <v>0</v>
      </c>
      <c r="I485" s="8" t="s">
        <v>1057</v>
      </c>
      <c r="J485" s="50" t="s">
        <v>1057</v>
      </c>
      <c r="K485" s="248" t="str">
        <f>IFERROR(VLOOKUP(C485,Schedule!$T$3:$U$34,2,0),"FA")</f>
        <v>FA</v>
      </c>
      <c r="L485" s="7" t="str">
        <f>D485&amp;COUNTIF(D$2:$D485,D485)</f>
        <v>TE137</v>
      </c>
      <c r="M485" s="50">
        <f t="array" ref="M485">IFERROR(F485-AVERAGE(VLOOKUP(D485,$D486:$F$885,3,0),INDEX($F486:$F$885,SMALL(IF(D485=$D486:$D$885,ROW($D486:$D$885)-ROW(D485)),2))),0)</f>
        <v>0</v>
      </c>
      <c r="N485" s="50">
        <f>IFERROR(IF(VLOOKUP($B485,Input!$AC$2:$AC$162,1,0)=$B485,0),F485)</f>
        <v>0</v>
      </c>
      <c r="O485" s="50">
        <f>IFERROR(IF(VLOOKUP($B485,Input!$AC$2:$AC$162,1,0)=$B485,0,G485),G485)</f>
        <v>0</v>
      </c>
      <c r="P485" s="50">
        <f>IF(N485=0,0,F485-AVERAGE(INDEX(F:F,MATCH(VLOOKUP(D485,Input!$A$14:$L$22,10,0),L:L,0)),INDEX(F:F,MATCH(VLOOKUP(D485,Input!$A$14:$L$22,11,0),L:L,0)),INDEX(F:F,MATCH(VLOOKUP(D485,Input!$A$14:$L$22,12,0),L:L,0)))+(0.01-ROW()*0.01))</f>
        <v>0</v>
      </c>
      <c r="Q485" s="106">
        <f t="shared" si="112"/>
        <v>0</v>
      </c>
      <c r="R485" s="8">
        <f>IF(VLOOKUP($D485,$X$14:$Y$19,2,0)&lt;=0,1,IF(Q485&lt;0,1,ROUNDUP(IF(Q485*('Draft Center'!$L$28+'Draft Center'!$L$78-'Draft Center'!$L$82)&lt;1,1,Q485*('Draft Center'!$L$28+'Draft Center'!$L$78-'Draft Center'!$L$82)),0)))</f>
        <v>1</v>
      </c>
      <c r="S485" s="8">
        <f>IF(A485&lt;Input!$B$10+0.1,IF(ROUNDUP(R485*Input!$C$10,0)=0,1,ROUNDUP(R485*Input!$C$10,0)),IF(A485&gt;Input!$B$11,IF(ROUNDUP(R485*Input!$C$11,0)=0,1,ROUNDUP(R485*Input!$C$11,0)),IF(ROUNDUP(R485,0)=0,1,ROUNDUP(R485,0))))</f>
        <v>1</v>
      </c>
      <c r="T485" s="8">
        <f t="shared" si="113"/>
        <v>1</v>
      </c>
      <c r="U485" s="8">
        <f>IFERROR(VLOOKUP($B485,Input!$AC$2:$AE$161,3,0),0)</f>
        <v>0</v>
      </c>
      <c r="V485" s="256">
        <f t="shared" si="114"/>
        <v>0</v>
      </c>
      <c r="W485" s="263">
        <f t="shared" si="115"/>
        <v>0</v>
      </c>
      <c r="X485" s="68"/>
      <c r="Y485" s="68"/>
      <c r="Z485" s="68"/>
      <c r="AA485" s="68"/>
      <c r="AB485" s="68"/>
      <c r="AC485" s="68"/>
      <c r="AD485" s="68"/>
      <c r="AE485" s="68"/>
      <c r="AF485" s="68"/>
      <c r="AG485" s="68"/>
      <c r="AH485" s="68"/>
      <c r="AI485" s="68"/>
      <c r="AJ485" s="68">
        <v>1</v>
      </c>
      <c r="AL485" s="68">
        <v>1</v>
      </c>
      <c r="AM485" s="68"/>
      <c r="AN485" s="68"/>
      <c r="AO485" s="68"/>
      <c r="AQ485" s="68"/>
      <c r="AR485" s="68"/>
      <c r="AS485" s="68"/>
      <c r="AT485" s="68"/>
      <c r="AU485" s="68"/>
      <c r="AV485" s="68"/>
      <c r="AW485" s="68"/>
      <c r="AX485" s="68"/>
      <c r="AY485" s="68"/>
      <c r="AZ485" s="68"/>
      <c r="BB485" s="68"/>
      <c r="BC485" s="68"/>
      <c r="BJ485" s="68"/>
      <c r="BT485">
        <v>1</v>
      </c>
      <c r="BV485">
        <v>1</v>
      </c>
      <c r="BX485" s="68"/>
      <c r="BY485" s="68">
        <v>1</v>
      </c>
      <c r="BZ485" s="68" t="s">
        <v>1057</v>
      </c>
      <c r="CA485" s="68" t="s">
        <v>1057</v>
      </c>
      <c r="CB485" s="68" t="s">
        <v>1057</v>
      </c>
      <c r="CC485" s="68" t="e">
        <f t="shared" si="116"/>
        <v>#DIV/0!</v>
      </c>
      <c r="CD485" s="68" t="str">
        <f t="shared" si="117"/>
        <v>NA</v>
      </c>
    </row>
    <row r="486" spans="1:82" ht="15.75" customHeight="1" thickBot="1" x14ac:dyDescent="0.3">
      <c r="A486" s="9">
        <v>485</v>
      </c>
      <c r="B486" s="10" t="s">
        <v>355</v>
      </c>
      <c r="C486" s="10" t="s">
        <v>311</v>
      </c>
      <c r="D486" s="10" t="s">
        <v>43</v>
      </c>
      <c r="E486" s="51">
        <v>-153.460919352209</v>
      </c>
      <c r="F486" s="51">
        <v>0</v>
      </c>
      <c r="G486" s="51">
        <v>0</v>
      </c>
      <c r="H486" s="51">
        <v>0</v>
      </c>
      <c r="I486" s="11" t="s">
        <v>1057</v>
      </c>
      <c r="J486" s="51" t="s">
        <v>1057</v>
      </c>
      <c r="K486" s="249" t="str">
        <f>IFERROR(VLOOKUP(C486,Schedule!$T$3:$U$34,2,0),"FA")</f>
        <v>FA</v>
      </c>
      <c r="L486" s="10" t="str">
        <f>D486&amp;COUNTIF(D$2:$D486,D486)</f>
        <v>TE138</v>
      </c>
      <c r="M486" s="51">
        <f t="array" ref="M486">IFERROR(F486-AVERAGE(VLOOKUP(D486,$D487:$F$885,3,0),INDEX($F487:$F$885,SMALL(IF(D486=$D487:$D$885,ROW($D487:$D$885)-ROW(D486)),2))),0)</f>
        <v>0</v>
      </c>
      <c r="N486" s="51">
        <f>IFERROR(IF(VLOOKUP($B486,Input!$AC$2:$AC$162,1,0)=$B486,0),F486)</f>
        <v>0</v>
      </c>
      <c r="O486" s="51">
        <f>IFERROR(IF(VLOOKUP($B486,Input!$AC$2:$AC$162,1,0)=$B486,0,G486),G486)</f>
        <v>0</v>
      </c>
      <c r="P486" s="51">
        <f>IF(N486=0,0,F486-AVERAGE(INDEX(F:F,MATCH(VLOOKUP(D486,Input!$A$14:$L$22,10,0),L:L,0)),INDEX(F:F,MATCH(VLOOKUP(D486,Input!$A$14:$L$22,11,0),L:L,0)),INDEX(F:F,MATCH(VLOOKUP(D486,Input!$A$14:$L$22,12,0),L:L,0)))+(0.01-ROW()*0.01))</f>
        <v>0</v>
      </c>
      <c r="Q486" s="107">
        <f t="shared" si="112"/>
        <v>0</v>
      </c>
      <c r="R486" s="11">
        <f>IF(VLOOKUP($D486,$X$14:$Y$19,2,0)&lt;=0,1,IF(Q486&lt;0,1,ROUNDUP(IF(Q486*('Draft Center'!$L$28+'Draft Center'!$L$78-'Draft Center'!$L$82)&lt;1,1,Q486*('Draft Center'!$L$28+'Draft Center'!$L$78-'Draft Center'!$L$82)),0)))</f>
        <v>1</v>
      </c>
      <c r="S486" s="11">
        <f>IF(A486&lt;Input!$B$10+0.1,IF(ROUNDUP(R486*Input!$C$10,0)=0,1,ROUNDUP(R486*Input!$C$10,0)),IF(A486&gt;Input!$B$11,IF(ROUNDUP(R486*Input!$C$11,0)=0,1,ROUNDUP(R486*Input!$C$11,0)),IF(ROUNDUP(R486,0)=0,1,ROUNDUP(R486,0))))</f>
        <v>1</v>
      </c>
      <c r="T486" s="11">
        <f t="shared" si="113"/>
        <v>1</v>
      </c>
      <c r="U486" s="11">
        <f>IFERROR(VLOOKUP($B486,Input!$AC$2:$AE$161,3,0),0)</f>
        <v>0</v>
      </c>
      <c r="V486" s="257">
        <f t="shared" si="114"/>
        <v>0</v>
      </c>
      <c r="W486" s="264">
        <f t="shared" si="115"/>
        <v>0</v>
      </c>
      <c r="X486" s="68"/>
      <c r="Y486" s="68"/>
      <c r="Z486" s="68"/>
      <c r="AA486" s="68"/>
      <c r="AB486" s="68"/>
      <c r="AC486" s="68"/>
      <c r="AD486" s="68"/>
      <c r="AE486" s="68"/>
      <c r="AF486" s="68"/>
      <c r="AG486" s="68"/>
      <c r="AH486" s="68"/>
      <c r="AI486" s="68"/>
      <c r="AJ486" s="68">
        <v>1</v>
      </c>
      <c r="AL486" s="68">
        <v>1</v>
      </c>
      <c r="AM486" s="68"/>
      <c r="AN486" s="68"/>
      <c r="AO486" s="68"/>
      <c r="AQ486" s="68"/>
      <c r="AR486" s="68"/>
      <c r="AS486" s="68"/>
      <c r="AT486" s="68"/>
      <c r="AU486" s="68"/>
      <c r="AV486" s="68"/>
      <c r="AW486" s="68"/>
      <c r="AX486" s="68"/>
      <c r="AY486" s="68"/>
      <c r="AZ486" s="68"/>
      <c r="BB486" s="68"/>
      <c r="BC486" s="68"/>
      <c r="BJ486" s="68"/>
      <c r="BT486">
        <v>1</v>
      </c>
      <c r="BV486">
        <v>1</v>
      </c>
      <c r="BX486" s="68"/>
      <c r="BY486" s="68">
        <v>1</v>
      </c>
      <c r="BZ486" s="68" t="s">
        <v>1057</v>
      </c>
      <c r="CA486" s="68" t="s">
        <v>1057</v>
      </c>
      <c r="CB486" s="68" t="s">
        <v>1057</v>
      </c>
      <c r="CC486" s="68" t="e">
        <f t="shared" si="116"/>
        <v>#DIV/0!</v>
      </c>
      <c r="CD486" s="68" t="str">
        <f t="shared" si="117"/>
        <v>NA</v>
      </c>
    </row>
    <row r="487" spans="1:82" ht="15.75" customHeight="1" thickBot="1" x14ac:dyDescent="0.3">
      <c r="A487" s="6">
        <v>486</v>
      </c>
      <c r="B487" s="7" t="s">
        <v>1073</v>
      </c>
      <c r="C487" s="7" t="s">
        <v>311</v>
      </c>
      <c r="D487" s="7" t="s">
        <v>43</v>
      </c>
      <c r="E487" s="50">
        <v>-153.460919352209</v>
      </c>
      <c r="F487" s="50">
        <v>0</v>
      </c>
      <c r="G487" s="50">
        <v>0</v>
      </c>
      <c r="H487" s="50">
        <v>0</v>
      </c>
      <c r="I487" s="8" t="s">
        <v>1057</v>
      </c>
      <c r="J487" s="50" t="s">
        <v>1057</v>
      </c>
      <c r="K487" s="248" t="str">
        <f>IFERROR(VLOOKUP(C487,Schedule!$T$3:$U$34,2,0),"FA")</f>
        <v>FA</v>
      </c>
      <c r="L487" s="7" t="str">
        <f>D487&amp;COUNTIF(D$2:$D487,D487)</f>
        <v>TE139</v>
      </c>
      <c r="M487" s="50">
        <f t="array" ref="M487">IFERROR(F487-AVERAGE(VLOOKUP(D487,$D488:$F$885,3,0),INDEX($F488:$F$885,SMALL(IF(D487=$D488:$D$885,ROW($D488:$D$885)-ROW(D487)),2))),0)</f>
        <v>0</v>
      </c>
      <c r="N487" s="50">
        <f>IFERROR(IF(VLOOKUP($B487,Input!$AC$2:$AC$162,1,0)=$B487,0),F487)</f>
        <v>0</v>
      </c>
      <c r="O487" s="50">
        <f>IFERROR(IF(VLOOKUP($B487,Input!$AC$2:$AC$162,1,0)=$B487,0,G487),G487)</f>
        <v>0</v>
      </c>
      <c r="P487" s="50">
        <f>IF(N487=0,0,F487-AVERAGE(INDEX(F:F,MATCH(VLOOKUP(D487,Input!$A$14:$L$22,10,0),L:L,0)),INDEX(F:F,MATCH(VLOOKUP(D487,Input!$A$14:$L$22,11,0),L:L,0)),INDEX(F:F,MATCH(VLOOKUP(D487,Input!$A$14:$L$22,12,0),L:L,0)))+(0.01-ROW()*0.01))</f>
        <v>0</v>
      </c>
      <c r="Q487" s="106">
        <f t="shared" si="112"/>
        <v>0</v>
      </c>
      <c r="R487" s="8">
        <f>IF(VLOOKUP($D487,$X$14:$Y$19,2,0)&lt;=0,1,IF(Q487&lt;0,1,ROUNDUP(IF(Q487*('Draft Center'!$L$28+'Draft Center'!$L$78-'Draft Center'!$L$82)&lt;1,1,Q487*('Draft Center'!$L$28+'Draft Center'!$L$78-'Draft Center'!$L$82)),0)))</f>
        <v>1</v>
      </c>
      <c r="S487" s="8">
        <f>IF(A487&lt;Input!$B$10+0.1,IF(ROUNDUP(R487*Input!$C$10,0)=0,1,ROUNDUP(R487*Input!$C$10,0)),IF(A487&gt;Input!$B$11,IF(ROUNDUP(R487*Input!$C$11,0)=0,1,ROUNDUP(R487*Input!$C$11,0)),IF(ROUNDUP(R487,0)=0,1,ROUNDUP(R487,0))))</f>
        <v>1</v>
      </c>
      <c r="T487" s="8">
        <f t="shared" si="113"/>
        <v>1</v>
      </c>
      <c r="U487" s="8">
        <f>IFERROR(VLOOKUP($B487,Input!$AC$2:$AE$161,3,0),0)</f>
        <v>0</v>
      </c>
      <c r="V487" s="256">
        <f t="shared" si="114"/>
        <v>0</v>
      </c>
      <c r="W487" s="263">
        <f t="shared" si="115"/>
        <v>0</v>
      </c>
      <c r="X487" s="68"/>
      <c r="Y487" s="68"/>
      <c r="Z487" s="68"/>
      <c r="AA487" s="68"/>
      <c r="AB487" s="68"/>
      <c r="AC487" s="68"/>
      <c r="AD487" s="68"/>
      <c r="AE487" s="68"/>
      <c r="AF487" s="68"/>
      <c r="AG487" s="68"/>
      <c r="AH487" s="68"/>
      <c r="AI487" s="68"/>
      <c r="AJ487" s="68">
        <v>1</v>
      </c>
      <c r="AL487" s="68">
        <v>1</v>
      </c>
      <c r="AM487" s="68"/>
      <c r="AN487" s="68"/>
      <c r="AO487" s="68"/>
      <c r="AQ487" s="68"/>
      <c r="AR487" s="68"/>
      <c r="AS487" s="68"/>
      <c r="AT487" s="68"/>
      <c r="AU487" s="68"/>
      <c r="AV487" s="68"/>
      <c r="AW487" s="68"/>
      <c r="AX487" s="68"/>
      <c r="AY487" s="68"/>
      <c r="AZ487" s="68"/>
      <c r="BB487" s="68"/>
      <c r="BC487" s="68"/>
      <c r="BJ487" s="68"/>
      <c r="BT487">
        <v>1</v>
      </c>
      <c r="BV487">
        <v>1</v>
      </c>
      <c r="BX487" s="68"/>
      <c r="BY487" s="68">
        <v>1</v>
      </c>
      <c r="BZ487" s="68" t="s">
        <v>1057</v>
      </c>
      <c r="CA487" s="68" t="s">
        <v>1057</v>
      </c>
      <c r="CB487" s="68" t="s">
        <v>1057</v>
      </c>
      <c r="CC487" s="68" t="e">
        <f t="shared" si="116"/>
        <v>#DIV/0!</v>
      </c>
      <c r="CD487" s="68" t="str">
        <f t="shared" si="117"/>
        <v>NA</v>
      </c>
    </row>
    <row r="488" spans="1:82" ht="15.75" customHeight="1" thickBot="1" x14ac:dyDescent="0.3">
      <c r="A488" s="9">
        <v>487</v>
      </c>
      <c r="B488" s="10" t="s">
        <v>1074</v>
      </c>
      <c r="C488" s="10" t="s">
        <v>311</v>
      </c>
      <c r="D488" s="10" t="s">
        <v>43</v>
      </c>
      <c r="E488" s="51">
        <v>-153.460919352209</v>
      </c>
      <c r="F488" s="51">
        <v>0</v>
      </c>
      <c r="G488" s="51">
        <v>0</v>
      </c>
      <c r="H488" s="51">
        <v>0</v>
      </c>
      <c r="I488" s="11" t="s">
        <v>1057</v>
      </c>
      <c r="J488" s="51" t="s">
        <v>1057</v>
      </c>
      <c r="K488" s="249" t="str">
        <f>IFERROR(VLOOKUP(C488,Schedule!$T$3:$U$34,2,0),"FA")</f>
        <v>FA</v>
      </c>
      <c r="L488" s="10" t="str">
        <f>D488&amp;COUNTIF(D$2:$D488,D488)</f>
        <v>TE140</v>
      </c>
      <c r="M488" s="51">
        <f t="array" ref="M488">IFERROR(F488-AVERAGE(VLOOKUP(D488,$D489:$F$885,3,0),INDEX($F489:$F$885,SMALL(IF(D488=$D489:$D$885,ROW($D489:$D$885)-ROW(D488)),2))),0)</f>
        <v>0</v>
      </c>
      <c r="N488" s="51">
        <f>IFERROR(IF(VLOOKUP($B488,Input!$AC$2:$AC$162,1,0)=$B488,0),F488)</f>
        <v>0</v>
      </c>
      <c r="O488" s="51">
        <f>IFERROR(IF(VLOOKUP($B488,Input!$AC$2:$AC$162,1,0)=$B488,0,G488),G488)</f>
        <v>0</v>
      </c>
      <c r="P488" s="51">
        <f>IF(N488=0,0,F488-AVERAGE(INDEX(F:F,MATCH(VLOOKUP(D488,Input!$A$14:$L$22,10,0),L:L,0)),INDEX(F:F,MATCH(VLOOKUP(D488,Input!$A$14:$L$22,11,0),L:L,0)),INDEX(F:F,MATCH(VLOOKUP(D488,Input!$A$14:$L$22,12,0),L:L,0)))+(0.01-ROW()*0.01))</f>
        <v>0</v>
      </c>
      <c r="Q488" s="107">
        <f t="shared" si="112"/>
        <v>0</v>
      </c>
      <c r="R488" s="11">
        <f>IF(VLOOKUP($D488,$X$14:$Y$19,2,0)&lt;=0,1,IF(Q488&lt;0,1,ROUNDUP(IF(Q488*('Draft Center'!$L$28+'Draft Center'!$L$78-'Draft Center'!$L$82)&lt;1,1,Q488*('Draft Center'!$L$28+'Draft Center'!$L$78-'Draft Center'!$L$82)),0)))</f>
        <v>1</v>
      </c>
      <c r="S488" s="11">
        <f>IF(A488&lt;Input!$B$10+0.1,IF(ROUNDUP(R488*Input!$C$10,0)=0,1,ROUNDUP(R488*Input!$C$10,0)),IF(A488&gt;Input!$B$11,IF(ROUNDUP(R488*Input!$C$11,0)=0,1,ROUNDUP(R488*Input!$C$11,0)),IF(ROUNDUP(R488,0)=0,1,ROUNDUP(R488,0))))</f>
        <v>1</v>
      </c>
      <c r="T488" s="11">
        <f t="shared" si="113"/>
        <v>1</v>
      </c>
      <c r="U488" s="11">
        <f>IFERROR(VLOOKUP($B488,Input!$AC$2:$AE$161,3,0),0)</f>
        <v>0</v>
      </c>
      <c r="V488" s="257">
        <f t="shared" si="114"/>
        <v>0</v>
      </c>
      <c r="W488" s="264">
        <f t="shared" si="115"/>
        <v>0</v>
      </c>
      <c r="X488" s="68"/>
      <c r="Y488" s="68"/>
      <c r="Z488" s="68"/>
      <c r="AA488" s="68"/>
      <c r="AB488" s="68"/>
      <c r="AC488" s="68"/>
      <c r="AD488" s="68"/>
      <c r="AE488" s="68"/>
      <c r="AF488" s="68"/>
      <c r="AG488" s="68"/>
      <c r="AH488" s="68"/>
      <c r="AI488" s="68"/>
      <c r="AJ488" s="68">
        <v>1</v>
      </c>
      <c r="AL488" s="68">
        <v>1</v>
      </c>
      <c r="AM488" s="68"/>
      <c r="AN488" s="68"/>
      <c r="AO488" s="68"/>
      <c r="AQ488" s="68"/>
      <c r="AR488" s="68"/>
      <c r="AS488" s="68"/>
      <c r="AT488" s="68"/>
      <c r="AU488" s="68"/>
      <c r="AV488" s="68"/>
      <c r="AW488" s="68"/>
      <c r="AX488" s="68"/>
      <c r="AY488" s="68"/>
      <c r="AZ488" s="68"/>
      <c r="BB488" s="68"/>
      <c r="BC488" s="68"/>
      <c r="BJ488" s="68"/>
      <c r="BT488">
        <v>1</v>
      </c>
      <c r="BV488">
        <v>1</v>
      </c>
      <c r="BX488" s="68"/>
      <c r="BY488" s="68">
        <v>1</v>
      </c>
      <c r="BZ488" s="68" t="s">
        <v>1057</v>
      </c>
      <c r="CA488" s="68" t="s">
        <v>1057</v>
      </c>
      <c r="CB488" s="68" t="s">
        <v>1057</v>
      </c>
      <c r="CC488" s="68" t="e">
        <f t="shared" si="116"/>
        <v>#DIV/0!</v>
      </c>
      <c r="CD488" s="68" t="str">
        <f t="shared" si="117"/>
        <v>NA</v>
      </c>
    </row>
    <row r="489" spans="1:82" ht="15.75" customHeight="1" thickBot="1" x14ac:dyDescent="0.3">
      <c r="A489" s="6">
        <v>488</v>
      </c>
      <c r="B489" s="7" t="s">
        <v>209</v>
      </c>
      <c r="C489" s="7" t="s">
        <v>311</v>
      </c>
      <c r="D489" s="7" t="s">
        <v>43</v>
      </c>
      <c r="E489" s="50">
        <v>-153.460919352209</v>
      </c>
      <c r="F489" s="50">
        <v>0</v>
      </c>
      <c r="G489" s="50">
        <v>0</v>
      </c>
      <c r="H489" s="50">
        <v>0</v>
      </c>
      <c r="I489" s="8" t="s">
        <v>1057</v>
      </c>
      <c r="J489" s="50">
        <v>11.7183131765699</v>
      </c>
      <c r="K489" s="248" t="str">
        <f>IFERROR(VLOOKUP(C489,Schedule!$T$3:$U$34,2,0),"FA")</f>
        <v>FA</v>
      </c>
      <c r="L489" s="7" t="str">
        <f>D489&amp;COUNTIF(D$2:$D489,D489)</f>
        <v>TE141</v>
      </c>
      <c r="M489" s="50">
        <f t="array" ref="M489">IFERROR(F489-AVERAGE(VLOOKUP(D489,$D490:$F$885,3,0),INDEX($F490:$F$885,SMALL(IF(D489=$D490:$D$885,ROW($D490:$D$885)-ROW(D489)),2))),0)</f>
        <v>0</v>
      </c>
      <c r="N489" s="50">
        <f>IFERROR(IF(VLOOKUP($B489,Input!$AC$2:$AC$162,1,0)=$B489,0),F489)</f>
        <v>0</v>
      </c>
      <c r="O489" s="50">
        <f>IFERROR(IF(VLOOKUP($B489,Input!$AC$2:$AC$162,1,0)=$B489,0,G489),G489)</f>
        <v>0</v>
      </c>
      <c r="P489" s="50">
        <f>IF(N489=0,0,F489-AVERAGE(INDEX(F:F,MATCH(VLOOKUP(D489,Input!$A$14:$L$22,10,0),L:L,0)),INDEX(F:F,MATCH(VLOOKUP(D489,Input!$A$14:$L$22,11,0),L:L,0)),INDEX(F:F,MATCH(VLOOKUP(D489,Input!$A$14:$L$22,12,0),L:L,0)))+(0.01-ROW()*0.01))</f>
        <v>0</v>
      </c>
      <c r="Q489" s="106">
        <f t="shared" si="112"/>
        <v>0</v>
      </c>
      <c r="R489" s="8">
        <f>IF(VLOOKUP($D489,$X$14:$Y$19,2,0)&lt;=0,1,IF(Q489&lt;0,1,ROUNDUP(IF(Q489*('Draft Center'!$L$28+'Draft Center'!$L$78-'Draft Center'!$L$82)&lt;1,1,Q489*('Draft Center'!$L$28+'Draft Center'!$L$78-'Draft Center'!$L$82)),0)))</f>
        <v>1</v>
      </c>
      <c r="S489" s="8">
        <f>IF(A489&lt;Input!$B$10+0.1,IF(ROUNDUP(R489*Input!$C$10,0)=0,1,ROUNDUP(R489*Input!$C$10,0)),IF(A489&gt;Input!$B$11,IF(ROUNDUP(R489*Input!$C$11,0)=0,1,ROUNDUP(R489*Input!$C$11,0)),IF(ROUNDUP(R489,0)=0,1,ROUNDUP(R489,0))))</f>
        <v>1</v>
      </c>
      <c r="T489" s="8">
        <f t="shared" si="113"/>
        <v>1</v>
      </c>
      <c r="U489" s="8">
        <f>IFERROR(VLOOKUP($B489,Input!$AC$2:$AE$161,3,0),0)</f>
        <v>0</v>
      </c>
      <c r="V489" s="256">
        <f t="shared" si="114"/>
        <v>0</v>
      </c>
      <c r="W489" s="263">
        <f t="shared" si="115"/>
        <v>0</v>
      </c>
      <c r="X489" s="68"/>
      <c r="Y489" s="68"/>
      <c r="Z489" s="68"/>
      <c r="AA489" s="68"/>
      <c r="AB489" s="68"/>
      <c r="AC489" s="68"/>
      <c r="AD489" s="68"/>
      <c r="AE489" s="68"/>
      <c r="AF489" s="68"/>
      <c r="AG489" s="68"/>
      <c r="AH489" s="68"/>
      <c r="AI489" s="68"/>
      <c r="AJ489" s="68">
        <v>1</v>
      </c>
      <c r="AL489" s="68">
        <v>1</v>
      </c>
      <c r="AM489" s="68"/>
      <c r="AN489" s="68"/>
      <c r="AO489" s="68"/>
      <c r="AQ489" s="68"/>
      <c r="AR489" s="68"/>
      <c r="AS489" s="68"/>
      <c r="AT489" s="68"/>
      <c r="AU489" s="68"/>
      <c r="AV489" s="68"/>
      <c r="AW489" s="68"/>
      <c r="AX489" s="68"/>
      <c r="AY489" s="68"/>
      <c r="AZ489" s="68"/>
      <c r="BB489" s="68"/>
      <c r="BC489" s="68"/>
      <c r="BJ489" s="68"/>
      <c r="BT489">
        <v>1</v>
      </c>
      <c r="BV489">
        <v>1</v>
      </c>
      <c r="BX489" s="68"/>
      <c r="BY489" s="68">
        <v>1</v>
      </c>
      <c r="BZ489" s="68" t="s">
        <v>1057</v>
      </c>
      <c r="CA489" s="68" t="s">
        <v>1057</v>
      </c>
      <c r="CB489" s="68" t="s">
        <v>1057</v>
      </c>
      <c r="CC489" s="68" t="e">
        <f t="shared" si="116"/>
        <v>#DIV/0!</v>
      </c>
      <c r="CD489" s="68" t="str">
        <f t="shared" si="117"/>
        <v>NA</v>
      </c>
    </row>
    <row r="490" spans="1:82" ht="15.75" customHeight="1" thickBot="1" x14ac:dyDescent="0.3">
      <c r="A490" s="9">
        <v>489</v>
      </c>
      <c r="B490" s="10" t="s">
        <v>1075</v>
      </c>
      <c r="C490" s="10" t="s">
        <v>311</v>
      </c>
      <c r="D490" s="10" t="s">
        <v>43</v>
      </c>
      <c r="E490" s="51">
        <v>-153.460919352209</v>
      </c>
      <c r="F490" s="51">
        <v>0</v>
      </c>
      <c r="G490" s="51">
        <v>0</v>
      </c>
      <c r="H490" s="51">
        <v>0</v>
      </c>
      <c r="I490" s="11" t="s">
        <v>1057</v>
      </c>
      <c r="J490" s="51" t="s">
        <v>1057</v>
      </c>
      <c r="K490" s="249" t="str">
        <f>IFERROR(VLOOKUP(C490,Schedule!$T$3:$U$34,2,0),"FA")</f>
        <v>FA</v>
      </c>
      <c r="L490" s="10" t="str">
        <f>D490&amp;COUNTIF(D$2:$D490,D490)</f>
        <v>TE142</v>
      </c>
      <c r="M490" s="51">
        <f t="array" ref="M490">IFERROR(F490-AVERAGE(VLOOKUP(D490,$D491:$F$885,3,0),INDEX($F491:$F$885,SMALL(IF(D490=$D491:$D$885,ROW($D491:$D$885)-ROW(D490)),2))),0)</f>
        <v>0</v>
      </c>
      <c r="N490" s="51">
        <f>IFERROR(IF(VLOOKUP($B490,Input!$AC$2:$AC$162,1,0)=$B490,0),F490)</f>
        <v>0</v>
      </c>
      <c r="O490" s="51">
        <f>IFERROR(IF(VLOOKUP($B490,Input!$AC$2:$AC$162,1,0)=$B490,0,G490),G490)</f>
        <v>0</v>
      </c>
      <c r="P490" s="51">
        <f>IF(N490=0,0,F490-AVERAGE(INDEX(F:F,MATCH(VLOOKUP(D490,Input!$A$14:$L$22,10,0),L:L,0)),INDEX(F:F,MATCH(VLOOKUP(D490,Input!$A$14:$L$22,11,0),L:L,0)),INDEX(F:F,MATCH(VLOOKUP(D490,Input!$A$14:$L$22,12,0),L:L,0)))+(0.01-ROW()*0.01))</f>
        <v>0</v>
      </c>
      <c r="Q490" s="107">
        <f t="shared" si="112"/>
        <v>0</v>
      </c>
      <c r="R490" s="11">
        <f>IF(VLOOKUP($D490,$X$14:$Y$19,2,0)&lt;=0,1,IF(Q490&lt;0,1,ROUNDUP(IF(Q490*('Draft Center'!$L$28+'Draft Center'!$L$78-'Draft Center'!$L$82)&lt;1,1,Q490*('Draft Center'!$L$28+'Draft Center'!$L$78-'Draft Center'!$L$82)),0)))</f>
        <v>1</v>
      </c>
      <c r="S490" s="11">
        <f>IF(A490&lt;Input!$B$10+0.1,IF(ROUNDUP(R490*Input!$C$10,0)=0,1,ROUNDUP(R490*Input!$C$10,0)),IF(A490&gt;Input!$B$11,IF(ROUNDUP(R490*Input!$C$11,0)=0,1,ROUNDUP(R490*Input!$C$11,0)),IF(ROUNDUP(R490,0)=0,1,ROUNDUP(R490,0))))</f>
        <v>1</v>
      </c>
      <c r="T490" s="11">
        <f t="shared" si="113"/>
        <v>1</v>
      </c>
      <c r="U490" s="11">
        <f>IFERROR(VLOOKUP($B490,Input!$AC$2:$AE$161,3,0),0)</f>
        <v>0</v>
      </c>
      <c r="V490" s="257">
        <f t="shared" si="114"/>
        <v>0</v>
      </c>
      <c r="W490" s="264">
        <f t="shared" si="115"/>
        <v>0</v>
      </c>
      <c r="X490" s="68"/>
      <c r="Y490" s="68"/>
      <c r="Z490" s="68"/>
      <c r="AA490" s="68"/>
      <c r="AB490" s="68"/>
      <c r="AC490" s="68"/>
      <c r="AD490" s="68"/>
      <c r="AE490" s="68"/>
      <c r="AF490" s="68"/>
      <c r="AG490" s="68"/>
      <c r="AH490" s="68"/>
      <c r="AI490" s="68"/>
      <c r="AJ490" s="68">
        <v>1</v>
      </c>
      <c r="AL490" s="68">
        <v>1</v>
      </c>
      <c r="AM490" s="68"/>
      <c r="AN490" s="68"/>
      <c r="AO490" s="68"/>
      <c r="AQ490" s="68"/>
      <c r="AR490" s="68"/>
      <c r="AS490" s="68"/>
      <c r="AT490" s="68"/>
      <c r="AU490" s="68"/>
      <c r="AV490" s="68"/>
      <c r="AW490" s="68"/>
      <c r="AX490" s="68"/>
      <c r="AY490" s="68"/>
      <c r="AZ490" s="68"/>
      <c r="BB490" s="68"/>
      <c r="BC490" s="68"/>
      <c r="BJ490" s="68"/>
      <c r="BT490">
        <v>1</v>
      </c>
      <c r="BV490">
        <v>1</v>
      </c>
      <c r="BX490" s="68"/>
      <c r="BY490" s="68">
        <v>1</v>
      </c>
      <c r="BZ490" s="68" t="s">
        <v>1057</v>
      </c>
      <c r="CA490" s="68" t="s">
        <v>1057</v>
      </c>
      <c r="CB490" s="68" t="s">
        <v>1057</v>
      </c>
      <c r="CC490" s="68" t="e">
        <f t="shared" si="116"/>
        <v>#DIV/0!</v>
      </c>
      <c r="CD490" s="68" t="str">
        <f t="shared" si="117"/>
        <v>NA</v>
      </c>
    </row>
    <row r="491" spans="1:82" ht="15.75" customHeight="1" thickBot="1" x14ac:dyDescent="0.3">
      <c r="A491" s="6">
        <v>490</v>
      </c>
      <c r="B491" s="7" t="s">
        <v>1076</v>
      </c>
      <c r="C491" s="7" t="s">
        <v>311</v>
      </c>
      <c r="D491" s="7" t="s">
        <v>43</v>
      </c>
      <c r="E491" s="50">
        <v>-153.460919352209</v>
      </c>
      <c r="F491" s="50">
        <v>0</v>
      </c>
      <c r="G491" s="50">
        <v>0</v>
      </c>
      <c r="H491" s="50">
        <v>0</v>
      </c>
      <c r="I491" s="8" t="s">
        <v>1057</v>
      </c>
      <c r="J491" s="50" t="s">
        <v>1057</v>
      </c>
      <c r="K491" s="248" t="str">
        <f>IFERROR(VLOOKUP(C491,Schedule!$T$3:$U$34,2,0),"FA")</f>
        <v>FA</v>
      </c>
      <c r="L491" s="7" t="str">
        <f>D491&amp;COUNTIF(D$2:$D491,D491)</f>
        <v>TE143</v>
      </c>
      <c r="M491" s="50">
        <f t="array" ref="M491">IFERROR(F491-AVERAGE(VLOOKUP(D491,$D492:$F$885,3,0),INDEX($F492:$F$885,SMALL(IF(D491=$D492:$D$885,ROW($D492:$D$885)-ROW(D491)),2))),0)</f>
        <v>0</v>
      </c>
      <c r="N491" s="50">
        <f>IFERROR(IF(VLOOKUP($B491,Input!$AC$2:$AC$162,1,0)=$B491,0),F491)</f>
        <v>0</v>
      </c>
      <c r="O491" s="50">
        <f>IFERROR(IF(VLOOKUP($B491,Input!$AC$2:$AC$162,1,0)=$B491,0,G491),G491)</f>
        <v>0</v>
      </c>
      <c r="P491" s="50">
        <f>IF(N491=0,0,F491-AVERAGE(INDEX(F:F,MATCH(VLOOKUP(D491,Input!$A$14:$L$22,10,0),L:L,0)),INDEX(F:F,MATCH(VLOOKUP(D491,Input!$A$14:$L$22,11,0),L:L,0)),INDEX(F:F,MATCH(VLOOKUP(D491,Input!$A$14:$L$22,12,0),L:L,0)))+(0.01-ROW()*0.01))</f>
        <v>0</v>
      </c>
      <c r="Q491" s="106">
        <f t="shared" si="112"/>
        <v>0</v>
      </c>
      <c r="R491" s="8">
        <f>IF(VLOOKUP($D491,$X$14:$Y$19,2,0)&lt;=0,1,IF(Q491&lt;0,1,ROUNDUP(IF(Q491*('Draft Center'!$L$28+'Draft Center'!$L$78-'Draft Center'!$L$82)&lt;1,1,Q491*('Draft Center'!$L$28+'Draft Center'!$L$78-'Draft Center'!$L$82)),0)))</f>
        <v>1</v>
      </c>
      <c r="S491" s="8">
        <f>IF(A491&lt;Input!$B$10+0.1,IF(ROUNDUP(R491*Input!$C$10,0)=0,1,ROUNDUP(R491*Input!$C$10,0)),IF(A491&gt;Input!$B$11,IF(ROUNDUP(R491*Input!$C$11,0)=0,1,ROUNDUP(R491*Input!$C$11,0)),IF(ROUNDUP(R491,0)=0,1,ROUNDUP(R491,0))))</f>
        <v>1</v>
      </c>
      <c r="T491" s="8">
        <f t="shared" si="113"/>
        <v>1</v>
      </c>
      <c r="U491" s="8">
        <f>IFERROR(VLOOKUP($B491,Input!$AC$2:$AE$161,3,0),0)</f>
        <v>0</v>
      </c>
      <c r="V491" s="256">
        <f t="shared" si="114"/>
        <v>0</v>
      </c>
      <c r="W491" s="263">
        <f t="shared" si="115"/>
        <v>0</v>
      </c>
      <c r="X491" s="68"/>
      <c r="Y491" s="68"/>
      <c r="Z491" s="68"/>
      <c r="AA491" s="68"/>
      <c r="AB491" s="68"/>
      <c r="AC491" s="68"/>
      <c r="AD491" s="68"/>
      <c r="AE491" s="68"/>
      <c r="AF491" s="68"/>
      <c r="AG491" s="68"/>
      <c r="AH491" s="68"/>
      <c r="AI491" s="68"/>
      <c r="AJ491" s="68">
        <v>1</v>
      </c>
      <c r="AL491" s="68">
        <v>1</v>
      </c>
      <c r="AM491" s="68"/>
      <c r="AN491" s="68"/>
      <c r="AO491" s="68"/>
      <c r="AQ491" s="68"/>
      <c r="AR491" s="68"/>
      <c r="AS491" s="68"/>
      <c r="AT491" s="68"/>
      <c r="AU491" s="68"/>
      <c r="AV491" s="68"/>
      <c r="AW491" s="68"/>
      <c r="AX491" s="68"/>
      <c r="AY491" s="68"/>
      <c r="AZ491" s="68"/>
      <c r="BB491" s="68"/>
      <c r="BC491" s="68"/>
      <c r="BJ491" s="68"/>
      <c r="BT491">
        <v>1</v>
      </c>
      <c r="BV491">
        <v>1</v>
      </c>
      <c r="BX491" s="68"/>
      <c r="BY491" s="68">
        <v>1</v>
      </c>
      <c r="BZ491" s="68" t="s">
        <v>1057</v>
      </c>
      <c r="CA491" s="68" t="s">
        <v>1057</v>
      </c>
      <c r="CB491" s="68" t="s">
        <v>1057</v>
      </c>
      <c r="CC491" s="68" t="e">
        <f t="shared" si="116"/>
        <v>#DIV/0!</v>
      </c>
      <c r="CD491" s="68" t="str">
        <f t="shared" si="117"/>
        <v>NA</v>
      </c>
    </row>
    <row r="492" spans="1:82" ht="15.75" customHeight="1" thickBot="1" x14ac:dyDescent="0.3">
      <c r="A492" s="9">
        <v>491</v>
      </c>
      <c r="B492" s="10" t="s">
        <v>1077</v>
      </c>
      <c r="C492" s="10" t="s">
        <v>311</v>
      </c>
      <c r="D492" s="10" t="s">
        <v>43</v>
      </c>
      <c r="E492" s="51">
        <v>-153.460919352209</v>
      </c>
      <c r="F492" s="51">
        <v>0</v>
      </c>
      <c r="G492" s="51">
        <v>0</v>
      </c>
      <c r="H492" s="51">
        <v>0</v>
      </c>
      <c r="I492" s="11" t="s">
        <v>1057</v>
      </c>
      <c r="J492" s="51" t="s">
        <v>1057</v>
      </c>
      <c r="K492" s="249" t="str">
        <f>IFERROR(VLOOKUP(C492,Schedule!$T$3:$U$34,2,0),"FA")</f>
        <v>FA</v>
      </c>
      <c r="L492" s="10" t="str">
        <f>D492&amp;COUNTIF(D$2:$D492,D492)</f>
        <v>TE144</v>
      </c>
      <c r="M492" s="51">
        <f t="array" ref="M492">IFERROR(F492-AVERAGE(VLOOKUP(D492,$D493:$F$885,3,0),INDEX($F493:$F$885,SMALL(IF(D492=$D493:$D$885,ROW($D493:$D$885)-ROW(D492)),2))),0)</f>
        <v>0</v>
      </c>
      <c r="N492" s="51">
        <f>IFERROR(IF(VLOOKUP($B492,Input!$AC$2:$AC$162,1,0)=$B492,0),F492)</f>
        <v>0</v>
      </c>
      <c r="O492" s="51">
        <f>IFERROR(IF(VLOOKUP($B492,Input!$AC$2:$AC$162,1,0)=$B492,0,G492),G492)</f>
        <v>0</v>
      </c>
      <c r="P492" s="51">
        <f>IF(N492=0,0,F492-AVERAGE(INDEX(F:F,MATCH(VLOOKUP(D492,Input!$A$14:$L$22,10,0),L:L,0)),INDEX(F:F,MATCH(VLOOKUP(D492,Input!$A$14:$L$22,11,0),L:L,0)),INDEX(F:F,MATCH(VLOOKUP(D492,Input!$A$14:$L$22,12,0),L:L,0)))+(0.01-ROW()*0.01))</f>
        <v>0</v>
      </c>
      <c r="Q492" s="107">
        <f t="shared" si="112"/>
        <v>0</v>
      </c>
      <c r="R492" s="11">
        <f>IF(VLOOKUP($D492,$X$14:$Y$19,2,0)&lt;=0,1,IF(Q492&lt;0,1,ROUNDUP(IF(Q492*('Draft Center'!$L$28+'Draft Center'!$L$78-'Draft Center'!$L$82)&lt;1,1,Q492*('Draft Center'!$L$28+'Draft Center'!$L$78-'Draft Center'!$L$82)),0)))</f>
        <v>1</v>
      </c>
      <c r="S492" s="11">
        <f>IF(A492&lt;Input!$B$10+0.1,IF(ROUNDUP(R492*Input!$C$10,0)=0,1,ROUNDUP(R492*Input!$C$10,0)),IF(A492&gt;Input!$B$11,IF(ROUNDUP(R492*Input!$C$11,0)=0,1,ROUNDUP(R492*Input!$C$11,0)),IF(ROUNDUP(R492,0)=0,1,ROUNDUP(R492,0))))</f>
        <v>1</v>
      </c>
      <c r="T492" s="11">
        <f t="shared" si="113"/>
        <v>1</v>
      </c>
      <c r="U492" s="11">
        <f>IFERROR(VLOOKUP($B492,Input!$AC$2:$AE$161,3,0),0)</f>
        <v>0</v>
      </c>
      <c r="V492" s="257">
        <f t="shared" si="114"/>
        <v>0</v>
      </c>
      <c r="W492" s="264">
        <f t="shared" si="115"/>
        <v>0</v>
      </c>
      <c r="X492" s="68"/>
      <c r="Y492" s="68"/>
      <c r="Z492" s="68"/>
      <c r="AA492" s="68"/>
      <c r="AB492" s="68"/>
      <c r="AC492" s="68"/>
      <c r="AD492" s="68"/>
      <c r="AE492" s="68"/>
      <c r="AF492" s="68"/>
      <c r="AG492" s="68"/>
      <c r="AH492" s="68"/>
      <c r="AI492" s="68"/>
      <c r="AJ492" s="68">
        <v>1</v>
      </c>
      <c r="AL492" s="68">
        <v>1</v>
      </c>
      <c r="AM492" s="68"/>
      <c r="AN492" s="68"/>
      <c r="AO492" s="68"/>
      <c r="AQ492" s="68"/>
      <c r="AR492" s="68"/>
      <c r="AS492" s="68"/>
      <c r="AT492" s="68"/>
      <c r="AU492" s="68"/>
      <c r="AV492" s="68"/>
      <c r="AW492" s="68"/>
      <c r="AX492" s="68"/>
      <c r="AY492" s="68"/>
      <c r="AZ492" s="68"/>
      <c r="BB492" s="68"/>
      <c r="BC492" s="68"/>
      <c r="BJ492" s="68"/>
      <c r="BT492">
        <v>1</v>
      </c>
      <c r="BV492">
        <v>1</v>
      </c>
      <c r="BX492" s="68"/>
      <c r="BY492" s="68">
        <v>1</v>
      </c>
      <c r="BZ492" s="68" t="s">
        <v>1057</v>
      </c>
      <c r="CA492" s="68" t="s">
        <v>1057</v>
      </c>
      <c r="CB492" s="68" t="s">
        <v>1057</v>
      </c>
      <c r="CC492" s="68" t="e">
        <f t="shared" si="116"/>
        <v>#DIV/0!</v>
      </c>
      <c r="CD492" s="68" t="str">
        <f t="shared" si="117"/>
        <v>NA</v>
      </c>
    </row>
    <row r="493" spans="1:82" ht="15.75" customHeight="1" thickBot="1" x14ac:dyDescent="0.3">
      <c r="A493" s="6">
        <v>492</v>
      </c>
      <c r="B493" s="7" t="s">
        <v>1078</v>
      </c>
      <c r="C493" s="7" t="s">
        <v>311</v>
      </c>
      <c r="D493" s="7" t="s">
        <v>43</v>
      </c>
      <c r="E493" s="50">
        <v>-153.460919352209</v>
      </c>
      <c r="F493" s="50">
        <v>0</v>
      </c>
      <c r="G493" s="50">
        <v>0</v>
      </c>
      <c r="H493" s="50">
        <v>0</v>
      </c>
      <c r="I493" s="8" t="s">
        <v>1057</v>
      </c>
      <c r="J493" s="50" t="s">
        <v>1057</v>
      </c>
      <c r="K493" s="248" t="str">
        <f>IFERROR(VLOOKUP(C493,Schedule!$T$3:$U$34,2,0),"FA")</f>
        <v>FA</v>
      </c>
      <c r="L493" s="7" t="str">
        <f>D493&amp;COUNTIF(D$2:$D493,D493)</f>
        <v>TE145</v>
      </c>
      <c r="M493" s="50">
        <f t="array" ref="M493">IFERROR(F493-AVERAGE(VLOOKUP(D493,$D494:$F$885,3,0),INDEX($F494:$F$885,SMALL(IF(D493=$D494:$D$885,ROW($D494:$D$885)-ROW(D493)),2))),0)</f>
        <v>0</v>
      </c>
      <c r="N493" s="50">
        <f>IFERROR(IF(VLOOKUP($B493,Input!$AC$2:$AC$162,1,0)=$B493,0),F493)</f>
        <v>0</v>
      </c>
      <c r="O493" s="50">
        <f>IFERROR(IF(VLOOKUP($B493,Input!$AC$2:$AC$162,1,0)=$B493,0,G493),G493)</f>
        <v>0</v>
      </c>
      <c r="P493" s="50">
        <f>IF(N493=0,0,F493-AVERAGE(INDEX(F:F,MATCH(VLOOKUP(D493,Input!$A$14:$L$22,10,0),L:L,0)),INDEX(F:F,MATCH(VLOOKUP(D493,Input!$A$14:$L$22,11,0),L:L,0)),INDEX(F:F,MATCH(VLOOKUP(D493,Input!$A$14:$L$22,12,0),L:L,0)))+(0.01-ROW()*0.01))</f>
        <v>0</v>
      </c>
      <c r="Q493" s="106">
        <f t="shared" si="112"/>
        <v>0</v>
      </c>
      <c r="R493" s="8">
        <f>IF(VLOOKUP($D493,$X$14:$Y$19,2,0)&lt;=0,1,IF(Q493&lt;0,1,ROUNDUP(IF(Q493*('Draft Center'!$L$28+'Draft Center'!$L$78-'Draft Center'!$L$82)&lt;1,1,Q493*('Draft Center'!$L$28+'Draft Center'!$L$78-'Draft Center'!$L$82)),0)))</f>
        <v>1</v>
      </c>
      <c r="S493" s="8">
        <f>IF(A493&lt;Input!$B$10+0.1,IF(ROUNDUP(R493*Input!$C$10,0)=0,1,ROUNDUP(R493*Input!$C$10,0)),IF(A493&gt;Input!$B$11,IF(ROUNDUP(R493*Input!$C$11,0)=0,1,ROUNDUP(R493*Input!$C$11,0)),IF(ROUNDUP(R493,0)=0,1,ROUNDUP(R493,0))))</f>
        <v>1</v>
      </c>
      <c r="T493" s="8">
        <f t="shared" si="113"/>
        <v>1</v>
      </c>
      <c r="U493" s="8">
        <f>IFERROR(VLOOKUP($B493,Input!$AC$2:$AE$161,3,0),0)</f>
        <v>0</v>
      </c>
      <c r="V493" s="256">
        <f t="shared" si="114"/>
        <v>0</v>
      </c>
      <c r="W493" s="263">
        <f t="shared" si="115"/>
        <v>0</v>
      </c>
      <c r="X493" s="68"/>
      <c r="Y493" s="68"/>
      <c r="Z493" s="68"/>
      <c r="AA493" s="68"/>
      <c r="AB493" s="68"/>
      <c r="AC493" s="68"/>
      <c r="AD493" s="68"/>
      <c r="AE493" s="68"/>
      <c r="AF493" s="68"/>
      <c r="AG493" s="68"/>
      <c r="AH493" s="68"/>
      <c r="AI493" s="68"/>
      <c r="AJ493" s="68">
        <v>1</v>
      </c>
      <c r="AL493" s="68">
        <v>1</v>
      </c>
      <c r="AM493" s="68"/>
      <c r="AN493" s="68"/>
      <c r="AO493" s="68"/>
      <c r="AQ493" s="68"/>
      <c r="AR493" s="68"/>
      <c r="AS493" s="68"/>
      <c r="AT493" s="68"/>
      <c r="AU493" s="68"/>
      <c r="AV493" s="68"/>
      <c r="AW493" s="68"/>
      <c r="AX493" s="68"/>
      <c r="AY493" s="68"/>
      <c r="AZ493" s="68"/>
      <c r="BB493" s="68"/>
      <c r="BC493" s="68"/>
      <c r="BJ493" s="68"/>
      <c r="BT493">
        <v>1</v>
      </c>
      <c r="BV493">
        <v>1</v>
      </c>
      <c r="BX493" s="68"/>
      <c r="BY493" s="68">
        <v>1</v>
      </c>
      <c r="BZ493" s="68" t="s">
        <v>1057</v>
      </c>
      <c r="CA493" s="68" t="s">
        <v>1057</v>
      </c>
      <c r="CB493" s="68" t="s">
        <v>1057</v>
      </c>
      <c r="CC493" s="68" t="e">
        <f t="shared" si="116"/>
        <v>#DIV/0!</v>
      </c>
      <c r="CD493" s="68" t="str">
        <f t="shared" si="117"/>
        <v>NA</v>
      </c>
    </row>
    <row r="494" spans="1:82" ht="15.75" customHeight="1" thickBot="1" x14ac:dyDescent="0.3">
      <c r="A494" s="9">
        <v>493</v>
      </c>
      <c r="B494" s="10" t="s">
        <v>1079</v>
      </c>
      <c r="C494" s="10" t="s">
        <v>311</v>
      </c>
      <c r="D494" s="10" t="s">
        <v>43</v>
      </c>
      <c r="E494" s="51">
        <v>-153.460919352209</v>
      </c>
      <c r="F494" s="51">
        <v>0</v>
      </c>
      <c r="G494" s="51">
        <v>0</v>
      </c>
      <c r="H494" s="51">
        <v>0</v>
      </c>
      <c r="I494" s="11" t="s">
        <v>1057</v>
      </c>
      <c r="J494" s="51" t="s">
        <v>1057</v>
      </c>
      <c r="K494" s="249" t="str">
        <f>IFERROR(VLOOKUP(C494,Schedule!$T$3:$U$34,2,0),"FA")</f>
        <v>FA</v>
      </c>
      <c r="L494" s="10" t="str">
        <f>D494&amp;COUNTIF(D$2:$D494,D494)</f>
        <v>TE146</v>
      </c>
      <c r="M494" s="51">
        <f t="array" ref="M494">IFERROR(F494-AVERAGE(VLOOKUP(D494,$D495:$F$885,3,0),INDEX($F495:$F$885,SMALL(IF(D494=$D495:$D$885,ROW($D495:$D$885)-ROW(D494)),2))),0)</f>
        <v>0</v>
      </c>
      <c r="N494" s="51">
        <f>IFERROR(IF(VLOOKUP($B494,Input!$AC$2:$AC$162,1,0)=$B494,0),F494)</f>
        <v>0</v>
      </c>
      <c r="O494" s="51">
        <f>IFERROR(IF(VLOOKUP($B494,Input!$AC$2:$AC$162,1,0)=$B494,0,G494),G494)</f>
        <v>0</v>
      </c>
      <c r="P494" s="51">
        <f>IF(N494=0,0,F494-AVERAGE(INDEX(F:F,MATCH(VLOOKUP(D494,Input!$A$14:$L$22,10,0),L:L,0)),INDEX(F:F,MATCH(VLOOKUP(D494,Input!$A$14:$L$22,11,0),L:L,0)),INDEX(F:F,MATCH(VLOOKUP(D494,Input!$A$14:$L$22,12,0),L:L,0)))+(0.01-ROW()*0.01))</f>
        <v>0</v>
      </c>
      <c r="Q494" s="107">
        <f t="shared" si="112"/>
        <v>0</v>
      </c>
      <c r="R494" s="11">
        <f>IF(VLOOKUP($D494,$X$14:$Y$19,2,0)&lt;=0,1,IF(Q494&lt;0,1,ROUNDUP(IF(Q494*('Draft Center'!$L$28+'Draft Center'!$L$78-'Draft Center'!$L$82)&lt;1,1,Q494*('Draft Center'!$L$28+'Draft Center'!$L$78-'Draft Center'!$L$82)),0)))</f>
        <v>1</v>
      </c>
      <c r="S494" s="11">
        <f>IF(A494&lt;Input!$B$10+0.1,IF(ROUNDUP(R494*Input!$C$10,0)=0,1,ROUNDUP(R494*Input!$C$10,0)),IF(A494&gt;Input!$B$11,IF(ROUNDUP(R494*Input!$C$11,0)=0,1,ROUNDUP(R494*Input!$C$11,0)),IF(ROUNDUP(R494,0)=0,1,ROUNDUP(R494,0))))</f>
        <v>1</v>
      </c>
      <c r="T494" s="11">
        <f t="shared" si="113"/>
        <v>1</v>
      </c>
      <c r="U494" s="11">
        <f>IFERROR(VLOOKUP($B494,Input!$AC$2:$AE$161,3,0),0)</f>
        <v>0</v>
      </c>
      <c r="V494" s="257">
        <f t="shared" si="114"/>
        <v>0</v>
      </c>
      <c r="W494" s="264">
        <f t="shared" si="115"/>
        <v>0</v>
      </c>
      <c r="X494" s="68"/>
      <c r="Y494" s="68"/>
      <c r="Z494" s="68"/>
      <c r="AA494" s="68"/>
      <c r="AB494" s="68"/>
      <c r="AC494" s="68"/>
      <c r="AD494" s="68"/>
      <c r="AE494" s="68"/>
      <c r="AF494" s="68"/>
      <c r="AG494" s="68"/>
      <c r="AH494" s="68"/>
      <c r="AI494" s="68"/>
      <c r="AJ494" s="68">
        <v>1</v>
      </c>
      <c r="AL494" s="68">
        <v>1</v>
      </c>
      <c r="AM494" s="68"/>
      <c r="AN494" s="68"/>
      <c r="AO494" s="68"/>
      <c r="AQ494" s="68"/>
      <c r="AR494" s="68"/>
      <c r="AS494" s="68"/>
      <c r="AT494" s="68"/>
      <c r="AU494" s="68"/>
      <c r="AV494" s="68"/>
      <c r="AW494" s="68"/>
      <c r="AX494" s="68"/>
      <c r="AY494" s="68"/>
      <c r="AZ494" s="68"/>
      <c r="BB494" s="68"/>
      <c r="BC494" s="68"/>
      <c r="BJ494" s="68"/>
      <c r="BT494">
        <v>1</v>
      </c>
      <c r="BV494">
        <v>1</v>
      </c>
      <c r="BX494" s="68"/>
      <c r="BY494" s="68">
        <v>1</v>
      </c>
      <c r="BZ494" s="68" t="s">
        <v>1057</v>
      </c>
      <c r="CA494" s="68" t="s">
        <v>1057</v>
      </c>
      <c r="CB494" s="68" t="s">
        <v>1057</v>
      </c>
      <c r="CC494" s="68" t="e">
        <f t="shared" si="116"/>
        <v>#DIV/0!</v>
      </c>
      <c r="CD494" s="68" t="str">
        <f t="shared" si="117"/>
        <v>NA</v>
      </c>
    </row>
    <row r="495" spans="1:82" ht="15.75" customHeight="1" thickBot="1" x14ac:dyDescent="0.3">
      <c r="A495" s="6">
        <v>494</v>
      </c>
      <c r="B495" s="7" t="s">
        <v>1080</v>
      </c>
      <c r="C495" s="7" t="s">
        <v>311</v>
      </c>
      <c r="D495" s="7" t="s">
        <v>43</v>
      </c>
      <c r="E495" s="50">
        <v>-153.460919352209</v>
      </c>
      <c r="F495" s="50">
        <v>0</v>
      </c>
      <c r="G495" s="50">
        <v>0</v>
      </c>
      <c r="H495" s="50">
        <v>0</v>
      </c>
      <c r="I495" s="8" t="s">
        <v>1057</v>
      </c>
      <c r="J495" s="50" t="s">
        <v>1057</v>
      </c>
      <c r="K495" s="248" t="str">
        <f>IFERROR(VLOOKUP(C495,Schedule!$T$3:$U$34,2,0),"FA")</f>
        <v>FA</v>
      </c>
      <c r="L495" s="7" t="str">
        <f>D495&amp;COUNTIF(D$2:$D495,D495)</f>
        <v>TE147</v>
      </c>
      <c r="M495" s="50">
        <f t="array" ref="M495">IFERROR(F495-AVERAGE(VLOOKUP(D495,$D496:$F$885,3,0),INDEX($F496:$F$885,SMALL(IF(D495=$D496:$D$885,ROW($D496:$D$885)-ROW(D495)),2))),0)</f>
        <v>0</v>
      </c>
      <c r="N495" s="50">
        <f>IFERROR(IF(VLOOKUP($B495,Input!$AC$2:$AC$162,1,0)=$B495,0),F495)</f>
        <v>0</v>
      </c>
      <c r="O495" s="50">
        <f>IFERROR(IF(VLOOKUP($B495,Input!$AC$2:$AC$162,1,0)=$B495,0,G495),G495)</f>
        <v>0</v>
      </c>
      <c r="P495" s="50">
        <f>IF(N495=0,0,F495-AVERAGE(INDEX(F:F,MATCH(VLOOKUP(D495,Input!$A$14:$L$22,10,0),L:L,0)),INDEX(F:F,MATCH(VLOOKUP(D495,Input!$A$14:$L$22,11,0),L:L,0)),INDEX(F:F,MATCH(VLOOKUP(D495,Input!$A$14:$L$22,12,0),L:L,0)))+(0.01-ROW()*0.01))</f>
        <v>0</v>
      </c>
      <c r="Q495" s="106">
        <f t="shared" si="112"/>
        <v>0</v>
      </c>
      <c r="R495" s="8">
        <f>IF(VLOOKUP($D495,$X$14:$Y$19,2,0)&lt;=0,1,IF(Q495&lt;0,1,ROUNDUP(IF(Q495*('Draft Center'!$L$28+'Draft Center'!$L$78-'Draft Center'!$L$82)&lt;1,1,Q495*('Draft Center'!$L$28+'Draft Center'!$L$78-'Draft Center'!$L$82)),0)))</f>
        <v>1</v>
      </c>
      <c r="S495" s="8">
        <f>IF(A495&lt;Input!$B$10+0.1,IF(ROUNDUP(R495*Input!$C$10,0)=0,1,ROUNDUP(R495*Input!$C$10,0)),IF(A495&gt;Input!$B$11,IF(ROUNDUP(R495*Input!$C$11,0)=0,1,ROUNDUP(R495*Input!$C$11,0)),IF(ROUNDUP(R495,0)=0,1,ROUNDUP(R495,0))))</f>
        <v>1</v>
      </c>
      <c r="T495" s="8">
        <f t="shared" si="113"/>
        <v>1</v>
      </c>
      <c r="U495" s="8">
        <f>IFERROR(VLOOKUP($B495,Input!$AC$2:$AE$161,3,0),0)</f>
        <v>0</v>
      </c>
      <c r="V495" s="256">
        <f t="shared" si="114"/>
        <v>0</v>
      </c>
      <c r="W495" s="263">
        <f t="shared" si="115"/>
        <v>0</v>
      </c>
      <c r="X495" s="68"/>
      <c r="Y495" s="68"/>
      <c r="Z495" s="68"/>
      <c r="AA495" s="68"/>
      <c r="AB495" s="68"/>
      <c r="AC495" s="68"/>
      <c r="AD495" s="68"/>
      <c r="AE495" s="68"/>
      <c r="AF495" s="68"/>
      <c r="AG495" s="68"/>
      <c r="AH495" s="68"/>
      <c r="AI495" s="68"/>
      <c r="AJ495" s="68">
        <v>1</v>
      </c>
      <c r="AL495" s="68">
        <v>1</v>
      </c>
      <c r="AM495" s="68"/>
      <c r="AN495" s="68"/>
      <c r="AO495" s="68"/>
      <c r="AQ495" s="68"/>
      <c r="AR495" s="68"/>
      <c r="AS495" s="68"/>
      <c r="AT495" s="68"/>
      <c r="AU495" s="68"/>
      <c r="AV495" s="68"/>
      <c r="AW495" s="68"/>
      <c r="AX495" s="68"/>
      <c r="AY495" s="68"/>
      <c r="AZ495" s="68"/>
      <c r="BB495" s="68"/>
      <c r="BC495" s="68"/>
      <c r="BJ495" s="68"/>
      <c r="BT495">
        <v>1</v>
      </c>
      <c r="BV495">
        <v>1</v>
      </c>
      <c r="BX495" s="68"/>
      <c r="BY495" s="68">
        <v>1</v>
      </c>
      <c r="BZ495" s="68" t="s">
        <v>1057</v>
      </c>
      <c r="CA495" s="68" t="s">
        <v>1057</v>
      </c>
      <c r="CB495" s="68" t="s">
        <v>1057</v>
      </c>
      <c r="CC495" s="68" t="e">
        <f t="shared" si="116"/>
        <v>#DIV/0!</v>
      </c>
      <c r="CD495" s="68" t="str">
        <f t="shared" si="117"/>
        <v>NA</v>
      </c>
    </row>
    <row r="496" spans="1:82" ht="15.75" customHeight="1" thickBot="1" x14ac:dyDescent="0.3">
      <c r="A496" s="9">
        <v>495</v>
      </c>
      <c r="B496" s="10" t="s">
        <v>1081</v>
      </c>
      <c r="C496" s="10" t="s">
        <v>311</v>
      </c>
      <c r="D496" s="10" t="s">
        <v>43</v>
      </c>
      <c r="E496" s="51">
        <v>-153.460919352209</v>
      </c>
      <c r="F496" s="51">
        <v>0</v>
      </c>
      <c r="G496" s="51">
        <v>0</v>
      </c>
      <c r="H496" s="51">
        <v>0</v>
      </c>
      <c r="I496" s="11" t="s">
        <v>1057</v>
      </c>
      <c r="J496" s="51" t="s">
        <v>1057</v>
      </c>
      <c r="K496" s="249" t="str">
        <f>IFERROR(VLOOKUP(C496,Schedule!$T$3:$U$34,2,0),"FA")</f>
        <v>FA</v>
      </c>
      <c r="L496" s="10" t="str">
        <f>D496&amp;COUNTIF(D$2:$D496,D496)</f>
        <v>TE148</v>
      </c>
      <c r="M496" s="51">
        <f t="array" ref="M496">IFERROR(F496-AVERAGE(VLOOKUP(D496,$D497:$F$885,3,0),INDEX($F497:$F$885,SMALL(IF(D496=$D497:$D$885,ROW($D497:$D$885)-ROW(D496)),2))),0)</f>
        <v>0</v>
      </c>
      <c r="N496" s="51">
        <f>IFERROR(IF(VLOOKUP($B496,Input!$AC$2:$AC$162,1,0)=$B496,0),F496)</f>
        <v>0</v>
      </c>
      <c r="O496" s="51">
        <f>IFERROR(IF(VLOOKUP($B496,Input!$AC$2:$AC$162,1,0)=$B496,0,G496),G496)</f>
        <v>0</v>
      </c>
      <c r="P496" s="51">
        <f>IF(N496=0,0,F496-AVERAGE(INDEX(F:F,MATCH(VLOOKUP(D496,Input!$A$14:$L$22,10,0),L:L,0)),INDEX(F:F,MATCH(VLOOKUP(D496,Input!$A$14:$L$22,11,0),L:L,0)),INDEX(F:F,MATCH(VLOOKUP(D496,Input!$A$14:$L$22,12,0),L:L,0)))+(0.01-ROW()*0.01))</f>
        <v>0</v>
      </c>
      <c r="Q496" s="107">
        <f t="shared" si="112"/>
        <v>0</v>
      </c>
      <c r="R496" s="11">
        <f>IF(VLOOKUP($D496,$X$14:$Y$19,2,0)&lt;=0,1,IF(Q496&lt;0,1,ROUNDUP(IF(Q496*('Draft Center'!$L$28+'Draft Center'!$L$78-'Draft Center'!$L$82)&lt;1,1,Q496*('Draft Center'!$L$28+'Draft Center'!$L$78-'Draft Center'!$L$82)),0)))</f>
        <v>1</v>
      </c>
      <c r="S496" s="11">
        <f>IF(A496&lt;Input!$B$10+0.1,IF(ROUNDUP(R496*Input!$C$10,0)=0,1,ROUNDUP(R496*Input!$C$10,0)),IF(A496&gt;Input!$B$11,IF(ROUNDUP(R496*Input!$C$11,0)=0,1,ROUNDUP(R496*Input!$C$11,0)),IF(ROUNDUP(R496,0)=0,1,ROUNDUP(R496,0))))</f>
        <v>1</v>
      </c>
      <c r="T496" s="11">
        <f t="shared" si="113"/>
        <v>1</v>
      </c>
      <c r="U496" s="11">
        <f>IFERROR(VLOOKUP($B496,Input!$AC$2:$AE$161,3,0),0)</f>
        <v>0</v>
      </c>
      <c r="V496" s="257">
        <f t="shared" si="114"/>
        <v>0</v>
      </c>
      <c r="W496" s="264">
        <f t="shared" si="115"/>
        <v>0</v>
      </c>
      <c r="X496" s="68"/>
      <c r="Y496" s="68"/>
      <c r="Z496" s="68"/>
      <c r="AA496" s="68"/>
      <c r="AB496" s="68"/>
      <c r="AC496" s="68"/>
      <c r="AD496" s="68"/>
      <c r="AE496" s="68"/>
      <c r="AF496" s="68"/>
      <c r="AG496" s="68"/>
      <c r="AH496" s="68"/>
      <c r="AI496" s="68"/>
      <c r="AJ496" s="68">
        <v>1</v>
      </c>
      <c r="AL496" s="68">
        <v>1</v>
      </c>
      <c r="AM496" s="68"/>
      <c r="AN496" s="68"/>
      <c r="AO496" s="68"/>
      <c r="AQ496" s="68"/>
      <c r="AR496" s="68"/>
      <c r="AS496" s="68"/>
      <c r="AT496" s="68"/>
      <c r="AU496" s="68"/>
      <c r="AV496" s="68"/>
      <c r="AW496" s="68"/>
      <c r="AX496" s="68"/>
      <c r="AY496" s="68"/>
      <c r="AZ496" s="68"/>
      <c r="BB496" s="68"/>
      <c r="BC496" s="68"/>
      <c r="BJ496" s="68"/>
      <c r="BT496">
        <v>1</v>
      </c>
      <c r="BV496">
        <v>1</v>
      </c>
      <c r="BX496" s="68"/>
      <c r="BY496" s="68">
        <v>1</v>
      </c>
      <c r="BZ496" s="68" t="s">
        <v>1057</v>
      </c>
      <c r="CA496" s="68" t="s">
        <v>1057</v>
      </c>
      <c r="CB496" s="68" t="s">
        <v>1057</v>
      </c>
      <c r="CC496" s="68" t="e">
        <f t="shared" si="116"/>
        <v>#DIV/0!</v>
      </c>
      <c r="CD496" s="68" t="str">
        <f t="shared" si="117"/>
        <v>NA</v>
      </c>
    </row>
    <row r="497" spans="1:82" ht="15.75" customHeight="1" thickBot="1" x14ac:dyDescent="0.3">
      <c r="A497" s="6">
        <v>496</v>
      </c>
      <c r="B497" s="7" t="s">
        <v>1007</v>
      </c>
      <c r="C497" s="7" t="s">
        <v>29</v>
      </c>
      <c r="D497" s="7" t="s">
        <v>43</v>
      </c>
      <c r="E497" s="50">
        <v>-153.460919352209</v>
      </c>
      <c r="F497" s="50">
        <v>0</v>
      </c>
      <c r="G497" s="50">
        <v>0</v>
      </c>
      <c r="H497" s="50">
        <v>0</v>
      </c>
      <c r="I497" s="8">
        <v>0</v>
      </c>
      <c r="J497" s="50" t="s">
        <v>1057</v>
      </c>
      <c r="K497" s="248">
        <f>IFERROR(VLOOKUP(C497,Schedule!$T$3:$U$34,2,0),"FA")</f>
        <v>8</v>
      </c>
      <c r="L497" s="7" t="str">
        <f>D497&amp;COUNTIF(D$2:$D497,D497)</f>
        <v>TE149</v>
      </c>
      <c r="M497" s="50">
        <f t="array" ref="M497">IFERROR(F497-AVERAGE(VLOOKUP(D497,$D498:$F$885,3,0),INDEX($F498:$F$885,SMALL(IF(D497=$D498:$D$885,ROW($D498:$D$885)-ROW(D497)),2))),0)</f>
        <v>0</v>
      </c>
      <c r="N497" s="50">
        <f>IFERROR(IF(VLOOKUP($B497,Input!$AC$2:$AC$162,1,0)=$B497,0),F497)</f>
        <v>0</v>
      </c>
      <c r="O497" s="50">
        <f>IFERROR(IF(VLOOKUP($B497,Input!$AC$2:$AC$162,1,0)=$B497,0,G497),G497)</f>
        <v>0</v>
      </c>
      <c r="P497" s="50">
        <f>IF(N497=0,0,F497-AVERAGE(INDEX(F:F,MATCH(VLOOKUP(D497,Input!$A$14:$L$22,10,0),L:L,0)),INDEX(F:F,MATCH(VLOOKUP(D497,Input!$A$14:$L$22,11,0),L:L,0)),INDEX(F:F,MATCH(VLOOKUP(D497,Input!$A$14:$L$22,12,0),L:L,0)))+(0.01-ROW()*0.01))</f>
        <v>0</v>
      </c>
      <c r="Q497" s="106">
        <f t="shared" si="112"/>
        <v>0</v>
      </c>
      <c r="R497" s="8">
        <f>IF(VLOOKUP($D497,$X$14:$Y$19,2,0)&lt;=0,1,IF(Q497&lt;0,1,ROUNDUP(IF(Q497*('Draft Center'!$L$28+'Draft Center'!$L$78-'Draft Center'!$L$82)&lt;1,1,Q497*('Draft Center'!$L$28+'Draft Center'!$L$78-'Draft Center'!$L$82)),0)))</f>
        <v>1</v>
      </c>
      <c r="S497" s="8">
        <f>IF(A497&lt;Input!$B$10+0.1,IF(ROUNDUP(R497*Input!$C$10,0)=0,1,ROUNDUP(R497*Input!$C$10,0)),IF(A497&gt;Input!$B$11,IF(ROUNDUP(R497*Input!$C$11,0)=0,1,ROUNDUP(R497*Input!$C$11,0)),IF(ROUNDUP(R497,0)=0,1,ROUNDUP(R497,0))))</f>
        <v>1</v>
      </c>
      <c r="T497" s="8">
        <f t="shared" si="113"/>
        <v>1</v>
      </c>
      <c r="U497" s="8">
        <f>IFERROR(VLOOKUP($B497,Input!$AC$2:$AE$161,3,0),0)</f>
        <v>0</v>
      </c>
      <c r="V497" s="256">
        <f t="shared" si="114"/>
        <v>0</v>
      </c>
      <c r="W497" s="263">
        <f t="shared" si="115"/>
        <v>1.0049699999999999</v>
      </c>
      <c r="X497" s="68"/>
      <c r="Y497" s="68"/>
      <c r="Z497" s="68"/>
      <c r="AA497" s="68"/>
      <c r="AB497" s="68"/>
      <c r="AC497" s="68"/>
      <c r="AD497" s="68"/>
      <c r="AE497" s="68"/>
      <c r="AF497" s="68"/>
      <c r="AG497" s="68"/>
      <c r="AH497" s="68"/>
      <c r="AI497" s="68"/>
      <c r="AJ497" s="68">
        <v>1</v>
      </c>
      <c r="AL497" s="68">
        <v>1</v>
      </c>
      <c r="AM497" s="68"/>
      <c r="AN497" s="68"/>
      <c r="AO497" s="68"/>
      <c r="AQ497" s="68"/>
      <c r="AR497" s="68"/>
      <c r="AS497" s="68"/>
      <c r="AT497" s="68"/>
      <c r="AU497" s="68"/>
      <c r="AV497" s="68"/>
      <c r="AW497" s="68"/>
      <c r="AX497" s="68"/>
      <c r="AY497" s="68"/>
      <c r="AZ497" s="68"/>
      <c r="BB497" s="68"/>
      <c r="BC497" s="68"/>
      <c r="BJ497" s="68"/>
      <c r="BT497">
        <v>1</v>
      </c>
      <c r="BV497">
        <v>1</v>
      </c>
      <c r="BX497" s="68"/>
      <c r="BY497" s="68">
        <v>1</v>
      </c>
      <c r="BZ497" s="68">
        <v>0</v>
      </c>
      <c r="CA497" s="68">
        <v>0</v>
      </c>
      <c r="CB497" s="68">
        <v>0</v>
      </c>
      <c r="CC497" s="68">
        <f t="shared" si="116"/>
        <v>0</v>
      </c>
      <c r="CD497" s="68">
        <f t="shared" si="117"/>
        <v>0</v>
      </c>
    </row>
    <row r="498" spans="1:82" ht="15.75" customHeight="1" thickBot="1" x14ac:dyDescent="0.3">
      <c r="A498" s="9">
        <v>497</v>
      </c>
      <c r="B498" s="10" t="s">
        <v>1082</v>
      </c>
      <c r="C498" s="10" t="s">
        <v>52</v>
      </c>
      <c r="D498" s="10" t="s">
        <v>43</v>
      </c>
      <c r="E498" s="51">
        <v>-153.460919352209</v>
      </c>
      <c r="F498" s="51">
        <v>0</v>
      </c>
      <c r="G498" s="51">
        <v>0</v>
      </c>
      <c r="H498" s="51">
        <v>0</v>
      </c>
      <c r="I498" s="11" t="s">
        <v>1057</v>
      </c>
      <c r="J498" s="51" t="s">
        <v>1057</v>
      </c>
      <c r="K498" s="249">
        <f>IFERROR(VLOOKUP(C498,Schedule!$T$3:$U$34,2,0),"FA")</f>
        <v>11</v>
      </c>
      <c r="L498" s="10" t="str">
        <f>D498&amp;COUNTIF(D$2:$D498,D498)</f>
        <v>TE150</v>
      </c>
      <c r="M498" s="51">
        <f t="array" ref="M498">IFERROR(F498-AVERAGE(VLOOKUP(D498,$D499:$F$885,3,0),INDEX($F499:$F$885,SMALL(IF(D498=$D499:$D$885,ROW($D499:$D$885)-ROW(D498)),2))),0)</f>
        <v>0</v>
      </c>
      <c r="N498" s="51">
        <f>IFERROR(IF(VLOOKUP($B498,Input!$AC$2:$AC$162,1,0)=$B498,0),F498)</f>
        <v>0</v>
      </c>
      <c r="O498" s="51">
        <f>IFERROR(IF(VLOOKUP($B498,Input!$AC$2:$AC$162,1,0)=$B498,0,G498),G498)</f>
        <v>0</v>
      </c>
      <c r="P498" s="51">
        <f>IF(N498=0,0,F498-AVERAGE(INDEX(F:F,MATCH(VLOOKUP(D498,Input!$A$14:$L$22,10,0),L:L,0)),INDEX(F:F,MATCH(VLOOKUP(D498,Input!$A$14:$L$22,11,0),L:L,0)),INDEX(F:F,MATCH(VLOOKUP(D498,Input!$A$14:$L$22,12,0),L:L,0)))+(0.01-ROW()*0.01))</f>
        <v>0</v>
      </c>
      <c r="Q498" s="107">
        <f t="shared" si="112"/>
        <v>0</v>
      </c>
      <c r="R498" s="11">
        <f>IF(VLOOKUP($D498,$X$14:$Y$19,2,0)&lt;=0,1,IF(Q498&lt;0,1,ROUNDUP(IF(Q498*('Draft Center'!$L$28+'Draft Center'!$L$78-'Draft Center'!$L$82)&lt;1,1,Q498*('Draft Center'!$L$28+'Draft Center'!$L$78-'Draft Center'!$L$82)),0)))</f>
        <v>1</v>
      </c>
      <c r="S498" s="11">
        <f>IF(A498&lt;Input!$B$10+0.1,IF(ROUNDUP(R498*Input!$C$10,0)=0,1,ROUNDUP(R498*Input!$C$10,0)),IF(A498&gt;Input!$B$11,IF(ROUNDUP(R498*Input!$C$11,0)=0,1,ROUNDUP(R498*Input!$C$11,0)),IF(ROUNDUP(R498,0)=0,1,ROUNDUP(R498,0))))</f>
        <v>1</v>
      </c>
      <c r="T498" s="11">
        <f t="shared" si="113"/>
        <v>1</v>
      </c>
      <c r="U498" s="11">
        <f>IFERROR(VLOOKUP($B498,Input!$AC$2:$AE$161,3,0),0)</f>
        <v>0</v>
      </c>
      <c r="V498" s="257">
        <f t="shared" si="114"/>
        <v>0</v>
      </c>
      <c r="W498" s="264">
        <f t="shared" si="115"/>
        <v>0</v>
      </c>
      <c r="X498" s="68"/>
      <c r="Y498" s="68"/>
      <c r="Z498" s="68"/>
      <c r="AA498" s="68"/>
      <c r="AB498" s="68"/>
      <c r="AC498" s="68"/>
      <c r="AD498" s="68"/>
      <c r="AE498" s="68"/>
      <c r="AF498" s="68"/>
      <c r="AG498" s="68"/>
      <c r="AH498" s="68"/>
      <c r="AI498" s="68"/>
      <c r="AJ498" s="68">
        <v>1</v>
      </c>
      <c r="AL498" s="68">
        <v>1</v>
      </c>
      <c r="AM498" s="68"/>
      <c r="AN498" s="68"/>
      <c r="AO498" s="68"/>
      <c r="AQ498" s="68"/>
      <c r="AR498" s="68"/>
      <c r="AS498" s="68"/>
      <c r="AT498" s="68"/>
      <c r="AU498" s="68"/>
      <c r="AV498" s="68"/>
      <c r="AW498" s="68"/>
      <c r="AX498" s="68"/>
      <c r="AY498" s="68"/>
      <c r="AZ498" s="68"/>
      <c r="BB498" s="68"/>
      <c r="BC498" s="68"/>
      <c r="BJ498" s="68"/>
      <c r="BT498">
        <v>1</v>
      </c>
      <c r="BV498">
        <v>1</v>
      </c>
      <c r="BX498" s="68"/>
      <c r="BY498" s="68">
        <v>1</v>
      </c>
      <c r="BZ498" s="68" t="s">
        <v>1057</v>
      </c>
      <c r="CA498" s="68" t="s">
        <v>1057</v>
      </c>
      <c r="CB498" s="68" t="s">
        <v>1057</v>
      </c>
      <c r="CC498" s="68" t="e">
        <f t="shared" si="116"/>
        <v>#DIV/0!</v>
      </c>
      <c r="CD498" s="68" t="str">
        <f t="shared" si="117"/>
        <v>NA</v>
      </c>
    </row>
    <row r="499" spans="1:82" ht="15.75" customHeight="1" thickBot="1" x14ac:dyDescent="0.3">
      <c r="A499" s="6">
        <v>498</v>
      </c>
      <c r="B499" s="7" t="s">
        <v>474</v>
      </c>
      <c r="C499" s="7" t="s">
        <v>25</v>
      </c>
      <c r="D499" s="7" t="s">
        <v>43</v>
      </c>
      <c r="E499" s="50">
        <v>-153.460919352209</v>
      </c>
      <c r="F499" s="50">
        <v>0</v>
      </c>
      <c r="G499" s="50">
        <v>0</v>
      </c>
      <c r="H499" s="50">
        <v>0</v>
      </c>
      <c r="I499" s="8">
        <v>0</v>
      </c>
      <c r="J499" s="50" t="s">
        <v>1057</v>
      </c>
      <c r="K499" s="248">
        <f>IFERROR(VLOOKUP(C499,Schedule!$T$3:$U$34,2,0),"FA")</f>
        <v>10</v>
      </c>
      <c r="L499" s="7" t="str">
        <f>D499&amp;COUNTIF(D$2:$D499,D499)</f>
        <v>TE151</v>
      </c>
      <c r="M499" s="50">
        <f t="array" ref="M499">IFERROR(F499-AVERAGE(VLOOKUP(D499,$D500:$F$885,3,0),INDEX($F500:$F$885,SMALL(IF(D499=$D500:$D$885,ROW($D500:$D$885)-ROW(D499)),2))),0)</f>
        <v>0</v>
      </c>
      <c r="N499" s="50">
        <f>IFERROR(IF(VLOOKUP($B499,Input!$AC$2:$AC$162,1,0)=$B499,0),F499)</f>
        <v>0</v>
      </c>
      <c r="O499" s="50">
        <f>IFERROR(IF(VLOOKUP($B499,Input!$AC$2:$AC$162,1,0)=$B499,0,G499),G499)</f>
        <v>0</v>
      </c>
      <c r="P499" s="50">
        <f>IF(N499=0,0,F499-AVERAGE(INDEX(F:F,MATCH(VLOOKUP(D499,Input!$A$14:$L$22,10,0),L:L,0)),INDEX(F:F,MATCH(VLOOKUP(D499,Input!$A$14:$L$22,11,0),L:L,0)),INDEX(F:F,MATCH(VLOOKUP(D499,Input!$A$14:$L$22,12,0),L:L,0)))+(0.01-ROW()*0.01))</f>
        <v>0</v>
      </c>
      <c r="Q499" s="106">
        <f t="shared" si="112"/>
        <v>0</v>
      </c>
      <c r="R499" s="8">
        <f>IF(VLOOKUP($D499,$X$14:$Y$19,2,0)&lt;=0,1,IF(Q499&lt;0,1,ROUNDUP(IF(Q499*('Draft Center'!$L$28+'Draft Center'!$L$78-'Draft Center'!$L$82)&lt;1,1,Q499*('Draft Center'!$L$28+'Draft Center'!$L$78-'Draft Center'!$L$82)),0)))</f>
        <v>1</v>
      </c>
      <c r="S499" s="8">
        <f>IF(A499&lt;Input!$B$10+0.1,IF(ROUNDUP(R499*Input!$C$10,0)=0,1,ROUNDUP(R499*Input!$C$10,0)),IF(A499&gt;Input!$B$11,IF(ROUNDUP(R499*Input!$C$11,0)=0,1,ROUNDUP(R499*Input!$C$11,0)),IF(ROUNDUP(R499,0)=0,1,ROUNDUP(R499,0))))</f>
        <v>1</v>
      </c>
      <c r="T499" s="8">
        <f t="shared" si="113"/>
        <v>1</v>
      </c>
      <c r="U499" s="8">
        <f>IFERROR(VLOOKUP($B499,Input!$AC$2:$AE$161,3,0),0)</f>
        <v>0</v>
      </c>
      <c r="V499" s="256">
        <f t="shared" si="114"/>
        <v>0</v>
      </c>
      <c r="W499" s="263">
        <f t="shared" si="115"/>
        <v>1.00499</v>
      </c>
      <c r="X499" s="68"/>
      <c r="Y499" s="68"/>
      <c r="Z499" s="68"/>
      <c r="AA499" s="68"/>
      <c r="AB499" s="68"/>
      <c r="AC499" s="68"/>
      <c r="AD499" s="68"/>
      <c r="AE499" s="68"/>
      <c r="AF499" s="68"/>
      <c r="AG499" s="68"/>
      <c r="AH499" s="68"/>
      <c r="AI499" s="68"/>
      <c r="AJ499" s="68">
        <v>1</v>
      </c>
      <c r="AL499" s="68">
        <v>1</v>
      </c>
      <c r="AM499" s="68"/>
      <c r="AN499" s="68"/>
      <c r="AO499" s="68"/>
      <c r="AQ499" s="68"/>
      <c r="AR499" s="68"/>
      <c r="AS499" s="68"/>
      <c r="AT499" s="68"/>
      <c r="AU499" s="68"/>
      <c r="AV499" s="68"/>
      <c r="AW499" s="68"/>
      <c r="AX499" s="68"/>
      <c r="AY499" s="68"/>
      <c r="AZ499" s="68"/>
      <c r="BB499" s="68"/>
      <c r="BC499" s="68"/>
      <c r="BJ499" s="68"/>
      <c r="BT499">
        <v>1</v>
      </c>
      <c r="BV499">
        <v>1</v>
      </c>
      <c r="BX499" s="68"/>
      <c r="BY499" s="68">
        <v>1</v>
      </c>
      <c r="BZ499" s="68">
        <v>0</v>
      </c>
      <c r="CA499" s="68">
        <v>0</v>
      </c>
      <c r="CB499" s="68">
        <v>0</v>
      </c>
      <c r="CC499" s="68">
        <f t="shared" si="116"/>
        <v>0</v>
      </c>
      <c r="CD499" s="68">
        <f t="shared" si="117"/>
        <v>0</v>
      </c>
    </row>
    <row r="500" spans="1:82" ht="15.75" customHeight="1" thickBot="1" x14ac:dyDescent="0.3">
      <c r="A500" s="9">
        <v>499</v>
      </c>
      <c r="B500" s="10" t="s">
        <v>1083</v>
      </c>
      <c r="C500" s="10" t="s">
        <v>25</v>
      </c>
      <c r="D500" s="10" t="s">
        <v>43</v>
      </c>
      <c r="E500" s="51">
        <v>-153.460919352209</v>
      </c>
      <c r="F500" s="51">
        <v>0</v>
      </c>
      <c r="G500" s="51">
        <v>0</v>
      </c>
      <c r="H500" s="51">
        <v>0</v>
      </c>
      <c r="I500" s="11" t="s">
        <v>1057</v>
      </c>
      <c r="J500" s="51" t="s">
        <v>1057</v>
      </c>
      <c r="K500" s="249">
        <f>IFERROR(VLOOKUP(C500,Schedule!$T$3:$U$34,2,0),"FA")</f>
        <v>10</v>
      </c>
      <c r="L500" s="10" t="str">
        <f>D500&amp;COUNTIF(D$2:$D500,D500)</f>
        <v>TE152</v>
      </c>
      <c r="M500" s="51">
        <f t="array" ref="M500">IFERROR(F500-AVERAGE(VLOOKUP(D500,$D501:$F$885,3,0),INDEX($F501:$F$885,SMALL(IF(D500=$D501:$D$885,ROW($D501:$D$885)-ROW(D500)),2))),0)</f>
        <v>0</v>
      </c>
      <c r="N500" s="51">
        <f>IFERROR(IF(VLOOKUP($B500,Input!$AC$2:$AC$162,1,0)=$B500,0),F500)</f>
        <v>0</v>
      </c>
      <c r="O500" s="51">
        <f>IFERROR(IF(VLOOKUP($B500,Input!$AC$2:$AC$162,1,0)=$B500,0,G500),G500)</f>
        <v>0</v>
      </c>
      <c r="P500" s="51">
        <f>IF(N500=0,0,F500-AVERAGE(INDEX(F:F,MATCH(VLOOKUP(D500,Input!$A$14:$L$22,10,0),L:L,0)),INDEX(F:F,MATCH(VLOOKUP(D500,Input!$A$14:$L$22,11,0),L:L,0)),INDEX(F:F,MATCH(VLOOKUP(D500,Input!$A$14:$L$22,12,0),L:L,0)))+(0.01-ROW()*0.01))</f>
        <v>0</v>
      </c>
      <c r="Q500" s="107">
        <f t="shared" si="112"/>
        <v>0</v>
      </c>
      <c r="R500" s="11">
        <f>IF(VLOOKUP($D500,$X$14:$Y$19,2,0)&lt;=0,1,IF(Q500&lt;0,1,ROUNDUP(IF(Q500*('Draft Center'!$L$28+'Draft Center'!$L$78-'Draft Center'!$L$82)&lt;1,1,Q500*('Draft Center'!$L$28+'Draft Center'!$L$78-'Draft Center'!$L$82)),0)))</f>
        <v>1</v>
      </c>
      <c r="S500" s="11">
        <f>IF(A500&lt;Input!$B$10+0.1,IF(ROUNDUP(R500*Input!$C$10,0)=0,1,ROUNDUP(R500*Input!$C$10,0)),IF(A500&gt;Input!$B$11,IF(ROUNDUP(R500*Input!$C$11,0)=0,1,ROUNDUP(R500*Input!$C$11,0)),IF(ROUNDUP(R500,0)=0,1,ROUNDUP(R500,0))))</f>
        <v>1</v>
      </c>
      <c r="T500" s="11">
        <f t="shared" si="113"/>
        <v>1</v>
      </c>
      <c r="U500" s="11">
        <f>IFERROR(VLOOKUP($B500,Input!$AC$2:$AE$161,3,0),0)</f>
        <v>0</v>
      </c>
      <c r="V500" s="257">
        <f t="shared" si="114"/>
        <v>0</v>
      </c>
      <c r="W500" s="264">
        <f t="shared" si="115"/>
        <v>0</v>
      </c>
      <c r="X500" s="68"/>
      <c r="Y500" s="68"/>
      <c r="Z500" s="68"/>
      <c r="AA500" s="68"/>
      <c r="AB500" s="68"/>
      <c r="AC500" s="68"/>
      <c r="AD500" s="68"/>
      <c r="AE500" s="68"/>
      <c r="AF500" s="68"/>
      <c r="AG500" s="68"/>
      <c r="AH500" s="68"/>
      <c r="AI500" s="68"/>
      <c r="AJ500" s="68">
        <v>1</v>
      </c>
      <c r="AL500" s="68">
        <v>1</v>
      </c>
      <c r="AM500" s="68"/>
      <c r="AN500" s="68"/>
      <c r="AO500" s="68"/>
      <c r="AQ500" s="68"/>
      <c r="AR500" s="68"/>
      <c r="AS500" s="68"/>
      <c r="AT500" s="68"/>
      <c r="AU500" s="68"/>
      <c r="AV500" s="68"/>
      <c r="AW500" s="68"/>
      <c r="AX500" s="68"/>
      <c r="AY500" s="68"/>
      <c r="AZ500" s="68"/>
      <c r="BB500" s="68"/>
      <c r="BC500" s="68"/>
      <c r="BJ500" s="68"/>
      <c r="BT500">
        <v>1</v>
      </c>
      <c r="BV500">
        <v>1</v>
      </c>
      <c r="BX500" s="68"/>
      <c r="BY500" s="68">
        <v>1</v>
      </c>
      <c r="BZ500" s="68" t="s">
        <v>1057</v>
      </c>
      <c r="CA500" s="68" t="s">
        <v>1057</v>
      </c>
      <c r="CB500" s="68" t="s">
        <v>1057</v>
      </c>
      <c r="CC500" s="68" t="e">
        <f t="shared" si="116"/>
        <v>#DIV/0!</v>
      </c>
      <c r="CD500" s="68" t="str">
        <f t="shared" si="117"/>
        <v>NA</v>
      </c>
    </row>
    <row r="501" spans="1:82" ht="15.75" customHeight="1" thickBot="1" x14ac:dyDescent="0.3">
      <c r="A501" s="6">
        <v>500</v>
      </c>
      <c r="B501" s="7" t="s">
        <v>482</v>
      </c>
      <c r="C501" s="7" t="s">
        <v>927</v>
      </c>
      <c r="D501" s="7" t="s">
        <v>43</v>
      </c>
      <c r="E501" s="50">
        <v>-153.460919352209</v>
      </c>
      <c r="F501" s="50">
        <v>0</v>
      </c>
      <c r="G501" s="50">
        <v>0</v>
      </c>
      <c r="H501" s="50">
        <v>0</v>
      </c>
      <c r="I501" s="8">
        <v>0</v>
      </c>
      <c r="J501" s="50" t="s">
        <v>1057</v>
      </c>
      <c r="K501" s="248">
        <f>IFERROR(VLOOKUP(C501,Schedule!$T$3:$U$34,2,0),"FA")</f>
        <v>9</v>
      </c>
      <c r="L501" s="7" t="str">
        <f>D501&amp;COUNTIF(D$2:$D501,D501)</f>
        <v>TE153</v>
      </c>
      <c r="M501" s="50">
        <f t="array" ref="M501">IFERROR(F501-AVERAGE(VLOOKUP(D501,$D502:$F$885,3,0),INDEX($F502:$F$885,SMALL(IF(D501=$D502:$D$885,ROW($D502:$D$885)-ROW(D501)),2))),0)</f>
        <v>0</v>
      </c>
      <c r="N501" s="50">
        <f>IFERROR(IF(VLOOKUP($B501,Input!$AC$2:$AC$162,1,0)=$B501,0),F501)</f>
        <v>0</v>
      </c>
      <c r="O501" s="50">
        <f>IFERROR(IF(VLOOKUP($B501,Input!$AC$2:$AC$162,1,0)=$B501,0,G501),G501)</f>
        <v>0</v>
      </c>
      <c r="P501" s="50">
        <f>IF(N501=0,0,F501-AVERAGE(INDEX(F:F,MATCH(VLOOKUP(D501,Input!$A$14:$L$22,10,0),L:L,0)),INDEX(F:F,MATCH(VLOOKUP(D501,Input!$A$14:$L$22,11,0),L:L,0)),INDEX(F:F,MATCH(VLOOKUP(D501,Input!$A$14:$L$22,12,0),L:L,0)))+(0.01-ROW()*0.01))</f>
        <v>0</v>
      </c>
      <c r="Q501" s="106">
        <f t="shared" si="112"/>
        <v>0</v>
      </c>
      <c r="R501" s="8">
        <f>IF(VLOOKUP($D501,$X$14:$Y$19,2,0)&lt;=0,1,IF(Q501&lt;0,1,ROUNDUP(IF(Q501*('Draft Center'!$L$28+'Draft Center'!$L$78-'Draft Center'!$L$82)&lt;1,1,Q501*('Draft Center'!$L$28+'Draft Center'!$L$78-'Draft Center'!$L$82)),0)))</f>
        <v>1</v>
      </c>
      <c r="S501" s="8">
        <f>IF(A501&lt;Input!$B$10+0.1,IF(ROUNDUP(R501*Input!$C$10,0)=0,1,ROUNDUP(R501*Input!$C$10,0)),IF(A501&gt;Input!$B$11,IF(ROUNDUP(R501*Input!$C$11,0)=0,1,ROUNDUP(R501*Input!$C$11,0)),IF(ROUNDUP(R501,0)=0,1,ROUNDUP(R501,0))))</f>
        <v>1</v>
      </c>
      <c r="T501" s="8">
        <f t="shared" si="113"/>
        <v>1</v>
      </c>
      <c r="U501" s="8">
        <f>IFERROR(VLOOKUP($B501,Input!$AC$2:$AE$161,3,0),0)</f>
        <v>0</v>
      </c>
      <c r="V501" s="256">
        <f t="shared" si="114"/>
        <v>0</v>
      </c>
      <c r="W501" s="263">
        <f t="shared" si="115"/>
        <v>1.00501</v>
      </c>
      <c r="X501" s="68"/>
      <c r="Y501" s="68"/>
      <c r="Z501" s="68"/>
      <c r="AA501" s="68"/>
      <c r="AB501" s="68"/>
      <c r="AC501" s="68"/>
      <c r="AD501" s="68"/>
      <c r="AE501" s="68"/>
      <c r="AF501" s="68"/>
      <c r="AG501" s="68"/>
      <c r="AH501" s="68"/>
      <c r="AI501" s="68"/>
      <c r="AJ501" s="68">
        <v>1</v>
      </c>
      <c r="AL501" s="68">
        <v>1</v>
      </c>
      <c r="AM501" s="68"/>
      <c r="AN501" s="68"/>
      <c r="AO501" s="68"/>
      <c r="AQ501" s="68"/>
      <c r="AR501" s="68"/>
      <c r="AS501" s="68"/>
      <c r="AT501" s="68"/>
      <c r="AU501" s="68"/>
      <c r="AV501" s="68"/>
      <c r="AW501" s="68"/>
      <c r="AX501" s="68"/>
      <c r="AY501" s="68"/>
      <c r="AZ501" s="68"/>
      <c r="BB501" s="68"/>
      <c r="BC501" s="68"/>
      <c r="BJ501" s="68"/>
      <c r="BT501">
        <v>1</v>
      </c>
      <c r="BV501">
        <v>1</v>
      </c>
      <c r="BX501" s="68"/>
      <c r="BY501" s="68">
        <v>1</v>
      </c>
      <c r="BZ501" s="68">
        <v>0</v>
      </c>
      <c r="CA501" s="68">
        <v>0</v>
      </c>
      <c r="CB501" s="68">
        <v>0</v>
      </c>
      <c r="CC501" s="68">
        <f t="shared" si="116"/>
        <v>0</v>
      </c>
      <c r="CD501" s="68">
        <f t="shared" si="117"/>
        <v>0</v>
      </c>
    </row>
    <row r="502" spans="1:82" ht="15.75" customHeight="1" thickBot="1" x14ac:dyDescent="0.3">
      <c r="A502" s="9">
        <v>501</v>
      </c>
      <c r="B502" s="10" t="s">
        <v>810</v>
      </c>
      <c r="C502" s="10" t="s">
        <v>64</v>
      </c>
      <c r="D502" s="10" t="s">
        <v>43</v>
      </c>
      <c r="E502" s="51">
        <v>-153.460919352209</v>
      </c>
      <c r="F502" s="51">
        <v>0</v>
      </c>
      <c r="G502" s="51">
        <v>0</v>
      </c>
      <c r="H502" s="51">
        <v>0</v>
      </c>
      <c r="I502" s="11">
        <v>0</v>
      </c>
      <c r="J502" s="51" t="s">
        <v>1057</v>
      </c>
      <c r="K502" s="249">
        <f>IFERROR(VLOOKUP(C502,Schedule!$T$3:$U$34,2,0),"FA")</f>
        <v>11</v>
      </c>
      <c r="L502" s="10" t="str">
        <f>D502&amp;COUNTIF(D$2:$D502,D502)</f>
        <v>TE154</v>
      </c>
      <c r="M502" s="51">
        <f t="array" ref="M502">IFERROR(F502-AVERAGE(VLOOKUP(D502,$D503:$F$885,3,0),INDEX($F503:$F$885,SMALL(IF(D502=$D503:$D$885,ROW($D503:$D$885)-ROW(D502)),2))),0)</f>
        <v>0</v>
      </c>
      <c r="N502" s="51">
        <f>IFERROR(IF(VLOOKUP($B502,Input!$AC$2:$AC$162,1,0)=$B502,0),F502)</f>
        <v>0</v>
      </c>
      <c r="O502" s="51">
        <f>IFERROR(IF(VLOOKUP($B502,Input!$AC$2:$AC$162,1,0)=$B502,0,G502),G502)</f>
        <v>0</v>
      </c>
      <c r="P502" s="51">
        <f>IF(N502=0,0,F502-AVERAGE(INDEX(F:F,MATCH(VLOOKUP(D502,Input!$A$14:$L$22,10,0),L:L,0)),INDEX(F:F,MATCH(VLOOKUP(D502,Input!$A$14:$L$22,11,0),L:L,0)),INDEX(F:F,MATCH(VLOOKUP(D502,Input!$A$14:$L$22,12,0),L:L,0)))+(0.01-ROW()*0.01))</f>
        <v>0</v>
      </c>
      <c r="Q502" s="107">
        <f t="shared" si="112"/>
        <v>0</v>
      </c>
      <c r="R502" s="11">
        <f>IF(VLOOKUP($D502,$X$14:$Y$19,2,0)&lt;=0,1,IF(Q502&lt;0,1,ROUNDUP(IF(Q502*('Draft Center'!$L$28+'Draft Center'!$L$78-'Draft Center'!$L$82)&lt;1,1,Q502*('Draft Center'!$L$28+'Draft Center'!$L$78-'Draft Center'!$L$82)),0)))</f>
        <v>1</v>
      </c>
      <c r="S502" s="11">
        <f>IF(A502&lt;Input!$B$10+0.1,IF(ROUNDUP(R502*Input!$C$10,0)=0,1,ROUNDUP(R502*Input!$C$10,0)),IF(A502&gt;Input!$B$11,IF(ROUNDUP(R502*Input!$C$11,0)=0,1,ROUNDUP(R502*Input!$C$11,0)),IF(ROUNDUP(R502,0)=0,1,ROUNDUP(R502,0))))</f>
        <v>1</v>
      </c>
      <c r="T502" s="11">
        <f t="shared" si="113"/>
        <v>1</v>
      </c>
      <c r="U502" s="11">
        <f>IFERROR(VLOOKUP($B502,Input!$AC$2:$AE$161,3,0),0)</f>
        <v>0</v>
      </c>
      <c r="V502" s="257">
        <f t="shared" si="114"/>
        <v>0</v>
      </c>
      <c r="W502" s="264">
        <f t="shared" si="115"/>
        <v>1.00502</v>
      </c>
      <c r="X502" s="68"/>
      <c r="Y502" s="68"/>
      <c r="Z502" s="68"/>
      <c r="AA502" s="68"/>
      <c r="AB502" s="68"/>
      <c r="AC502" s="68"/>
      <c r="AD502" s="68"/>
      <c r="AE502" s="68"/>
      <c r="AF502" s="68"/>
      <c r="AG502" s="68"/>
      <c r="AH502" s="68"/>
      <c r="AI502" s="68"/>
      <c r="AJ502" s="68">
        <v>1</v>
      </c>
      <c r="AL502" s="68">
        <v>1</v>
      </c>
      <c r="AM502" s="68"/>
      <c r="AN502" s="68"/>
      <c r="AO502" s="68"/>
      <c r="AQ502" s="68"/>
      <c r="AR502" s="68"/>
      <c r="AS502" s="68"/>
      <c r="AT502" s="68"/>
      <c r="AU502" s="68"/>
      <c r="AV502" s="68"/>
      <c r="AW502" s="68"/>
      <c r="AX502" s="68"/>
      <c r="AY502" s="68"/>
      <c r="AZ502" s="68"/>
      <c r="BB502" s="68"/>
      <c r="BC502" s="68"/>
      <c r="BJ502" s="68"/>
      <c r="BT502">
        <v>1</v>
      </c>
      <c r="BV502">
        <v>1</v>
      </c>
      <c r="BX502" s="68"/>
      <c r="BY502" s="68">
        <v>1</v>
      </c>
      <c r="BZ502" s="68">
        <v>0</v>
      </c>
      <c r="CA502" s="68">
        <v>0</v>
      </c>
      <c r="CB502" s="68">
        <v>0</v>
      </c>
      <c r="CC502" s="68">
        <f t="shared" si="116"/>
        <v>0</v>
      </c>
      <c r="CD502" s="68">
        <f t="shared" si="117"/>
        <v>0</v>
      </c>
    </row>
    <row r="503" spans="1:82" ht="15.75" customHeight="1" thickBot="1" x14ac:dyDescent="0.3">
      <c r="A503" s="6">
        <v>502</v>
      </c>
      <c r="B503" s="7" t="s">
        <v>881</v>
      </c>
      <c r="C503" s="7" t="s">
        <v>64</v>
      </c>
      <c r="D503" s="7" t="s">
        <v>43</v>
      </c>
      <c r="E503" s="50">
        <v>-153.460919352209</v>
      </c>
      <c r="F503" s="50">
        <v>0</v>
      </c>
      <c r="G503" s="50">
        <v>0</v>
      </c>
      <c r="H503" s="50">
        <v>0</v>
      </c>
      <c r="I503" s="8">
        <v>0</v>
      </c>
      <c r="J503" s="50" t="s">
        <v>1057</v>
      </c>
      <c r="K503" s="248">
        <f>IFERROR(VLOOKUP(C503,Schedule!$T$3:$U$34,2,0),"FA")</f>
        <v>11</v>
      </c>
      <c r="L503" s="7" t="str">
        <f>D503&amp;COUNTIF(D$2:$D503,D503)</f>
        <v>TE155</v>
      </c>
      <c r="M503" s="50">
        <f t="array" ref="M503">IFERROR(F503-AVERAGE(VLOOKUP(D503,$D504:$F$885,3,0),INDEX($F504:$F$885,SMALL(IF(D503=$D504:$D$885,ROW($D504:$D$885)-ROW(D503)),2))),0)</f>
        <v>0</v>
      </c>
      <c r="N503" s="50">
        <f>IFERROR(IF(VLOOKUP($B503,Input!$AC$2:$AC$162,1,0)=$B503,0),F503)</f>
        <v>0</v>
      </c>
      <c r="O503" s="50">
        <f>IFERROR(IF(VLOOKUP($B503,Input!$AC$2:$AC$162,1,0)=$B503,0,G503),G503)</f>
        <v>0</v>
      </c>
      <c r="P503" s="50">
        <f>IF(N503=0,0,F503-AVERAGE(INDEX(F:F,MATCH(VLOOKUP(D503,Input!$A$14:$L$22,10,0),L:L,0)),INDEX(F:F,MATCH(VLOOKUP(D503,Input!$A$14:$L$22,11,0),L:L,0)),INDEX(F:F,MATCH(VLOOKUP(D503,Input!$A$14:$L$22,12,0),L:L,0)))+(0.01-ROW()*0.01))</f>
        <v>0</v>
      </c>
      <c r="Q503" s="106">
        <f t="shared" si="112"/>
        <v>0</v>
      </c>
      <c r="R503" s="8">
        <f>IF(VLOOKUP($D503,$X$14:$Y$19,2,0)&lt;=0,1,IF(Q503&lt;0,1,ROUNDUP(IF(Q503*('Draft Center'!$L$28+'Draft Center'!$L$78-'Draft Center'!$L$82)&lt;1,1,Q503*('Draft Center'!$L$28+'Draft Center'!$L$78-'Draft Center'!$L$82)),0)))</f>
        <v>1</v>
      </c>
      <c r="S503" s="8">
        <f>IF(A503&lt;Input!$B$10+0.1,IF(ROUNDUP(R503*Input!$C$10,0)=0,1,ROUNDUP(R503*Input!$C$10,0)),IF(A503&gt;Input!$B$11,IF(ROUNDUP(R503*Input!$C$11,0)=0,1,ROUNDUP(R503*Input!$C$11,0)),IF(ROUNDUP(R503,0)=0,1,ROUNDUP(R503,0))))</f>
        <v>1</v>
      </c>
      <c r="T503" s="8">
        <f t="shared" si="113"/>
        <v>1</v>
      </c>
      <c r="U503" s="8">
        <f>IFERROR(VLOOKUP($B503,Input!$AC$2:$AE$161,3,0),0)</f>
        <v>0</v>
      </c>
      <c r="V503" s="256">
        <f t="shared" si="114"/>
        <v>0</v>
      </c>
      <c r="W503" s="263">
        <f t="shared" si="115"/>
        <v>1.0050300000000001</v>
      </c>
      <c r="X503" s="68"/>
      <c r="Y503" s="68"/>
      <c r="Z503" s="68"/>
      <c r="AA503" s="68"/>
      <c r="AB503" s="68"/>
      <c r="AC503" s="68"/>
      <c r="AD503" s="68"/>
      <c r="AE503" s="68"/>
      <c r="AF503" s="68"/>
      <c r="AG503" s="68"/>
      <c r="AH503" s="68"/>
      <c r="AI503" s="68"/>
      <c r="AJ503" s="68">
        <v>1</v>
      </c>
      <c r="AL503" s="68">
        <v>1</v>
      </c>
      <c r="AM503" s="68"/>
      <c r="AN503" s="68"/>
      <c r="AO503" s="68"/>
      <c r="AQ503" s="68"/>
      <c r="AR503" s="68"/>
      <c r="AS503" s="68"/>
      <c r="AT503" s="68"/>
      <c r="AU503" s="68"/>
      <c r="AV503" s="68"/>
      <c r="AW503" s="68"/>
      <c r="AX503" s="68"/>
      <c r="AY503" s="68"/>
      <c r="AZ503" s="68"/>
      <c r="BB503" s="68"/>
      <c r="BC503" s="68"/>
      <c r="BJ503" s="68"/>
      <c r="BT503">
        <v>1</v>
      </c>
      <c r="BV503">
        <v>1</v>
      </c>
      <c r="BX503" s="68"/>
      <c r="BY503" s="68">
        <v>1</v>
      </c>
      <c r="BZ503" s="68">
        <v>0</v>
      </c>
      <c r="CA503" s="68">
        <v>0</v>
      </c>
      <c r="CB503" s="68">
        <v>0</v>
      </c>
      <c r="CC503" s="68">
        <f t="shared" si="116"/>
        <v>0</v>
      </c>
      <c r="CD503" s="68">
        <f t="shared" si="117"/>
        <v>0</v>
      </c>
    </row>
    <row r="504" spans="1:82" ht="15.75" customHeight="1" thickBot="1" x14ac:dyDescent="0.3">
      <c r="A504" s="9">
        <v>503</v>
      </c>
      <c r="B504" s="10" t="s">
        <v>1085</v>
      </c>
      <c r="C504" s="10" t="s">
        <v>33</v>
      </c>
      <c r="D504" s="10" t="s">
        <v>43</v>
      </c>
      <c r="E504" s="51">
        <v>-153.460919352209</v>
      </c>
      <c r="F504" s="51">
        <v>0</v>
      </c>
      <c r="G504" s="51">
        <v>0</v>
      </c>
      <c r="H504" s="51">
        <v>0</v>
      </c>
      <c r="I504" s="11" t="s">
        <v>1057</v>
      </c>
      <c r="J504" s="51" t="s">
        <v>1057</v>
      </c>
      <c r="K504" s="249">
        <f>IFERROR(VLOOKUP(C504,Schedule!$T$3:$U$34,2,0),"FA")</f>
        <v>9</v>
      </c>
      <c r="L504" s="10" t="str">
        <f>D504&amp;COUNTIF(D$2:$D504,D504)</f>
        <v>TE156</v>
      </c>
      <c r="M504" s="51">
        <f t="array" ref="M504">IFERROR(F504-AVERAGE(VLOOKUP(D504,$D505:$F$885,3,0),INDEX($F505:$F$885,SMALL(IF(D504=$D505:$D$885,ROW($D505:$D$885)-ROW(D504)),2))),0)</f>
        <v>0</v>
      </c>
      <c r="N504" s="51">
        <f>IFERROR(IF(VLOOKUP($B504,Input!$AC$2:$AC$162,1,0)=$B504,0),F504)</f>
        <v>0</v>
      </c>
      <c r="O504" s="51">
        <f>IFERROR(IF(VLOOKUP($B504,Input!$AC$2:$AC$162,1,0)=$B504,0,G504),G504)</f>
        <v>0</v>
      </c>
      <c r="P504" s="51">
        <f>IF(N504=0,0,F504-AVERAGE(INDEX(F:F,MATCH(VLOOKUP(D504,Input!$A$14:$L$22,10,0),L:L,0)),INDEX(F:F,MATCH(VLOOKUP(D504,Input!$A$14:$L$22,11,0),L:L,0)),INDEX(F:F,MATCH(VLOOKUP(D504,Input!$A$14:$L$22,12,0),L:L,0)))+(0.01-ROW()*0.01))</f>
        <v>0</v>
      </c>
      <c r="Q504" s="107">
        <f t="shared" si="112"/>
        <v>0</v>
      </c>
      <c r="R504" s="11">
        <f>IF(VLOOKUP($D504,$X$14:$Y$19,2,0)&lt;=0,1,IF(Q504&lt;0,1,ROUNDUP(IF(Q504*('Draft Center'!$L$28+'Draft Center'!$L$78-'Draft Center'!$L$82)&lt;1,1,Q504*('Draft Center'!$L$28+'Draft Center'!$L$78-'Draft Center'!$L$82)),0)))</f>
        <v>1</v>
      </c>
      <c r="S504" s="11">
        <f>IF(A504&lt;Input!$B$10+0.1,IF(ROUNDUP(R504*Input!$C$10,0)=0,1,ROUNDUP(R504*Input!$C$10,0)),IF(A504&gt;Input!$B$11,IF(ROUNDUP(R504*Input!$C$11,0)=0,1,ROUNDUP(R504*Input!$C$11,0)),IF(ROUNDUP(R504,0)=0,1,ROUNDUP(R504,0))))</f>
        <v>1</v>
      </c>
      <c r="T504" s="11">
        <f t="shared" si="113"/>
        <v>1</v>
      </c>
      <c r="U504" s="11">
        <f>IFERROR(VLOOKUP($B504,Input!$AC$2:$AE$161,3,0),0)</f>
        <v>0</v>
      </c>
      <c r="V504" s="257">
        <f t="shared" si="114"/>
        <v>0</v>
      </c>
      <c r="W504" s="264">
        <f t="shared" si="115"/>
        <v>0</v>
      </c>
      <c r="X504" s="68"/>
      <c r="Y504" s="68"/>
      <c r="Z504" s="68"/>
      <c r="AA504" s="68"/>
      <c r="AB504" s="68"/>
      <c r="AC504" s="68"/>
      <c r="AD504" s="68"/>
      <c r="AE504" s="68"/>
      <c r="AF504" s="68"/>
      <c r="AG504" s="68"/>
      <c r="AH504" s="68"/>
      <c r="AI504" s="68"/>
      <c r="AJ504" s="68">
        <v>1</v>
      </c>
      <c r="AL504" s="68">
        <v>1</v>
      </c>
      <c r="AM504" s="68"/>
      <c r="AN504" s="68"/>
      <c r="AO504" s="68"/>
      <c r="AQ504" s="68"/>
      <c r="AR504" s="68"/>
      <c r="AS504" s="68"/>
      <c r="AT504" s="68"/>
      <c r="AU504" s="68"/>
      <c r="AV504" s="68"/>
      <c r="AW504" s="68"/>
      <c r="AX504" s="68"/>
      <c r="AY504" s="68"/>
      <c r="AZ504" s="68"/>
      <c r="BB504" s="68"/>
      <c r="BC504" s="68"/>
      <c r="BJ504" s="68"/>
      <c r="BT504">
        <v>1</v>
      </c>
      <c r="BV504">
        <v>1</v>
      </c>
      <c r="BX504" s="68"/>
      <c r="BY504" s="68">
        <v>1</v>
      </c>
      <c r="BZ504" s="68" t="s">
        <v>1057</v>
      </c>
      <c r="CA504" s="68" t="s">
        <v>1057</v>
      </c>
      <c r="CB504" s="68" t="s">
        <v>1057</v>
      </c>
      <c r="CC504" s="68" t="e">
        <f t="shared" si="116"/>
        <v>#DIV/0!</v>
      </c>
      <c r="CD504" s="68" t="str">
        <f t="shared" si="117"/>
        <v>NA</v>
      </c>
    </row>
    <row r="505" spans="1:82" ht="15.75" customHeight="1" thickBot="1" x14ac:dyDescent="0.3">
      <c r="A505" s="6">
        <v>504</v>
      </c>
      <c r="B505" s="7" t="s">
        <v>467</v>
      </c>
      <c r="C505" s="7" t="s">
        <v>42</v>
      </c>
      <c r="D505" s="7" t="s">
        <v>43</v>
      </c>
      <c r="E505" s="50">
        <v>-153.460919352209</v>
      </c>
      <c r="F505" s="50">
        <v>0</v>
      </c>
      <c r="G505" s="50">
        <v>0</v>
      </c>
      <c r="H505" s="50">
        <v>0</v>
      </c>
      <c r="I505" s="8">
        <v>0</v>
      </c>
      <c r="J505" s="50" t="s">
        <v>1057</v>
      </c>
      <c r="K505" s="248">
        <f>IFERROR(VLOOKUP(C505,Schedule!$T$3:$U$34,2,0),"FA")</f>
        <v>9</v>
      </c>
      <c r="L505" s="7" t="str">
        <f>D505&amp;COUNTIF(D$2:$D505,D505)</f>
        <v>TE157</v>
      </c>
      <c r="M505" s="50">
        <f t="array" ref="M505">IFERROR(F505-AVERAGE(VLOOKUP(D505,$D506:$F$885,3,0),INDEX($F506:$F$885,SMALL(IF(D505=$D506:$D$885,ROW($D506:$D$885)-ROW(D505)),2))),0)</f>
        <v>0</v>
      </c>
      <c r="N505" s="50">
        <f>IFERROR(IF(VLOOKUP($B505,Input!$AC$2:$AC$162,1,0)=$B505,0),F505)</f>
        <v>0</v>
      </c>
      <c r="O505" s="50">
        <f>IFERROR(IF(VLOOKUP($B505,Input!$AC$2:$AC$162,1,0)=$B505,0,G505),G505)</f>
        <v>0</v>
      </c>
      <c r="P505" s="50">
        <f>IF(N505=0,0,F505-AVERAGE(INDEX(F:F,MATCH(VLOOKUP(D505,Input!$A$14:$L$22,10,0),L:L,0)),INDEX(F:F,MATCH(VLOOKUP(D505,Input!$A$14:$L$22,11,0),L:L,0)),INDEX(F:F,MATCH(VLOOKUP(D505,Input!$A$14:$L$22,12,0),L:L,0)))+(0.01-ROW()*0.01))</f>
        <v>0</v>
      </c>
      <c r="Q505" s="106">
        <f t="shared" si="112"/>
        <v>0</v>
      </c>
      <c r="R505" s="8">
        <f>IF(VLOOKUP($D505,$X$14:$Y$19,2,0)&lt;=0,1,IF(Q505&lt;0,1,ROUNDUP(IF(Q505*('Draft Center'!$L$28+'Draft Center'!$L$78-'Draft Center'!$L$82)&lt;1,1,Q505*('Draft Center'!$L$28+'Draft Center'!$L$78-'Draft Center'!$L$82)),0)))</f>
        <v>1</v>
      </c>
      <c r="S505" s="8">
        <f>IF(A505&lt;Input!$B$10+0.1,IF(ROUNDUP(R505*Input!$C$10,0)=0,1,ROUNDUP(R505*Input!$C$10,0)),IF(A505&gt;Input!$B$11,IF(ROUNDUP(R505*Input!$C$11,0)=0,1,ROUNDUP(R505*Input!$C$11,0)),IF(ROUNDUP(R505,0)=0,1,ROUNDUP(R505,0))))</f>
        <v>1</v>
      </c>
      <c r="T505" s="8">
        <f t="shared" si="113"/>
        <v>1</v>
      </c>
      <c r="U505" s="8">
        <f>IFERROR(VLOOKUP($B505,Input!$AC$2:$AE$161,3,0),0)</f>
        <v>0</v>
      </c>
      <c r="V505" s="256">
        <f t="shared" si="114"/>
        <v>0</v>
      </c>
      <c r="W505" s="263">
        <f t="shared" si="115"/>
        <v>1.00505</v>
      </c>
      <c r="X505" s="68"/>
      <c r="Y505" s="68"/>
      <c r="Z505" s="68"/>
      <c r="AA505" s="68"/>
      <c r="AB505" s="68"/>
      <c r="AC505" s="68"/>
      <c r="AD505" s="68"/>
      <c r="AE505" s="68"/>
      <c r="AF505" s="68"/>
      <c r="AG505" s="68"/>
      <c r="AH505" s="68"/>
      <c r="AI505" s="68"/>
      <c r="AJ505" s="68">
        <v>1</v>
      </c>
      <c r="AL505" s="68">
        <v>1</v>
      </c>
      <c r="AM505" s="68"/>
      <c r="AN505" s="68"/>
      <c r="AO505" s="68"/>
      <c r="AQ505" s="68"/>
      <c r="AR505" s="68"/>
      <c r="AS505" s="68"/>
      <c r="AT505" s="68"/>
      <c r="AU505" s="68"/>
      <c r="AV505" s="68"/>
      <c r="AW505" s="68"/>
      <c r="AX505" s="68"/>
      <c r="AY505" s="68"/>
      <c r="AZ505" s="68"/>
      <c r="BB505" s="68"/>
      <c r="BC505" s="68"/>
      <c r="BJ505" s="68"/>
      <c r="BT505">
        <v>1</v>
      </c>
      <c r="BV505">
        <v>1</v>
      </c>
      <c r="BX505" s="68"/>
      <c r="BY505" s="68">
        <v>1</v>
      </c>
      <c r="BZ505" s="68">
        <v>0</v>
      </c>
      <c r="CA505" s="68">
        <v>0</v>
      </c>
      <c r="CB505" s="68">
        <v>0</v>
      </c>
      <c r="CC505" s="68">
        <f t="shared" si="116"/>
        <v>0</v>
      </c>
      <c r="CD505" s="68">
        <f t="shared" si="117"/>
        <v>0</v>
      </c>
    </row>
    <row r="506" spans="1:82" ht="15.75" customHeight="1" thickBot="1" x14ac:dyDescent="0.3">
      <c r="A506" s="9">
        <v>505</v>
      </c>
      <c r="B506" s="10" t="s">
        <v>805</v>
      </c>
      <c r="C506" s="10" t="s">
        <v>61</v>
      </c>
      <c r="D506" s="10" t="s">
        <v>43</v>
      </c>
      <c r="E506" s="51">
        <v>-153.460919352209</v>
      </c>
      <c r="F506" s="51">
        <v>0</v>
      </c>
      <c r="G506" s="51">
        <v>0</v>
      </c>
      <c r="H506" s="51">
        <v>0</v>
      </c>
      <c r="I506" s="11" t="s">
        <v>1057</v>
      </c>
      <c r="J506" s="51" t="s">
        <v>1057</v>
      </c>
      <c r="K506" s="249">
        <f>IFERROR(VLOOKUP(C506,Schedule!$T$3:$U$34,2,0),"FA")</f>
        <v>5</v>
      </c>
      <c r="L506" s="10" t="str">
        <f>D506&amp;COUNTIF(D$2:$D506,D506)</f>
        <v>TE158</v>
      </c>
      <c r="M506" s="51">
        <f t="array" ref="M506">IFERROR(F506-AVERAGE(VLOOKUP(D506,$D507:$F$885,3,0),INDEX($F507:$F$885,SMALL(IF(D506=$D507:$D$885,ROW($D507:$D$885)-ROW(D506)),2))),0)</f>
        <v>0</v>
      </c>
      <c r="N506" s="51">
        <f>IFERROR(IF(VLOOKUP($B506,Input!$AC$2:$AC$162,1,0)=$B506,0),F506)</f>
        <v>0</v>
      </c>
      <c r="O506" s="51">
        <f>IFERROR(IF(VLOOKUP($B506,Input!$AC$2:$AC$162,1,0)=$B506,0,G506),G506)</f>
        <v>0</v>
      </c>
      <c r="P506" s="51">
        <f>IF(N506=0,0,F506-AVERAGE(INDEX(F:F,MATCH(VLOOKUP(D506,Input!$A$14:$L$22,10,0),L:L,0)),INDEX(F:F,MATCH(VLOOKUP(D506,Input!$A$14:$L$22,11,0),L:L,0)),INDEX(F:F,MATCH(VLOOKUP(D506,Input!$A$14:$L$22,12,0),L:L,0)))+(0.01-ROW()*0.01))</f>
        <v>0</v>
      </c>
      <c r="Q506" s="107">
        <f t="shared" si="112"/>
        <v>0</v>
      </c>
      <c r="R506" s="11">
        <f>IF(VLOOKUP($D506,$X$14:$Y$19,2,0)&lt;=0,1,IF(Q506&lt;0,1,ROUNDUP(IF(Q506*('Draft Center'!$L$28+'Draft Center'!$L$78-'Draft Center'!$L$82)&lt;1,1,Q506*('Draft Center'!$L$28+'Draft Center'!$L$78-'Draft Center'!$L$82)),0)))</f>
        <v>1</v>
      </c>
      <c r="S506" s="11">
        <f>IF(A506&lt;Input!$B$10+0.1,IF(ROUNDUP(R506*Input!$C$10,0)=0,1,ROUNDUP(R506*Input!$C$10,0)),IF(A506&gt;Input!$B$11,IF(ROUNDUP(R506*Input!$C$11,0)=0,1,ROUNDUP(R506*Input!$C$11,0)),IF(ROUNDUP(R506,0)=0,1,ROUNDUP(R506,0))))</f>
        <v>1</v>
      </c>
      <c r="T506" s="11">
        <f t="shared" si="113"/>
        <v>1</v>
      </c>
      <c r="U506" s="11">
        <f>IFERROR(VLOOKUP($B506,Input!$AC$2:$AE$161,3,0),0)</f>
        <v>0</v>
      </c>
      <c r="V506" s="257">
        <f t="shared" si="114"/>
        <v>0</v>
      </c>
      <c r="W506" s="264">
        <f t="shared" si="115"/>
        <v>0</v>
      </c>
      <c r="X506" s="68"/>
      <c r="Y506" s="68"/>
      <c r="Z506" s="68"/>
      <c r="AA506" s="68"/>
      <c r="AB506" s="68"/>
      <c r="AC506" s="68"/>
      <c r="AD506" s="68"/>
      <c r="AE506" s="68"/>
      <c r="AF506" s="68"/>
      <c r="AG506" s="68"/>
      <c r="AH506" s="68"/>
      <c r="AI506" s="68"/>
      <c r="AJ506" s="68">
        <v>1</v>
      </c>
      <c r="AL506" s="68">
        <v>1</v>
      </c>
      <c r="AM506" s="68"/>
      <c r="AN506" s="68"/>
      <c r="AO506" s="68"/>
      <c r="AQ506" s="68"/>
      <c r="AR506" s="68"/>
      <c r="AS506" s="68"/>
      <c r="AT506" s="68"/>
      <c r="AU506" s="68"/>
      <c r="AV506" s="68"/>
      <c r="AW506" s="68"/>
      <c r="AX506" s="68"/>
      <c r="AY506" s="68"/>
      <c r="AZ506" s="68"/>
      <c r="BB506" s="68"/>
      <c r="BC506" s="68"/>
      <c r="BJ506" s="68"/>
      <c r="BT506">
        <v>1</v>
      </c>
      <c r="BV506">
        <v>1</v>
      </c>
      <c r="BX506" s="68"/>
      <c r="BY506" s="68">
        <v>1</v>
      </c>
      <c r="BZ506" s="68" t="s">
        <v>1057</v>
      </c>
      <c r="CA506" s="68" t="s">
        <v>1057</v>
      </c>
      <c r="CB506" s="68" t="s">
        <v>1057</v>
      </c>
      <c r="CC506" s="68" t="e">
        <f t="shared" si="116"/>
        <v>#DIV/0!</v>
      </c>
      <c r="CD506" s="68" t="str">
        <f t="shared" si="117"/>
        <v>NA</v>
      </c>
    </row>
    <row r="507" spans="1:82" ht="15.75" customHeight="1" thickBot="1" x14ac:dyDescent="0.3">
      <c r="A507" s="6">
        <v>506</v>
      </c>
      <c r="B507" s="7" t="s">
        <v>350</v>
      </c>
      <c r="C507" s="7" t="s">
        <v>27</v>
      </c>
      <c r="D507" s="7" t="s">
        <v>43</v>
      </c>
      <c r="E507" s="50">
        <v>-153.460919352209</v>
      </c>
      <c r="F507" s="50">
        <v>0</v>
      </c>
      <c r="G507" s="50">
        <v>0</v>
      </c>
      <c r="H507" s="50">
        <v>0</v>
      </c>
      <c r="I507" s="8">
        <v>0</v>
      </c>
      <c r="J507" s="50" t="s">
        <v>1057</v>
      </c>
      <c r="K507" s="248">
        <f>IFERROR(VLOOKUP(C507,Schedule!$T$3:$U$34,2,0),"FA")</f>
        <v>8</v>
      </c>
      <c r="L507" s="7" t="str">
        <f>D507&amp;COUNTIF(D$2:$D507,D507)</f>
        <v>TE159</v>
      </c>
      <c r="M507" s="50">
        <f t="array" ref="M507">IFERROR(F507-AVERAGE(VLOOKUP(D507,$D508:$F$885,3,0),INDEX($F508:$F$885,SMALL(IF(D507=$D508:$D$885,ROW($D508:$D$885)-ROW(D507)),2))),0)</f>
        <v>0</v>
      </c>
      <c r="N507" s="50">
        <f>IFERROR(IF(VLOOKUP($B507,Input!$AC$2:$AC$162,1,0)=$B507,0),F507)</f>
        <v>0</v>
      </c>
      <c r="O507" s="50">
        <f>IFERROR(IF(VLOOKUP($B507,Input!$AC$2:$AC$162,1,0)=$B507,0,G507),G507)</f>
        <v>0</v>
      </c>
      <c r="P507" s="50">
        <f>IF(N507=0,0,F507-AVERAGE(INDEX(F:F,MATCH(VLOOKUP(D507,Input!$A$14:$L$22,10,0),L:L,0)),INDEX(F:F,MATCH(VLOOKUP(D507,Input!$A$14:$L$22,11,0),L:L,0)),INDEX(F:F,MATCH(VLOOKUP(D507,Input!$A$14:$L$22,12,0),L:L,0)))+(0.01-ROW()*0.01))</f>
        <v>0</v>
      </c>
      <c r="Q507" s="106">
        <f t="shared" si="112"/>
        <v>0</v>
      </c>
      <c r="R507" s="8">
        <f>IF(VLOOKUP($D507,$X$14:$Y$19,2,0)&lt;=0,1,IF(Q507&lt;0,1,ROUNDUP(IF(Q507*('Draft Center'!$L$28+'Draft Center'!$L$78-'Draft Center'!$L$82)&lt;1,1,Q507*('Draft Center'!$L$28+'Draft Center'!$L$78-'Draft Center'!$L$82)),0)))</f>
        <v>1</v>
      </c>
      <c r="S507" s="8">
        <f>IF(A507&lt;Input!$B$10+0.1,IF(ROUNDUP(R507*Input!$C$10,0)=0,1,ROUNDUP(R507*Input!$C$10,0)),IF(A507&gt;Input!$B$11,IF(ROUNDUP(R507*Input!$C$11,0)=0,1,ROUNDUP(R507*Input!$C$11,0)),IF(ROUNDUP(R507,0)=0,1,ROUNDUP(R507,0))))</f>
        <v>1</v>
      </c>
      <c r="T507" s="8">
        <f t="shared" si="113"/>
        <v>1</v>
      </c>
      <c r="U507" s="8">
        <f>IFERROR(VLOOKUP($B507,Input!$AC$2:$AE$161,3,0),0)</f>
        <v>0</v>
      </c>
      <c r="V507" s="256">
        <f t="shared" si="114"/>
        <v>0</v>
      </c>
      <c r="W507" s="263">
        <f t="shared" si="115"/>
        <v>1.0050699999999999</v>
      </c>
      <c r="X507" s="68"/>
      <c r="Y507" s="68"/>
      <c r="Z507" s="68"/>
      <c r="AA507" s="68"/>
      <c r="AB507" s="68"/>
      <c r="AC507" s="68"/>
      <c r="AD507" s="68"/>
      <c r="AE507" s="68"/>
      <c r="AF507" s="68"/>
      <c r="AG507" s="68"/>
      <c r="AH507" s="68"/>
      <c r="AI507" s="68"/>
      <c r="AJ507" s="68">
        <v>1</v>
      </c>
      <c r="AL507" s="68">
        <v>1</v>
      </c>
      <c r="AM507" s="68"/>
      <c r="AN507" s="68"/>
      <c r="AO507" s="68"/>
      <c r="AQ507" s="68"/>
      <c r="AR507" s="68"/>
      <c r="AS507" s="68"/>
      <c r="AT507" s="68"/>
      <c r="AU507" s="68"/>
      <c r="AV507" s="68"/>
      <c r="AW507" s="68"/>
      <c r="AX507" s="68"/>
      <c r="AY507" s="68"/>
      <c r="AZ507" s="68"/>
      <c r="BB507" s="68"/>
      <c r="BC507" s="68"/>
      <c r="BJ507" s="68"/>
      <c r="BT507">
        <v>1</v>
      </c>
      <c r="BV507">
        <v>1</v>
      </c>
      <c r="BX507" s="68"/>
      <c r="BY507" s="68">
        <v>1</v>
      </c>
      <c r="BZ507" s="68">
        <v>0</v>
      </c>
      <c r="CA507" s="68">
        <v>0</v>
      </c>
      <c r="CB507" s="68">
        <v>0</v>
      </c>
      <c r="CC507" s="68">
        <f t="shared" si="116"/>
        <v>0</v>
      </c>
      <c r="CD507" s="68">
        <f t="shared" si="117"/>
        <v>0</v>
      </c>
    </row>
    <row r="508" spans="1:82" ht="15.75" customHeight="1" thickBot="1" x14ac:dyDescent="0.3">
      <c r="A508" s="9">
        <v>507</v>
      </c>
      <c r="B508" s="10" t="s">
        <v>443</v>
      </c>
      <c r="C508" s="10" t="s">
        <v>75</v>
      </c>
      <c r="D508" s="10" t="s">
        <v>43</v>
      </c>
      <c r="E508" s="51">
        <v>-153.460919352209</v>
      </c>
      <c r="F508" s="51">
        <v>0</v>
      </c>
      <c r="G508" s="51">
        <v>0</v>
      </c>
      <c r="H508" s="51">
        <v>0</v>
      </c>
      <c r="I508" s="11">
        <v>0</v>
      </c>
      <c r="J508" s="51" t="s">
        <v>1057</v>
      </c>
      <c r="K508" s="249">
        <f>IFERROR(VLOOKUP(C508,Schedule!$T$3:$U$34,2,0),"FA")</f>
        <v>10</v>
      </c>
      <c r="L508" s="10" t="str">
        <f>D508&amp;COUNTIF(D$2:$D508,D508)</f>
        <v>TE160</v>
      </c>
      <c r="M508" s="51">
        <f t="array" ref="M508">IFERROR(F508-AVERAGE(VLOOKUP(D508,$D509:$F$885,3,0),INDEX($F509:$F$885,SMALL(IF(D508=$D509:$D$885,ROW($D509:$D$885)-ROW(D508)),2))),0)</f>
        <v>0</v>
      </c>
      <c r="N508" s="51">
        <f>IFERROR(IF(VLOOKUP($B508,Input!$AC$2:$AC$162,1,0)=$B508,0),F508)</f>
        <v>0</v>
      </c>
      <c r="O508" s="51">
        <f>IFERROR(IF(VLOOKUP($B508,Input!$AC$2:$AC$162,1,0)=$B508,0,G508),G508)</f>
        <v>0</v>
      </c>
      <c r="P508" s="51">
        <f>IF(N508=0,0,F508-AVERAGE(INDEX(F:F,MATCH(VLOOKUP(D508,Input!$A$14:$L$22,10,0),L:L,0)),INDEX(F:F,MATCH(VLOOKUP(D508,Input!$A$14:$L$22,11,0),L:L,0)),INDEX(F:F,MATCH(VLOOKUP(D508,Input!$A$14:$L$22,12,0),L:L,0)))+(0.01-ROW()*0.01))</f>
        <v>0</v>
      </c>
      <c r="Q508" s="107">
        <f t="shared" si="112"/>
        <v>0</v>
      </c>
      <c r="R508" s="11">
        <f>IF(VLOOKUP($D508,$X$14:$Y$19,2,0)&lt;=0,1,IF(Q508&lt;0,1,ROUNDUP(IF(Q508*('Draft Center'!$L$28+'Draft Center'!$L$78-'Draft Center'!$L$82)&lt;1,1,Q508*('Draft Center'!$L$28+'Draft Center'!$L$78-'Draft Center'!$L$82)),0)))</f>
        <v>1</v>
      </c>
      <c r="S508" s="11">
        <f>IF(A508&lt;Input!$B$10+0.1,IF(ROUNDUP(R508*Input!$C$10,0)=0,1,ROUNDUP(R508*Input!$C$10,0)),IF(A508&gt;Input!$B$11,IF(ROUNDUP(R508*Input!$C$11,0)=0,1,ROUNDUP(R508*Input!$C$11,0)),IF(ROUNDUP(R508,0)=0,1,ROUNDUP(R508,0))))</f>
        <v>1</v>
      </c>
      <c r="T508" s="11">
        <f t="shared" si="113"/>
        <v>1</v>
      </c>
      <c r="U508" s="11">
        <f>IFERROR(VLOOKUP($B508,Input!$AC$2:$AE$161,3,0),0)</f>
        <v>0</v>
      </c>
      <c r="V508" s="257">
        <f t="shared" si="114"/>
        <v>0</v>
      </c>
      <c r="W508" s="264">
        <f t="shared" si="115"/>
        <v>1.00508</v>
      </c>
      <c r="X508" s="68"/>
      <c r="Y508" s="68"/>
      <c r="Z508" s="68"/>
      <c r="AA508" s="68"/>
      <c r="AB508" s="68"/>
      <c r="AC508" s="68"/>
      <c r="AD508" s="68"/>
      <c r="AE508" s="68"/>
      <c r="AF508" s="68"/>
      <c r="AG508" s="68"/>
      <c r="AH508" s="68"/>
      <c r="AI508" s="68"/>
      <c r="AJ508" s="68">
        <v>1</v>
      </c>
      <c r="AL508" s="68">
        <v>1</v>
      </c>
      <c r="AM508" s="68"/>
      <c r="AN508" s="68"/>
      <c r="AO508" s="68"/>
      <c r="AQ508" s="68"/>
      <c r="AR508" s="68"/>
      <c r="AS508" s="68"/>
      <c r="AT508" s="68"/>
      <c r="AU508" s="68"/>
      <c r="AV508" s="68"/>
      <c r="AW508" s="68"/>
      <c r="AX508" s="68"/>
      <c r="AY508" s="68"/>
      <c r="AZ508" s="68"/>
      <c r="BB508" s="68"/>
      <c r="BC508" s="68"/>
      <c r="BJ508" s="68"/>
      <c r="BT508">
        <v>1</v>
      </c>
      <c r="BV508">
        <v>1</v>
      </c>
      <c r="BX508" s="68"/>
      <c r="BY508" s="68">
        <v>1</v>
      </c>
      <c r="BZ508" s="68">
        <v>0</v>
      </c>
      <c r="CA508" s="68">
        <v>0</v>
      </c>
      <c r="CB508" s="68">
        <v>0</v>
      </c>
      <c r="CC508" s="68">
        <f t="shared" si="116"/>
        <v>0</v>
      </c>
      <c r="CD508" s="68">
        <f t="shared" si="117"/>
        <v>0</v>
      </c>
    </row>
    <row r="509" spans="1:82" ht="15.75" customHeight="1" thickBot="1" x14ac:dyDescent="0.3">
      <c r="A509" s="6">
        <v>508</v>
      </c>
      <c r="B509" s="7" t="s">
        <v>1086</v>
      </c>
      <c r="C509" s="7" t="s">
        <v>75</v>
      </c>
      <c r="D509" s="7" t="s">
        <v>43</v>
      </c>
      <c r="E509" s="50">
        <v>-153.460919352209</v>
      </c>
      <c r="F509" s="50">
        <v>0</v>
      </c>
      <c r="G509" s="50">
        <v>0</v>
      </c>
      <c r="H509" s="50">
        <v>0</v>
      </c>
      <c r="I509" s="8" t="s">
        <v>1057</v>
      </c>
      <c r="J509" s="50" t="s">
        <v>1057</v>
      </c>
      <c r="K509" s="248">
        <f>IFERROR(VLOOKUP(C509,Schedule!$T$3:$U$34,2,0),"FA")</f>
        <v>10</v>
      </c>
      <c r="L509" s="7" t="str">
        <f>D509&amp;COUNTIF(D$2:$D509,D509)</f>
        <v>TE161</v>
      </c>
      <c r="M509" s="50">
        <f t="array" ref="M509">IFERROR(F509-AVERAGE(VLOOKUP(D509,$D510:$F$885,3,0),INDEX($F510:$F$885,SMALL(IF(D509=$D510:$D$885,ROW($D510:$D$885)-ROW(D509)),2))),0)</f>
        <v>0</v>
      </c>
      <c r="N509" s="50">
        <f>IFERROR(IF(VLOOKUP($B509,Input!$AC$2:$AC$162,1,0)=$B509,0),F509)</f>
        <v>0</v>
      </c>
      <c r="O509" s="50">
        <f>IFERROR(IF(VLOOKUP($B509,Input!$AC$2:$AC$162,1,0)=$B509,0,G509),G509)</f>
        <v>0</v>
      </c>
      <c r="P509" s="50">
        <f>IF(N509=0,0,F509-AVERAGE(INDEX(F:F,MATCH(VLOOKUP(D509,Input!$A$14:$L$22,10,0),L:L,0)),INDEX(F:F,MATCH(VLOOKUP(D509,Input!$A$14:$L$22,11,0),L:L,0)),INDEX(F:F,MATCH(VLOOKUP(D509,Input!$A$14:$L$22,12,0),L:L,0)))+(0.01-ROW()*0.01))</f>
        <v>0</v>
      </c>
      <c r="Q509" s="106">
        <f t="shared" si="112"/>
        <v>0</v>
      </c>
      <c r="R509" s="8">
        <f>IF(VLOOKUP($D509,$X$14:$Y$19,2,0)&lt;=0,1,IF(Q509&lt;0,1,ROUNDUP(IF(Q509*('Draft Center'!$L$28+'Draft Center'!$L$78-'Draft Center'!$L$82)&lt;1,1,Q509*('Draft Center'!$L$28+'Draft Center'!$L$78-'Draft Center'!$L$82)),0)))</f>
        <v>1</v>
      </c>
      <c r="S509" s="8">
        <f>IF(A509&lt;Input!$B$10+0.1,IF(ROUNDUP(R509*Input!$C$10,0)=0,1,ROUNDUP(R509*Input!$C$10,0)),IF(A509&gt;Input!$B$11,IF(ROUNDUP(R509*Input!$C$11,0)=0,1,ROUNDUP(R509*Input!$C$11,0)),IF(ROUNDUP(R509,0)=0,1,ROUNDUP(R509,0))))</f>
        <v>1</v>
      </c>
      <c r="T509" s="8">
        <f t="shared" si="113"/>
        <v>1</v>
      </c>
      <c r="U509" s="8">
        <f>IFERROR(VLOOKUP($B509,Input!$AC$2:$AE$161,3,0),0)</f>
        <v>0</v>
      </c>
      <c r="V509" s="256">
        <f t="shared" si="114"/>
        <v>0</v>
      </c>
      <c r="W509" s="263">
        <f t="shared" si="115"/>
        <v>0</v>
      </c>
      <c r="X509" s="68"/>
      <c r="Y509" s="68"/>
      <c r="Z509" s="68"/>
      <c r="AA509" s="68"/>
      <c r="AB509" s="68"/>
      <c r="AC509" s="68"/>
      <c r="AD509" s="68"/>
      <c r="AE509" s="68"/>
      <c r="AF509" s="68"/>
      <c r="AG509" s="68"/>
      <c r="AH509" s="68"/>
      <c r="AI509" s="68"/>
      <c r="AJ509" s="68">
        <v>1</v>
      </c>
      <c r="AL509" s="68">
        <v>1</v>
      </c>
      <c r="AM509" s="68"/>
      <c r="AN509" s="68"/>
      <c r="AO509" s="68"/>
      <c r="AQ509" s="68"/>
      <c r="AR509" s="68"/>
      <c r="AS509" s="68"/>
      <c r="AT509" s="68"/>
      <c r="AU509" s="68"/>
      <c r="AV509" s="68"/>
      <c r="AW509" s="68"/>
      <c r="AX509" s="68"/>
      <c r="AY509" s="68"/>
      <c r="AZ509" s="68"/>
      <c r="BB509" s="68"/>
      <c r="BC509" s="68"/>
      <c r="BJ509" s="68"/>
      <c r="BT509">
        <v>1</v>
      </c>
      <c r="BV509">
        <v>1</v>
      </c>
      <c r="BX509" s="68"/>
      <c r="BY509" s="68">
        <v>1</v>
      </c>
      <c r="BZ509" s="68" t="s">
        <v>1057</v>
      </c>
      <c r="CA509" s="68" t="s">
        <v>1057</v>
      </c>
      <c r="CB509" s="68" t="s">
        <v>1057</v>
      </c>
      <c r="CC509" s="68" t="e">
        <f t="shared" si="116"/>
        <v>#DIV/0!</v>
      </c>
      <c r="CD509" s="68" t="str">
        <f t="shared" si="117"/>
        <v>NA</v>
      </c>
    </row>
    <row r="510" spans="1:82" ht="15.75" customHeight="1" thickBot="1" x14ac:dyDescent="0.3">
      <c r="A510" s="9">
        <v>509</v>
      </c>
      <c r="B510" s="10" t="s">
        <v>1087</v>
      </c>
      <c r="C510" s="10" t="s">
        <v>75</v>
      </c>
      <c r="D510" s="10" t="s">
        <v>43</v>
      </c>
      <c r="E510" s="51">
        <v>-153.460919352209</v>
      </c>
      <c r="F510" s="51">
        <v>0</v>
      </c>
      <c r="G510" s="51">
        <v>0</v>
      </c>
      <c r="H510" s="51">
        <v>0</v>
      </c>
      <c r="I510" s="11" t="s">
        <v>1057</v>
      </c>
      <c r="J510" s="51" t="s">
        <v>1057</v>
      </c>
      <c r="K510" s="249">
        <f>IFERROR(VLOOKUP(C510,Schedule!$T$3:$U$34,2,0),"FA")</f>
        <v>10</v>
      </c>
      <c r="L510" s="10" t="str">
        <f>D510&amp;COUNTIF(D$2:$D510,D510)</f>
        <v>TE162</v>
      </c>
      <c r="M510" s="51">
        <f t="array" ref="M510">IFERROR(F510-AVERAGE(VLOOKUP(D510,$D511:$F$885,3,0),INDEX($F511:$F$885,SMALL(IF(D510=$D511:$D$885,ROW($D511:$D$885)-ROW(D510)),2))),0)</f>
        <v>0</v>
      </c>
      <c r="N510" s="51">
        <f>IFERROR(IF(VLOOKUP($B510,Input!$AC$2:$AC$162,1,0)=$B510,0),F510)</f>
        <v>0</v>
      </c>
      <c r="O510" s="51">
        <f>IFERROR(IF(VLOOKUP($B510,Input!$AC$2:$AC$162,1,0)=$B510,0,G510),G510)</f>
        <v>0</v>
      </c>
      <c r="P510" s="51">
        <f>IF(N510=0,0,F510-AVERAGE(INDEX(F:F,MATCH(VLOOKUP(D510,Input!$A$14:$L$22,10,0),L:L,0)),INDEX(F:F,MATCH(VLOOKUP(D510,Input!$A$14:$L$22,11,0),L:L,0)),INDEX(F:F,MATCH(VLOOKUP(D510,Input!$A$14:$L$22,12,0),L:L,0)))+(0.01-ROW()*0.01))</f>
        <v>0</v>
      </c>
      <c r="Q510" s="107">
        <f t="shared" si="112"/>
        <v>0</v>
      </c>
      <c r="R510" s="11">
        <f>IF(VLOOKUP($D510,$X$14:$Y$19,2,0)&lt;=0,1,IF(Q510&lt;0,1,ROUNDUP(IF(Q510*('Draft Center'!$L$28+'Draft Center'!$L$78-'Draft Center'!$L$82)&lt;1,1,Q510*('Draft Center'!$L$28+'Draft Center'!$L$78-'Draft Center'!$L$82)),0)))</f>
        <v>1</v>
      </c>
      <c r="S510" s="11">
        <f>IF(A510&lt;Input!$B$10+0.1,IF(ROUNDUP(R510*Input!$C$10,0)=0,1,ROUNDUP(R510*Input!$C$10,0)),IF(A510&gt;Input!$B$11,IF(ROUNDUP(R510*Input!$C$11,0)=0,1,ROUNDUP(R510*Input!$C$11,0)),IF(ROUNDUP(R510,0)=0,1,ROUNDUP(R510,0))))</f>
        <v>1</v>
      </c>
      <c r="T510" s="11">
        <f t="shared" si="113"/>
        <v>1</v>
      </c>
      <c r="U510" s="11">
        <f>IFERROR(VLOOKUP($B510,Input!$AC$2:$AE$161,3,0),0)</f>
        <v>0</v>
      </c>
      <c r="V510" s="257">
        <f t="shared" si="114"/>
        <v>0</v>
      </c>
      <c r="W510" s="264">
        <f t="shared" si="115"/>
        <v>0</v>
      </c>
      <c r="X510" s="68"/>
      <c r="Y510" s="68"/>
      <c r="Z510" s="68"/>
      <c r="AA510" s="68"/>
      <c r="AB510" s="68"/>
      <c r="AC510" s="68"/>
      <c r="AD510" s="68"/>
      <c r="AE510" s="68"/>
      <c r="AF510" s="68"/>
      <c r="AG510" s="68"/>
      <c r="AH510" s="68"/>
      <c r="AI510" s="68"/>
      <c r="AJ510" s="68">
        <v>1</v>
      </c>
      <c r="AL510" s="68">
        <v>1</v>
      </c>
      <c r="AM510" s="68"/>
      <c r="AN510" s="68"/>
      <c r="AO510" s="68"/>
      <c r="AQ510" s="68"/>
      <c r="AR510" s="68"/>
      <c r="AS510" s="68"/>
      <c r="AT510" s="68"/>
      <c r="AU510" s="68"/>
      <c r="AV510" s="68"/>
      <c r="AW510" s="68"/>
      <c r="AX510" s="68"/>
      <c r="AY510" s="68"/>
      <c r="AZ510" s="68"/>
      <c r="BB510" s="68"/>
      <c r="BC510" s="68"/>
      <c r="BJ510" s="68"/>
      <c r="BT510">
        <v>1</v>
      </c>
      <c r="BV510">
        <v>1</v>
      </c>
      <c r="BX510" s="68"/>
      <c r="BY510" s="68">
        <v>1</v>
      </c>
      <c r="BZ510" s="68" t="s">
        <v>1057</v>
      </c>
      <c r="CA510" s="68" t="s">
        <v>1057</v>
      </c>
      <c r="CB510" s="68" t="s">
        <v>1057</v>
      </c>
      <c r="CC510" s="68" t="e">
        <f t="shared" si="116"/>
        <v>#DIV/0!</v>
      </c>
      <c r="CD510" s="68" t="str">
        <f t="shared" si="117"/>
        <v>NA</v>
      </c>
    </row>
    <row r="511" spans="1:82" ht="15.75" customHeight="1" thickBot="1" x14ac:dyDescent="0.3">
      <c r="A511" s="6">
        <v>510</v>
      </c>
      <c r="B511" s="7" t="s">
        <v>1088</v>
      </c>
      <c r="C511" s="7" t="s">
        <v>75</v>
      </c>
      <c r="D511" s="7" t="s">
        <v>43</v>
      </c>
      <c r="E511" s="50">
        <v>-153.460919352209</v>
      </c>
      <c r="F511" s="50">
        <v>0</v>
      </c>
      <c r="G511" s="50">
        <v>0</v>
      </c>
      <c r="H511" s="50">
        <v>0</v>
      </c>
      <c r="I511" s="8" t="s">
        <v>1057</v>
      </c>
      <c r="J511" s="50" t="s">
        <v>1057</v>
      </c>
      <c r="K511" s="248">
        <f>IFERROR(VLOOKUP(C511,Schedule!$T$3:$U$34,2,0),"FA")</f>
        <v>10</v>
      </c>
      <c r="L511" s="7" t="str">
        <f>D511&amp;COUNTIF(D$2:$D511,D511)</f>
        <v>TE163</v>
      </c>
      <c r="M511" s="50">
        <f t="array" ref="M511">IFERROR(F511-AVERAGE(VLOOKUP(D511,$D512:$F$885,3,0),INDEX($F512:$F$885,SMALL(IF(D511=$D512:$D$885,ROW($D512:$D$885)-ROW(D511)),2))),0)</f>
        <v>0</v>
      </c>
      <c r="N511" s="50">
        <f>IFERROR(IF(VLOOKUP($B511,Input!$AC$2:$AC$162,1,0)=$B511,0),F511)</f>
        <v>0</v>
      </c>
      <c r="O511" s="50">
        <f>IFERROR(IF(VLOOKUP($B511,Input!$AC$2:$AC$162,1,0)=$B511,0,G511),G511)</f>
        <v>0</v>
      </c>
      <c r="P511" s="50">
        <f>IF(N511=0,0,F511-AVERAGE(INDEX(F:F,MATCH(VLOOKUP(D511,Input!$A$14:$L$22,10,0),L:L,0)),INDEX(F:F,MATCH(VLOOKUP(D511,Input!$A$14:$L$22,11,0),L:L,0)),INDEX(F:F,MATCH(VLOOKUP(D511,Input!$A$14:$L$22,12,0),L:L,0)))+(0.01-ROW()*0.01))</f>
        <v>0</v>
      </c>
      <c r="Q511" s="106">
        <f t="shared" si="112"/>
        <v>0</v>
      </c>
      <c r="R511" s="8">
        <f>IF(VLOOKUP($D511,$X$14:$Y$19,2,0)&lt;=0,1,IF(Q511&lt;0,1,ROUNDUP(IF(Q511*('Draft Center'!$L$28+'Draft Center'!$L$78-'Draft Center'!$L$82)&lt;1,1,Q511*('Draft Center'!$L$28+'Draft Center'!$L$78-'Draft Center'!$L$82)),0)))</f>
        <v>1</v>
      </c>
      <c r="S511" s="8">
        <f>IF(A511&lt;Input!$B$10+0.1,IF(ROUNDUP(R511*Input!$C$10,0)=0,1,ROUNDUP(R511*Input!$C$10,0)),IF(A511&gt;Input!$B$11,IF(ROUNDUP(R511*Input!$C$11,0)=0,1,ROUNDUP(R511*Input!$C$11,0)),IF(ROUNDUP(R511,0)=0,1,ROUNDUP(R511,0))))</f>
        <v>1</v>
      </c>
      <c r="T511" s="8">
        <f t="shared" si="113"/>
        <v>1</v>
      </c>
      <c r="U511" s="8">
        <f>IFERROR(VLOOKUP($B511,Input!$AC$2:$AE$161,3,0),0)</f>
        <v>0</v>
      </c>
      <c r="V511" s="256">
        <f t="shared" si="114"/>
        <v>0</v>
      </c>
      <c r="W511" s="263">
        <f t="shared" si="115"/>
        <v>0</v>
      </c>
      <c r="X511" s="68"/>
      <c r="Y511" s="68"/>
      <c r="Z511" s="68"/>
      <c r="AA511" s="68"/>
      <c r="AB511" s="68"/>
      <c r="AC511" s="68"/>
      <c r="AD511" s="68"/>
      <c r="AE511" s="68"/>
      <c r="AF511" s="68"/>
      <c r="AG511" s="68"/>
      <c r="AH511" s="68"/>
      <c r="AI511" s="68"/>
      <c r="AJ511" s="68">
        <v>1</v>
      </c>
      <c r="AL511" s="68">
        <v>1</v>
      </c>
      <c r="AM511" s="68"/>
      <c r="AN511" s="68"/>
      <c r="AO511" s="68"/>
      <c r="AQ511" s="68"/>
      <c r="AR511" s="68"/>
      <c r="AS511" s="68"/>
      <c r="AT511" s="68"/>
      <c r="AU511" s="68"/>
      <c r="AV511" s="68"/>
      <c r="AW511" s="68"/>
      <c r="AX511" s="68"/>
      <c r="AY511" s="68"/>
      <c r="AZ511" s="68"/>
      <c r="BB511" s="68"/>
      <c r="BC511" s="68"/>
      <c r="BJ511" s="68"/>
      <c r="BT511">
        <v>1</v>
      </c>
      <c r="BV511">
        <v>1</v>
      </c>
      <c r="BX511" s="68"/>
      <c r="BY511" s="68">
        <v>1</v>
      </c>
      <c r="BZ511" s="68" t="s">
        <v>1057</v>
      </c>
      <c r="CA511" s="68" t="s">
        <v>1057</v>
      </c>
      <c r="CB511" s="68" t="s">
        <v>1057</v>
      </c>
      <c r="CC511" s="68" t="e">
        <f t="shared" si="116"/>
        <v>#DIV/0!</v>
      </c>
      <c r="CD511" s="68" t="str">
        <f t="shared" si="117"/>
        <v>NA</v>
      </c>
    </row>
    <row r="512" spans="1:82" ht="15.75" customHeight="1" thickBot="1" x14ac:dyDescent="0.3">
      <c r="A512" s="9">
        <v>511</v>
      </c>
      <c r="B512" s="10" t="s">
        <v>1089</v>
      </c>
      <c r="C512" s="10" t="s">
        <v>38</v>
      </c>
      <c r="D512" s="10" t="s">
        <v>43</v>
      </c>
      <c r="E512" s="51">
        <v>-153.460919352209</v>
      </c>
      <c r="F512" s="51">
        <v>0</v>
      </c>
      <c r="G512" s="51">
        <v>0</v>
      </c>
      <c r="H512" s="51">
        <v>0</v>
      </c>
      <c r="I512" s="11" t="s">
        <v>1057</v>
      </c>
      <c r="J512" s="51" t="s">
        <v>1057</v>
      </c>
      <c r="K512" s="249">
        <f>IFERROR(VLOOKUP(C512,Schedule!$T$3:$U$34,2,0),"FA")</f>
        <v>6</v>
      </c>
      <c r="L512" s="10" t="str">
        <f>D512&amp;COUNTIF(D$2:$D512,D512)</f>
        <v>TE164</v>
      </c>
      <c r="M512" s="51">
        <f t="array" ref="M512">IFERROR(F512-AVERAGE(VLOOKUP(D512,$D513:$F$885,3,0),INDEX($F513:$F$885,SMALL(IF(D512=$D513:$D$885,ROW($D513:$D$885)-ROW(D512)),2))),0)</f>
        <v>0</v>
      </c>
      <c r="N512" s="51">
        <f>IFERROR(IF(VLOOKUP($B512,Input!$AC$2:$AC$162,1,0)=$B512,0),F512)</f>
        <v>0</v>
      </c>
      <c r="O512" s="51">
        <f>IFERROR(IF(VLOOKUP($B512,Input!$AC$2:$AC$162,1,0)=$B512,0,G512),G512)</f>
        <v>0</v>
      </c>
      <c r="P512" s="51">
        <f>IF(N512=0,0,F512-AVERAGE(INDEX(F:F,MATCH(VLOOKUP(D512,Input!$A$14:$L$22,10,0),L:L,0)),INDEX(F:F,MATCH(VLOOKUP(D512,Input!$A$14:$L$22,11,0),L:L,0)),INDEX(F:F,MATCH(VLOOKUP(D512,Input!$A$14:$L$22,12,0),L:L,0)))+(0.01-ROW()*0.01))</f>
        <v>0</v>
      </c>
      <c r="Q512" s="107">
        <f t="shared" si="112"/>
        <v>0</v>
      </c>
      <c r="R512" s="11">
        <f>IF(VLOOKUP($D512,$X$14:$Y$19,2,0)&lt;=0,1,IF(Q512&lt;0,1,ROUNDUP(IF(Q512*('Draft Center'!$L$28+'Draft Center'!$L$78-'Draft Center'!$L$82)&lt;1,1,Q512*('Draft Center'!$L$28+'Draft Center'!$L$78-'Draft Center'!$L$82)),0)))</f>
        <v>1</v>
      </c>
      <c r="S512" s="11">
        <f>IF(A512&lt;Input!$B$10+0.1,IF(ROUNDUP(R512*Input!$C$10,0)=0,1,ROUNDUP(R512*Input!$C$10,0)),IF(A512&gt;Input!$B$11,IF(ROUNDUP(R512*Input!$C$11,0)=0,1,ROUNDUP(R512*Input!$C$11,0)),IF(ROUNDUP(R512,0)=0,1,ROUNDUP(R512,0))))</f>
        <v>1</v>
      </c>
      <c r="T512" s="11">
        <f t="shared" si="113"/>
        <v>1</v>
      </c>
      <c r="U512" s="11">
        <f>IFERROR(VLOOKUP($B512,Input!$AC$2:$AE$161,3,0),0)</f>
        <v>0</v>
      </c>
      <c r="V512" s="257">
        <f t="shared" si="114"/>
        <v>0</v>
      </c>
      <c r="W512" s="264">
        <f t="shared" si="115"/>
        <v>0</v>
      </c>
      <c r="X512" s="68"/>
      <c r="Y512" s="68"/>
      <c r="Z512" s="68"/>
      <c r="AA512" s="68"/>
      <c r="AB512" s="68"/>
      <c r="AC512" s="68"/>
      <c r="AD512" s="68"/>
      <c r="AE512" s="68"/>
      <c r="AF512" s="68"/>
      <c r="AG512" s="68"/>
      <c r="AH512" s="68"/>
      <c r="AI512" s="68"/>
      <c r="AJ512" s="68">
        <v>1</v>
      </c>
      <c r="AL512" s="68">
        <v>1</v>
      </c>
      <c r="AM512" s="68"/>
      <c r="AN512" s="68"/>
      <c r="AO512" s="68"/>
      <c r="AQ512" s="68"/>
      <c r="AR512" s="68"/>
      <c r="AS512" s="68"/>
      <c r="AT512" s="68"/>
      <c r="AU512" s="68"/>
      <c r="AV512" s="68"/>
      <c r="AW512" s="68"/>
      <c r="AX512" s="68"/>
      <c r="AY512" s="68"/>
      <c r="AZ512" s="68"/>
      <c r="BB512" s="68"/>
      <c r="BC512" s="68"/>
      <c r="BJ512" s="68"/>
      <c r="BT512">
        <v>1</v>
      </c>
      <c r="BV512">
        <v>1</v>
      </c>
      <c r="BX512" s="68"/>
      <c r="BY512" s="68">
        <v>1</v>
      </c>
      <c r="BZ512" s="68" t="s">
        <v>1057</v>
      </c>
      <c r="CA512" s="68" t="s">
        <v>1057</v>
      </c>
      <c r="CB512" s="68" t="s">
        <v>1057</v>
      </c>
      <c r="CC512" s="68" t="e">
        <f t="shared" si="116"/>
        <v>#DIV/0!</v>
      </c>
      <c r="CD512" s="68" t="str">
        <f t="shared" si="117"/>
        <v>NA</v>
      </c>
    </row>
    <row r="513" spans="1:82" ht="15.75" customHeight="1" thickBot="1" x14ac:dyDescent="0.3">
      <c r="A513" s="6">
        <v>512</v>
      </c>
      <c r="B513" s="7" t="s">
        <v>1090</v>
      </c>
      <c r="C513" s="7" t="s">
        <v>80</v>
      </c>
      <c r="D513" s="7" t="s">
        <v>43</v>
      </c>
      <c r="E513" s="50">
        <v>-153.460919352209</v>
      </c>
      <c r="F513" s="50">
        <v>0</v>
      </c>
      <c r="G513" s="50">
        <v>0</v>
      </c>
      <c r="H513" s="50">
        <v>0</v>
      </c>
      <c r="I513" s="8" t="s">
        <v>1057</v>
      </c>
      <c r="J513" s="50" t="s">
        <v>1057</v>
      </c>
      <c r="K513" s="248">
        <f>IFERROR(VLOOKUP(C513,Schedule!$T$3:$U$34,2,0),"FA")</f>
        <v>11</v>
      </c>
      <c r="L513" s="7" t="str">
        <f>D513&amp;COUNTIF(D$2:$D513,D513)</f>
        <v>TE165</v>
      </c>
      <c r="M513" s="50">
        <f t="array" ref="M513">IFERROR(F513-AVERAGE(VLOOKUP(D513,$D514:$F$885,3,0),INDEX($F514:$F$885,SMALL(IF(D513=$D514:$D$885,ROW($D514:$D$885)-ROW(D513)),2))),0)</f>
        <v>0</v>
      </c>
      <c r="N513" s="50">
        <f>IFERROR(IF(VLOOKUP($B513,Input!$AC$2:$AC$162,1,0)=$B513,0),F513)</f>
        <v>0</v>
      </c>
      <c r="O513" s="50">
        <f>IFERROR(IF(VLOOKUP($B513,Input!$AC$2:$AC$162,1,0)=$B513,0,G513),G513)</f>
        <v>0</v>
      </c>
      <c r="P513" s="50">
        <f>IF(N513=0,0,F513-AVERAGE(INDEX(F:F,MATCH(VLOOKUP(D513,Input!$A$14:$L$22,10,0),L:L,0)),INDEX(F:F,MATCH(VLOOKUP(D513,Input!$A$14:$L$22,11,0),L:L,0)),INDEX(F:F,MATCH(VLOOKUP(D513,Input!$A$14:$L$22,12,0),L:L,0)))+(0.01-ROW()*0.01))</f>
        <v>0</v>
      </c>
      <c r="Q513" s="106">
        <f t="shared" si="112"/>
        <v>0</v>
      </c>
      <c r="R513" s="8">
        <f>IF(VLOOKUP($D513,$X$14:$Y$19,2,0)&lt;=0,1,IF(Q513&lt;0,1,ROUNDUP(IF(Q513*('Draft Center'!$L$28+'Draft Center'!$L$78-'Draft Center'!$L$82)&lt;1,1,Q513*('Draft Center'!$L$28+'Draft Center'!$L$78-'Draft Center'!$L$82)),0)))</f>
        <v>1</v>
      </c>
      <c r="S513" s="8">
        <f>IF(A513&lt;Input!$B$10+0.1,IF(ROUNDUP(R513*Input!$C$10,0)=0,1,ROUNDUP(R513*Input!$C$10,0)),IF(A513&gt;Input!$B$11,IF(ROUNDUP(R513*Input!$C$11,0)=0,1,ROUNDUP(R513*Input!$C$11,0)),IF(ROUNDUP(R513,0)=0,1,ROUNDUP(R513,0))))</f>
        <v>1</v>
      </c>
      <c r="T513" s="8">
        <f t="shared" si="113"/>
        <v>1</v>
      </c>
      <c r="U513" s="8">
        <f>IFERROR(VLOOKUP($B513,Input!$AC$2:$AE$161,3,0),0)</f>
        <v>0</v>
      </c>
      <c r="V513" s="256">
        <f t="shared" si="114"/>
        <v>0</v>
      </c>
      <c r="W513" s="263">
        <f t="shared" si="115"/>
        <v>0</v>
      </c>
      <c r="X513" s="68"/>
      <c r="Y513" s="68"/>
      <c r="Z513" s="68"/>
      <c r="AA513" s="68"/>
      <c r="AB513" s="68"/>
      <c r="AC513" s="68"/>
      <c r="AD513" s="68"/>
      <c r="AE513" s="68"/>
      <c r="AF513" s="68"/>
      <c r="AG513" s="68"/>
      <c r="AH513" s="68"/>
      <c r="AI513" s="68"/>
      <c r="AJ513" s="68">
        <v>1</v>
      </c>
      <c r="AL513" s="68">
        <v>1</v>
      </c>
      <c r="AM513" s="68"/>
      <c r="AN513" s="68"/>
      <c r="AO513" s="68"/>
      <c r="AQ513" s="68"/>
      <c r="AR513" s="68"/>
      <c r="AS513" s="68"/>
      <c r="AT513" s="68"/>
      <c r="AU513" s="68"/>
      <c r="AV513" s="68"/>
      <c r="AW513" s="68"/>
      <c r="AX513" s="68"/>
      <c r="AY513" s="68"/>
      <c r="AZ513" s="68"/>
      <c r="BB513" s="68"/>
      <c r="BC513" s="68"/>
      <c r="BJ513" s="68"/>
      <c r="BT513">
        <v>1</v>
      </c>
      <c r="BV513">
        <v>1</v>
      </c>
      <c r="BX513" s="68"/>
      <c r="BY513" s="68">
        <v>1</v>
      </c>
      <c r="BZ513" s="68" t="s">
        <v>1057</v>
      </c>
      <c r="CA513" s="68" t="s">
        <v>1057</v>
      </c>
      <c r="CB513" s="68" t="s">
        <v>1057</v>
      </c>
      <c r="CC513" s="68" t="e">
        <f t="shared" si="116"/>
        <v>#DIV/0!</v>
      </c>
      <c r="CD513" s="68" t="str">
        <f t="shared" si="117"/>
        <v>NA</v>
      </c>
    </row>
    <row r="514" spans="1:82" ht="15.75" customHeight="1" thickBot="1" x14ac:dyDescent="0.3">
      <c r="A514" s="9">
        <v>513</v>
      </c>
      <c r="B514" s="10" t="s">
        <v>198</v>
      </c>
      <c r="C514" s="10" t="s">
        <v>83</v>
      </c>
      <c r="D514" s="10" t="s">
        <v>43</v>
      </c>
      <c r="E514" s="51">
        <v>-153.460919352209</v>
      </c>
      <c r="F514" s="51">
        <v>0</v>
      </c>
      <c r="G514" s="51">
        <v>0</v>
      </c>
      <c r="H514" s="51">
        <v>0</v>
      </c>
      <c r="I514" s="11">
        <v>0</v>
      </c>
      <c r="J514" s="51" t="s">
        <v>1057</v>
      </c>
      <c r="K514" s="249">
        <f>IFERROR(VLOOKUP(C514,Schedule!$T$3:$U$34,2,0),"FA")</f>
        <v>5</v>
      </c>
      <c r="L514" s="10" t="str">
        <f>D514&amp;COUNTIF(D$2:$D514,D514)</f>
        <v>TE166</v>
      </c>
      <c r="M514" s="51">
        <f t="array" ref="M514">IFERROR(F514-AVERAGE(VLOOKUP(D514,$D515:$F$885,3,0),INDEX($F515:$F$885,SMALL(IF(D514=$D515:$D$885,ROW($D515:$D$885)-ROW(D514)),2))),0)</f>
        <v>2.7948117262723501E-2</v>
      </c>
      <c r="N514" s="51">
        <f>IFERROR(IF(VLOOKUP($B514,Input!$AC$2:$AC$162,1,0)=$B514,0),F514)</f>
        <v>0</v>
      </c>
      <c r="O514" s="51">
        <f>IFERROR(IF(VLOOKUP($B514,Input!$AC$2:$AC$162,1,0)=$B514,0,G514),G514)</f>
        <v>0</v>
      </c>
      <c r="P514" s="51">
        <f>IF(N514=0,0,F514-AVERAGE(INDEX(F:F,MATCH(VLOOKUP(D514,Input!$A$14:$L$22,10,0),L:L,0)),INDEX(F:F,MATCH(VLOOKUP(D514,Input!$A$14:$L$22,11,0),L:L,0)),INDEX(F:F,MATCH(VLOOKUP(D514,Input!$A$14:$L$22,12,0),L:L,0)))+(0.01-ROW()*0.01))</f>
        <v>0</v>
      </c>
      <c r="Q514" s="107">
        <f t="shared" ref="Q514:Q577" si="118">IFERROR(P514/SUMIF(P:P,"&gt;0",P:P),0)</f>
        <v>0</v>
      </c>
      <c r="R514" s="11">
        <f>IF(VLOOKUP($D514,$X$14:$Y$19,2,0)&lt;=0,1,IF(Q514&lt;0,1,ROUNDUP(IF(Q514*('Draft Center'!$L$28+'Draft Center'!$L$78-'Draft Center'!$L$82)&lt;1,1,Q514*('Draft Center'!$L$28+'Draft Center'!$L$78-'Draft Center'!$L$82)),0)))</f>
        <v>1</v>
      </c>
      <c r="S514" s="11">
        <f>IF(A514&lt;Input!$B$10+0.1,IF(ROUNDUP(R514*Input!$C$10,0)=0,1,ROUNDUP(R514*Input!$C$10,0)),IF(A514&gt;Input!$B$11,IF(ROUNDUP(R514*Input!$C$11,0)=0,1,ROUNDUP(R514*Input!$C$11,0)),IF(ROUNDUP(R514,0)=0,1,ROUNDUP(R514,0))))</f>
        <v>1</v>
      </c>
      <c r="T514" s="11">
        <f t="shared" ref="T514:T577" si="119">IF(U514&gt;0,0,IF(AA514=1,R514,IF(AL514=0,1,AL514)))</f>
        <v>1</v>
      </c>
      <c r="U514" s="11">
        <f>IFERROR(VLOOKUP($B514,Input!$AC$2:$AE$161,3,0),0)</f>
        <v>0</v>
      </c>
      <c r="V514" s="257">
        <f t="shared" si="114"/>
        <v>0</v>
      </c>
      <c r="W514" s="264">
        <f t="shared" si="115"/>
        <v>1.0051399999999999</v>
      </c>
      <c r="X514" s="68"/>
      <c r="Y514" s="68"/>
      <c r="Z514" s="68"/>
      <c r="AA514" s="68"/>
      <c r="AB514" s="68"/>
      <c r="AC514" s="68"/>
      <c r="AD514" s="68"/>
      <c r="AE514" s="68"/>
      <c r="AF514" s="68"/>
      <c r="AG514" s="68"/>
      <c r="AH514" s="68"/>
      <c r="AI514" s="68"/>
      <c r="AJ514" s="68">
        <v>1</v>
      </c>
      <c r="AL514" s="68">
        <v>1</v>
      </c>
      <c r="AM514" s="68"/>
      <c r="AN514" s="68"/>
      <c r="AO514" s="68"/>
      <c r="AQ514" s="68"/>
      <c r="AR514" s="68"/>
      <c r="AS514" s="68"/>
      <c r="AT514" s="68"/>
      <c r="AU514" s="68"/>
      <c r="AV514" s="68"/>
      <c r="AW514" s="68"/>
      <c r="AX514" s="68"/>
      <c r="AY514" s="68"/>
      <c r="AZ514" s="68"/>
      <c r="BB514" s="68"/>
      <c r="BC514" s="68"/>
      <c r="BJ514" s="68"/>
      <c r="BT514">
        <v>1</v>
      </c>
      <c r="BV514">
        <v>1</v>
      </c>
      <c r="BX514" s="68"/>
      <c r="BY514" s="68">
        <v>1</v>
      </c>
      <c r="BZ514" s="68">
        <v>0</v>
      </c>
      <c r="CA514" s="68">
        <v>0</v>
      </c>
      <c r="CB514" s="68">
        <v>0</v>
      </c>
      <c r="CC514" s="68">
        <f t="shared" si="116"/>
        <v>0</v>
      </c>
      <c r="CD514" s="68">
        <f t="shared" si="117"/>
        <v>0</v>
      </c>
    </row>
    <row r="515" spans="1:82" ht="15.75" customHeight="1" thickBot="1" x14ac:dyDescent="0.3">
      <c r="A515" s="6">
        <v>514</v>
      </c>
      <c r="B515" s="7" t="s">
        <v>483</v>
      </c>
      <c r="C515" s="7" t="s">
        <v>83</v>
      </c>
      <c r="D515" s="7" t="s">
        <v>43</v>
      </c>
      <c r="E515" s="50">
        <v>-153.460919352209</v>
      </c>
      <c r="F515" s="50">
        <v>0</v>
      </c>
      <c r="G515" s="50">
        <v>0</v>
      </c>
      <c r="H515" s="50">
        <v>0</v>
      </c>
      <c r="I515" s="8">
        <v>0</v>
      </c>
      <c r="J515" s="50" t="s">
        <v>1057</v>
      </c>
      <c r="K515" s="248">
        <f>IFERROR(VLOOKUP(C515,Schedule!$T$3:$U$34,2,0),"FA")</f>
        <v>5</v>
      </c>
      <c r="L515" s="7" t="str">
        <f>D515&amp;COUNTIF(D$2:$D515,D515)</f>
        <v>TE167</v>
      </c>
      <c r="M515" s="50">
        <f t="array" ref="M515">IFERROR(F515-AVERAGE(VLOOKUP(D515,$D516:$F$885,3,0),INDEX($F516:$F$885,SMALL(IF(D515=$D516:$D$885,ROW($D516:$D$885)-ROW(D515)),2))),0)</f>
        <v>0</v>
      </c>
      <c r="N515" s="50">
        <f>IFERROR(IF(VLOOKUP($B515,Input!$AC$2:$AC$162,1,0)=$B515,0),F515)</f>
        <v>0</v>
      </c>
      <c r="O515" s="50">
        <f>IFERROR(IF(VLOOKUP($B515,Input!$AC$2:$AC$162,1,0)=$B515,0,G515),G515)</f>
        <v>0</v>
      </c>
      <c r="P515" s="50">
        <f>IF(N515=0,0,F515-AVERAGE(INDEX(F:F,MATCH(VLOOKUP(D515,Input!$A$14:$L$22,10,0),L:L,0)),INDEX(F:F,MATCH(VLOOKUP(D515,Input!$A$14:$L$22,11,0),L:L,0)),INDEX(F:F,MATCH(VLOOKUP(D515,Input!$A$14:$L$22,12,0),L:L,0)))+(0.01-ROW()*0.01))</f>
        <v>0</v>
      </c>
      <c r="Q515" s="106">
        <f t="shared" si="118"/>
        <v>0</v>
      </c>
      <c r="R515" s="8">
        <f>IF(VLOOKUP($D515,$X$14:$Y$19,2,0)&lt;=0,1,IF(Q515&lt;0,1,ROUNDUP(IF(Q515*('Draft Center'!$L$28+'Draft Center'!$L$78-'Draft Center'!$L$82)&lt;1,1,Q515*('Draft Center'!$L$28+'Draft Center'!$L$78-'Draft Center'!$L$82)),0)))</f>
        <v>1</v>
      </c>
      <c r="S515" s="8">
        <f>IF(A515&lt;Input!$B$10+0.1,IF(ROUNDUP(R515*Input!$C$10,0)=0,1,ROUNDUP(R515*Input!$C$10,0)),IF(A515&gt;Input!$B$11,IF(ROUNDUP(R515*Input!$C$11,0)=0,1,ROUNDUP(R515*Input!$C$11,0)),IF(ROUNDUP(R515,0)=0,1,ROUNDUP(R515,0))))</f>
        <v>1</v>
      </c>
      <c r="T515" s="8">
        <f t="shared" si="119"/>
        <v>1</v>
      </c>
      <c r="U515" s="8">
        <f>IFERROR(VLOOKUP($B515,Input!$AC$2:$AE$161,3,0),0)</f>
        <v>0</v>
      </c>
      <c r="V515" s="256">
        <f t="shared" ref="V515:V578" si="120">IF(R515=0,0,IFERROR(((R515-CD515)/CD515)+(ROW()*0.00001),0))</f>
        <v>0</v>
      </c>
      <c r="W515" s="263">
        <f t="shared" ref="W515:W578" si="121">IF(R515=0,0,IFERROR(((R515-CD515))+(ROW()*0.00001),0))</f>
        <v>1.00515</v>
      </c>
      <c r="X515" s="68"/>
      <c r="Y515" s="68"/>
      <c r="Z515" s="68"/>
      <c r="AA515" s="68"/>
      <c r="AB515" s="68"/>
      <c r="AC515" s="68"/>
      <c r="AD515" s="68"/>
      <c r="AE515" s="68"/>
      <c r="AF515" s="68"/>
      <c r="AG515" s="68"/>
      <c r="AH515" s="68"/>
      <c r="AI515" s="68"/>
      <c r="AJ515" s="68">
        <v>1</v>
      </c>
      <c r="AL515" s="68">
        <v>1</v>
      </c>
      <c r="AM515" s="68"/>
      <c r="AN515" s="68"/>
      <c r="AO515" s="68"/>
      <c r="AQ515" s="68"/>
      <c r="AR515" s="68"/>
      <c r="AS515" s="68"/>
      <c r="AT515" s="68"/>
      <c r="AU515" s="68"/>
      <c r="AV515" s="68"/>
      <c r="AW515" s="68"/>
      <c r="AX515" s="68"/>
      <c r="AY515" s="68"/>
      <c r="AZ515" s="68"/>
      <c r="BB515" s="68"/>
      <c r="BC515" s="68"/>
      <c r="BJ515" s="68"/>
      <c r="BT515">
        <v>1</v>
      </c>
      <c r="BV515">
        <v>1</v>
      </c>
      <c r="BX515" s="68"/>
      <c r="BY515" s="68">
        <v>1</v>
      </c>
      <c r="BZ515" s="68">
        <v>0</v>
      </c>
      <c r="CA515" s="68">
        <v>0</v>
      </c>
      <c r="CB515" s="68">
        <v>0</v>
      </c>
      <c r="CC515" s="68">
        <f t="shared" ref="CC515:CC578" si="122">AVERAGE(BZ515:CB515)</f>
        <v>0</v>
      </c>
      <c r="CD515" s="68">
        <f t="shared" ref="CD515:CD578" si="123">IFERROR(HLOOKUP($CD$1,$BZ$1:$CC$930,ROW(),0),"")</f>
        <v>0</v>
      </c>
    </row>
    <row r="516" spans="1:82" ht="15.75" customHeight="1" thickBot="1" x14ac:dyDescent="0.3">
      <c r="A516" s="9">
        <v>515</v>
      </c>
      <c r="B516" s="10" t="s">
        <v>1084</v>
      </c>
      <c r="C516" s="10" t="s">
        <v>927</v>
      </c>
      <c r="D516" s="10" t="s">
        <v>43</v>
      </c>
      <c r="E516" s="51">
        <v>-153.51681558673499</v>
      </c>
      <c r="F516" s="51">
        <v>-5.5896234525447001E-2</v>
      </c>
      <c r="G516" s="51">
        <v>-1.7090925557989599E-2</v>
      </c>
      <c r="H516" s="51">
        <v>-0.09</v>
      </c>
      <c r="I516" s="11" t="s">
        <v>1057</v>
      </c>
      <c r="J516" s="51">
        <v>3.7795056288455702</v>
      </c>
      <c r="K516" s="249">
        <f>IFERROR(VLOOKUP(C516,Schedule!$T$3:$U$34,2,0),"FA")</f>
        <v>9</v>
      </c>
      <c r="L516" s="10" t="str">
        <f>D516&amp;COUNTIF(D$2:$D516,D516)</f>
        <v>TE168</v>
      </c>
      <c r="M516" s="51">
        <f t="array" ref="M516">IFERROR(F516-AVERAGE(VLOOKUP(D516,$D517:$F$885,3,0),INDEX($F517:$F$885,SMALL(IF(D516=$D517:$D$885,ROW($D517:$D$885)-ROW(D516)),2))),0)</f>
        <v>0</v>
      </c>
      <c r="N516" s="51">
        <f>IFERROR(IF(VLOOKUP($B516,Input!$AC$2:$AC$162,1,0)=$B516,0),F516)</f>
        <v>-5.5896234525447001E-2</v>
      </c>
      <c r="O516" s="51">
        <f>IFERROR(IF(VLOOKUP($B516,Input!$AC$2:$AC$162,1,0)=$B516,0,G516),G516)</f>
        <v>-1.7090925557989599E-2</v>
      </c>
      <c r="P516" s="51">
        <f>IF(N516=0,0,F516-AVERAGE(INDEX(F:F,MATCH(VLOOKUP(D516,Input!$A$14:$L$22,10,0),L:L,0)),INDEX(F:F,MATCH(VLOOKUP(D516,Input!$A$14:$L$22,11,0),L:L,0)),INDEX(F:F,MATCH(VLOOKUP(D516,Input!$A$14:$L$22,12,0),L:L,0)))+(0.01-ROW()*0.01))</f>
        <v>-158.66681558673477</v>
      </c>
      <c r="Q516" s="107">
        <f t="shared" si="118"/>
        <v>-5.4738931337140313E-2</v>
      </c>
      <c r="R516" s="11">
        <f>IF(VLOOKUP($D516,$X$14:$Y$19,2,0)&lt;=0,1,IF(Q516&lt;0,1,ROUNDUP(IF(Q516*('Draft Center'!$L$28+'Draft Center'!$L$78-'Draft Center'!$L$82)&lt;1,1,Q516*('Draft Center'!$L$28+'Draft Center'!$L$78-'Draft Center'!$L$82)),0)))</f>
        <v>1</v>
      </c>
      <c r="S516" s="11">
        <f>IF(A516&lt;Input!$B$10+0.1,IF(ROUNDUP(R516*Input!$C$10,0)=0,1,ROUNDUP(R516*Input!$C$10,0)),IF(A516&gt;Input!$B$11,IF(ROUNDUP(R516*Input!$C$11,0)=0,1,ROUNDUP(R516*Input!$C$11,0)),IF(ROUNDUP(R516,0)=0,1,ROUNDUP(R516,0))))</f>
        <v>1</v>
      </c>
      <c r="T516" s="11">
        <f t="shared" si="119"/>
        <v>1</v>
      </c>
      <c r="U516" s="11">
        <f>IFERROR(VLOOKUP($B516,Input!$AC$2:$AE$161,3,0),0)</f>
        <v>0</v>
      </c>
      <c r="V516" s="257">
        <f t="shared" si="120"/>
        <v>0</v>
      </c>
      <c r="W516" s="264">
        <f t="shared" si="121"/>
        <v>0</v>
      </c>
      <c r="X516" s="68"/>
      <c r="Y516" s="68"/>
      <c r="Z516" s="68"/>
      <c r="AA516" s="68"/>
      <c r="AB516" s="68"/>
      <c r="AC516" s="68"/>
      <c r="AD516" s="68"/>
      <c r="AE516" s="68"/>
      <c r="AF516" s="68"/>
      <c r="AG516" s="68"/>
      <c r="AH516" s="68"/>
      <c r="AI516" s="68"/>
      <c r="AJ516" s="68">
        <v>1</v>
      </c>
      <c r="AL516" s="68">
        <v>1</v>
      </c>
      <c r="AM516" s="68"/>
      <c r="AN516" s="68"/>
      <c r="AO516" s="68"/>
      <c r="AQ516" s="68"/>
      <c r="AR516" s="68"/>
      <c r="AS516" s="68"/>
      <c r="AT516" s="68"/>
      <c r="AU516" s="68"/>
      <c r="AV516" s="68"/>
      <c r="AW516" s="68"/>
      <c r="AX516" s="68"/>
      <c r="AY516" s="68"/>
      <c r="AZ516" s="68"/>
      <c r="BB516" s="68"/>
      <c r="BC516" s="68"/>
      <c r="BJ516" s="68"/>
      <c r="BT516">
        <v>1</v>
      </c>
      <c r="BV516">
        <v>1</v>
      </c>
      <c r="BX516" s="68"/>
      <c r="BY516" s="68">
        <v>1</v>
      </c>
      <c r="BZ516" s="68" t="s">
        <v>1057</v>
      </c>
      <c r="CA516" s="68" t="s">
        <v>1057</v>
      </c>
      <c r="CB516" s="68" t="s">
        <v>1057</v>
      </c>
      <c r="CC516" s="68" t="e">
        <f t="shared" si="122"/>
        <v>#DIV/0!</v>
      </c>
      <c r="CD516" s="68" t="str">
        <f t="shared" si="123"/>
        <v>NA</v>
      </c>
    </row>
    <row r="517" spans="1:82" ht="15.75" customHeight="1" thickBot="1" x14ac:dyDescent="0.3">
      <c r="A517" s="6">
        <v>516</v>
      </c>
      <c r="B517" s="7" t="s">
        <v>987</v>
      </c>
      <c r="C517" s="7" t="s">
        <v>38</v>
      </c>
      <c r="D517" s="7" t="s">
        <v>19</v>
      </c>
      <c r="E517" s="50">
        <v>-153.92899433781</v>
      </c>
      <c r="F517" s="50">
        <v>15.173403688141899</v>
      </c>
      <c r="G517" s="50">
        <v>29.795774999999999</v>
      </c>
      <c r="H517" s="50">
        <v>-0.23</v>
      </c>
      <c r="I517" s="8" t="s">
        <v>1057</v>
      </c>
      <c r="J517" s="50">
        <v>5.9259609267384796</v>
      </c>
      <c r="K517" s="248">
        <f>IFERROR(VLOOKUP(C517,Schedule!$T$3:$U$34,2,0),"FA")</f>
        <v>6</v>
      </c>
      <c r="L517" s="7" t="str">
        <f>D517&amp;COUNTIF(D$2:$D517,D517)</f>
        <v>RB129</v>
      </c>
      <c r="M517" s="50">
        <f t="array" ref="M517">IFERROR(F517-AVERAGE(VLOOKUP(D517,$D518:$F$885,3,0),INDEX($F518:$F$885,SMALL(IF(D517=$D518:$D$885,ROW($D518:$D$885)-ROW(D517)),2))),0)</f>
        <v>0.32676445631744855</v>
      </c>
      <c r="N517" s="50">
        <f>IFERROR(IF(VLOOKUP($B517,Input!$AC$2:$AC$162,1,0)=$B517,0),F517)</f>
        <v>15.173403688141899</v>
      </c>
      <c r="O517" s="50">
        <f>IFERROR(IF(VLOOKUP($B517,Input!$AC$2:$AC$162,1,0)=$B517,0,G517),G517)</f>
        <v>29.795774999999999</v>
      </c>
      <c r="P517" s="50">
        <f>IF(N517=0,0,F517-AVERAGE(INDEX(F:F,MATCH(VLOOKUP(D517,Input!$A$14:$L$22,10,0),L:L,0)),INDEX(F:F,MATCH(VLOOKUP(D517,Input!$A$14:$L$22,11,0),L:L,0)),INDEX(F:F,MATCH(VLOOKUP(D517,Input!$A$14:$L$22,12,0),L:L,0)))+(0.01-ROW()*0.01))</f>
        <v>-159.08899433781011</v>
      </c>
      <c r="Q517" s="106">
        <f t="shared" si="118"/>
        <v>-5.4884580026071612E-2</v>
      </c>
      <c r="R517" s="8">
        <f>IF(VLOOKUP($D517,$X$14:$Y$19,2,0)&lt;=0,1,IF(Q517&lt;0,1,ROUNDUP(IF(Q517*('Draft Center'!$L$28+'Draft Center'!$L$78-'Draft Center'!$L$82)&lt;1,1,Q517*('Draft Center'!$L$28+'Draft Center'!$L$78-'Draft Center'!$L$82)),0)))</f>
        <v>1</v>
      </c>
      <c r="S517" s="8">
        <f>IF(A517&lt;Input!$B$10+0.1,IF(ROUNDUP(R517*Input!$C$10,0)=0,1,ROUNDUP(R517*Input!$C$10,0)),IF(A517&gt;Input!$B$11,IF(ROUNDUP(R517*Input!$C$11,0)=0,1,ROUNDUP(R517*Input!$C$11,0)),IF(ROUNDUP(R517,0)=0,1,ROUNDUP(R517,0))))</f>
        <v>1</v>
      </c>
      <c r="T517" s="8">
        <f t="shared" si="119"/>
        <v>1</v>
      </c>
      <c r="U517" s="8">
        <f>IFERROR(VLOOKUP($B517,Input!$AC$2:$AE$161,3,0),0)</f>
        <v>0</v>
      </c>
      <c r="V517" s="256">
        <f t="shared" si="120"/>
        <v>0</v>
      </c>
      <c r="W517" s="263">
        <f t="shared" si="121"/>
        <v>0</v>
      </c>
      <c r="X517" s="68"/>
      <c r="Y517" s="68"/>
      <c r="Z517" s="68"/>
      <c r="AA517" s="68"/>
      <c r="AB517" s="68"/>
      <c r="AC517" s="68"/>
      <c r="AD517" s="68"/>
      <c r="AE517" s="68"/>
      <c r="AF517" s="68"/>
      <c r="AG517" s="68"/>
      <c r="AH517" s="68"/>
      <c r="AI517" s="68"/>
      <c r="AJ517" s="68">
        <v>1</v>
      </c>
      <c r="AL517" s="68">
        <v>1</v>
      </c>
      <c r="AM517" s="68"/>
      <c r="AN517" s="68"/>
      <c r="AO517" s="68"/>
      <c r="AQ517" s="68"/>
      <c r="AR517" s="68"/>
      <c r="AS517" s="68"/>
      <c r="AT517" s="68"/>
      <c r="AU517" s="68"/>
      <c r="AV517" s="68"/>
      <c r="AW517" s="68"/>
      <c r="AX517" s="68"/>
      <c r="AY517" s="68"/>
      <c r="AZ517" s="68"/>
      <c r="BB517" s="68"/>
      <c r="BC517" s="68"/>
      <c r="BJ517" s="68"/>
      <c r="BT517">
        <v>1</v>
      </c>
      <c r="BV517">
        <v>1</v>
      </c>
      <c r="BX517" s="68"/>
      <c r="BY517" s="68">
        <v>1</v>
      </c>
      <c r="BZ517" s="68" t="s">
        <v>1057</v>
      </c>
      <c r="CA517" s="68" t="s">
        <v>1057</v>
      </c>
      <c r="CB517" s="68" t="s">
        <v>1057</v>
      </c>
      <c r="CC517" s="68" t="e">
        <f t="shared" si="122"/>
        <v>#DIV/0!</v>
      </c>
      <c r="CD517" s="68" t="str">
        <f t="shared" si="123"/>
        <v>NA</v>
      </c>
    </row>
    <row r="518" spans="1:82" ht="15.75" customHeight="1" thickBot="1" x14ac:dyDescent="0.3">
      <c r="A518" s="9">
        <v>517</v>
      </c>
      <c r="B518" s="10" t="s">
        <v>1066</v>
      </c>
      <c r="C518" s="10" t="s">
        <v>38</v>
      </c>
      <c r="D518" s="10" t="s">
        <v>19</v>
      </c>
      <c r="E518" s="51">
        <v>-153.938612017721</v>
      </c>
      <c r="F518" s="51">
        <v>15.163786008230501</v>
      </c>
      <c r="G518" s="51">
        <v>26.154893617021301</v>
      </c>
      <c r="H518" s="51">
        <v>0</v>
      </c>
      <c r="I518" s="11" t="s">
        <v>1057</v>
      </c>
      <c r="J518" s="51">
        <v>6.5601952186446102</v>
      </c>
      <c r="K518" s="249">
        <f>IFERROR(VLOOKUP(C518,Schedule!$T$3:$U$34,2,0),"FA")</f>
        <v>6</v>
      </c>
      <c r="L518" s="10" t="str">
        <f>D518&amp;COUNTIF(D$2:$D518,D518)</f>
        <v>RB130</v>
      </c>
      <c r="M518" s="51">
        <f t="array" ref="M518">IFERROR(F518-AVERAGE(VLOOKUP(D518,$D519:$F$885,3,0),INDEX($F519:$F$885,SMALL(IF(D518=$D519:$D$885,ROW($D519:$D$885)-ROW(D518)),2))),0)</f>
        <v>0.7947823808947998</v>
      </c>
      <c r="N518" s="51">
        <f>IFERROR(IF(VLOOKUP($B518,Input!$AC$2:$AC$162,1,0)=$B518,0),F518)</f>
        <v>15.163786008230501</v>
      </c>
      <c r="O518" s="51">
        <f>IFERROR(IF(VLOOKUP($B518,Input!$AC$2:$AC$162,1,0)=$B518,0,G518),G518)</f>
        <v>26.154893617021301</v>
      </c>
      <c r="P518" s="51">
        <f>IF(N518=0,0,F518-AVERAGE(INDEX(F:F,MATCH(VLOOKUP(D518,Input!$A$14:$L$22,10,0),L:L,0)),INDEX(F:F,MATCH(VLOOKUP(D518,Input!$A$14:$L$22,11,0),L:L,0)),INDEX(F:F,MATCH(VLOOKUP(D518,Input!$A$14:$L$22,12,0),L:L,0)))+(0.01-ROW()*0.01))</f>
        <v>-159.1086120177215</v>
      </c>
      <c r="Q518" s="107">
        <f t="shared" si="118"/>
        <v>-5.4891347987158452E-2</v>
      </c>
      <c r="R518" s="11">
        <f>IF(VLOOKUP($D518,$X$14:$Y$19,2,0)&lt;=0,1,IF(Q518&lt;0,1,ROUNDUP(IF(Q518*('Draft Center'!$L$28+'Draft Center'!$L$78-'Draft Center'!$L$82)&lt;1,1,Q518*('Draft Center'!$L$28+'Draft Center'!$L$78-'Draft Center'!$L$82)),0)))</f>
        <v>1</v>
      </c>
      <c r="S518" s="11">
        <f>IF(A518&lt;Input!$B$10+0.1,IF(ROUNDUP(R518*Input!$C$10,0)=0,1,ROUNDUP(R518*Input!$C$10,0)),IF(A518&gt;Input!$B$11,IF(ROUNDUP(R518*Input!$C$11,0)=0,1,ROUNDUP(R518*Input!$C$11,0)),IF(ROUNDUP(R518,0)=0,1,ROUNDUP(R518,0))))</f>
        <v>1</v>
      </c>
      <c r="T518" s="11">
        <f t="shared" si="119"/>
        <v>1</v>
      </c>
      <c r="U518" s="11">
        <f>IFERROR(VLOOKUP($B518,Input!$AC$2:$AE$161,3,0),0)</f>
        <v>0</v>
      </c>
      <c r="V518" s="257">
        <f t="shared" si="120"/>
        <v>0</v>
      </c>
      <c r="W518" s="264">
        <f t="shared" si="121"/>
        <v>0</v>
      </c>
      <c r="X518" s="68"/>
      <c r="Y518" s="68"/>
      <c r="Z518" s="68"/>
      <c r="AA518" s="68"/>
      <c r="AB518" s="68"/>
      <c r="AC518" s="68"/>
      <c r="AD518" s="68"/>
      <c r="AE518" s="68"/>
      <c r="AF518" s="68"/>
      <c r="AG518" s="68"/>
      <c r="AH518" s="68"/>
      <c r="AI518" s="68"/>
      <c r="AJ518" s="68">
        <v>1</v>
      </c>
      <c r="AL518" s="68">
        <v>1</v>
      </c>
      <c r="AM518" s="68"/>
      <c r="AN518" s="68"/>
      <c r="AO518" s="68"/>
      <c r="AQ518" s="68"/>
      <c r="AR518" s="68"/>
      <c r="AS518" s="68"/>
      <c r="AT518" s="68"/>
      <c r="AU518" s="68"/>
      <c r="AV518" s="68"/>
      <c r="AW518" s="68"/>
      <c r="AX518" s="68"/>
      <c r="AY518" s="68"/>
      <c r="AZ518" s="68"/>
      <c r="BB518" s="68"/>
      <c r="BC518" s="68"/>
      <c r="BJ518" s="68"/>
      <c r="BT518">
        <v>1</v>
      </c>
      <c r="BV518">
        <v>1</v>
      </c>
      <c r="BX518" s="68"/>
      <c r="BY518" s="68">
        <v>1</v>
      </c>
      <c r="BZ518" s="68" t="s">
        <v>1057</v>
      </c>
      <c r="CA518" s="68" t="s">
        <v>1057</v>
      </c>
      <c r="CB518" s="68" t="s">
        <v>1057</v>
      </c>
      <c r="CC518" s="68" t="e">
        <f t="shared" si="122"/>
        <v>#DIV/0!</v>
      </c>
      <c r="CD518" s="68" t="str">
        <f t="shared" si="123"/>
        <v>NA</v>
      </c>
    </row>
    <row r="519" spans="1:82" ht="15.75" customHeight="1" thickBot="1" x14ac:dyDescent="0.3">
      <c r="A519" s="6">
        <v>518</v>
      </c>
      <c r="B519" s="7" t="s">
        <v>219</v>
      </c>
      <c r="C519" s="7" t="s">
        <v>42</v>
      </c>
      <c r="D519" s="7" t="s">
        <v>17</v>
      </c>
      <c r="E519" s="50">
        <v>-153.953170739776</v>
      </c>
      <c r="F519" s="50">
        <v>58.824745529573597</v>
      </c>
      <c r="G519" s="50">
        <v>61.747280000000003</v>
      </c>
      <c r="H519" s="50">
        <v>26.166299862448401</v>
      </c>
      <c r="I519" s="8" t="s">
        <v>1057</v>
      </c>
      <c r="J519" s="50">
        <v>5.6073927533254402</v>
      </c>
      <c r="K519" s="248">
        <f>IFERROR(VLOOKUP(C519,Schedule!$T$3:$U$34,2,0),"FA")</f>
        <v>9</v>
      </c>
      <c r="L519" s="7" t="str">
        <f>D519&amp;COUNTIF(D$2:$D519,D519)</f>
        <v>WR115</v>
      </c>
      <c r="M519" s="50">
        <f t="array" ref="M519">IFERROR(F519-AVERAGE(VLOOKUP(D519,$D520:$F$885,3,0),INDEX($F520:$F$885,SMALL(IF(D519=$D520:$D$885,ROW($D520:$D$885)-ROW(D519)),2))),0)</f>
        <v>2.5761618158428448</v>
      </c>
      <c r="N519" s="50">
        <f>IFERROR(IF(VLOOKUP($B519,Input!$AC$2:$AC$162,1,0)=$B519,0),F519)</f>
        <v>58.824745529573597</v>
      </c>
      <c r="O519" s="50">
        <f>IFERROR(IF(VLOOKUP($B519,Input!$AC$2:$AC$162,1,0)=$B519,0,G519),G519)</f>
        <v>61.747280000000003</v>
      </c>
      <c r="P519" s="50">
        <f>IF(N519=0,0,F519-AVERAGE(INDEX(F:F,MATCH(VLOOKUP(D519,Input!$A$14:$L$22,10,0),L:L,0)),INDEX(F:F,MATCH(VLOOKUP(D519,Input!$A$14:$L$22,11,0),L:L,0)),INDEX(F:F,MATCH(VLOOKUP(D519,Input!$A$14:$L$22,12,0),L:L,0)))+(0.01-ROW()*0.01))</f>
        <v>-159.13317073977544</v>
      </c>
      <c r="Q519" s="106">
        <f t="shared" si="118"/>
        <v>-5.4899820572905302E-2</v>
      </c>
      <c r="R519" s="8">
        <f>IF(VLOOKUP($D519,$X$14:$Y$19,2,0)&lt;=0,1,IF(Q519&lt;0,1,ROUNDUP(IF(Q519*('Draft Center'!$L$28+'Draft Center'!$L$78-'Draft Center'!$L$82)&lt;1,1,Q519*('Draft Center'!$L$28+'Draft Center'!$L$78-'Draft Center'!$L$82)),0)))</f>
        <v>1</v>
      </c>
      <c r="S519" s="8">
        <f>IF(A519&lt;Input!$B$10+0.1,IF(ROUNDUP(R519*Input!$C$10,0)=0,1,ROUNDUP(R519*Input!$C$10,0)),IF(A519&gt;Input!$B$11,IF(ROUNDUP(R519*Input!$C$11,0)=0,1,ROUNDUP(R519*Input!$C$11,0)),IF(ROUNDUP(R519,0)=0,1,ROUNDUP(R519,0))))</f>
        <v>1</v>
      </c>
      <c r="T519" s="8">
        <f t="shared" si="119"/>
        <v>1</v>
      </c>
      <c r="U519" s="8">
        <f>IFERROR(VLOOKUP($B519,Input!$AC$2:$AE$161,3,0),0)</f>
        <v>0</v>
      </c>
      <c r="V519" s="256">
        <f t="shared" si="120"/>
        <v>0</v>
      </c>
      <c r="W519" s="263">
        <f t="shared" si="121"/>
        <v>0</v>
      </c>
      <c r="X519" s="68"/>
      <c r="Y519" s="68"/>
      <c r="Z519" s="68"/>
      <c r="AA519" s="68"/>
      <c r="AB519" s="68"/>
      <c r="AC519" s="68"/>
      <c r="AD519" s="68"/>
      <c r="AE519" s="68"/>
      <c r="AF519" s="68"/>
      <c r="AG519" s="68"/>
      <c r="AH519" s="68"/>
      <c r="AI519" s="68"/>
      <c r="AJ519" s="68">
        <v>1</v>
      </c>
      <c r="AL519" s="68">
        <v>1</v>
      </c>
      <c r="AM519" s="68"/>
      <c r="AN519" s="68"/>
      <c r="AO519" s="68"/>
      <c r="AQ519" s="68"/>
      <c r="AR519" s="68"/>
      <c r="AS519" s="68"/>
      <c r="AT519" s="68"/>
      <c r="AU519" s="68"/>
      <c r="AV519" s="68"/>
      <c r="AW519" s="68"/>
      <c r="AX519" s="68"/>
      <c r="AY519" s="68"/>
      <c r="AZ519" s="68"/>
      <c r="BB519" s="68"/>
      <c r="BC519" s="68"/>
      <c r="BJ519" s="68"/>
      <c r="BT519">
        <v>1</v>
      </c>
      <c r="BV519">
        <v>1</v>
      </c>
      <c r="BX519" s="68"/>
      <c r="BY519" s="68">
        <v>1</v>
      </c>
      <c r="BZ519" s="68" t="s">
        <v>1057</v>
      </c>
      <c r="CA519" s="68" t="s">
        <v>1057</v>
      </c>
      <c r="CB519" s="68" t="s">
        <v>1057</v>
      </c>
      <c r="CC519" s="68" t="e">
        <f t="shared" si="122"/>
        <v>#DIV/0!</v>
      </c>
      <c r="CD519" s="68" t="str">
        <f t="shared" si="123"/>
        <v>NA</v>
      </c>
    </row>
    <row r="520" spans="1:82" ht="15.75" customHeight="1" thickBot="1" x14ac:dyDescent="0.3">
      <c r="A520" s="9">
        <v>519</v>
      </c>
      <c r="B520" s="10" t="s">
        <v>343</v>
      </c>
      <c r="C520" s="10" t="s">
        <v>52</v>
      </c>
      <c r="D520" s="10" t="s">
        <v>19</v>
      </c>
      <c r="E520" s="51">
        <v>-154.57290557053301</v>
      </c>
      <c r="F520" s="51">
        <v>14.529492455418399</v>
      </c>
      <c r="G520" s="51">
        <v>20.782212839506201</v>
      </c>
      <c r="H520" s="51">
        <v>0</v>
      </c>
      <c r="I520" s="11">
        <v>0</v>
      </c>
      <c r="J520" s="51">
        <v>4.9181783777468899</v>
      </c>
      <c r="K520" s="249">
        <f>IFERROR(VLOOKUP(C520,Schedule!$T$3:$U$34,2,0),"FA")</f>
        <v>11</v>
      </c>
      <c r="L520" s="10" t="str">
        <f>D520&amp;COUNTIF(D$2:$D520,D520)</f>
        <v>RB131</v>
      </c>
      <c r="M520" s="51">
        <f t="array" ref="M520">IFERROR(F520-AVERAGE(VLOOKUP(D520,$D521:$F$885,3,0),INDEX($F521:$F$885,SMALL(IF(D520=$D521:$D$885,ROW($D521:$D$885)-ROW(D520)),2))),0)</f>
        <v>0.52897864485894885</v>
      </c>
      <c r="N520" s="51">
        <f>IFERROR(IF(VLOOKUP($B520,Input!$AC$2:$AC$162,1,0)=$B520,0),F520)</f>
        <v>14.529492455418399</v>
      </c>
      <c r="O520" s="51">
        <f>IFERROR(IF(VLOOKUP($B520,Input!$AC$2:$AC$162,1,0)=$B520,0,G520),G520)</f>
        <v>20.782212839506201</v>
      </c>
      <c r="P520" s="51">
        <f>IF(N520=0,0,F520-AVERAGE(INDEX(F:F,MATCH(VLOOKUP(D520,Input!$A$14:$L$22,10,0),L:L,0)),INDEX(F:F,MATCH(VLOOKUP(D520,Input!$A$14:$L$22,11,0),L:L,0)),INDEX(F:F,MATCH(VLOOKUP(D520,Input!$A$14:$L$22,12,0),L:L,0)))+(0.01-ROW()*0.01))</f>
        <v>-159.7629055705336</v>
      </c>
      <c r="Q520" s="107">
        <f t="shared" si="118"/>
        <v>-5.5117074644174126E-2</v>
      </c>
      <c r="R520" s="11">
        <f>IF(VLOOKUP($D520,$X$14:$Y$19,2,0)&lt;=0,1,IF(Q520&lt;0,1,ROUNDUP(IF(Q520*('Draft Center'!$L$28+'Draft Center'!$L$78-'Draft Center'!$L$82)&lt;1,1,Q520*('Draft Center'!$L$28+'Draft Center'!$L$78-'Draft Center'!$L$82)),0)))</f>
        <v>1</v>
      </c>
      <c r="S520" s="11">
        <f>IF(A520&lt;Input!$B$10+0.1,IF(ROUNDUP(R520*Input!$C$10,0)=0,1,ROUNDUP(R520*Input!$C$10,0)),IF(A520&gt;Input!$B$11,IF(ROUNDUP(R520*Input!$C$11,0)=0,1,ROUNDUP(R520*Input!$C$11,0)),IF(ROUNDUP(R520,0)=0,1,ROUNDUP(R520,0))))</f>
        <v>1</v>
      </c>
      <c r="T520" s="11">
        <f t="shared" si="119"/>
        <v>1</v>
      </c>
      <c r="U520" s="11">
        <f>IFERROR(VLOOKUP($B520,Input!$AC$2:$AE$161,3,0),0)</f>
        <v>0</v>
      </c>
      <c r="V520" s="257">
        <f t="shared" si="120"/>
        <v>0</v>
      </c>
      <c r="W520" s="264">
        <f t="shared" si="121"/>
        <v>1.0052000000000001</v>
      </c>
      <c r="X520" s="68"/>
      <c r="Y520" s="68"/>
      <c r="Z520" s="68"/>
      <c r="AA520" s="68"/>
      <c r="AB520" s="68"/>
      <c r="AC520" s="68"/>
      <c r="AD520" s="68"/>
      <c r="AE520" s="68"/>
      <c r="AF520" s="68"/>
      <c r="AG520" s="68"/>
      <c r="AH520" s="68"/>
      <c r="AI520" s="68"/>
      <c r="AJ520" s="68">
        <v>1</v>
      </c>
      <c r="AL520" s="68">
        <v>1</v>
      </c>
      <c r="AM520" s="68"/>
      <c r="AN520" s="68"/>
      <c r="AO520" s="68"/>
      <c r="AQ520" s="68"/>
      <c r="AR520" s="68"/>
      <c r="AS520" s="68"/>
      <c r="AT520" s="68"/>
      <c r="AU520" s="68"/>
      <c r="AV520" s="68"/>
      <c r="AW520" s="68"/>
      <c r="AX520" s="68"/>
      <c r="AY520" s="68"/>
      <c r="AZ520" s="68"/>
      <c r="BB520" s="68"/>
      <c r="BC520" s="68"/>
      <c r="BJ520" s="68"/>
      <c r="BT520">
        <v>1</v>
      </c>
      <c r="BV520">
        <v>1</v>
      </c>
      <c r="BX520" s="68"/>
      <c r="BY520" s="68">
        <v>1</v>
      </c>
      <c r="BZ520" s="68">
        <v>0</v>
      </c>
      <c r="CA520" s="68">
        <v>0</v>
      </c>
      <c r="CB520" s="68">
        <v>0</v>
      </c>
      <c r="CC520" s="68">
        <f t="shared" si="122"/>
        <v>0</v>
      </c>
      <c r="CD520" s="68">
        <f t="shared" si="123"/>
        <v>0</v>
      </c>
    </row>
    <row r="521" spans="1:82" ht="15.75" customHeight="1" thickBot="1" x14ac:dyDescent="0.3">
      <c r="A521" s="6">
        <v>520</v>
      </c>
      <c r="B521" s="7" t="s">
        <v>866</v>
      </c>
      <c r="C521" s="7" t="s">
        <v>57</v>
      </c>
      <c r="D521" s="7" t="s">
        <v>19</v>
      </c>
      <c r="E521" s="50">
        <v>-154.89388322669899</v>
      </c>
      <c r="F521" s="50">
        <v>14.208514799253001</v>
      </c>
      <c r="G521" s="50">
        <v>23.5475810397554</v>
      </c>
      <c r="H521" s="50">
        <v>-0.128478057889823</v>
      </c>
      <c r="I521" s="8">
        <v>0</v>
      </c>
      <c r="J521" s="50">
        <v>5.3653327826125201</v>
      </c>
      <c r="K521" s="248">
        <f>IFERROR(VLOOKUP(C521,Schedule!$T$3:$U$34,2,0),"FA")</f>
        <v>11</v>
      </c>
      <c r="L521" s="7" t="str">
        <f>D521&amp;COUNTIF(D$2:$D521,D521)</f>
        <v>RB132</v>
      </c>
      <c r="M521" s="50">
        <f t="array" ref="M521">IFERROR(F521-AVERAGE(VLOOKUP(D521,$D522:$F$885,3,0),INDEX($F522:$F$885,SMALL(IF(D521=$D522:$D$885,ROW($D522:$D$885)-ROW(D521)),2))),0)</f>
        <v>0.44147747001444948</v>
      </c>
      <c r="N521" s="50">
        <f>IFERROR(IF(VLOOKUP($B521,Input!$AC$2:$AC$162,1,0)=$B521,0),F521)</f>
        <v>14.208514799253001</v>
      </c>
      <c r="O521" s="50">
        <f>IFERROR(IF(VLOOKUP($B521,Input!$AC$2:$AC$162,1,0)=$B521,0,G521),G521)</f>
        <v>23.5475810397554</v>
      </c>
      <c r="P521" s="50">
        <f>IF(N521=0,0,F521-AVERAGE(INDEX(F:F,MATCH(VLOOKUP(D521,Input!$A$14:$L$22,10,0),L:L,0)),INDEX(F:F,MATCH(VLOOKUP(D521,Input!$A$14:$L$22,11,0),L:L,0)),INDEX(F:F,MATCH(VLOOKUP(D521,Input!$A$14:$L$22,12,0),L:L,0)))+(0.01-ROW()*0.01))</f>
        <v>-160.09388322669898</v>
      </c>
      <c r="Q521" s="106">
        <f t="shared" si="118"/>
        <v>-5.5231259599156472E-2</v>
      </c>
      <c r="R521" s="8">
        <f>IF(VLOOKUP($D521,$X$14:$Y$19,2,0)&lt;=0,1,IF(Q521&lt;0,1,ROUNDUP(IF(Q521*('Draft Center'!$L$28+'Draft Center'!$L$78-'Draft Center'!$L$82)&lt;1,1,Q521*('Draft Center'!$L$28+'Draft Center'!$L$78-'Draft Center'!$L$82)),0)))</f>
        <v>1</v>
      </c>
      <c r="S521" s="8">
        <f>IF(A521&lt;Input!$B$10+0.1,IF(ROUNDUP(R521*Input!$C$10,0)=0,1,ROUNDUP(R521*Input!$C$10,0)),IF(A521&gt;Input!$B$11,IF(ROUNDUP(R521*Input!$C$11,0)=0,1,ROUNDUP(R521*Input!$C$11,0)),IF(ROUNDUP(R521,0)=0,1,ROUNDUP(R521,0))))</f>
        <v>1</v>
      </c>
      <c r="T521" s="8">
        <f t="shared" si="119"/>
        <v>1</v>
      </c>
      <c r="U521" s="8">
        <f>IFERROR(VLOOKUP($B521,Input!$AC$2:$AE$161,3,0),0)</f>
        <v>0</v>
      </c>
      <c r="V521" s="256">
        <f t="shared" si="120"/>
        <v>0</v>
      </c>
      <c r="W521" s="263">
        <f t="shared" si="121"/>
        <v>1.0052099999999999</v>
      </c>
      <c r="X521" s="68"/>
      <c r="Y521" s="68"/>
      <c r="Z521" s="68"/>
      <c r="AA521" s="68"/>
      <c r="AB521" s="68"/>
      <c r="AC521" s="68"/>
      <c r="AD521" s="68"/>
      <c r="AE521" s="68"/>
      <c r="AF521" s="68"/>
      <c r="AG521" s="68"/>
      <c r="AH521" s="68"/>
      <c r="AI521" s="68"/>
      <c r="AJ521" s="68">
        <v>1</v>
      </c>
      <c r="AL521" s="68">
        <v>1</v>
      </c>
      <c r="AM521" s="68"/>
      <c r="AN521" s="68"/>
      <c r="AO521" s="68"/>
      <c r="AQ521" s="68"/>
      <c r="AR521" s="68"/>
      <c r="AS521" s="68"/>
      <c r="AT521" s="68"/>
      <c r="AU521" s="68"/>
      <c r="AV521" s="68"/>
      <c r="AW521" s="68"/>
      <c r="AX521" s="68"/>
      <c r="AY521" s="68"/>
      <c r="AZ521" s="68"/>
      <c r="BB521" s="68"/>
      <c r="BC521" s="68"/>
      <c r="BJ521" s="68"/>
      <c r="BT521">
        <v>1</v>
      </c>
      <c r="BV521">
        <v>1</v>
      </c>
      <c r="BX521" s="68"/>
      <c r="BY521" s="68">
        <v>1</v>
      </c>
      <c r="BZ521" s="68">
        <v>0</v>
      </c>
      <c r="CA521" s="68">
        <v>0</v>
      </c>
      <c r="CB521" s="68">
        <v>0</v>
      </c>
      <c r="CC521" s="68">
        <f t="shared" si="122"/>
        <v>0</v>
      </c>
      <c r="CD521" s="68">
        <f t="shared" si="123"/>
        <v>0</v>
      </c>
    </row>
    <row r="522" spans="1:82" ht="15.75" customHeight="1" thickBot="1" x14ac:dyDescent="0.3">
      <c r="A522" s="9">
        <v>521</v>
      </c>
      <c r="B522" s="10" t="s">
        <v>437</v>
      </c>
      <c r="C522" s="10" t="s">
        <v>75</v>
      </c>
      <c r="D522" s="10" t="s">
        <v>19</v>
      </c>
      <c r="E522" s="51">
        <v>-155.30988520408599</v>
      </c>
      <c r="F522" s="51">
        <v>13.7925128218659</v>
      </c>
      <c r="G522" s="51">
        <v>23.786035885819999</v>
      </c>
      <c r="H522" s="51">
        <v>0</v>
      </c>
      <c r="I522" s="11">
        <v>0</v>
      </c>
      <c r="J522" s="51">
        <v>4.9882938663907996</v>
      </c>
      <c r="K522" s="249">
        <f>IFERROR(VLOOKUP(C522,Schedule!$T$3:$U$34,2,0),"FA")</f>
        <v>10</v>
      </c>
      <c r="L522" s="10" t="str">
        <f>D522&amp;COUNTIF(D$2:$D522,D522)</f>
        <v>RB133</v>
      </c>
      <c r="M522" s="51">
        <f t="array" ref="M522">IFERROR(F522-AVERAGE(VLOOKUP(D522,$D523:$F$885,3,0),INDEX($F523:$F$885,SMALL(IF(D522=$D523:$D$885,ROW($D523:$D$885)-ROW(D522)),2))),0)</f>
        <v>0.34377807536234961</v>
      </c>
      <c r="N522" s="51">
        <f>IFERROR(IF(VLOOKUP($B522,Input!$AC$2:$AC$162,1,0)=$B522,0),F522)</f>
        <v>13.7925128218659</v>
      </c>
      <c r="O522" s="51">
        <f>IFERROR(IF(VLOOKUP($B522,Input!$AC$2:$AC$162,1,0)=$B522,0,G522),G522)</f>
        <v>23.786035885819999</v>
      </c>
      <c r="P522" s="51">
        <f>IF(N522=0,0,F522-AVERAGE(INDEX(F:F,MATCH(VLOOKUP(D522,Input!$A$14:$L$22,10,0),L:L,0)),INDEX(F:F,MATCH(VLOOKUP(D522,Input!$A$14:$L$22,11,0),L:L,0)),INDEX(F:F,MATCH(VLOOKUP(D522,Input!$A$14:$L$22,12,0),L:L,0)))+(0.01-ROW()*0.01))</f>
        <v>-160.51988520408611</v>
      </c>
      <c r="Q522" s="107">
        <f t="shared" si="118"/>
        <v>-5.5378227274176919E-2</v>
      </c>
      <c r="R522" s="11">
        <f>IF(VLOOKUP($D522,$X$14:$Y$19,2,0)&lt;=0,1,IF(Q522&lt;0,1,ROUNDUP(IF(Q522*('Draft Center'!$L$28+'Draft Center'!$L$78-'Draft Center'!$L$82)&lt;1,1,Q522*('Draft Center'!$L$28+'Draft Center'!$L$78-'Draft Center'!$L$82)),0)))</f>
        <v>1</v>
      </c>
      <c r="S522" s="11">
        <f>IF(A522&lt;Input!$B$10+0.1,IF(ROUNDUP(R522*Input!$C$10,0)=0,1,ROUNDUP(R522*Input!$C$10,0)),IF(A522&gt;Input!$B$11,IF(ROUNDUP(R522*Input!$C$11,0)=0,1,ROUNDUP(R522*Input!$C$11,0)),IF(ROUNDUP(R522,0)=0,1,ROUNDUP(R522,0))))</f>
        <v>1</v>
      </c>
      <c r="T522" s="11">
        <f t="shared" si="119"/>
        <v>1</v>
      </c>
      <c r="U522" s="11">
        <f>IFERROR(VLOOKUP($B522,Input!$AC$2:$AE$161,3,0),0)</f>
        <v>0</v>
      </c>
      <c r="V522" s="257">
        <f t="shared" si="120"/>
        <v>0</v>
      </c>
      <c r="W522" s="264">
        <f t="shared" si="121"/>
        <v>1.00522</v>
      </c>
      <c r="X522" s="68"/>
      <c r="Y522" s="68"/>
      <c r="Z522" s="68"/>
      <c r="AA522" s="68"/>
      <c r="AB522" s="68"/>
      <c r="AC522" s="68"/>
      <c r="AD522" s="68"/>
      <c r="AE522" s="68"/>
      <c r="AF522" s="68"/>
      <c r="AG522" s="68"/>
      <c r="AH522" s="68"/>
      <c r="AI522" s="68"/>
      <c r="AJ522" s="68">
        <v>1</v>
      </c>
      <c r="AL522" s="68">
        <v>1</v>
      </c>
      <c r="AM522" s="68"/>
      <c r="AN522" s="68"/>
      <c r="AO522" s="68"/>
      <c r="AQ522" s="68"/>
      <c r="AR522" s="68"/>
      <c r="AS522" s="68"/>
      <c r="AT522" s="68"/>
      <c r="AU522" s="68"/>
      <c r="AV522" s="68"/>
      <c r="AW522" s="68"/>
      <c r="AX522" s="68"/>
      <c r="AY522" s="68"/>
      <c r="AZ522" s="68"/>
      <c r="BB522" s="68"/>
      <c r="BC522" s="68"/>
      <c r="BJ522" s="68"/>
      <c r="BT522">
        <v>1</v>
      </c>
      <c r="BV522">
        <v>1</v>
      </c>
      <c r="BX522" s="68"/>
      <c r="BY522" s="68">
        <v>1</v>
      </c>
      <c r="BZ522" s="68">
        <v>0</v>
      </c>
      <c r="CA522" s="68">
        <v>0</v>
      </c>
      <c r="CB522" s="68">
        <v>0</v>
      </c>
      <c r="CC522" s="68">
        <f t="shared" si="122"/>
        <v>0</v>
      </c>
      <c r="CD522" s="68">
        <f t="shared" si="123"/>
        <v>0</v>
      </c>
    </row>
    <row r="523" spans="1:82" ht="15.75" customHeight="1" thickBot="1" x14ac:dyDescent="0.3">
      <c r="A523" s="6">
        <v>522</v>
      </c>
      <c r="B523" s="7" t="s">
        <v>970</v>
      </c>
      <c r="C523" s="7" t="s">
        <v>21</v>
      </c>
      <c r="D523" s="7" t="s">
        <v>19</v>
      </c>
      <c r="E523" s="50">
        <v>-155.360836189341</v>
      </c>
      <c r="F523" s="50">
        <v>13.741561836611201</v>
      </c>
      <c r="G523" s="50">
        <v>24.786385577128598</v>
      </c>
      <c r="H523" s="50">
        <v>0</v>
      </c>
      <c r="I523" s="8">
        <v>0</v>
      </c>
      <c r="J523" s="50">
        <v>4.6144466372926303</v>
      </c>
      <c r="K523" s="248">
        <f>IFERROR(VLOOKUP(C523,Schedule!$T$3:$U$34,2,0),"FA")</f>
        <v>5</v>
      </c>
      <c r="L523" s="7" t="str">
        <f>D523&amp;COUNTIF(D$2:$D523,D523)</f>
        <v>RB134</v>
      </c>
      <c r="M523" s="50">
        <f t="array" ref="M523">IFERROR(F523-AVERAGE(VLOOKUP(D523,$D524:$F$885,3,0),INDEX($F524:$F$885,SMALL(IF(D523=$D524:$D$885,ROW($D524:$D$885)-ROW(D523)),2))),0)</f>
        <v>0.68657912258105114</v>
      </c>
      <c r="N523" s="50">
        <f>IFERROR(IF(VLOOKUP($B523,Input!$AC$2:$AC$162,1,0)=$B523,0),F523)</f>
        <v>13.741561836611201</v>
      </c>
      <c r="O523" s="50">
        <f>IFERROR(IF(VLOOKUP($B523,Input!$AC$2:$AC$162,1,0)=$B523,0,G523),G523)</f>
        <v>24.786385577128598</v>
      </c>
      <c r="P523" s="50">
        <f>IF(N523=0,0,F523-AVERAGE(INDEX(F:F,MATCH(VLOOKUP(D523,Input!$A$14:$L$22,10,0),L:L,0)),INDEX(F:F,MATCH(VLOOKUP(D523,Input!$A$14:$L$22,11,0),L:L,0)),INDEX(F:F,MATCH(VLOOKUP(D523,Input!$A$14:$L$22,12,0),L:L,0)))+(0.01-ROW()*0.01))</f>
        <v>-160.5808361893408</v>
      </c>
      <c r="Q523" s="106">
        <f t="shared" si="118"/>
        <v>-5.5399254933832465E-2</v>
      </c>
      <c r="R523" s="8">
        <f>IF(VLOOKUP($D523,$X$14:$Y$19,2,0)&lt;=0,1,IF(Q523&lt;0,1,ROUNDUP(IF(Q523*('Draft Center'!$L$28+'Draft Center'!$L$78-'Draft Center'!$L$82)&lt;1,1,Q523*('Draft Center'!$L$28+'Draft Center'!$L$78-'Draft Center'!$L$82)),0)))</f>
        <v>1</v>
      </c>
      <c r="S523" s="8">
        <f>IF(A523&lt;Input!$B$10+0.1,IF(ROUNDUP(R523*Input!$C$10,0)=0,1,ROUNDUP(R523*Input!$C$10,0)),IF(A523&gt;Input!$B$11,IF(ROUNDUP(R523*Input!$C$11,0)=0,1,ROUNDUP(R523*Input!$C$11,0)),IF(ROUNDUP(R523,0)=0,1,ROUNDUP(R523,0))))</f>
        <v>1</v>
      </c>
      <c r="T523" s="8">
        <f t="shared" si="119"/>
        <v>1</v>
      </c>
      <c r="U523" s="8">
        <f>IFERROR(VLOOKUP($B523,Input!$AC$2:$AE$161,3,0),0)</f>
        <v>0</v>
      </c>
      <c r="V523" s="256">
        <f t="shared" si="120"/>
        <v>0</v>
      </c>
      <c r="W523" s="263">
        <f t="shared" si="121"/>
        <v>1.0052300000000001</v>
      </c>
      <c r="X523" s="68"/>
      <c r="Y523" s="68"/>
      <c r="Z523" s="68"/>
      <c r="AA523" s="68"/>
      <c r="AB523" s="68"/>
      <c r="AC523" s="68"/>
      <c r="AD523" s="68"/>
      <c r="AE523" s="68"/>
      <c r="AF523" s="68"/>
      <c r="AG523" s="68"/>
      <c r="AH523" s="68"/>
      <c r="AI523" s="68"/>
      <c r="AJ523" s="68">
        <v>1</v>
      </c>
      <c r="AL523" s="68">
        <v>1</v>
      </c>
      <c r="AM523" s="68"/>
      <c r="AN523" s="68"/>
      <c r="AO523" s="68"/>
      <c r="AQ523" s="68"/>
      <c r="AR523" s="68"/>
      <c r="AS523" s="68"/>
      <c r="AT523" s="68"/>
      <c r="AU523" s="68"/>
      <c r="AV523" s="68"/>
      <c r="AW523" s="68"/>
      <c r="AX523" s="68"/>
      <c r="AY523" s="68"/>
      <c r="AZ523" s="68"/>
      <c r="BB523" s="68"/>
      <c r="BC523" s="68"/>
      <c r="BJ523" s="68"/>
      <c r="BT523">
        <v>1</v>
      </c>
      <c r="BV523">
        <v>1</v>
      </c>
      <c r="BX523" s="68"/>
      <c r="BY523" s="68">
        <v>1</v>
      </c>
      <c r="BZ523" s="68">
        <v>0</v>
      </c>
      <c r="CA523" s="68">
        <v>0</v>
      </c>
      <c r="CB523" s="68">
        <v>0</v>
      </c>
      <c r="CC523" s="68">
        <f t="shared" si="122"/>
        <v>0</v>
      </c>
      <c r="CD523" s="68">
        <f t="shared" si="123"/>
        <v>0</v>
      </c>
    </row>
    <row r="524" spans="1:82" ht="15.75" customHeight="1" thickBot="1" x14ac:dyDescent="0.3">
      <c r="A524" s="9">
        <v>523</v>
      </c>
      <c r="B524" s="10" t="s">
        <v>313</v>
      </c>
      <c r="C524" s="10" t="s">
        <v>66</v>
      </c>
      <c r="D524" s="10" t="s">
        <v>17</v>
      </c>
      <c r="E524" s="51">
        <v>-155.87086289219201</v>
      </c>
      <c r="F524" s="51">
        <v>56.907053377156601</v>
      </c>
      <c r="G524" s="51">
        <v>81.636674907389903</v>
      </c>
      <c r="H524" s="51">
        <v>16.9746059964727</v>
      </c>
      <c r="I524" s="11">
        <v>0</v>
      </c>
      <c r="J524" s="51">
        <v>6.3611335233973696</v>
      </c>
      <c r="K524" s="249">
        <f>IFERROR(VLOOKUP(C524,Schedule!$T$3:$U$34,2,0),"FA")</f>
        <v>7</v>
      </c>
      <c r="L524" s="10" t="str">
        <f>D524&amp;COUNTIF(D$2:$D524,D524)</f>
        <v>WR116</v>
      </c>
      <c r="M524" s="51">
        <f t="array" ref="M524">IFERROR(F524-AVERAGE(VLOOKUP(D524,$D525:$F$885,3,0),INDEX($F525:$F$885,SMALL(IF(D524=$D525:$D$885,ROW($D525:$D$885)-ROW(D524)),2))),0)</f>
        <v>1.7570236843750564</v>
      </c>
      <c r="N524" s="51">
        <f>IFERROR(IF(VLOOKUP($B524,Input!$AC$2:$AC$162,1,0)=$B524,0),F524)</f>
        <v>56.907053377156601</v>
      </c>
      <c r="O524" s="51">
        <f>IFERROR(IF(VLOOKUP($B524,Input!$AC$2:$AC$162,1,0)=$B524,0,G524),G524)</f>
        <v>81.636674907389903</v>
      </c>
      <c r="P524" s="51">
        <f>IF(N524=0,0,F524-AVERAGE(INDEX(F:F,MATCH(VLOOKUP(D524,Input!$A$14:$L$22,10,0),L:L,0)),INDEX(F:F,MATCH(VLOOKUP(D524,Input!$A$14:$L$22,11,0),L:L,0)),INDEX(F:F,MATCH(VLOOKUP(D524,Input!$A$14:$L$22,12,0),L:L,0)))+(0.01-ROW()*0.01))</f>
        <v>-161.1008628921924</v>
      </c>
      <c r="Q524" s="107">
        <f t="shared" si="118"/>
        <v>-5.5578660475410963E-2</v>
      </c>
      <c r="R524" s="11">
        <f>IF(VLOOKUP($D524,$X$14:$Y$19,2,0)&lt;=0,1,IF(Q524&lt;0,1,ROUNDUP(IF(Q524*('Draft Center'!$L$28+'Draft Center'!$L$78-'Draft Center'!$L$82)&lt;1,1,Q524*('Draft Center'!$L$28+'Draft Center'!$L$78-'Draft Center'!$L$82)),0)))</f>
        <v>1</v>
      </c>
      <c r="S524" s="11">
        <f>IF(A524&lt;Input!$B$10+0.1,IF(ROUNDUP(R524*Input!$C$10,0)=0,1,ROUNDUP(R524*Input!$C$10,0)),IF(A524&gt;Input!$B$11,IF(ROUNDUP(R524*Input!$C$11,0)=0,1,ROUNDUP(R524*Input!$C$11,0)),IF(ROUNDUP(R524,0)=0,1,ROUNDUP(R524,0))))</f>
        <v>1</v>
      </c>
      <c r="T524" s="11">
        <f t="shared" si="119"/>
        <v>1</v>
      </c>
      <c r="U524" s="11">
        <f>IFERROR(VLOOKUP($B524,Input!$AC$2:$AE$161,3,0),0)</f>
        <v>0</v>
      </c>
      <c r="V524" s="257">
        <f t="shared" si="120"/>
        <v>0</v>
      </c>
      <c r="W524" s="264">
        <f t="shared" si="121"/>
        <v>1.0052399999999999</v>
      </c>
      <c r="X524" s="68"/>
      <c r="Y524" s="68"/>
      <c r="Z524" s="68"/>
      <c r="AA524" s="68"/>
      <c r="AB524" s="68"/>
      <c r="AC524" s="68"/>
      <c r="AD524" s="68"/>
      <c r="AE524" s="68"/>
      <c r="AF524" s="68"/>
      <c r="AG524" s="68"/>
      <c r="AH524" s="68"/>
      <c r="AI524" s="68"/>
      <c r="AJ524" s="68">
        <v>1</v>
      </c>
      <c r="AL524" s="68">
        <v>1</v>
      </c>
      <c r="AM524" s="68"/>
      <c r="AN524" s="68"/>
      <c r="AO524" s="68"/>
      <c r="AQ524" s="68"/>
      <c r="AR524" s="68"/>
      <c r="AS524" s="68"/>
      <c r="AT524" s="68"/>
      <c r="AU524" s="68"/>
      <c r="AV524" s="68"/>
      <c r="AW524" s="68"/>
      <c r="AX524" s="68"/>
      <c r="AY524" s="68"/>
      <c r="AZ524" s="68"/>
      <c r="BB524" s="68"/>
      <c r="BC524" s="68"/>
      <c r="BJ524" s="68"/>
      <c r="BT524">
        <v>1</v>
      </c>
      <c r="BV524">
        <v>1</v>
      </c>
      <c r="BX524" s="68"/>
      <c r="BY524" s="68">
        <v>1</v>
      </c>
      <c r="BZ524" s="68">
        <v>0</v>
      </c>
      <c r="CA524" s="68">
        <v>0</v>
      </c>
      <c r="CB524" s="68">
        <v>0</v>
      </c>
      <c r="CC524" s="68">
        <f t="shared" si="122"/>
        <v>0</v>
      </c>
      <c r="CD524" s="68">
        <f t="shared" si="123"/>
        <v>0</v>
      </c>
    </row>
    <row r="525" spans="1:82" ht="15.75" customHeight="1" thickBot="1" x14ac:dyDescent="0.3">
      <c r="A525" s="6">
        <v>524</v>
      </c>
      <c r="B525" s="7" t="s">
        <v>78</v>
      </c>
      <c r="C525" s="7" t="s">
        <v>25</v>
      </c>
      <c r="D525" s="7" t="s">
        <v>19</v>
      </c>
      <c r="E525" s="50">
        <v>-155.94649036955599</v>
      </c>
      <c r="F525" s="50">
        <v>13.1559076563959</v>
      </c>
      <c r="G525" s="50">
        <v>22.1466125</v>
      </c>
      <c r="H525" s="50">
        <v>-0.128478057889823</v>
      </c>
      <c r="I525" s="8">
        <v>0</v>
      </c>
      <c r="J525" s="50">
        <v>5.1306962479021401</v>
      </c>
      <c r="K525" s="248">
        <f>IFERROR(VLOOKUP(C525,Schedule!$T$3:$U$34,2,0),"FA")</f>
        <v>10</v>
      </c>
      <c r="L525" s="7" t="str">
        <f>D525&amp;COUNTIF(D$2:$D525,D525)</f>
        <v>RB135</v>
      </c>
      <c r="M525" s="50">
        <f t="array" ref="M525">IFERROR(F525-AVERAGE(VLOOKUP(D525,$D526:$F$885,3,0),INDEX($F526:$F$885,SMALL(IF(D525=$D526:$D$885,ROW($D526:$D$885)-ROW(D525)),2))),0)</f>
        <v>0.45940899932184998</v>
      </c>
      <c r="N525" s="50">
        <f>IFERROR(IF(VLOOKUP($B525,Input!$AC$2:$AC$162,1,0)=$B525,0),F525)</f>
        <v>13.1559076563959</v>
      </c>
      <c r="O525" s="50">
        <f>IFERROR(IF(VLOOKUP($B525,Input!$AC$2:$AC$162,1,0)=$B525,0,G525),G525)</f>
        <v>22.1466125</v>
      </c>
      <c r="P525" s="50">
        <f>IF(N525=0,0,F525-AVERAGE(INDEX(F:F,MATCH(VLOOKUP(D525,Input!$A$14:$L$22,10,0),L:L,0)),INDEX(F:F,MATCH(VLOOKUP(D525,Input!$A$14:$L$22,11,0),L:L,0)),INDEX(F:F,MATCH(VLOOKUP(D525,Input!$A$14:$L$22,12,0),L:L,0)))+(0.01-ROW()*0.01))</f>
        <v>-161.18649036955611</v>
      </c>
      <c r="Q525" s="106">
        <f t="shared" si="118"/>
        <v>-5.5608201350651018E-2</v>
      </c>
      <c r="R525" s="8">
        <f>IF(VLOOKUP($D525,$X$14:$Y$19,2,0)&lt;=0,1,IF(Q525&lt;0,1,ROUNDUP(IF(Q525*('Draft Center'!$L$28+'Draft Center'!$L$78-'Draft Center'!$L$82)&lt;1,1,Q525*('Draft Center'!$L$28+'Draft Center'!$L$78-'Draft Center'!$L$82)),0)))</f>
        <v>1</v>
      </c>
      <c r="S525" s="8">
        <f>IF(A525&lt;Input!$B$10+0.1,IF(ROUNDUP(R525*Input!$C$10,0)=0,1,ROUNDUP(R525*Input!$C$10,0)),IF(A525&gt;Input!$B$11,IF(ROUNDUP(R525*Input!$C$11,0)=0,1,ROUNDUP(R525*Input!$C$11,0)),IF(ROUNDUP(R525,0)=0,1,ROUNDUP(R525,0))))</f>
        <v>1</v>
      </c>
      <c r="T525" s="8">
        <f t="shared" si="119"/>
        <v>1</v>
      </c>
      <c r="U525" s="8">
        <f>IFERROR(VLOOKUP($B525,Input!$AC$2:$AE$161,3,0),0)</f>
        <v>0</v>
      </c>
      <c r="V525" s="256">
        <f t="shared" si="120"/>
        <v>0</v>
      </c>
      <c r="W525" s="263">
        <f t="shared" si="121"/>
        <v>1.00525</v>
      </c>
      <c r="X525" s="68"/>
      <c r="Y525" s="68"/>
      <c r="Z525" s="68"/>
      <c r="AA525" s="68"/>
      <c r="AB525" s="68"/>
      <c r="AC525" s="68"/>
      <c r="AD525" s="68"/>
      <c r="AE525" s="68"/>
      <c r="AF525" s="68"/>
      <c r="AG525" s="68"/>
      <c r="AH525" s="68"/>
      <c r="AI525" s="68"/>
      <c r="AJ525" s="68">
        <v>1</v>
      </c>
      <c r="AL525" s="68">
        <v>1</v>
      </c>
      <c r="AM525" s="68"/>
      <c r="AN525" s="68"/>
      <c r="AO525" s="68"/>
      <c r="AQ525" s="68"/>
      <c r="AR525" s="68"/>
      <c r="AS525" s="68"/>
      <c r="AT525" s="68"/>
      <c r="AU525" s="68"/>
      <c r="AV525" s="68"/>
      <c r="AW525" s="68"/>
      <c r="AX525" s="68"/>
      <c r="AY525" s="68"/>
      <c r="AZ525" s="68"/>
      <c r="BB525" s="68"/>
      <c r="BC525" s="68"/>
      <c r="BJ525" s="68"/>
      <c r="BT525">
        <v>1</v>
      </c>
      <c r="BV525">
        <v>1</v>
      </c>
      <c r="BX525" s="68"/>
      <c r="BY525" s="68">
        <v>1</v>
      </c>
      <c r="BZ525" s="68">
        <v>0</v>
      </c>
      <c r="CA525" s="68">
        <v>0</v>
      </c>
      <c r="CB525" s="68">
        <v>0</v>
      </c>
      <c r="CC525" s="68">
        <f t="shared" si="122"/>
        <v>0</v>
      </c>
      <c r="CD525" s="68">
        <f t="shared" si="123"/>
        <v>0</v>
      </c>
    </row>
    <row r="526" spans="1:82" ht="15.75" customHeight="1" thickBot="1" x14ac:dyDescent="0.3">
      <c r="A526" s="9">
        <v>525</v>
      </c>
      <c r="B526" s="10" t="s">
        <v>1102</v>
      </c>
      <c r="C526" s="10" t="s">
        <v>311</v>
      </c>
      <c r="D526" s="10" t="s">
        <v>19</v>
      </c>
      <c r="E526" s="51">
        <v>-156.14834025428701</v>
      </c>
      <c r="F526" s="51">
        <v>12.954057771664401</v>
      </c>
      <c r="G526" s="51">
        <v>20.080467422990001</v>
      </c>
      <c r="H526" s="51">
        <v>0</v>
      </c>
      <c r="I526" s="11" t="s">
        <v>1057</v>
      </c>
      <c r="J526" s="51">
        <v>6.5643893495576</v>
      </c>
      <c r="K526" s="249" t="str">
        <f>IFERROR(VLOOKUP(C526,Schedule!$T$3:$U$34,2,0),"FA")</f>
        <v>FA</v>
      </c>
      <c r="L526" s="10" t="str">
        <f>D526&amp;COUNTIF(D$2:$D526,D526)</f>
        <v>RB136</v>
      </c>
      <c r="M526" s="51">
        <f t="array" ref="M526">IFERROR(F526-AVERAGE(VLOOKUP(D526,$D527:$F$885,3,0),INDEX($F527:$F$885,SMALL(IF(D526=$D527:$D$885,ROW($D527:$D$885)-ROW(D526)),2))),0)</f>
        <v>0.98994488651029933</v>
      </c>
      <c r="N526" s="51">
        <f>IFERROR(IF(VLOOKUP($B526,Input!$AC$2:$AC$162,1,0)=$B526,0),F526)</f>
        <v>12.954057771664401</v>
      </c>
      <c r="O526" s="51">
        <f>IFERROR(IF(VLOOKUP($B526,Input!$AC$2:$AC$162,1,0)=$B526,0,G526),G526)</f>
        <v>20.080467422990001</v>
      </c>
      <c r="P526" s="51">
        <f>IF(N526=0,0,F526-AVERAGE(INDEX(F:F,MATCH(VLOOKUP(D526,Input!$A$14:$L$22,10,0),L:L,0)),INDEX(F:F,MATCH(VLOOKUP(D526,Input!$A$14:$L$22,11,0),L:L,0)),INDEX(F:F,MATCH(VLOOKUP(D526,Input!$A$14:$L$22,12,0),L:L,0)))+(0.01-ROW()*0.01))</f>
        <v>-161.3983402542876</v>
      </c>
      <c r="Q526" s="107">
        <f t="shared" si="118"/>
        <v>-5.5681288065420047E-2</v>
      </c>
      <c r="R526" s="11">
        <f>IF(VLOOKUP($D526,$X$14:$Y$19,2,0)&lt;=0,1,IF(Q526&lt;0,1,ROUNDUP(IF(Q526*('Draft Center'!$L$28+'Draft Center'!$L$78-'Draft Center'!$L$82)&lt;1,1,Q526*('Draft Center'!$L$28+'Draft Center'!$L$78-'Draft Center'!$L$82)),0)))</f>
        <v>1</v>
      </c>
      <c r="S526" s="11">
        <f>IF(A526&lt;Input!$B$10+0.1,IF(ROUNDUP(R526*Input!$C$10,0)=0,1,ROUNDUP(R526*Input!$C$10,0)),IF(A526&gt;Input!$B$11,IF(ROUNDUP(R526*Input!$C$11,0)=0,1,ROUNDUP(R526*Input!$C$11,0)),IF(ROUNDUP(R526,0)=0,1,ROUNDUP(R526,0))))</f>
        <v>1</v>
      </c>
      <c r="T526" s="11">
        <f t="shared" si="119"/>
        <v>1</v>
      </c>
      <c r="U526" s="11">
        <f>IFERROR(VLOOKUP($B526,Input!$AC$2:$AE$161,3,0),0)</f>
        <v>0</v>
      </c>
      <c r="V526" s="257">
        <f t="shared" si="120"/>
        <v>0</v>
      </c>
      <c r="W526" s="264">
        <f t="shared" si="121"/>
        <v>0</v>
      </c>
      <c r="X526" s="68"/>
      <c r="Y526" s="68"/>
      <c r="Z526" s="68"/>
      <c r="AA526" s="68"/>
      <c r="AB526" s="68"/>
      <c r="AC526" s="68"/>
      <c r="AD526" s="68"/>
      <c r="AE526" s="68"/>
      <c r="AF526" s="68"/>
      <c r="AG526" s="68"/>
      <c r="AH526" s="68"/>
      <c r="AI526" s="68"/>
      <c r="AJ526" s="68">
        <v>1</v>
      </c>
      <c r="AL526" s="68">
        <v>1</v>
      </c>
      <c r="AM526" s="68"/>
      <c r="AN526" s="68"/>
      <c r="AO526" s="68"/>
      <c r="AQ526" s="68"/>
      <c r="AR526" s="68"/>
      <c r="AS526" s="68"/>
      <c r="AT526" s="68"/>
      <c r="AU526" s="68"/>
      <c r="AV526" s="68"/>
      <c r="AW526" s="68"/>
      <c r="AX526" s="68"/>
      <c r="AY526" s="68"/>
      <c r="AZ526" s="68"/>
      <c r="BB526" s="68"/>
      <c r="BC526" s="68"/>
      <c r="BJ526" s="68"/>
      <c r="BT526">
        <v>1</v>
      </c>
      <c r="BV526">
        <v>1</v>
      </c>
      <c r="BX526" s="68"/>
      <c r="BY526" s="68">
        <v>1</v>
      </c>
      <c r="BZ526" s="68" t="s">
        <v>1057</v>
      </c>
      <c r="CA526" s="68" t="s">
        <v>1057</v>
      </c>
      <c r="CB526" s="68" t="s">
        <v>1057</v>
      </c>
      <c r="CC526" s="68" t="e">
        <f t="shared" si="122"/>
        <v>#DIV/0!</v>
      </c>
      <c r="CD526" s="68" t="str">
        <f t="shared" si="123"/>
        <v>NA</v>
      </c>
    </row>
    <row r="527" spans="1:82" ht="15.75" customHeight="1" thickBot="1" x14ac:dyDescent="0.3">
      <c r="A527" s="6">
        <v>526</v>
      </c>
      <c r="B527" s="7" t="s">
        <v>885</v>
      </c>
      <c r="C527" s="7" t="s">
        <v>61</v>
      </c>
      <c r="D527" s="7" t="s">
        <v>19</v>
      </c>
      <c r="E527" s="50">
        <v>-156.66345848346799</v>
      </c>
      <c r="F527" s="50">
        <v>12.4389395424837</v>
      </c>
      <c r="G527" s="50">
        <v>22.955210000000001</v>
      </c>
      <c r="H527" s="50">
        <v>-6.4239028944911306E-2</v>
      </c>
      <c r="I527" s="8" t="s">
        <v>1057</v>
      </c>
      <c r="J527" s="50">
        <v>6.7100027454695299</v>
      </c>
      <c r="K527" s="248">
        <f>IFERROR(VLOOKUP(C527,Schedule!$T$3:$U$34,2,0),"FA")</f>
        <v>5</v>
      </c>
      <c r="L527" s="7" t="str">
        <f>D527&amp;COUNTIF(D$2:$D527,D527)</f>
        <v>RB137</v>
      </c>
      <c r="M527" s="50">
        <f t="array" ref="M527">IFERROR(F527-AVERAGE(VLOOKUP(D527,$D528:$F$885,3,0),INDEX($F528:$F$885,SMALL(IF(D527=$D528:$D$885,ROW($D528:$D$885)-ROW(D527)),2))),0)</f>
        <v>0.96582104978354977</v>
      </c>
      <c r="N527" s="50">
        <f>IFERROR(IF(VLOOKUP($B527,Input!$AC$2:$AC$162,1,0)=$B527,0),F527)</f>
        <v>12.4389395424837</v>
      </c>
      <c r="O527" s="50">
        <f>IFERROR(IF(VLOOKUP($B527,Input!$AC$2:$AC$162,1,0)=$B527,0,G527),G527)</f>
        <v>22.955210000000001</v>
      </c>
      <c r="P527" s="50">
        <f>IF(N527=0,0,F527-AVERAGE(INDEX(F:F,MATCH(VLOOKUP(D527,Input!$A$14:$L$22,10,0),L:L,0)),INDEX(F:F,MATCH(VLOOKUP(D527,Input!$A$14:$L$22,11,0),L:L,0)),INDEX(F:F,MATCH(VLOOKUP(D527,Input!$A$14:$L$22,12,0),L:L,0)))+(0.01-ROW()*0.01))</f>
        <v>-161.92345848346829</v>
      </c>
      <c r="Q527" s="106">
        <f t="shared" si="118"/>
        <v>-5.5862450147640637E-2</v>
      </c>
      <c r="R527" s="8">
        <f>IF(VLOOKUP($D527,$X$14:$Y$19,2,0)&lt;=0,1,IF(Q527&lt;0,1,ROUNDUP(IF(Q527*('Draft Center'!$L$28+'Draft Center'!$L$78-'Draft Center'!$L$82)&lt;1,1,Q527*('Draft Center'!$L$28+'Draft Center'!$L$78-'Draft Center'!$L$82)),0)))</f>
        <v>1</v>
      </c>
      <c r="S527" s="8">
        <f>IF(A527&lt;Input!$B$10+0.1,IF(ROUNDUP(R527*Input!$C$10,0)=0,1,ROUNDUP(R527*Input!$C$10,0)),IF(A527&gt;Input!$B$11,IF(ROUNDUP(R527*Input!$C$11,0)=0,1,ROUNDUP(R527*Input!$C$11,0)),IF(ROUNDUP(R527,0)=0,1,ROUNDUP(R527,0))))</f>
        <v>1</v>
      </c>
      <c r="T527" s="8">
        <f t="shared" si="119"/>
        <v>1</v>
      </c>
      <c r="U527" s="8">
        <f>IFERROR(VLOOKUP($B527,Input!$AC$2:$AE$161,3,0),0)</f>
        <v>0</v>
      </c>
      <c r="V527" s="256">
        <f t="shared" si="120"/>
        <v>0</v>
      </c>
      <c r="W527" s="263">
        <f t="shared" si="121"/>
        <v>0</v>
      </c>
      <c r="X527" s="68"/>
      <c r="Y527" s="68"/>
      <c r="Z527" s="68"/>
      <c r="AA527" s="68"/>
      <c r="AB527" s="68"/>
      <c r="AC527" s="68"/>
      <c r="AD527" s="68"/>
      <c r="AE527" s="68"/>
      <c r="AF527" s="68"/>
      <c r="AG527" s="68"/>
      <c r="AH527" s="68"/>
      <c r="AI527" s="68"/>
      <c r="AJ527" s="68">
        <v>1</v>
      </c>
      <c r="AL527" s="68">
        <v>1</v>
      </c>
      <c r="AM527" s="68"/>
      <c r="AN527" s="68"/>
      <c r="AO527" s="68"/>
      <c r="AQ527" s="68"/>
      <c r="AR527" s="68"/>
      <c r="AS527" s="68"/>
      <c r="AT527" s="68"/>
      <c r="AU527" s="68"/>
      <c r="AV527" s="68"/>
      <c r="AW527" s="68"/>
      <c r="AX527" s="68"/>
      <c r="AY527" s="68"/>
      <c r="AZ527" s="68"/>
      <c r="BB527" s="68"/>
      <c r="BC527" s="68"/>
      <c r="BJ527" s="68"/>
      <c r="BT527">
        <v>1</v>
      </c>
      <c r="BV527">
        <v>1</v>
      </c>
      <c r="BX527" s="68"/>
      <c r="BY527" s="68">
        <v>1</v>
      </c>
      <c r="BZ527" s="68" t="s">
        <v>1057</v>
      </c>
      <c r="CA527" s="68" t="s">
        <v>1057</v>
      </c>
      <c r="CB527" s="68" t="s">
        <v>1057</v>
      </c>
      <c r="CC527" s="68" t="e">
        <f t="shared" si="122"/>
        <v>#DIV/0!</v>
      </c>
      <c r="CD527" s="68" t="str">
        <f t="shared" si="123"/>
        <v>NA</v>
      </c>
    </row>
    <row r="528" spans="1:82" ht="15.75" customHeight="1" thickBot="1" x14ac:dyDescent="0.3">
      <c r="A528" s="9">
        <v>527</v>
      </c>
      <c r="B528" s="10" t="s">
        <v>388</v>
      </c>
      <c r="C528" s="10" t="s">
        <v>68</v>
      </c>
      <c r="D528" s="10" t="s">
        <v>17</v>
      </c>
      <c r="E528" s="51">
        <v>-157.18780221904399</v>
      </c>
      <c r="F528" s="51">
        <v>55.590114050304898</v>
      </c>
      <c r="G528" s="51">
        <v>79.077886858220694</v>
      </c>
      <c r="H528" s="51">
        <v>37.922208504801098</v>
      </c>
      <c r="I528" s="11">
        <v>0</v>
      </c>
      <c r="J528" s="51">
        <v>5.5765841518183903</v>
      </c>
      <c r="K528" s="249">
        <f>IFERROR(VLOOKUP(C528,Schedule!$T$3:$U$34,2,0),"FA")</f>
        <v>8</v>
      </c>
      <c r="L528" s="10" t="str">
        <f>D528&amp;COUNTIF(D$2:$D528,D528)</f>
        <v>WR117</v>
      </c>
      <c r="M528" s="51">
        <f t="array" ref="M528">IFERROR(F528-AVERAGE(VLOOKUP(D528,$D529:$F$885,3,0),INDEX($F529:$F$885,SMALL(IF(D528=$D529:$D$885,ROW($D529:$D$885)-ROW(D528)),2))),0)</f>
        <v>1.182473853525245</v>
      </c>
      <c r="N528" s="51">
        <f>IFERROR(IF(VLOOKUP($B528,Input!$AC$2:$AC$162,1,0)=$B528,0),F528)</f>
        <v>55.590114050304898</v>
      </c>
      <c r="O528" s="51">
        <f>IFERROR(IF(VLOOKUP($B528,Input!$AC$2:$AC$162,1,0)=$B528,0,G528),G528)</f>
        <v>79.077886858220694</v>
      </c>
      <c r="P528" s="51">
        <f>IF(N528=0,0,F528-AVERAGE(INDEX(F:F,MATCH(VLOOKUP(D528,Input!$A$14:$L$22,10,0),L:L,0)),INDEX(F:F,MATCH(VLOOKUP(D528,Input!$A$14:$L$22,11,0),L:L,0)),INDEX(F:F,MATCH(VLOOKUP(D528,Input!$A$14:$L$22,12,0),L:L,0)))+(0.01-ROW()*0.01))</f>
        <v>-162.45780221904414</v>
      </c>
      <c r="Q528" s="107">
        <f t="shared" si="118"/>
        <v>-5.6046794964444042E-2</v>
      </c>
      <c r="R528" s="11">
        <f>IF(VLOOKUP($D528,$X$14:$Y$19,2,0)&lt;=0,1,IF(Q528&lt;0,1,ROUNDUP(IF(Q528*('Draft Center'!$L$28+'Draft Center'!$L$78-'Draft Center'!$L$82)&lt;1,1,Q528*('Draft Center'!$L$28+'Draft Center'!$L$78-'Draft Center'!$L$82)),0)))</f>
        <v>1</v>
      </c>
      <c r="S528" s="11">
        <f>IF(A528&lt;Input!$B$10+0.1,IF(ROUNDUP(R528*Input!$C$10,0)=0,1,ROUNDUP(R528*Input!$C$10,0)),IF(A528&gt;Input!$B$11,IF(ROUNDUP(R528*Input!$C$11,0)=0,1,ROUNDUP(R528*Input!$C$11,0)),IF(ROUNDUP(R528,0)=0,1,ROUNDUP(R528,0))))</f>
        <v>1</v>
      </c>
      <c r="T528" s="11">
        <f t="shared" si="119"/>
        <v>1</v>
      </c>
      <c r="U528" s="11">
        <f>IFERROR(VLOOKUP($B528,Input!$AC$2:$AE$161,3,0),0)</f>
        <v>0</v>
      </c>
      <c r="V528" s="257">
        <f t="shared" si="120"/>
        <v>0</v>
      </c>
      <c r="W528" s="264">
        <f t="shared" si="121"/>
        <v>1.00528</v>
      </c>
      <c r="X528" s="68"/>
      <c r="Y528" s="68"/>
      <c r="Z528" s="68"/>
      <c r="AA528" s="68"/>
      <c r="AB528" s="68"/>
      <c r="AC528" s="68"/>
      <c r="AD528" s="68"/>
      <c r="AE528" s="68"/>
      <c r="AF528" s="68"/>
      <c r="AG528" s="68"/>
      <c r="AH528" s="68"/>
      <c r="AI528" s="68"/>
      <c r="AJ528" s="68">
        <v>1</v>
      </c>
      <c r="AL528" s="68">
        <v>1</v>
      </c>
      <c r="AM528" s="68"/>
      <c r="AN528" s="68"/>
      <c r="AO528" s="68"/>
      <c r="AQ528" s="68"/>
      <c r="AR528" s="68"/>
      <c r="AS528" s="68"/>
      <c r="AT528" s="68"/>
      <c r="AU528" s="68"/>
      <c r="AV528" s="68"/>
      <c r="AW528" s="68"/>
      <c r="AX528" s="68"/>
      <c r="AY528" s="68"/>
      <c r="AZ528" s="68"/>
      <c r="BB528" s="68"/>
      <c r="BC528" s="68"/>
      <c r="BJ528" s="68"/>
      <c r="BT528">
        <v>1</v>
      </c>
      <c r="BV528">
        <v>1</v>
      </c>
      <c r="BX528" s="68"/>
      <c r="BY528" s="68">
        <v>1</v>
      </c>
      <c r="BZ528" s="68">
        <v>0</v>
      </c>
      <c r="CA528" s="68">
        <v>0</v>
      </c>
      <c r="CB528" s="68">
        <v>0</v>
      </c>
      <c r="CC528" s="68">
        <f t="shared" si="122"/>
        <v>0</v>
      </c>
      <c r="CD528" s="68">
        <f t="shared" si="123"/>
        <v>0</v>
      </c>
    </row>
    <row r="529" spans="1:82" ht="15.75" customHeight="1" thickBot="1" x14ac:dyDescent="0.3">
      <c r="A529" s="6">
        <v>528</v>
      </c>
      <c r="B529" s="7" t="s">
        <v>413</v>
      </c>
      <c r="C529" s="7" t="s">
        <v>27</v>
      </c>
      <c r="D529" s="7" t="s">
        <v>19</v>
      </c>
      <c r="E529" s="50">
        <v>-157.61311179812699</v>
      </c>
      <c r="F529" s="50">
        <v>11.4892862278245</v>
      </c>
      <c r="G529" s="50">
        <v>18.162067278287498</v>
      </c>
      <c r="H529" s="50">
        <v>-0.128478057889823</v>
      </c>
      <c r="I529" s="8" t="s">
        <v>1057</v>
      </c>
      <c r="J529" s="50">
        <v>4.8291777515343002</v>
      </c>
      <c r="K529" s="248">
        <f>IFERROR(VLOOKUP(C529,Schedule!$T$3:$U$34,2,0),"FA")</f>
        <v>8</v>
      </c>
      <c r="L529" s="7" t="str">
        <f>D529&amp;COUNTIF(D$2:$D529,D529)</f>
        <v>RB138</v>
      </c>
      <c r="M529" s="50">
        <f t="array" ref="M529">IFERROR(F529-AVERAGE(VLOOKUP(D529,$D530:$F$885,3,0),INDEX($F530:$F$885,SMALL(IF(D529=$D530:$D$885,ROW($D530:$D$885)-ROW(D529)),2))),0)</f>
        <v>0.70581084903660063</v>
      </c>
      <c r="N529" s="50">
        <f>IFERROR(IF(VLOOKUP($B529,Input!$AC$2:$AC$162,1,0)=$B529,0),F529)</f>
        <v>11.4892862278245</v>
      </c>
      <c r="O529" s="50">
        <f>IFERROR(IF(VLOOKUP($B529,Input!$AC$2:$AC$162,1,0)=$B529,0,G529),G529)</f>
        <v>18.162067278287498</v>
      </c>
      <c r="P529" s="50">
        <f>IF(N529=0,0,F529-AVERAGE(INDEX(F:F,MATCH(VLOOKUP(D529,Input!$A$14:$L$22,10,0),L:L,0)),INDEX(F:F,MATCH(VLOOKUP(D529,Input!$A$14:$L$22,11,0),L:L,0)),INDEX(F:F,MATCH(VLOOKUP(D529,Input!$A$14:$L$22,12,0),L:L,0)))+(0.01-ROW()*0.01))</f>
        <v>-162.89311179812751</v>
      </c>
      <c r="Q529" s="106">
        <f t="shared" si="118"/>
        <v>-5.6196973696346672E-2</v>
      </c>
      <c r="R529" s="8">
        <f>IF(VLOOKUP($D529,$X$14:$Y$19,2,0)&lt;=0,1,IF(Q529&lt;0,1,ROUNDUP(IF(Q529*('Draft Center'!$L$28+'Draft Center'!$L$78-'Draft Center'!$L$82)&lt;1,1,Q529*('Draft Center'!$L$28+'Draft Center'!$L$78-'Draft Center'!$L$82)),0)))</f>
        <v>1</v>
      </c>
      <c r="S529" s="8">
        <f>IF(A529&lt;Input!$B$10+0.1,IF(ROUNDUP(R529*Input!$C$10,0)=0,1,ROUNDUP(R529*Input!$C$10,0)),IF(A529&gt;Input!$B$11,IF(ROUNDUP(R529*Input!$C$11,0)=0,1,ROUNDUP(R529*Input!$C$11,0)),IF(ROUNDUP(R529,0)=0,1,ROUNDUP(R529,0))))</f>
        <v>1</v>
      </c>
      <c r="T529" s="8">
        <f t="shared" si="119"/>
        <v>1</v>
      </c>
      <c r="U529" s="8">
        <f>IFERROR(VLOOKUP($B529,Input!$AC$2:$AE$161,3,0),0)</f>
        <v>0</v>
      </c>
      <c r="V529" s="256">
        <f t="shared" si="120"/>
        <v>0</v>
      </c>
      <c r="W529" s="263">
        <f t="shared" si="121"/>
        <v>0</v>
      </c>
      <c r="X529" s="68"/>
      <c r="Y529" s="68"/>
      <c r="Z529" s="68"/>
      <c r="AA529" s="68"/>
      <c r="AB529" s="68"/>
      <c r="AC529" s="68"/>
      <c r="AD529" s="68"/>
      <c r="AE529" s="68"/>
      <c r="AF529" s="68"/>
      <c r="AG529" s="68"/>
      <c r="AH529" s="68"/>
      <c r="AI529" s="68"/>
      <c r="AJ529" s="68">
        <v>1</v>
      </c>
      <c r="AL529" s="68">
        <v>1</v>
      </c>
      <c r="AM529" s="68"/>
      <c r="AN529" s="68"/>
      <c r="AO529" s="68"/>
      <c r="AQ529" s="68"/>
      <c r="AR529" s="68"/>
      <c r="AS529" s="68"/>
      <c r="AT529" s="68"/>
      <c r="AU529" s="68"/>
      <c r="AV529" s="68"/>
      <c r="AW529" s="68"/>
      <c r="AX529" s="68"/>
      <c r="AY529" s="68"/>
      <c r="AZ529" s="68"/>
      <c r="BB529" s="68"/>
      <c r="BC529" s="68"/>
      <c r="BJ529" s="68"/>
      <c r="BT529">
        <v>1</v>
      </c>
      <c r="BV529">
        <v>1</v>
      </c>
      <c r="BX529" s="68"/>
      <c r="BY529" s="68">
        <v>1</v>
      </c>
      <c r="BZ529" s="68" t="s">
        <v>1057</v>
      </c>
      <c r="CA529" s="68" t="s">
        <v>1057</v>
      </c>
      <c r="CB529" s="68" t="s">
        <v>1057</v>
      </c>
      <c r="CC529" s="68" t="e">
        <f t="shared" si="122"/>
        <v>#DIV/0!</v>
      </c>
      <c r="CD529" s="68" t="str">
        <f t="shared" si="123"/>
        <v>NA</v>
      </c>
    </row>
    <row r="530" spans="1:82" ht="15.75" customHeight="1" thickBot="1" x14ac:dyDescent="0.3">
      <c r="A530" s="9">
        <v>529</v>
      </c>
      <c r="B530" s="10" t="s">
        <v>806</v>
      </c>
      <c r="C530" s="10" t="s">
        <v>80</v>
      </c>
      <c r="D530" s="10" t="s">
        <v>19</v>
      </c>
      <c r="E530" s="51">
        <v>-157.64544726837599</v>
      </c>
      <c r="F530" s="51">
        <v>11.4569507575758</v>
      </c>
      <c r="G530" s="51">
        <v>22.254560000000001</v>
      </c>
      <c r="H530" s="51">
        <v>0</v>
      </c>
      <c r="I530" s="11">
        <v>0</v>
      </c>
      <c r="J530" s="51">
        <v>5.5392020853975401</v>
      </c>
      <c r="K530" s="249">
        <f>IFERROR(VLOOKUP(C530,Schedule!$T$3:$U$34,2,0),"FA")</f>
        <v>11</v>
      </c>
      <c r="L530" s="10" t="str">
        <f>D530&amp;COUNTIF(D$2:$D530,D530)</f>
        <v>RB139</v>
      </c>
      <c r="M530" s="51">
        <f t="array" ref="M530">IFERROR(F530-AVERAGE(VLOOKUP(D530,$D531:$F$885,3,0),INDEX($F531:$F$885,SMALL(IF(D530=$D531:$D$885,ROW($D531:$D$885)-ROW(D530)),2))),0)</f>
        <v>1.536567647555735</v>
      </c>
      <c r="N530" s="51">
        <f>IFERROR(IF(VLOOKUP($B530,Input!$AC$2:$AC$162,1,0)=$B530,0),F530)</f>
        <v>11.4569507575758</v>
      </c>
      <c r="O530" s="51">
        <f>IFERROR(IF(VLOOKUP($B530,Input!$AC$2:$AC$162,1,0)=$B530,0,G530),G530)</f>
        <v>22.254560000000001</v>
      </c>
      <c r="P530" s="51">
        <f>IF(N530=0,0,F530-AVERAGE(INDEX(F:F,MATCH(VLOOKUP(D530,Input!$A$14:$L$22,10,0),L:L,0)),INDEX(F:F,MATCH(VLOOKUP(D530,Input!$A$14:$L$22,11,0),L:L,0)),INDEX(F:F,MATCH(VLOOKUP(D530,Input!$A$14:$L$22,12,0),L:L,0)))+(0.01-ROW()*0.01))</f>
        <v>-162.93544726837618</v>
      </c>
      <c r="Q530" s="107">
        <f t="shared" si="118"/>
        <v>-5.6211579134733382E-2</v>
      </c>
      <c r="R530" s="11">
        <f>IF(VLOOKUP($D530,$X$14:$Y$19,2,0)&lt;=0,1,IF(Q530&lt;0,1,ROUNDUP(IF(Q530*('Draft Center'!$L$28+'Draft Center'!$L$78-'Draft Center'!$L$82)&lt;1,1,Q530*('Draft Center'!$L$28+'Draft Center'!$L$78-'Draft Center'!$L$82)),0)))</f>
        <v>1</v>
      </c>
      <c r="S530" s="11">
        <f>IF(A530&lt;Input!$B$10+0.1,IF(ROUNDUP(R530*Input!$C$10,0)=0,1,ROUNDUP(R530*Input!$C$10,0)),IF(A530&gt;Input!$B$11,IF(ROUNDUP(R530*Input!$C$11,0)=0,1,ROUNDUP(R530*Input!$C$11,0)),IF(ROUNDUP(R530,0)=0,1,ROUNDUP(R530,0))))</f>
        <v>1</v>
      </c>
      <c r="T530" s="11">
        <f t="shared" si="119"/>
        <v>1</v>
      </c>
      <c r="U530" s="11">
        <f>IFERROR(VLOOKUP($B530,Input!$AC$2:$AE$161,3,0),0)</f>
        <v>0</v>
      </c>
      <c r="V530" s="257">
        <f t="shared" si="120"/>
        <v>0</v>
      </c>
      <c r="W530" s="264">
        <f t="shared" si="121"/>
        <v>1.0053000000000001</v>
      </c>
      <c r="X530" s="68"/>
      <c r="Y530" s="68"/>
      <c r="Z530" s="68"/>
      <c r="AA530" s="68"/>
      <c r="AB530" s="68"/>
      <c r="AC530" s="68"/>
      <c r="AD530" s="68"/>
      <c r="AE530" s="68"/>
      <c r="AF530" s="68"/>
      <c r="AG530" s="68"/>
      <c r="AH530" s="68"/>
      <c r="AI530" s="68"/>
      <c r="AJ530" s="68">
        <v>1</v>
      </c>
      <c r="AL530" s="68">
        <v>1</v>
      </c>
      <c r="AM530" s="68"/>
      <c r="AN530" s="68"/>
      <c r="AO530" s="68"/>
      <c r="AQ530" s="68"/>
      <c r="AR530" s="68"/>
      <c r="AS530" s="68"/>
      <c r="AT530" s="68"/>
      <c r="AU530" s="68"/>
      <c r="AV530" s="68"/>
      <c r="AW530" s="68"/>
      <c r="AX530" s="68"/>
      <c r="AY530" s="68"/>
      <c r="AZ530" s="68"/>
      <c r="BB530" s="68"/>
      <c r="BC530" s="68"/>
      <c r="BJ530" s="68"/>
      <c r="BT530">
        <v>1</v>
      </c>
      <c r="BV530">
        <v>1</v>
      </c>
      <c r="BX530" s="68"/>
      <c r="BY530" s="68">
        <v>1</v>
      </c>
      <c r="BZ530" s="68">
        <v>0</v>
      </c>
      <c r="CA530" s="68">
        <v>0</v>
      </c>
      <c r="CB530" s="68">
        <v>0</v>
      </c>
      <c r="CC530" s="68">
        <f t="shared" si="122"/>
        <v>0</v>
      </c>
      <c r="CD530" s="68">
        <f t="shared" si="123"/>
        <v>0</v>
      </c>
    </row>
    <row r="531" spans="1:82" ht="15.75" customHeight="1" thickBot="1" x14ac:dyDescent="0.3">
      <c r="A531" s="6">
        <v>530</v>
      </c>
      <c r="B531" s="7" t="s">
        <v>131</v>
      </c>
      <c r="C531" s="7" t="s">
        <v>33</v>
      </c>
      <c r="D531" s="7" t="s">
        <v>17</v>
      </c>
      <c r="E531" s="50">
        <v>-158.06797093409099</v>
      </c>
      <c r="F531" s="50">
        <v>54.709945335258197</v>
      </c>
      <c r="G531" s="50">
        <v>71.750796863406407</v>
      </c>
      <c r="H531" s="50">
        <v>31.383874916715701</v>
      </c>
      <c r="I531" s="8">
        <v>0</v>
      </c>
      <c r="J531" s="50">
        <v>5.9921802167311498</v>
      </c>
      <c r="K531" s="248">
        <f>IFERROR(VLOOKUP(C531,Schedule!$T$3:$U$34,2,0),"FA")</f>
        <v>9</v>
      </c>
      <c r="L531" s="7" t="str">
        <f>D531&amp;COUNTIF(D$2:$D531,D531)</f>
        <v>WR118</v>
      </c>
      <c r="M531" s="50">
        <f t="array" ref="M531">IFERROR(F531-AVERAGE(VLOOKUP(D531,$D532:$F$885,3,0),INDEX($F532:$F$885,SMALL(IF(D531=$D532:$D$885,ROW($D532:$D$885)-ROW(D531)),2))),0)</f>
        <v>1.2140426247549456</v>
      </c>
      <c r="N531" s="50">
        <f>IFERROR(IF(VLOOKUP($B531,Input!$AC$2:$AC$162,1,0)=$B531,0),F531)</f>
        <v>54.709945335258197</v>
      </c>
      <c r="O531" s="50">
        <f>IFERROR(IF(VLOOKUP($B531,Input!$AC$2:$AC$162,1,0)=$B531,0,G531),G531)</f>
        <v>71.750796863406407</v>
      </c>
      <c r="P531" s="50">
        <f>IF(N531=0,0,F531-AVERAGE(INDEX(F:F,MATCH(VLOOKUP(D531,Input!$A$14:$L$22,10,0),L:L,0)),INDEX(F:F,MATCH(VLOOKUP(D531,Input!$A$14:$L$22,11,0),L:L,0)),INDEX(F:F,MATCH(VLOOKUP(D531,Input!$A$14:$L$22,12,0),L:L,0)))+(0.01-ROW()*0.01))</f>
        <v>-163.36797093409083</v>
      </c>
      <c r="Q531" s="106">
        <f t="shared" si="118"/>
        <v>-5.6360796746189767E-2</v>
      </c>
      <c r="R531" s="8">
        <f>IF(VLOOKUP($D531,$X$14:$Y$19,2,0)&lt;=0,1,IF(Q531&lt;0,1,ROUNDUP(IF(Q531*('Draft Center'!$L$28+'Draft Center'!$L$78-'Draft Center'!$L$82)&lt;1,1,Q531*('Draft Center'!$L$28+'Draft Center'!$L$78-'Draft Center'!$L$82)),0)))</f>
        <v>1</v>
      </c>
      <c r="S531" s="8">
        <f>IF(A531&lt;Input!$B$10+0.1,IF(ROUNDUP(R531*Input!$C$10,0)=0,1,ROUNDUP(R531*Input!$C$10,0)),IF(A531&gt;Input!$B$11,IF(ROUNDUP(R531*Input!$C$11,0)=0,1,ROUNDUP(R531*Input!$C$11,0)),IF(ROUNDUP(R531,0)=0,1,ROUNDUP(R531,0))))</f>
        <v>1</v>
      </c>
      <c r="T531" s="8">
        <f t="shared" si="119"/>
        <v>1</v>
      </c>
      <c r="U531" s="8">
        <f>IFERROR(VLOOKUP($B531,Input!$AC$2:$AE$161,3,0),0)</f>
        <v>0</v>
      </c>
      <c r="V531" s="256">
        <f t="shared" si="120"/>
        <v>0</v>
      </c>
      <c r="W531" s="263">
        <f t="shared" si="121"/>
        <v>1.0053099999999999</v>
      </c>
      <c r="X531" s="68"/>
      <c r="Y531" s="68"/>
      <c r="Z531" s="68"/>
      <c r="AA531" s="68"/>
      <c r="AB531" s="68"/>
      <c r="AC531" s="68"/>
      <c r="AD531" s="68"/>
      <c r="AE531" s="68"/>
      <c r="AF531" s="68"/>
      <c r="AG531" s="68"/>
      <c r="AH531" s="68"/>
      <c r="AI531" s="68"/>
      <c r="AJ531" s="68">
        <v>1</v>
      </c>
      <c r="AL531" s="68">
        <v>1</v>
      </c>
      <c r="AM531" s="68"/>
      <c r="AN531" s="68"/>
      <c r="AO531" s="68"/>
      <c r="AQ531" s="68"/>
      <c r="AR531" s="68"/>
      <c r="AS531" s="68"/>
      <c r="AT531" s="68"/>
      <c r="AU531" s="68"/>
      <c r="AV531" s="68"/>
      <c r="AW531" s="68"/>
      <c r="AX531" s="68"/>
      <c r="AY531" s="68"/>
      <c r="AZ531" s="68"/>
      <c r="BB531" s="68"/>
      <c r="BC531" s="68"/>
      <c r="BJ531" s="68"/>
      <c r="BT531">
        <v>1</v>
      </c>
      <c r="BV531">
        <v>1</v>
      </c>
      <c r="BX531" s="68"/>
      <c r="BY531" s="68">
        <v>1</v>
      </c>
      <c r="BZ531" s="68">
        <v>0</v>
      </c>
      <c r="CA531" s="68">
        <v>0</v>
      </c>
      <c r="CB531" s="68">
        <v>0</v>
      </c>
      <c r="CC531" s="68">
        <f t="shared" si="122"/>
        <v>0</v>
      </c>
      <c r="CD531" s="68">
        <f t="shared" si="123"/>
        <v>0</v>
      </c>
    </row>
    <row r="532" spans="1:82" ht="15.75" customHeight="1" thickBot="1" x14ac:dyDescent="0.3">
      <c r="A532" s="9">
        <v>531</v>
      </c>
      <c r="B532" s="10" t="s">
        <v>414</v>
      </c>
      <c r="C532" s="10" t="s">
        <v>48</v>
      </c>
      <c r="D532" s="10" t="s">
        <v>17</v>
      </c>
      <c r="E532" s="51">
        <v>-158.672581211048</v>
      </c>
      <c r="F532" s="51">
        <v>54.105335058301101</v>
      </c>
      <c r="G532" s="51">
        <v>88.789148621454999</v>
      </c>
      <c r="H532" s="51">
        <v>11.296895026734999</v>
      </c>
      <c r="I532" s="11">
        <v>0</v>
      </c>
      <c r="J532" s="51">
        <v>7.3526848963447202</v>
      </c>
      <c r="K532" s="249">
        <f>IFERROR(VLOOKUP(C532,Schedule!$T$3:$U$34,2,0),"FA")</f>
        <v>10</v>
      </c>
      <c r="L532" s="10" t="str">
        <f>D532&amp;COUNTIF(D$2:$D532,D532)</f>
        <v>WR119</v>
      </c>
      <c r="M532" s="51">
        <f t="array" ref="M532">IFERROR(F532-AVERAGE(VLOOKUP(D532,$D533:$F$885,3,0),INDEX($F533:$F$885,SMALL(IF(D532=$D533:$D$885,ROW($D533:$D$885)-ROW(D532)),2))),0)</f>
        <v>1.3875227752199493</v>
      </c>
      <c r="N532" s="51">
        <f>IFERROR(IF(VLOOKUP($B532,Input!$AC$2:$AC$162,1,0)=$B532,0),F532)</f>
        <v>54.105335058301101</v>
      </c>
      <c r="O532" s="51">
        <f>IFERROR(IF(VLOOKUP($B532,Input!$AC$2:$AC$162,1,0)=$B532,0,G532),G532)</f>
        <v>88.789148621454999</v>
      </c>
      <c r="P532" s="51">
        <f>IF(N532=0,0,F532-AVERAGE(INDEX(F:F,MATCH(VLOOKUP(D532,Input!$A$14:$L$22,10,0),L:L,0)),INDEX(F:F,MATCH(VLOOKUP(D532,Input!$A$14:$L$22,11,0),L:L,0)),INDEX(F:F,MATCH(VLOOKUP(D532,Input!$A$14:$L$22,12,0),L:L,0)))+(0.01-ROW()*0.01))</f>
        <v>-163.98258121104791</v>
      </c>
      <c r="Q532" s="107">
        <f t="shared" si="118"/>
        <v>-5.6572832953162504E-2</v>
      </c>
      <c r="R532" s="11">
        <f>IF(VLOOKUP($D532,$X$14:$Y$19,2,0)&lt;=0,1,IF(Q532&lt;0,1,ROUNDUP(IF(Q532*('Draft Center'!$L$28+'Draft Center'!$L$78-'Draft Center'!$L$82)&lt;1,1,Q532*('Draft Center'!$L$28+'Draft Center'!$L$78-'Draft Center'!$L$82)),0)))</f>
        <v>1</v>
      </c>
      <c r="S532" s="11">
        <f>IF(A532&lt;Input!$B$10+0.1,IF(ROUNDUP(R532*Input!$C$10,0)=0,1,ROUNDUP(R532*Input!$C$10,0)),IF(A532&gt;Input!$B$11,IF(ROUNDUP(R532*Input!$C$11,0)=0,1,ROUNDUP(R532*Input!$C$11,0)),IF(ROUNDUP(R532,0)=0,1,ROUNDUP(R532,0))))</f>
        <v>1</v>
      </c>
      <c r="T532" s="11">
        <f t="shared" si="119"/>
        <v>1</v>
      </c>
      <c r="U532" s="11">
        <f>IFERROR(VLOOKUP($B532,Input!$AC$2:$AE$161,3,0),0)</f>
        <v>0</v>
      </c>
      <c r="V532" s="257">
        <f t="shared" si="120"/>
        <v>0</v>
      </c>
      <c r="W532" s="264">
        <f t="shared" si="121"/>
        <v>1.00532</v>
      </c>
      <c r="X532" s="68"/>
      <c r="Y532" s="68"/>
      <c r="Z532" s="68"/>
      <c r="AA532" s="68"/>
      <c r="AB532" s="68"/>
      <c r="AC532" s="68"/>
      <c r="AD532" s="68"/>
      <c r="AE532" s="68"/>
      <c r="AF532" s="68"/>
      <c r="AG532" s="68"/>
      <c r="AH532" s="68"/>
      <c r="AI532" s="68"/>
      <c r="AJ532" s="68">
        <v>1</v>
      </c>
      <c r="AL532" s="68">
        <v>1</v>
      </c>
      <c r="AM532" s="68"/>
      <c r="AN532" s="68"/>
      <c r="AO532" s="68"/>
      <c r="AQ532" s="68"/>
      <c r="AR532" s="68"/>
      <c r="AS532" s="68"/>
      <c r="AT532" s="68"/>
      <c r="AU532" s="68"/>
      <c r="AV532" s="68"/>
      <c r="AW532" s="68"/>
      <c r="AX532" s="68"/>
      <c r="AY532" s="68"/>
      <c r="AZ532" s="68"/>
      <c r="BB532" s="68"/>
      <c r="BC532" s="68"/>
      <c r="BJ532" s="68"/>
      <c r="BT532">
        <v>1</v>
      </c>
      <c r="BV532">
        <v>1</v>
      </c>
      <c r="BX532" s="68"/>
      <c r="BY532" s="68">
        <v>1</v>
      </c>
      <c r="BZ532" s="68">
        <v>0</v>
      </c>
      <c r="CA532" s="68">
        <v>0</v>
      </c>
      <c r="CB532" s="68">
        <v>0</v>
      </c>
      <c r="CC532" s="68">
        <f t="shared" si="122"/>
        <v>0</v>
      </c>
      <c r="CD532" s="68">
        <f t="shared" si="123"/>
        <v>0</v>
      </c>
    </row>
    <row r="533" spans="1:82" ht="15.75" customHeight="1" thickBot="1" x14ac:dyDescent="0.3">
      <c r="A533" s="6">
        <v>532</v>
      </c>
      <c r="B533" s="7" t="s">
        <v>1091</v>
      </c>
      <c r="C533" s="7" t="s">
        <v>42</v>
      </c>
      <c r="D533" s="7" t="s">
        <v>19</v>
      </c>
      <c r="E533" s="50">
        <v>-158.99239802595201</v>
      </c>
      <c r="F533" s="50">
        <v>10.11</v>
      </c>
      <c r="G533" s="50">
        <v>8.8506525000000007</v>
      </c>
      <c r="H533" s="50">
        <v>3.2</v>
      </c>
      <c r="I533" s="8" t="s">
        <v>1057</v>
      </c>
      <c r="J533" s="50">
        <v>3.2166424590953202</v>
      </c>
      <c r="K533" s="248">
        <f>IFERROR(VLOOKUP(C533,Schedule!$T$3:$U$34,2,0),"FA")</f>
        <v>9</v>
      </c>
      <c r="L533" s="7" t="str">
        <f>D533&amp;COUNTIF(D$2:$D533,D533)</f>
        <v>RB140</v>
      </c>
      <c r="M533" s="50">
        <f t="array" ref="M533">IFERROR(F533-AVERAGE(VLOOKUP(D533,$D534:$F$885,3,0),INDEX($F534:$F$885,SMALL(IF(D533=$D534:$D$885,ROW($D534:$D$885)-ROW(D533)),2))),0)</f>
        <v>0.38550230664660035</v>
      </c>
      <c r="N533" s="50">
        <f>IFERROR(IF(VLOOKUP($B533,Input!$AC$2:$AC$162,1,0)=$B533,0),F533)</f>
        <v>10.11</v>
      </c>
      <c r="O533" s="50">
        <f>IFERROR(IF(VLOOKUP($B533,Input!$AC$2:$AC$162,1,0)=$B533,0,G533),G533)</f>
        <v>8.8506525000000007</v>
      </c>
      <c r="P533" s="50">
        <f>IF(N533=0,0,F533-AVERAGE(INDEX(F:F,MATCH(VLOOKUP(D533,Input!$A$14:$L$22,10,0),L:L,0)),INDEX(F:F,MATCH(VLOOKUP(D533,Input!$A$14:$L$22,11,0),L:L,0)),INDEX(F:F,MATCH(VLOOKUP(D533,Input!$A$14:$L$22,12,0),L:L,0)))+(0.01-ROW()*0.01))</f>
        <v>-164.31239802595201</v>
      </c>
      <c r="Q533" s="106">
        <f t="shared" si="118"/>
        <v>-5.6686617426104174E-2</v>
      </c>
      <c r="R533" s="8">
        <f>IF(VLOOKUP($D533,$X$14:$Y$19,2,0)&lt;=0,1,IF(Q533&lt;0,1,ROUNDUP(IF(Q533*('Draft Center'!$L$28+'Draft Center'!$L$78-'Draft Center'!$L$82)&lt;1,1,Q533*('Draft Center'!$L$28+'Draft Center'!$L$78-'Draft Center'!$L$82)),0)))</f>
        <v>1</v>
      </c>
      <c r="S533" s="8">
        <f>IF(A533&lt;Input!$B$10+0.1,IF(ROUNDUP(R533*Input!$C$10,0)=0,1,ROUNDUP(R533*Input!$C$10,0)),IF(A533&gt;Input!$B$11,IF(ROUNDUP(R533*Input!$C$11,0)=0,1,ROUNDUP(R533*Input!$C$11,0)),IF(ROUNDUP(R533,0)=0,1,ROUNDUP(R533,0))))</f>
        <v>1</v>
      </c>
      <c r="T533" s="8">
        <f t="shared" si="119"/>
        <v>1</v>
      </c>
      <c r="U533" s="8">
        <f>IFERROR(VLOOKUP($B533,Input!$AC$2:$AE$161,3,0),0)</f>
        <v>0</v>
      </c>
      <c r="V533" s="256">
        <f t="shared" si="120"/>
        <v>0</v>
      </c>
      <c r="W533" s="263">
        <f t="shared" si="121"/>
        <v>0</v>
      </c>
      <c r="X533" s="68"/>
      <c r="Y533" s="68"/>
      <c r="Z533" s="68"/>
      <c r="AA533" s="68"/>
      <c r="AB533" s="68"/>
      <c r="AC533" s="68"/>
      <c r="AD533" s="68"/>
      <c r="AE533" s="68"/>
      <c r="AF533" s="68"/>
      <c r="AG533" s="68"/>
      <c r="AH533" s="68"/>
      <c r="AI533" s="68"/>
      <c r="AJ533" s="68">
        <v>1</v>
      </c>
      <c r="AL533" s="68">
        <v>1</v>
      </c>
      <c r="AM533" s="68"/>
      <c r="AN533" s="68"/>
      <c r="AO533" s="68"/>
      <c r="AQ533" s="68"/>
      <c r="AR533" s="68"/>
      <c r="AS533" s="68"/>
      <c r="AT533" s="68"/>
      <c r="AU533" s="68"/>
      <c r="AV533" s="68"/>
      <c r="AW533" s="68"/>
      <c r="AX533" s="68"/>
      <c r="AY533" s="68"/>
      <c r="AZ533" s="68"/>
      <c r="BB533" s="68"/>
      <c r="BC533" s="68"/>
      <c r="BJ533" s="68"/>
      <c r="BT533">
        <v>1</v>
      </c>
      <c r="BV533">
        <v>1</v>
      </c>
      <c r="BX533" s="68"/>
      <c r="BY533" s="68">
        <v>1</v>
      </c>
      <c r="BZ533" s="68" t="s">
        <v>1057</v>
      </c>
      <c r="CA533" s="68" t="s">
        <v>1057</v>
      </c>
      <c r="CB533" s="68" t="s">
        <v>1057</v>
      </c>
      <c r="CC533" s="68" t="e">
        <f t="shared" si="122"/>
        <v>#DIV/0!</v>
      </c>
      <c r="CD533" s="68" t="str">
        <f t="shared" si="123"/>
        <v>NA</v>
      </c>
    </row>
    <row r="534" spans="1:82" ht="15.75" customHeight="1" thickBot="1" x14ac:dyDescent="0.3">
      <c r="A534" s="9">
        <v>533</v>
      </c>
      <c r="B534" s="10" t="s">
        <v>455</v>
      </c>
      <c r="C534" s="10" t="s">
        <v>75</v>
      </c>
      <c r="D534" s="10" t="s">
        <v>19</v>
      </c>
      <c r="E534" s="51">
        <v>-159.37163180591199</v>
      </c>
      <c r="F534" s="51">
        <v>9.7307662200401293</v>
      </c>
      <c r="G534" s="51">
        <v>15.4866531500414</v>
      </c>
      <c r="H534" s="51">
        <v>-0.28182558610799402</v>
      </c>
      <c r="I534" s="11" t="s">
        <v>1057</v>
      </c>
      <c r="J534" s="51">
        <v>4.18235057324764</v>
      </c>
      <c r="K534" s="249">
        <f>IFERROR(VLOOKUP(C534,Schedule!$T$3:$U$34,2,0),"FA")</f>
        <v>10</v>
      </c>
      <c r="L534" s="10" t="str">
        <f>D534&amp;COUNTIF(D$2:$D534,D534)</f>
        <v>RB141</v>
      </c>
      <c r="M534" s="51">
        <f t="array" ref="M534">IFERROR(F534-AVERAGE(VLOOKUP(D534,$D535:$F$885,3,0),INDEX($F535:$F$885,SMALL(IF(D534=$D535:$D$885,ROW($D535:$D$885)-ROW(D534)),2))),0)</f>
        <v>0.70769805576081879</v>
      </c>
      <c r="N534" s="51">
        <f>IFERROR(IF(VLOOKUP($B534,Input!$AC$2:$AC$162,1,0)=$B534,0),F534)</f>
        <v>9.7307662200401293</v>
      </c>
      <c r="O534" s="51">
        <f>IFERROR(IF(VLOOKUP($B534,Input!$AC$2:$AC$162,1,0)=$B534,0,G534),G534)</f>
        <v>15.4866531500414</v>
      </c>
      <c r="P534" s="51">
        <f>IF(N534=0,0,F534-AVERAGE(INDEX(F:F,MATCH(VLOOKUP(D534,Input!$A$14:$L$22,10,0),L:L,0)),INDEX(F:F,MATCH(VLOOKUP(D534,Input!$A$14:$L$22,11,0),L:L,0)),INDEX(F:F,MATCH(VLOOKUP(D534,Input!$A$14:$L$22,12,0),L:L,0)))+(0.01-ROW()*0.01))</f>
        <v>-164.70163180591189</v>
      </c>
      <c r="Q534" s="107">
        <f t="shared" si="118"/>
        <v>-5.6820900332561528E-2</v>
      </c>
      <c r="R534" s="11">
        <f>IF(VLOOKUP($D534,$X$14:$Y$19,2,0)&lt;=0,1,IF(Q534&lt;0,1,ROUNDUP(IF(Q534*('Draft Center'!$L$28+'Draft Center'!$L$78-'Draft Center'!$L$82)&lt;1,1,Q534*('Draft Center'!$L$28+'Draft Center'!$L$78-'Draft Center'!$L$82)),0)))</f>
        <v>1</v>
      </c>
      <c r="S534" s="11">
        <f>IF(A534&lt;Input!$B$10+0.1,IF(ROUNDUP(R534*Input!$C$10,0)=0,1,ROUNDUP(R534*Input!$C$10,0)),IF(A534&gt;Input!$B$11,IF(ROUNDUP(R534*Input!$C$11,0)=0,1,ROUNDUP(R534*Input!$C$11,0)),IF(ROUNDUP(R534,0)=0,1,ROUNDUP(R534,0))))</f>
        <v>1</v>
      </c>
      <c r="T534" s="11">
        <f t="shared" si="119"/>
        <v>1</v>
      </c>
      <c r="U534" s="11">
        <f>IFERROR(VLOOKUP($B534,Input!$AC$2:$AE$161,3,0),0)</f>
        <v>0</v>
      </c>
      <c r="V534" s="257">
        <f t="shared" si="120"/>
        <v>0</v>
      </c>
      <c r="W534" s="264">
        <f t="shared" si="121"/>
        <v>0</v>
      </c>
      <c r="X534" s="68"/>
      <c r="Y534" s="68"/>
      <c r="Z534" s="68"/>
      <c r="AA534" s="68"/>
      <c r="AB534" s="68"/>
      <c r="AC534" s="68"/>
      <c r="AD534" s="68"/>
      <c r="AE534" s="68"/>
      <c r="AF534" s="68"/>
      <c r="AG534" s="68"/>
      <c r="AH534" s="68"/>
      <c r="AI534" s="68"/>
      <c r="AJ534" s="68">
        <v>1</v>
      </c>
      <c r="AL534" s="68">
        <v>1</v>
      </c>
      <c r="AM534" s="68"/>
      <c r="AN534" s="68"/>
      <c r="AO534" s="68"/>
      <c r="AQ534" s="68"/>
      <c r="AR534" s="68"/>
      <c r="AS534" s="68"/>
      <c r="AT534" s="68"/>
      <c r="AU534" s="68"/>
      <c r="AV534" s="68"/>
      <c r="AW534" s="68"/>
      <c r="AX534" s="68"/>
      <c r="AY534" s="68"/>
      <c r="AZ534" s="68"/>
      <c r="BB534" s="68"/>
      <c r="BC534" s="68"/>
      <c r="BJ534" s="68"/>
      <c r="BT534">
        <v>1</v>
      </c>
      <c r="BV534">
        <v>1</v>
      </c>
      <c r="BX534" s="68"/>
      <c r="BY534" s="68">
        <v>1</v>
      </c>
      <c r="BZ534" s="68" t="s">
        <v>1057</v>
      </c>
      <c r="CA534" s="68" t="s">
        <v>1057</v>
      </c>
      <c r="CB534" s="68" t="s">
        <v>1057</v>
      </c>
      <c r="CC534" s="68" t="e">
        <f t="shared" si="122"/>
        <v>#DIV/0!</v>
      </c>
      <c r="CD534" s="68" t="str">
        <f t="shared" si="123"/>
        <v>NA</v>
      </c>
    </row>
    <row r="535" spans="1:82" ht="15.75" customHeight="1" thickBot="1" x14ac:dyDescent="0.3">
      <c r="A535" s="6">
        <v>534</v>
      </c>
      <c r="B535" s="7" t="s">
        <v>364</v>
      </c>
      <c r="C535" s="7" t="s">
        <v>38</v>
      </c>
      <c r="D535" s="7" t="s">
        <v>19</v>
      </c>
      <c r="E535" s="50">
        <v>-159.38416885928501</v>
      </c>
      <c r="F535" s="50">
        <v>9.7182291666666707</v>
      </c>
      <c r="G535" s="50">
        <v>15.5512079510703</v>
      </c>
      <c r="H535" s="50">
        <v>0</v>
      </c>
      <c r="I535" s="8" t="s">
        <v>1057</v>
      </c>
      <c r="J535" s="50">
        <v>3.9172621799324601</v>
      </c>
      <c r="K535" s="248">
        <f>IFERROR(VLOOKUP(C535,Schedule!$T$3:$U$34,2,0),"FA")</f>
        <v>6</v>
      </c>
      <c r="L535" s="7" t="str">
        <f>D535&amp;COUNTIF(D$2:$D535,D535)</f>
        <v>RB142</v>
      </c>
      <c r="M535" s="50">
        <f t="array" ref="M535">IFERROR(F535-AVERAGE(VLOOKUP(D535,$D536:$F$885,3,0),INDEX($F536:$F$885,SMALL(IF(D535=$D536:$D$885,ROW($D536:$D$885)-ROW(D535)),2))),0)</f>
        <v>1.4479001190436307</v>
      </c>
      <c r="N535" s="50">
        <f>IFERROR(IF(VLOOKUP($B535,Input!$AC$2:$AC$162,1,0)=$B535,0),F535)</f>
        <v>9.7182291666666707</v>
      </c>
      <c r="O535" s="50">
        <f>IFERROR(IF(VLOOKUP($B535,Input!$AC$2:$AC$162,1,0)=$B535,0,G535),G535)</f>
        <v>15.5512079510703</v>
      </c>
      <c r="P535" s="50">
        <f>IF(N535=0,0,F535-AVERAGE(INDEX(F:F,MATCH(VLOOKUP(D535,Input!$A$14:$L$22,10,0),L:L,0)),INDEX(F:F,MATCH(VLOOKUP(D535,Input!$A$14:$L$22,11,0),L:L,0)),INDEX(F:F,MATCH(VLOOKUP(D535,Input!$A$14:$L$22,12,0),L:L,0)))+(0.01-ROW()*0.01))</f>
        <v>-164.72416885928533</v>
      </c>
      <c r="Q535" s="106">
        <f t="shared" si="118"/>
        <v>-5.6828675456884706E-2</v>
      </c>
      <c r="R535" s="8">
        <f>IF(VLOOKUP($D535,$X$14:$Y$19,2,0)&lt;=0,1,IF(Q535&lt;0,1,ROUNDUP(IF(Q535*('Draft Center'!$L$28+'Draft Center'!$L$78-'Draft Center'!$L$82)&lt;1,1,Q535*('Draft Center'!$L$28+'Draft Center'!$L$78-'Draft Center'!$L$82)),0)))</f>
        <v>1</v>
      </c>
      <c r="S535" s="8">
        <f>IF(A535&lt;Input!$B$10+0.1,IF(ROUNDUP(R535*Input!$C$10,0)=0,1,ROUNDUP(R535*Input!$C$10,0)),IF(A535&gt;Input!$B$11,IF(ROUNDUP(R535*Input!$C$11,0)=0,1,ROUNDUP(R535*Input!$C$11,0)),IF(ROUNDUP(R535,0)=0,1,ROUNDUP(R535,0))))</f>
        <v>1</v>
      </c>
      <c r="T535" s="8">
        <f t="shared" si="119"/>
        <v>1</v>
      </c>
      <c r="U535" s="8">
        <f>IFERROR(VLOOKUP($B535,Input!$AC$2:$AE$161,3,0),0)</f>
        <v>0</v>
      </c>
      <c r="V535" s="256">
        <f t="shared" si="120"/>
        <v>0</v>
      </c>
      <c r="W535" s="263">
        <f t="shared" si="121"/>
        <v>0</v>
      </c>
      <c r="X535" s="68"/>
      <c r="Y535" s="68"/>
      <c r="Z535" s="68"/>
      <c r="AA535" s="68"/>
      <c r="AB535" s="68"/>
      <c r="AC535" s="68"/>
      <c r="AD535" s="68"/>
      <c r="AE535" s="68"/>
      <c r="AF535" s="68"/>
      <c r="AG535" s="68"/>
      <c r="AH535" s="68"/>
      <c r="AI535" s="68"/>
      <c r="AJ535" s="68">
        <v>1</v>
      </c>
      <c r="AL535" s="68">
        <v>1</v>
      </c>
      <c r="AM535" s="68"/>
      <c r="AN535" s="68"/>
      <c r="AO535" s="68"/>
      <c r="AQ535" s="68"/>
      <c r="AR535" s="68"/>
      <c r="AS535" s="68"/>
      <c r="AT535" s="68"/>
      <c r="AU535" s="68"/>
      <c r="AV535" s="68"/>
      <c r="AW535" s="68"/>
      <c r="AX535" s="68"/>
      <c r="AY535" s="68"/>
      <c r="AZ535" s="68"/>
      <c r="BB535" s="68"/>
      <c r="BC535" s="68"/>
      <c r="BJ535" s="68"/>
      <c r="BT535">
        <v>1</v>
      </c>
      <c r="BV535">
        <v>1</v>
      </c>
      <c r="BX535" s="68"/>
      <c r="BY535" s="68">
        <v>1</v>
      </c>
      <c r="BZ535" s="68" t="s">
        <v>1057</v>
      </c>
      <c r="CA535" s="68" t="s">
        <v>1057</v>
      </c>
      <c r="CB535" s="68" t="s">
        <v>1057</v>
      </c>
      <c r="CC535" s="68" t="e">
        <f t="shared" si="122"/>
        <v>#DIV/0!</v>
      </c>
      <c r="CD535" s="68" t="str">
        <f t="shared" si="123"/>
        <v>NA</v>
      </c>
    </row>
    <row r="536" spans="1:82" ht="15.75" customHeight="1" thickBot="1" x14ac:dyDescent="0.3">
      <c r="A536" s="9">
        <v>535</v>
      </c>
      <c r="B536" s="10" t="s">
        <v>163</v>
      </c>
      <c r="C536" s="10" t="s">
        <v>83</v>
      </c>
      <c r="D536" s="10" t="s">
        <v>17</v>
      </c>
      <c r="E536" s="51">
        <v>-159.89144590664401</v>
      </c>
      <c r="F536" s="51">
        <v>52.886470362705403</v>
      </c>
      <c r="G536" s="51">
        <v>86.554260411522606</v>
      </c>
      <c r="H536" s="51">
        <v>-0.117186478542034</v>
      </c>
      <c r="I536" s="11">
        <v>0</v>
      </c>
      <c r="J536" s="51">
        <v>7.6369523292837096</v>
      </c>
      <c r="K536" s="249">
        <f>IFERROR(VLOOKUP(C536,Schedule!$T$3:$U$34,2,0),"FA")</f>
        <v>5</v>
      </c>
      <c r="L536" s="10" t="str">
        <f>D536&amp;COUNTIF(D$2:$D536,D536)</f>
        <v>WR120</v>
      </c>
      <c r="M536" s="51">
        <f t="array" ref="M536">IFERROR(F536-AVERAGE(VLOOKUP(D536,$D537:$F$885,3,0),INDEX($F537:$F$885,SMALL(IF(D536=$D537:$D$885,ROW($D537:$D$885)-ROW(D536)),2))),0)</f>
        <v>0.56357236550210388</v>
      </c>
      <c r="N536" s="51">
        <f>IFERROR(IF(VLOOKUP($B536,Input!$AC$2:$AC$162,1,0)=$B536,0),F536)</f>
        <v>52.886470362705403</v>
      </c>
      <c r="O536" s="51">
        <f>IFERROR(IF(VLOOKUP($B536,Input!$AC$2:$AC$162,1,0)=$B536,0,G536),G536)</f>
        <v>86.554260411522606</v>
      </c>
      <c r="P536" s="51">
        <f>IF(N536=0,0,F536-AVERAGE(INDEX(F:F,MATCH(VLOOKUP(D536,Input!$A$14:$L$22,10,0),L:L,0)),INDEX(F:F,MATCH(VLOOKUP(D536,Input!$A$14:$L$22,11,0),L:L,0)),INDEX(F:F,MATCH(VLOOKUP(D536,Input!$A$14:$L$22,12,0),L:L,0)))+(0.01-ROW()*0.01))</f>
        <v>-165.24144590664361</v>
      </c>
      <c r="Q536" s="107">
        <f t="shared" si="118"/>
        <v>-5.700713238672802E-2</v>
      </c>
      <c r="R536" s="11">
        <f>IF(VLOOKUP($D536,$X$14:$Y$19,2,0)&lt;=0,1,IF(Q536&lt;0,1,ROUNDUP(IF(Q536*('Draft Center'!$L$28+'Draft Center'!$L$78-'Draft Center'!$L$82)&lt;1,1,Q536*('Draft Center'!$L$28+'Draft Center'!$L$78-'Draft Center'!$L$82)),0)))</f>
        <v>1</v>
      </c>
      <c r="S536" s="11">
        <f>IF(A536&lt;Input!$B$10+0.1,IF(ROUNDUP(R536*Input!$C$10,0)=0,1,ROUNDUP(R536*Input!$C$10,0)),IF(A536&gt;Input!$B$11,IF(ROUNDUP(R536*Input!$C$11,0)=0,1,ROUNDUP(R536*Input!$C$11,0)),IF(ROUNDUP(R536,0)=0,1,ROUNDUP(R536,0))))</f>
        <v>1</v>
      </c>
      <c r="T536" s="11">
        <f t="shared" si="119"/>
        <v>1</v>
      </c>
      <c r="U536" s="11">
        <f>IFERROR(VLOOKUP($B536,Input!$AC$2:$AE$161,3,0),0)</f>
        <v>0</v>
      </c>
      <c r="V536" s="257">
        <f t="shared" si="120"/>
        <v>0</v>
      </c>
      <c r="W536" s="264">
        <f t="shared" si="121"/>
        <v>1.00536</v>
      </c>
      <c r="X536" s="68"/>
      <c r="Y536" s="68"/>
      <c r="Z536" s="68"/>
      <c r="AA536" s="68"/>
      <c r="AB536" s="68"/>
      <c r="AC536" s="68"/>
      <c r="AD536" s="68"/>
      <c r="AE536" s="68"/>
      <c r="AF536" s="68"/>
      <c r="AG536" s="68"/>
      <c r="AH536" s="68"/>
      <c r="AI536" s="68"/>
      <c r="AJ536" s="68">
        <v>1</v>
      </c>
      <c r="AL536" s="68">
        <v>1</v>
      </c>
      <c r="AM536" s="68"/>
      <c r="AN536" s="68"/>
      <c r="AO536" s="68"/>
      <c r="AQ536" s="68"/>
      <c r="AR536" s="68"/>
      <c r="AS536" s="68"/>
      <c r="AT536" s="68"/>
      <c r="AU536" s="68"/>
      <c r="AV536" s="68"/>
      <c r="AW536" s="68"/>
      <c r="AX536" s="68"/>
      <c r="AY536" s="68"/>
      <c r="AZ536" s="68"/>
      <c r="BB536" s="68"/>
      <c r="BC536" s="68"/>
      <c r="BJ536" s="68"/>
      <c r="BT536">
        <v>1</v>
      </c>
      <c r="BV536">
        <v>1</v>
      </c>
      <c r="BX536" s="68"/>
      <c r="BY536" s="68">
        <v>1</v>
      </c>
      <c r="BZ536" s="68">
        <v>0</v>
      </c>
      <c r="CA536" s="68">
        <v>0</v>
      </c>
      <c r="CB536" s="68">
        <v>0</v>
      </c>
      <c r="CC536" s="68">
        <f t="shared" si="122"/>
        <v>0</v>
      </c>
      <c r="CD536" s="68">
        <f t="shared" si="123"/>
        <v>0</v>
      </c>
    </row>
    <row r="537" spans="1:82" ht="15.75" customHeight="1" thickBot="1" x14ac:dyDescent="0.3">
      <c r="A537" s="6">
        <v>536</v>
      </c>
      <c r="B537" s="7" t="s">
        <v>289</v>
      </c>
      <c r="C537" s="7" t="s">
        <v>42</v>
      </c>
      <c r="D537" s="7" t="s">
        <v>17</v>
      </c>
      <c r="E537" s="50">
        <v>-160.228762065892</v>
      </c>
      <c r="F537" s="50">
        <v>52.549154203456901</v>
      </c>
      <c r="G537" s="50">
        <v>68.457286204572398</v>
      </c>
      <c r="H537" s="50">
        <v>13.7788967274152</v>
      </c>
      <c r="I537" s="8">
        <v>0</v>
      </c>
      <c r="J537" s="50">
        <v>7.0275759513896601</v>
      </c>
      <c r="K537" s="248">
        <f>IFERROR(VLOOKUP(C537,Schedule!$T$3:$U$34,2,0),"FA")</f>
        <v>9</v>
      </c>
      <c r="L537" s="7" t="str">
        <f>D537&amp;COUNTIF(D$2:$D537,D537)</f>
        <v>WR121</v>
      </c>
      <c r="M537" s="50">
        <f t="array" ref="M537">IFERROR(F537-AVERAGE(VLOOKUP(D537,$D538:$F$885,3,0),INDEX($F538:$F$885,SMALL(IF(D537=$D538:$D$885,ROW($D538:$D$885)-ROW(D537)),2))),0)</f>
        <v>0.80548825929275125</v>
      </c>
      <c r="N537" s="50">
        <f>IFERROR(IF(VLOOKUP($B537,Input!$AC$2:$AC$162,1,0)=$B537,0),F537)</f>
        <v>52.549154203456901</v>
      </c>
      <c r="O537" s="50">
        <f>IFERROR(IF(VLOOKUP($B537,Input!$AC$2:$AC$162,1,0)=$B537,0,G537),G537)</f>
        <v>68.457286204572398</v>
      </c>
      <c r="P537" s="50">
        <f>IF(N537=0,0,F537-AVERAGE(INDEX(F:F,MATCH(VLOOKUP(D537,Input!$A$14:$L$22,10,0),L:L,0)),INDEX(F:F,MATCH(VLOOKUP(D537,Input!$A$14:$L$22,11,0),L:L,0)),INDEX(F:F,MATCH(VLOOKUP(D537,Input!$A$14:$L$22,12,0),L:L,0)))+(0.01-ROW()*0.01))</f>
        <v>-165.58876206589213</v>
      </c>
      <c r="Q537" s="106">
        <f t="shared" si="118"/>
        <v>-5.7126954009939404E-2</v>
      </c>
      <c r="R537" s="8">
        <f>IF(VLOOKUP($D537,$X$14:$Y$19,2,0)&lt;=0,1,IF(Q537&lt;0,1,ROUNDUP(IF(Q537*('Draft Center'!$L$28+'Draft Center'!$L$78-'Draft Center'!$L$82)&lt;1,1,Q537*('Draft Center'!$L$28+'Draft Center'!$L$78-'Draft Center'!$L$82)),0)))</f>
        <v>1</v>
      </c>
      <c r="S537" s="8">
        <f>IF(A537&lt;Input!$B$10+0.1,IF(ROUNDUP(R537*Input!$C$10,0)=0,1,ROUNDUP(R537*Input!$C$10,0)),IF(A537&gt;Input!$B$11,IF(ROUNDUP(R537*Input!$C$11,0)=0,1,ROUNDUP(R537*Input!$C$11,0)),IF(ROUNDUP(R537,0)=0,1,ROUNDUP(R537,0))))</f>
        <v>1</v>
      </c>
      <c r="T537" s="8">
        <f t="shared" si="119"/>
        <v>1</v>
      </c>
      <c r="U537" s="8">
        <f>IFERROR(VLOOKUP($B537,Input!$AC$2:$AE$161,3,0),0)</f>
        <v>0</v>
      </c>
      <c r="V537" s="256">
        <f t="shared" si="120"/>
        <v>0</v>
      </c>
      <c r="W537" s="263">
        <f t="shared" si="121"/>
        <v>1.0053700000000001</v>
      </c>
      <c r="X537" s="68"/>
      <c r="Y537" s="68"/>
      <c r="Z537" s="68"/>
      <c r="AA537" s="68"/>
      <c r="AB537" s="68"/>
      <c r="AC537" s="68"/>
      <c r="AD537" s="68"/>
      <c r="AE537" s="68"/>
      <c r="AF537" s="68"/>
      <c r="AG537" s="68"/>
      <c r="AH537" s="68"/>
      <c r="AI537" s="68"/>
      <c r="AJ537" s="68">
        <v>1</v>
      </c>
      <c r="AL537" s="68">
        <v>1</v>
      </c>
      <c r="AM537" s="68"/>
      <c r="AN537" s="68"/>
      <c r="AO537" s="68"/>
      <c r="AQ537" s="68"/>
      <c r="AR537" s="68"/>
      <c r="AS537" s="68"/>
      <c r="AT537" s="68"/>
      <c r="AU537" s="68"/>
      <c r="AV537" s="68"/>
      <c r="AW537" s="68"/>
      <c r="AX537" s="68"/>
      <c r="AY537" s="68"/>
      <c r="AZ537" s="68"/>
      <c r="BB537" s="68"/>
      <c r="BC537" s="68"/>
      <c r="BJ537" s="68"/>
      <c r="BT537">
        <v>1</v>
      </c>
      <c r="BV537">
        <v>1</v>
      </c>
      <c r="BX537" s="68"/>
      <c r="BY537" s="68">
        <v>1</v>
      </c>
      <c r="BZ537" s="68">
        <v>0</v>
      </c>
      <c r="CA537" s="68">
        <v>0</v>
      </c>
      <c r="CB537" s="68">
        <v>0</v>
      </c>
      <c r="CC537" s="68">
        <f t="shared" si="122"/>
        <v>0</v>
      </c>
      <c r="CD537" s="68">
        <f t="shared" si="123"/>
        <v>0</v>
      </c>
    </row>
    <row r="538" spans="1:82" ht="15.75" customHeight="1" thickBot="1" x14ac:dyDescent="0.3">
      <c r="A538" s="9">
        <v>537</v>
      </c>
      <c r="B538" s="10" t="s">
        <v>130</v>
      </c>
      <c r="C538" s="10" t="s">
        <v>47</v>
      </c>
      <c r="D538" s="10" t="s">
        <v>17</v>
      </c>
      <c r="E538" s="51">
        <v>-160.68127447839899</v>
      </c>
      <c r="F538" s="51">
        <v>52.096641790949697</v>
      </c>
      <c r="G538" s="51">
        <v>67.950675856394795</v>
      </c>
      <c r="H538" s="51">
        <v>13.4603984714874</v>
      </c>
      <c r="I538" s="11">
        <v>0</v>
      </c>
      <c r="J538" s="51">
        <v>6.6206441964337097</v>
      </c>
      <c r="K538" s="249">
        <f>IFERROR(VLOOKUP(C538,Schedule!$T$3:$U$34,2,0),"FA")</f>
        <v>10</v>
      </c>
      <c r="L538" s="10" t="str">
        <f>D538&amp;COUNTIF(D$2:$D538,D538)</f>
        <v>WR122</v>
      </c>
      <c r="M538" s="51">
        <f t="array" ref="M538">IFERROR(F538-AVERAGE(VLOOKUP(D538,$D539:$F$885,3,0),INDEX($F539:$F$885,SMALL(IF(D538=$D539:$D$885,ROW($D539:$D$885)-ROW(D538)),2))),0)</f>
        <v>0.72899244585340028</v>
      </c>
      <c r="N538" s="51">
        <f>IFERROR(IF(VLOOKUP($B538,Input!$AC$2:$AC$162,1,0)=$B538,0),F538)</f>
        <v>52.096641790949697</v>
      </c>
      <c r="O538" s="51">
        <f>IFERROR(IF(VLOOKUP($B538,Input!$AC$2:$AC$162,1,0)=$B538,0,G538),G538)</f>
        <v>67.950675856394795</v>
      </c>
      <c r="P538" s="51">
        <f>IF(N538=0,0,F538-AVERAGE(INDEX(F:F,MATCH(VLOOKUP(D538,Input!$A$14:$L$22,10,0),L:L,0)),INDEX(F:F,MATCH(VLOOKUP(D538,Input!$A$14:$L$22,11,0),L:L,0)),INDEX(F:F,MATCH(VLOOKUP(D538,Input!$A$14:$L$22,12,0),L:L,0)))+(0.01-ROW()*0.01))</f>
        <v>-166.05127447839934</v>
      </c>
      <c r="Q538" s="107">
        <f t="shared" si="118"/>
        <v>-5.728651752734653E-2</v>
      </c>
      <c r="R538" s="11">
        <f>IF(VLOOKUP($D538,$X$14:$Y$19,2,0)&lt;=0,1,IF(Q538&lt;0,1,ROUNDUP(IF(Q538*('Draft Center'!$L$28+'Draft Center'!$L$78-'Draft Center'!$L$82)&lt;1,1,Q538*('Draft Center'!$L$28+'Draft Center'!$L$78-'Draft Center'!$L$82)),0)))</f>
        <v>1</v>
      </c>
      <c r="S538" s="11">
        <f>IF(A538&lt;Input!$B$10+0.1,IF(ROUNDUP(R538*Input!$C$10,0)=0,1,ROUNDUP(R538*Input!$C$10,0)),IF(A538&gt;Input!$B$11,IF(ROUNDUP(R538*Input!$C$11,0)=0,1,ROUNDUP(R538*Input!$C$11,0)),IF(ROUNDUP(R538,0)=0,1,ROUNDUP(R538,0))))</f>
        <v>1</v>
      </c>
      <c r="T538" s="11">
        <f t="shared" si="119"/>
        <v>1</v>
      </c>
      <c r="U538" s="11">
        <f>IFERROR(VLOOKUP($B538,Input!$AC$2:$AE$161,3,0),0)</f>
        <v>0</v>
      </c>
      <c r="V538" s="257">
        <f t="shared" si="120"/>
        <v>0</v>
      </c>
      <c r="W538" s="264">
        <f t="shared" si="121"/>
        <v>1.0053799999999999</v>
      </c>
      <c r="X538" s="68"/>
      <c r="Y538" s="68"/>
      <c r="Z538" s="68"/>
      <c r="AA538" s="68"/>
      <c r="AB538" s="68"/>
      <c r="AC538" s="68"/>
      <c r="AD538" s="68"/>
      <c r="AE538" s="68"/>
      <c r="AF538" s="68"/>
      <c r="AG538" s="68"/>
      <c r="AH538" s="68"/>
      <c r="AI538" s="68"/>
      <c r="AJ538" s="68">
        <v>1</v>
      </c>
      <c r="AL538" s="68">
        <v>1</v>
      </c>
      <c r="AM538" s="68"/>
      <c r="AN538" s="68"/>
      <c r="AO538" s="68"/>
      <c r="AQ538" s="68"/>
      <c r="AR538" s="68"/>
      <c r="AS538" s="68"/>
      <c r="AT538" s="68"/>
      <c r="AU538" s="68"/>
      <c r="AV538" s="68"/>
      <c r="AW538" s="68"/>
      <c r="AX538" s="68"/>
      <c r="AY538" s="68"/>
      <c r="AZ538" s="68"/>
      <c r="BB538" s="68"/>
      <c r="BC538" s="68"/>
      <c r="BJ538" s="68"/>
      <c r="BT538">
        <v>1</v>
      </c>
      <c r="BV538">
        <v>1</v>
      </c>
      <c r="BX538" s="68"/>
      <c r="BY538" s="68">
        <v>1</v>
      </c>
      <c r="BZ538" s="68">
        <v>0</v>
      </c>
      <c r="CA538" s="68">
        <v>0</v>
      </c>
      <c r="CB538" s="68">
        <v>0</v>
      </c>
      <c r="CC538" s="68">
        <f t="shared" si="122"/>
        <v>0</v>
      </c>
      <c r="CD538" s="68">
        <f t="shared" si="123"/>
        <v>0</v>
      </c>
    </row>
    <row r="539" spans="1:82" ht="15.75" customHeight="1" thickBot="1" x14ac:dyDescent="0.3">
      <c r="A539" s="6">
        <v>538</v>
      </c>
      <c r="B539" s="7" t="s">
        <v>393</v>
      </c>
      <c r="C539" s="7" t="s">
        <v>50</v>
      </c>
      <c r="D539" s="7" t="s">
        <v>19</v>
      </c>
      <c r="E539" s="50">
        <v>-160.77449086406</v>
      </c>
      <c r="F539" s="50">
        <v>8.3279071618919502</v>
      </c>
      <c r="G539" s="50">
        <v>14.3677988140411</v>
      </c>
      <c r="H539" s="50">
        <v>0</v>
      </c>
      <c r="I539" s="8">
        <v>0</v>
      </c>
      <c r="J539" s="50">
        <v>2.8216520357594601</v>
      </c>
      <c r="K539" s="248">
        <f>IFERROR(VLOOKUP(C539,Schedule!$T$3:$U$34,2,0),"FA")</f>
        <v>6</v>
      </c>
      <c r="L539" s="7" t="str">
        <f>D539&amp;COUNTIF(D$2:$D539,D539)</f>
        <v>RB143</v>
      </c>
      <c r="M539" s="50">
        <f t="array" ref="M539">IFERROR(F539-AVERAGE(VLOOKUP(D539,$D540:$F$885,3,0),INDEX($F540:$F$885,SMALL(IF(D539=$D540:$D$885,ROW($D540:$D$885)-ROW(D539)),2))),0)</f>
        <v>0.16730856650950443</v>
      </c>
      <c r="N539" s="50">
        <f>IFERROR(IF(VLOOKUP($B539,Input!$AC$2:$AC$162,1,0)=$B539,0),F539)</f>
        <v>8.3279071618919502</v>
      </c>
      <c r="O539" s="50">
        <f>IFERROR(IF(VLOOKUP($B539,Input!$AC$2:$AC$162,1,0)=$B539,0,G539),G539)</f>
        <v>14.3677988140411</v>
      </c>
      <c r="P539" s="50">
        <f>IF(N539=0,0,F539-AVERAGE(INDEX(F:F,MATCH(VLOOKUP(D539,Input!$A$14:$L$22,10,0),L:L,0)),INDEX(F:F,MATCH(VLOOKUP(D539,Input!$A$14:$L$22,11,0),L:L,0)),INDEX(F:F,MATCH(VLOOKUP(D539,Input!$A$14:$L$22,12,0),L:L,0)))+(0.01-ROW()*0.01))</f>
        <v>-166.15449086406005</v>
      </c>
      <c r="Q539" s="106">
        <f t="shared" si="118"/>
        <v>-5.7322126451787705E-2</v>
      </c>
      <c r="R539" s="8">
        <f>IF(VLOOKUP($D539,$X$14:$Y$19,2,0)&lt;=0,1,IF(Q539&lt;0,1,ROUNDUP(IF(Q539*('Draft Center'!$L$28+'Draft Center'!$L$78-'Draft Center'!$L$82)&lt;1,1,Q539*('Draft Center'!$L$28+'Draft Center'!$L$78-'Draft Center'!$L$82)),0)))</f>
        <v>1</v>
      </c>
      <c r="S539" s="8">
        <f>IF(A539&lt;Input!$B$10+0.1,IF(ROUNDUP(R539*Input!$C$10,0)=0,1,ROUNDUP(R539*Input!$C$10,0)),IF(A539&gt;Input!$B$11,IF(ROUNDUP(R539*Input!$C$11,0)=0,1,ROUNDUP(R539*Input!$C$11,0)),IF(ROUNDUP(R539,0)=0,1,ROUNDUP(R539,0))))</f>
        <v>1</v>
      </c>
      <c r="T539" s="8">
        <f t="shared" si="119"/>
        <v>1</v>
      </c>
      <c r="U539" s="8">
        <f>IFERROR(VLOOKUP($B539,Input!$AC$2:$AE$161,3,0),0)</f>
        <v>0</v>
      </c>
      <c r="V539" s="256">
        <f t="shared" si="120"/>
        <v>0</v>
      </c>
      <c r="W539" s="263">
        <f t="shared" si="121"/>
        <v>1.00539</v>
      </c>
      <c r="X539" s="68"/>
      <c r="Y539" s="68"/>
      <c r="Z539" s="68"/>
      <c r="AA539" s="68"/>
      <c r="AB539" s="68"/>
      <c r="AC539" s="68"/>
      <c r="AD539" s="68"/>
      <c r="AE539" s="68"/>
      <c r="AF539" s="68"/>
      <c r="AG539" s="68"/>
      <c r="AH539" s="68"/>
      <c r="AI539" s="68"/>
      <c r="AJ539" s="68">
        <v>1</v>
      </c>
      <c r="AL539" s="68">
        <v>1</v>
      </c>
      <c r="AM539" s="68"/>
      <c r="AN539" s="68"/>
      <c r="AO539" s="68"/>
      <c r="AQ539" s="68"/>
      <c r="AR539" s="68"/>
      <c r="AS539" s="68"/>
      <c r="AT539" s="68"/>
      <c r="AU539" s="68"/>
      <c r="AV539" s="68"/>
      <c r="AW539" s="68"/>
      <c r="AX539" s="68"/>
      <c r="AY539" s="68"/>
      <c r="AZ539" s="68"/>
      <c r="BB539" s="68"/>
      <c r="BC539" s="68"/>
      <c r="BJ539" s="68"/>
      <c r="BT539">
        <v>1</v>
      </c>
      <c r="BV539">
        <v>1</v>
      </c>
      <c r="BX539" s="68"/>
      <c r="BY539" s="68">
        <v>1</v>
      </c>
      <c r="BZ539" s="68">
        <v>0</v>
      </c>
      <c r="CA539" s="68">
        <v>0</v>
      </c>
      <c r="CB539" s="68">
        <v>0</v>
      </c>
      <c r="CC539" s="68">
        <f t="shared" si="122"/>
        <v>0</v>
      </c>
      <c r="CD539" s="68">
        <f t="shared" si="123"/>
        <v>0</v>
      </c>
    </row>
    <row r="540" spans="1:82" ht="15.75" customHeight="1" thickBot="1" x14ac:dyDescent="0.3">
      <c r="A540" s="9">
        <v>539</v>
      </c>
      <c r="B540" s="10" t="s">
        <v>387</v>
      </c>
      <c r="C540" s="10" t="s">
        <v>50</v>
      </c>
      <c r="D540" s="10" t="s">
        <v>19</v>
      </c>
      <c r="E540" s="51">
        <v>-160.88964709259801</v>
      </c>
      <c r="F540" s="51">
        <v>8.2127509333541298</v>
      </c>
      <c r="G540" s="51">
        <v>17.7437006059128</v>
      </c>
      <c r="H540" s="51">
        <v>-0.13900650018705599</v>
      </c>
      <c r="I540" s="11" t="s">
        <v>1057</v>
      </c>
      <c r="J540" s="51">
        <v>6.5303340852279499</v>
      </c>
      <c r="K540" s="249">
        <f>IFERROR(VLOOKUP(C540,Schedule!$T$3:$U$34,2,0),"FA")</f>
        <v>6</v>
      </c>
      <c r="L540" s="10" t="str">
        <f>D540&amp;COUNTIF(D$2:$D540,D540)</f>
        <v>RB144</v>
      </c>
      <c r="M540" s="51">
        <f t="array" ref="M540">IFERROR(F540-AVERAGE(VLOOKUP(D540,$D541:$F$885,3,0),INDEX($F541:$F$885,SMALL(IF(D540=$D541:$D$885,ROW($D541:$D$885)-ROW(D540)),2))),0)</f>
        <v>0.45897723632117504</v>
      </c>
      <c r="N540" s="51">
        <f>IFERROR(IF(VLOOKUP($B540,Input!$AC$2:$AC$162,1,0)=$B540,0),F540)</f>
        <v>8.2127509333541298</v>
      </c>
      <c r="O540" s="51">
        <f>IFERROR(IF(VLOOKUP($B540,Input!$AC$2:$AC$162,1,0)=$B540,0,G540),G540)</f>
        <v>17.7437006059128</v>
      </c>
      <c r="P540" s="51">
        <f>IF(N540=0,0,F540-AVERAGE(INDEX(F:F,MATCH(VLOOKUP(D540,Input!$A$14:$L$22,10,0),L:L,0)),INDEX(F:F,MATCH(VLOOKUP(D540,Input!$A$14:$L$22,11,0),L:L,0)),INDEX(F:F,MATCH(VLOOKUP(D540,Input!$A$14:$L$22,12,0),L:L,0)))+(0.01-ROW()*0.01))</f>
        <v>-166.27964709259788</v>
      </c>
      <c r="Q540" s="107">
        <f t="shared" si="118"/>
        <v>-5.7365304467146577E-2</v>
      </c>
      <c r="R540" s="11">
        <f>IF(VLOOKUP($D540,$X$14:$Y$19,2,0)&lt;=0,1,IF(Q540&lt;0,1,ROUNDUP(IF(Q540*('Draft Center'!$L$28+'Draft Center'!$L$78-'Draft Center'!$L$82)&lt;1,1,Q540*('Draft Center'!$L$28+'Draft Center'!$L$78-'Draft Center'!$L$82)),0)))</f>
        <v>1</v>
      </c>
      <c r="S540" s="11">
        <f>IF(A540&lt;Input!$B$10+0.1,IF(ROUNDUP(R540*Input!$C$10,0)=0,1,ROUNDUP(R540*Input!$C$10,0)),IF(A540&gt;Input!$B$11,IF(ROUNDUP(R540*Input!$C$11,0)=0,1,ROUNDUP(R540*Input!$C$11,0)),IF(ROUNDUP(R540,0)=0,1,ROUNDUP(R540,0))))</f>
        <v>1</v>
      </c>
      <c r="T540" s="11">
        <f t="shared" si="119"/>
        <v>1</v>
      </c>
      <c r="U540" s="11">
        <f>IFERROR(VLOOKUP($B540,Input!$AC$2:$AE$161,3,0),0)</f>
        <v>0</v>
      </c>
      <c r="V540" s="257">
        <f t="shared" si="120"/>
        <v>0</v>
      </c>
      <c r="W540" s="264">
        <f t="shared" si="121"/>
        <v>0</v>
      </c>
      <c r="X540" s="68"/>
      <c r="Y540" s="68"/>
      <c r="Z540" s="68"/>
      <c r="AA540" s="68"/>
      <c r="AB540" s="68"/>
      <c r="AC540" s="68"/>
      <c r="AD540" s="68"/>
      <c r="AE540" s="68"/>
      <c r="AF540" s="68"/>
      <c r="AG540" s="68"/>
      <c r="AH540" s="68"/>
      <c r="AI540" s="68"/>
      <c r="AJ540" s="68">
        <v>1</v>
      </c>
      <c r="AL540" s="68">
        <v>1</v>
      </c>
      <c r="AM540" s="68"/>
      <c r="AN540" s="68"/>
      <c r="AO540" s="68"/>
      <c r="AQ540" s="68"/>
      <c r="AR540" s="68"/>
      <c r="AS540" s="68"/>
      <c r="AT540" s="68"/>
      <c r="AU540" s="68"/>
      <c r="AV540" s="68"/>
      <c r="AW540" s="68"/>
      <c r="AX540" s="68"/>
      <c r="AY540" s="68"/>
      <c r="AZ540" s="68"/>
      <c r="BB540" s="68"/>
      <c r="BC540" s="68"/>
      <c r="BJ540" s="68"/>
      <c r="BT540">
        <v>1</v>
      </c>
      <c r="BV540">
        <v>1</v>
      </c>
      <c r="BX540" s="68"/>
      <c r="BY540" s="68">
        <v>1</v>
      </c>
      <c r="BZ540" s="68" t="s">
        <v>1057</v>
      </c>
      <c r="CA540" s="68" t="s">
        <v>1057</v>
      </c>
      <c r="CB540" s="68" t="s">
        <v>1057</v>
      </c>
      <c r="CC540" s="68" t="e">
        <f t="shared" si="122"/>
        <v>#DIV/0!</v>
      </c>
      <c r="CD540" s="68" t="str">
        <f t="shared" si="123"/>
        <v>NA</v>
      </c>
    </row>
    <row r="541" spans="1:82" ht="15.75" customHeight="1" thickBot="1" x14ac:dyDescent="0.3">
      <c r="A541" s="6">
        <v>540</v>
      </c>
      <c r="B541" s="7" t="s">
        <v>777</v>
      </c>
      <c r="C541" s="7" t="s">
        <v>66</v>
      </c>
      <c r="D541" s="7" t="s">
        <v>19</v>
      </c>
      <c r="E541" s="50">
        <v>-160.993951768541</v>
      </c>
      <c r="F541" s="50">
        <v>8.1084462574107601</v>
      </c>
      <c r="G541" s="50">
        <v>17.521614400008801</v>
      </c>
      <c r="H541" s="50">
        <v>0</v>
      </c>
      <c r="I541" s="8">
        <v>0</v>
      </c>
      <c r="J541" s="50">
        <v>5.6234062017443396</v>
      </c>
      <c r="K541" s="248">
        <f>IFERROR(VLOOKUP(C541,Schedule!$T$3:$U$34,2,0),"FA")</f>
        <v>7</v>
      </c>
      <c r="L541" s="7" t="str">
        <f>D541&amp;COUNTIF(D$2:$D541,D541)</f>
        <v>RB145</v>
      </c>
      <c r="M541" s="50">
        <f t="array" ref="M541">IFERROR(F541-AVERAGE(VLOOKUP(D541,$D542:$F$885,3,0),INDEX($F542:$F$885,SMALL(IF(D541=$D542:$D$885,ROW($D542:$D$885)-ROW(D541)),2))),0)</f>
        <v>1.0798634310186701</v>
      </c>
      <c r="N541" s="50">
        <f>IFERROR(IF(VLOOKUP($B541,Input!$AC$2:$AC$162,1,0)=$B541,0),F541)</f>
        <v>8.1084462574107601</v>
      </c>
      <c r="O541" s="50">
        <f>IFERROR(IF(VLOOKUP($B541,Input!$AC$2:$AC$162,1,0)=$B541,0,G541),G541)</f>
        <v>17.521614400008801</v>
      </c>
      <c r="P541" s="50">
        <f>IF(N541=0,0,F541-AVERAGE(INDEX(F:F,MATCH(VLOOKUP(D541,Input!$A$14:$L$22,10,0),L:L,0)),INDEX(F:F,MATCH(VLOOKUP(D541,Input!$A$14:$L$22,11,0),L:L,0)),INDEX(F:F,MATCH(VLOOKUP(D541,Input!$A$14:$L$22,12,0),L:L,0)))+(0.01-ROW()*0.01))</f>
        <v>-166.39395176854126</v>
      </c>
      <c r="Q541" s="106">
        <f t="shared" si="118"/>
        <v>-5.7404738773462242E-2</v>
      </c>
      <c r="R541" s="8">
        <f>IF(VLOOKUP($D541,$X$14:$Y$19,2,0)&lt;=0,1,IF(Q541&lt;0,1,ROUNDUP(IF(Q541*('Draft Center'!$L$28+'Draft Center'!$L$78-'Draft Center'!$L$82)&lt;1,1,Q541*('Draft Center'!$L$28+'Draft Center'!$L$78-'Draft Center'!$L$82)),0)))</f>
        <v>1</v>
      </c>
      <c r="S541" s="8">
        <f>IF(A541&lt;Input!$B$10+0.1,IF(ROUNDUP(R541*Input!$C$10,0)=0,1,ROUNDUP(R541*Input!$C$10,0)),IF(A541&gt;Input!$B$11,IF(ROUNDUP(R541*Input!$C$11,0)=0,1,ROUNDUP(R541*Input!$C$11,0)),IF(ROUNDUP(R541,0)=0,1,ROUNDUP(R541,0))))</f>
        <v>1</v>
      </c>
      <c r="T541" s="8">
        <f t="shared" si="119"/>
        <v>1</v>
      </c>
      <c r="U541" s="8">
        <f>IFERROR(VLOOKUP($B541,Input!$AC$2:$AE$161,3,0),0)</f>
        <v>0</v>
      </c>
      <c r="V541" s="256">
        <f t="shared" si="120"/>
        <v>0</v>
      </c>
      <c r="W541" s="263">
        <f t="shared" si="121"/>
        <v>1.0054099999999999</v>
      </c>
      <c r="X541" s="68"/>
      <c r="Y541" s="68"/>
      <c r="Z541" s="68"/>
      <c r="AA541" s="68"/>
      <c r="AB541" s="68"/>
      <c r="AC541" s="68"/>
      <c r="AD541" s="68"/>
      <c r="AE541" s="68"/>
      <c r="AF541" s="68"/>
      <c r="AG541" s="68"/>
      <c r="AH541" s="68"/>
      <c r="AI541" s="68"/>
      <c r="AJ541" s="68">
        <v>1</v>
      </c>
      <c r="AL541" s="68">
        <v>1</v>
      </c>
      <c r="AM541" s="68"/>
      <c r="AN541" s="68"/>
      <c r="AO541" s="68"/>
      <c r="AQ541" s="68"/>
      <c r="AR541" s="68"/>
      <c r="AS541" s="68"/>
      <c r="AT541" s="68"/>
      <c r="AU541" s="68"/>
      <c r="AV541" s="68"/>
      <c r="AW541" s="68"/>
      <c r="AX541" s="68"/>
      <c r="AY541" s="68"/>
      <c r="AZ541" s="68"/>
      <c r="BB541" s="68"/>
      <c r="BC541" s="68"/>
      <c r="BJ541" s="68"/>
      <c r="BT541">
        <v>1</v>
      </c>
      <c r="BV541">
        <v>1</v>
      </c>
      <c r="BX541" s="68"/>
      <c r="BY541" s="68">
        <v>1</v>
      </c>
      <c r="BZ541" s="68">
        <v>0</v>
      </c>
      <c r="CA541" s="68">
        <v>0</v>
      </c>
      <c r="CB541" s="68">
        <v>0</v>
      </c>
      <c r="CC541" s="68">
        <f t="shared" si="122"/>
        <v>0</v>
      </c>
      <c r="CD541" s="68">
        <f t="shared" si="123"/>
        <v>0</v>
      </c>
    </row>
    <row r="542" spans="1:82" ht="15.75" customHeight="1" thickBot="1" x14ac:dyDescent="0.3">
      <c r="A542" s="9">
        <v>541</v>
      </c>
      <c r="B542" s="10" t="s">
        <v>338</v>
      </c>
      <c r="C542" s="10" t="s">
        <v>23</v>
      </c>
      <c r="D542" s="10" t="s">
        <v>17</v>
      </c>
      <c r="E542" s="51">
        <v>-161.38722617197101</v>
      </c>
      <c r="F542" s="51">
        <v>51.390690097378602</v>
      </c>
      <c r="G542" s="51">
        <v>76.488668780201493</v>
      </c>
      <c r="H542" s="51">
        <v>20.163467617087999</v>
      </c>
      <c r="I542" s="11">
        <v>0</v>
      </c>
      <c r="J542" s="51">
        <v>7.4239162224849498</v>
      </c>
      <c r="K542" s="249">
        <f>IFERROR(VLOOKUP(C542,Schedule!$T$3:$U$34,2,0),"FA")</f>
        <v>5</v>
      </c>
      <c r="L542" s="10" t="str">
        <f>D542&amp;COUNTIF(D$2:$D542,D542)</f>
        <v>WR123</v>
      </c>
      <c r="M542" s="51">
        <f t="array" ref="M542">IFERROR(F542-AVERAGE(VLOOKUP(D542,$D543:$F$885,3,0),INDEX($F543:$F$885,SMALL(IF(D542=$D543:$D$885,ROW($D543:$D$885)-ROW(D542)),2))),0)</f>
        <v>0.31499588163350012</v>
      </c>
      <c r="N542" s="51">
        <f>IFERROR(IF(VLOOKUP($B542,Input!$AC$2:$AC$162,1,0)=$B542,0),F542)</f>
        <v>51.390690097378602</v>
      </c>
      <c r="O542" s="51">
        <f>IFERROR(IF(VLOOKUP($B542,Input!$AC$2:$AC$162,1,0)=$B542,0,G542),G542)</f>
        <v>76.488668780201493</v>
      </c>
      <c r="P542" s="51">
        <f>IF(N542=0,0,F542-AVERAGE(INDEX(F:F,MATCH(VLOOKUP(D542,Input!$A$14:$L$22,10,0),L:L,0)),INDEX(F:F,MATCH(VLOOKUP(D542,Input!$A$14:$L$22,11,0),L:L,0)),INDEX(F:F,MATCH(VLOOKUP(D542,Input!$A$14:$L$22,12,0),L:L,0)))+(0.01-ROW()*0.01))</f>
        <v>-166.79722617197041</v>
      </c>
      <c r="Q542" s="107">
        <f t="shared" si="118"/>
        <v>-5.7543865595902736E-2</v>
      </c>
      <c r="R542" s="11">
        <f>IF(VLOOKUP($D542,$X$14:$Y$19,2,0)&lt;=0,1,IF(Q542&lt;0,1,ROUNDUP(IF(Q542*('Draft Center'!$L$28+'Draft Center'!$L$78-'Draft Center'!$L$82)&lt;1,1,Q542*('Draft Center'!$L$28+'Draft Center'!$L$78-'Draft Center'!$L$82)),0)))</f>
        <v>1</v>
      </c>
      <c r="S542" s="11">
        <f>IF(A542&lt;Input!$B$10+0.1,IF(ROUNDUP(R542*Input!$C$10,0)=0,1,ROUNDUP(R542*Input!$C$10,0)),IF(A542&gt;Input!$B$11,IF(ROUNDUP(R542*Input!$C$11,0)=0,1,ROUNDUP(R542*Input!$C$11,0)),IF(ROUNDUP(R542,0)=0,1,ROUNDUP(R542,0))))</f>
        <v>1</v>
      </c>
      <c r="T542" s="11">
        <f t="shared" si="119"/>
        <v>1</v>
      </c>
      <c r="U542" s="11">
        <f>IFERROR(VLOOKUP($B542,Input!$AC$2:$AE$161,3,0),0)</f>
        <v>0</v>
      </c>
      <c r="V542" s="257">
        <f t="shared" si="120"/>
        <v>0</v>
      </c>
      <c r="W542" s="264">
        <f t="shared" si="121"/>
        <v>1.00542</v>
      </c>
      <c r="X542" s="68"/>
      <c r="Y542" s="68"/>
      <c r="Z542" s="68"/>
      <c r="AA542" s="68"/>
      <c r="AB542" s="68"/>
      <c r="AC542" s="68"/>
      <c r="AD542" s="68"/>
      <c r="AE542" s="68"/>
      <c r="AF542" s="68"/>
      <c r="AG542" s="68"/>
      <c r="AH542" s="68"/>
      <c r="AI542" s="68"/>
      <c r="AJ542" s="68">
        <v>1</v>
      </c>
      <c r="AL542" s="68">
        <v>1</v>
      </c>
      <c r="AM542" s="68"/>
      <c r="AN542" s="68"/>
      <c r="AO542" s="68"/>
      <c r="AQ542" s="68"/>
      <c r="AR542" s="68"/>
      <c r="AS542" s="68"/>
      <c r="AT542" s="68"/>
      <c r="AU542" s="68"/>
      <c r="AV542" s="68"/>
      <c r="AW542" s="68"/>
      <c r="AX542" s="68"/>
      <c r="AY542" s="68"/>
      <c r="AZ542" s="68"/>
      <c r="BB542" s="68"/>
      <c r="BC542" s="68"/>
      <c r="BJ542" s="68"/>
      <c r="BT542">
        <v>1</v>
      </c>
      <c r="BV542">
        <v>1</v>
      </c>
      <c r="BX542" s="68"/>
      <c r="BY542" s="68">
        <v>1</v>
      </c>
      <c r="BZ542" s="68">
        <v>0</v>
      </c>
      <c r="CA542" s="68">
        <v>0</v>
      </c>
      <c r="CB542" s="68">
        <v>0</v>
      </c>
      <c r="CC542" s="68">
        <f t="shared" si="122"/>
        <v>0</v>
      </c>
      <c r="CD542" s="68">
        <f t="shared" si="123"/>
        <v>0</v>
      </c>
    </row>
    <row r="543" spans="1:82" ht="15.75" customHeight="1" thickBot="1" x14ac:dyDescent="0.3">
      <c r="A543" s="6">
        <v>542</v>
      </c>
      <c r="B543" s="7" t="s">
        <v>119</v>
      </c>
      <c r="C543" s="7" t="s">
        <v>85</v>
      </c>
      <c r="D543" s="7" t="s">
        <v>17</v>
      </c>
      <c r="E543" s="50">
        <v>-161.43330767653501</v>
      </c>
      <c r="F543" s="50">
        <v>51.344608592813998</v>
      </c>
      <c r="G543" s="50">
        <v>57.323507032429397</v>
      </c>
      <c r="H543" s="50">
        <v>45.9</v>
      </c>
      <c r="I543" s="8" t="s">
        <v>1057</v>
      </c>
      <c r="J543" s="50">
        <v>3.59828174688713</v>
      </c>
      <c r="K543" s="248">
        <f>IFERROR(VLOOKUP(C543,Schedule!$T$3:$U$34,2,0),"FA")</f>
        <v>11</v>
      </c>
      <c r="L543" s="7" t="str">
        <f>D543&amp;COUNTIF(D$2:$D543,D543)</f>
        <v>WR124</v>
      </c>
      <c r="M543" s="50">
        <f t="array" ref="M543">IFERROR(F543-AVERAGE(VLOOKUP(D543,$D544:$F$885,3,0),INDEX($F544:$F$885,SMALL(IF(D543=$D544:$D$885,ROW($D544:$D$885)-ROW(D543)),2))),0)</f>
        <v>0.94121867347590182</v>
      </c>
      <c r="N543" s="50">
        <f>IFERROR(IF(VLOOKUP($B543,Input!$AC$2:$AC$162,1,0)=$B543,0),F543)</f>
        <v>51.344608592813998</v>
      </c>
      <c r="O543" s="50">
        <f>IFERROR(IF(VLOOKUP($B543,Input!$AC$2:$AC$162,1,0)=$B543,0,G543),G543)</f>
        <v>57.323507032429397</v>
      </c>
      <c r="P543" s="50">
        <f>IF(N543=0,0,F543-AVERAGE(INDEX(F:F,MATCH(VLOOKUP(D543,Input!$A$14:$L$22,10,0),L:L,0)),INDEX(F:F,MATCH(VLOOKUP(D543,Input!$A$14:$L$22,11,0),L:L,0)),INDEX(F:F,MATCH(VLOOKUP(D543,Input!$A$14:$L$22,12,0),L:L,0)))+(0.01-ROW()*0.01))</f>
        <v>-166.85330767653502</v>
      </c>
      <c r="Q543" s="106">
        <f t="shared" si="118"/>
        <v>-5.7563213319094218E-2</v>
      </c>
      <c r="R543" s="8">
        <f>IF(VLOOKUP($D543,$X$14:$Y$19,2,0)&lt;=0,1,IF(Q543&lt;0,1,ROUNDUP(IF(Q543*('Draft Center'!$L$28+'Draft Center'!$L$78-'Draft Center'!$L$82)&lt;1,1,Q543*('Draft Center'!$L$28+'Draft Center'!$L$78-'Draft Center'!$L$82)),0)))</f>
        <v>1</v>
      </c>
      <c r="S543" s="8">
        <f>IF(A543&lt;Input!$B$10+0.1,IF(ROUNDUP(R543*Input!$C$10,0)=0,1,ROUNDUP(R543*Input!$C$10,0)),IF(A543&gt;Input!$B$11,IF(ROUNDUP(R543*Input!$C$11,0)=0,1,ROUNDUP(R543*Input!$C$11,0)),IF(ROUNDUP(R543,0)=0,1,ROUNDUP(R543,0))))</f>
        <v>1</v>
      </c>
      <c r="T543" s="8">
        <f t="shared" si="119"/>
        <v>1</v>
      </c>
      <c r="U543" s="8">
        <f>IFERROR(VLOOKUP($B543,Input!$AC$2:$AE$161,3,0),0)</f>
        <v>0</v>
      </c>
      <c r="V543" s="256">
        <f t="shared" si="120"/>
        <v>0</v>
      </c>
      <c r="W543" s="263">
        <f t="shared" si="121"/>
        <v>0</v>
      </c>
      <c r="X543" s="68"/>
      <c r="Y543" s="68"/>
      <c r="Z543" s="68"/>
      <c r="AA543" s="68"/>
      <c r="AB543" s="68"/>
      <c r="AC543" s="68"/>
      <c r="AD543" s="68"/>
      <c r="AE543" s="68"/>
      <c r="AF543" s="68"/>
      <c r="AG543" s="68"/>
      <c r="AH543" s="68"/>
      <c r="AI543" s="68"/>
      <c r="AJ543" s="68">
        <v>1</v>
      </c>
      <c r="AL543" s="68">
        <v>1</v>
      </c>
      <c r="AM543" s="68"/>
      <c r="AN543" s="68"/>
      <c r="AO543" s="68"/>
      <c r="AQ543" s="68"/>
      <c r="AR543" s="68"/>
      <c r="AS543" s="68"/>
      <c r="AT543" s="68"/>
      <c r="AU543" s="68"/>
      <c r="AV543" s="68"/>
      <c r="AW543" s="68"/>
      <c r="AX543" s="68"/>
      <c r="AY543" s="68"/>
      <c r="AZ543" s="68"/>
      <c r="BB543" s="68"/>
      <c r="BC543" s="68"/>
      <c r="BJ543" s="68"/>
      <c r="BT543">
        <v>1</v>
      </c>
      <c r="BV543">
        <v>1</v>
      </c>
      <c r="BX543" s="68"/>
      <c r="BY543" s="68">
        <v>1</v>
      </c>
      <c r="BZ543" s="68" t="s">
        <v>1057</v>
      </c>
      <c r="CA543" s="68" t="s">
        <v>1057</v>
      </c>
      <c r="CB543" s="68" t="s">
        <v>1057</v>
      </c>
      <c r="CC543" s="68" t="e">
        <f t="shared" si="122"/>
        <v>#DIV/0!</v>
      </c>
      <c r="CD543" s="68" t="str">
        <f t="shared" si="123"/>
        <v>NA</v>
      </c>
    </row>
    <row r="544" spans="1:82" ht="15.75" customHeight="1" thickBot="1" x14ac:dyDescent="0.3">
      <c r="A544" s="9">
        <v>543</v>
      </c>
      <c r="B544" s="10" t="s">
        <v>979</v>
      </c>
      <c r="C544" s="10" t="s">
        <v>143</v>
      </c>
      <c r="D544" s="10" t="s">
        <v>19</v>
      </c>
      <c r="E544" s="51">
        <v>-161.70329688929701</v>
      </c>
      <c r="F544" s="51">
        <v>7.3991011366551502</v>
      </c>
      <c r="G544" s="51">
        <v>14.1294219931399</v>
      </c>
      <c r="H544" s="51">
        <v>0</v>
      </c>
      <c r="I544" s="11" t="s">
        <v>1057</v>
      </c>
      <c r="J544" s="51">
        <v>3.6648973555470601</v>
      </c>
      <c r="K544" s="249">
        <f>IFERROR(VLOOKUP(C544,Schedule!$T$3:$U$34,2,0),"FA")</f>
        <v>9</v>
      </c>
      <c r="L544" s="10" t="str">
        <f>D544&amp;COUNTIF(D$2:$D544,D544)</f>
        <v>RB146</v>
      </c>
      <c r="M544" s="51">
        <f t="array" ref="M544">IFERROR(F544-AVERAGE(VLOOKUP(D544,$D545:$F$885,3,0),INDEX($F545:$F$885,SMALL(IF(D544=$D545:$D$885,ROW($D545:$D$885)-ROW(D544)),2))),0)</f>
        <v>0.75810982163452056</v>
      </c>
      <c r="N544" s="51">
        <f>IFERROR(IF(VLOOKUP($B544,Input!$AC$2:$AC$162,1,0)=$B544,0),F544)</f>
        <v>7.3991011366551502</v>
      </c>
      <c r="O544" s="51">
        <f>IFERROR(IF(VLOOKUP($B544,Input!$AC$2:$AC$162,1,0)=$B544,0,G544),G544)</f>
        <v>14.1294219931399</v>
      </c>
      <c r="P544" s="51">
        <f>IF(N544=0,0,F544-AVERAGE(INDEX(F:F,MATCH(VLOOKUP(D544,Input!$A$14:$L$22,10,0),L:L,0)),INDEX(F:F,MATCH(VLOOKUP(D544,Input!$A$14:$L$22,11,0),L:L,0)),INDEX(F:F,MATCH(VLOOKUP(D544,Input!$A$14:$L$22,12,0),L:L,0)))+(0.01-ROW()*0.01))</f>
        <v>-167.13329688929684</v>
      </c>
      <c r="Q544" s="107">
        <f t="shared" si="118"/>
        <v>-5.7659807621033378E-2</v>
      </c>
      <c r="R544" s="11">
        <f>IF(VLOOKUP($D544,$X$14:$Y$19,2,0)&lt;=0,1,IF(Q544&lt;0,1,ROUNDUP(IF(Q544*('Draft Center'!$L$28+'Draft Center'!$L$78-'Draft Center'!$L$82)&lt;1,1,Q544*('Draft Center'!$L$28+'Draft Center'!$L$78-'Draft Center'!$L$82)),0)))</f>
        <v>1</v>
      </c>
      <c r="S544" s="11">
        <f>IF(A544&lt;Input!$B$10+0.1,IF(ROUNDUP(R544*Input!$C$10,0)=0,1,ROUNDUP(R544*Input!$C$10,0)),IF(A544&gt;Input!$B$11,IF(ROUNDUP(R544*Input!$C$11,0)=0,1,ROUNDUP(R544*Input!$C$11,0)),IF(ROUNDUP(R544,0)=0,1,ROUNDUP(R544,0))))</f>
        <v>1</v>
      </c>
      <c r="T544" s="11">
        <f t="shared" si="119"/>
        <v>1</v>
      </c>
      <c r="U544" s="11">
        <f>IFERROR(VLOOKUP($B544,Input!$AC$2:$AE$161,3,0),0)</f>
        <v>0</v>
      </c>
      <c r="V544" s="257">
        <f t="shared" si="120"/>
        <v>0</v>
      </c>
      <c r="W544" s="264">
        <f t="shared" si="121"/>
        <v>0</v>
      </c>
      <c r="X544" s="68"/>
      <c r="Y544" s="68"/>
      <c r="Z544" s="68"/>
      <c r="AA544" s="68"/>
      <c r="AB544" s="68"/>
      <c r="AC544" s="68"/>
      <c r="AD544" s="68"/>
      <c r="AE544" s="68"/>
      <c r="AF544" s="68"/>
      <c r="AG544" s="68"/>
      <c r="AH544" s="68"/>
      <c r="AI544" s="68"/>
      <c r="AJ544" s="68">
        <v>1</v>
      </c>
      <c r="AL544" s="68">
        <v>1</v>
      </c>
      <c r="AM544" s="68"/>
      <c r="AN544" s="68"/>
      <c r="AO544" s="68"/>
      <c r="AQ544" s="68"/>
      <c r="AR544" s="68"/>
      <c r="AS544" s="68"/>
      <c r="AT544" s="68"/>
      <c r="AU544" s="68"/>
      <c r="AV544" s="68"/>
      <c r="AW544" s="68"/>
      <c r="AX544" s="68"/>
      <c r="AY544" s="68"/>
      <c r="AZ544" s="68"/>
      <c r="BB544" s="68"/>
      <c r="BC544" s="68"/>
      <c r="BJ544" s="68"/>
      <c r="BT544">
        <v>1</v>
      </c>
      <c r="BV544">
        <v>1</v>
      </c>
      <c r="BX544" s="68"/>
      <c r="BY544" s="68">
        <v>1</v>
      </c>
      <c r="BZ544" s="68" t="s">
        <v>1057</v>
      </c>
      <c r="CA544" s="68" t="s">
        <v>1057</v>
      </c>
      <c r="CB544" s="68" t="s">
        <v>1057</v>
      </c>
      <c r="CC544" s="68" t="e">
        <f t="shared" si="122"/>
        <v>#DIV/0!</v>
      </c>
      <c r="CD544" s="68" t="str">
        <f t="shared" si="123"/>
        <v>NA</v>
      </c>
    </row>
    <row r="545" spans="1:82" ht="15.75" customHeight="1" thickBot="1" x14ac:dyDescent="0.3">
      <c r="A545" s="6">
        <v>544</v>
      </c>
      <c r="B545" s="7" t="s">
        <v>781</v>
      </c>
      <c r="C545" s="7" t="s">
        <v>143</v>
      </c>
      <c r="D545" s="7" t="s">
        <v>17</v>
      </c>
      <c r="E545" s="50">
        <v>-161.971136430673</v>
      </c>
      <c r="F545" s="50">
        <v>50.806779838676199</v>
      </c>
      <c r="G545" s="50">
        <v>68.231090953780694</v>
      </c>
      <c r="H545" s="50">
        <v>17.171551361944001</v>
      </c>
      <c r="I545" s="8">
        <v>0</v>
      </c>
      <c r="J545" s="50">
        <v>5.7242863940840101</v>
      </c>
      <c r="K545" s="248">
        <f>IFERROR(VLOOKUP(C545,Schedule!$T$3:$U$34,2,0),"FA")</f>
        <v>9</v>
      </c>
      <c r="L545" s="7" t="str">
        <f>D545&amp;COUNTIF(D$2:$D545,D545)</f>
        <v>WR125</v>
      </c>
      <c r="M545" s="50">
        <f t="array" ref="M545">IFERROR(F545-AVERAGE(VLOOKUP(D545,$D546:$F$885,3,0),INDEX($F546:$F$885,SMALL(IF(D545=$D546:$D$885,ROW($D546:$D$885)-ROW(D545)),2))),0)</f>
        <v>1.3016500843077026</v>
      </c>
      <c r="N545" s="50">
        <f>IFERROR(IF(VLOOKUP($B545,Input!$AC$2:$AC$162,1,0)=$B545,0),F545)</f>
        <v>50.806779838676199</v>
      </c>
      <c r="O545" s="50">
        <f>IFERROR(IF(VLOOKUP($B545,Input!$AC$2:$AC$162,1,0)=$B545,0,G545),G545)</f>
        <v>68.231090953780694</v>
      </c>
      <c r="P545" s="50">
        <f>IF(N545=0,0,F545-AVERAGE(INDEX(F:F,MATCH(VLOOKUP(D545,Input!$A$14:$L$22,10,0),L:L,0)),INDEX(F:F,MATCH(VLOOKUP(D545,Input!$A$14:$L$22,11,0),L:L,0)),INDEX(F:F,MATCH(VLOOKUP(D545,Input!$A$14:$L$22,12,0),L:L,0)))+(0.01-ROW()*0.01))</f>
        <v>-167.41113643067283</v>
      </c>
      <c r="Q545" s="106">
        <f t="shared" si="118"/>
        <v>-5.7755660301519095E-2</v>
      </c>
      <c r="R545" s="8">
        <f>IF(VLOOKUP($D545,$X$14:$Y$19,2,0)&lt;=0,1,IF(Q545&lt;0,1,ROUNDUP(IF(Q545*('Draft Center'!$L$28+'Draft Center'!$L$78-'Draft Center'!$L$82)&lt;1,1,Q545*('Draft Center'!$L$28+'Draft Center'!$L$78-'Draft Center'!$L$82)),0)))</f>
        <v>1</v>
      </c>
      <c r="S545" s="8">
        <f>IF(A545&lt;Input!$B$10+0.1,IF(ROUNDUP(R545*Input!$C$10,0)=0,1,ROUNDUP(R545*Input!$C$10,0)),IF(A545&gt;Input!$B$11,IF(ROUNDUP(R545*Input!$C$11,0)=0,1,ROUNDUP(R545*Input!$C$11,0)),IF(ROUNDUP(R545,0)=0,1,ROUNDUP(R545,0))))</f>
        <v>1</v>
      </c>
      <c r="T545" s="8">
        <f t="shared" si="119"/>
        <v>1</v>
      </c>
      <c r="U545" s="8">
        <f>IFERROR(VLOOKUP($B545,Input!$AC$2:$AE$161,3,0),0)</f>
        <v>0</v>
      </c>
      <c r="V545" s="256">
        <f t="shared" si="120"/>
        <v>0</v>
      </c>
      <c r="W545" s="263">
        <f t="shared" si="121"/>
        <v>1.00545</v>
      </c>
      <c r="X545" s="68"/>
      <c r="Y545" s="68"/>
      <c r="Z545" s="68"/>
      <c r="AA545" s="68"/>
      <c r="AB545" s="68"/>
      <c r="AC545" s="68"/>
      <c r="AD545" s="68"/>
      <c r="AE545" s="68"/>
      <c r="AF545" s="68"/>
      <c r="AG545" s="68"/>
      <c r="AH545" s="68"/>
      <c r="AI545" s="68"/>
      <c r="AJ545" s="68">
        <v>1</v>
      </c>
      <c r="AL545" s="68">
        <v>1</v>
      </c>
      <c r="AM545" s="68"/>
      <c r="AN545" s="68"/>
      <c r="AO545" s="68"/>
      <c r="AQ545" s="68"/>
      <c r="AR545" s="68"/>
      <c r="AS545" s="68"/>
      <c r="AT545" s="68"/>
      <c r="AU545" s="68"/>
      <c r="AV545" s="68"/>
      <c r="AW545" s="68"/>
      <c r="AX545" s="68"/>
      <c r="AY545" s="68"/>
      <c r="AZ545" s="68"/>
      <c r="BB545" s="68"/>
      <c r="BC545" s="68"/>
      <c r="BJ545" s="68"/>
      <c r="BT545">
        <v>1</v>
      </c>
      <c r="BV545">
        <v>1</v>
      </c>
      <c r="BX545" s="68"/>
      <c r="BY545" s="68">
        <v>1</v>
      </c>
      <c r="BZ545" s="68">
        <v>0</v>
      </c>
      <c r="CA545" s="68">
        <v>0</v>
      </c>
      <c r="CB545" s="68">
        <v>0</v>
      </c>
      <c r="CC545" s="68">
        <f t="shared" si="122"/>
        <v>0</v>
      </c>
      <c r="CD545" s="68">
        <f t="shared" si="123"/>
        <v>0</v>
      </c>
    </row>
    <row r="546" spans="1:82" ht="15.75" customHeight="1" thickBot="1" x14ac:dyDescent="0.3">
      <c r="A546" s="9">
        <v>545</v>
      </c>
      <c r="B546" s="10" t="s">
        <v>299</v>
      </c>
      <c r="C546" s="10" t="s">
        <v>311</v>
      </c>
      <c r="D546" s="10" t="s">
        <v>19</v>
      </c>
      <c r="E546" s="51">
        <v>-162.444333509823</v>
      </c>
      <c r="F546" s="51">
        <v>6.6580645161290297</v>
      </c>
      <c r="G546" s="51">
        <v>10.341033383345801</v>
      </c>
      <c r="H546" s="51">
        <v>0</v>
      </c>
      <c r="I546" s="11" t="s">
        <v>1057</v>
      </c>
      <c r="J546" s="51">
        <v>3.7538530822365499</v>
      </c>
      <c r="K546" s="249" t="str">
        <f>IFERROR(VLOOKUP(C546,Schedule!$T$3:$U$34,2,0),"FA")</f>
        <v>FA</v>
      </c>
      <c r="L546" s="10" t="str">
        <f>D546&amp;COUNTIF(D$2:$D546,D546)</f>
        <v>RB147</v>
      </c>
      <c r="M546" s="51">
        <f t="array" ref="M546">IFERROR(F546-AVERAGE(VLOOKUP(D546,$D547:$F$885,3,0),INDEX($F547:$F$885,SMALL(IF(D546=$D547:$D$885,ROW($D547:$D$885)-ROW(D546)),2))),0)</f>
        <v>0.10834826963043032</v>
      </c>
      <c r="N546" s="51">
        <f>IFERROR(IF(VLOOKUP($B546,Input!$AC$2:$AC$162,1,0)=$B546,0),F546)</f>
        <v>6.6580645161290297</v>
      </c>
      <c r="O546" s="51">
        <f>IFERROR(IF(VLOOKUP($B546,Input!$AC$2:$AC$162,1,0)=$B546,0,G546),G546)</f>
        <v>10.341033383345801</v>
      </c>
      <c r="P546" s="51">
        <f>IF(N546=0,0,F546-AVERAGE(INDEX(F:F,MATCH(VLOOKUP(D546,Input!$A$14:$L$22,10,0),L:L,0)),INDEX(F:F,MATCH(VLOOKUP(D546,Input!$A$14:$L$22,11,0),L:L,0)),INDEX(F:F,MATCH(VLOOKUP(D546,Input!$A$14:$L$22,12,0),L:L,0)))+(0.01-ROW()*0.01))</f>
        <v>-167.89433350982296</v>
      </c>
      <c r="Q546" s="107">
        <f t="shared" si="118"/>
        <v>-5.7922359882903507E-2</v>
      </c>
      <c r="R546" s="11">
        <f>IF(VLOOKUP($D546,$X$14:$Y$19,2,0)&lt;=0,1,IF(Q546&lt;0,1,ROUNDUP(IF(Q546*('Draft Center'!$L$28+'Draft Center'!$L$78-'Draft Center'!$L$82)&lt;1,1,Q546*('Draft Center'!$L$28+'Draft Center'!$L$78-'Draft Center'!$L$82)),0)))</f>
        <v>1</v>
      </c>
      <c r="S546" s="11">
        <f>IF(A546&lt;Input!$B$10+0.1,IF(ROUNDUP(R546*Input!$C$10,0)=0,1,ROUNDUP(R546*Input!$C$10,0)),IF(A546&gt;Input!$B$11,IF(ROUNDUP(R546*Input!$C$11,0)=0,1,ROUNDUP(R546*Input!$C$11,0)),IF(ROUNDUP(R546,0)=0,1,ROUNDUP(R546,0))))</f>
        <v>1</v>
      </c>
      <c r="T546" s="11">
        <f t="shared" si="119"/>
        <v>1</v>
      </c>
      <c r="U546" s="11">
        <f>IFERROR(VLOOKUP($B546,Input!$AC$2:$AE$161,3,0),0)</f>
        <v>0</v>
      </c>
      <c r="V546" s="257">
        <f t="shared" si="120"/>
        <v>0</v>
      </c>
      <c r="W546" s="264">
        <f t="shared" si="121"/>
        <v>0</v>
      </c>
      <c r="X546" s="68"/>
      <c r="Y546" s="68"/>
      <c r="Z546" s="68"/>
      <c r="AA546" s="68"/>
      <c r="AB546" s="68"/>
      <c r="AC546" s="68"/>
      <c r="AD546" s="68"/>
      <c r="AE546" s="68"/>
      <c r="AF546" s="68"/>
      <c r="AG546" s="68"/>
      <c r="AH546" s="68"/>
      <c r="AI546" s="68"/>
      <c r="AJ546" s="68">
        <v>1</v>
      </c>
      <c r="AL546" s="68">
        <v>1</v>
      </c>
      <c r="AM546" s="68"/>
      <c r="AN546" s="68"/>
      <c r="AO546" s="68"/>
      <c r="AQ546" s="68"/>
      <c r="AR546" s="68"/>
      <c r="AS546" s="68"/>
      <c r="AT546" s="68"/>
      <c r="AU546" s="68"/>
      <c r="AV546" s="68"/>
      <c r="AW546" s="68"/>
      <c r="AX546" s="68"/>
      <c r="AY546" s="68"/>
      <c r="AZ546" s="68"/>
      <c r="BB546" s="68"/>
      <c r="BC546" s="68"/>
      <c r="BJ546" s="68"/>
      <c r="BT546">
        <v>1</v>
      </c>
      <c r="BV546">
        <v>1</v>
      </c>
      <c r="BX546" s="68"/>
      <c r="BY546" s="68">
        <v>1</v>
      </c>
      <c r="BZ546" s="68" t="s">
        <v>1057</v>
      </c>
      <c r="CA546" s="68" t="s">
        <v>1057</v>
      </c>
      <c r="CB546" s="68" t="s">
        <v>1057</v>
      </c>
      <c r="CC546" s="68" t="e">
        <f t="shared" si="122"/>
        <v>#DIV/0!</v>
      </c>
      <c r="CD546" s="68" t="str">
        <f t="shared" si="123"/>
        <v>NA</v>
      </c>
    </row>
    <row r="547" spans="1:82" ht="15.75" customHeight="1" thickBot="1" x14ac:dyDescent="0.3">
      <c r="A547" s="6">
        <v>546</v>
      </c>
      <c r="B547" s="7" t="s">
        <v>986</v>
      </c>
      <c r="C547" s="7" t="s">
        <v>143</v>
      </c>
      <c r="D547" s="7" t="s">
        <v>19</v>
      </c>
      <c r="E547" s="50">
        <v>-162.47847991204</v>
      </c>
      <c r="F547" s="50">
        <v>6.6239181139122296</v>
      </c>
      <c r="G547" s="50">
        <v>11.20574</v>
      </c>
      <c r="H547" s="50">
        <v>-6.4239028944911306E-2</v>
      </c>
      <c r="I547" s="8" t="s">
        <v>1057</v>
      </c>
      <c r="J547" s="50">
        <v>3.8330193046509899</v>
      </c>
      <c r="K547" s="248">
        <f>IFERROR(VLOOKUP(C547,Schedule!$T$3:$U$34,2,0),"FA")</f>
        <v>9</v>
      </c>
      <c r="L547" s="7" t="str">
        <f>D547&amp;COUNTIF(D$2:$D547,D547)</f>
        <v>RB148</v>
      </c>
      <c r="M547" s="50">
        <f t="array" ref="M547">IFERROR(F547-AVERAGE(VLOOKUP(D547,$D548:$F$885,3,0),INDEX($F548:$F$885,SMALL(IF(D547=$D548:$D$885,ROW($D548:$D$885)-ROW(D547)),2))),0)</f>
        <v>0.33454802114393978</v>
      </c>
      <c r="N547" s="50">
        <f>IFERROR(IF(VLOOKUP($B547,Input!$AC$2:$AC$162,1,0)=$B547,0),F547)</f>
        <v>6.6239181139122296</v>
      </c>
      <c r="O547" s="50">
        <f>IFERROR(IF(VLOOKUP($B547,Input!$AC$2:$AC$162,1,0)=$B547,0,G547),G547)</f>
        <v>11.20574</v>
      </c>
      <c r="P547" s="50">
        <f>IF(N547=0,0,F547-AVERAGE(INDEX(F:F,MATCH(VLOOKUP(D547,Input!$A$14:$L$22,10,0),L:L,0)),INDEX(F:F,MATCH(VLOOKUP(D547,Input!$A$14:$L$22,11,0),L:L,0)),INDEX(F:F,MATCH(VLOOKUP(D547,Input!$A$14:$L$22,12,0),L:L,0)))+(0.01-ROW()*0.01))</f>
        <v>-167.93847991203978</v>
      </c>
      <c r="Q547" s="106">
        <f t="shared" si="118"/>
        <v>-5.7937590080035732E-2</v>
      </c>
      <c r="R547" s="8">
        <f>IF(VLOOKUP($D547,$X$14:$Y$19,2,0)&lt;=0,1,IF(Q547&lt;0,1,ROUNDUP(IF(Q547*('Draft Center'!$L$28+'Draft Center'!$L$78-'Draft Center'!$L$82)&lt;1,1,Q547*('Draft Center'!$L$28+'Draft Center'!$L$78-'Draft Center'!$L$82)),0)))</f>
        <v>1</v>
      </c>
      <c r="S547" s="8">
        <f>IF(A547&lt;Input!$B$10+0.1,IF(ROUNDUP(R547*Input!$C$10,0)=0,1,ROUNDUP(R547*Input!$C$10,0)),IF(A547&gt;Input!$B$11,IF(ROUNDUP(R547*Input!$C$11,0)=0,1,ROUNDUP(R547*Input!$C$11,0)),IF(ROUNDUP(R547,0)=0,1,ROUNDUP(R547,0))))</f>
        <v>1</v>
      </c>
      <c r="T547" s="8">
        <f t="shared" si="119"/>
        <v>1</v>
      </c>
      <c r="U547" s="8">
        <f>IFERROR(VLOOKUP($B547,Input!$AC$2:$AE$161,3,0),0)</f>
        <v>0</v>
      </c>
      <c r="V547" s="256">
        <f t="shared" si="120"/>
        <v>0</v>
      </c>
      <c r="W547" s="263">
        <f t="shared" si="121"/>
        <v>0</v>
      </c>
      <c r="X547" s="68"/>
      <c r="Y547" s="68"/>
      <c r="Z547" s="68"/>
      <c r="AA547" s="68"/>
      <c r="AB547" s="68"/>
      <c r="AC547" s="68"/>
      <c r="AD547" s="68"/>
      <c r="AE547" s="68"/>
      <c r="AF547" s="68"/>
      <c r="AG547" s="68"/>
      <c r="AH547" s="68"/>
      <c r="AI547" s="68"/>
      <c r="AJ547" s="68">
        <v>1</v>
      </c>
      <c r="AL547" s="68">
        <v>1</v>
      </c>
      <c r="AM547" s="68"/>
      <c r="AN547" s="68"/>
      <c r="AO547" s="68"/>
      <c r="AQ547" s="68"/>
      <c r="AR547" s="68"/>
      <c r="AS547" s="68"/>
      <c r="AT547" s="68"/>
      <c r="AU547" s="68"/>
      <c r="AV547" s="68"/>
      <c r="AW547" s="68"/>
      <c r="AX547" s="68"/>
      <c r="AY547" s="68"/>
      <c r="AZ547" s="68"/>
      <c r="BB547" s="68"/>
      <c r="BC547" s="68"/>
      <c r="BJ547" s="68"/>
      <c r="BT547">
        <v>1</v>
      </c>
      <c r="BV547">
        <v>1</v>
      </c>
      <c r="BX547" s="68"/>
      <c r="BY547" s="68">
        <v>1</v>
      </c>
      <c r="BZ547" s="68" t="s">
        <v>1057</v>
      </c>
      <c r="CA547" s="68" t="s">
        <v>1057</v>
      </c>
      <c r="CB547" s="68" t="s">
        <v>1057</v>
      </c>
      <c r="CC547" s="68" t="e">
        <f t="shared" si="122"/>
        <v>#DIV/0!</v>
      </c>
      <c r="CD547" s="68" t="str">
        <f t="shared" si="123"/>
        <v>NA</v>
      </c>
    </row>
    <row r="548" spans="1:82" ht="15.75" customHeight="1" thickBot="1" x14ac:dyDescent="0.3">
      <c r="A548" s="9">
        <v>547</v>
      </c>
      <c r="B548" s="10" t="s">
        <v>1093</v>
      </c>
      <c r="C548" s="10" t="s">
        <v>48</v>
      </c>
      <c r="D548" s="10" t="s">
        <v>19</v>
      </c>
      <c r="E548" s="51">
        <v>-162.62688364686699</v>
      </c>
      <c r="F548" s="51">
        <v>6.4755143790849701</v>
      </c>
      <c r="G548" s="51">
        <v>13.503113149847101</v>
      </c>
      <c r="H548" s="51">
        <v>-0.31167133520074702</v>
      </c>
      <c r="I548" s="11">
        <v>0</v>
      </c>
      <c r="J548" s="51">
        <v>9.3824042764774092</v>
      </c>
      <c r="K548" s="249">
        <f>IFERROR(VLOOKUP(C548,Schedule!$T$3:$U$34,2,0),"FA")</f>
        <v>10</v>
      </c>
      <c r="L548" s="10" t="str">
        <f>D548&amp;COUNTIF(D$2:$D548,D548)</f>
        <v>RB149</v>
      </c>
      <c r="M548" s="51">
        <f t="array" ref="M548">IFERROR(F548-AVERAGE(VLOOKUP(D548,$D549:$F$885,3,0),INDEX($F549:$F$885,SMALL(IF(D548=$D549:$D$885,ROW($D549:$D$885)-ROW(D548)),2))),0)</f>
        <v>0.55421697654503532</v>
      </c>
      <c r="N548" s="51">
        <f>IFERROR(IF(VLOOKUP($B548,Input!$AC$2:$AC$162,1,0)=$B548,0),F548)</f>
        <v>6.4755143790849701</v>
      </c>
      <c r="O548" s="51">
        <f>IFERROR(IF(VLOOKUP($B548,Input!$AC$2:$AC$162,1,0)=$B548,0,G548),G548)</f>
        <v>13.503113149847101</v>
      </c>
      <c r="P548" s="51">
        <f>IF(N548=0,0,F548-AVERAGE(INDEX(F:F,MATCH(VLOOKUP(D548,Input!$A$14:$L$22,10,0),L:L,0)),INDEX(F:F,MATCH(VLOOKUP(D548,Input!$A$14:$L$22,11,0),L:L,0)),INDEX(F:F,MATCH(VLOOKUP(D548,Input!$A$14:$L$22,12,0),L:L,0)))+(0.01-ROW()*0.01))</f>
        <v>-168.09688364686704</v>
      </c>
      <c r="Q548" s="107">
        <f t="shared" si="118"/>
        <v>-5.7992238250367957E-2</v>
      </c>
      <c r="R548" s="11">
        <f>IF(VLOOKUP($D548,$X$14:$Y$19,2,0)&lt;=0,1,IF(Q548&lt;0,1,ROUNDUP(IF(Q548*('Draft Center'!$L$28+'Draft Center'!$L$78-'Draft Center'!$L$82)&lt;1,1,Q548*('Draft Center'!$L$28+'Draft Center'!$L$78-'Draft Center'!$L$82)),0)))</f>
        <v>1</v>
      </c>
      <c r="S548" s="11">
        <f>IF(A548&lt;Input!$B$10+0.1,IF(ROUNDUP(R548*Input!$C$10,0)=0,1,ROUNDUP(R548*Input!$C$10,0)),IF(A548&gt;Input!$B$11,IF(ROUNDUP(R548*Input!$C$11,0)=0,1,ROUNDUP(R548*Input!$C$11,0)),IF(ROUNDUP(R548,0)=0,1,ROUNDUP(R548,0))))</f>
        <v>1</v>
      </c>
      <c r="T548" s="11">
        <f t="shared" si="119"/>
        <v>1</v>
      </c>
      <c r="U548" s="11">
        <f>IFERROR(VLOOKUP($B548,Input!$AC$2:$AE$161,3,0),0)</f>
        <v>0</v>
      </c>
      <c r="V548" s="257">
        <f t="shared" si="120"/>
        <v>0</v>
      </c>
      <c r="W548" s="264">
        <f t="shared" si="121"/>
        <v>1.0054799999999999</v>
      </c>
      <c r="X548" s="68"/>
      <c r="Y548" s="68"/>
      <c r="Z548" s="68"/>
      <c r="AA548" s="68"/>
      <c r="AB548" s="68"/>
      <c r="AC548" s="68"/>
      <c r="AD548" s="68"/>
      <c r="AE548" s="68"/>
      <c r="AF548" s="68"/>
      <c r="AG548" s="68"/>
      <c r="AH548" s="68"/>
      <c r="AI548" s="68"/>
      <c r="AJ548" s="68">
        <v>1</v>
      </c>
      <c r="AL548" s="68">
        <v>1</v>
      </c>
      <c r="AM548" s="68"/>
      <c r="AN548" s="68"/>
      <c r="AO548" s="68"/>
      <c r="AQ548" s="68"/>
      <c r="AR548" s="68"/>
      <c r="AS548" s="68"/>
      <c r="AT548" s="68"/>
      <c r="AU548" s="68"/>
      <c r="AV548" s="68"/>
      <c r="AW548" s="68"/>
      <c r="AX548" s="68"/>
      <c r="AY548" s="68"/>
      <c r="AZ548" s="68"/>
      <c r="BB548" s="68"/>
      <c r="BC548" s="68"/>
      <c r="BJ548" s="68"/>
      <c r="BT548">
        <v>1</v>
      </c>
      <c r="BV548">
        <v>1</v>
      </c>
      <c r="BX548" s="68"/>
      <c r="BY548" s="68">
        <v>1</v>
      </c>
      <c r="BZ548" s="68">
        <v>0</v>
      </c>
      <c r="CA548" s="68">
        <v>0</v>
      </c>
      <c r="CB548" s="68">
        <v>0</v>
      </c>
      <c r="CC548" s="68">
        <f t="shared" si="122"/>
        <v>0</v>
      </c>
      <c r="CD548" s="68">
        <f t="shared" si="123"/>
        <v>0</v>
      </c>
    </row>
    <row r="549" spans="1:82" ht="15.75" customHeight="1" thickBot="1" x14ac:dyDescent="0.3">
      <c r="A549" s="6">
        <v>548</v>
      </c>
      <c r="B549" s="7" t="s">
        <v>295</v>
      </c>
      <c r="C549" s="7" t="s">
        <v>311</v>
      </c>
      <c r="D549" s="7" t="s">
        <v>17</v>
      </c>
      <c r="E549" s="50">
        <v>-162.77791626934899</v>
      </c>
      <c r="F549" s="50">
        <v>50</v>
      </c>
      <c r="G549" s="50">
        <v>44.496049999999997</v>
      </c>
      <c r="H549" s="50">
        <v>19.8</v>
      </c>
      <c r="I549" s="8" t="s">
        <v>1057</v>
      </c>
      <c r="J549" s="50">
        <v>7.7707416915362701</v>
      </c>
      <c r="K549" s="248" t="str">
        <f>IFERROR(VLOOKUP(C549,Schedule!$T$3:$U$34,2,0),"FA")</f>
        <v>FA</v>
      </c>
      <c r="L549" s="7" t="str">
        <f>D549&amp;COUNTIF(D$2:$D549,D549)</f>
        <v>WR126</v>
      </c>
      <c r="M549" s="50">
        <f t="array" ref="M549">IFERROR(F549-AVERAGE(VLOOKUP(D549,$D550:$F$885,3,0),INDEX($F550:$F$885,SMALL(IF(D549=$D550:$D$885,ROW($D550:$D$885)-ROW(D549)),2))),0)</f>
        <v>1.5829724463001043</v>
      </c>
      <c r="N549" s="50">
        <f>IFERROR(IF(VLOOKUP($B549,Input!$AC$2:$AC$162,1,0)=$B549,0),F549)</f>
        <v>50</v>
      </c>
      <c r="O549" s="50">
        <f>IFERROR(IF(VLOOKUP($B549,Input!$AC$2:$AC$162,1,0)=$B549,0,G549),G549)</f>
        <v>44.496049999999997</v>
      </c>
      <c r="P549" s="50">
        <f>IF(N549=0,0,F549-AVERAGE(INDEX(F:F,MATCH(VLOOKUP(D549,Input!$A$14:$L$22,10,0),L:L,0)),INDEX(F:F,MATCH(VLOOKUP(D549,Input!$A$14:$L$22,11,0),L:L,0)),INDEX(F:F,MATCH(VLOOKUP(D549,Input!$A$14:$L$22,12,0),L:L,0)))+(0.01-ROW()*0.01))</f>
        <v>-168.25791626934901</v>
      </c>
      <c r="Q549" s="106">
        <f t="shared" si="118"/>
        <v>-5.804779336838356E-2</v>
      </c>
      <c r="R549" s="8">
        <f>IF(VLOOKUP($D549,$X$14:$Y$19,2,0)&lt;=0,1,IF(Q549&lt;0,1,ROUNDUP(IF(Q549*('Draft Center'!$L$28+'Draft Center'!$L$78-'Draft Center'!$L$82)&lt;1,1,Q549*('Draft Center'!$L$28+'Draft Center'!$L$78-'Draft Center'!$L$82)),0)))</f>
        <v>1</v>
      </c>
      <c r="S549" s="8">
        <f>IF(A549&lt;Input!$B$10+0.1,IF(ROUNDUP(R549*Input!$C$10,0)=0,1,ROUNDUP(R549*Input!$C$10,0)),IF(A549&gt;Input!$B$11,IF(ROUNDUP(R549*Input!$C$11,0)=0,1,ROUNDUP(R549*Input!$C$11,0)),IF(ROUNDUP(R549,0)=0,1,ROUNDUP(R549,0))))</f>
        <v>1</v>
      </c>
      <c r="T549" s="8">
        <f t="shared" si="119"/>
        <v>1</v>
      </c>
      <c r="U549" s="8">
        <f>IFERROR(VLOOKUP($B549,Input!$AC$2:$AE$161,3,0),0)</f>
        <v>0</v>
      </c>
      <c r="V549" s="256">
        <f t="shared" si="120"/>
        <v>0</v>
      </c>
      <c r="W549" s="263">
        <f t="shared" si="121"/>
        <v>0</v>
      </c>
      <c r="X549" s="68"/>
      <c r="Y549" s="68"/>
      <c r="Z549" s="68"/>
      <c r="AA549" s="68"/>
      <c r="AB549" s="68"/>
      <c r="AC549" s="68"/>
      <c r="AD549" s="68"/>
      <c r="AE549" s="68"/>
      <c r="AF549" s="68"/>
      <c r="AG549" s="68"/>
      <c r="AH549" s="68"/>
      <c r="AI549" s="68"/>
      <c r="AJ549" s="68">
        <v>1</v>
      </c>
      <c r="AL549" s="68">
        <v>1</v>
      </c>
      <c r="AM549" s="68"/>
      <c r="AN549" s="68"/>
      <c r="AO549" s="68"/>
      <c r="AQ549" s="68"/>
      <c r="AR549" s="68"/>
      <c r="AS549" s="68"/>
      <c r="AT549" s="68"/>
      <c r="AU549" s="68"/>
      <c r="AV549" s="68"/>
      <c r="AW549" s="68"/>
      <c r="AX549" s="68"/>
      <c r="AY549" s="68"/>
      <c r="AZ549" s="68"/>
      <c r="BB549" s="68"/>
      <c r="BC549" s="68"/>
      <c r="BJ549" s="68"/>
      <c r="BT549">
        <v>1</v>
      </c>
      <c r="BV549">
        <v>1</v>
      </c>
      <c r="BX549" s="68"/>
      <c r="BY549" s="68">
        <v>1</v>
      </c>
      <c r="BZ549" s="68" t="s">
        <v>1057</v>
      </c>
      <c r="CA549" s="68" t="s">
        <v>1057</v>
      </c>
      <c r="CB549" s="68" t="s">
        <v>1057</v>
      </c>
      <c r="CC549" s="68" t="e">
        <f t="shared" si="122"/>
        <v>#DIV/0!</v>
      </c>
      <c r="CD549" s="68" t="str">
        <f t="shared" si="123"/>
        <v>NA</v>
      </c>
    </row>
    <row r="550" spans="1:82" ht="15.75" customHeight="1" thickBot="1" x14ac:dyDescent="0.3">
      <c r="A550" s="9">
        <v>549</v>
      </c>
      <c r="B550" s="10" t="s">
        <v>112</v>
      </c>
      <c r="C550" s="10" t="s">
        <v>311</v>
      </c>
      <c r="D550" s="10" t="s">
        <v>19</v>
      </c>
      <c r="E550" s="51">
        <v>-162.9991722195</v>
      </c>
      <c r="F550" s="51">
        <v>6.1032258064516096</v>
      </c>
      <c r="G550" s="51">
        <v>10.345116279069799</v>
      </c>
      <c r="H550" s="51">
        <v>0</v>
      </c>
      <c r="I550" s="11" t="s">
        <v>1057</v>
      </c>
      <c r="J550" s="51">
        <v>4.0046134916005602</v>
      </c>
      <c r="K550" s="249" t="str">
        <f>IFERROR(VLOOKUP(C550,Schedule!$T$3:$U$34,2,0),"FA")</f>
        <v>FA</v>
      </c>
      <c r="L550" s="10" t="str">
        <f>D550&amp;COUNTIF(D$2:$D550,D550)</f>
        <v>RB150</v>
      </c>
      <c r="M550" s="51">
        <f t="array" ref="M550">IFERROR(F550-AVERAGE(VLOOKUP(D550,$D551:$F$885,3,0),INDEX($F551:$F$885,SMALL(IF(D550=$D551:$D$885,ROW($D551:$D$885)-ROW(D550)),2))),0)</f>
        <v>0.62053943972384484</v>
      </c>
      <c r="N550" s="51">
        <f>IFERROR(IF(VLOOKUP($B550,Input!$AC$2:$AC$162,1,0)=$B550,0),F550)</f>
        <v>6.1032258064516096</v>
      </c>
      <c r="O550" s="51">
        <f>IFERROR(IF(VLOOKUP($B550,Input!$AC$2:$AC$162,1,0)=$B550,0,G550),G550)</f>
        <v>10.345116279069799</v>
      </c>
      <c r="P550" s="51">
        <f>IF(N550=0,0,F550-AVERAGE(INDEX(F:F,MATCH(VLOOKUP(D550,Input!$A$14:$L$22,10,0),L:L,0)),INDEX(F:F,MATCH(VLOOKUP(D550,Input!$A$14:$L$22,11,0),L:L,0)),INDEX(F:F,MATCH(VLOOKUP(D550,Input!$A$14:$L$22,12,0),L:L,0)))+(0.01-ROW()*0.01))</f>
        <v>-168.4891722195004</v>
      </c>
      <c r="Q550" s="107">
        <f t="shared" si="118"/>
        <v>-5.8127575038733663E-2</v>
      </c>
      <c r="R550" s="11">
        <f>IF(VLOOKUP($D550,$X$14:$Y$19,2,0)&lt;=0,1,IF(Q550&lt;0,1,ROUNDUP(IF(Q550*('Draft Center'!$L$28+'Draft Center'!$L$78-'Draft Center'!$L$82)&lt;1,1,Q550*('Draft Center'!$L$28+'Draft Center'!$L$78-'Draft Center'!$L$82)),0)))</f>
        <v>1</v>
      </c>
      <c r="S550" s="11">
        <f>IF(A550&lt;Input!$B$10+0.1,IF(ROUNDUP(R550*Input!$C$10,0)=0,1,ROUNDUP(R550*Input!$C$10,0)),IF(A550&gt;Input!$B$11,IF(ROUNDUP(R550*Input!$C$11,0)=0,1,ROUNDUP(R550*Input!$C$11,0)),IF(ROUNDUP(R550,0)=0,1,ROUNDUP(R550,0))))</f>
        <v>1</v>
      </c>
      <c r="T550" s="11">
        <f t="shared" si="119"/>
        <v>1</v>
      </c>
      <c r="U550" s="11">
        <f>IFERROR(VLOOKUP($B550,Input!$AC$2:$AE$161,3,0),0)</f>
        <v>0</v>
      </c>
      <c r="V550" s="257">
        <f t="shared" si="120"/>
        <v>0</v>
      </c>
      <c r="W550" s="264">
        <f t="shared" si="121"/>
        <v>0</v>
      </c>
      <c r="X550" s="68"/>
      <c r="Y550" s="68"/>
      <c r="Z550" s="68"/>
      <c r="AA550" s="68"/>
      <c r="AB550" s="68"/>
      <c r="AC550" s="68"/>
      <c r="AD550" s="68"/>
      <c r="AE550" s="68"/>
      <c r="AF550" s="68"/>
      <c r="AG550" s="68"/>
      <c r="AH550" s="68"/>
      <c r="AI550" s="68"/>
      <c r="AJ550" s="68">
        <v>1</v>
      </c>
      <c r="AL550" s="68">
        <v>1</v>
      </c>
      <c r="AM550" s="68"/>
      <c r="AN550" s="68"/>
      <c r="AO550" s="68"/>
      <c r="AQ550" s="68"/>
      <c r="AR550" s="68"/>
      <c r="AS550" s="68"/>
      <c r="AT550" s="68"/>
      <c r="AU550" s="68"/>
      <c r="AV550" s="68"/>
      <c r="AW550" s="68"/>
      <c r="AX550" s="68"/>
      <c r="AY550" s="68"/>
      <c r="AZ550" s="68"/>
      <c r="BB550" s="68"/>
      <c r="BC550" s="68"/>
      <c r="BJ550" s="68"/>
      <c r="BT550">
        <v>1</v>
      </c>
      <c r="BV550">
        <v>1</v>
      </c>
      <c r="BX550" s="68"/>
      <c r="BY550" s="68">
        <v>1</v>
      </c>
      <c r="BZ550" s="68" t="s">
        <v>1057</v>
      </c>
      <c r="CA550" s="68" t="s">
        <v>1057</v>
      </c>
      <c r="CB550" s="68" t="s">
        <v>1057</v>
      </c>
      <c r="CC550" s="68" t="e">
        <f t="shared" si="122"/>
        <v>#DIV/0!</v>
      </c>
      <c r="CD550" s="68" t="str">
        <f t="shared" si="123"/>
        <v>NA</v>
      </c>
    </row>
    <row r="551" spans="1:82" ht="15.75" customHeight="1" thickBot="1" x14ac:dyDescent="0.3">
      <c r="A551" s="6">
        <v>550</v>
      </c>
      <c r="B551" s="7" t="s">
        <v>864</v>
      </c>
      <c r="C551" s="7" t="s">
        <v>83</v>
      </c>
      <c r="D551" s="7" t="s">
        <v>19</v>
      </c>
      <c r="E551" s="50">
        <v>-163.36302902732399</v>
      </c>
      <c r="F551" s="50">
        <v>5.7393689986282599</v>
      </c>
      <c r="G551" s="50">
        <v>7.9690775994513103</v>
      </c>
      <c r="H551" s="50">
        <v>0</v>
      </c>
      <c r="I551" s="8" t="s">
        <v>1057</v>
      </c>
      <c r="J551" s="50">
        <v>3.40287416616655</v>
      </c>
      <c r="K551" s="248">
        <f>IFERROR(VLOOKUP(C551,Schedule!$T$3:$U$34,2,0),"FA")</f>
        <v>5</v>
      </c>
      <c r="L551" s="7" t="str">
        <f>D551&amp;COUNTIF(D$2:$D551,D551)</f>
        <v>RB151</v>
      </c>
      <c r="M551" s="50">
        <f t="array" ref="M551">IFERROR(F551-AVERAGE(VLOOKUP(D551,$D552:$F$885,3,0),INDEX($F552:$F$885,SMALL(IF(D551=$D552:$D$885,ROW($D552:$D$885)-ROW(D551)),2))),0)</f>
        <v>0.51400153981677477</v>
      </c>
      <c r="N551" s="50">
        <f>IFERROR(IF(VLOOKUP($B551,Input!$AC$2:$AC$162,1,0)=$B551,0),F551)</f>
        <v>5.7393689986282599</v>
      </c>
      <c r="O551" s="50">
        <f>IFERROR(IF(VLOOKUP($B551,Input!$AC$2:$AC$162,1,0)=$B551,0,G551),G551)</f>
        <v>7.9690775994513103</v>
      </c>
      <c r="P551" s="50">
        <f>IF(N551=0,0,F551-AVERAGE(INDEX(F:F,MATCH(VLOOKUP(D551,Input!$A$14:$L$22,10,0),L:L,0)),INDEX(F:F,MATCH(VLOOKUP(D551,Input!$A$14:$L$22,11,0),L:L,0)),INDEX(F:F,MATCH(VLOOKUP(D551,Input!$A$14:$L$22,12,0),L:L,0)))+(0.01-ROW()*0.01))</f>
        <v>-168.86302902732373</v>
      </c>
      <c r="Q551" s="106">
        <f t="shared" si="118"/>
        <v>-5.8256552998351044E-2</v>
      </c>
      <c r="R551" s="8">
        <f>IF(VLOOKUP($D551,$X$14:$Y$19,2,0)&lt;=0,1,IF(Q551&lt;0,1,ROUNDUP(IF(Q551*('Draft Center'!$L$28+'Draft Center'!$L$78-'Draft Center'!$L$82)&lt;1,1,Q551*('Draft Center'!$L$28+'Draft Center'!$L$78-'Draft Center'!$L$82)),0)))</f>
        <v>1</v>
      </c>
      <c r="S551" s="8">
        <f>IF(A551&lt;Input!$B$10+0.1,IF(ROUNDUP(R551*Input!$C$10,0)=0,1,ROUNDUP(R551*Input!$C$10,0)),IF(A551&gt;Input!$B$11,IF(ROUNDUP(R551*Input!$C$11,0)=0,1,ROUNDUP(R551*Input!$C$11,0)),IF(ROUNDUP(R551,0)=0,1,ROUNDUP(R551,0))))</f>
        <v>1</v>
      </c>
      <c r="T551" s="8">
        <f t="shared" si="119"/>
        <v>1</v>
      </c>
      <c r="U551" s="8">
        <f>IFERROR(VLOOKUP($B551,Input!$AC$2:$AE$161,3,0),0)</f>
        <v>0</v>
      </c>
      <c r="V551" s="256">
        <f t="shared" si="120"/>
        <v>0</v>
      </c>
      <c r="W551" s="263">
        <f t="shared" si="121"/>
        <v>0</v>
      </c>
      <c r="X551" s="68"/>
      <c r="Y551" s="68"/>
      <c r="Z551" s="68"/>
      <c r="AA551" s="68"/>
      <c r="AB551" s="68"/>
      <c r="AC551" s="68"/>
      <c r="AD551" s="68"/>
      <c r="AE551" s="68"/>
      <c r="AF551" s="68"/>
      <c r="AG551" s="68"/>
      <c r="AH551" s="68"/>
      <c r="AI551" s="68"/>
      <c r="AJ551" s="68">
        <v>1</v>
      </c>
      <c r="AL551" s="68">
        <v>1</v>
      </c>
      <c r="AM551" s="68"/>
      <c r="AN551" s="68"/>
      <c r="AO551" s="68"/>
      <c r="AQ551" s="68"/>
      <c r="AR551" s="68"/>
      <c r="AS551" s="68"/>
      <c r="AT551" s="68"/>
      <c r="AU551" s="68"/>
      <c r="AV551" s="68"/>
      <c r="AW551" s="68"/>
      <c r="AX551" s="68"/>
      <c r="AY551" s="68"/>
      <c r="AZ551" s="68"/>
      <c r="BB551" s="68"/>
      <c r="BC551" s="68"/>
      <c r="BJ551" s="68"/>
      <c r="BT551">
        <v>1</v>
      </c>
      <c r="BV551">
        <v>1</v>
      </c>
      <c r="BX551" s="68"/>
      <c r="BY551" s="68">
        <v>1</v>
      </c>
      <c r="BZ551" s="68" t="s">
        <v>1057</v>
      </c>
      <c r="CA551" s="68" t="s">
        <v>1057</v>
      </c>
      <c r="CB551" s="68" t="s">
        <v>1057</v>
      </c>
      <c r="CC551" s="68" t="e">
        <f t="shared" si="122"/>
        <v>#DIV/0!</v>
      </c>
      <c r="CD551" s="68" t="str">
        <f t="shared" si="123"/>
        <v>NA</v>
      </c>
    </row>
    <row r="552" spans="1:82" ht="15.75" customHeight="1" thickBot="1" x14ac:dyDescent="0.3">
      <c r="A552" s="9">
        <v>551</v>
      </c>
      <c r="B552" s="10" t="s">
        <v>529</v>
      </c>
      <c r="C552" s="10" t="s">
        <v>21</v>
      </c>
      <c r="D552" s="10" t="s">
        <v>17</v>
      </c>
      <c r="E552" s="51">
        <v>-163.767656760612</v>
      </c>
      <c r="F552" s="51">
        <v>49.010259508737001</v>
      </c>
      <c r="G552" s="51">
        <v>65.191981377141801</v>
      </c>
      <c r="H552" s="51">
        <v>17.109189202429899</v>
      </c>
      <c r="I552" s="11" t="s">
        <v>1057</v>
      </c>
      <c r="J552" s="51">
        <v>6.4162171996537998</v>
      </c>
      <c r="K552" s="249">
        <f>IFERROR(VLOOKUP(C552,Schedule!$T$3:$U$34,2,0),"FA")</f>
        <v>5</v>
      </c>
      <c r="L552" s="10" t="str">
        <f>D552&amp;COUNTIF(D$2:$D552,D552)</f>
        <v>WR127</v>
      </c>
      <c r="M552" s="51">
        <f t="array" ref="M552">IFERROR(F552-AVERAGE(VLOOKUP(D552,$D553:$F$885,3,0),INDEX($F553:$F$885,SMALL(IF(D552=$D553:$D$885,ROW($D553:$D$885)-ROW(D552)),2))),0)</f>
        <v>1.3282080198121022</v>
      </c>
      <c r="N552" s="51">
        <f>IFERROR(IF(VLOOKUP($B552,Input!$AC$2:$AC$162,1,0)=$B552,0),F552)</f>
        <v>49.010259508737001</v>
      </c>
      <c r="O552" s="51">
        <f>IFERROR(IF(VLOOKUP($B552,Input!$AC$2:$AC$162,1,0)=$B552,0,G552),G552)</f>
        <v>65.191981377141801</v>
      </c>
      <c r="P552" s="51">
        <f>IF(N552=0,0,F552-AVERAGE(INDEX(F:F,MATCH(VLOOKUP(D552,Input!$A$14:$L$22,10,0),L:L,0)),INDEX(F:F,MATCH(VLOOKUP(D552,Input!$A$14:$L$22,11,0),L:L,0)),INDEX(F:F,MATCH(VLOOKUP(D552,Input!$A$14:$L$22,12,0),L:L,0)))+(0.01-ROW()*0.01))</f>
        <v>-169.27765676061202</v>
      </c>
      <c r="Q552" s="107">
        <f t="shared" si="118"/>
        <v>-5.8399596639448978E-2</v>
      </c>
      <c r="R552" s="11">
        <f>IF(VLOOKUP($D552,$X$14:$Y$19,2,0)&lt;=0,1,IF(Q552&lt;0,1,ROUNDUP(IF(Q552*('Draft Center'!$L$28+'Draft Center'!$L$78-'Draft Center'!$L$82)&lt;1,1,Q552*('Draft Center'!$L$28+'Draft Center'!$L$78-'Draft Center'!$L$82)),0)))</f>
        <v>1</v>
      </c>
      <c r="S552" s="11">
        <f>IF(A552&lt;Input!$B$10+0.1,IF(ROUNDUP(R552*Input!$C$10,0)=0,1,ROUNDUP(R552*Input!$C$10,0)),IF(A552&gt;Input!$B$11,IF(ROUNDUP(R552*Input!$C$11,0)=0,1,ROUNDUP(R552*Input!$C$11,0)),IF(ROUNDUP(R552,0)=0,1,ROUNDUP(R552,0))))</f>
        <v>1</v>
      </c>
      <c r="T552" s="11">
        <f t="shared" si="119"/>
        <v>1</v>
      </c>
      <c r="U552" s="11">
        <f>IFERROR(VLOOKUP($B552,Input!$AC$2:$AE$161,3,0),0)</f>
        <v>0</v>
      </c>
      <c r="V552" s="257">
        <f t="shared" si="120"/>
        <v>0</v>
      </c>
      <c r="W552" s="264">
        <f t="shared" si="121"/>
        <v>0</v>
      </c>
      <c r="X552" s="68"/>
      <c r="Y552" s="68"/>
      <c r="Z552" s="68"/>
      <c r="AA552" s="68"/>
      <c r="AB552" s="68"/>
      <c r="AC552" s="68"/>
      <c r="AD552" s="68"/>
      <c r="AE552" s="68"/>
      <c r="AF552" s="68"/>
      <c r="AG552" s="68"/>
      <c r="AH552" s="68"/>
      <c r="AI552" s="68"/>
      <c r="AJ552" s="68">
        <v>1</v>
      </c>
      <c r="AL552" s="68">
        <v>1</v>
      </c>
      <c r="AM552" s="68"/>
      <c r="AN552" s="68"/>
      <c r="AO552" s="68"/>
      <c r="AQ552" s="68"/>
      <c r="AR552" s="68"/>
      <c r="AS552" s="68"/>
      <c r="AT552" s="68"/>
      <c r="AU552" s="68"/>
      <c r="AV552" s="68"/>
      <c r="AW552" s="68"/>
      <c r="AX552" s="68"/>
      <c r="AY552" s="68"/>
      <c r="AZ552" s="68"/>
      <c r="BB552" s="68"/>
      <c r="BC552" s="68"/>
      <c r="BJ552" s="68"/>
      <c r="BT552">
        <v>1</v>
      </c>
      <c r="BV552">
        <v>1</v>
      </c>
      <c r="BX552" s="68"/>
      <c r="BY552" s="68">
        <v>1</v>
      </c>
      <c r="BZ552" s="68" t="s">
        <v>1057</v>
      </c>
      <c r="CA552" s="68" t="s">
        <v>1057</v>
      </c>
      <c r="CB552" s="68" t="s">
        <v>1057</v>
      </c>
      <c r="CC552" s="68" t="e">
        <f t="shared" si="122"/>
        <v>#DIV/0!</v>
      </c>
      <c r="CD552" s="68" t="str">
        <f t="shared" si="123"/>
        <v>NA</v>
      </c>
    </row>
    <row r="553" spans="1:82" ht="15.75" customHeight="1" thickBot="1" x14ac:dyDescent="0.3">
      <c r="A553" s="6">
        <v>552</v>
      </c>
      <c r="B553" s="7" t="s">
        <v>429</v>
      </c>
      <c r="C553" s="7" t="s">
        <v>311</v>
      </c>
      <c r="D553" s="7" t="s">
        <v>19</v>
      </c>
      <c r="E553" s="50">
        <v>-163.876394291125</v>
      </c>
      <c r="F553" s="50">
        <v>5.2260037348272697</v>
      </c>
      <c r="G553" s="50">
        <v>9.2331804281345597</v>
      </c>
      <c r="H553" s="50">
        <v>0</v>
      </c>
      <c r="I553" s="8" t="s">
        <v>1057</v>
      </c>
      <c r="J553" s="50">
        <v>3.4196022544783302</v>
      </c>
      <c r="K553" s="248" t="str">
        <f>IFERROR(VLOOKUP(C553,Schedule!$T$3:$U$34,2,0),"FA")</f>
        <v>FA</v>
      </c>
      <c r="L553" s="7" t="str">
        <f>D553&amp;COUNTIF(D$2:$D553,D553)</f>
        <v>RB152</v>
      </c>
      <c r="M553" s="50">
        <f t="array" ref="M553">IFERROR(F553-AVERAGE(VLOOKUP(D553,$D554:$F$885,3,0),INDEX($F554:$F$885,SMALL(IF(D553=$D554:$D$885,ROW($D554:$D$885)-ROW(D553)),2))),0)</f>
        <v>1.4131970589914999E-2</v>
      </c>
      <c r="N553" s="50">
        <f>IFERROR(IF(VLOOKUP($B553,Input!$AC$2:$AC$162,1,0)=$B553,0),F553)</f>
        <v>5.2260037348272697</v>
      </c>
      <c r="O553" s="50">
        <f>IFERROR(IF(VLOOKUP($B553,Input!$AC$2:$AC$162,1,0)=$B553,0,G553),G553)</f>
        <v>9.2331804281345597</v>
      </c>
      <c r="P553" s="50">
        <f>IF(N553=0,0,F553-AVERAGE(INDEX(F:F,MATCH(VLOOKUP(D553,Input!$A$14:$L$22,10,0),L:L,0)),INDEX(F:F,MATCH(VLOOKUP(D553,Input!$A$14:$L$22,11,0),L:L,0)),INDEX(F:F,MATCH(VLOOKUP(D553,Input!$A$14:$L$22,12,0),L:L,0)))+(0.01-ROW()*0.01))</f>
        <v>-169.39639429112475</v>
      </c>
      <c r="Q553" s="106">
        <f t="shared" si="118"/>
        <v>-5.8440560249299237E-2</v>
      </c>
      <c r="R553" s="8">
        <f>IF(VLOOKUP($D553,$X$14:$Y$19,2,0)&lt;=0,1,IF(Q553&lt;0,1,ROUNDUP(IF(Q553*('Draft Center'!$L$28+'Draft Center'!$L$78-'Draft Center'!$L$82)&lt;1,1,Q553*('Draft Center'!$L$28+'Draft Center'!$L$78-'Draft Center'!$L$82)),0)))</f>
        <v>1</v>
      </c>
      <c r="S553" s="8">
        <f>IF(A553&lt;Input!$B$10+0.1,IF(ROUNDUP(R553*Input!$C$10,0)=0,1,ROUNDUP(R553*Input!$C$10,0)),IF(A553&gt;Input!$B$11,IF(ROUNDUP(R553*Input!$C$11,0)=0,1,ROUNDUP(R553*Input!$C$11,0)),IF(ROUNDUP(R553,0)=0,1,ROUNDUP(R553,0))))</f>
        <v>1</v>
      </c>
      <c r="T553" s="8">
        <f t="shared" si="119"/>
        <v>1</v>
      </c>
      <c r="U553" s="8">
        <f>IFERROR(VLOOKUP($B553,Input!$AC$2:$AE$161,3,0),0)</f>
        <v>0</v>
      </c>
      <c r="V553" s="256">
        <f t="shared" si="120"/>
        <v>0</v>
      </c>
      <c r="W553" s="263">
        <f t="shared" si="121"/>
        <v>0</v>
      </c>
      <c r="X553" s="68"/>
      <c r="Y553" s="68"/>
      <c r="Z553" s="68"/>
      <c r="AA553" s="68"/>
      <c r="AB553" s="68"/>
      <c r="AC553" s="68"/>
      <c r="AD553" s="68"/>
      <c r="AE553" s="68"/>
      <c r="AF553" s="68"/>
      <c r="AG553" s="68"/>
      <c r="AH553" s="68"/>
      <c r="AI553" s="68"/>
      <c r="AJ553" s="68">
        <v>1</v>
      </c>
      <c r="AL553" s="68">
        <v>1</v>
      </c>
      <c r="AM553" s="68"/>
      <c r="AN553" s="68"/>
      <c r="AO553" s="68"/>
      <c r="AQ553" s="68"/>
      <c r="AR553" s="68"/>
      <c r="AS553" s="68"/>
      <c r="AT553" s="68"/>
      <c r="AU553" s="68"/>
      <c r="AV553" s="68"/>
      <c r="AW553" s="68"/>
      <c r="AX553" s="68"/>
      <c r="AY553" s="68"/>
      <c r="AZ553" s="68"/>
      <c r="BB553" s="68"/>
      <c r="BC553" s="68"/>
      <c r="BJ553" s="68"/>
      <c r="BT553">
        <v>1</v>
      </c>
      <c r="BV553">
        <v>1</v>
      </c>
      <c r="BX553" s="68"/>
      <c r="BY553" s="68">
        <v>1</v>
      </c>
      <c r="BZ553" s="68" t="s">
        <v>1057</v>
      </c>
      <c r="CA553" s="68" t="s">
        <v>1057</v>
      </c>
      <c r="CB553" s="68" t="s">
        <v>1057</v>
      </c>
      <c r="CC553" s="68" t="e">
        <f t="shared" si="122"/>
        <v>#DIV/0!</v>
      </c>
      <c r="CD553" s="68" t="str">
        <f t="shared" si="123"/>
        <v>NA</v>
      </c>
    </row>
    <row r="554" spans="1:82" ht="15.75" customHeight="1" thickBot="1" x14ac:dyDescent="0.3">
      <c r="A554" s="9">
        <v>553</v>
      </c>
      <c r="B554" s="10" t="s">
        <v>328</v>
      </c>
      <c r="C554" s="10" t="s">
        <v>311</v>
      </c>
      <c r="D554" s="10" t="s">
        <v>19</v>
      </c>
      <c r="E554" s="51">
        <v>-163.87766684315599</v>
      </c>
      <c r="F554" s="51">
        <v>5.2247311827956997</v>
      </c>
      <c r="G554" s="51">
        <v>8.3522014878719695</v>
      </c>
      <c r="H554" s="51">
        <v>0</v>
      </c>
      <c r="I554" s="11" t="s">
        <v>1057</v>
      </c>
      <c r="J554" s="51">
        <v>3.4254519872154101</v>
      </c>
      <c r="K554" s="249" t="str">
        <f>IFERROR(VLOOKUP(C554,Schedule!$T$3:$U$34,2,0),"FA")</f>
        <v>FA</v>
      </c>
      <c r="L554" s="10" t="str">
        <f>D554&amp;COUNTIF(D$2:$D554,D554)</f>
        <v>RB153</v>
      </c>
      <c r="M554" s="51">
        <f t="array" ref="M554">IFERROR(F554-AVERAGE(VLOOKUP(D554,$D555:$F$885,3,0),INDEX($F555:$F$885,SMALL(IF(D554=$D555:$D$885,ROW($D555:$D$885)-ROW(D554)),2))),0)</f>
        <v>0.19780565511748538</v>
      </c>
      <c r="N554" s="51">
        <f>IFERROR(IF(VLOOKUP($B554,Input!$AC$2:$AC$162,1,0)=$B554,0),F554)</f>
        <v>5.2247311827956997</v>
      </c>
      <c r="O554" s="51">
        <f>IFERROR(IF(VLOOKUP($B554,Input!$AC$2:$AC$162,1,0)=$B554,0,G554),G554)</f>
        <v>8.3522014878719695</v>
      </c>
      <c r="P554" s="51">
        <f>IF(N554=0,0,F554-AVERAGE(INDEX(F:F,MATCH(VLOOKUP(D554,Input!$A$14:$L$22,10,0),L:L,0)),INDEX(F:F,MATCH(VLOOKUP(D554,Input!$A$14:$L$22,11,0),L:L,0)),INDEX(F:F,MATCH(VLOOKUP(D554,Input!$A$14:$L$22,12,0),L:L,0)))+(0.01-ROW()*0.01))</f>
        <v>-169.40766684315631</v>
      </c>
      <c r="Q554" s="107">
        <f t="shared" si="118"/>
        <v>-5.8444449200176385E-2</v>
      </c>
      <c r="R554" s="11">
        <f>IF(VLOOKUP($D554,$X$14:$Y$19,2,0)&lt;=0,1,IF(Q554&lt;0,1,ROUNDUP(IF(Q554*('Draft Center'!$L$28+'Draft Center'!$L$78-'Draft Center'!$L$82)&lt;1,1,Q554*('Draft Center'!$L$28+'Draft Center'!$L$78-'Draft Center'!$L$82)),0)))</f>
        <v>1</v>
      </c>
      <c r="S554" s="11">
        <f>IF(A554&lt;Input!$B$10+0.1,IF(ROUNDUP(R554*Input!$C$10,0)=0,1,ROUNDUP(R554*Input!$C$10,0)),IF(A554&gt;Input!$B$11,IF(ROUNDUP(R554*Input!$C$11,0)=0,1,ROUNDUP(R554*Input!$C$11,0)),IF(ROUNDUP(R554,0)=0,1,ROUNDUP(R554,0))))</f>
        <v>1</v>
      </c>
      <c r="T554" s="11">
        <f t="shared" si="119"/>
        <v>1</v>
      </c>
      <c r="U554" s="11">
        <f>IFERROR(VLOOKUP($B554,Input!$AC$2:$AE$161,3,0),0)</f>
        <v>0</v>
      </c>
      <c r="V554" s="257">
        <f t="shared" si="120"/>
        <v>0</v>
      </c>
      <c r="W554" s="264">
        <f t="shared" si="121"/>
        <v>0</v>
      </c>
      <c r="X554" s="68"/>
      <c r="Y554" s="68"/>
      <c r="Z554" s="68"/>
      <c r="AA554" s="68"/>
      <c r="AB554" s="68"/>
      <c r="AC554" s="68"/>
      <c r="AD554" s="68"/>
      <c r="AE554" s="68"/>
      <c r="AF554" s="68"/>
      <c r="AG554" s="68"/>
      <c r="AH554" s="68"/>
      <c r="AI554" s="68"/>
      <c r="AJ554" s="68">
        <v>1</v>
      </c>
      <c r="AL554" s="68">
        <v>1</v>
      </c>
      <c r="AM554" s="68"/>
      <c r="AN554" s="68"/>
      <c r="AO554" s="68"/>
      <c r="AQ554" s="68"/>
      <c r="AR554" s="68"/>
      <c r="AS554" s="68"/>
      <c r="AT554" s="68"/>
      <c r="AU554" s="68"/>
      <c r="AV554" s="68"/>
      <c r="AW554" s="68"/>
      <c r="AX554" s="68"/>
      <c r="AY554" s="68"/>
      <c r="AZ554" s="68"/>
      <c r="BB554" s="68"/>
      <c r="BC554" s="68"/>
      <c r="BJ554" s="68"/>
      <c r="BT554">
        <v>1</v>
      </c>
      <c r="BV554">
        <v>1</v>
      </c>
      <c r="BX554" s="68"/>
      <c r="BY554" s="68">
        <v>1</v>
      </c>
      <c r="BZ554" s="68" t="s">
        <v>1057</v>
      </c>
      <c r="CA554" s="68" t="s">
        <v>1057</v>
      </c>
      <c r="CB554" s="68" t="s">
        <v>1057</v>
      </c>
      <c r="CC554" s="68" t="e">
        <f t="shared" si="122"/>
        <v>#DIV/0!</v>
      </c>
      <c r="CD554" s="68" t="str">
        <f t="shared" si="123"/>
        <v>NA</v>
      </c>
    </row>
    <row r="555" spans="1:82" ht="15.75" customHeight="1" thickBot="1" x14ac:dyDescent="0.3">
      <c r="A555" s="6">
        <v>554</v>
      </c>
      <c r="B555" s="7" t="s">
        <v>353</v>
      </c>
      <c r="C555" s="7" t="s">
        <v>85</v>
      </c>
      <c r="D555" s="7" t="s">
        <v>19</v>
      </c>
      <c r="E555" s="50">
        <v>-163.903385680273</v>
      </c>
      <c r="F555" s="50">
        <v>5.1990123456790096</v>
      </c>
      <c r="G555" s="50">
        <v>8.9673920972644403</v>
      </c>
      <c r="H555" s="50">
        <v>0</v>
      </c>
      <c r="I555" s="8">
        <v>0</v>
      </c>
      <c r="J555" s="50">
        <v>3.79415381996164</v>
      </c>
      <c r="K555" s="248">
        <f>IFERROR(VLOOKUP(C555,Schedule!$T$3:$U$34,2,0),"FA")</f>
        <v>11</v>
      </c>
      <c r="L555" s="7" t="str">
        <f>D555&amp;COUNTIF(D$2:$D555,D555)</f>
        <v>RB154</v>
      </c>
      <c r="M555" s="50">
        <f t="array" ref="M555">IFERROR(F555-AVERAGE(VLOOKUP(D555,$D556:$F$885,3,0),INDEX($F556:$F$885,SMALL(IF(D555=$D556:$D$885,ROW($D556:$D$885)-ROW(D555)),2))),0)</f>
        <v>0.6070759453857546</v>
      </c>
      <c r="N555" s="50">
        <f>IFERROR(IF(VLOOKUP($B555,Input!$AC$2:$AC$162,1,0)=$B555,0),F555)</f>
        <v>5.1990123456790096</v>
      </c>
      <c r="O555" s="50">
        <f>IFERROR(IF(VLOOKUP($B555,Input!$AC$2:$AC$162,1,0)=$B555,0,G555),G555)</f>
        <v>8.9673920972644403</v>
      </c>
      <c r="P555" s="50">
        <f>IF(N555=0,0,F555-AVERAGE(INDEX(F:F,MATCH(VLOOKUP(D555,Input!$A$14:$L$22,10,0),L:L,0)),INDEX(F:F,MATCH(VLOOKUP(D555,Input!$A$14:$L$22,11,0),L:L,0)),INDEX(F:F,MATCH(VLOOKUP(D555,Input!$A$14:$L$22,12,0),L:L,0)))+(0.01-ROW()*0.01))</f>
        <v>-169.44338568027297</v>
      </c>
      <c r="Q555" s="106">
        <f t="shared" si="118"/>
        <v>-5.8456771946839833E-2</v>
      </c>
      <c r="R555" s="8">
        <f>IF(VLOOKUP($D555,$X$14:$Y$19,2,0)&lt;=0,1,IF(Q555&lt;0,1,ROUNDUP(IF(Q555*('Draft Center'!$L$28+'Draft Center'!$L$78-'Draft Center'!$L$82)&lt;1,1,Q555*('Draft Center'!$L$28+'Draft Center'!$L$78-'Draft Center'!$L$82)),0)))</f>
        <v>1</v>
      </c>
      <c r="S555" s="8">
        <f>IF(A555&lt;Input!$B$10+0.1,IF(ROUNDUP(R555*Input!$C$10,0)=0,1,ROUNDUP(R555*Input!$C$10,0)),IF(A555&gt;Input!$B$11,IF(ROUNDUP(R555*Input!$C$11,0)=0,1,ROUNDUP(R555*Input!$C$11,0)),IF(ROUNDUP(R555,0)=0,1,ROUNDUP(R555,0))))</f>
        <v>1</v>
      </c>
      <c r="T555" s="8">
        <f t="shared" si="119"/>
        <v>1</v>
      </c>
      <c r="U555" s="8">
        <f>IFERROR(VLOOKUP($B555,Input!$AC$2:$AE$161,3,0),0)</f>
        <v>0</v>
      </c>
      <c r="V555" s="256">
        <f t="shared" si="120"/>
        <v>0</v>
      </c>
      <c r="W555" s="263">
        <f t="shared" si="121"/>
        <v>1.0055499999999999</v>
      </c>
      <c r="X555" s="68"/>
      <c r="Y555" s="68"/>
      <c r="Z555" s="68"/>
      <c r="AA555" s="68"/>
      <c r="AB555" s="68"/>
      <c r="AC555" s="68"/>
      <c r="AD555" s="68"/>
      <c r="AE555" s="68"/>
      <c r="AF555" s="68"/>
      <c r="AG555" s="68"/>
      <c r="AH555" s="68"/>
      <c r="AI555" s="68"/>
      <c r="AJ555" s="68">
        <v>1</v>
      </c>
      <c r="AL555" s="68">
        <v>1</v>
      </c>
      <c r="AM555" s="68"/>
      <c r="AN555" s="68"/>
      <c r="AO555" s="68"/>
      <c r="AQ555" s="68"/>
      <c r="AR555" s="68"/>
      <c r="AS555" s="68"/>
      <c r="AT555" s="68"/>
      <c r="AU555" s="68"/>
      <c r="AV555" s="68"/>
      <c r="AW555" s="68"/>
      <c r="AX555" s="68"/>
      <c r="AY555" s="68"/>
      <c r="AZ555" s="68"/>
      <c r="BB555" s="68"/>
      <c r="BC555" s="68"/>
      <c r="BJ555" s="68"/>
      <c r="BT555">
        <v>1</v>
      </c>
      <c r="BV555">
        <v>1</v>
      </c>
      <c r="BX555" s="68"/>
      <c r="BY555" s="68">
        <v>1</v>
      </c>
      <c r="BZ555" s="68">
        <v>0</v>
      </c>
      <c r="CA555" s="68">
        <v>0</v>
      </c>
      <c r="CB555" s="68">
        <v>0</v>
      </c>
      <c r="CC555" s="68">
        <f t="shared" si="122"/>
        <v>0</v>
      </c>
      <c r="CD555" s="68">
        <f t="shared" si="123"/>
        <v>0</v>
      </c>
    </row>
    <row r="556" spans="1:82" ht="15.75" customHeight="1" thickBot="1" x14ac:dyDescent="0.3">
      <c r="A556" s="9">
        <v>555</v>
      </c>
      <c r="B556" s="10" t="s">
        <v>407</v>
      </c>
      <c r="C556" s="10" t="s">
        <v>311</v>
      </c>
      <c r="D556" s="10" t="s">
        <v>19</v>
      </c>
      <c r="E556" s="51">
        <v>-164.24755931627399</v>
      </c>
      <c r="F556" s="51">
        <v>4.8548387096774199</v>
      </c>
      <c r="G556" s="51">
        <v>7.5132955113778399</v>
      </c>
      <c r="H556" s="51">
        <v>0</v>
      </c>
      <c r="I556" s="11" t="s">
        <v>1057</v>
      </c>
      <c r="J556" s="51">
        <v>3.3772181340779102</v>
      </c>
      <c r="K556" s="249" t="str">
        <f>IFERROR(VLOOKUP(C556,Schedule!$T$3:$U$34,2,0),"FA")</f>
        <v>FA</v>
      </c>
      <c r="L556" s="10" t="str">
        <f>D556&amp;COUNTIF(D$2:$D556,D556)</f>
        <v>RB155</v>
      </c>
      <c r="M556" s="51">
        <f t="array" ref="M556">IFERROR(F556-AVERAGE(VLOOKUP(D556,$D557:$F$885,3,0),INDEX($F557:$F$885,SMALL(IF(D556=$D557:$D$885,ROW($D557:$D$885)-ROW(D556)),2))),0)</f>
        <v>0.54032166422287453</v>
      </c>
      <c r="N556" s="51">
        <f>IFERROR(IF(VLOOKUP($B556,Input!$AC$2:$AC$162,1,0)=$B556,0),F556)</f>
        <v>4.8548387096774199</v>
      </c>
      <c r="O556" s="51">
        <f>IFERROR(IF(VLOOKUP($B556,Input!$AC$2:$AC$162,1,0)=$B556,0,G556),G556)</f>
        <v>7.5132955113778399</v>
      </c>
      <c r="P556" s="51">
        <f>IF(N556=0,0,F556-AVERAGE(INDEX(F:F,MATCH(VLOOKUP(D556,Input!$A$14:$L$22,10,0),L:L,0)),INDEX(F:F,MATCH(VLOOKUP(D556,Input!$A$14:$L$22,11,0),L:L,0)),INDEX(F:F,MATCH(VLOOKUP(D556,Input!$A$14:$L$22,12,0),L:L,0)))+(0.01-ROW()*0.01))</f>
        <v>-169.7975593162746</v>
      </c>
      <c r="Q556" s="107">
        <f t="shared" si="118"/>
        <v>-5.857895935112363E-2</v>
      </c>
      <c r="R556" s="11">
        <f>IF(VLOOKUP($D556,$X$14:$Y$19,2,0)&lt;=0,1,IF(Q556&lt;0,1,ROUNDUP(IF(Q556*('Draft Center'!$L$28+'Draft Center'!$L$78-'Draft Center'!$L$82)&lt;1,1,Q556*('Draft Center'!$L$28+'Draft Center'!$L$78-'Draft Center'!$L$82)),0)))</f>
        <v>1</v>
      </c>
      <c r="S556" s="11">
        <f>IF(A556&lt;Input!$B$10+0.1,IF(ROUNDUP(R556*Input!$C$10,0)=0,1,ROUNDUP(R556*Input!$C$10,0)),IF(A556&gt;Input!$B$11,IF(ROUNDUP(R556*Input!$C$11,0)=0,1,ROUNDUP(R556*Input!$C$11,0)),IF(ROUNDUP(R556,0)=0,1,ROUNDUP(R556,0))))</f>
        <v>1</v>
      </c>
      <c r="T556" s="11">
        <f t="shared" si="119"/>
        <v>1</v>
      </c>
      <c r="U556" s="11">
        <f>IFERROR(VLOOKUP($B556,Input!$AC$2:$AE$161,3,0),0)</f>
        <v>0</v>
      </c>
      <c r="V556" s="257">
        <f t="shared" si="120"/>
        <v>0</v>
      </c>
      <c r="W556" s="264">
        <f t="shared" si="121"/>
        <v>0</v>
      </c>
      <c r="X556" s="68"/>
      <c r="Y556" s="68"/>
      <c r="Z556" s="68"/>
      <c r="AA556" s="68"/>
      <c r="AB556" s="68"/>
      <c r="AC556" s="68"/>
      <c r="AD556" s="68"/>
      <c r="AE556" s="68"/>
      <c r="AF556" s="68"/>
      <c r="AG556" s="68"/>
      <c r="AH556" s="68"/>
      <c r="AI556" s="68"/>
      <c r="AJ556" s="68">
        <v>1</v>
      </c>
      <c r="AL556" s="68">
        <v>1</v>
      </c>
      <c r="AM556" s="68"/>
      <c r="AN556" s="68"/>
      <c r="AO556" s="68"/>
      <c r="AQ556" s="68"/>
      <c r="AR556" s="68"/>
      <c r="AS556" s="68"/>
      <c r="AT556" s="68"/>
      <c r="AU556" s="68"/>
      <c r="AV556" s="68"/>
      <c r="AW556" s="68"/>
      <c r="AX556" s="68"/>
      <c r="AY556" s="68"/>
      <c r="AZ556" s="68"/>
      <c r="BB556" s="68"/>
      <c r="BC556" s="68"/>
      <c r="BJ556" s="68"/>
      <c r="BT556">
        <v>1</v>
      </c>
      <c r="BV556">
        <v>1</v>
      </c>
      <c r="BX556" s="68"/>
      <c r="BY556" s="68">
        <v>1</v>
      </c>
      <c r="BZ556" s="68" t="s">
        <v>1057</v>
      </c>
      <c r="CA556" s="68" t="s">
        <v>1057</v>
      </c>
      <c r="CB556" s="68" t="s">
        <v>1057</v>
      </c>
      <c r="CC556" s="68" t="e">
        <f t="shared" si="122"/>
        <v>#DIV/0!</v>
      </c>
      <c r="CD556" s="68" t="str">
        <f t="shared" si="123"/>
        <v>NA</v>
      </c>
    </row>
    <row r="557" spans="1:82" ht="15.75" customHeight="1" thickBot="1" x14ac:dyDescent="0.3">
      <c r="A557" s="6">
        <v>556</v>
      </c>
      <c r="B557" s="7" t="s">
        <v>421</v>
      </c>
      <c r="C557" s="7" t="s">
        <v>45</v>
      </c>
      <c r="D557" s="7" t="s">
        <v>19</v>
      </c>
      <c r="E557" s="50">
        <v>-164.77336393504299</v>
      </c>
      <c r="F557" s="50">
        <v>4.3290340909090901</v>
      </c>
      <c r="G557" s="50">
        <v>8.7539304455101501</v>
      </c>
      <c r="H557" s="50">
        <v>0</v>
      </c>
      <c r="I557" s="8">
        <v>0</v>
      </c>
      <c r="J557" s="50">
        <v>3.53065898924</v>
      </c>
      <c r="K557" s="248">
        <f>IFERROR(VLOOKUP(C557,Schedule!$T$3:$U$34,2,0),"FA")</f>
        <v>6</v>
      </c>
      <c r="L557" s="7" t="str">
        <f>D557&amp;COUNTIF(D$2:$D557,D557)</f>
        <v>RB156</v>
      </c>
      <c r="M557" s="50">
        <f t="array" ref="M557">IFERROR(F557-AVERAGE(VLOOKUP(D557,$D558:$F$885,3,0),INDEX($F558:$F$885,SMALL(IF(D557=$D558:$D$885,ROW($D558:$D$885)-ROW(D557)),2))),0)</f>
        <v>6.2927166809929602E-2</v>
      </c>
      <c r="N557" s="50">
        <f>IFERROR(IF(VLOOKUP($B557,Input!$AC$2:$AC$162,1,0)=$B557,0),F557)</f>
        <v>4.3290340909090901</v>
      </c>
      <c r="O557" s="50">
        <f>IFERROR(IF(VLOOKUP($B557,Input!$AC$2:$AC$162,1,0)=$B557,0,G557),G557)</f>
        <v>8.7539304455101501</v>
      </c>
      <c r="P557" s="50">
        <f>IF(N557=0,0,F557-AVERAGE(INDEX(F:F,MATCH(VLOOKUP(D557,Input!$A$14:$L$22,10,0),L:L,0)),INDEX(F:F,MATCH(VLOOKUP(D557,Input!$A$14:$L$22,11,0),L:L,0)),INDEX(F:F,MATCH(VLOOKUP(D557,Input!$A$14:$L$22,12,0),L:L,0)))+(0.01-ROW()*0.01))</f>
        <v>-170.33336393504291</v>
      </c>
      <c r="Q557" s="106">
        <f t="shared" si="118"/>
        <v>-5.876380816231596E-2</v>
      </c>
      <c r="R557" s="8">
        <f>IF(VLOOKUP($D557,$X$14:$Y$19,2,0)&lt;=0,1,IF(Q557&lt;0,1,ROUNDUP(IF(Q557*('Draft Center'!$L$28+'Draft Center'!$L$78-'Draft Center'!$L$82)&lt;1,1,Q557*('Draft Center'!$L$28+'Draft Center'!$L$78-'Draft Center'!$L$82)),0)))</f>
        <v>1</v>
      </c>
      <c r="S557" s="8">
        <f>IF(A557&lt;Input!$B$10+0.1,IF(ROUNDUP(R557*Input!$C$10,0)=0,1,ROUNDUP(R557*Input!$C$10,0)),IF(A557&gt;Input!$B$11,IF(ROUNDUP(R557*Input!$C$11,0)=0,1,ROUNDUP(R557*Input!$C$11,0)),IF(ROUNDUP(R557,0)=0,1,ROUNDUP(R557,0))))</f>
        <v>1</v>
      </c>
      <c r="T557" s="8">
        <f t="shared" si="119"/>
        <v>1</v>
      </c>
      <c r="U557" s="8">
        <f>IFERROR(VLOOKUP($B557,Input!$AC$2:$AE$161,3,0),0)</f>
        <v>0</v>
      </c>
      <c r="V557" s="256">
        <f t="shared" si="120"/>
        <v>0</v>
      </c>
      <c r="W557" s="263">
        <f t="shared" si="121"/>
        <v>1.0055700000000001</v>
      </c>
      <c r="X557" s="68"/>
      <c r="Y557" s="68"/>
      <c r="Z557" s="68"/>
      <c r="AA557" s="68"/>
      <c r="AB557" s="68"/>
      <c r="AC557" s="68"/>
      <c r="AD557" s="68"/>
      <c r="AE557" s="68"/>
      <c r="AF557" s="68"/>
      <c r="AG557" s="68"/>
      <c r="AH557" s="68"/>
      <c r="AI557" s="68"/>
      <c r="AJ557" s="68">
        <v>1</v>
      </c>
      <c r="AL557" s="68">
        <v>1</v>
      </c>
      <c r="AM557" s="68"/>
      <c r="AN557" s="68"/>
      <c r="AO557" s="68"/>
      <c r="AQ557" s="68"/>
      <c r="AR557" s="68"/>
      <c r="AS557" s="68"/>
      <c r="AT557" s="68"/>
      <c r="AU557" s="68"/>
      <c r="AV557" s="68"/>
      <c r="AW557" s="68"/>
      <c r="AX557" s="68"/>
      <c r="AY557" s="68"/>
      <c r="AZ557" s="68"/>
      <c r="BB557" s="68"/>
      <c r="BC557" s="68"/>
      <c r="BJ557" s="68"/>
      <c r="BT557">
        <v>1</v>
      </c>
      <c r="BV557">
        <v>1</v>
      </c>
      <c r="BX557" s="68"/>
      <c r="BY557" s="68">
        <v>1</v>
      </c>
      <c r="BZ557" s="68">
        <v>0</v>
      </c>
      <c r="CA557" s="68">
        <v>0</v>
      </c>
      <c r="CB557" s="68">
        <v>0</v>
      </c>
      <c r="CC557" s="68">
        <f t="shared" si="122"/>
        <v>0</v>
      </c>
      <c r="CD557" s="68">
        <f t="shared" si="123"/>
        <v>0</v>
      </c>
    </row>
    <row r="558" spans="1:82" ht="15.75" customHeight="1" thickBot="1" x14ac:dyDescent="0.3">
      <c r="A558" s="9">
        <v>557</v>
      </c>
      <c r="B558" s="10" t="s">
        <v>918</v>
      </c>
      <c r="C558" s="10" t="s">
        <v>311</v>
      </c>
      <c r="D558" s="10" t="s">
        <v>19</v>
      </c>
      <c r="E558" s="51">
        <v>-164.80239802595199</v>
      </c>
      <c r="F558" s="51">
        <v>4.3</v>
      </c>
      <c r="G558" s="51">
        <v>6.8318182670667698</v>
      </c>
      <c r="H558" s="51">
        <v>0</v>
      </c>
      <c r="I558" s="11" t="s">
        <v>1057</v>
      </c>
      <c r="J558" s="51">
        <v>3.2396379408425902</v>
      </c>
      <c r="K558" s="249" t="str">
        <f>IFERROR(VLOOKUP(C558,Schedule!$T$3:$U$34,2,0),"FA")</f>
        <v>FA</v>
      </c>
      <c r="L558" s="10" t="str">
        <f>D558&amp;COUNTIF(D$2:$D558,D558)</f>
        <v>RB157</v>
      </c>
      <c r="M558" s="51">
        <f t="array" ref="M558">IFERROR(F558-AVERAGE(VLOOKUP(D558,$D559:$F$885,3,0),INDEX($F559:$F$885,SMALL(IF(D558=$D559:$D$885,ROW($D559:$D$885)-ROW(D558)),2))),0)</f>
        <v>0.16262274731849491</v>
      </c>
      <c r="N558" s="51">
        <f>IFERROR(IF(VLOOKUP($B558,Input!$AC$2:$AC$162,1,0)=$B558,0),F558)</f>
        <v>4.3</v>
      </c>
      <c r="O558" s="51">
        <f>IFERROR(IF(VLOOKUP($B558,Input!$AC$2:$AC$162,1,0)=$B558,0,G558),G558)</f>
        <v>6.8318182670667698</v>
      </c>
      <c r="P558" s="51">
        <f>IF(N558=0,0,F558-AVERAGE(INDEX(F:F,MATCH(VLOOKUP(D558,Input!$A$14:$L$22,10,0),L:L,0)),INDEX(F:F,MATCH(VLOOKUP(D558,Input!$A$14:$L$22,11,0),L:L,0)),INDEX(F:F,MATCH(VLOOKUP(D558,Input!$A$14:$L$22,12,0),L:L,0)))+(0.01-ROW()*0.01))</f>
        <v>-170.37239802595198</v>
      </c>
      <c r="Q558" s="107">
        <f t="shared" si="118"/>
        <v>-5.8777274648135182E-2</v>
      </c>
      <c r="R558" s="11">
        <f>IF(VLOOKUP($D558,$X$14:$Y$19,2,0)&lt;=0,1,IF(Q558&lt;0,1,ROUNDUP(IF(Q558*('Draft Center'!$L$28+'Draft Center'!$L$78-'Draft Center'!$L$82)&lt;1,1,Q558*('Draft Center'!$L$28+'Draft Center'!$L$78-'Draft Center'!$L$82)),0)))</f>
        <v>1</v>
      </c>
      <c r="S558" s="11">
        <f>IF(A558&lt;Input!$B$10+0.1,IF(ROUNDUP(R558*Input!$C$10,0)=0,1,ROUNDUP(R558*Input!$C$10,0)),IF(A558&gt;Input!$B$11,IF(ROUNDUP(R558*Input!$C$11,0)=0,1,ROUNDUP(R558*Input!$C$11,0)),IF(ROUNDUP(R558,0)=0,1,ROUNDUP(R558,0))))</f>
        <v>1</v>
      </c>
      <c r="T558" s="11">
        <f t="shared" si="119"/>
        <v>1</v>
      </c>
      <c r="U558" s="11">
        <f>IFERROR(VLOOKUP($B558,Input!$AC$2:$AE$161,3,0),0)</f>
        <v>0</v>
      </c>
      <c r="V558" s="257">
        <f t="shared" si="120"/>
        <v>0</v>
      </c>
      <c r="W558" s="264">
        <f t="shared" si="121"/>
        <v>0</v>
      </c>
      <c r="X558" s="68"/>
      <c r="Y558" s="68"/>
      <c r="Z558" s="68"/>
      <c r="AA558" s="68"/>
      <c r="AB558" s="68"/>
      <c r="AC558" s="68"/>
      <c r="AD558" s="68"/>
      <c r="AE558" s="68"/>
      <c r="AF558" s="68"/>
      <c r="AG558" s="68"/>
      <c r="AH558" s="68"/>
      <c r="AI558" s="68"/>
      <c r="AJ558" s="68">
        <v>1</v>
      </c>
      <c r="AL558" s="68">
        <v>1</v>
      </c>
      <c r="AM558" s="68"/>
      <c r="AN558" s="68"/>
      <c r="AO558" s="68"/>
      <c r="AQ558" s="68"/>
      <c r="AR558" s="68"/>
      <c r="AS558" s="68"/>
      <c r="AT558" s="68"/>
      <c r="AU558" s="68"/>
      <c r="AV558" s="68"/>
      <c r="AW558" s="68"/>
      <c r="AX558" s="68"/>
      <c r="AY558" s="68"/>
      <c r="AZ558" s="68"/>
      <c r="BB558" s="68"/>
      <c r="BC558" s="68"/>
      <c r="BJ558" s="68"/>
      <c r="BT558">
        <v>1</v>
      </c>
      <c r="BV558">
        <v>1</v>
      </c>
      <c r="BX558" s="68"/>
      <c r="BY558" s="68">
        <v>1</v>
      </c>
      <c r="BZ558" s="68" t="s">
        <v>1057</v>
      </c>
      <c r="CA558" s="68" t="s">
        <v>1057</v>
      </c>
      <c r="CB558" s="68" t="s">
        <v>1057</v>
      </c>
      <c r="CC558" s="68" t="e">
        <f t="shared" si="122"/>
        <v>#DIV/0!</v>
      </c>
      <c r="CD558" s="68" t="str">
        <f t="shared" si="123"/>
        <v>NA</v>
      </c>
    </row>
    <row r="559" spans="1:82" ht="15.75" customHeight="1" thickBot="1" x14ac:dyDescent="0.3">
      <c r="A559" s="6">
        <v>558</v>
      </c>
      <c r="B559" s="7" t="s">
        <v>981</v>
      </c>
      <c r="C559" s="7" t="s">
        <v>927</v>
      </c>
      <c r="D559" s="7" t="s">
        <v>19</v>
      </c>
      <c r="E559" s="50">
        <v>-164.870184177754</v>
      </c>
      <c r="F559" s="50">
        <v>4.2322138481983202</v>
      </c>
      <c r="G559" s="50">
        <v>6.1169798241289799</v>
      </c>
      <c r="H559" s="50">
        <v>0</v>
      </c>
      <c r="I559" s="8">
        <v>0</v>
      </c>
      <c r="J559" s="50">
        <v>2.9024355404701199</v>
      </c>
      <c r="K559" s="248">
        <f>IFERROR(VLOOKUP(C559,Schedule!$T$3:$U$34,2,0),"FA")</f>
        <v>9</v>
      </c>
      <c r="L559" s="7" t="str">
        <f>D559&amp;COUNTIF(D$2:$D559,D559)</f>
        <v>RB158</v>
      </c>
      <c r="M559" s="50">
        <f t="array" ref="M559">IFERROR(F559-AVERAGE(VLOOKUP(D559,$D560:$F$885,3,0),INDEX($F560:$F$885,SMALL(IF(D559=$D560:$D$885,ROW($D560:$D$885)-ROW(D559)),2))),0)</f>
        <v>0.19068494622777088</v>
      </c>
      <c r="N559" s="50">
        <f>IFERROR(IF(VLOOKUP($B559,Input!$AC$2:$AC$162,1,0)=$B559,0),F559)</f>
        <v>4.2322138481983202</v>
      </c>
      <c r="O559" s="50">
        <f>IFERROR(IF(VLOOKUP($B559,Input!$AC$2:$AC$162,1,0)=$B559,0,G559),G559)</f>
        <v>6.1169798241289799</v>
      </c>
      <c r="P559" s="50">
        <f>IF(N559=0,0,F559-AVERAGE(INDEX(F:F,MATCH(VLOOKUP(D559,Input!$A$14:$L$22,10,0),L:L,0)),INDEX(F:F,MATCH(VLOOKUP(D559,Input!$A$14:$L$22,11,0),L:L,0)),INDEX(F:F,MATCH(VLOOKUP(D559,Input!$A$14:$L$22,12,0),L:L,0)))+(0.01-ROW()*0.01))</f>
        <v>-170.4501841777537</v>
      </c>
      <c r="Q559" s="106">
        <f t="shared" si="118"/>
        <v>-5.8804110321408816E-2</v>
      </c>
      <c r="R559" s="8">
        <f>IF(VLOOKUP($D559,$X$14:$Y$19,2,0)&lt;=0,1,IF(Q559&lt;0,1,ROUNDUP(IF(Q559*('Draft Center'!$L$28+'Draft Center'!$L$78-'Draft Center'!$L$82)&lt;1,1,Q559*('Draft Center'!$L$28+'Draft Center'!$L$78-'Draft Center'!$L$82)),0)))</f>
        <v>1</v>
      </c>
      <c r="S559" s="8">
        <f>IF(A559&lt;Input!$B$10+0.1,IF(ROUNDUP(R559*Input!$C$10,0)=0,1,ROUNDUP(R559*Input!$C$10,0)),IF(A559&gt;Input!$B$11,IF(ROUNDUP(R559*Input!$C$11,0)=0,1,ROUNDUP(R559*Input!$C$11,0)),IF(ROUNDUP(R559,0)=0,1,ROUNDUP(R559,0))))</f>
        <v>1</v>
      </c>
      <c r="T559" s="8">
        <f t="shared" si="119"/>
        <v>1</v>
      </c>
      <c r="U559" s="8">
        <f>IFERROR(VLOOKUP($B559,Input!$AC$2:$AE$161,3,0),0)</f>
        <v>0</v>
      </c>
      <c r="V559" s="256">
        <f t="shared" si="120"/>
        <v>0</v>
      </c>
      <c r="W559" s="263">
        <f t="shared" si="121"/>
        <v>1.00559</v>
      </c>
      <c r="X559" s="68"/>
      <c r="Y559" s="68"/>
      <c r="Z559" s="68"/>
      <c r="AA559" s="68"/>
      <c r="AB559" s="68"/>
      <c r="AC559" s="68"/>
      <c r="AD559" s="68"/>
      <c r="AE559" s="68"/>
      <c r="AF559" s="68"/>
      <c r="AG559" s="68"/>
      <c r="AH559" s="68"/>
      <c r="AI559" s="68"/>
      <c r="AJ559" s="68">
        <v>1</v>
      </c>
      <c r="AL559" s="68">
        <v>1</v>
      </c>
      <c r="AM559" s="68"/>
      <c r="AN559" s="68"/>
      <c r="AO559" s="68"/>
      <c r="AQ559" s="68"/>
      <c r="AR559" s="68"/>
      <c r="AS559" s="68"/>
      <c r="AT559" s="68"/>
      <c r="AU559" s="68"/>
      <c r="AV559" s="68"/>
      <c r="AW559" s="68"/>
      <c r="AX559" s="68"/>
      <c r="AY559" s="68"/>
      <c r="AZ559" s="68"/>
      <c r="BB559" s="68"/>
      <c r="BC559" s="68"/>
      <c r="BJ559" s="68"/>
      <c r="BT559">
        <v>1</v>
      </c>
      <c r="BV559">
        <v>1</v>
      </c>
      <c r="BX559" s="68"/>
      <c r="BY559" s="68">
        <v>1</v>
      </c>
      <c r="BZ559" s="68">
        <v>0</v>
      </c>
      <c r="CA559" s="68">
        <v>0</v>
      </c>
      <c r="CB559" s="68">
        <v>0</v>
      </c>
      <c r="CC559" s="68">
        <f t="shared" si="122"/>
        <v>0</v>
      </c>
      <c r="CD559" s="68">
        <f t="shared" si="123"/>
        <v>0</v>
      </c>
    </row>
    <row r="560" spans="1:82" ht="15.75" customHeight="1" thickBot="1" x14ac:dyDescent="0.3">
      <c r="A560" s="9">
        <v>559</v>
      </c>
      <c r="B560" s="10" t="s">
        <v>969</v>
      </c>
      <c r="C560" s="10" t="s">
        <v>21</v>
      </c>
      <c r="D560" s="10" t="s">
        <v>17</v>
      </c>
      <c r="E560" s="51">
        <v>-164.954120670686</v>
      </c>
      <c r="F560" s="51">
        <v>47.823795598662798</v>
      </c>
      <c r="G560" s="51">
        <v>83.178578670492598</v>
      </c>
      <c r="H560" s="51">
        <v>4.24</v>
      </c>
      <c r="I560" s="11">
        <v>0</v>
      </c>
      <c r="J560" s="51">
        <v>6.7342794364237797</v>
      </c>
      <c r="K560" s="249">
        <f>IFERROR(VLOOKUP(C560,Schedule!$T$3:$U$34,2,0),"FA")</f>
        <v>5</v>
      </c>
      <c r="L560" s="10" t="str">
        <f>D560&amp;COUNTIF(D$2:$D560,D560)</f>
        <v>WR128</v>
      </c>
      <c r="M560" s="51">
        <f t="array" ref="M560">IFERROR(F560-AVERAGE(VLOOKUP(D560,$D561:$F$885,3,0),INDEX($F561:$F$885,SMALL(IF(D560=$D561:$D$885,ROW($D561:$D$885)-ROW(D560)),2))),0)</f>
        <v>0.41268088370659939</v>
      </c>
      <c r="N560" s="51">
        <f>IFERROR(IF(VLOOKUP($B560,Input!$AC$2:$AC$162,1,0)=$B560,0),F560)</f>
        <v>47.823795598662798</v>
      </c>
      <c r="O560" s="51">
        <f>IFERROR(IF(VLOOKUP($B560,Input!$AC$2:$AC$162,1,0)=$B560,0,G560),G560)</f>
        <v>83.178578670492598</v>
      </c>
      <c r="P560" s="51">
        <f>IF(N560=0,0,F560-AVERAGE(INDEX(F:F,MATCH(VLOOKUP(D560,Input!$A$14:$L$22,10,0),L:L,0)),INDEX(F:F,MATCH(VLOOKUP(D560,Input!$A$14:$L$22,11,0),L:L,0)),INDEX(F:F,MATCH(VLOOKUP(D560,Input!$A$14:$L$22,12,0),L:L,0)))+(0.01-ROW()*0.01))</f>
        <v>-170.54412067068623</v>
      </c>
      <c r="Q560" s="107">
        <f t="shared" si="118"/>
        <v>-5.8836517748366186E-2</v>
      </c>
      <c r="R560" s="11">
        <f>IF(VLOOKUP($D560,$X$14:$Y$19,2,0)&lt;=0,1,IF(Q560&lt;0,1,ROUNDUP(IF(Q560*('Draft Center'!$L$28+'Draft Center'!$L$78-'Draft Center'!$L$82)&lt;1,1,Q560*('Draft Center'!$L$28+'Draft Center'!$L$78-'Draft Center'!$L$82)),0)))</f>
        <v>1</v>
      </c>
      <c r="S560" s="11">
        <f>IF(A560&lt;Input!$B$10+0.1,IF(ROUNDUP(R560*Input!$C$10,0)=0,1,ROUNDUP(R560*Input!$C$10,0)),IF(A560&gt;Input!$B$11,IF(ROUNDUP(R560*Input!$C$11,0)=0,1,ROUNDUP(R560*Input!$C$11,0)),IF(ROUNDUP(R560,0)=0,1,ROUNDUP(R560,0))))</f>
        <v>1</v>
      </c>
      <c r="T560" s="11">
        <f t="shared" si="119"/>
        <v>1</v>
      </c>
      <c r="U560" s="11">
        <f>IFERROR(VLOOKUP($B560,Input!$AC$2:$AE$161,3,0),0)</f>
        <v>0</v>
      </c>
      <c r="V560" s="257">
        <f t="shared" si="120"/>
        <v>0</v>
      </c>
      <c r="W560" s="264">
        <f t="shared" si="121"/>
        <v>1.0056</v>
      </c>
      <c r="X560" s="68"/>
      <c r="Y560" s="68"/>
      <c r="Z560" s="68"/>
      <c r="AA560" s="68"/>
      <c r="AB560" s="68"/>
      <c r="AC560" s="68"/>
      <c r="AD560" s="68"/>
      <c r="AE560" s="68"/>
      <c r="AF560" s="68"/>
      <c r="AG560" s="68"/>
      <c r="AH560" s="68"/>
      <c r="AI560" s="68"/>
      <c r="AJ560" s="68">
        <v>1</v>
      </c>
      <c r="AL560" s="68">
        <v>1</v>
      </c>
      <c r="AM560" s="68"/>
      <c r="AN560" s="68"/>
      <c r="AO560" s="68"/>
      <c r="AQ560" s="68"/>
      <c r="AR560" s="68"/>
      <c r="AS560" s="68"/>
      <c r="AT560" s="68"/>
      <c r="AU560" s="68"/>
      <c r="AV560" s="68"/>
      <c r="AW560" s="68"/>
      <c r="AX560" s="68"/>
      <c r="AY560" s="68"/>
      <c r="AZ560" s="68"/>
      <c r="BB560" s="68"/>
      <c r="BC560" s="68"/>
      <c r="BJ560" s="68"/>
      <c r="BT560">
        <v>1</v>
      </c>
      <c r="BV560">
        <v>1</v>
      </c>
      <c r="BX560" s="68"/>
      <c r="BY560" s="68">
        <v>1</v>
      </c>
      <c r="BZ560" s="68">
        <v>0</v>
      </c>
      <c r="CA560" s="68">
        <v>0</v>
      </c>
      <c r="CB560" s="68">
        <v>0</v>
      </c>
      <c r="CC560" s="68">
        <f t="shared" si="122"/>
        <v>0</v>
      </c>
      <c r="CD560" s="68">
        <f t="shared" si="123"/>
        <v>0</v>
      </c>
    </row>
    <row r="561" spans="1:82" ht="15.75" customHeight="1" thickBot="1" x14ac:dyDescent="0.3">
      <c r="A561" s="6">
        <v>560</v>
      </c>
      <c r="B561" s="7" t="s">
        <v>366</v>
      </c>
      <c r="C561" s="7" t="s">
        <v>25</v>
      </c>
      <c r="D561" s="7" t="s">
        <v>19</v>
      </c>
      <c r="E561" s="50">
        <v>-165.05985736878699</v>
      </c>
      <c r="F561" s="50">
        <v>4.0425406571646896</v>
      </c>
      <c r="G561" s="50">
        <v>7.2040341793104599</v>
      </c>
      <c r="H561" s="50">
        <v>0</v>
      </c>
      <c r="I561" s="8">
        <v>0</v>
      </c>
      <c r="J561" s="50">
        <v>2.9873532083852901</v>
      </c>
      <c r="K561" s="248">
        <f>IFERROR(VLOOKUP(C561,Schedule!$T$3:$U$34,2,0),"FA")</f>
        <v>10</v>
      </c>
      <c r="L561" s="7" t="str">
        <f>D561&amp;COUNTIF(D$2:$D561,D561)</f>
        <v>RB159</v>
      </c>
      <c r="M561" s="50">
        <f t="array" ref="M561">IFERROR(F561-AVERAGE(VLOOKUP(D561,$D562:$F$885,3,0),INDEX($F562:$F$885,SMALL(IF(D561=$D562:$D$885,ROW($D562:$D$885)-ROW(D561)),2))),0)</f>
        <v>1.0991761195839445E-2</v>
      </c>
      <c r="N561" s="50">
        <f>IFERROR(IF(VLOOKUP($B561,Input!$AC$2:$AC$162,1,0)=$B561,0),F561)</f>
        <v>4.0425406571646896</v>
      </c>
      <c r="O561" s="50">
        <f>IFERROR(IF(VLOOKUP($B561,Input!$AC$2:$AC$162,1,0)=$B561,0,G561),G561)</f>
        <v>7.2040341793104599</v>
      </c>
      <c r="P561" s="50">
        <f>IF(N561=0,0,F561-AVERAGE(INDEX(F:F,MATCH(VLOOKUP(D561,Input!$A$14:$L$22,10,0),L:L,0)),INDEX(F:F,MATCH(VLOOKUP(D561,Input!$A$14:$L$22,11,0),L:L,0)),INDEX(F:F,MATCH(VLOOKUP(D561,Input!$A$14:$L$22,12,0),L:L,0)))+(0.01-ROW()*0.01))</f>
        <v>-170.6598573687873</v>
      </c>
      <c r="Q561" s="106">
        <f t="shared" si="118"/>
        <v>-5.8876446092217517E-2</v>
      </c>
      <c r="R561" s="8">
        <f>IF(VLOOKUP($D561,$X$14:$Y$19,2,0)&lt;=0,1,IF(Q561&lt;0,1,ROUNDUP(IF(Q561*('Draft Center'!$L$28+'Draft Center'!$L$78-'Draft Center'!$L$82)&lt;1,1,Q561*('Draft Center'!$L$28+'Draft Center'!$L$78-'Draft Center'!$L$82)),0)))</f>
        <v>1</v>
      </c>
      <c r="S561" s="8">
        <f>IF(A561&lt;Input!$B$10+0.1,IF(ROUNDUP(R561*Input!$C$10,0)=0,1,ROUNDUP(R561*Input!$C$10,0)),IF(A561&gt;Input!$B$11,IF(ROUNDUP(R561*Input!$C$11,0)=0,1,ROUNDUP(R561*Input!$C$11,0)),IF(ROUNDUP(R561,0)=0,1,ROUNDUP(R561,0))))</f>
        <v>1</v>
      </c>
      <c r="T561" s="8">
        <f t="shared" si="119"/>
        <v>1</v>
      </c>
      <c r="U561" s="8">
        <f>IFERROR(VLOOKUP($B561,Input!$AC$2:$AE$161,3,0),0)</f>
        <v>0</v>
      </c>
      <c r="V561" s="256">
        <f t="shared" si="120"/>
        <v>0</v>
      </c>
      <c r="W561" s="263">
        <f t="shared" si="121"/>
        <v>1.0056099999999999</v>
      </c>
      <c r="X561" s="68"/>
      <c r="Y561" s="68"/>
      <c r="Z561" s="68"/>
      <c r="AA561" s="68"/>
      <c r="AB561" s="68"/>
      <c r="AC561" s="68"/>
      <c r="AD561" s="68"/>
      <c r="AE561" s="68"/>
      <c r="AF561" s="68"/>
      <c r="AG561" s="68"/>
      <c r="AH561" s="68"/>
      <c r="AI561" s="68"/>
      <c r="AJ561" s="68">
        <v>1</v>
      </c>
      <c r="AL561" s="68">
        <v>1</v>
      </c>
      <c r="AM561" s="68"/>
      <c r="AN561" s="68"/>
      <c r="AO561" s="68"/>
      <c r="AQ561" s="68"/>
      <c r="AR561" s="68"/>
      <c r="AS561" s="68"/>
      <c r="AT561" s="68"/>
      <c r="AU561" s="68"/>
      <c r="AV561" s="68"/>
      <c r="AW561" s="68"/>
      <c r="AX561" s="68"/>
      <c r="AY561" s="68"/>
      <c r="AZ561" s="68"/>
      <c r="BB561" s="68"/>
      <c r="BC561" s="68"/>
      <c r="BJ561" s="68"/>
      <c r="BT561">
        <v>1</v>
      </c>
      <c r="BV561">
        <v>1</v>
      </c>
      <c r="BX561" s="68"/>
      <c r="BY561" s="68">
        <v>1</v>
      </c>
      <c r="BZ561" s="68">
        <v>0</v>
      </c>
      <c r="CA561" s="68">
        <v>0</v>
      </c>
      <c r="CB561" s="68">
        <v>0</v>
      </c>
      <c r="CC561" s="68">
        <f t="shared" si="122"/>
        <v>0</v>
      </c>
      <c r="CD561" s="68">
        <f t="shared" si="123"/>
        <v>0</v>
      </c>
    </row>
    <row r="562" spans="1:82" ht="15.75" customHeight="1" thickBot="1" x14ac:dyDescent="0.3">
      <c r="A562" s="9">
        <v>561</v>
      </c>
      <c r="B562" s="10" t="s">
        <v>1092</v>
      </c>
      <c r="C562" s="10" t="s">
        <v>33</v>
      </c>
      <c r="D562" s="10" t="s">
        <v>19</v>
      </c>
      <c r="E562" s="51">
        <v>-165.06188087917499</v>
      </c>
      <c r="F562" s="51">
        <v>4.0405171467764101</v>
      </c>
      <c r="G562" s="51">
        <v>6.9691893617021297</v>
      </c>
      <c r="H562" s="51">
        <v>0</v>
      </c>
      <c r="I562" s="11" t="s">
        <v>1057</v>
      </c>
      <c r="J562" s="51">
        <v>3.4725764526419298</v>
      </c>
      <c r="K562" s="249">
        <f>IFERROR(VLOOKUP(C562,Schedule!$T$3:$U$34,2,0),"FA")</f>
        <v>9</v>
      </c>
      <c r="L562" s="10" t="str">
        <f>D562&amp;COUNTIF(D$2:$D562,D562)</f>
        <v>RB160</v>
      </c>
      <c r="M562" s="51">
        <f t="array" ref="M562">IFERROR(F562-AVERAGE(VLOOKUP(D562,$D563:$F$885,3,0),INDEX($F563:$F$885,SMALL(IF(D562=$D563:$D$885,ROW($D563:$D$885)-ROW(D562)),2))),0)</f>
        <v>2.6565657029599343E-2</v>
      </c>
      <c r="N562" s="51">
        <f>IFERROR(IF(VLOOKUP($B562,Input!$AC$2:$AC$162,1,0)=$B562,0),F562)</f>
        <v>4.0405171467764101</v>
      </c>
      <c r="O562" s="51">
        <f>IFERROR(IF(VLOOKUP($B562,Input!$AC$2:$AC$162,1,0)=$B562,0,G562),G562)</f>
        <v>6.9691893617021297</v>
      </c>
      <c r="P562" s="51">
        <f>IF(N562=0,0,F562-AVERAGE(INDEX(F:F,MATCH(VLOOKUP(D562,Input!$A$14:$L$22,10,0),L:L,0)),INDEX(F:F,MATCH(VLOOKUP(D562,Input!$A$14:$L$22,11,0),L:L,0)),INDEX(F:F,MATCH(VLOOKUP(D562,Input!$A$14:$L$22,12,0),L:L,0)))+(0.01-ROW()*0.01))</f>
        <v>-170.6718808791756</v>
      </c>
      <c r="Q562" s="107">
        <f t="shared" si="118"/>
        <v>-5.8880594118426666E-2</v>
      </c>
      <c r="R562" s="11">
        <f>IF(VLOOKUP($D562,$X$14:$Y$19,2,0)&lt;=0,1,IF(Q562&lt;0,1,ROUNDUP(IF(Q562*('Draft Center'!$L$28+'Draft Center'!$L$78-'Draft Center'!$L$82)&lt;1,1,Q562*('Draft Center'!$L$28+'Draft Center'!$L$78-'Draft Center'!$L$82)),0)))</f>
        <v>1</v>
      </c>
      <c r="S562" s="11">
        <f>IF(A562&lt;Input!$B$10+0.1,IF(ROUNDUP(R562*Input!$C$10,0)=0,1,ROUNDUP(R562*Input!$C$10,0)),IF(A562&gt;Input!$B$11,IF(ROUNDUP(R562*Input!$C$11,0)=0,1,ROUNDUP(R562*Input!$C$11,0)),IF(ROUNDUP(R562,0)=0,1,ROUNDUP(R562,0))))</f>
        <v>1</v>
      </c>
      <c r="T562" s="11">
        <f t="shared" si="119"/>
        <v>1</v>
      </c>
      <c r="U562" s="11">
        <f>IFERROR(VLOOKUP($B562,Input!$AC$2:$AE$161,3,0),0)</f>
        <v>0</v>
      </c>
      <c r="V562" s="257">
        <f t="shared" si="120"/>
        <v>0</v>
      </c>
      <c r="W562" s="264">
        <f t="shared" si="121"/>
        <v>0</v>
      </c>
      <c r="X562" s="68"/>
      <c r="Y562" s="68"/>
      <c r="Z562" s="68"/>
      <c r="AA562" s="68"/>
      <c r="AB562" s="68"/>
      <c r="AC562" s="68"/>
      <c r="AD562" s="68"/>
      <c r="AE562" s="68"/>
      <c r="AF562" s="68"/>
      <c r="AG562" s="68"/>
      <c r="AH562" s="68"/>
      <c r="AI562" s="68"/>
      <c r="AJ562" s="68">
        <v>1</v>
      </c>
      <c r="AL562" s="68">
        <v>1</v>
      </c>
      <c r="AM562" s="68"/>
      <c r="AN562" s="68"/>
      <c r="AO562" s="68"/>
      <c r="AQ562" s="68"/>
      <c r="AR562" s="68"/>
      <c r="AS562" s="68"/>
      <c r="AT562" s="68"/>
      <c r="AU562" s="68"/>
      <c r="AV562" s="68"/>
      <c r="AW562" s="68"/>
      <c r="AX562" s="68"/>
      <c r="AY562" s="68"/>
      <c r="AZ562" s="68"/>
      <c r="BB562" s="68"/>
      <c r="BC562" s="68"/>
      <c r="BJ562" s="68"/>
      <c r="BT562">
        <v>1</v>
      </c>
      <c r="BV562">
        <v>1</v>
      </c>
      <c r="BX562" s="68"/>
      <c r="BY562" s="68">
        <v>1</v>
      </c>
      <c r="BZ562" s="68" t="s">
        <v>1057</v>
      </c>
      <c r="CA562" s="68" t="s">
        <v>1057</v>
      </c>
      <c r="CB562" s="68" t="s">
        <v>1057</v>
      </c>
      <c r="CC562" s="68" t="e">
        <f t="shared" si="122"/>
        <v>#DIV/0!</v>
      </c>
      <c r="CD562" s="68" t="str">
        <f t="shared" si="123"/>
        <v>NA</v>
      </c>
    </row>
    <row r="563" spans="1:82" ht="15.75" customHeight="1" thickBot="1" x14ac:dyDescent="0.3">
      <c r="A563" s="6">
        <v>562</v>
      </c>
      <c r="B563" s="7" t="s">
        <v>899</v>
      </c>
      <c r="C563" s="7" t="s">
        <v>38</v>
      </c>
      <c r="D563" s="7" t="s">
        <v>19</v>
      </c>
      <c r="E563" s="50">
        <v>-165.07981738079101</v>
      </c>
      <c r="F563" s="50">
        <v>4.0225806451612902</v>
      </c>
      <c r="G563" s="50">
        <v>6.8183720930232603</v>
      </c>
      <c r="H563" s="50">
        <v>0</v>
      </c>
      <c r="I563" s="8" t="s">
        <v>1057</v>
      </c>
      <c r="J563" s="50">
        <v>3.4408822282820202</v>
      </c>
      <c r="K563" s="248">
        <f>IFERROR(VLOOKUP(C563,Schedule!$T$3:$U$34,2,0),"FA")</f>
        <v>6</v>
      </c>
      <c r="L563" s="7" t="str">
        <f>D563&amp;COUNTIF(D$2:$D563,D563)</f>
        <v>RB161</v>
      </c>
      <c r="M563" s="50">
        <f t="array" ref="M563">IFERROR(F563-AVERAGE(VLOOKUP(D563,$D564:$F$885,3,0),INDEX($F564:$F$885,SMALL(IF(D563=$D564:$D$885,ROW($D564:$D$885)-ROW(D563)),2))),0)</f>
        <v>0.22023671284360979</v>
      </c>
      <c r="N563" s="50">
        <f>IFERROR(IF(VLOOKUP($B563,Input!$AC$2:$AC$162,1,0)=$B563,0),F563)</f>
        <v>4.0225806451612902</v>
      </c>
      <c r="O563" s="50">
        <f>IFERROR(IF(VLOOKUP($B563,Input!$AC$2:$AC$162,1,0)=$B563,0,G563),G563)</f>
        <v>6.8183720930232603</v>
      </c>
      <c r="P563" s="50">
        <f>IF(N563=0,0,F563-AVERAGE(INDEX(F:F,MATCH(VLOOKUP(D563,Input!$A$14:$L$22,10,0),L:L,0)),INDEX(F:F,MATCH(VLOOKUP(D563,Input!$A$14:$L$22,11,0),L:L,0)),INDEX(F:F,MATCH(VLOOKUP(D563,Input!$A$14:$L$22,12,0),L:L,0)))+(0.01-ROW()*0.01))</f>
        <v>-170.69981738079071</v>
      </c>
      <c r="Q563" s="106">
        <f t="shared" si="118"/>
        <v>-5.8890232014278135E-2</v>
      </c>
      <c r="R563" s="8">
        <f>IF(VLOOKUP($D563,$X$14:$Y$19,2,0)&lt;=0,1,IF(Q563&lt;0,1,ROUNDUP(IF(Q563*('Draft Center'!$L$28+'Draft Center'!$L$78-'Draft Center'!$L$82)&lt;1,1,Q563*('Draft Center'!$L$28+'Draft Center'!$L$78-'Draft Center'!$L$82)),0)))</f>
        <v>1</v>
      </c>
      <c r="S563" s="8">
        <f>IF(A563&lt;Input!$B$10+0.1,IF(ROUNDUP(R563*Input!$C$10,0)=0,1,ROUNDUP(R563*Input!$C$10,0)),IF(A563&gt;Input!$B$11,IF(ROUNDUP(R563*Input!$C$11,0)=0,1,ROUNDUP(R563*Input!$C$11,0)),IF(ROUNDUP(R563,0)=0,1,ROUNDUP(R563,0))))</f>
        <v>1</v>
      </c>
      <c r="T563" s="8">
        <f t="shared" si="119"/>
        <v>1</v>
      </c>
      <c r="U563" s="8">
        <f>IFERROR(VLOOKUP($B563,Input!$AC$2:$AE$161,3,0),0)</f>
        <v>0</v>
      </c>
      <c r="V563" s="256">
        <f t="shared" si="120"/>
        <v>0</v>
      </c>
      <c r="W563" s="263">
        <f t="shared" si="121"/>
        <v>0</v>
      </c>
      <c r="X563" s="68"/>
      <c r="Y563" s="68"/>
      <c r="Z563" s="68"/>
      <c r="AA563" s="68"/>
      <c r="AB563" s="68"/>
      <c r="AC563" s="68"/>
      <c r="AD563" s="68"/>
      <c r="AE563" s="68"/>
      <c r="AF563" s="68"/>
      <c r="AG563" s="68"/>
      <c r="AH563" s="68"/>
      <c r="AI563" s="68"/>
      <c r="AJ563" s="68">
        <v>1</v>
      </c>
      <c r="AL563" s="68">
        <v>1</v>
      </c>
      <c r="AM563" s="68"/>
      <c r="AN563" s="68"/>
      <c r="AO563" s="68"/>
      <c r="AQ563" s="68"/>
      <c r="AR563" s="68"/>
      <c r="AS563" s="68"/>
      <c r="AT563" s="68"/>
      <c r="AU563" s="68"/>
      <c r="AV563" s="68"/>
      <c r="AW563" s="68"/>
      <c r="AX563" s="68"/>
      <c r="AY563" s="68"/>
      <c r="AZ563" s="68"/>
      <c r="BB563" s="68"/>
      <c r="BC563" s="68"/>
      <c r="BJ563" s="68"/>
      <c r="BT563">
        <v>1</v>
      </c>
      <c r="BV563">
        <v>1</v>
      </c>
      <c r="BX563" s="68"/>
      <c r="BY563" s="68">
        <v>1</v>
      </c>
      <c r="BZ563" s="68" t="s">
        <v>1057</v>
      </c>
      <c r="CA563" s="68" t="s">
        <v>1057</v>
      </c>
      <c r="CB563" s="68" t="s">
        <v>1057</v>
      </c>
      <c r="CC563" s="68" t="e">
        <f t="shared" si="122"/>
        <v>#DIV/0!</v>
      </c>
      <c r="CD563" s="68" t="str">
        <f t="shared" si="123"/>
        <v>NA</v>
      </c>
    </row>
    <row r="564" spans="1:82" ht="15.75" customHeight="1" thickBot="1" x14ac:dyDescent="0.3">
      <c r="A564" s="9">
        <v>563</v>
      </c>
      <c r="B564" s="10" t="s">
        <v>377</v>
      </c>
      <c r="C564" s="10" t="s">
        <v>42</v>
      </c>
      <c r="D564" s="10" t="s">
        <v>19</v>
      </c>
      <c r="E564" s="51">
        <v>-165.09707569162001</v>
      </c>
      <c r="F564" s="51">
        <v>4.0053223343323303</v>
      </c>
      <c r="G564" s="51">
        <v>6.3203638633163601</v>
      </c>
      <c r="H564" s="51">
        <v>0</v>
      </c>
      <c r="I564" s="11">
        <v>0</v>
      </c>
      <c r="J564" s="51">
        <v>2.9011429999128402</v>
      </c>
      <c r="K564" s="249">
        <f>IFERROR(VLOOKUP(C564,Schedule!$T$3:$U$34,2,0),"FA")</f>
        <v>9</v>
      </c>
      <c r="L564" s="10" t="str">
        <f>D564&amp;COUNTIF(D$2:$D564,D564)</f>
        <v>RB162</v>
      </c>
      <c r="M564" s="51">
        <f t="array" ref="M564">IFERROR(F564-AVERAGE(VLOOKUP(D564,$D565:$F$885,3,0),INDEX($F565:$F$885,SMALL(IF(D564=$D565:$D$885,ROW($D565:$D$885)-ROW(D564)),2))),0)</f>
        <v>0.48269921503356539</v>
      </c>
      <c r="N564" s="51">
        <f>IFERROR(IF(VLOOKUP($B564,Input!$AC$2:$AC$162,1,0)=$B564,0),F564)</f>
        <v>4.0053223343323303</v>
      </c>
      <c r="O564" s="51">
        <f>IFERROR(IF(VLOOKUP($B564,Input!$AC$2:$AC$162,1,0)=$B564,0,G564),G564)</f>
        <v>6.3203638633163601</v>
      </c>
      <c r="P564" s="51">
        <f>IF(N564=0,0,F564-AVERAGE(INDEX(F:F,MATCH(VLOOKUP(D564,Input!$A$14:$L$22,10,0),L:L,0)),INDEX(F:F,MATCH(VLOOKUP(D564,Input!$A$14:$L$22,11,0),L:L,0)),INDEX(F:F,MATCH(VLOOKUP(D564,Input!$A$14:$L$22,12,0),L:L,0)))+(0.01-ROW()*0.01))</f>
        <v>-170.72707569161966</v>
      </c>
      <c r="Q564" s="107">
        <f t="shared" si="118"/>
        <v>-5.8899635939095779E-2</v>
      </c>
      <c r="R564" s="11">
        <f>IF(VLOOKUP($D564,$X$14:$Y$19,2,0)&lt;=0,1,IF(Q564&lt;0,1,ROUNDUP(IF(Q564*('Draft Center'!$L$28+'Draft Center'!$L$78-'Draft Center'!$L$82)&lt;1,1,Q564*('Draft Center'!$L$28+'Draft Center'!$L$78-'Draft Center'!$L$82)),0)))</f>
        <v>1</v>
      </c>
      <c r="S564" s="11">
        <f>IF(A564&lt;Input!$B$10+0.1,IF(ROUNDUP(R564*Input!$C$10,0)=0,1,ROUNDUP(R564*Input!$C$10,0)),IF(A564&gt;Input!$B$11,IF(ROUNDUP(R564*Input!$C$11,0)=0,1,ROUNDUP(R564*Input!$C$11,0)),IF(ROUNDUP(R564,0)=0,1,ROUNDUP(R564,0))))</f>
        <v>1</v>
      </c>
      <c r="T564" s="11">
        <f t="shared" si="119"/>
        <v>1</v>
      </c>
      <c r="U564" s="11">
        <f>IFERROR(VLOOKUP($B564,Input!$AC$2:$AE$161,3,0),0)</f>
        <v>0</v>
      </c>
      <c r="V564" s="257">
        <f t="shared" si="120"/>
        <v>0</v>
      </c>
      <c r="W564" s="264">
        <f t="shared" si="121"/>
        <v>1.0056400000000001</v>
      </c>
      <c r="X564" s="68"/>
      <c r="Y564" s="68"/>
      <c r="Z564" s="68"/>
      <c r="AA564" s="68"/>
      <c r="AB564" s="68"/>
      <c r="AC564" s="68"/>
      <c r="AD564" s="68"/>
      <c r="AE564" s="68"/>
      <c r="AF564" s="68"/>
      <c r="AG564" s="68"/>
      <c r="AH564" s="68"/>
      <c r="AI564" s="68"/>
      <c r="AJ564" s="68">
        <v>1</v>
      </c>
      <c r="AL564" s="68">
        <v>1</v>
      </c>
      <c r="AM564" s="68"/>
      <c r="AN564" s="68"/>
      <c r="AO564" s="68"/>
      <c r="AQ564" s="68"/>
      <c r="AR564" s="68"/>
      <c r="AS564" s="68"/>
      <c r="AT564" s="68"/>
      <c r="AU564" s="68"/>
      <c r="AV564" s="68"/>
      <c r="AW564" s="68"/>
      <c r="AX564" s="68"/>
      <c r="AY564" s="68"/>
      <c r="AZ564" s="68"/>
      <c r="BB564" s="68"/>
      <c r="BC564" s="68"/>
      <c r="BJ564" s="68"/>
      <c r="BT564">
        <v>1</v>
      </c>
      <c r="BV564">
        <v>1</v>
      </c>
      <c r="BX564" s="68"/>
      <c r="BY564" s="68">
        <v>1</v>
      </c>
      <c r="BZ564" s="68">
        <v>0</v>
      </c>
      <c r="CA564" s="68">
        <v>0</v>
      </c>
      <c r="CB564" s="68">
        <v>0</v>
      </c>
      <c r="CC564" s="68">
        <f t="shared" si="122"/>
        <v>0</v>
      </c>
      <c r="CD564" s="68">
        <f t="shared" si="123"/>
        <v>0</v>
      </c>
    </row>
    <row r="565" spans="1:82" ht="15.75" customHeight="1" thickBot="1" x14ac:dyDescent="0.3">
      <c r="A565" s="6">
        <v>564</v>
      </c>
      <c r="B565" s="7" t="s">
        <v>141</v>
      </c>
      <c r="C565" s="7" t="s">
        <v>31</v>
      </c>
      <c r="D565" s="7" t="s">
        <v>17</v>
      </c>
      <c r="E565" s="50">
        <v>-165.23760889016199</v>
      </c>
      <c r="F565" s="50">
        <v>47.540307379186999</v>
      </c>
      <c r="G565" s="50">
        <v>72.256400177978193</v>
      </c>
      <c r="H565" s="50">
        <v>22.277871428571402</v>
      </c>
      <c r="I565" s="8">
        <v>0</v>
      </c>
      <c r="J565" s="50">
        <v>7.0340841060353902</v>
      </c>
      <c r="K565" s="248">
        <f>IFERROR(VLOOKUP(C565,Schedule!$T$3:$U$34,2,0),"FA")</f>
        <v>9</v>
      </c>
      <c r="L565" s="7" t="str">
        <f>D565&amp;COUNTIF(D$2:$D565,D565)</f>
        <v>WR129</v>
      </c>
      <c r="M565" s="50">
        <f t="array" ref="M565">IFERROR(F565-AVERAGE(VLOOKUP(D565,$D566:$F$885,3,0),INDEX($F566:$F$885,SMALL(IF(D565=$D566:$D$885,ROW($D566:$D$885)-ROW(D565)),2))),0)</f>
        <v>0.76976955561964644</v>
      </c>
      <c r="N565" s="50">
        <f>IFERROR(IF(VLOOKUP($B565,Input!$AC$2:$AC$162,1,0)=$B565,0),F565)</f>
        <v>47.540307379186999</v>
      </c>
      <c r="O565" s="50">
        <f>IFERROR(IF(VLOOKUP($B565,Input!$AC$2:$AC$162,1,0)=$B565,0,G565),G565)</f>
        <v>72.256400177978193</v>
      </c>
      <c r="P565" s="50">
        <f>IF(N565=0,0,F565-AVERAGE(INDEX(F:F,MATCH(VLOOKUP(D565,Input!$A$14:$L$22,10,0),L:L,0)),INDEX(F:F,MATCH(VLOOKUP(D565,Input!$A$14:$L$22,11,0),L:L,0)),INDEX(F:F,MATCH(VLOOKUP(D565,Input!$A$14:$L$22,12,0),L:L,0)))+(0.01-ROW()*0.01))</f>
        <v>-170.87760889016204</v>
      </c>
      <c r="Q565" s="106">
        <f t="shared" si="118"/>
        <v>-5.8951568829968395E-2</v>
      </c>
      <c r="R565" s="8">
        <f>IF(VLOOKUP($D565,$X$14:$Y$19,2,0)&lt;=0,1,IF(Q565&lt;0,1,ROUNDUP(IF(Q565*('Draft Center'!$L$28+'Draft Center'!$L$78-'Draft Center'!$L$82)&lt;1,1,Q565*('Draft Center'!$L$28+'Draft Center'!$L$78-'Draft Center'!$L$82)),0)))</f>
        <v>1</v>
      </c>
      <c r="S565" s="8">
        <f>IF(A565&lt;Input!$B$10+0.1,IF(ROUNDUP(R565*Input!$C$10,0)=0,1,ROUNDUP(R565*Input!$C$10,0)),IF(A565&gt;Input!$B$11,IF(ROUNDUP(R565*Input!$C$11,0)=0,1,ROUNDUP(R565*Input!$C$11,0)),IF(ROUNDUP(R565,0)=0,1,ROUNDUP(R565,0))))</f>
        <v>1</v>
      </c>
      <c r="T565" s="8">
        <f t="shared" si="119"/>
        <v>1</v>
      </c>
      <c r="U565" s="8">
        <f>IFERROR(VLOOKUP($B565,Input!$AC$2:$AE$161,3,0),0)</f>
        <v>0</v>
      </c>
      <c r="V565" s="256">
        <f t="shared" si="120"/>
        <v>0</v>
      </c>
      <c r="W565" s="263">
        <f t="shared" si="121"/>
        <v>1.0056499999999999</v>
      </c>
      <c r="X565" s="68"/>
      <c r="Y565" s="68"/>
      <c r="Z565" s="68"/>
      <c r="AA565" s="68"/>
      <c r="AB565" s="68"/>
      <c r="AC565" s="68"/>
      <c r="AD565" s="68"/>
      <c r="AE565" s="68"/>
      <c r="AF565" s="68"/>
      <c r="AG565" s="68"/>
      <c r="AH565" s="68"/>
      <c r="AI565" s="68"/>
      <c r="AJ565" s="68">
        <v>1</v>
      </c>
      <c r="AL565" s="68">
        <v>1</v>
      </c>
      <c r="AM565" s="68"/>
      <c r="AN565" s="68"/>
      <c r="AO565" s="68"/>
      <c r="AQ565" s="68"/>
      <c r="AR565" s="68"/>
      <c r="AS565" s="68"/>
      <c r="AT565" s="68"/>
      <c r="AU565" s="68"/>
      <c r="AV565" s="68"/>
      <c r="AW565" s="68"/>
      <c r="AX565" s="68"/>
      <c r="AY565" s="68"/>
      <c r="AZ565" s="68"/>
      <c r="BB565" s="68"/>
      <c r="BC565" s="68"/>
      <c r="BJ565" s="68"/>
      <c r="BT565">
        <v>1</v>
      </c>
      <c r="BV565">
        <v>1</v>
      </c>
      <c r="BX565" s="68"/>
      <c r="BY565" s="68">
        <v>1</v>
      </c>
      <c r="BZ565" s="68">
        <v>0</v>
      </c>
      <c r="CA565" s="68">
        <v>0</v>
      </c>
      <c r="CB565" s="68">
        <v>0</v>
      </c>
      <c r="CC565" s="68">
        <f t="shared" si="122"/>
        <v>0</v>
      </c>
      <c r="CD565" s="68">
        <f t="shared" si="123"/>
        <v>0</v>
      </c>
    </row>
    <row r="566" spans="1:82" ht="15.75" customHeight="1" thickBot="1" x14ac:dyDescent="0.3">
      <c r="A566" s="9">
        <v>565</v>
      </c>
      <c r="B566" s="10" t="s">
        <v>500</v>
      </c>
      <c r="C566" s="10" t="s">
        <v>85</v>
      </c>
      <c r="D566" s="10" t="s">
        <v>17</v>
      </c>
      <c r="E566" s="51">
        <v>-165.49599421862399</v>
      </c>
      <c r="F566" s="51">
        <v>47.281922050725399</v>
      </c>
      <c r="G566" s="51">
        <v>70.409549937599706</v>
      </c>
      <c r="H566" s="51">
        <v>14.0174278071723</v>
      </c>
      <c r="I566" s="11">
        <v>0</v>
      </c>
      <c r="J566" s="51">
        <v>4.4461580942733496</v>
      </c>
      <c r="K566" s="249">
        <f>IFERROR(VLOOKUP(C566,Schedule!$T$3:$U$34,2,0),"FA")</f>
        <v>11</v>
      </c>
      <c r="L566" s="10" t="str">
        <f>D566&amp;COUNTIF(D$2:$D566,D566)</f>
        <v>WR130</v>
      </c>
      <c r="M566" s="51">
        <f t="array" ref="M566">IFERROR(F566-AVERAGE(VLOOKUP(D566,$D567:$F$885,3,0),INDEX($F567:$F$885,SMALL(IF(D566=$D567:$D$885,ROW($D567:$D$885)-ROW(D566)),2))),0)</f>
        <v>1.3053825297509007</v>
      </c>
      <c r="N566" s="51">
        <f>IFERROR(IF(VLOOKUP($B566,Input!$AC$2:$AC$162,1,0)=$B566,0),F566)</f>
        <v>47.281922050725399</v>
      </c>
      <c r="O566" s="51">
        <f>IFERROR(IF(VLOOKUP($B566,Input!$AC$2:$AC$162,1,0)=$B566,0,G566),G566)</f>
        <v>70.409549937599706</v>
      </c>
      <c r="P566" s="51">
        <f>IF(N566=0,0,F566-AVERAGE(INDEX(F:F,MATCH(VLOOKUP(D566,Input!$A$14:$L$22,10,0),L:L,0)),INDEX(F:F,MATCH(VLOOKUP(D566,Input!$A$14:$L$22,11,0),L:L,0)),INDEX(F:F,MATCH(VLOOKUP(D566,Input!$A$14:$L$22,12,0),L:L,0)))+(0.01-ROW()*0.01))</f>
        <v>-171.14599421862363</v>
      </c>
      <c r="Q566" s="107">
        <f t="shared" si="118"/>
        <v>-5.904415987373661E-2</v>
      </c>
      <c r="R566" s="11">
        <f>IF(VLOOKUP($D566,$X$14:$Y$19,2,0)&lt;=0,1,IF(Q566&lt;0,1,ROUNDUP(IF(Q566*('Draft Center'!$L$28+'Draft Center'!$L$78-'Draft Center'!$L$82)&lt;1,1,Q566*('Draft Center'!$L$28+'Draft Center'!$L$78-'Draft Center'!$L$82)),0)))</f>
        <v>1</v>
      </c>
      <c r="S566" s="11">
        <f>IF(A566&lt;Input!$B$10+0.1,IF(ROUNDUP(R566*Input!$C$10,0)=0,1,ROUNDUP(R566*Input!$C$10,0)),IF(A566&gt;Input!$B$11,IF(ROUNDUP(R566*Input!$C$11,0)=0,1,ROUNDUP(R566*Input!$C$11,0)),IF(ROUNDUP(R566,0)=0,1,ROUNDUP(R566,0))))</f>
        <v>1</v>
      </c>
      <c r="T566" s="11">
        <f t="shared" si="119"/>
        <v>1</v>
      </c>
      <c r="U566" s="11">
        <f>IFERROR(VLOOKUP($B566,Input!$AC$2:$AE$161,3,0),0)</f>
        <v>0</v>
      </c>
      <c r="V566" s="257">
        <f t="shared" si="120"/>
        <v>0</v>
      </c>
      <c r="W566" s="264">
        <f t="shared" si="121"/>
        <v>1.00566</v>
      </c>
      <c r="X566" s="68"/>
      <c r="Y566" s="68"/>
      <c r="Z566" s="68"/>
      <c r="AA566" s="68"/>
      <c r="AB566" s="68"/>
      <c r="AC566" s="68"/>
      <c r="AD566" s="68"/>
      <c r="AE566" s="68"/>
      <c r="AF566" s="68"/>
      <c r="AG566" s="68"/>
      <c r="AH566" s="68"/>
      <c r="AI566" s="68"/>
      <c r="AJ566" s="68">
        <v>1</v>
      </c>
      <c r="AL566" s="68">
        <v>1</v>
      </c>
      <c r="AM566" s="68"/>
      <c r="AN566" s="68"/>
      <c r="AO566" s="68"/>
      <c r="AQ566" s="68"/>
      <c r="AR566" s="68"/>
      <c r="AS566" s="68"/>
      <c r="AT566" s="68"/>
      <c r="AU566" s="68"/>
      <c r="AV566" s="68"/>
      <c r="AW566" s="68"/>
      <c r="AX566" s="68"/>
      <c r="AY566" s="68"/>
      <c r="AZ566" s="68"/>
      <c r="BB566" s="68"/>
      <c r="BC566" s="68"/>
      <c r="BJ566" s="68"/>
      <c r="BT566">
        <v>1</v>
      </c>
      <c r="BV566">
        <v>1</v>
      </c>
      <c r="BX566" s="68"/>
      <c r="BY566" s="68">
        <v>1</v>
      </c>
      <c r="BZ566" s="68">
        <v>0</v>
      </c>
      <c r="CA566" s="68">
        <v>0</v>
      </c>
      <c r="CB566" s="68">
        <v>0</v>
      </c>
      <c r="CC566" s="68">
        <f t="shared" si="122"/>
        <v>0</v>
      </c>
      <c r="CD566" s="68">
        <f t="shared" si="123"/>
        <v>0</v>
      </c>
    </row>
    <row r="567" spans="1:82" ht="15.75" customHeight="1" thickBot="1" x14ac:dyDescent="0.3">
      <c r="A567" s="6">
        <v>566</v>
      </c>
      <c r="B567" s="7" t="s">
        <v>1001</v>
      </c>
      <c r="C567" s="7" t="s">
        <v>29</v>
      </c>
      <c r="D567" s="7" t="s">
        <v>19</v>
      </c>
      <c r="E567" s="50">
        <v>-165.50303249564899</v>
      </c>
      <c r="F567" s="50">
        <v>3.5993655303030301</v>
      </c>
      <c r="G567" s="50">
        <v>5.4859499999999999</v>
      </c>
      <c r="H567" s="50">
        <v>-0.11</v>
      </c>
      <c r="I567" s="8" t="s">
        <v>1057</v>
      </c>
      <c r="J567" s="50">
        <v>2.9171342313021502</v>
      </c>
      <c r="K567" s="248">
        <f>IFERROR(VLOOKUP(C567,Schedule!$T$3:$U$34,2,0),"FA")</f>
        <v>8</v>
      </c>
      <c r="L567" s="7" t="str">
        <f>D567&amp;COUNTIF(D$2:$D567,D567)</f>
        <v>RB163</v>
      </c>
      <c r="M567" s="50">
        <f t="array" ref="M567">IFERROR(F567-AVERAGE(VLOOKUP(D567,$D568:$F$885,3,0),INDEX($F568:$F$885,SMALL(IF(D567=$D568:$D$885,ROW($D568:$D$885)-ROW(D567)),2))),0)</f>
        <v>0.23528866918096503</v>
      </c>
      <c r="N567" s="50">
        <f>IFERROR(IF(VLOOKUP($B567,Input!$AC$2:$AC$162,1,0)=$B567,0),F567)</f>
        <v>3.5993655303030301</v>
      </c>
      <c r="O567" s="50">
        <f>IFERROR(IF(VLOOKUP($B567,Input!$AC$2:$AC$162,1,0)=$B567,0,G567),G567)</f>
        <v>5.4859499999999999</v>
      </c>
      <c r="P567" s="50">
        <f>IF(N567=0,0,F567-AVERAGE(INDEX(F:F,MATCH(VLOOKUP(D567,Input!$A$14:$L$22,10,0),L:L,0)),INDEX(F:F,MATCH(VLOOKUP(D567,Input!$A$14:$L$22,11,0),L:L,0)),INDEX(F:F,MATCH(VLOOKUP(D567,Input!$A$14:$L$22,12,0),L:L,0)))+(0.01-ROW()*0.01))</f>
        <v>-171.16303249564896</v>
      </c>
      <c r="Q567" s="106">
        <f t="shared" si="118"/>
        <v>-5.9050037959035948E-2</v>
      </c>
      <c r="R567" s="8">
        <f>IF(VLOOKUP($D567,$X$14:$Y$19,2,0)&lt;=0,1,IF(Q567&lt;0,1,ROUNDUP(IF(Q567*('Draft Center'!$L$28+'Draft Center'!$L$78-'Draft Center'!$L$82)&lt;1,1,Q567*('Draft Center'!$L$28+'Draft Center'!$L$78-'Draft Center'!$L$82)),0)))</f>
        <v>1</v>
      </c>
      <c r="S567" s="8">
        <f>IF(A567&lt;Input!$B$10+0.1,IF(ROUNDUP(R567*Input!$C$10,0)=0,1,ROUNDUP(R567*Input!$C$10,0)),IF(A567&gt;Input!$B$11,IF(ROUNDUP(R567*Input!$C$11,0)=0,1,ROUNDUP(R567*Input!$C$11,0)),IF(ROUNDUP(R567,0)=0,1,ROUNDUP(R567,0))))</f>
        <v>1</v>
      </c>
      <c r="T567" s="8">
        <f t="shared" si="119"/>
        <v>1</v>
      </c>
      <c r="U567" s="8">
        <f>IFERROR(VLOOKUP($B567,Input!$AC$2:$AE$161,3,0),0)</f>
        <v>0</v>
      </c>
      <c r="V567" s="256">
        <f t="shared" si="120"/>
        <v>0</v>
      </c>
      <c r="W567" s="263">
        <f t="shared" si="121"/>
        <v>0</v>
      </c>
      <c r="X567" s="68"/>
      <c r="Y567" s="68"/>
      <c r="Z567" s="68"/>
      <c r="AA567" s="68"/>
      <c r="AB567" s="68"/>
      <c r="AC567" s="68"/>
      <c r="AD567" s="68"/>
      <c r="AE567" s="68"/>
      <c r="AF567" s="68"/>
      <c r="AG567" s="68"/>
      <c r="AH567" s="68"/>
      <c r="AI567" s="68"/>
      <c r="AJ567" s="68">
        <v>1</v>
      </c>
      <c r="AL567" s="68">
        <v>1</v>
      </c>
      <c r="AM567" s="68"/>
      <c r="AN567" s="68"/>
      <c r="AO567" s="68"/>
      <c r="AQ567" s="68"/>
      <c r="AR567" s="68"/>
      <c r="AS567" s="68"/>
      <c r="AT567" s="68"/>
      <c r="AU567" s="68"/>
      <c r="AV567" s="68"/>
      <c r="AW567" s="68"/>
      <c r="AX567" s="68"/>
      <c r="AY567" s="68"/>
      <c r="AZ567" s="68"/>
      <c r="BB567" s="68"/>
      <c r="BC567" s="68"/>
      <c r="BJ567" s="68"/>
      <c r="BT567">
        <v>1</v>
      </c>
      <c r="BV567">
        <v>1</v>
      </c>
      <c r="BX567" s="68"/>
      <c r="BY567" s="68">
        <v>1</v>
      </c>
      <c r="BZ567" s="68" t="s">
        <v>1057</v>
      </c>
      <c r="CA567" s="68" t="s">
        <v>1057</v>
      </c>
      <c r="CB567" s="68" t="s">
        <v>1057</v>
      </c>
      <c r="CC567" s="68" t="e">
        <f t="shared" si="122"/>
        <v>#DIV/0!</v>
      </c>
      <c r="CD567" s="68" t="str">
        <f t="shared" si="123"/>
        <v>NA</v>
      </c>
    </row>
    <row r="568" spans="1:82" ht="15.75" customHeight="1" thickBot="1" x14ac:dyDescent="0.3">
      <c r="A568" s="9">
        <v>567</v>
      </c>
      <c r="B568" s="10" t="s">
        <v>825</v>
      </c>
      <c r="C568" s="10" t="s">
        <v>16</v>
      </c>
      <c r="D568" s="10" t="s">
        <v>19</v>
      </c>
      <c r="E568" s="51">
        <v>-165.65651731765701</v>
      </c>
      <c r="F568" s="51">
        <v>3.4458807082945002</v>
      </c>
      <c r="G568" s="51">
        <v>7.00543768996961</v>
      </c>
      <c r="H568" s="51">
        <v>0</v>
      </c>
      <c r="I568" s="11" t="s">
        <v>1057</v>
      </c>
      <c r="J568" s="51">
        <v>3.2608406729879902</v>
      </c>
      <c r="K568" s="249">
        <f>IFERROR(VLOOKUP(C568,Schedule!$T$3:$U$34,2,0),"FA")</f>
        <v>9</v>
      </c>
      <c r="L568" s="10" t="str">
        <f>D568&amp;COUNTIF(D$2:$D568,D568)</f>
        <v>RB164</v>
      </c>
      <c r="M568" s="51">
        <f t="array" ref="M568">IFERROR(F568-AVERAGE(VLOOKUP(D568,$D569:$F$885,3,0),INDEX($F569:$F$885,SMALL(IF(D568=$D569:$D$885,ROW($D569:$D$885)-ROW(D568)),2))),0)</f>
        <v>0.19241136328105046</v>
      </c>
      <c r="N568" s="51">
        <f>IFERROR(IF(VLOOKUP($B568,Input!$AC$2:$AC$162,1,0)=$B568,0),F568)</f>
        <v>3.4458807082945002</v>
      </c>
      <c r="O568" s="51">
        <f>IFERROR(IF(VLOOKUP($B568,Input!$AC$2:$AC$162,1,0)=$B568,0,G568),G568)</f>
        <v>7.00543768996961</v>
      </c>
      <c r="P568" s="51">
        <f>IF(N568=0,0,F568-AVERAGE(INDEX(F:F,MATCH(VLOOKUP(D568,Input!$A$14:$L$22,10,0),L:L,0)),INDEX(F:F,MATCH(VLOOKUP(D568,Input!$A$14:$L$22,11,0),L:L,0)),INDEX(F:F,MATCH(VLOOKUP(D568,Input!$A$14:$L$22,12,0),L:L,0)))+(0.01-ROW()*0.01))</f>
        <v>-171.32651731765748</v>
      </c>
      <c r="Q568" s="107">
        <f t="shared" si="118"/>
        <v>-5.9106439068577953E-2</v>
      </c>
      <c r="R568" s="11">
        <f>IF(VLOOKUP($D568,$X$14:$Y$19,2,0)&lt;=0,1,IF(Q568&lt;0,1,ROUNDUP(IF(Q568*('Draft Center'!$L$28+'Draft Center'!$L$78-'Draft Center'!$L$82)&lt;1,1,Q568*('Draft Center'!$L$28+'Draft Center'!$L$78-'Draft Center'!$L$82)),0)))</f>
        <v>1</v>
      </c>
      <c r="S568" s="11">
        <f>IF(A568&lt;Input!$B$10+0.1,IF(ROUNDUP(R568*Input!$C$10,0)=0,1,ROUNDUP(R568*Input!$C$10,0)),IF(A568&gt;Input!$B$11,IF(ROUNDUP(R568*Input!$C$11,0)=0,1,ROUNDUP(R568*Input!$C$11,0)),IF(ROUNDUP(R568,0)=0,1,ROUNDUP(R568,0))))</f>
        <v>1</v>
      </c>
      <c r="T568" s="11">
        <f t="shared" si="119"/>
        <v>1</v>
      </c>
      <c r="U568" s="11">
        <f>IFERROR(VLOOKUP($B568,Input!$AC$2:$AE$161,3,0),0)</f>
        <v>0</v>
      </c>
      <c r="V568" s="257">
        <f t="shared" si="120"/>
        <v>0</v>
      </c>
      <c r="W568" s="264">
        <f t="shared" si="121"/>
        <v>0</v>
      </c>
      <c r="X568" s="68"/>
      <c r="Y568" s="68"/>
      <c r="Z568" s="68"/>
      <c r="AA568" s="68"/>
      <c r="AB568" s="68"/>
      <c r="AC568" s="68"/>
      <c r="AD568" s="68"/>
      <c r="AE568" s="68"/>
      <c r="AF568" s="68"/>
      <c r="AG568" s="68"/>
      <c r="AH568" s="68"/>
      <c r="AI568" s="68"/>
      <c r="AJ568" s="68">
        <v>1</v>
      </c>
      <c r="AL568" s="68">
        <v>1</v>
      </c>
      <c r="AM568" s="68"/>
      <c r="AN568" s="68"/>
      <c r="AO568" s="68"/>
      <c r="AQ568" s="68"/>
      <c r="AR568" s="68"/>
      <c r="AS568" s="68"/>
      <c r="AT568" s="68"/>
      <c r="AU568" s="68"/>
      <c r="AV568" s="68"/>
      <c r="AW568" s="68"/>
      <c r="AX568" s="68"/>
      <c r="AY568" s="68"/>
      <c r="AZ568" s="68"/>
      <c r="BB568" s="68"/>
      <c r="BC568" s="68"/>
      <c r="BJ568" s="68"/>
      <c r="BT568">
        <v>1</v>
      </c>
      <c r="BV568">
        <v>1</v>
      </c>
      <c r="BX568" s="68"/>
      <c r="BY568" s="68">
        <v>1</v>
      </c>
      <c r="BZ568" s="68" t="s">
        <v>1057</v>
      </c>
      <c r="CA568" s="68" t="s">
        <v>1057</v>
      </c>
      <c r="CB568" s="68" t="s">
        <v>1057</v>
      </c>
      <c r="CC568" s="68" t="e">
        <f t="shared" si="122"/>
        <v>#DIV/0!</v>
      </c>
      <c r="CD568" s="68" t="str">
        <f t="shared" si="123"/>
        <v>NA</v>
      </c>
    </row>
    <row r="569" spans="1:82" ht="15.75" customHeight="1" thickBot="1" x14ac:dyDescent="0.3">
      <c r="A569" s="6">
        <v>568</v>
      </c>
      <c r="B569" s="7" t="s">
        <v>997</v>
      </c>
      <c r="C569" s="7" t="s">
        <v>925</v>
      </c>
      <c r="D569" s="7" t="s">
        <v>19</v>
      </c>
      <c r="E569" s="50">
        <v>-165.82012501200199</v>
      </c>
      <c r="F569" s="50">
        <v>3.2822730139496299</v>
      </c>
      <c r="G569" s="50">
        <v>7.6810856829679803</v>
      </c>
      <c r="H569" s="50">
        <v>-5.3332003779002497E-2</v>
      </c>
      <c r="I569" s="8" t="s">
        <v>1057</v>
      </c>
      <c r="J569" s="50">
        <v>3.3317710815605399</v>
      </c>
      <c r="K569" s="248">
        <f>IFERROR(VLOOKUP(C569,Schedule!$T$3:$U$34,2,0),"FA")</f>
        <v>8</v>
      </c>
      <c r="L569" s="7" t="str">
        <f>D569&amp;COUNTIF(D$2:$D569,D569)</f>
        <v>RB165</v>
      </c>
      <c r="M569" s="50">
        <f t="array" ref="M569">IFERROR(F569-AVERAGE(VLOOKUP(D569,$D570:$F$885,3,0),INDEX($F570:$F$885,SMALL(IF(D569=$D570:$D$885,ROW($D570:$D$885)-ROW(D569)),2))),0)</f>
        <v>8.4485630456449634E-2</v>
      </c>
      <c r="N569" s="50">
        <f>IFERROR(IF(VLOOKUP($B569,Input!$AC$2:$AC$162,1,0)=$B569,0),F569)</f>
        <v>3.2822730139496299</v>
      </c>
      <c r="O569" s="50">
        <f>IFERROR(IF(VLOOKUP($B569,Input!$AC$2:$AC$162,1,0)=$B569,0,G569),G569)</f>
        <v>7.6810856829679803</v>
      </c>
      <c r="P569" s="50">
        <f>IF(N569=0,0,F569-AVERAGE(INDEX(F:F,MATCH(VLOOKUP(D569,Input!$A$14:$L$22,10,0),L:L,0)),INDEX(F:F,MATCH(VLOOKUP(D569,Input!$A$14:$L$22,11,0),L:L,0)),INDEX(F:F,MATCH(VLOOKUP(D569,Input!$A$14:$L$22,12,0),L:L,0)))+(0.01-ROW()*0.01))</f>
        <v>-171.50012501200237</v>
      </c>
      <c r="Q569" s="106">
        <f t="shared" si="118"/>
        <v>-5.9166332497617935E-2</v>
      </c>
      <c r="R569" s="8">
        <f>IF(VLOOKUP($D569,$X$14:$Y$19,2,0)&lt;=0,1,IF(Q569&lt;0,1,ROUNDUP(IF(Q569*('Draft Center'!$L$28+'Draft Center'!$L$78-'Draft Center'!$L$82)&lt;1,1,Q569*('Draft Center'!$L$28+'Draft Center'!$L$78-'Draft Center'!$L$82)),0)))</f>
        <v>1</v>
      </c>
      <c r="S569" s="8">
        <f>IF(A569&lt;Input!$B$10+0.1,IF(ROUNDUP(R569*Input!$C$10,0)=0,1,ROUNDUP(R569*Input!$C$10,0)),IF(A569&gt;Input!$B$11,IF(ROUNDUP(R569*Input!$C$11,0)=0,1,ROUNDUP(R569*Input!$C$11,0)),IF(ROUNDUP(R569,0)=0,1,ROUNDUP(R569,0))))</f>
        <v>1</v>
      </c>
      <c r="T569" s="8">
        <f t="shared" si="119"/>
        <v>1</v>
      </c>
      <c r="U569" s="8">
        <f>IFERROR(VLOOKUP($B569,Input!$AC$2:$AE$161,3,0),0)</f>
        <v>0</v>
      </c>
      <c r="V569" s="256">
        <f t="shared" si="120"/>
        <v>0</v>
      </c>
      <c r="W569" s="263">
        <f t="shared" si="121"/>
        <v>0</v>
      </c>
      <c r="X569" s="68"/>
      <c r="Y569" s="68"/>
      <c r="Z569" s="68"/>
      <c r="AA569" s="68"/>
      <c r="AB569" s="68"/>
      <c r="AC569" s="68"/>
      <c r="AD569" s="68"/>
      <c r="AE569" s="68"/>
      <c r="AF569" s="68"/>
      <c r="AG569" s="68"/>
      <c r="AH569" s="68"/>
      <c r="AI569" s="68"/>
      <c r="AJ569" s="68">
        <v>1</v>
      </c>
      <c r="AL569" s="68">
        <v>1</v>
      </c>
      <c r="AM569" s="68"/>
      <c r="AN569" s="68"/>
      <c r="AO569" s="68"/>
      <c r="AQ569" s="68"/>
      <c r="AR569" s="68"/>
      <c r="AS569" s="68"/>
      <c r="AT569" s="68"/>
      <c r="AU569" s="68"/>
      <c r="AV569" s="68"/>
      <c r="AW569" s="68"/>
      <c r="AX569" s="68"/>
      <c r="AY569" s="68"/>
      <c r="AZ569" s="68"/>
      <c r="BB569" s="68"/>
      <c r="BC569" s="68"/>
      <c r="BJ569" s="68"/>
      <c r="BT569">
        <v>1</v>
      </c>
      <c r="BV569">
        <v>1</v>
      </c>
      <c r="BX569" s="68"/>
      <c r="BY569" s="68">
        <v>1</v>
      </c>
      <c r="BZ569" s="68" t="s">
        <v>1057</v>
      </c>
      <c r="CA569" s="68" t="s">
        <v>1057</v>
      </c>
      <c r="CB569" s="68" t="s">
        <v>1057</v>
      </c>
      <c r="CC569" s="68" t="e">
        <f t="shared" si="122"/>
        <v>#DIV/0!</v>
      </c>
      <c r="CD569" s="68" t="str">
        <f t="shared" si="123"/>
        <v>NA</v>
      </c>
    </row>
    <row r="570" spans="1:82" ht="15.75" customHeight="1" thickBot="1" x14ac:dyDescent="0.3">
      <c r="A570" s="9">
        <v>569</v>
      </c>
      <c r="B570" s="10" t="s">
        <v>394</v>
      </c>
      <c r="C570" s="10" t="s">
        <v>27</v>
      </c>
      <c r="D570" s="10" t="s">
        <v>19</v>
      </c>
      <c r="E570" s="51">
        <v>-165.877732349875</v>
      </c>
      <c r="F570" s="51">
        <v>3.2246656760772701</v>
      </c>
      <c r="G570" s="51">
        <v>5.0533428072842899</v>
      </c>
      <c r="H570" s="51">
        <v>-0.2</v>
      </c>
      <c r="I570" s="11" t="s">
        <v>1057</v>
      </c>
      <c r="J570" s="51">
        <v>2.9710697154520398</v>
      </c>
      <c r="K570" s="249">
        <f>IFERROR(VLOOKUP(C570,Schedule!$T$3:$U$34,2,0),"FA")</f>
        <v>8</v>
      </c>
      <c r="L570" s="10" t="str">
        <f>D570&amp;COUNTIF(D$2:$D570,D570)</f>
        <v>RB166</v>
      </c>
      <c r="M570" s="51">
        <f t="array" ref="M570">IFERROR(F570-AVERAGE(VLOOKUP(D570,$D571:$F$885,3,0),INDEX($F571:$F$885,SMALL(IF(D570=$D571:$D$885,ROW($D571:$D$885)-ROW(D570)),2))),0)</f>
        <v>0.11988718415525002</v>
      </c>
      <c r="N570" s="51">
        <f>IFERROR(IF(VLOOKUP($B570,Input!$AC$2:$AC$162,1,0)=$B570,0),F570)</f>
        <v>3.2246656760772701</v>
      </c>
      <c r="O570" s="51">
        <f>IFERROR(IF(VLOOKUP($B570,Input!$AC$2:$AC$162,1,0)=$B570,0,G570),G570)</f>
        <v>5.0533428072842899</v>
      </c>
      <c r="P570" s="51">
        <f>IF(N570=0,0,F570-AVERAGE(INDEX(F:F,MATCH(VLOOKUP(D570,Input!$A$14:$L$22,10,0),L:L,0)),INDEX(F:F,MATCH(VLOOKUP(D570,Input!$A$14:$L$22,11,0),L:L,0)),INDEX(F:F,MATCH(VLOOKUP(D570,Input!$A$14:$L$22,12,0),L:L,0)))+(0.01-ROW()*0.01))</f>
        <v>-171.56773234987472</v>
      </c>
      <c r="Q570" s="107">
        <f t="shared" si="118"/>
        <v>-5.9189656551938911E-2</v>
      </c>
      <c r="R570" s="11">
        <f>IF(VLOOKUP($D570,$X$14:$Y$19,2,0)&lt;=0,1,IF(Q570&lt;0,1,ROUNDUP(IF(Q570*('Draft Center'!$L$28+'Draft Center'!$L$78-'Draft Center'!$L$82)&lt;1,1,Q570*('Draft Center'!$L$28+'Draft Center'!$L$78-'Draft Center'!$L$82)),0)))</f>
        <v>1</v>
      </c>
      <c r="S570" s="11">
        <f>IF(A570&lt;Input!$B$10+0.1,IF(ROUNDUP(R570*Input!$C$10,0)=0,1,ROUNDUP(R570*Input!$C$10,0)),IF(A570&gt;Input!$B$11,IF(ROUNDUP(R570*Input!$C$11,0)=0,1,ROUNDUP(R570*Input!$C$11,0)),IF(ROUNDUP(R570,0)=0,1,ROUNDUP(R570,0))))</f>
        <v>1</v>
      </c>
      <c r="T570" s="11">
        <f t="shared" si="119"/>
        <v>1</v>
      </c>
      <c r="U570" s="11">
        <f>IFERROR(VLOOKUP($B570,Input!$AC$2:$AE$161,3,0),0)</f>
        <v>0</v>
      </c>
      <c r="V570" s="257">
        <f t="shared" si="120"/>
        <v>0</v>
      </c>
      <c r="W570" s="264">
        <f t="shared" si="121"/>
        <v>0</v>
      </c>
      <c r="X570" s="68"/>
      <c r="Y570" s="68"/>
      <c r="Z570" s="68"/>
      <c r="AA570" s="68"/>
      <c r="AB570" s="68"/>
      <c r="AC570" s="68"/>
      <c r="AD570" s="68"/>
      <c r="AE570" s="68"/>
      <c r="AF570" s="68"/>
      <c r="AG570" s="68"/>
      <c r="AH570" s="68"/>
      <c r="AI570" s="68"/>
      <c r="AJ570" s="68">
        <v>1</v>
      </c>
      <c r="AL570" s="68">
        <v>1</v>
      </c>
      <c r="AM570" s="68"/>
      <c r="AN570" s="68"/>
      <c r="AO570" s="68"/>
      <c r="AQ570" s="68"/>
      <c r="AR570" s="68"/>
      <c r="AS570" s="68"/>
      <c r="AT570" s="68"/>
      <c r="AU570" s="68"/>
      <c r="AV570" s="68"/>
      <c r="AW570" s="68"/>
      <c r="AX570" s="68"/>
      <c r="AY570" s="68"/>
      <c r="AZ570" s="68"/>
      <c r="BB570" s="68"/>
      <c r="BC570" s="68"/>
      <c r="BJ570" s="68"/>
      <c r="BT570">
        <v>1</v>
      </c>
      <c r="BV570">
        <v>1</v>
      </c>
      <c r="BX570" s="68"/>
      <c r="BY570" s="68">
        <v>1</v>
      </c>
      <c r="BZ570" s="68" t="s">
        <v>1057</v>
      </c>
      <c r="CA570" s="68" t="s">
        <v>1057</v>
      </c>
      <c r="CB570" s="68" t="s">
        <v>1057</v>
      </c>
      <c r="CC570" s="68" t="e">
        <f t="shared" si="122"/>
        <v>#DIV/0!</v>
      </c>
      <c r="CD570" s="68" t="str">
        <f t="shared" si="123"/>
        <v>NA</v>
      </c>
    </row>
    <row r="571" spans="1:82" ht="15.75" customHeight="1" thickBot="1" x14ac:dyDescent="0.3">
      <c r="A571" s="6">
        <v>570</v>
      </c>
      <c r="B571" s="7" t="s">
        <v>162</v>
      </c>
      <c r="C571" s="7" t="s">
        <v>33</v>
      </c>
      <c r="D571" s="7" t="s">
        <v>19</v>
      </c>
      <c r="E571" s="50">
        <v>-165.93148893504301</v>
      </c>
      <c r="F571" s="50">
        <v>3.17090909090909</v>
      </c>
      <c r="G571" s="50">
        <v>6.5061890116764003</v>
      </c>
      <c r="H571" s="50">
        <v>0</v>
      </c>
      <c r="I571" s="8">
        <v>0</v>
      </c>
      <c r="J571" s="50">
        <v>8.3324229574574797</v>
      </c>
      <c r="K571" s="248">
        <f>IFERROR(VLOOKUP(C571,Schedule!$T$3:$U$34,2,0),"FA")</f>
        <v>9</v>
      </c>
      <c r="L571" s="7" t="str">
        <f>D571&amp;COUNTIF(D$2:$D571,D571)</f>
        <v>RB167</v>
      </c>
      <c r="M571" s="50">
        <f t="array" ref="M571">IFERROR(F571-AVERAGE(VLOOKUP(D571,$D572:$F$885,3,0),INDEX($F572:$F$885,SMALL(IF(D571=$D572:$D$885,ROW($D572:$D$885)-ROW(D571)),2))),0)</f>
        <v>0.14889697239860489</v>
      </c>
      <c r="N571" s="50">
        <f>IFERROR(IF(VLOOKUP($B571,Input!$AC$2:$AC$162,1,0)=$B571,0),F571)</f>
        <v>3.17090909090909</v>
      </c>
      <c r="O571" s="50">
        <f>IFERROR(IF(VLOOKUP($B571,Input!$AC$2:$AC$162,1,0)=$B571,0,G571),G571)</f>
        <v>6.5061890116764003</v>
      </c>
      <c r="P571" s="50">
        <f>IF(N571=0,0,F571-AVERAGE(INDEX(F:F,MATCH(VLOOKUP(D571,Input!$A$14:$L$22,10,0),L:L,0)),INDEX(F:F,MATCH(VLOOKUP(D571,Input!$A$14:$L$22,11,0),L:L,0)),INDEX(F:F,MATCH(VLOOKUP(D571,Input!$A$14:$L$22,12,0),L:L,0)))+(0.01-ROW()*0.01))</f>
        <v>-171.63148893504291</v>
      </c>
      <c r="Q571" s="106">
        <f t="shared" si="118"/>
        <v>-5.9211652123759694E-2</v>
      </c>
      <c r="R571" s="8">
        <f>IF(VLOOKUP($D571,$X$14:$Y$19,2,0)&lt;=0,1,IF(Q571&lt;0,1,ROUNDUP(IF(Q571*('Draft Center'!$L$28+'Draft Center'!$L$78-'Draft Center'!$L$82)&lt;1,1,Q571*('Draft Center'!$L$28+'Draft Center'!$L$78-'Draft Center'!$L$82)),0)))</f>
        <v>1</v>
      </c>
      <c r="S571" s="8">
        <f>IF(A571&lt;Input!$B$10+0.1,IF(ROUNDUP(R571*Input!$C$10,0)=0,1,ROUNDUP(R571*Input!$C$10,0)),IF(A571&gt;Input!$B$11,IF(ROUNDUP(R571*Input!$C$11,0)=0,1,ROUNDUP(R571*Input!$C$11,0)),IF(ROUNDUP(R571,0)=0,1,ROUNDUP(R571,0))))</f>
        <v>1</v>
      </c>
      <c r="T571" s="8">
        <f t="shared" si="119"/>
        <v>1</v>
      </c>
      <c r="U571" s="8">
        <f>IFERROR(VLOOKUP($B571,Input!$AC$2:$AE$161,3,0),0)</f>
        <v>0</v>
      </c>
      <c r="V571" s="256">
        <f t="shared" si="120"/>
        <v>0</v>
      </c>
      <c r="W571" s="263">
        <f t="shared" si="121"/>
        <v>1.0057100000000001</v>
      </c>
      <c r="X571" s="68"/>
      <c r="Y571" s="68"/>
      <c r="Z571" s="68"/>
      <c r="AA571" s="68"/>
      <c r="AB571" s="68"/>
      <c r="AC571" s="68"/>
      <c r="AD571" s="68"/>
      <c r="AE571" s="68"/>
      <c r="AF571" s="68"/>
      <c r="AG571" s="68"/>
      <c r="AH571" s="68"/>
      <c r="AI571" s="68"/>
      <c r="AJ571" s="68">
        <v>1</v>
      </c>
      <c r="AL571" s="68">
        <v>1</v>
      </c>
      <c r="AM571" s="68"/>
      <c r="AN571" s="68"/>
      <c r="AO571" s="68"/>
      <c r="AQ571" s="68"/>
      <c r="AR571" s="68"/>
      <c r="AS571" s="68"/>
      <c r="AT571" s="68"/>
      <c r="AU571" s="68"/>
      <c r="AV571" s="68"/>
      <c r="AW571" s="68"/>
      <c r="AX571" s="68"/>
      <c r="AY571" s="68"/>
      <c r="AZ571" s="68"/>
      <c r="BB571" s="68"/>
      <c r="BC571" s="68"/>
      <c r="BJ571" s="68"/>
      <c r="BT571">
        <v>1</v>
      </c>
      <c r="BV571">
        <v>1</v>
      </c>
      <c r="BX571" s="68"/>
      <c r="BY571" s="68">
        <v>1</v>
      </c>
      <c r="BZ571" s="68">
        <v>0</v>
      </c>
      <c r="CA571" s="68">
        <v>0</v>
      </c>
      <c r="CB571" s="68">
        <v>0</v>
      </c>
      <c r="CC571" s="68">
        <f t="shared" si="122"/>
        <v>0</v>
      </c>
      <c r="CD571" s="68">
        <f t="shared" si="123"/>
        <v>0</v>
      </c>
    </row>
    <row r="572" spans="1:82" ht="15.75" customHeight="1" thickBot="1" x14ac:dyDescent="0.3">
      <c r="A572" s="9">
        <v>571</v>
      </c>
      <c r="B572" s="10" t="s">
        <v>994</v>
      </c>
      <c r="C572" s="10" t="s">
        <v>52</v>
      </c>
      <c r="D572" s="10" t="s">
        <v>19</v>
      </c>
      <c r="E572" s="51">
        <v>-166.06375013301701</v>
      </c>
      <c r="F572" s="51">
        <v>3.0386478929349501</v>
      </c>
      <c r="G572" s="51">
        <v>4.9848527131782996</v>
      </c>
      <c r="H572" s="51">
        <v>-6.8521630874572095E-2</v>
      </c>
      <c r="I572" s="11" t="s">
        <v>1057</v>
      </c>
      <c r="J572" s="51">
        <v>2.7482694043658702</v>
      </c>
      <c r="K572" s="249">
        <f>IFERROR(VLOOKUP(C572,Schedule!$T$3:$U$34,2,0),"FA")</f>
        <v>11</v>
      </c>
      <c r="L572" s="10" t="str">
        <f>D572&amp;COUNTIF(D$2:$D572,D572)</f>
        <v>RB168</v>
      </c>
      <c r="M572" s="51">
        <f t="array" ref="M572">IFERROR(F572-AVERAGE(VLOOKUP(D572,$D573:$F$885,3,0),INDEX($F573:$F$885,SMALL(IF(D572=$D573:$D$885,ROW($D573:$D$885)-ROW(D572)),2))),0)</f>
        <v>8.0507045994820281E-2</v>
      </c>
      <c r="N572" s="51">
        <f>IFERROR(IF(VLOOKUP($B572,Input!$AC$2:$AC$162,1,0)=$B572,0),F572)</f>
        <v>3.0386478929349501</v>
      </c>
      <c r="O572" s="51">
        <f>IFERROR(IF(VLOOKUP($B572,Input!$AC$2:$AC$162,1,0)=$B572,0,G572),G572)</f>
        <v>4.9848527131782996</v>
      </c>
      <c r="P572" s="51">
        <f>IF(N572=0,0,F572-AVERAGE(INDEX(F:F,MATCH(VLOOKUP(D572,Input!$A$14:$L$22,10,0),L:L,0)),INDEX(F:F,MATCH(VLOOKUP(D572,Input!$A$14:$L$22,11,0),L:L,0)),INDEX(F:F,MATCH(VLOOKUP(D572,Input!$A$14:$L$22,12,0),L:L,0)))+(0.01-ROW()*0.01))</f>
        <v>-171.77375013301705</v>
      </c>
      <c r="Q572" s="107">
        <f t="shared" si="118"/>
        <v>-5.9260731232828899E-2</v>
      </c>
      <c r="R572" s="11">
        <f>IF(VLOOKUP($D572,$X$14:$Y$19,2,0)&lt;=0,1,IF(Q572&lt;0,1,ROUNDUP(IF(Q572*('Draft Center'!$L$28+'Draft Center'!$L$78-'Draft Center'!$L$82)&lt;1,1,Q572*('Draft Center'!$L$28+'Draft Center'!$L$78-'Draft Center'!$L$82)),0)))</f>
        <v>1</v>
      </c>
      <c r="S572" s="11">
        <f>IF(A572&lt;Input!$B$10+0.1,IF(ROUNDUP(R572*Input!$C$10,0)=0,1,ROUNDUP(R572*Input!$C$10,0)),IF(A572&gt;Input!$B$11,IF(ROUNDUP(R572*Input!$C$11,0)=0,1,ROUNDUP(R572*Input!$C$11,0)),IF(ROUNDUP(R572,0)=0,1,ROUNDUP(R572,0))))</f>
        <v>1</v>
      </c>
      <c r="T572" s="11">
        <f t="shared" si="119"/>
        <v>1</v>
      </c>
      <c r="U572" s="11">
        <f>IFERROR(VLOOKUP($B572,Input!$AC$2:$AE$161,3,0),0)</f>
        <v>0</v>
      </c>
      <c r="V572" s="257">
        <f t="shared" si="120"/>
        <v>0</v>
      </c>
      <c r="W572" s="264">
        <f t="shared" si="121"/>
        <v>0</v>
      </c>
      <c r="X572" s="68"/>
      <c r="Y572" s="68"/>
      <c r="Z572" s="68"/>
      <c r="AA572" s="68"/>
      <c r="AB572" s="68"/>
      <c r="AC572" s="68"/>
      <c r="AD572" s="68"/>
      <c r="AE572" s="68"/>
      <c r="AF572" s="68"/>
      <c r="AG572" s="68"/>
      <c r="AH572" s="68"/>
      <c r="AI572" s="68"/>
      <c r="AJ572" s="68">
        <v>1</v>
      </c>
      <c r="AL572" s="68">
        <v>1</v>
      </c>
      <c r="AM572" s="68"/>
      <c r="AN572" s="68"/>
      <c r="AO572" s="68"/>
      <c r="AQ572" s="68"/>
      <c r="AR572" s="68"/>
      <c r="AS572" s="68"/>
      <c r="AT572" s="68"/>
      <c r="AU572" s="68"/>
      <c r="AV572" s="68"/>
      <c r="AW572" s="68"/>
      <c r="AX572" s="68"/>
      <c r="AY572" s="68"/>
      <c r="AZ572" s="68"/>
      <c r="BB572" s="68"/>
      <c r="BC572" s="68"/>
      <c r="BJ572" s="68"/>
      <c r="BT572">
        <v>1</v>
      </c>
      <c r="BV572">
        <v>1</v>
      </c>
      <c r="BX572" s="68"/>
      <c r="BY572" s="68">
        <v>1</v>
      </c>
      <c r="BZ572" s="68" t="s">
        <v>1057</v>
      </c>
      <c r="CA572" s="68" t="s">
        <v>1057</v>
      </c>
      <c r="CB572" s="68" t="s">
        <v>1057</v>
      </c>
      <c r="CC572" s="68" t="e">
        <f t="shared" si="122"/>
        <v>#DIV/0!</v>
      </c>
      <c r="CD572" s="68" t="str">
        <f t="shared" si="123"/>
        <v>NA</v>
      </c>
    </row>
    <row r="573" spans="1:82" ht="15.75" customHeight="1" thickBot="1" x14ac:dyDescent="0.3">
      <c r="A573" s="6">
        <v>572</v>
      </c>
      <c r="B573" s="7" t="s">
        <v>386</v>
      </c>
      <c r="C573" s="7" t="s">
        <v>311</v>
      </c>
      <c r="D573" s="7" t="s">
        <v>19</v>
      </c>
      <c r="E573" s="50">
        <v>-166.09702168186601</v>
      </c>
      <c r="F573" s="50">
        <v>3.0053763440860202</v>
      </c>
      <c r="G573" s="50">
        <v>4.9051903600900202</v>
      </c>
      <c r="H573" s="50">
        <v>0</v>
      </c>
      <c r="I573" s="8" t="s">
        <v>1057</v>
      </c>
      <c r="J573" s="50">
        <v>2.9596244674636201</v>
      </c>
      <c r="K573" s="248" t="str">
        <f>IFERROR(VLOOKUP(C573,Schedule!$T$3:$U$34,2,0),"FA")</f>
        <v>FA</v>
      </c>
      <c r="L573" s="7" t="str">
        <f>D573&amp;COUNTIF(D$2:$D573,D573)</f>
        <v>RB169</v>
      </c>
      <c r="M573" s="50">
        <f t="array" ref="M573">IFERROR(F573-AVERAGE(VLOOKUP(D573,$D574:$F$885,3,0),INDEX($F574:$F$885,SMALL(IF(D573=$D574:$D$885,ROW($D574:$D$885)-ROW(D573)),2))),0)</f>
        <v>0.15347616495496519</v>
      </c>
      <c r="N573" s="50">
        <f>IFERROR(IF(VLOOKUP($B573,Input!$AC$2:$AC$162,1,0)=$B573,0),F573)</f>
        <v>3.0053763440860202</v>
      </c>
      <c r="O573" s="50">
        <f>IFERROR(IF(VLOOKUP($B573,Input!$AC$2:$AC$162,1,0)=$B573,0,G573),G573)</f>
        <v>4.9051903600900202</v>
      </c>
      <c r="P573" s="50">
        <f>IF(N573=0,0,F573-AVERAGE(INDEX(F:F,MATCH(VLOOKUP(D573,Input!$A$14:$L$22,10,0),L:L,0)),INDEX(F:F,MATCH(VLOOKUP(D573,Input!$A$14:$L$22,11,0),L:L,0)),INDEX(F:F,MATCH(VLOOKUP(D573,Input!$A$14:$L$22,12,0),L:L,0)))+(0.01-ROW()*0.01))</f>
        <v>-171.81702168186598</v>
      </c>
      <c r="Q573" s="106">
        <f t="shared" si="118"/>
        <v>-5.927565961172486E-2</v>
      </c>
      <c r="R573" s="8">
        <f>IF(VLOOKUP($D573,$X$14:$Y$19,2,0)&lt;=0,1,IF(Q573&lt;0,1,ROUNDUP(IF(Q573*('Draft Center'!$L$28+'Draft Center'!$L$78-'Draft Center'!$L$82)&lt;1,1,Q573*('Draft Center'!$L$28+'Draft Center'!$L$78-'Draft Center'!$L$82)),0)))</f>
        <v>1</v>
      </c>
      <c r="S573" s="8">
        <f>IF(A573&lt;Input!$B$10+0.1,IF(ROUNDUP(R573*Input!$C$10,0)=0,1,ROUNDUP(R573*Input!$C$10,0)),IF(A573&gt;Input!$B$11,IF(ROUNDUP(R573*Input!$C$11,0)=0,1,ROUNDUP(R573*Input!$C$11,0)),IF(ROUNDUP(R573,0)=0,1,ROUNDUP(R573,0))))</f>
        <v>1</v>
      </c>
      <c r="T573" s="8">
        <f t="shared" si="119"/>
        <v>1</v>
      </c>
      <c r="U573" s="8">
        <f>IFERROR(VLOOKUP($B573,Input!$AC$2:$AE$161,3,0),0)</f>
        <v>0</v>
      </c>
      <c r="V573" s="256">
        <f t="shared" si="120"/>
        <v>0</v>
      </c>
      <c r="W573" s="263">
        <f t="shared" si="121"/>
        <v>0</v>
      </c>
      <c r="X573" s="68"/>
      <c r="Y573" s="68"/>
      <c r="Z573" s="68"/>
      <c r="AA573" s="68"/>
      <c r="AB573" s="68"/>
      <c r="AC573" s="68"/>
      <c r="AD573" s="68"/>
      <c r="AE573" s="68"/>
      <c r="AF573" s="68"/>
      <c r="AG573" s="68"/>
      <c r="AH573" s="68"/>
      <c r="AI573" s="68"/>
      <c r="AJ573" s="68">
        <v>1</v>
      </c>
      <c r="AL573" s="68">
        <v>1</v>
      </c>
      <c r="AM573" s="68"/>
      <c r="AN573" s="68"/>
      <c r="AO573" s="68"/>
      <c r="AQ573" s="68"/>
      <c r="AR573" s="68"/>
      <c r="AS573" s="68"/>
      <c r="AT573" s="68"/>
      <c r="AU573" s="68"/>
      <c r="AV573" s="68"/>
      <c r="AW573" s="68"/>
      <c r="AX573" s="68"/>
      <c r="AY573" s="68"/>
      <c r="AZ573" s="68"/>
      <c r="BB573" s="68"/>
      <c r="BC573" s="68"/>
      <c r="BJ573" s="68"/>
      <c r="BT573">
        <v>1</v>
      </c>
      <c r="BV573">
        <v>1</v>
      </c>
      <c r="BX573" s="68"/>
      <c r="BY573" s="68">
        <v>1</v>
      </c>
      <c r="BZ573" s="68" t="s">
        <v>1057</v>
      </c>
      <c r="CA573" s="68" t="s">
        <v>1057</v>
      </c>
      <c r="CB573" s="68" t="s">
        <v>1057</v>
      </c>
      <c r="CC573" s="68" t="e">
        <f t="shared" si="122"/>
        <v>#DIV/0!</v>
      </c>
      <c r="CD573" s="68" t="str">
        <f t="shared" si="123"/>
        <v>NA</v>
      </c>
    </row>
    <row r="574" spans="1:82" ht="15.75" customHeight="1" thickBot="1" x14ac:dyDescent="0.3">
      <c r="A574" s="9">
        <v>573</v>
      </c>
      <c r="B574" s="10" t="s">
        <v>824</v>
      </c>
      <c r="C574" s="10" t="s">
        <v>35</v>
      </c>
      <c r="D574" s="10" t="s">
        <v>19</v>
      </c>
      <c r="E574" s="51">
        <v>-166.19149267615799</v>
      </c>
      <c r="F574" s="51">
        <v>2.9109053497942399</v>
      </c>
      <c r="G574" s="51">
        <v>4.5935009443756503</v>
      </c>
      <c r="H574" s="51">
        <v>0</v>
      </c>
      <c r="I574" s="11">
        <v>0</v>
      </c>
      <c r="J574" s="51">
        <v>5.9570368058120797</v>
      </c>
      <c r="K574" s="249">
        <f>IFERROR(VLOOKUP(C574,Schedule!$T$3:$U$34,2,0),"FA")</f>
        <v>6</v>
      </c>
      <c r="L574" s="10" t="str">
        <f>D574&amp;COUNTIF(D$2:$D574,D574)</f>
        <v>RB170</v>
      </c>
      <c r="M574" s="51">
        <f t="array" ref="M574">IFERROR(F574-AVERAGE(VLOOKUP(D574,$D575:$F$885,3,0),INDEX($F575:$F$885,SMALL(IF(D574=$D575:$D$885,ROW($D575:$D$885)-ROW(D574)),2))),0)</f>
        <v>0.15546824674901005</v>
      </c>
      <c r="N574" s="51">
        <f>IFERROR(IF(VLOOKUP($B574,Input!$AC$2:$AC$162,1,0)=$B574,0),F574)</f>
        <v>2.9109053497942399</v>
      </c>
      <c r="O574" s="51">
        <f>IFERROR(IF(VLOOKUP($B574,Input!$AC$2:$AC$162,1,0)=$B574,0,G574),G574)</f>
        <v>4.5935009443756503</v>
      </c>
      <c r="P574" s="51">
        <f>IF(N574=0,0,F574-AVERAGE(INDEX(F:F,MATCH(VLOOKUP(D574,Input!$A$14:$L$22,10,0),L:L,0)),INDEX(F:F,MATCH(VLOOKUP(D574,Input!$A$14:$L$22,11,0),L:L,0)),INDEX(F:F,MATCH(VLOOKUP(D574,Input!$A$14:$L$22,12,0),L:L,0)))+(0.01-ROW()*0.01))</f>
        <v>-171.92149267615775</v>
      </c>
      <c r="Q574" s="107">
        <f t="shared" si="118"/>
        <v>-5.9311701367287376E-2</v>
      </c>
      <c r="R574" s="11">
        <f>IF(VLOOKUP($D574,$X$14:$Y$19,2,0)&lt;=0,1,IF(Q574&lt;0,1,ROUNDUP(IF(Q574*('Draft Center'!$L$28+'Draft Center'!$L$78-'Draft Center'!$L$82)&lt;1,1,Q574*('Draft Center'!$L$28+'Draft Center'!$L$78-'Draft Center'!$L$82)),0)))</f>
        <v>1</v>
      </c>
      <c r="S574" s="11">
        <f>IF(A574&lt;Input!$B$10+0.1,IF(ROUNDUP(R574*Input!$C$10,0)=0,1,ROUNDUP(R574*Input!$C$10,0)),IF(A574&gt;Input!$B$11,IF(ROUNDUP(R574*Input!$C$11,0)=0,1,ROUNDUP(R574*Input!$C$11,0)),IF(ROUNDUP(R574,0)=0,1,ROUNDUP(R574,0))))</f>
        <v>1</v>
      </c>
      <c r="T574" s="11">
        <f t="shared" si="119"/>
        <v>1</v>
      </c>
      <c r="U574" s="11">
        <f>IFERROR(VLOOKUP($B574,Input!$AC$2:$AE$161,3,0),0)</f>
        <v>0</v>
      </c>
      <c r="V574" s="257">
        <f t="shared" si="120"/>
        <v>0</v>
      </c>
      <c r="W574" s="264">
        <f t="shared" si="121"/>
        <v>1.0057400000000001</v>
      </c>
      <c r="X574" s="68"/>
      <c r="Y574" s="68"/>
      <c r="Z574" s="68"/>
      <c r="AA574" s="68"/>
      <c r="AB574" s="68"/>
      <c r="AC574" s="68"/>
      <c r="AD574" s="68"/>
      <c r="AE574" s="68"/>
      <c r="AF574" s="68"/>
      <c r="AG574" s="68"/>
      <c r="AH574" s="68"/>
      <c r="AI574" s="68"/>
      <c r="AJ574" s="68">
        <v>1</v>
      </c>
      <c r="AL574" s="68">
        <v>1</v>
      </c>
      <c r="AM574" s="68"/>
      <c r="AN574" s="68"/>
      <c r="AO574" s="68"/>
      <c r="AQ574" s="68"/>
      <c r="AR574" s="68"/>
      <c r="AS574" s="68"/>
      <c r="AT574" s="68"/>
      <c r="AU574" s="68"/>
      <c r="AV574" s="68"/>
      <c r="AW574" s="68"/>
      <c r="AX574" s="68"/>
      <c r="AY574" s="68"/>
      <c r="AZ574" s="68"/>
      <c r="BB574" s="68"/>
      <c r="BC574" s="68"/>
      <c r="BJ574" s="68"/>
      <c r="BT574">
        <v>1</v>
      </c>
      <c r="BV574">
        <v>1</v>
      </c>
      <c r="BX574" s="68"/>
      <c r="BY574" s="68">
        <v>1</v>
      </c>
      <c r="BZ574" s="68">
        <v>0</v>
      </c>
      <c r="CA574" s="68">
        <v>0</v>
      </c>
      <c r="CB574" s="68">
        <v>0</v>
      </c>
      <c r="CC574" s="68">
        <f t="shared" si="122"/>
        <v>0</v>
      </c>
      <c r="CD574" s="68">
        <f t="shared" si="123"/>
        <v>0</v>
      </c>
    </row>
    <row r="575" spans="1:82" ht="15.75" customHeight="1" thickBot="1" x14ac:dyDescent="0.3">
      <c r="A575" s="6">
        <v>574</v>
      </c>
      <c r="B575" s="7" t="s">
        <v>419</v>
      </c>
      <c r="C575" s="7" t="s">
        <v>75</v>
      </c>
      <c r="D575" s="7" t="s">
        <v>19</v>
      </c>
      <c r="E575" s="50">
        <v>-166.30950301748399</v>
      </c>
      <c r="F575" s="50">
        <v>2.7928950084678701</v>
      </c>
      <c r="G575" s="50">
        <v>5.4748117644508998</v>
      </c>
      <c r="H575" s="50">
        <v>-9.2473118279569902E-2</v>
      </c>
      <c r="I575" s="8" t="s">
        <v>1057</v>
      </c>
      <c r="J575" s="50">
        <v>3.1136118816526102</v>
      </c>
      <c r="K575" s="248">
        <f>IFERROR(VLOOKUP(C575,Schedule!$T$3:$U$34,2,0),"FA")</f>
        <v>10</v>
      </c>
      <c r="L575" s="7" t="str">
        <f>D575&amp;COUNTIF(D$2:$D575,D575)</f>
        <v>RB171</v>
      </c>
      <c r="M575" s="50">
        <f t="array" ref="M575">IFERROR(F575-AVERAGE(VLOOKUP(D575,$D576:$F$885,3,0),INDEX($F576:$F$885,SMALL(IF(D575=$D576:$D$885,ROW($D576:$D$885)-ROW(D575)),2))),0)</f>
        <v>0.16240003331248998</v>
      </c>
      <c r="N575" s="50">
        <f>IFERROR(IF(VLOOKUP($B575,Input!$AC$2:$AC$162,1,0)=$B575,0),F575)</f>
        <v>2.7928950084678701</v>
      </c>
      <c r="O575" s="50">
        <f>IFERROR(IF(VLOOKUP($B575,Input!$AC$2:$AC$162,1,0)=$B575,0,G575),G575)</f>
        <v>5.4748117644508998</v>
      </c>
      <c r="P575" s="50">
        <f>IF(N575=0,0,F575-AVERAGE(INDEX(F:F,MATCH(VLOOKUP(D575,Input!$A$14:$L$22,10,0),L:L,0)),INDEX(F:F,MATCH(VLOOKUP(D575,Input!$A$14:$L$22,11,0),L:L,0)),INDEX(F:F,MATCH(VLOOKUP(D575,Input!$A$14:$L$22,12,0),L:L,0)))+(0.01-ROW()*0.01))</f>
        <v>-172.04950301748414</v>
      </c>
      <c r="Q575" s="106">
        <f t="shared" si="118"/>
        <v>-5.9355864031410917E-2</v>
      </c>
      <c r="R575" s="8">
        <f>IF(VLOOKUP($D575,$X$14:$Y$19,2,0)&lt;=0,1,IF(Q575&lt;0,1,ROUNDUP(IF(Q575*('Draft Center'!$L$28+'Draft Center'!$L$78-'Draft Center'!$L$82)&lt;1,1,Q575*('Draft Center'!$L$28+'Draft Center'!$L$78-'Draft Center'!$L$82)),0)))</f>
        <v>1</v>
      </c>
      <c r="S575" s="8">
        <f>IF(A575&lt;Input!$B$10+0.1,IF(ROUNDUP(R575*Input!$C$10,0)=0,1,ROUNDUP(R575*Input!$C$10,0)),IF(A575&gt;Input!$B$11,IF(ROUNDUP(R575*Input!$C$11,0)=0,1,ROUNDUP(R575*Input!$C$11,0)),IF(ROUNDUP(R575,0)=0,1,ROUNDUP(R575,0))))</f>
        <v>1</v>
      </c>
      <c r="T575" s="8">
        <f t="shared" si="119"/>
        <v>1</v>
      </c>
      <c r="U575" s="8">
        <f>IFERROR(VLOOKUP($B575,Input!$AC$2:$AE$161,3,0),0)</f>
        <v>0</v>
      </c>
      <c r="V575" s="256">
        <f t="shared" si="120"/>
        <v>0</v>
      </c>
      <c r="W575" s="263">
        <f t="shared" si="121"/>
        <v>0</v>
      </c>
      <c r="X575" s="68"/>
      <c r="Y575" s="68"/>
      <c r="Z575" s="68"/>
      <c r="AA575" s="68"/>
      <c r="AB575" s="68"/>
      <c r="AC575" s="68"/>
      <c r="AD575" s="68"/>
      <c r="AE575" s="68"/>
      <c r="AF575" s="68"/>
      <c r="AG575" s="68"/>
      <c r="AH575" s="68"/>
      <c r="AI575" s="68"/>
      <c r="AJ575" s="68">
        <v>1</v>
      </c>
      <c r="AL575" s="68">
        <v>1</v>
      </c>
      <c r="AM575" s="68"/>
      <c r="AN575" s="68"/>
      <c r="AO575" s="68"/>
      <c r="AQ575" s="68"/>
      <c r="AR575" s="68"/>
      <c r="AS575" s="68"/>
      <c r="AT575" s="68"/>
      <c r="AU575" s="68"/>
      <c r="AV575" s="68"/>
      <c r="AW575" s="68"/>
      <c r="AX575" s="68"/>
      <c r="AY575" s="68"/>
      <c r="AZ575" s="68"/>
      <c r="BB575" s="68"/>
      <c r="BC575" s="68"/>
      <c r="BJ575" s="68"/>
      <c r="BT575">
        <v>1</v>
      </c>
      <c r="BV575">
        <v>1</v>
      </c>
      <c r="BX575" s="68"/>
      <c r="BY575" s="68">
        <v>1</v>
      </c>
      <c r="BZ575" s="68" t="s">
        <v>1057</v>
      </c>
      <c r="CA575" s="68" t="s">
        <v>1057</v>
      </c>
      <c r="CB575" s="68" t="s">
        <v>1057</v>
      </c>
      <c r="CC575" s="68" t="e">
        <f t="shared" si="122"/>
        <v>#DIV/0!</v>
      </c>
      <c r="CD575" s="68" t="str">
        <f t="shared" si="123"/>
        <v>NA</v>
      </c>
    </row>
    <row r="576" spans="1:82" ht="15.75" customHeight="1" thickBot="1" x14ac:dyDescent="0.3">
      <c r="A576" s="9">
        <v>575</v>
      </c>
      <c r="B576" s="10" t="s">
        <v>451</v>
      </c>
      <c r="C576" s="10" t="s">
        <v>143</v>
      </c>
      <c r="D576" s="10" t="s">
        <v>19</v>
      </c>
      <c r="E576" s="51">
        <v>-166.38441882832899</v>
      </c>
      <c r="F576" s="51">
        <v>2.71797919762259</v>
      </c>
      <c r="G576" s="51">
        <v>4.3374804761740204</v>
      </c>
      <c r="H576" s="51">
        <v>-0.4</v>
      </c>
      <c r="I576" s="11" t="s">
        <v>1057</v>
      </c>
      <c r="J576" s="51">
        <v>2.9201621858461202</v>
      </c>
      <c r="K576" s="249">
        <f>IFERROR(VLOOKUP(C576,Schedule!$T$3:$U$34,2,0),"FA")</f>
        <v>9</v>
      </c>
      <c r="L576" s="10" t="str">
        <f>D576&amp;COUNTIF(D$2:$D576,D576)</f>
        <v>RB172</v>
      </c>
      <c r="M576" s="51">
        <f t="array" ref="M576">IFERROR(F576-AVERAGE(VLOOKUP(D576,$D577:$F$885,3,0),INDEX($F577:$F$885,SMALL(IF(D576=$D577:$D$885,ROW($D577:$D$885)-ROW(D576)),2))),0)</f>
        <v>0.30466285022341477</v>
      </c>
      <c r="N576" s="51">
        <f>IFERROR(IF(VLOOKUP($B576,Input!$AC$2:$AC$162,1,0)=$B576,0),F576)</f>
        <v>2.71797919762259</v>
      </c>
      <c r="O576" s="51">
        <f>IFERROR(IF(VLOOKUP($B576,Input!$AC$2:$AC$162,1,0)=$B576,0,G576),G576)</f>
        <v>4.3374804761740204</v>
      </c>
      <c r="P576" s="51">
        <f>IF(N576=0,0,F576-AVERAGE(INDEX(F:F,MATCH(VLOOKUP(D576,Input!$A$14:$L$22,10,0),L:L,0)),INDEX(F:F,MATCH(VLOOKUP(D576,Input!$A$14:$L$22,11,0),L:L,0)),INDEX(F:F,MATCH(VLOOKUP(D576,Input!$A$14:$L$22,12,0),L:L,0)))+(0.01-ROW()*0.01))</f>
        <v>-172.13441882832942</v>
      </c>
      <c r="Q576" s="107">
        <f t="shared" si="118"/>
        <v>-5.9385159386725818E-2</v>
      </c>
      <c r="R576" s="11">
        <f>IF(VLOOKUP($D576,$X$14:$Y$19,2,0)&lt;=0,1,IF(Q576&lt;0,1,ROUNDUP(IF(Q576*('Draft Center'!$L$28+'Draft Center'!$L$78-'Draft Center'!$L$82)&lt;1,1,Q576*('Draft Center'!$L$28+'Draft Center'!$L$78-'Draft Center'!$L$82)),0)))</f>
        <v>1</v>
      </c>
      <c r="S576" s="11">
        <f>IF(A576&lt;Input!$B$10+0.1,IF(ROUNDUP(R576*Input!$C$10,0)=0,1,ROUNDUP(R576*Input!$C$10,0)),IF(A576&gt;Input!$B$11,IF(ROUNDUP(R576*Input!$C$11,0)=0,1,ROUNDUP(R576*Input!$C$11,0)),IF(ROUNDUP(R576,0)=0,1,ROUNDUP(R576,0))))</f>
        <v>1</v>
      </c>
      <c r="T576" s="11">
        <f t="shared" si="119"/>
        <v>1</v>
      </c>
      <c r="U576" s="11">
        <f>IFERROR(VLOOKUP($B576,Input!$AC$2:$AE$161,3,0),0)</f>
        <v>0</v>
      </c>
      <c r="V576" s="257">
        <f t="shared" si="120"/>
        <v>0</v>
      </c>
      <c r="W576" s="264">
        <f t="shared" si="121"/>
        <v>0</v>
      </c>
      <c r="X576" s="68"/>
      <c r="Y576" s="68"/>
      <c r="Z576" s="68"/>
      <c r="AA576" s="68"/>
      <c r="AB576" s="68"/>
      <c r="AC576" s="68"/>
      <c r="AD576" s="68"/>
      <c r="AE576" s="68"/>
      <c r="AF576" s="68"/>
      <c r="AG576" s="68"/>
      <c r="AH576" s="68"/>
      <c r="AI576" s="68"/>
      <c r="AJ576" s="68">
        <v>1</v>
      </c>
      <c r="AL576" s="68">
        <v>1</v>
      </c>
      <c r="AM576" s="68"/>
      <c r="AN576" s="68"/>
      <c r="AO576" s="68"/>
      <c r="AQ576" s="68"/>
      <c r="AR576" s="68"/>
      <c r="AS576" s="68"/>
      <c r="AT576" s="68"/>
      <c r="AU576" s="68"/>
      <c r="AV576" s="68"/>
      <c r="AW576" s="68"/>
      <c r="AX576" s="68"/>
      <c r="AY576" s="68"/>
      <c r="AZ576" s="68"/>
      <c r="BB576" s="68"/>
      <c r="BC576" s="68"/>
      <c r="BJ576" s="68"/>
      <c r="BT576">
        <v>1</v>
      </c>
      <c r="BV576">
        <v>1</v>
      </c>
      <c r="BX576" s="68"/>
      <c r="BY576" s="68">
        <v>1</v>
      </c>
      <c r="BZ576" s="68" t="s">
        <v>1057</v>
      </c>
      <c r="CA576" s="68" t="s">
        <v>1057</v>
      </c>
      <c r="CB576" s="68" t="s">
        <v>1057</v>
      </c>
      <c r="CC576" s="68" t="e">
        <f t="shared" si="122"/>
        <v>#DIV/0!</v>
      </c>
      <c r="CD576" s="68" t="str">
        <f t="shared" si="123"/>
        <v>NA</v>
      </c>
    </row>
    <row r="577" spans="1:82" ht="15.75" customHeight="1" thickBot="1" x14ac:dyDescent="0.3">
      <c r="A577" s="6">
        <v>576</v>
      </c>
      <c r="B577" s="7" t="s">
        <v>1017</v>
      </c>
      <c r="C577" s="7" t="s">
        <v>52</v>
      </c>
      <c r="D577" s="7" t="s">
        <v>17</v>
      </c>
      <c r="E577" s="50">
        <v>-166.51876267294</v>
      </c>
      <c r="F577" s="50">
        <v>46.259153596409298</v>
      </c>
      <c r="G577" s="50">
        <v>74.699430181169603</v>
      </c>
      <c r="H577" s="50">
        <v>13.202953870272401</v>
      </c>
      <c r="I577" s="8" t="s">
        <v>1057</v>
      </c>
      <c r="J577" s="50">
        <v>9.0501894705802908</v>
      </c>
      <c r="K577" s="248">
        <f>IFERROR(VLOOKUP(C577,Schedule!$T$3:$U$34,2,0),"FA")</f>
        <v>11</v>
      </c>
      <c r="L577" s="7" t="str">
        <f>D577&amp;COUNTIF(D$2:$D577,D577)</f>
        <v>WR131</v>
      </c>
      <c r="M577" s="50">
        <f t="array" ref="M577">IFERROR(F577-AVERAGE(VLOOKUP(D577,$D578:$F$885,3,0),INDEX($F578:$F$885,SMALL(IF(D577=$D578:$D$885,ROW($D578:$D$885)-ROW(D577)),2))),0)</f>
        <v>0.94085275322265005</v>
      </c>
      <c r="N577" s="50">
        <f>IFERROR(IF(VLOOKUP($B577,Input!$AC$2:$AC$162,1,0)=$B577,0),F577)</f>
        <v>46.259153596409298</v>
      </c>
      <c r="O577" s="50">
        <f>IFERROR(IF(VLOOKUP($B577,Input!$AC$2:$AC$162,1,0)=$B577,0,G577),G577)</f>
        <v>74.699430181169603</v>
      </c>
      <c r="P577" s="50">
        <f>IF(N577=0,0,F577-AVERAGE(INDEX(F:F,MATCH(VLOOKUP(D577,Input!$A$14:$L$22,10,0),L:L,0)),INDEX(F:F,MATCH(VLOOKUP(D577,Input!$A$14:$L$22,11,0),L:L,0)),INDEX(F:F,MATCH(VLOOKUP(D577,Input!$A$14:$L$22,12,0),L:L,0)))+(0.01-ROW()*0.01))</f>
        <v>-172.27876267293971</v>
      </c>
      <c r="Q577" s="106">
        <f t="shared" si="118"/>
        <v>-5.9434956994182948E-2</v>
      </c>
      <c r="R577" s="8">
        <f>IF(VLOOKUP($D577,$X$14:$Y$19,2,0)&lt;=0,1,IF(Q577&lt;0,1,ROUNDUP(IF(Q577*('Draft Center'!$L$28+'Draft Center'!$L$78-'Draft Center'!$L$82)&lt;1,1,Q577*('Draft Center'!$L$28+'Draft Center'!$L$78-'Draft Center'!$L$82)),0)))</f>
        <v>1</v>
      </c>
      <c r="S577" s="8">
        <f>IF(A577&lt;Input!$B$10+0.1,IF(ROUNDUP(R577*Input!$C$10,0)=0,1,ROUNDUP(R577*Input!$C$10,0)),IF(A577&gt;Input!$B$11,IF(ROUNDUP(R577*Input!$C$11,0)=0,1,ROUNDUP(R577*Input!$C$11,0)),IF(ROUNDUP(R577,0)=0,1,ROUNDUP(R577,0))))</f>
        <v>1</v>
      </c>
      <c r="T577" s="8">
        <f t="shared" si="119"/>
        <v>1</v>
      </c>
      <c r="U577" s="8">
        <f>IFERROR(VLOOKUP($B577,Input!$AC$2:$AE$161,3,0),0)</f>
        <v>0</v>
      </c>
      <c r="V577" s="256">
        <f t="shared" si="120"/>
        <v>0</v>
      </c>
      <c r="W577" s="263">
        <f t="shared" si="121"/>
        <v>0</v>
      </c>
      <c r="X577" s="68"/>
      <c r="Y577" s="68"/>
      <c r="Z577" s="68"/>
      <c r="AA577" s="68"/>
      <c r="AB577" s="68"/>
      <c r="AC577" s="68"/>
      <c r="AD577" s="68"/>
      <c r="AE577" s="68"/>
      <c r="AF577" s="68"/>
      <c r="AG577" s="68"/>
      <c r="AH577" s="68"/>
      <c r="AI577" s="68"/>
      <c r="AJ577" s="68">
        <v>1</v>
      </c>
      <c r="AL577" s="68">
        <v>1</v>
      </c>
      <c r="AM577" s="68"/>
      <c r="AN577" s="68"/>
      <c r="AO577" s="68"/>
      <c r="AQ577" s="68"/>
      <c r="AR577" s="68"/>
      <c r="AS577" s="68"/>
      <c r="AT577" s="68"/>
      <c r="AU577" s="68"/>
      <c r="AV577" s="68"/>
      <c r="AW577" s="68"/>
      <c r="AX577" s="68"/>
      <c r="AY577" s="68"/>
      <c r="AZ577" s="68"/>
      <c r="BB577" s="68"/>
      <c r="BC577" s="68"/>
      <c r="BJ577" s="68"/>
      <c r="BT577">
        <v>1</v>
      </c>
      <c r="BV577">
        <v>1</v>
      </c>
      <c r="BX577" s="68"/>
      <c r="BY577" s="68">
        <v>1</v>
      </c>
      <c r="BZ577" s="68" t="s">
        <v>1057</v>
      </c>
      <c r="CA577" s="68" t="s">
        <v>1057</v>
      </c>
      <c r="CB577" s="68" t="s">
        <v>1057</v>
      </c>
      <c r="CC577" s="68" t="e">
        <f t="shared" si="122"/>
        <v>#DIV/0!</v>
      </c>
      <c r="CD577" s="68" t="str">
        <f t="shared" si="123"/>
        <v>NA</v>
      </c>
    </row>
    <row r="578" spans="1:82" ht="15.75" customHeight="1" thickBot="1" x14ac:dyDescent="0.3">
      <c r="A578" s="9">
        <v>577</v>
      </c>
      <c r="B578" s="10" t="s">
        <v>401</v>
      </c>
      <c r="C578" s="10" t="s">
        <v>311</v>
      </c>
      <c r="D578" s="10" t="s">
        <v>19</v>
      </c>
      <c r="E578" s="51">
        <v>-166.55938727326401</v>
      </c>
      <c r="F578" s="51">
        <v>2.5430107526881698</v>
      </c>
      <c r="G578" s="51">
        <v>3.92866810452613</v>
      </c>
      <c r="H578" s="51">
        <v>0</v>
      </c>
      <c r="I578" s="11" t="s">
        <v>1057</v>
      </c>
      <c r="J578" s="51">
        <v>2.8893946280861398</v>
      </c>
      <c r="K578" s="249" t="str">
        <f>IFERROR(VLOOKUP(C578,Schedule!$T$3:$U$34,2,0),"FA")</f>
        <v>FA</v>
      </c>
      <c r="L578" s="10" t="str">
        <f>D578&amp;COUNTIF(D$2:$D578,D578)</f>
        <v>RB173</v>
      </c>
      <c r="M578" s="51">
        <f t="array" ref="M578">IFERROR(F578-AVERAGE(VLOOKUP(D578,$D579:$F$885,3,0),INDEX($F579:$F$885,SMALL(IF(D578=$D579:$D$885,ROW($D579:$D$885)-ROW(D578)),2))),0)</f>
        <v>0.26244412986045962</v>
      </c>
      <c r="N578" s="51">
        <f>IFERROR(IF(VLOOKUP($B578,Input!$AC$2:$AC$162,1,0)=$B578,0),F578)</f>
        <v>2.5430107526881698</v>
      </c>
      <c r="O578" s="51">
        <f>IFERROR(IF(VLOOKUP($B578,Input!$AC$2:$AC$162,1,0)=$B578,0,G578),G578)</f>
        <v>3.92866810452613</v>
      </c>
      <c r="P578" s="51">
        <f>IF(N578=0,0,F578-AVERAGE(INDEX(F:F,MATCH(VLOOKUP(D578,Input!$A$14:$L$22,10,0),L:L,0)),INDEX(F:F,MATCH(VLOOKUP(D578,Input!$A$14:$L$22,11,0),L:L,0)),INDEX(F:F,MATCH(VLOOKUP(D578,Input!$A$14:$L$22,12,0),L:L,0)))+(0.01-ROW()*0.01))</f>
        <v>-172.32938727326385</v>
      </c>
      <c r="Q578" s="107">
        <f t="shared" ref="Q578:Q641" si="124">IFERROR(P578/SUMIF(P:P,"&gt;0",P:P),0)</f>
        <v>-5.945242212393214E-2</v>
      </c>
      <c r="R578" s="11">
        <f>IF(VLOOKUP($D578,$X$14:$Y$19,2,0)&lt;=0,1,IF(Q578&lt;0,1,ROUNDUP(IF(Q578*('Draft Center'!$L$28+'Draft Center'!$L$78-'Draft Center'!$L$82)&lt;1,1,Q578*('Draft Center'!$L$28+'Draft Center'!$L$78-'Draft Center'!$L$82)),0)))</f>
        <v>1</v>
      </c>
      <c r="S578" s="11">
        <f>IF(A578&lt;Input!$B$10+0.1,IF(ROUNDUP(R578*Input!$C$10,0)=0,1,ROUNDUP(R578*Input!$C$10,0)),IF(A578&gt;Input!$B$11,IF(ROUNDUP(R578*Input!$C$11,0)=0,1,ROUNDUP(R578*Input!$C$11,0)),IF(ROUNDUP(R578,0)=0,1,ROUNDUP(R578,0))))</f>
        <v>1</v>
      </c>
      <c r="T578" s="11">
        <f t="shared" ref="T578:T641" si="125">IF(U578&gt;0,0,IF(AA578=1,R578,IF(AL578=0,1,AL578)))</f>
        <v>1</v>
      </c>
      <c r="U578" s="11">
        <f>IFERROR(VLOOKUP($B578,Input!$AC$2:$AE$161,3,0),0)</f>
        <v>0</v>
      </c>
      <c r="V578" s="257">
        <f t="shared" si="120"/>
        <v>0</v>
      </c>
      <c r="W578" s="264">
        <f t="shared" si="121"/>
        <v>0</v>
      </c>
      <c r="X578" s="68"/>
      <c r="Y578" s="68"/>
      <c r="Z578" s="68"/>
      <c r="AA578" s="68"/>
      <c r="AB578" s="68"/>
      <c r="AC578" s="68"/>
      <c r="AD578" s="68"/>
      <c r="AE578" s="68"/>
      <c r="AF578" s="68"/>
      <c r="AG578" s="68"/>
      <c r="AH578" s="68"/>
      <c r="AI578" s="68"/>
      <c r="AJ578" s="68">
        <v>1</v>
      </c>
      <c r="AL578" s="68">
        <v>1</v>
      </c>
      <c r="AM578" s="68"/>
      <c r="AN578" s="68"/>
      <c r="AO578" s="68"/>
      <c r="AQ578" s="68"/>
      <c r="AR578" s="68"/>
      <c r="AS578" s="68"/>
      <c r="AT578" s="68"/>
      <c r="AU578" s="68"/>
      <c r="AV578" s="68"/>
      <c r="AW578" s="68"/>
      <c r="AX578" s="68"/>
      <c r="AY578" s="68"/>
      <c r="AZ578" s="68"/>
      <c r="BB578" s="68"/>
      <c r="BC578" s="68"/>
      <c r="BJ578" s="68"/>
      <c r="BT578">
        <v>1</v>
      </c>
      <c r="BV578">
        <v>1</v>
      </c>
      <c r="BX578" s="68"/>
      <c r="BY578" s="68">
        <v>1</v>
      </c>
      <c r="BZ578" s="68" t="s">
        <v>1057</v>
      </c>
      <c r="CA578" s="68" t="s">
        <v>1057</v>
      </c>
      <c r="CB578" s="68" t="s">
        <v>1057</v>
      </c>
      <c r="CC578" s="68" t="e">
        <f t="shared" si="122"/>
        <v>#DIV/0!</v>
      </c>
      <c r="CD578" s="68" t="str">
        <f t="shared" si="123"/>
        <v>NA</v>
      </c>
    </row>
    <row r="579" spans="1:82" ht="15.75" customHeight="1" thickBot="1" x14ac:dyDescent="0.3">
      <c r="A579" s="6">
        <v>578</v>
      </c>
      <c r="B579" s="7" t="s">
        <v>351</v>
      </c>
      <c r="C579" s="7" t="s">
        <v>93</v>
      </c>
      <c r="D579" s="7" t="s">
        <v>19</v>
      </c>
      <c r="E579" s="50">
        <v>-166.81877608384201</v>
      </c>
      <c r="F579" s="50">
        <v>2.2836219421101802</v>
      </c>
      <c r="G579" s="50">
        <v>4.1444274999999999</v>
      </c>
      <c r="H579" s="50">
        <v>-0.128478057889823</v>
      </c>
      <c r="I579" s="8">
        <v>0</v>
      </c>
      <c r="J579" s="50">
        <v>2.8359892840877001</v>
      </c>
      <c r="K579" s="248">
        <f>IFERROR(VLOOKUP(C579,Schedule!$T$3:$U$34,2,0),"FA")</f>
        <v>11</v>
      </c>
      <c r="L579" s="7" t="str">
        <f>D579&amp;COUNTIF(D$2:$D579,D579)</f>
        <v>RB174</v>
      </c>
      <c r="M579" s="50">
        <f t="array" ref="M579">IFERROR(F579-AVERAGE(VLOOKUP(D579,$D580:$F$885,3,0),INDEX($F580:$F$885,SMALL(IF(D579=$D580:$D$885,ROW($D580:$D$885)-ROW(D579)),2))),0)</f>
        <v>2.6001747853900081E-2</v>
      </c>
      <c r="N579" s="50">
        <f>IFERROR(IF(VLOOKUP($B579,Input!$AC$2:$AC$162,1,0)=$B579,0),F579)</f>
        <v>2.2836219421101802</v>
      </c>
      <c r="O579" s="50">
        <f>IFERROR(IF(VLOOKUP($B579,Input!$AC$2:$AC$162,1,0)=$B579,0,G579),G579)</f>
        <v>4.1444274999999999</v>
      </c>
      <c r="P579" s="50">
        <f>IF(N579=0,0,F579-AVERAGE(INDEX(F:F,MATCH(VLOOKUP(D579,Input!$A$14:$L$22,10,0),L:L,0)),INDEX(F:F,MATCH(VLOOKUP(D579,Input!$A$14:$L$22,11,0),L:L,0)),INDEX(F:F,MATCH(VLOOKUP(D579,Input!$A$14:$L$22,12,0),L:L,0)))+(0.01-ROW()*0.01))</f>
        <v>-172.59877608384181</v>
      </c>
      <c r="Q579" s="106">
        <f t="shared" si="124"/>
        <v>-5.9545359361946854E-2</v>
      </c>
      <c r="R579" s="8">
        <f>IF(VLOOKUP($D579,$X$14:$Y$19,2,0)&lt;=0,1,IF(Q579&lt;0,1,ROUNDUP(IF(Q579*('Draft Center'!$L$28+'Draft Center'!$L$78-'Draft Center'!$L$82)&lt;1,1,Q579*('Draft Center'!$L$28+'Draft Center'!$L$78-'Draft Center'!$L$82)),0)))</f>
        <v>1</v>
      </c>
      <c r="S579" s="8">
        <f>IF(A579&lt;Input!$B$10+0.1,IF(ROUNDUP(R579*Input!$C$10,0)=0,1,ROUNDUP(R579*Input!$C$10,0)),IF(A579&gt;Input!$B$11,IF(ROUNDUP(R579*Input!$C$11,0)=0,1,ROUNDUP(R579*Input!$C$11,0)),IF(ROUNDUP(R579,0)=0,1,ROUNDUP(R579,0))))</f>
        <v>1</v>
      </c>
      <c r="T579" s="8">
        <f t="shared" si="125"/>
        <v>1</v>
      </c>
      <c r="U579" s="8">
        <f>IFERROR(VLOOKUP($B579,Input!$AC$2:$AE$161,3,0),0)</f>
        <v>0</v>
      </c>
      <c r="V579" s="256">
        <f t="shared" ref="V579:V642" si="126">IF(R579=0,0,IFERROR(((R579-CD579)/CD579)+(ROW()*0.00001),0))</f>
        <v>0</v>
      </c>
      <c r="W579" s="263">
        <f t="shared" ref="W579:W642" si="127">IF(R579=0,0,IFERROR(((R579-CD579))+(ROW()*0.00001),0))</f>
        <v>1.00579</v>
      </c>
      <c r="X579" s="68"/>
      <c r="Y579" s="68"/>
      <c r="Z579" s="68"/>
      <c r="AA579" s="68"/>
      <c r="AB579" s="68"/>
      <c r="AC579" s="68"/>
      <c r="AD579" s="68"/>
      <c r="AE579" s="68"/>
      <c r="AF579" s="68"/>
      <c r="AG579" s="68"/>
      <c r="AH579" s="68"/>
      <c r="AI579" s="68"/>
      <c r="AJ579" s="68">
        <v>1</v>
      </c>
      <c r="AL579" s="68">
        <v>1</v>
      </c>
      <c r="AM579" s="68"/>
      <c r="AN579" s="68"/>
      <c r="AO579" s="68"/>
      <c r="AQ579" s="68"/>
      <c r="AR579" s="68"/>
      <c r="AS579" s="68"/>
      <c r="AT579" s="68"/>
      <c r="AU579" s="68"/>
      <c r="AV579" s="68"/>
      <c r="AW579" s="68"/>
      <c r="AX579" s="68"/>
      <c r="AY579" s="68"/>
      <c r="AZ579" s="68"/>
      <c r="BB579" s="68"/>
      <c r="BC579" s="68"/>
      <c r="BJ579" s="68"/>
      <c r="BT579">
        <v>1</v>
      </c>
      <c r="BV579">
        <v>1</v>
      </c>
      <c r="BX579" s="68"/>
      <c r="BY579" s="68">
        <v>1</v>
      </c>
      <c r="BZ579" s="68">
        <v>0</v>
      </c>
      <c r="CA579" s="68">
        <v>0</v>
      </c>
      <c r="CB579" s="68">
        <v>0</v>
      </c>
      <c r="CC579" s="68">
        <f t="shared" ref="CC579:CC642" si="128">AVERAGE(BZ579:CB579)</f>
        <v>0</v>
      </c>
      <c r="CD579" s="68">
        <f t="shared" ref="CD579:CD642" si="129">IFERROR(HLOOKUP($CD$1,$BZ$1:$CC$930,ROW(),0),"")</f>
        <v>0</v>
      </c>
    </row>
    <row r="580" spans="1:82" ht="15.75" customHeight="1" thickBot="1" x14ac:dyDescent="0.3">
      <c r="A580" s="9">
        <v>579</v>
      </c>
      <c r="B580" s="10" t="s">
        <v>403</v>
      </c>
      <c r="C580" s="10" t="s">
        <v>66</v>
      </c>
      <c r="D580" s="10" t="s">
        <v>19</v>
      </c>
      <c r="E580" s="51">
        <v>-166.824886722407</v>
      </c>
      <c r="F580" s="51">
        <v>2.2775113035452401</v>
      </c>
      <c r="G580" s="51">
        <v>4.5422470661308303</v>
      </c>
      <c r="H580" s="51">
        <v>0</v>
      </c>
      <c r="I580" s="11">
        <v>0</v>
      </c>
      <c r="J580" s="51">
        <v>2.81127862473596</v>
      </c>
      <c r="K580" s="249">
        <f>IFERROR(VLOOKUP(C580,Schedule!$T$3:$U$34,2,0),"FA")</f>
        <v>7</v>
      </c>
      <c r="L580" s="10" t="str">
        <f>D580&amp;COUNTIF(D$2:$D580,D580)</f>
        <v>RB175</v>
      </c>
      <c r="M580" s="51">
        <f t="array" ref="M580">IFERROR(F580-AVERAGE(VLOOKUP(D580,$D581:$F$885,3,0),INDEX($F581:$F$885,SMALL(IF(D580=$D581:$D$885,ROW($D581:$D$885)-ROW(D580)),2))),0)</f>
        <v>0.16456073955620498</v>
      </c>
      <c r="N580" s="51">
        <f>IFERROR(IF(VLOOKUP($B580,Input!$AC$2:$AC$162,1,0)=$B580,0),F580)</f>
        <v>2.2775113035452401</v>
      </c>
      <c r="O580" s="51">
        <f>IFERROR(IF(VLOOKUP($B580,Input!$AC$2:$AC$162,1,0)=$B580,0,G580),G580)</f>
        <v>4.5422470661308303</v>
      </c>
      <c r="P580" s="51">
        <f>IF(N580=0,0,F580-AVERAGE(INDEX(F:F,MATCH(VLOOKUP(D580,Input!$A$14:$L$22,10,0),L:L,0)),INDEX(F:F,MATCH(VLOOKUP(D580,Input!$A$14:$L$22,11,0),L:L,0)),INDEX(F:F,MATCH(VLOOKUP(D580,Input!$A$14:$L$22,12,0),L:L,0)))+(0.01-ROW()*0.01))</f>
        <v>-172.61488672240674</v>
      </c>
      <c r="Q580" s="107">
        <f t="shared" si="124"/>
        <v>-5.9550917418525619E-2</v>
      </c>
      <c r="R580" s="11">
        <f>IF(VLOOKUP($D580,$X$14:$Y$19,2,0)&lt;=0,1,IF(Q580&lt;0,1,ROUNDUP(IF(Q580*('Draft Center'!$L$28+'Draft Center'!$L$78-'Draft Center'!$L$82)&lt;1,1,Q580*('Draft Center'!$L$28+'Draft Center'!$L$78-'Draft Center'!$L$82)),0)))</f>
        <v>1</v>
      </c>
      <c r="S580" s="11">
        <f>IF(A580&lt;Input!$B$10+0.1,IF(ROUNDUP(R580*Input!$C$10,0)=0,1,ROUNDUP(R580*Input!$C$10,0)),IF(A580&gt;Input!$B$11,IF(ROUNDUP(R580*Input!$C$11,0)=0,1,ROUNDUP(R580*Input!$C$11,0)),IF(ROUNDUP(R580,0)=0,1,ROUNDUP(R580,0))))</f>
        <v>1</v>
      </c>
      <c r="T580" s="11">
        <f t="shared" si="125"/>
        <v>1</v>
      </c>
      <c r="U580" s="11">
        <f>IFERROR(VLOOKUP($B580,Input!$AC$2:$AE$161,3,0),0)</f>
        <v>0</v>
      </c>
      <c r="V580" s="257">
        <f t="shared" si="126"/>
        <v>0</v>
      </c>
      <c r="W580" s="264">
        <f t="shared" si="127"/>
        <v>1.0058</v>
      </c>
      <c r="X580" s="68"/>
      <c r="Y580" s="68"/>
      <c r="Z580" s="68"/>
      <c r="AA580" s="68"/>
      <c r="AB580" s="68"/>
      <c r="AC580" s="68"/>
      <c r="AD580" s="68"/>
      <c r="AE580" s="68"/>
      <c r="AF580" s="68"/>
      <c r="AG580" s="68"/>
      <c r="AH580" s="68"/>
      <c r="AI580" s="68"/>
      <c r="AJ580" s="68">
        <v>1</v>
      </c>
      <c r="AL580" s="68">
        <v>1</v>
      </c>
      <c r="AM580" s="68"/>
      <c r="AN580" s="68"/>
      <c r="AO580" s="68"/>
      <c r="AQ580" s="68"/>
      <c r="AR580" s="68"/>
      <c r="AS580" s="68"/>
      <c r="AT580" s="68"/>
      <c r="AU580" s="68"/>
      <c r="AV580" s="68"/>
      <c r="AW580" s="68"/>
      <c r="AX580" s="68"/>
      <c r="AY580" s="68"/>
      <c r="AZ580" s="68"/>
      <c r="BB580" s="68"/>
      <c r="BC580" s="68"/>
      <c r="BJ580" s="68"/>
      <c r="BT580">
        <v>1</v>
      </c>
      <c r="BV580">
        <v>1</v>
      </c>
      <c r="BX580" s="68"/>
      <c r="BY580" s="68">
        <v>1</v>
      </c>
      <c r="BZ580" s="68">
        <v>0</v>
      </c>
      <c r="CA580" s="68">
        <v>0</v>
      </c>
      <c r="CB580" s="68">
        <v>0</v>
      </c>
      <c r="CC580" s="68">
        <f t="shared" si="128"/>
        <v>0</v>
      </c>
      <c r="CD580" s="68">
        <f t="shared" si="129"/>
        <v>0</v>
      </c>
    </row>
    <row r="581" spans="1:82" ht="15.75" customHeight="1" thickBot="1" x14ac:dyDescent="0.3">
      <c r="A581" s="6">
        <v>580</v>
      </c>
      <c r="B581" s="7" t="s">
        <v>331</v>
      </c>
      <c r="C581" s="7" t="s">
        <v>42</v>
      </c>
      <c r="D581" s="7" t="s">
        <v>19</v>
      </c>
      <c r="E581" s="50">
        <v>-166.86466894098501</v>
      </c>
      <c r="F581" s="50">
        <v>2.2377290849673201</v>
      </c>
      <c r="G581" s="50">
        <v>4.0215784883720902</v>
      </c>
      <c r="H581" s="50">
        <v>-0.128478057889823</v>
      </c>
      <c r="I581" s="8">
        <v>0</v>
      </c>
      <c r="J581" s="50">
        <v>2.55496536266359</v>
      </c>
      <c r="K581" s="248">
        <f>IFERROR(VLOOKUP(C581,Schedule!$T$3:$U$34,2,0),"FA")</f>
        <v>9</v>
      </c>
      <c r="L581" s="7" t="str">
        <f>D581&amp;COUNTIF(D$2:$D581,D581)</f>
        <v>RB176</v>
      </c>
      <c r="M581" s="50">
        <f t="array" ref="M581">IFERROR(F581-AVERAGE(VLOOKUP(D581,$D582:$F$885,3,0),INDEX($F582:$F$885,SMALL(IF(D581=$D582:$D$885,ROW($D582:$D$885)-ROW(D581)),2))),0)</f>
        <v>0.34255163006815015</v>
      </c>
      <c r="N581" s="50">
        <f>IFERROR(IF(VLOOKUP($B581,Input!$AC$2:$AC$162,1,0)=$B581,0),F581)</f>
        <v>2.2377290849673201</v>
      </c>
      <c r="O581" s="50">
        <f>IFERROR(IF(VLOOKUP($B581,Input!$AC$2:$AC$162,1,0)=$B581,0,G581),G581)</f>
        <v>4.0215784883720902</v>
      </c>
      <c r="P581" s="50">
        <f>IF(N581=0,0,F581-AVERAGE(INDEX(F:F,MATCH(VLOOKUP(D581,Input!$A$14:$L$22,10,0),L:L,0)),INDEX(F:F,MATCH(VLOOKUP(D581,Input!$A$14:$L$22,11,0),L:L,0)),INDEX(F:F,MATCH(VLOOKUP(D581,Input!$A$14:$L$22,12,0),L:L,0)))+(0.01-ROW()*0.01))</f>
        <v>-172.66466894098468</v>
      </c>
      <c r="Q581" s="106">
        <f t="shared" si="124"/>
        <v>-5.9568091932518802E-2</v>
      </c>
      <c r="R581" s="8">
        <f>IF(VLOOKUP($D581,$X$14:$Y$19,2,0)&lt;=0,1,IF(Q581&lt;0,1,ROUNDUP(IF(Q581*('Draft Center'!$L$28+'Draft Center'!$L$78-'Draft Center'!$L$82)&lt;1,1,Q581*('Draft Center'!$L$28+'Draft Center'!$L$78-'Draft Center'!$L$82)),0)))</f>
        <v>1</v>
      </c>
      <c r="S581" s="8">
        <f>IF(A581&lt;Input!$B$10+0.1,IF(ROUNDUP(R581*Input!$C$10,0)=0,1,ROUNDUP(R581*Input!$C$10,0)),IF(A581&gt;Input!$B$11,IF(ROUNDUP(R581*Input!$C$11,0)=0,1,ROUNDUP(R581*Input!$C$11,0)),IF(ROUNDUP(R581,0)=0,1,ROUNDUP(R581,0))))</f>
        <v>1</v>
      </c>
      <c r="T581" s="8">
        <f t="shared" si="125"/>
        <v>1</v>
      </c>
      <c r="U581" s="8">
        <f>IFERROR(VLOOKUP($B581,Input!$AC$2:$AE$161,3,0),0)</f>
        <v>0</v>
      </c>
      <c r="V581" s="256">
        <f t="shared" si="126"/>
        <v>0</v>
      </c>
      <c r="W581" s="263">
        <f t="shared" si="127"/>
        <v>1.0058100000000001</v>
      </c>
      <c r="X581" s="68"/>
      <c r="Y581" s="68"/>
      <c r="Z581" s="68"/>
      <c r="AA581" s="68"/>
      <c r="AB581" s="68"/>
      <c r="AC581" s="68"/>
      <c r="AD581" s="68"/>
      <c r="AE581" s="68"/>
      <c r="AF581" s="68"/>
      <c r="AG581" s="68"/>
      <c r="AH581" s="68"/>
      <c r="AI581" s="68"/>
      <c r="AJ581" s="68">
        <v>1</v>
      </c>
      <c r="AL581" s="68">
        <v>1</v>
      </c>
      <c r="AM581" s="68"/>
      <c r="AN581" s="68"/>
      <c r="AO581" s="68"/>
      <c r="AQ581" s="68"/>
      <c r="AR581" s="68"/>
      <c r="AS581" s="68"/>
      <c r="AT581" s="68"/>
      <c r="AU581" s="68"/>
      <c r="AV581" s="68"/>
      <c r="AW581" s="68"/>
      <c r="AX581" s="68"/>
      <c r="AY581" s="68"/>
      <c r="AZ581" s="68"/>
      <c r="BB581" s="68"/>
      <c r="BC581" s="68"/>
      <c r="BJ581" s="68"/>
      <c r="BT581">
        <v>1</v>
      </c>
      <c r="BV581">
        <v>1</v>
      </c>
      <c r="BX581" s="68"/>
      <c r="BY581" s="68">
        <v>1</v>
      </c>
      <c r="BZ581" s="68">
        <v>0</v>
      </c>
      <c r="CA581" s="68">
        <v>0</v>
      </c>
      <c r="CB581" s="68">
        <v>0</v>
      </c>
      <c r="CC581" s="68">
        <f t="shared" si="128"/>
        <v>0</v>
      </c>
      <c r="CD581" s="68">
        <f t="shared" si="129"/>
        <v>0</v>
      </c>
    </row>
    <row r="582" spans="1:82" ht="15.75" customHeight="1" thickBot="1" x14ac:dyDescent="0.3">
      <c r="A582" s="9">
        <v>581</v>
      </c>
      <c r="B582" s="10" t="s">
        <v>779</v>
      </c>
      <c r="C582" s="10" t="s">
        <v>925</v>
      </c>
      <c r="D582" s="10" t="s">
        <v>17</v>
      </c>
      <c r="E582" s="51">
        <v>-167.08399082380899</v>
      </c>
      <c r="F582" s="51">
        <v>45.693925445539698</v>
      </c>
      <c r="G582" s="51">
        <v>77.045468980095706</v>
      </c>
      <c r="H582" s="51">
        <v>15.4193059964727</v>
      </c>
      <c r="I582" s="11">
        <v>0</v>
      </c>
      <c r="J582" s="51">
        <v>7.01379050979277</v>
      </c>
      <c r="K582" s="249">
        <f>IFERROR(VLOOKUP(C582,Schedule!$T$3:$U$34,2,0),"FA")</f>
        <v>8</v>
      </c>
      <c r="L582" s="10" t="str">
        <f>D582&amp;COUNTIF(D$2:$D582,D582)</f>
        <v>WR132</v>
      </c>
      <c r="M582" s="51">
        <f t="array" ref="M582">IFERROR(F582-AVERAGE(VLOOKUP(D582,$D583:$F$885,3,0),INDEX($F583:$F$885,SMALL(IF(D582=$D583:$D$885,ROW($D583:$D$885)-ROW(D582)),2))),0)</f>
        <v>0.92909890388815342</v>
      </c>
      <c r="N582" s="51">
        <f>IFERROR(IF(VLOOKUP($B582,Input!$AC$2:$AC$162,1,0)=$B582,0),F582)</f>
        <v>45.693925445539698</v>
      </c>
      <c r="O582" s="51">
        <f>IFERROR(IF(VLOOKUP($B582,Input!$AC$2:$AC$162,1,0)=$B582,0,G582),G582)</f>
        <v>77.045468980095706</v>
      </c>
      <c r="P582" s="51">
        <f>IF(N582=0,0,F582-AVERAGE(INDEX(F:F,MATCH(VLOOKUP(D582,Input!$A$14:$L$22,10,0),L:L,0)),INDEX(F:F,MATCH(VLOOKUP(D582,Input!$A$14:$L$22,11,0),L:L,0)),INDEX(F:F,MATCH(VLOOKUP(D582,Input!$A$14:$L$22,12,0),L:L,0)))+(0.01-ROW()*0.01))</f>
        <v>-172.89399082380933</v>
      </c>
      <c r="Q582" s="107">
        <f t="shared" si="124"/>
        <v>-5.9647206363293903E-2</v>
      </c>
      <c r="R582" s="11">
        <f>IF(VLOOKUP($D582,$X$14:$Y$19,2,0)&lt;=0,1,IF(Q582&lt;0,1,ROUNDUP(IF(Q582*('Draft Center'!$L$28+'Draft Center'!$L$78-'Draft Center'!$L$82)&lt;1,1,Q582*('Draft Center'!$L$28+'Draft Center'!$L$78-'Draft Center'!$L$82)),0)))</f>
        <v>1</v>
      </c>
      <c r="S582" s="11">
        <f>IF(A582&lt;Input!$B$10+0.1,IF(ROUNDUP(R582*Input!$C$10,0)=0,1,ROUNDUP(R582*Input!$C$10,0)),IF(A582&gt;Input!$B$11,IF(ROUNDUP(R582*Input!$C$11,0)=0,1,ROUNDUP(R582*Input!$C$11,0)),IF(ROUNDUP(R582,0)=0,1,ROUNDUP(R582,0))))</f>
        <v>1</v>
      </c>
      <c r="T582" s="11">
        <f t="shared" si="125"/>
        <v>1</v>
      </c>
      <c r="U582" s="11">
        <f>IFERROR(VLOOKUP($B582,Input!$AC$2:$AE$161,3,0),0)</f>
        <v>0</v>
      </c>
      <c r="V582" s="257">
        <f t="shared" si="126"/>
        <v>0</v>
      </c>
      <c r="W582" s="264">
        <f t="shared" si="127"/>
        <v>1.0058199999999999</v>
      </c>
      <c r="X582" s="68"/>
      <c r="Y582" s="68"/>
      <c r="Z582" s="68"/>
      <c r="AA582" s="68"/>
      <c r="AB582" s="68"/>
      <c r="AC582" s="68"/>
      <c r="AD582" s="68"/>
      <c r="AE582" s="68"/>
      <c r="AF582" s="68"/>
      <c r="AG582" s="68"/>
      <c r="AH582" s="68"/>
      <c r="AI582" s="68"/>
      <c r="AJ582" s="68">
        <v>1</v>
      </c>
      <c r="AL582" s="68">
        <v>1</v>
      </c>
      <c r="AM582" s="68"/>
      <c r="AN582" s="68"/>
      <c r="AO582" s="68"/>
      <c r="AQ582" s="68"/>
      <c r="AR582" s="68"/>
      <c r="AS582" s="68"/>
      <c r="AT582" s="68"/>
      <c r="AU582" s="68"/>
      <c r="AV582" s="68"/>
      <c r="AW582" s="68"/>
      <c r="AX582" s="68"/>
      <c r="AY582" s="68"/>
      <c r="AZ582" s="68"/>
      <c r="BB582" s="68"/>
      <c r="BC582" s="68"/>
      <c r="BJ582" s="68"/>
      <c r="BT582">
        <v>1</v>
      </c>
      <c r="BV582">
        <v>1</v>
      </c>
      <c r="BX582" s="68"/>
      <c r="BY582" s="68">
        <v>1</v>
      </c>
      <c r="BZ582" s="68">
        <v>0</v>
      </c>
      <c r="CA582" s="68">
        <v>0</v>
      </c>
      <c r="CB582" s="68">
        <v>0</v>
      </c>
      <c r="CC582" s="68">
        <f t="shared" si="128"/>
        <v>0</v>
      </c>
      <c r="CD582" s="68">
        <f t="shared" si="129"/>
        <v>0</v>
      </c>
    </row>
    <row r="583" spans="1:82" ht="15.75" customHeight="1" thickBot="1" x14ac:dyDescent="0.3">
      <c r="A583" s="6">
        <v>582</v>
      </c>
      <c r="B583" s="7" t="s">
        <v>164</v>
      </c>
      <c r="C583" s="7" t="s">
        <v>311</v>
      </c>
      <c r="D583" s="7" t="s">
        <v>19</v>
      </c>
      <c r="E583" s="50">
        <v>-167.11422598294101</v>
      </c>
      <c r="F583" s="50">
        <v>1.9881720430107499</v>
      </c>
      <c r="G583" s="50">
        <v>3.37</v>
      </c>
      <c r="H583" s="50">
        <v>0</v>
      </c>
      <c r="I583" s="8" t="s">
        <v>1057</v>
      </c>
      <c r="J583" s="50">
        <v>2.8896783263705599</v>
      </c>
      <c r="K583" s="248" t="str">
        <f>IFERROR(VLOOKUP(C583,Schedule!$T$3:$U$34,2,0),"FA")</f>
        <v>FA</v>
      </c>
      <c r="L583" s="7" t="str">
        <f>D583&amp;COUNTIF(D$2:$D583,D583)</f>
        <v>RB177</v>
      </c>
      <c r="M583" s="50">
        <f t="array" ref="M583">IFERROR(F583-AVERAGE(VLOOKUP(D583,$D584:$F$885,3,0),INDEX($F584:$F$885,SMALL(IF(D583=$D584:$D$885,ROW($D584:$D$885)-ROW(D583)),2))),0)</f>
        <v>0.23170426553093493</v>
      </c>
      <c r="N583" s="50">
        <f>IFERROR(IF(VLOOKUP($B583,Input!$AC$2:$AC$162,1,0)=$B583,0),F583)</f>
        <v>1.9881720430107499</v>
      </c>
      <c r="O583" s="50">
        <f>IFERROR(IF(VLOOKUP($B583,Input!$AC$2:$AC$162,1,0)=$B583,0,G583),G583)</f>
        <v>3.37</v>
      </c>
      <c r="P583" s="50">
        <f>IF(N583=0,0,F583-AVERAGE(INDEX(F:F,MATCH(VLOOKUP(D583,Input!$A$14:$L$22,10,0),L:L,0)),INDEX(F:F,MATCH(VLOOKUP(D583,Input!$A$14:$L$22,11,0),L:L,0)),INDEX(F:F,MATCH(VLOOKUP(D583,Input!$A$14:$L$22,12,0),L:L,0)))+(0.01-ROW()*0.01))</f>
        <v>-172.93422598294123</v>
      </c>
      <c r="Q583" s="106">
        <f t="shared" si="124"/>
        <v>-5.966108720917157E-2</v>
      </c>
      <c r="R583" s="8">
        <f>IF(VLOOKUP($D583,$X$14:$Y$19,2,0)&lt;=0,1,IF(Q583&lt;0,1,ROUNDUP(IF(Q583*('Draft Center'!$L$28+'Draft Center'!$L$78-'Draft Center'!$L$82)&lt;1,1,Q583*('Draft Center'!$L$28+'Draft Center'!$L$78-'Draft Center'!$L$82)),0)))</f>
        <v>1</v>
      </c>
      <c r="S583" s="8">
        <f>IF(A583&lt;Input!$B$10+0.1,IF(ROUNDUP(R583*Input!$C$10,0)=0,1,ROUNDUP(R583*Input!$C$10,0)),IF(A583&gt;Input!$B$11,IF(ROUNDUP(R583*Input!$C$11,0)=0,1,ROUNDUP(R583*Input!$C$11,0)),IF(ROUNDUP(R583,0)=0,1,ROUNDUP(R583,0))))</f>
        <v>1</v>
      </c>
      <c r="T583" s="8">
        <f t="shared" si="125"/>
        <v>1</v>
      </c>
      <c r="U583" s="8">
        <f>IFERROR(VLOOKUP($B583,Input!$AC$2:$AE$161,3,0),0)</f>
        <v>0</v>
      </c>
      <c r="V583" s="256">
        <f t="shared" si="126"/>
        <v>0</v>
      </c>
      <c r="W583" s="263">
        <f t="shared" si="127"/>
        <v>0</v>
      </c>
      <c r="X583" s="68"/>
      <c r="Y583" s="68"/>
      <c r="Z583" s="68"/>
      <c r="AA583" s="68"/>
      <c r="AB583" s="68"/>
      <c r="AC583" s="68"/>
      <c r="AD583" s="68"/>
      <c r="AE583" s="68"/>
      <c r="AF583" s="68"/>
      <c r="AG583" s="68"/>
      <c r="AH583" s="68"/>
      <c r="AI583" s="68"/>
      <c r="AJ583" s="68">
        <v>1</v>
      </c>
      <c r="AL583" s="68">
        <v>1</v>
      </c>
      <c r="AM583" s="68"/>
      <c r="AN583" s="68"/>
      <c r="AO583" s="68"/>
      <c r="AQ583" s="68"/>
      <c r="AR583" s="68"/>
      <c r="AS583" s="68"/>
      <c r="AT583" s="68"/>
      <c r="AU583" s="68"/>
      <c r="AV583" s="68"/>
      <c r="AW583" s="68"/>
      <c r="AX583" s="68"/>
      <c r="AY583" s="68"/>
      <c r="AZ583" s="68"/>
      <c r="BB583" s="68"/>
      <c r="BC583" s="68"/>
      <c r="BJ583" s="68"/>
      <c r="BT583">
        <v>1</v>
      </c>
      <c r="BV583">
        <v>1</v>
      </c>
      <c r="BX583" s="68"/>
      <c r="BY583" s="68">
        <v>1</v>
      </c>
      <c r="BZ583" s="68" t="s">
        <v>1057</v>
      </c>
      <c r="CA583" s="68" t="s">
        <v>1057</v>
      </c>
      <c r="CB583" s="68" t="s">
        <v>1057</v>
      </c>
      <c r="CC583" s="68" t="e">
        <f t="shared" si="128"/>
        <v>#DIV/0!</v>
      </c>
      <c r="CD583" s="68" t="str">
        <f t="shared" si="129"/>
        <v>NA</v>
      </c>
    </row>
    <row r="584" spans="1:82" ht="15.75" customHeight="1" thickBot="1" x14ac:dyDescent="0.3">
      <c r="A584" s="9">
        <v>583</v>
      </c>
      <c r="B584" s="10" t="s">
        <v>382</v>
      </c>
      <c r="C584" s="10" t="s">
        <v>117</v>
      </c>
      <c r="D584" s="10" t="s">
        <v>19</v>
      </c>
      <c r="E584" s="51">
        <v>-167.300215159164</v>
      </c>
      <c r="F584" s="51">
        <v>1.8021828667875901</v>
      </c>
      <c r="G584" s="51">
        <v>4.0175585323993097</v>
      </c>
      <c r="H584" s="51">
        <v>-5.2297329257738001E-2</v>
      </c>
      <c r="I584" s="11" t="s">
        <v>1057</v>
      </c>
      <c r="J584" s="51">
        <v>2.7919988890968002</v>
      </c>
      <c r="K584" s="249">
        <f>IFERROR(VLOOKUP(C584,Schedule!$T$3:$U$34,2,0),"FA")</f>
        <v>8</v>
      </c>
      <c r="L584" s="10" t="str">
        <f>D584&amp;COUNTIF(D$2:$D584,D584)</f>
        <v>RB178</v>
      </c>
      <c r="M584" s="51">
        <f t="array" ref="M584">IFERROR(F584-AVERAGE(VLOOKUP(D584,$D585:$F$885,3,0),INDEX($F585:$F$885,SMALL(IF(D584=$D585:$D$885,ROW($D585:$D$885)-ROW(D584)),2))),0)</f>
        <v>0.36417416843406492</v>
      </c>
      <c r="N584" s="51">
        <f>IFERROR(IF(VLOOKUP($B584,Input!$AC$2:$AC$162,1,0)=$B584,0),F584)</f>
        <v>1.8021828667875901</v>
      </c>
      <c r="O584" s="51">
        <f>IFERROR(IF(VLOOKUP($B584,Input!$AC$2:$AC$162,1,0)=$B584,0,G584),G584)</f>
        <v>4.0175585323993097</v>
      </c>
      <c r="P584" s="51">
        <f>IF(N584=0,0,F584-AVERAGE(INDEX(F:F,MATCH(VLOOKUP(D584,Input!$A$14:$L$22,10,0),L:L,0)),INDEX(F:F,MATCH(VLOOKUP(D584,Input!$A$14:$L$22,11,0),L:L,0)),INDEX(F:F,MATCH(VLOOKUP(D584,Input!$A$14:$L$22,12,0),L:L,0)))+(0.01-ROW()*0.01))</f>
        <v>-173.13021515916441</v>
      </c>
      <c r="Q584" s="107">
        <f t="shared" si="124"/>
        <v>-5.9728702091467099E-2</v>
      </c>
      <c r="R584" s="11">
        <f>IF(VLOOKUP($D584,$X$14:$Y$19,2,0)&lt;=0,1,IF(Q584&lt;0,1,ROUNDUP(IF(Q584*('Draft Center'!$L$28+'Draft Center'!$L$78-'Draft Center'!$L$82)&lt;1,1,Q584*('Draft Center'!$L$28+'Draft Center'!$L$78-'Draft Center'!$L$82)),0)))</f>
        <v>1</v>
      </c>
      <c r="S584" s="11">
        <f>IF(A584&lt;Input!$B$10+0.1,IF(ROUNDUP(R584*Input!$C$10,0)=0,1,ROUNDUP(R584*Input!$C$10,0)),IF(A584&gt;Input!$B$11,IF(ROUNDUP(R584*Input!$C$11,0)=0,1,ROUNDUP(R584*Input!$C$11,0)),IF(ROUNDUP(R584,0)=0,1,ROUNDUP(R584,0))))</f>
        <v>1</v>
      </c>
      <c r="T584" s="11">
        <f t="shared" si="125"/>
        <v>1</v>
      </c>
      <c r="U584" s="11">
        <f>IFERROR(VLOOKUP($B584,Input!$AC$2:$AE$161,3,0),0)</f>
        <v>0</v>
      </c>
      <c r="V584" s="257">
        <f t="shared" si="126"/>
        <v>0</v>
      </c>
      <c r="W584" s="264">
        <f t="shared" si="127"/>
        <v>0</v>
      </c>
      <c r="X584" s="68"/>
      <c r="Y584" s="68"/>
      <c r="Z584" s="68"/>
      <c r="AA584" s="68"/>
      <c r="AB584" s="68"/>
      <c r="AC584" s="68"/>
      <c r="AD584" s="68"/>
      <c r="AE584" s="68"/>
      <c r="AF584" s="68"/>
      <c r="AG584" s="68"/>
      <c r="AH584" s="68"/>
      <c r="AI584" s="68"/>
      <c r="AJ584" s="68">
        <v>1</v>
      </c>
      <c r="AL584" s="68">
        <v>1</v>
      </c>
      <c r="AM584" s="68"/>
      <c r="AN584" s="68"/>
      <c r="AO584" s="68"/>
      <c r="AQ584" s="68"/>
      <c r="AR584" s="68"/>
      <c r="AS584" s="68"/>
      <c r="AT584" s="68"/>
      <c r="AU584" s="68"/>
      <c r="AV584" s="68"/>
      <c r="AW584" s="68"/>
      <c r="AX584" s="68"/>
      <c r="AY584" s="68"/>
      <c r="AZ584" s="68"/>
      <c r="BB584" s="68"/>
      <c r="BC584" s="68"/>
      <c r="BJ584" s="68"/>
      <c r="BT584">
        <v>1</v>
      </c>
      <c r="BV584">
        <v>1</v>
      </c>
      <c r="BX584" s="68"/>
      <c r="BY584" s="68">
        <v>1</v>
      </c>
      <c r="BZ584" s="68" t="s">
        <v>1057</v>
      </c>
      <c r="CA584" s="68" t="s">
        <v>1057</v>
      </c>
      <c r="CB584" s="68" t="s">
        <v>1057</v>
      </c>
      <c r="CC584" s="68" t="e">
        <f t="shared" si="128"/>
        <v>#DIV/0!</v>
      </c>
      <c r="CD584" s="68" t="str">
        <f t="shared" si="129"/>
        <v>NA</v>
      </c>
    </row>
    <row r="585" spans="1:82" ht="15.75" customHeight="1" thickBot="1" x14ac:dyDescent="0.3">
      <c r="A585" s="6">
        <v>584</v>
      </c>
      <c r="B585" s="7" t="s">
        <v>989</v>
      </c>
      <c r="C585" s="7" t="s">
        <v>35</v>
      </c>
      <c r="D585" s="7" t="s">
        <v>19</v>
      </c>
      <c r="E585" s="50">
        <v>-167.39164533778001</v>
      </c>
      <c r="F585" s="50">
        <v>1.7107526881720401</v>
      </c>
      <c r="G585" s="50">
        <v>2.8997674418604702</v>
      </c>
      <c r="H585" s="50">
        <v>0</v>
      </c>
      <c r="I585" s="8" t="s">
        <v>1057</v>
      </c>
      <c r="J585" s="50">
        <v>2.8145141579280901</v>
      </c>
      <c r="K585" s="248">
        <f>IFERROR(VLOOKUP(C585,Schedule!$T$3:$U$34,2,0),"FA")</f>
        <v>6</v>
      </c>
      <c r="L585" s="7" t="str">
        <f>D585&amp;COUNTIF(D$2:$D585,D585)</f>
        <v>RB179</v>
      </c>
      <c r="M585" s="50">
        <f t="array" ref="M585">IFERROR(F585-AVERAGE(VLOOKUP(D585,$D586:$F$885,3,0),INDEX($F586:$F$885,SMALL(IF(D585=$D586:$D$885,ROW($D586:$D$885)-ROW(D585)),2))),0)</f>
        <v>0.64263646293679311</v>
      </c>
      <c r="N585" s="50">
        <f>IFERROR(IF(VLOOKUP($B585,Input!$AC$2:$AC$162,1,0)=$B585,0),F585)</f>
        <v>1.7107526881720401</v>
      </c>
      <c r="O585" s="50">
        <f>IFERROR(IF(VLOOKUP($B585,Input!$AC$2:$AC$162,1,0)=$B585,0,G585),G585)</f>
        <v>2.8997674418604702</v>
      </c>
      <c r="P585" s="50">
        <f>IF(N585=0,0,F585-AVERAGE(INDEX(F:F,MATCH(VLOOKUP(D585,Input!$A$14:$L$22,10,0),L:L,0)),INDEX(F:F,MATCH(VLOOKUP(D585,Input!$A$14:$L$22,11,0),L:L,0)),INDEX(F:F,MATCH(VLOOKUP(D585,Input!$A$14:$L$22,12,0),L:L,0)))+(0.01-ROW()*0.01))</f>
        <v>-173.23164533777995</v>
      </c>
      <c r="Q585" s="106">
        <f t="shared" si="124"/>
        <v>-5.9763694787086652E-2</v>
      </c>
      <c r="R585" s="8">
        <f>IF(VLOOKUP($D585,$X$14:$Y$19,2,0)&lt;=0,1,IF(Q585&lt;0,1,ROUNDUP(IF(Q585*('Draft Center'!$L$28+'Draft Center'!$L$78-'Draft Center'!$L$82)&lt;1,1,Q585*('Draft Center'!$L$28+'Draft Center'!$L$78-'Draft Center'!$L$82)),0)))</f>
        <v>1</v>
      </c>
      <c r="S585" s="8">
        <f>IF(A585&lt;Input!$B$10+0.1,IF(ROUNDUP(R585*Input!$C$10,0)=0,1,ROUNDUP(R585*Input!$C$10,0)),IF(A585&gt;Input!$B$11,IF(ROUNDUP(R585*Input!$C$11,0)=0,1,ROUNDUP(R585*Input!$C$11,0)),IF(ROUNDUP(R585,0)=0,1,ROUNDUP(R585,0))))</f>
        <v>1</v>
      </c>
      <c r="T585" s="8">
        <f t="shared" si="125"/>
        <v>1</v>
      </c>
      <c r="U585" s="8">
        <f>IFERROR(VLOOKUP($B585,Input!$AC$2:$AE$161,3,0),0)</f>
        <v>0</v>
      </c>
      <c r="V585" s="256">
        <f t="shared" si="126"/>
        <v>0</v>
      </c>
      <c r="W585" s="263">
        <f t="shared" si="127"/>
        <v>0</v>
      </c>
      <c r="X585" s="68"/>
      <c r="Y585" s="68"/>
      <c r="Z585" s="68"/>
      <c r="AA585" s="68"/>
      <c r="AB585" s="68"/>
      <c r="AC585" s="68"/>
      <c r="AD585" s="68"/>
      <c r="AE585" s="68"/>
      <c r="AF585" s="68"/>
      <c r="AG585" s="68"/>
      <c r="AH585" s="68"/>
      <c r="AI585" s="68"/>
      <c r="AJ585" s="68">
        <v>1</v>
      </c>
      <c r="AL585" s="68">
        <v>1</v>
      </c>
      <c r="AM585" s="68"/>
      <c r="AN585" s="68"/>
      <c r="AO585" s="68"/>
      <c r="AQ585" s="68"/>
      <c r="AR585" s="68"/>
      <c r="AS585" s="68"/>
      <c r="AT585" s="68"/>
      <c r="AU585" s="68"/>
      <c r="AV585" s="68"/>
      <c r="AW585" s="68"/>
      <c r="AX585" s="68"/>
      <c r="AY585" s="68"/>
      <c r="AZ585" s="68"/>
      <c r="BB585" s="68"/>
      <c r="BC585" s="68"/>
      <c r="BJ585" s="68"/>
      <c r="BT585">
        <v>1</v>
      </c>
      <c r="BV585">
        <v>1</v>
      </c>
      <c r="BX585" s="68"/>
      <c r="BY585" s="68">
        <v>1</v>
      </c>
      <c r="BZ585" s="68" t="s">
        <v>1057</v>
      </c>
      <c r="CA585" s="68" t="s">
        <v>1057</v>
      </c>
      <c r="CB585" s="68" t="s">
        <v>1057</v>
      </c>
      <c r="CC585" s="68" t="e">
        <f t="shared" si="128"/>
        <v>#DIV/0!</v>
      </c>
      <c r="CD585" s="68" t="str">
        <f t="shared" si="129"/>
        <v>NA</v>
      </c>
    </row>
    <row r="586" spans="1:82" ht="15.75" customHeight="1" thickBot="1" x14ac:dyDescent="0.3">
      <c r="A586" s="9">
        <v>585</v>
      </c>
      <c r="B586" s="10" t="s">
        <v>385</v>
      </c>
      <c r="C586" s="10" t="s">
        <v>16</v>
      </c>
      <c r="D586" s="10" t="s">
        <v>17</v>
      </c>
      <c r="E586" s="51">
        <v>-167.83524002851499</v>
      </c>
      <c r="F586" s="51">
        <v>44.942676240833599</v>
      </c>
      <c r="G586" s="51">
        <v>63.084444691945301</v>
      </c>
      <c r="H586" s="51">
        <v>19.009653870272398</v>
      </c>
      <c r="I586" s="11">
        <v>0</v>
      </c>
      <c r="J586" s="51">
        <v>5.5287449079223201</v>
      </c>
      <c r="K586" s="249">
        <f>IFERROR(VLOOKUP(C586,Schedule!$T$3:$U$34,2,0),"FA")</f>
        <v>9</v>
      </c>
      <c r="L586" s="10" t="str">
        <f>D586&amp;COUNTIF(D$2:$D586,D586)</f>
        <v>WR133</v>
      </c>
      <c r="M586" s="51">
        <f t="array" ref="M586">IFERROR(F586-AVERAGE(VLOOKUP(D586,$D587:$F$885,3,0),INDEX($F587:$F$885,SMALL(IF(D586=$D587:$D$885,ROW($D587:$D$885)-ROW(D586)),2))),0)</f>
        <v>1.339467653854804</v>
      </c>
      <c r="N586" s="51">
        <f>IFERROR(IF(VLOOKUP($B586,Input!$AC$2:$AC$162,1,0)=$B586,0),F586)</f>
        <v>44.942676240833599</v>
      </c>
      <c r="O586" s="51">
        <f>IFERROR(IF(VLOOKUP($B586,Input!$AC$2:$AC$162,1,0)=$B586,0,G586),G586)</f>
        <v>63.084444691945301</v>
      </c>
      <c r="P586" s="51">
        <f>IF(N586=0,0,F586-AVERAGE(INDEX(F:F,MATCH(VLOOKUP(D586,Input!$A$14:$L$22,10,0),L:L,0)),INDEX(F:F,MATCH(VLOOKUP(D586,Input!$A$14:$L$22,11,0),L:L,0)),INDEX(F:F,MATCH(VLOOKUP(D586,Input!$A$14:$L$22,12,0),L:L,0)))+(0.01-ROW()*0.01))</f>
        <v>-173.68524002851541</v>
      </c>
      <c r="Q586" s="107">
        <f t="shared" si="124"/>
        <v>-5.9920181753433353E-2</v>
      </c>
      <c r="R586" s="11">
        <f>IF(VLOOKUP($D586,$X$14:$Y$19,2,0)&lt;=0,1,IF(Q586&lt;0,1,ROUNDUP(IF(Q586*('Draft Center'!$L$28+'Draft Center'!$L$78-'Draft Center'!$L$82)&lt;1,1,Q586*('Draft Center'!$L$28+'Draft Center'!$L$78-'Draft Center'!$L$82)),0)))</f>
        <v>1</v>
      </c>
      <c r="S586" s="11">
        <f>IF(A586&lt;Input!$B$10+0.1,IF(ROUNDUP(R586*Input!$C$10,0)=0,1,ROUNDUP(R586*Input!$C$10,0)),IF(A586&gt;Input!$B$11,IF(ROUNDUP(R586*Input!$C$11,0)=0,1,ROUNDUP(R586*Input!$C$11,0)),IF(ROUNDUP(R586,0)=0,1,ROUNDUP(R586,0))))</f>
        <v>1</v>
      </c>
      <c r="T586" s="11">
        <f t="shared" si="125"/>
        <v>1</v>
      </c>
      <c r="U586" s="11">
        <f>IFERROR(VLOOKUP($B586,Input!$AC$2:$AE$161,3,0),0)</f>
        <v>0</v>
      </c>
      <c r="V586" s="257">
        <f t="shared" si="126"/>
        <v>0</v>
      </c>
      <c r="W586" s="264">
        <f t="shared" si="127"/>
        <v>1.00586</v>
      </c>
      <c r="X586" s="68"/>
      <c r="Y586" s="68"/>
      <c r="Z586" s="68"/>
      <c r="AA586" s="68"/>
      <c r="AB586" s="68"/>
      <c r="AC586" s="68"/>
      <c r="AD586" s="68"/>
      <c r="AE586" s="68"/>
      <c r="AF586" s="68"/>
      <c r="AG586" s="68"/>
      <c r="AH586" s="68"/>
      <c r="AI586" s="68"/>
      <c r="AJ586" s="68">
        <v>1</v>
      </c>
      <c r="AL586" s="68">
        <v>1</v>
      </c>
      <c r="AM586" s="68"/>
      <c r="AN586" s="68"/>
      <c r="AO586" s="68"/>
      <c r="AQ586" s="68"/>
      <c r="AR586" s="68"/>
      <c r="AS586" s="68"/>
      <c r="AT586" s="68"/>
      <c r="AU586" s="68"/>
      <c r="AV586" s="68"/>
      <c r="AW586" s="68"/>
      <c r="AX586" s="68"/>
      <c r="AY586" s="68"/>
      <c r="AZ586" s="68"/>
      <c r="BB586" s="68"/>
      <c r="BC586" s="68"/>
      <c r="BJ586" s="68"/>
      <c r="BT586">
        <v>1</v>
      </c>
      <c r="BV586">
        <v>1</v>
      </c>
      <c r="BX586" s="68"/>
      <c r="BY586" s="68">
        <v>1</v>
      </c>
      <c r="BZ586" s="68">
        <v>0</v>
      </c>
      <c r="CA586" s="68">
        <v>0</v>
      </c>
      <c r="CB586" s="68">
        <v>0</v>
      </c>
      <c r="CC586" s="68">
        <f t="shared" si="128"/>
        <v>0</v>
      </c>
      <c r="CD586" s="68">
        <f t="shared" si="129"/>
        <v>0</v>
      </c>
    </row>
    <row r="587" spans="1:82" ht="15.75" customHeight="1" thickBot="1" x14ac:dyDescent="0.3">
      <c r="A587" s="6">
        <v>586</v>
      </c>
      <c r="B587" s="7" t="s">
        <v>345</v>
      </c>
      <c r="C587" s="7" t="s">
        <v>21</v>
      </c>
      <c r="D587" s="7" t="s">
        <v>19</v>
      </c>
      <c r="E587" s="50">
        <v>-167.93713331741699</v>
      </c>
      <c r="F587" s="50">
        <v>1.1652647085350101</v>
      </c>
      <c r="G587" s="50">
        <v>2.4411849519928901</v>
      </c>
      <c r="H587" s="50">
        <v>-0.27741935483871</v>
      </c>
      <c r="I587" s="8">
        <v>0</v>
      </c>
      <c r="J587" s="50">
        <v>3.4065434624980599</v>
      </c>
      <c r="K587" s="248">
        <f>IFERROR(VLOOKUP(C587,Schedule!$T$3:$U$34,2,0),"FA")</f>
        <v>5</v>
      </c>
      <c r="L587" s="7" t="str">
        <f>D587&amp;COUNTIF(D$2:$D587,D587)</f>
        <v>RB180</v>
      </c>
      <c r="M587" s="50">
        <f t="array" ref="M587">IFERROR(F587-AVERAGE(VLOOKUP(D587,$D588:$F$885,3,0),INDEX($F588:$F$885,SMALL(IF(D587=$D588:$D$885,ROW($D588:$D$885)-ROW(D587)),2))),0)</f>
        <v>0.19842136608070104</v>
      </c>
      <c r="N587" s="50">
        <f>IFERROR(IF(VLOOKUP($B587,Input!$AC$2:$AC$162,1,0)=$B587,0),F587)</f>
        <v>1.1652647085350101</v>
      </c>
      <c r="O587" s="50">
        <f>IFERROR(IF(VLOOKUP($B587,Input!$AC$2:$AC$162,1,0)=$B587,0,G587),G587)</f>
        <v>2.4411849519928901</v>
      </c>
      <c r="P587" s="50">
        <f>IF(N587=0,0,F587-AVERAGE(INDEX(F:F,MATCH(VLOOKUP(D587,Input!$A$14:$L$22,10,0),L:L,0)),INDEX(F:F,MATCH(VLOOKUP(D587,Input!$A$14:$L$22,11,0),L:L,0)),INDEX(F:F,MATCH(VLOOKUP(D587,Input!$A$14:$L$22,12,0),L:L,0)))+(0.01-ROW()*0.01))</f>
        <v>-173.79713331741701</v>
      </c>
      <c r="Q587" s="106">
        <f t="shared" si="124"/>
        <v>-5.9958784148241753E-2</v>
      </c>
      <c r="R587" s="8">
        <f>IF(VLOOKUP($D587,$X$14:$Y$19,2,0)&lt;=0,1,IF(Q587&lt;0,1,ROUNDUP(IF(Q587*('Draft Center'!$L$28+'Draft Center'!$L$78-'Draft Center'!$L$82)&lt;1,1,Q587*('Draft Center'!$L$28+'Draft Center'!$L$78-'Draft Center'!$L$82)),0)))</f>
        <v>1</v>
      </c>
      <c r="S587" s="8">
        <f>IF(A587&lt;Input!$B$10+0.1,IF(ROUNDUP(R587*Input!$C$10,0)=0,1,ROUNDUP(R587*Input!$C$10,0)),IF(A587&gt;Input!$B$11,IF(ROUNDUP(R587*Input!$C$11,0)=0,1,ROUNDUP(R587*Input!$C$11,0)),IF(ROUNDUP(R587,0)=0,1,ROUNDUP(R587,0))))</f>
        <v>1</v>
      </c>
      <c r="T587" s="8">
        <f t="shared" si="125"/>
        <v>1</v>
      </c>
      <c r="U587" s="8">
        <f>IFERROR(VLOOKUP($B587,Input!$AC$2:$AE$161,3,0),0)</f>
        <v>0</v>
      </c>
      <c r="V587" s="256">
        <f t="shared" si="126"/>
        <v>0</v>
      </c>
      <c r="W587" s="263">
        <f t="shared" si="127"/>
        <v>1.00587</v>
      </c>
      <c r="X587" s="68"/>
      <c r="Y587" s="68"/>
      <c r="Z587" s="68"/>
      <c r="AA587" s="68"/>
      <c r="AB587" s="68"/>
      <c r="AC587" s="68"/>
      <c r="AD587" s="68"/>
      <c r="AE587" s="68"/>
      <c r="AF587" s="68"/>
      <c r="AG587" s="68"/>
      <c r="AH587" s="68"/>
      <c r="AI587" s="68"/>
      <c r="AJ587" s="68">
        <v>1</v>
      </c>
      <c r="AL587" s="68">
        <v>1</v>
      </c>
      <c r="AM587" s="68"/>
      <c r="AN587" s="68"/>
      <c r="AO587" s="68"/>
      <c r="AQ587" s="68"/>
      <c r="AR587" s="68"/>
      <c r="AS587" s="68"/>
      <c r="AT587" s="68"/>
      <c r="AU587" s="68"/>
      <c r="AV587" s="68"/>
      <c r="AW587" s="68"/>
      <c r="AX587" s="68"/>
      <c r="AY587" s="68"/>
      <c r="AZ587" s="68"/>
      <c r="BB587" s="68"/>
      <c r="BC587" s="68"/>
      <c r="BJ587" s="68"/>
      <c r="BT587">
        <v>1</v>
      </c>
      <c r="BV587">
        <v>1</v>
      </c>
      <c r="BX587" s="68"/>
      <c r="BY587" s="68">
        <v>1</v>
      </c>
      <c r="BZ587" s="68">
        <v>0</v>
      </c>
      <c r="CA587" s="68">
        <v>0</v>
      </c>
      <c r="CB587" s="68">
        <v>0</v>
      </c>
      <c r="CC587" s="68">
        <f t="shared" si="128"/>
        <v>0</v>
      </c>
      <c r="CD587" s="68">
        <f t="shared" si="129"/>
        <v>0</v>
      </c>
    </row>
    <row r="588" spans="1:82" ht="15.75" customHeight="1" thickBot="1" x14ac:dyDescent="0.3">
      <c r="A588" s="9">
        <v>587</v>
      </c>
      <c r="B588" s="10" t="s">
        <v>409</v>
      </c>
      <c r="C588" s="10" t="s">
        <v>36</v>
      </c>
      <c r="D588" s="10" t="s">
        <v>19</v>
      </c>
      <c r="E588" s="51">
        <v>-168.13143028401601</v>
      </c>
      <c r="F588" s="51">
        <v>0.97096774193548396</v>
      </c>
      <c r="G588" s="51">
        <v>1.64581395348837</v>
      </c>
      <c r="H588" s="51">
        <v>0</v>
      </c>
      <c r="I588" s="11" t="s">
        <v>1057</v>
      </c>
      <c r="J588" s="51">
        <v>2.6140763754148302</v>
      </c>
      <c r="K588" s="249">
        <f>IFERROR(VLOOKUP(C588,Schedule!$T$3:$U$34,2,0),"FA")</f>
        <v>7</v>
      </c>
      <c r="L588" s="10" t="str">
        <f>D588&amp;COUNTIF(D$2:$D588,D588)</f>
        <v>RB181</v>
      </c>
      <c r="M588" s="51">
        <f t="array" ref="M588">IFERROR(F588-AVERAGE(VLOOKUP(D588,$D589:$F$885,3,0),INDEX($F589:$F$885,SMALL(IF(D588=$D589:$D$885,ROW($D589:$D$885)-ROW(D588)),2))),0)</f>
        <v>0.20627020226709891</v>
      </c>
      <c r="N588" s="51">
        <f>IFERROR(IF(VLOOKUP($B588,Input!$AC$2:$AC$162,1,0)=$B588,0),F588)</f>
        <v>0.97096774193548396</v>
      </c>
      <c r="O588" s="51">
        <f>IFERROR(IF(VLOOKUP($B588,Input!$AC$2:$AC$162,1,0)=$B588,0,G588),G588)</f>
        <v>1.64581395348837</v>
      </c>
      <c r="P588" s="51">
        <f>IF(N588=0,0,F588-AVERAGE(INDEX(F:F,MATCH(VLOOKUP(D588,Input!$A$14:$L$22,10,0),L:L,0)),INDEX(F:F,MATCH(VLOOKUP(D588,Input!$A$14:$L$22,11,0),L:L,0)),INDEX(F:F,MATCH(VLOOKUP(D588,Input!$A$14:$L$22,12,0),L:L,0)))+(0.01-ROW()*0.01))</f>
        <v>-174.00143028401652</v>
      </c>
      <c r="Q588" s="107">
        <f t="shared" si="124"/>
        <v>-6.002926515957184E-2</v>
      </c>
      <c r="R588" s="11">
        <f>IF(VLOOKUP($D588,$X$14:$Y$19,2,0)&lt;=0,1,IF(Q588&lt;0,1,ROUNDUP(IF(Q588*('Draft Center'!$L$28+'Draft Center'!$L$78-'Draft Center'!$L$82)&lt;1,1,Q588*('Draft Center'!$L$28+'Draft Center'!$L$78-'Draft Center'!$L$82)),0)))</f>
        <v>1</v>
      </c>
      <c r="S588" s="11">
        <f>IF(A588&lt;Input!$B$10+0.1,IF(ROUNDUP(R588*Input!$C$10,0)=0,1,ROUNDUP(R588*Input!$C$10,0)),IF(A588&gt;Input!$B$11,IF(ROUNDUP(R588*Input!$C$11,0)=0,1,ROUNDUP(R588*Input!$C$11,0)),IF(ROUNDUP(R588,0)=0,1,ROUNDUP(R588,0))))</f>
        <v>1</v>
      </c>
      <c r="T588" s="11">
        <f t="shared" si="125"/>
        <v>1</v>
      </c>
      <c r="U588" s="11">
        <f>IFERROR(VLOOKUP($B588,Input!$AC$2:$AE$161,3,0),0)</f>
        <v>0</v>
      </c>
      <c r="V588" s="257">
        <f t="shared" si="126"/>
        <v>0</v>
      </c>
      <c r="W588" s="264">
        <f t="shared" si="127"/>
        <v>0</v>
      </c>
      <c r="X588" s="68"/>
      <c r="Y588" s="68"/>
      <c r="Z588" s="68"/>
      <c r="AA588" s="68"/>
      <c r="AB588" s="68"/>
      <c r="AC588" s="68"/>
      <c r="AD588" s="68"/>
      <c r="AE588" s="68"/>
      <c r="AF588" s="68"/>
      <c r="AG588" s="68"/>
      <c r="AH588" s="68"/>
      <c r="AI588" s="68"/>
      <c r="AJ588" s="68">
        <v>1</v>
      </c>
      <c r="AL588" s="68">
        <v>1</v>
      </c>
      <c r="AM588" s="68"/>
      <c r="AN588" s="68"/>
      <c r="AO588" s="68"/>
      <c r="AQ588" s="68"/>
      <c r="AR588" s="68"/>
      <c r="AS588" s="68"/>
      <c r="AT588" s="68"/>
      <c r="AU588" s="68"/>
      <c r="AV588" s="68"/>
      <c r="AW588" s="68"/>
      <c r="AX588" s="68"/>
      <c r="AY588" s="68"/>
      <c r="AZ588" s="68"/>
      <c r="BB588" s="68"/>
      <c r="BC588" s="68"/>
      <c r="BJ588" s="68"/>
      <c r="BT588">
        <v>1</v>
      </c>
      <c r="BV588">
        <v>1</v>
      </c>
      <c r="BX588" s="68"/>
      <c r="BY588" s="68">
        <v>1</v>
      </c>
      <c r="BZ588" s="68" t="s">
        <v>1057</v>
      </c>
      <c r="CA588" s="68" t="s">
        <v>1057</v>
      </c>
      <c r="CB588" s="68" t="s">
        <v>1057</v>
      </c>
      <c r="CC588" s="68" t="e">
        <f t="shared" si="128"/>
        <v>#DIV/0!</v>
      </c>
      <c r="CD588" s="68" t="str">
        <f t="shared" si="129"/>
        <v>NA</v>
      </c>
    </row>
    <row r="589" spans="1:82" ht="15.75" customHeight="1" thickBot="1" x14ac:dyDescent="0.3">
      <c r="A589" s="6">
        <v>588</v>
      </c>
      <c r="B589" s="7" t="s">
        <v>426</v>
      </c>
      <c r="C589" s="7" t="s">
        <v>93</v>
      </c>
      <c r="D589" s="7" t="s">
        <v>19</v>
      </c>
      <c r="E589" s="50">
        <v>-168.139679082979</v>
      </c>
      <c r="F589" s="50">
        <v>0.96271894297313398</v>
      </c>
      <c r="G589" s="50">
        <v>3.4609924057724801</v>
      </c>
      <c r="H589" s="50">
        <v>-1.38389574759945</v>
      </c>
      <c r="I589" s="8">
        <v>0</v>
      </c>
      <c r="J589" s="50">
        <v>2.7603544567843801</v>
      </c>
      <c r="K589" s="248">
        <f>IFERROR(VLOOKUP(C589,Schedule!$T$3:$U$34,2,0),"FA")</f>
        <v>11</v>
      </c>
      <c r="L589" s="7" t="str">
        <f>D589&amp;COUNTIF(D$2:$D589,D589)</f>
        <v>RB182</v>
      </c>
      <c r="M589" s="50">
        <f t="array" ref="M589">IFERROR(F589-AVERAGE(VLOOKUP(D589,$D590:$F$885,3,0),INDEX($F590:$F$885,SMALL(IF(D589=$D590:$D$885,ROW($D590:$D$885)-ROW(D589)),2))),0)</f>
        <v>0.54067119737196101</v>
      </c>
      <c r="N589" s="50">
        <f>IFERROR(IF(VLOOKUP($B589,Input!$AC$2:$AC$162,1,0)=$B589,0),F589)</f>
        <v>0.96271894297313398</v>
      </c>
      <c r="O589" s="50">
        <f>IFERROR(IF(VLOOKUP($B589,Input!$AC$2:$AC$162,1,0)=$B589,0,G589),G589)</f>
        <v>3.4609924057724801</v>
      </c>
      <c r="P589" s="50">
        <f>IF(N589=0,0,F589-AVERAGE(INDEX(F:F,MATCH(VLOOKUP(D589,Input!$A$14:$L$22,10,0),L:L,0)),INDEX(F:F,MATCH(VLOOKUP(D589,Input!$A$14:$L$22,11,0),L:L,0)),INDEX(F:F,MATCH(VLOOKUP(D589,Input!$A$14:$L$22,12,0),L:L,0)))+(0.01-ROW()*0.01))</f>
        <v>-174.01967908297885</v>
      </c>
      <c r="Q589" s="106">
        <f t="shared" si="124"/>
        <v>-6.0035560866394277E-2</v>
      </c>
      <c r="R589" s="8">
        <f>IF(VLOOKUP($D589,$X$14:$Y$19,2,0)&lt;=0,1,IF(Q589&lt;0,1,ROUNDUP(IF(Q589*('Draft Center'!$L$28+'Draft Center'!$L$78-'Draft Center'!$L$82)&lt;1,1,Q589*('Draft Center'!$L$28+'Draft Center'!$L$78-'Draft Center'!$L$82)),0)))</f>
        <v>1</v>
      </c>
      <c r="S589" s="8">
        <f>IF(A589&lt;Input!$B$10+0.1,IF(ROUNDUP(R589*Input!$C$10,0)=0,1,ROUNDUP(R589*Input!$C$10,0)),IF(A589&gt;Input!$B$11,IF(ROUNDUP(R589*Input!$C$11,0)=0,1,ROUNDUP(R589*Input!$C$11,0)),IF(ROUNDUP(R589,0)=0,1,ROUNDUP(R589,0))))</f>
        <v>1</v>
      </c>
      <c r="T589" s="8">
        <f t="shared" si="125"/>
        <v>1</v>
      </c>
      <c r="U589" s="8">
        <f>IFERROR(VLOOKUP($B589,Input!$AC$2:$AE$161,3,0),0)</f>
        <v>0</v>
      </c>
      <c r="V589" s="256">
        <f t="shared" si="126"/>
        <v>0</v>
      </c>
      <c r="W589" s="263">
        <f t="shared" si="127"/>
        <v>1.00589</v>
      </c>
      <c r="X589" s="68"/>
      <c r="Y589" s="68"/>
      <c r="Z589" s="68"/>
      <c r="AA589" s="68"/>
      <c r="AB589" s="68"/>
      <c r="AC589" s="68"/>
      <c r="AD589" s="68"/>
      <c r="AE589" s="68"/>
      <c r="AF589" s="68"/>
      <c r="AG589" s="68"/>
      <c r="AH589" s="68"/>
      <c r="AI589" s="68"/>
      <c r="AJ589" s="68">
        <v>1</v>
      </c>
      <c r="AL589" s="68">
        <v>1</v>
      </c>
      <c r="AM589" s="68"/>
      <c r="AN589" s="68"/>
      <c r="AO589" s="68"/>
      <c r="AQ589" s="68"/>
      <c r="AR589" s="68"/>
      <c r="AS589" s="68"/>
      <c r="AT589" s="68"/>
      <c r="AU589" s="68"/>
      <c r="AV589" s="68"/>
      <c r="AW589" s="68"/>
      <c r="AX589" s="68"/>
      <c r="AY589" s="68"/>
      <c r="AZ589" s="68"/>
      <c r="BB589" s="68"/>
      <c r="BC589" s="68"/>
      <c r="BJ589" s="68"/>
      <c r="BT589">
        <v>1</v>
      </c>
      <c r="BV589">
        <v>1</v>
      </c>
      <c r="BX589" s="68"/>
      <c r="BY589" s="68">
        <v>1</v>
      </c>
      <c r="BZ589" s="68">
        <v>0</v>
      </c>
      <c r="CA589" s="68">
        <v>0</v>
      </c>
      <c r="CB589" s="68">
        <v>0</v>
      </c>
      <c r="CC589" s="68">
        <f t="shared" si="128"/>
        <v>0</v>
      </c>
      <c r="CD589" s="68">
        <f t="shared" si="129"/>
        <v>0</v>
      </c>
    </row>
    <row r="590" spans="1:82" ht="15.75" customHeight="1" thickBot="1" x14ac:dyDescent="0.3">
      <c r="A590" s="9">
        <v>589</v>
      </c>
      <c r="B590" s="10" t="s">
        <v>298</v>
      </c>
      <c r="C590" s="10" t="s">
        <v>33</v>
      </c>
      <c r="D590" s="10" t="s">
        <v>17</v>
      </c>
      <c r="E590" s="51">
        <v>-168.19093942687999</v>
      </c>
      <c r="F590" s="51">
        <v>44.586976842469497</v>
      </c>
      <c r="G590" s="51">
        <v>65.6953816505372</v>
      </c>
      <c r="H590" s="51">
        <v>15.609411013129501</v>
      </c>
      <c r="I590" s="11">
        <v>0</v>
      </c>
      <c r="J590" s="51">
        <v>5.3080513269468099</v>
      </c>
      <c r="K590" s="249">
        <f>IFERROR(VLOOKUP(C590,Schedule!$T$3:$U$34,2,0),"FA")</f>
        <v>9</v>
      </c>
      <c r="L590" s="10" t="str">
        <f>D590&amp;COUNTIF(D$2:$D590,D590)</f>
        <v>WR134</v>
      </c>
      <c r="M590" s="51">
        <f t="array" ref="M590">IFERROR(F590-AVERAGE(VLOOKUP(D590,$D591:$F$885,3,0),INDEX($F591:$F$885,SMALL(IF(D590=$D591:$D$885,ROW($D591:$D$885)-ROW(D590)),2))),0)</f>
        <v>2.0494367097564492</v>
      </c>
      <c r="N590" s="51">
        <f>IFERROR(IF(VLOOKUP($B590,Input!$AC$2:$AC$162,1,0)=$B590,0),F590)</f>
        <v>44.586976842469497</v>
      </c>
      <c r="O590" s="51">
        <f>IFERROR(IF(VLOOKUP($B590,Input!$AC$2:$AC$162,1,0)=$B590,0,G590),G590)</f>
        <v>65.6953816505372</v>
      </c>
      <c r="P590" s="51">
        <f>IF(N590=0,0,F590-AVERAGE(INDEX(F:F,MATCH(VLOOKUP(D590,Input!$A$14:$L$22,10,0),L:L,0)),INDEX(F:F,MATCH(VLOOKUP(D590,Input!$A$14:$L$22,11,0),L:L,0)),INDEX(F:F,MATCH(VLOOKUP(D590,Input!$A$14:$L$22,12,0),L:L,0)))+(0.01-ROW()*0.01))</f>
        <v>-174.08093942687952</v>
      </c>
      <c r="Q590" s="107">
        <f t="shared" si="124"/>
        <v>-6.0056695252598907E-2</v>
      </c>
      <c r="R590" s="11">
        <f>IF(VLOOKUP($D590,$X$14:$Y$19,2,0)&lt;=0,1,IF(Q590&lt;0,1,ROUNDUP(IF(Q590*('Draft Center'!$L$28+'Draft Center'!$L$78-'Draft Center'!$L$82)&lt;1,1,Q590*('Draft Center'!$L$28+'Draft Center'!$L$78-'Draft Center'!$L$82)),0)))</f>
        <v>1</v>
      </c>
      <c r="S590" s="11">
        <f>IF(A590&lt;Input!$B$10+0.1,IF(ROUNDUP(R590*Input!$C$10,0)=0,1,ROUNDUP(R590*Input!$C$10,0)),IF(A590&gt;Input!$B$11,IF(ROUNDUP(R590*Input!$C$11,0)=0,1,ROUNDUP(R590*Input!$C$11,0)),IF(ROUNDUP(R590,0)=0,1,ROUNDUP(R590,0))))</f>
        <v>1</v>
      </c>
      <c r="T590" s="11">
        <f t="shared" si="125"/>
        <v>1</v>
      </c>
      <c r="U590" s="11">
        <f>IFERROR(VLOOKUP($B590,Input!$AC$2:$AE$161,3,0),0)</f>
        <v>0</v>
      </c>
      <c r="V590" s="257">
        <f t="shared" si="126"/>
        <v>0</v>
      </c>
      <c r="W590" s="264">
        <f t="shared" si="127"/>
        <v>1.0059</v>
      </c>
      <c r="X590" s="68"/>
      <c r="Y590" s="68"/>
      <c r="Z590" s="68"/>
      <c r="AA590" s="68"/>
      <c r="AB590" s="68"/>
      <c r="AC590" s="68"/>
      <c r="AD590" s="68"/>
      <c r="AE590" s="68"/>
      <c r="AF590" s="68"/>
      <c r="AG590" s="68"/>
      <c r="AH590" s="68"/>
      <c r="AI590" s="68"/>
      <c r="AJ590" s="68">
        <v>1</v>
      </c>
      <c r="AL590" s="68">
        <v>1</v>
      </c>
      <c r="AM590" s="68"/>
      <c r="AN590" s="68"/>
      <c r="AO590" s="68"/>
      <c r="AQ590" s="68"/>
      <c r="AR590" s="68"/>
      <c r="AS590" s="68"/>
      <c r="AT590" s="68"/>
      <c r="AU590" s="68"/>
      <c r="AV590" s="68"/>
      <c r="AW590" s="68"/>
      <c r="AX590" s="68"/>
      <c r="AY590" s="68"/>
      <c r="AZ590" s="68"/>
      <c r="BB590" s="68"/>
      <c r="BC590" s="68"/>
      <c r="BJ590" s="68"/>
      <c r="BT590">
        <v>1</v>
      </c>
      <c r="BV590">
        <v>1</v>
      </c>
      <c r="BX590" s="68"/>
      <c r="BY590" s="68">
        <v>1</v>
      </c>
      <c r="BZ590" s="68">
        <v>0</v>
      </c>
      <c r="CA590" s="68">
        <v>0</v>
      </c>
      <c r="CB590" s="68">
        <v>0</v>
      </c>
      <c r="CC590" s="68">
        <f t="shared" si="128"/>
        <v>0</v>
      </c>
      <c r="CD590" s="68">
        <f t="shared" si="129"/>
        <v>0</v>
      </c>
    </row>
    <row r="591" spans="1:82" ht="15.75" customHeight="1" thickBot="1" x14ac:dyDescent="0.3">
      <c r="A591" s="6">
        <v>590</v>
      </c>
      <c r="B591" s="7" t="s">
        <v>406</v>
      </c>
      <c r="C591" s="7" t="s">
        <v>36</v>
      </c>
      <c r="D591" s="7" t="s">
        <v>19</v>
      </c>
      <c r="E591" s="50">
        <v>-168.53572188958799</v>
      </c>
      <c r="F591" s="50">
        <v>0.56667613636363601</v>
      </c>
      <c r="G591" s="50">
        <v>1.19917909021407</v>
      </c>
      <c r="H591" s="50">
        <v>0</v>
      </c>
      <c r="I591" s="8" t="s">
        <v>1057</v>
      </c>
      <c r="J591" s="50">
        <v>4.0697310167569496</v>
      </c>
      <c r="K591" s="248">
        <f>IFERROR(VLOOKUP(C591,Schedule!$T$3:$U$34,2,0),"FA")</f>
        <v>7</v>
      </c>
      <c r="L591" s="7" t="str">
        <f>D591&amp;COUNTIF(D$2:$D591,D591)</f>
        <v>RB183</v>
      </c>
      <c r="M591" s="50">
        <f t="array" ref="M591">IFERROR(F591-AVERAGE(VLOOKUP(D591,$D592:$F$885,3,0),INDEX($F592:$F$885,SMALL(IF(D591=$D592:$D$885,ROW($D592:$D$885)-ROW(D591)),2))),0)</f>
        <v>0.41248350439882647</v>
      </c>
      <c r="N591" s="50">
        <f>IFERROR(IF(VLOOKUP($B591,Input!$AC$2:$AC$162,1,0)=$B591,0),F591)</f>
        <v>0.56667613636363601</v>
      </c>
      <c r="O591" s="50">
        <f>IFERROR(IF(VLOOKUP($B591,Input!$AC$2:$AC$162,1,0)=$B591,0,G591),G591)</f>
        <v>1.19917909021407</v>
      </c>
      <c r="P591" s="50">
        <f>IF(N591=0,0,F591-AVERAGE(INDEX(F:F,MATCH(VLOOKUP(D591,Input!$A$14:$L$22,10,0),L:L,0)),INDEX(F:F,MATCH(VLOOKUP(D591,Input!$A$14:$L$22,11,0),L:L,0)),INDEX(F:F,MATCH(VLOOKUP(D591,Input!$A$14:$L$22,12,0),L:L,0)))+(0.01-ROW()*0.01))</f>
        <v>-174.43572188958836</v>
      </c>
      <c r="Q591" s="106">
        <f t="shared" si="124"/>
        <v>-6.017909269779894E-2</v>
      </c>
      <c r="R591" s="8">
        <f>IF(VLOOKUP($D591,$X$14:$Y$19,2,0)&lt;=0,1,IF(Q591&lt;0,1,ROUNDUP(IF(Q591*('Draft Center'!$L$28+'Draft Center'!$L$78-'Draft Center'!$L$82)&lt;1,1,Q591*('Draft Center'!$L$28+'Draft Center'!$L$78-'Draft Center'!$L$82)),0)))</f>
        <v>1</v>
      </c>
      <c r="S591" s="8">
        <f>IF(A591&lt;Input!$B$10+0.1,IF(ROUNDUP(R591*Input!$C$10,0)=0,1,ROUNDUP(R591*Input!$C$10,0)),IF(A591&gt;Input!$B$11,IF(ROUNDUP(R591*Input!$C$11,0)=0,1,ROUNDUP(R591*Input!$C$11,0)),IF(ROUNDUP(R591,0)=0,1,ROUNDUP(R591,0))))</f>
        <v>1</v>
      </c>
      <c r="T591" s="8">
        <f t="shared" si="125"/>
        <v>1</v>
      </c>
      <c r="U591" s="8">
        <f>IFERROR(VLOOKUP($B591,Input!$AC$2:$AE$161,3,0),0)</f>
        <v>0</v>
      </c>
      <c r="V591" s="256">
        <f t="shared" si="126"/>
        <v>0</v>
      </c>
      <c r="W591" s="263">
        <f t="shared" si="127"/>
        <v>0</v>
      </c>
      <c r="X591" s="68"/>
      <c r="Y591" s="68"/>
      <c r="Z591" s="68"/>
      <c r="AA591" s="68"/>
      <c r="AB591" s="68"/>
      <c r="AC591" s="68"/>
      <c r="AD591" s="68"/>
      <c r="AE591" s="68"/>
      <c r="AF591" s="68"/>
      <c r="AG591" s="68"/>
      <c r="AH591" s="68"/>
      <c r="AI591" s="68"/>
      <c r="AJ591" s="68">
        <v>1</v>
      </c>
      <c r="AL591" s="68">
        <v>1</v>
      </c>
      <c r="AM591" s="68"/>
      <c r="AN591" s="68"/>
      <c r="AO591" s="68"/>
      <c r="AQ591" s="68"/>
      <c r="AR591" s="68"/>
      <c r="AS591" s="68"/>
      <c r="AT591" s="68"/>
      <c r="AU591" s="68"/>
      <c r="AV591" s="68"/>
      <c r="AW591" s="68"/>
      <c r="AX591" s="68"/>
      <c r="AY591" s="68"/>
      <c r="AZ591" s="68"/>
      <c r="BB591" s="68"/>
      <c r="BC591" s="68"/>
      <c r="BJ591" s="68"/>
      <c r="BT591">
        <v>1</v>
      </c>
      <c r="BV591">
        <v>1</v>
      </c>
      <c r="BX591" s="68"/>
      <c r="BY591" s="68">
        <v>1</v>
      </c>
      <c r="BZ591" s="68" t="s">
        <v>1057</v>
      </c>
      <c r="CA591" s="68" t="s">
        <v>1057</v>
      </c>
      <c r="CB591" s="68" t="s">
        <v>1057</v>
      </c>
      <c r="CC591" s="68" t="e">
        <f t="shared" si="128"/>
        <v>#DIV/0!</v>
      </c>
      <c r="CD591" s="68" t="str">
        <f t="shared" si="129"/>
        <v>NA</v>
      </c>
    </row>
    <row r="592" spans="1:82" ht="15.75" customHeight="1" thickBot="1" x14ac:dyDescent="0.3">
      <c r="A592" s="9">
        <v>591</v>
      </c>
      <c r="B592" s="10" t="s">
        <v>349</v>
      </c>
      <c r="C592" s="10" t="s">
        <v>311</v>
      </c>
      <c r="D592" s="10" t="s">
        <v>19</v>
      </c>
      <c r="E592" s="51">
        <v>-168.824978671113</v>
      </c>
      <c r="F592" s="51">
        <v>0.27741935483871</v>
      </c>
      <c r="G592" s="51">
        <v>0.41284883720930199</v>
      </c>
      <c r="H592" s="51">
        <v>0</v>
      </c>
      <c r="I592" s="11" t="s">
        <v>1057</v>
      </c>
      <c r="J592" s="51">
        <v>2.41187251860948</v>
      </c>
      <c r="K592" s="249" t="str">
        <f>IFERROR(VLOOKUP(C592,Schedule!$T$3:$U$34,2,0),"FA")</f>
        <v>FA</v>
      </c>
      <c r="L592" s="10" t="str">
        <f>D592&amp;COUNTIF(D$2:$D592,D592)</f>
        <v>RB184</v>
      </c>
      <c r="M592" s="51">
        <f t="array" ref="M592">IFERROR(F592-AVERAGE(VLOOKUP(D592,$D593:$F$885,3,0),INDEX($F593:$F$885,SMALL(IF(D592=$D593:$D$885,ROW($D593:$D$885)-ROW(D592)),2))),0)</f>
        <v>0.25968743193011928</v>
      </c>
      <c r="N592" s="51">
        <f>IFERROR(IF(VLOOKUP($B592,Input!$AC$2:$AC$162,1,0)=$B592,0),F592)</f>
        <v>0.27741935483871</v>
      </c>
      <c r="O592" s="51">
        <f>IFERROR(IF(VLOOKUP($B592,Input!$AC$2:$AC$162,1,0)=$B592,0,G592),G592)</f>
        <v>0.41284883720930199</v>
      </c>
      <c r="P592" s="51">
        <f>IF(N592=0,0,F592-AVERAGE(INDEX(F:F,MATCH(VLOOKUP(D592,Input!$A$14:$L$22,10,0),L:L,0)),INDEX(F:F,MATCH(VLOOKUP(D592,Input!$A$14:$L$22,11,0),L:L,0)),INDEX(F:F,MATCH(VLOOKUP(D592,Input!$A$14:$L$22,12,0),L:L,0)))+(0.01-ROW()*0.01))</f>
        <v>-174.73497867111328</v>
      </c>
      <c r="Q592" s="107">
        <f t="shared" si="124"/>
        <v>-6.0282334174950228E-2</v>
      </c>
      <c r="R592" s="11">
        <f>IF(VLOOKUP($D592,$X$14:$Y$19,2,0)&lt;=0,1,IF(Q592&lt;0,1,ROUNDUP(IF(Q592*('Draft Center'!$L$28+'Draft Center'!$L$78-'Draft Center'!$L$82)&lt;1,1,Q592*('Draft Center'!$L$28+'Draft Center'!$L$78-'Draft Center'!$L$82)),0)))</f>
        <v>1</v>
      </c>
      <c r="S592" s="11">
        <f>IF(A592&lt;Input!$B$10+0.1,IF(ROUNDUP(R592*Input!$C$10,0)=0,1,ROUNDUP(R592*Input!$C$10,0)),IF(A592&gt;Input!$B$11,IF(ROUNDUP(R592*Input!$C$11,0)=0,1,ROUNDUP(R592*Input!$C$11,0)),IF(ROUNDUP(R592,0)=0,1,ROUNDUP(R592,0))))</f>
        <v>1</v>
      </c>
      <c r="T592" s="11">
        <f t="shared" si="125"/>
        <v>1</v>
      </c>
      <c r="U592" s="11">
        <f>IFERROR(VLOOKUP($B592,Input!$AC$2:$AE$161,3,0),0)</f>
        <v>0</v>
      </c>
      <c r="V592" s="257">
        <f t="shared" si="126"/>
        <v>0</v>
      </c>
      <c r="W592" s="264">
        <f t="shared" si="127"/>
        <v>0</v>
      </c>
      <c r="X592" s="68"/>
      <c r="Y592" s="68"/>
      <c r="Z592" s="68"/>
      <c r="AA592" s="68"/>
      <c r="AB592" s="68"/>
      <c r="AC592" s="68"/>
      <c r="AD592" s="68"/>
      <c r="AE592" s="68"/>
      <c r="AF592" s="68"/>
      <c r="AG592" s="68"/>
      <c r="AH592" s="68"/>
      <c r="AI592" s="68"/>
      <c r="AJ592" s="68">
        <v>1</v>
      </c>
      <c r="AL592" s="68">
        <v>1</v>
      </c>
      <c r="AM592" s="68"/>
      <c r="AN592" s="68"/>
      <c r="AO592" s="68"/>
      <c r="AQ592" s="68"/>
      <c r="AR592" s="68"/>
      <c r="AS592" s="68"/>
      <c r="AT592" s="68"/>
      <c r="AU592" s="68"/>
      <c r="AV592" s="68"/>
      <c r="AW592" s="68"/>
      <c r="AX592" s="68"/>
      <c r="AY592" s="68"/>
      <c r="AZ592" s="68"/>
      <c r="BB592" s="68"/>
      <c r="BC592" s="68"/>
      <c r="BJ592" s="68"/>
      <c r="BT592">
        <v>1</v>
      </c>
      <c r="BV592">
        <v>1</v>
      </c>
      <c r="BX592" s="68"/>
      <c r="BY592" s="68">
        <v>1</v>
      </c>
      <c r="BZ592" s="68" t="s">
        <v>1057</v>
      </c>
      <c r="CA592" s="68" t="s">
        <v>1057</v>
      </c>
      <c r="CB592" s="68" t="s">
        <v>1057</v>
      </c>
      <c r="CC592" s="68" t="e">
        <f t="shared" si="128"/>
        <v>#DIV/0!</v>
      </c>
      <c r="CD592" s="68" t="str">
        <f t="shared" si="129"/>
        <v>NA</v>
      </c>
    </row>
    <row r="593" spans="1:82" ht="15.75" customHeight="1" thickBot="1" x14ac:dyDescent="0.3">
      <c r="A593" s="6">
        <v>592</v>
      </c>
      <c r="B593" s="7" t="s">
        <v>410</v>
      </c>
      <c r="C593" s="7" t="s">
        <v>27</v>
      </c>
      <c r="D593" s="7" t="s">
        <v>19</v>
      </c>
      <c r="E593" s="50">
        <v>-169.07143211686099</v>
      </c>
      <c r="F593" s="50">
        <v>3.0965909090909099E-2</v>
      </c>
      <c r="G593" s="50">
        <v>5.7645259938837901E-2</v>
      </c>
      <c r="H593" s="50">
        <v>0</v>
      </c>
      <c r="I593" s="8" t="s">
        <v>1057</v>
      </c>
      <c r="J593" s="50">
        <v>2.3597012702320099</v>
      </c>
      <c r="K593" s="248">
        <f>IFERROR(VLOOKUP(C593,Schedule!$T$3:$U$34,2,0),"FA")</f>
        <v>8</v>
      </c>
      <c r="L593" s="7" t="str">
        <f>D593&amp;COUNTIF(D$2:$D593,D593)</f>
        <v>RB185</v>
      </c>
      <c r="M593" s="50">
        <f t="array" ref="M593">IFERROR(F593-AVERAGE(VLOOKUP(D593,$D594:$F$885,3,0),INDEX($F594:$F$885,SMALL(IF(D593=$D594:$D$885,ROW($D594:$D$885)-ROW(D593)),2))),0)</f>
        <v>2.8716940727772925E-2</v>
      </c>
      <c r="N593" s="50">
        <f>IFERROR(IF(VLOOKUP($B593,Input!$AC$2:$AC$162,1,0)=$B593,0),F593)</f>
        <v>3.0965909090909099E-2</v>
      </c>
      <c r="O593" s="50">
        <f>IFERROR(IF(VLOOKUP($B593,Input!$AC$2:$AC$162,1,0)=$B593,0,G593),G593)</f>
        <v>5.7645259938837901E-2</v>
      </c>
      <c r="P593" s="50">
        <f>IF(N593=0,0,F593-AVERAGE(INDEX(F:F,MATCH(VLOOKUP(D593,Input!$A$14:$L$22,10,0),L:L,0)),INDEX(F:F,MATCH(VLOOKUP(D593,Input!$A$14:$L$22,11,0),L:L,0)),INDEX(F:F,MATCH(VLOOKUP(D593,Input!$A$14:$L$22,12,0),L:L,0)))+(0.01-ROW()*0.01))</f>
        <v>-174.99143211686109</v>
      </c>
      <c r="Q593" s="106">
        <f t="shared" si="124"/>
        <v>-6.0370808803410198E-2</v>
      </c>
      <c r="R593" s="8">
        <f>IF(VLOOKUP($D593,$X$14:$Y$19,2,0)&lt;=0,1,IF(Q593&lt;0,1,ROUNDUP(IF(Q593*('Draft Center'!$L$28+'Draft Center'!$L$78-'Draft Center'!$L$82)&lt;1,1,Q593*('Draft Center'!$L$28+'Draft Center'!$L$78-'Draft Center'!$L$82)),0)))</f>
        <v>1</v>
      </c>
      <c r="S593" s="8">
        <f>IF(A593&lt;Input!$B$10+0.1,IF(ROUNDUP(R593*Input!$C$10,0)=0,1,ROUNDUP(R593*Input!$C$10,0)),IF(A593&gt;Input!$B$11,IF(ROUNDUP(R593*Input!$C$11,0)=0,1,ROUNDUP(R593*Input!$C$11,0)),IF(ROUNDUP(R593,0)=0,1,ROUNDUP(R593,0))))</f>
        <v>1</v>
      </c>
      <c r="T593" s="8">
        <f t="shared" si="125"/>
        <v>1</v>
      </c>
      <c r="U593" s="8">
        <f>IFERROR(VLOOKUP($B593,Input!$AC$2:$AE$161,3,0),0)</f>
        <v>0</v>
      </c>
      <c r="V593" s="256">
        <f t="shared" si="126"/>
        <v>0</v>
      </c>
      <c r="W593" s="263">
        <f t="shared" si="127"/>
        <v>0</v>
      </c>
      <c r="X593" s="68"/>
      <c r="Y593" s="68"/>
      <c r="Z593" s="68"/>
      <c r="AA593" s="68"/>
      <c r="AB593" s="68"/>
      <c r="AC593" s="68"/>
      <c r="AD593" s="68"/>
      <c r="AE593" s="68"/>
      <c r="AF593" s="68"/>
      <c r="AG593" s="68"/>
      <c r="AH593" s="68"/>
      <c r="AI593" s="68"/>
      <c r="AJ593" s="68">
        <v>1</v>
      </c>
      <c r="AL593" s="68">
        <v>1</v>
      </c>
      <c r="AM593" s="68"/>
      <c r="AN593" s="68"/>
      <c r="AO593" s="68"/>
      <c r="AQ593" s="68"/>
      <c r="AR593" s="68"/>
      <c r="AS593" s="68"/>
      <c r="AT593" s="68"/>
      <c r="AU593" s="68"/>
      <c r="AV593" s="68"/>
      <c r="AW593" s="68"/>
      <c r="AX593" s="68"/>
      <c r="AY593" s="68"/>
      <c r="AZ593" s="68"/>
      <c r="BB593" s="68"/>
      <c r="BC593" s="68"/>
      <c r="BJ593" s="68"/>
      <c r="BT593">
        <v>1</v>
      </c>
      <c r="BV593">
        <v>1</v>
      </c>
      <c r="BX593" s="68"/>
      <c r="BY593" s="68">
        <v>1</v>
      </c>
      <c r="BZ593" s="68" t="s">
        <v>1057</v>
      </c>
      <c r="CA593" s="68" t="s">
        <v>1057</v>
      </c>
      <c r="CB593" s="68" t="s">
        <v>1057</v>
      </c>
      <c r="CC593" s="68" t="e">
        <f t="shared" si="128"/>
        <v>#DIV/0!</v>
      </c>
      <c r="CD593" s="68" t="str">
        <f t="shared" si="129"/>
        <v>NA</v>
      </c>
    </row>
    <row r="594" spans="1:82" ht="15.75" customHeight="1" thickBot="1" x14ac:dyDescent="0.3">
      <c r="A594" s="9">
        <v>593</v>
      </c>
      <c r="B594" s="10" t="s">
        <v>1095</v>
      </c>
      <c r="C594" s="10" t="s">
        <v>45</v>
      </c>
      <c r="D594" s="10" t="s">
        <v>19</v>
      </c>
      <c r="E594" s="51">
        <v>-169.09790008922599</v>
      </c>
      <c r="F594" s="51">
        <v>4.4979367262723497E-3</v>
      </c>
      <c r="G594" s="51">
        <v>6.7706422018348599E-3</v>
      </c>
      <c r="H594" s="51">
        <v>0</v>
      </c>
      <c r="I594" s="11" t="s">
        <v>1057</v>
      </c>
      <c r="J594" s="51">
        <v>2.3520073420994501</v>
      </c>
      <c r="K594" s="249">
        <f>IFERROR(VLOOKUP(C594,Schedule!$T$3:$U$34,2,0),"FA")</f>
        <v>6</v>
      </c>
      <c r="L594" s="10" t="str">
        <f>D594&amp;COUNTIF(D$2:$D594,D594)</f>
        <v>RB186</v>
      </c>
      <c r="M594" s="51">
        <f t="array" ref="M594">IFERROR(F594-AVERAGE(VLOOKUP(D594,$D595:$F$885,3,0),INDEX($F595:$F$885,SMALL(IF(D594=$D595:$D$885,ROW($D595:$D$885)-ROW(D594)),2))),0)</f>
        <v>4.4979367262723497E-3</v>
      </c>
      <c r="N594" s="51">
        <f>IFERROR(IF(VLOOKUP($B594,Input!$AC$2:$AC$162,1,0)=$B594,0),F594)</f>
        <v>4.4979367262723497E-3</v>
      </c>
      <c r="O594" s="51">
        <f>IFERROR(IF(VLOOKUP($B594,Input!$AC$2:$AC$162,1,0)=$B594,0,G594),G594)</f>
        <v>6.7706422018348599E-3</v>
      </c>
      <c r="P594" s="51">
        <f>IF(N594=0,0,F594-AVERAGE(INDEX(F:F,MATCH(VLOOKUP(D594,Input!$A$14:$L$22,10,0),L:L,0)),INDEX(F:F,MATCH(VLOOKUP(D594,Input!$A$14:$L$22,11,0),L:L,0)),INDEX(F:F,MATCH(VLOOKUP(D594,Input!$A$14:$L$22,12,0),L:L,0)))+(0.01-ROW()*0.01))</f>
        <v>-175.02790008922574</v>
      </c>
      <c r="Q594" s="107">
        <f t="shared" si="124"/>
        <v>-6.0383389996445998E-2</v>
      </c>
      <c r="R594" s="11">
        <f>IF(VLOOKUP($D594,$X$14:$Y$19,2,0)&lt;=0,1,IF(Q594&lt;0,1,ROUNDUP(IF(Q594*('Draft Center'!$L$28+'Draft Center'!$L$78-'Draft Center'!$L$82)&lt;1,1,Q594*('Draft Center'!$L$28+'Draft Center'!$L$78-'Draft Center'!$L$82)),0)))</f>
        <v>1</v>
      </c>
      <c r="S594" s="11">
        <f>IF(A594&lt;Input!$B$10+0.1,IF(ROUNDUP(R594*Input!$C$10,0)=0,1,ROUNDUP(R594*Input!$C$10,0)),IF(A594&gt;Input!$B$11,IF(ROUNDUP(R594*Input!$C$11,0)=0,1,ROUNDUP(R594*Input!$C$11,0)),IF(ROUNDUP(R594,0)=0,1,ROUNDUP(R594,0))))</f>
        <v>1</v>
      </c>
      <c r="T594" s="11">
        <f t="shared" si="125"/>
        <v>1</v>
      </c>
      <c r="U594" s="11">
        <f>IFERROR(VLOOKUP($B594,Input!$AC$2:$AE$161,3,0),0)</f>
        <v>0</v>
      </c>
      <c r="V594" s="257">
        <f t="shared" si="126"/>
        <v>0</v>
      </c>
      <c r="W594" s="264">
        <f t="shared" si="127"/>
        <v>0</v>
      </c>
      <c r="X594" s="68"/>
      <c r="Y594" s="68"/>
      <c r="Z594" s="68"/>
      <c r="AA594" s="68"/>
      <c r="AB594" s="68"/>
      <c r="AC594" s="68"/>
      <c r="AD594" s="68"/>
      <c r="AE594" s="68"/>
      <c r="AF594" s="68"/>
      <c r="AG594" s="68"/>
      <c r="AH594" s="68"/>
      <c r="AI594" s="68"/>
      <c r="AJ594" s="68">
        <v>1</v>
      </c>
      <c r="AL594" s="68">
        <v>1</v>
      </c>
      <c r="AM594" s="68"/>
      <c r="AN594" s="68"/>
      <c r="AO594" s="68"/>
      <c r="AQ594" s="68"/>
      <c r="AR594" s="68"/>
      <c r="AS594" s="68"/>
      <c r="AT594" s="68"/>
      <c r="AU594" s="68"/>
      <c r="AV594" s="68"/>
      <c r="AW594" s="68"/>
      <c r="AX594" s="68"/>
      <c r="AY594" s="68"/>
      <c r="AZ594" s="68"/>
      <c r="BB594" s="68"/>
      <c r="BC594" s="68"/>
      <c r="BJ594" s="68"/>
      <c r="BT594">
        <v>1</v>
      </c>
      <c r="BV594">
        <v>1</v>
      </c>
      <c r="BX594" s="68"/>
      <c r="BY594" s="68">
        <v>1</v>
      </c>
      <c r="BZ594" s="68" t="s">
        <v>1057</v>
      </c>
      <c r="CA594" s="68" t="s">
        <v>1057</v>
      </c>
      <c r="CB594" s="68" t="s">
        <v>1057</v>
      </c>
      <c r="CC594" s="68" t="e">
        <f t="shared" si="128"/>
        <v>#DIV/0!</v>
      </c>
      <c r="CD594" s="68" t="str">
        <f t="shared" si="129"/>
        <v>NA</v>
      </c>
    </row>
    <row r="595" spans="1:82" ht="15.75" thickBot="1" x14ac:dyDescent="0.3">
      <c r="A595" s="6">
        <v>594</v>
      </c>
      <c r="B595" s="7" t="s">
        <v>423</v>
      </c>
      <c r="C595" s="7" t="s">
        <v>23</v>
      </c>
      <c r="D595" s="7" t="s">
        <v>19</v>
      </c>
      <c r="E595" s="50">
        <v>-169.102398025952</v>
      </c>
      <c r="F595" s="50">
        <v>0</v>
      </c>
      <c r="G595" s="50">
        <v>0</v>
      </c>
      <c r="H595" s="50">
        <v>0</v>
      </c>
      <c r="I595" s="8">
        <v>0</v>
      </c>
      <c r="J595" s="50" t="s">
        <v>1057</v>
      </c>
      <c r="K595" s="248">
        <f>IFERROR(VLOOKUP(C595,Schedule!$T$3:$U$34,2,0),"FA")</f>
        <v>5</v>
      </c>
      <c r="L595" s="7" t="str">
        <f>D595&amp;COUNTIF(D$2:$D595,D595)</f>
        <v>RB187</v>
      </c>
      <c r="M595" s="50">
        <f t="array" ref="M595">IFERROR(F595-AVERAGE(VLOOKUP(D595,$D596:$F$885,3,0),INDEX($F596:$F$885,SMALL(IF(D595=$D596:$D$885,ROW($D596:$D$885)-ROW(D595)),2))),0)</f>
        <v>0</v>
      </c>
      <c r="N595" s="50">
        <f>IFERROR(IF(VLOOKUP($B595,Input!$AC$2:$AC$162,1,0)=$B595,0),F595)</f>
        <v>0</v>
      </c>
      <c r="O595" s="50">
        <f>IFERROR(IF(VLOOKUP($B595,Input!$AC$2:$AC$162,1,0)=$B595,0,G595),G595)</f>
        <v>0</v>
      </c>
      <c r="P595" s="50">
        <f>IF(N595=0,0,F595-AVERAGE(INDEX(F:F,MATCH(VLOOKUP(D595,Input!$A$14:$L$22,10,0),L:L,0)),INDEX(F:F,MATCH(VLOOKUP(D595,Input!$A$14:$L$22,11,0),L:L,0)),INDEX(F:F,MATCH(VLOOKUP(D595,Input!$A$14:$L$22,12,0),L:L,0)))+(0.01-ROW()*0.01))</f>
        <v>0</v>
      </c>
      <c r="Q595" s="106">
        <f t="shared" si="124"/>
        <v>0</v>
      </c>
      <c r="R595" s="8">
        <f>IF(VLOOKUP($D595,$X$14:$Y$19,2,0)&lt;=0,1,IF(Q595&lt;0,1,ROUNDUP(IF(Q595*('Draft Center'!$L$28+'Draft Center'!$L$78-'Draft Center'!$L$82)&lt;1,1,Q595*('Draft Center'!$L$28+'Draft Center'!$L$78-'Draft Center'!$L$82)),0)))</f>
        <v>1</v>
      </c>
      <c r="S595" s="8">
        <f>IF(A595&lt;Input!$B$10+0.1,IF(ROUNDUP(R595*Input!$C$10,0)=0,1,ROUNDUP(R595*Input!$C$10,0)),IF(A595&gt;Input!$B$11,IF(ROUNDUP(R595*Input!$C$11,0)=0,1,ROUNDUP(R595*Input!$C$11,0)),IF(ROUNDUP(R595,0)=0,1,ROUNDUP(R595,0))))</f>
        <v>1</v>
      </c>
      <c r="T595" s="8">
        <f t="shared" si="125"/>
        <v>1</v>
      </c>
      <c r="U595" s="8">
        <f>IFERROR(VLOOKUP($B595,Input!$AC$2:$AE$161,3,0),0)</f>
        <v>0</v>
      </c>
      <c r="V595" s="256">
        <f t="shared" si="126"/>
        <v>0</v>
      </c>
      <c r="W595" s="263">
        <f t="shared" si="127"/>
        <v>1.0059499999999999</v>
      </c>
      <c r="X595" s="68"/>
      <c r="Y595" s="68"/>
      <c r="Z595" s="68"/>
      <c r="AA595" s="68"/>
      <c r="AB595" s="68"/>
      <c r="AC595" s="68"/>
      <c r="AD595" s="68"/>
      <c r="AE595" s="68"/>
      <c r="AF595" s="68"/>
      <c r="AG595" s="68"/>
      <c r="AH595" s="68"/>
      <c r="AI595" s="68"/>
      <c r="AJ595" s="68">
        <v>1</v>
      </c>
      <c r="AL595" s="68">
        <v>1</v>
      </c>
      <c r="AM595" s="68"/>
      <c r="AN595" s="68"/>
      <c r="AO595" s="68"/>
      <c r="AQ595" s="68"/>
      <c r="AR595" s="68"/>
      <c r="AS595" s="68"/>
      <c r="AT595" s="68"/>
      <c r="AU595" s="68"/>
      <c r="AV595" s="68"/>
      <c r="AW595" s="68"/>
      <c r="AX595" s="68"/>
      <c r="AY595" s="68"/>
      <c r="AZ595" s="68"/>
      <c r="BB595" s="68"/>
      <c r="BC595" s="68"/>
      <c r="BJ595" s="68"/>
      <c r="BT595">
        <v>1</v>
      </c>
      <c r="BV595">
        <v>1</v>
      </c>
      <c r="BX595" s="68"/>
      <c r="BY595" s="68">
        <v>1</v>
      </c>
      <c r="BZ595" s="68">
        <v>0</v>
      </c>
      <c r="CA595" s="68">
        <v>0</v>
      </c>
      <c r="CB595" s="68">
        <v>0</v>
      </c>
      <c r="CC595" s="68">
        <f t="shared" si="128"/>
        <v>0</v>
      </c>
      <c r="CD595" s="68">
        <f t="shared" si="129"/>
        <v>0</v>
      </c>
    </row>
    <row r="596" spans="1:82" ht="15.75" customHeight="1" thickBot="1" x14ac:dyDescent="0.3">
      <c r="A596" s="9">
        <v>595</v>
      </c>
      <c r="B596" s="10" t="s">
        <v>1094</v>
      </c>
      <c r="C596" s="10" t="s">
        <v>48</v>
      </c>
      <c r="D596" s="10" t="s">
        <v>19</v>
      </c>
      <c r="E596" s="51">
        <v>-169.102398025952</v>
      </c>
      <c r="F596" s="51">
        <v>0</v>
      </c>
      <c r="G596" s="51">
        <v>0</v>
      </c>
      <c r="H596" s="51">
        <v>0</v>
      </c>
      <c r="I596" s="11" t="s">
        <v>1057</v>
      </c>
      <c r="J596" s="51" t="s">
        <v>1057</v>
      </c>
      <c r="K596" s="249">
        <f>IFERROR(VLOOKUP(C596,Schedule!$T$3:$U$34,2,0),"FA")</f>
        <v>10</v>
      </c>
      <c r="L596" s="10" t="str">
        <f>D596&amp;COUNTIF(D$2:$D596,D596)</f>
        <v>RB188</v>
      </c>
      <c r="M596" s="51">
        <f t="array" ref="M596">IFERROR(F596-AVERAGE(VLOOKUP(D596,$D597:$F$885,3,0),INDEX($F597:$F$885,SMALL(IF(D596=$D597:$D$885,ROW($D597:$D$885)-ROW(D596)),2))),0)</f>
        <v>0</v>
      </c>
      <c r="N596" s="51">
        <f>IFERROR(IF(VLOOKUP($B596,Input!$AC$2:$AC$162,1,0)=$B596,0),F596)</f>
        <v>0</v>
      </c>
      <c r="O596" s="51">
        <f>IFERROR(IF(VLOOKUP($B596,Input!$AC$2:$AC$162,1,0)=$B596,0,G596),G596)</f>
        <v>0</v>
      </c>
      <c r="P596" s="51">
        <f>IF(N596=0,0,F596-AVERAGE(INDEX(F:F,MATCH(VLOOKUP(D596,Input!$A$14:$L$22,10,0),L:L,0)),INDEX(F:F,MATCH(VLOOKUP(D596,Input!$A$14:$L$22,11,0),L:L,0)),INDEX(F:F,MATCH(VLOOKUP(D596,Input!$A$14:$L$22,12,0),L:L,0)))+(0.01-ROW()*0.01))</f>
        <v>0</v>
      </c>
      <c r="Q596" s="107">
        <f t="shared" si="124"/>
        <v>0</v>
      </c>
      <c r="R596" s="11">
        <f>IF(VLOOKUP($D596,$X$14:$Y$19,2,0)&lt;=0,1,IF(Q596&lt;0,1,ROUNDUP(IF(Q596*('Draft Center'!$L$28+'Draft Center'!$L$78-'Draft Center'!$L$82)&lt;1,1,Q596*('Draft Center'!$L$28+'Draft Center'!$L$78-'Draft Center'!$L$82)),0)))</f>
        <v>1</v>
      </c>
      <c r="S596" s="11">
        <f>IF(A596&lt;Input!$B$10+0.1,IF(ROUNDUP(R596*Input!$C$10,0)=0,1,ROUNDUP(R596*Input!$C$10,0)),IF(A596&gt;Input!$B$11,IF(ROUNDUP(R596*Input!$C$11,0)=0,1,ROUNDUP(R596*Input!$C$11,0)),IF(ROUNDUP(R596,0)=0,1,ROUNDUP(R596,0))))</f>
        <v>1</v>
      </c>
      <c r="T596" s="11">
        <f t="shared" si="125"/>
        <v>1</v>
      </c>
      <c r="U596" s="11">
        <f>IFERROR(VLOOKUP($B596,Input!$AC$2:$AE$161,3,0),0)</f>
        <v>0</v>
      </c>
      <c r="V596" s="257">
        <f t="shared" si="126"/>
        <v>0</v>
      </c>
      <c r="W596" s="264">
        <f t="shared" si="127"/>
        <v>0</v>
      </c>
      <c r="X596" s="68"/>
      <c r="Y596" s="68"/>
      <c r="Z596" s="68"/>
      <c r="AA596" s="68"/>
      <c r="AB596" s="68"/>
      <c r="AC596" s="68"/>
      <c r="AD596" s="68"/>
      <c r="AE596" s="68"/>
      <c r="AF596" s="68"/>
      <c r="AG596" s="68"/>
      <c r="AH596" s="68"/>
      <c r="AI596" s="68"/>
      <c r="AJ596" s="68">
        <v>1</v>
      </c>
      <c r="AL596" s="68">
        <v>1</v>
      </c>
      <c r="AM596" s="68"/>
      <c r="AN596" s="68"/>
      <c r="AO596" s="68"/>
      <c r="AQ596" s="68"/>
      <c r="AR596" s="68"/>
      <c r="AS596" s="68"/>
      <c r="AT596" s="68"/>
      <c r="AU596" s="68"/>
      <c r="AV596" s="68"/>
      <c r="AW596" s="68"/>
      <c r="AX596" s="68"/>
      <c r="AY596" s="68"/>
      <c r="AZ596" s="68"/>
      <c r="BB596" s="68"/>
      <c r="BC596" s="68"/>
      <c r="BJ596" s="68"/>
      <c r="BT596">
        <v>1</v>
      </c>
      <c r="BV596">
        <v>1</v>
      </c>
      <c r="BX596" s="68"/>
      <c r="BY596" s="68">
        <v>1</v>
      </c>
      <c r="BZ596" s="68" t="s">
        <v>1057</v>
      </c>
      <c r="CA596" s="68" t="s">
        <v>1057</v>
      </c>
      <c r="CB596" s="68" t="s">
        <v>1057</v>
      </c>
      <c r="CC596" s="68" t="e">
        <f t="shared" si="128"/>
        <v>#DIV/0!</v>
      </c>
      <c r="CD596" s="68" t="str">
        <f t="shared" si="129"/>
        <v>NA</v>
      </c>
    </row>
    <row r="597" spans="1:82" ht="15.75" customHeight="1" thickBot="1" x14ac:dyDescent="0.3">
      <c r="A597" s="6">
        <v>596</v>
      </c>
      <c r="B597" s="7" t="s">
        <v>990</v>
      </c>
      <c r="C597" s="7" t="s">
        <v>143</v>
      </c>
      <c r="D597" s="7" t="s">
        <v>19</v>
      </c>
      <c r="E597" s="50">
        <v>-169.102398025952</v>
      </c>
      <c r="F597" s="50">
        <v>0</v>
      </c>
      <c r="G597" s="50">
        <v>0</v>
      </c>
      <c r="H597" s="50">
        <v>0</v>
      </c>
      <c r="I597" s="8" t="s">
        <v>1057</v>
      </c>
      <c r="J597" s="50">
        <v>2.3510017858661798</v>
      </c>
      <c r="K597" s="248">
        <f>IFERROR(VLOOKUP(C597,Schedule!$T$3:$U$34,2,0),"FA")</f>
        <v>9</v>
      </c>
      <c r="L597" s="7" t="str">
        <f>D597&amp;COUNTIF(D$2:$D597,D597)</f>
        <v>RB189</v>
      </c>
      <c r="M597" s="50">
        <f t="array" ref="M597">IFERROR(F597-AVERAGE(VLOOKUP(D597,$D598:$F$885,3,0),INDEX($F598:$F$885,SMALL(IF(D597=$D598:$D$885,ROW($D598:$D$885)-ROW(D597)),2))),0)</f>
        <v>0</v>
      </c>
      <c r="N597" s="50">
        <f>IFERROR(IF(VLOOKUP($B597,Input!$AC$2:$AC$162,1,0)=$B597,0),F597)</f>
        <v>0</v>
      </c>
      <c r="O597" s="50">
        <f>IFERROR(IF(VLOOKUP($B597,Input!$AC$2:$AC$162,1,0)=$B597,0,G597),G597)</f>
        <v>0</v>
      </c>
      <c r="P597" s="50">
        <f>IF(N597=0,0,F597-AVERAGE(INDEX(F:F,MATCH(VLOOKUP(D597,Input!$A$14:$L$22,10,0),L:L,0)),INDEX(F:F,MATCH(VLOOKUP(D597,Input!$A$14:$L$22,11,0),L:L,0)),INDEX(F:F,MATCH(VLOOKUP(D597,Input!$A$14:$L$22,12,0),L:L,0)))+(0.01-ROW()*0.01))</f>
        <v>0</v>
      </c>
      <c r="Q597" s="106">
        <f t="shared" si="124"/>
        <v>0</v>
      </c>
      <c r="R597" s="8">
        <f>IF(VLOOKUP($D597,$X$14:$Y$19,2,0)&lt;=0,1,IF(Q597&lt;0,1,ROUNDUP(IF(Q597*('Draft Center'!$L$28+'Draft Center'!$L$78-'Draft Center'!$L$82)&lt;1,1,Q597*('Draft Center'!$L$28+'Draft Center'!$L$78-'Draft Center'!$L$82)),0)))</f>
        <v>1</v>
      </c>
      <c r="S597" s="8">
        <f>IF(A597&lt;Input!$B$10+0.1,IF(ROUNDUP(R597*Input!$C$10,0)=0,1,ROUNDUP(R597*Input!$C$10,0)),IF(A597&gt;Input!$B$11,IF(ROUNDUP(R597*Input!$C$11,0)=0,1,ROUNDUP(R597*Input!$C$11,0)),IF(ROUNDUP(R597,0)=0,1,ROUNDUP(R597,0))))</f>
        <v>1</v>
      </c>
      <c r="T597" s="8">
        <f t="shared" si="125"/>
        <v>1</v>
      </c>
      <c r="U597" s="8">
        <f>IFERROR(VLOOKUP($B597,Input!$AC$2:$AE$161,3,0),0)</f>
        <v>0</v>
      </c>
      <c r="V597" s="256">
        <f t="shared" si="126"/>
        <v>0</v>
      </c>
      <c r="W597" s="263">
        <f t="shared" si="127"/>
        <v>0</v>
      </c>
      <c r="X597" s="68"/>
      <c r="Y597" s="68"/>
      <c r="Z597" s="68"/>
      <c r="AA597" s="68"/>
      <c r="AB597" s="68"/>
      <c r="AC597" s="68"/>
      <c r="AD597" s="68"/>
      <c r="AE597" s="68"/>
      <c r="AF597" s="68"/>
      <c r="AG597" s="68"/>
      <c r="AH597" s="68"/>
      <c r="AI597" s="68"/>
      <c r="AJ597" s="68">
        <v>1</v>
      </c>
      <c r="AL597" s="68">
        <v>1</v>
      </c>
      <c r="AM597" s="68"/>
      <c r="AN597" s="68"/>
      <c r="AO597" s="68"/>
      <c r="AQ597" s="68"/>
      <c r="AR597" s="68"/>
      <c r="AS597" s="68"/>
      <c r="AT597" s="68"/>
      <c r="AU597" s="68"/>
      <c r="AV597" s="68"/>
      <c r="AW597" s="68"/>
      <c r="AX597" s="68"/>
      <c r="AY597" s="68"/>
      <c r="AZ597" s="68"/>
      <c r="BB597" s="68"/>
      <c r="BC597" s="68"/>
      <c r="BJ597" s="68"/>
      <c r="BT597">
        <v>1</v>
      </c>
      <c r="BV597">
        <v>1</v>
      </c>
      <c r="BX597" s="68"/>
      <c r="BY597" s="68">
        <v>1</v>
      </c>
      <c r="BZ597" s="68" t="s">
        <v>1057</v>
      </c>
      <c r="CA597" s="68" t="s">
        <v>1057</v>
      </c>
      <c r="CB597" s="68" t="s">
        <v>1057</v>
      </c>
      <c r="CC597" s="68" t="e">
        <f t="shared" si="128"/>
        <v>#DIV/0!</v>
      </c>
      <c r="CD597" s="68" t="str">
        <f t="shared" si="129"/>
        <v>NA</v>
      </c>
    </row>
    <row r="598" spans="1:82" ht="15.75" customHeight="1" thickBot="1" x14ac:dyDescent="0.3">
      <c r="A598" s="9">
        <v>597</v>
      </c>
      <c r="B598" s="10" t="s">
        <v>1096</v>
      </c>
      <c r="C598" s="10" t="s">
        <v>35</v>
      </c>
      <c r="D598" s="10" t="s">
        <v>19</v>
      </c>
      <c r="E598" s="51">
        <v>-169.102398025952</v>
      </c>
      <c r="F598" s="51">
        <v>0</v>
      </c>
      <c r="G598" s="51">
        <v>0</v>
      </c>
      <c r="H598" s="51">
        <v>0</v>
      </c>
      <c r="I598" s="11">
        <v>0</v>
      </c>
      <c r="J598" s="51">
        <v>6.0706623550451697</v>
      </c>
      <c r="K598" s="249">
        <f>IFERROR(VLOOKUP(C598,Schedule!$T$3:$U$34,2,0),"FA")</f>
        <v>6</v>
      </c>
      <c r="L598" s="10" t="str">
        <f>D598&amp;COUNTIF(D$2:$D598,D598)</f>
        <v>RB190</v>
      </c>
      <c r="M598" s="51">
        <f t="array" ref="M598">IFERROR(F598-AVERAGE(VLOOKUP(D598,$D599:$F$885,3,0),INDEX($F599:$F$885,SMALL(IF(D598=$D599:$D$885,ROW($D599:$D$885)-ROW(D598)),2))),0)</f>
        <v>0</v>
      </c>
      <c r="N598" s="51">
        <f>IFERROR(IF(VLOOKUP($B598,Input!$AC$2:$AC$162,1,0)=$B598,0),F598)</f>
        <v>0</v>
      </c>
      <c r="O598" s="51">
        <f>IFERROR(IF(VLOOKUP($B598,Input!$AC$2:$AC$162,1,0)=$B598,0,G598),G598)</f>
        <v>0</v>
      </c>
      <c r="P598" s="51">
        <f>IF(N598=0,0,F598-AVERAGE(INDEX(F:F,MATCH(VLOOKUP(D598,Input!$A$14:$L$22,10,0),L:L,0)),INDEX(F:F,MATCH(VLOOKUP(D598,Input!$A$14:$L$22,11,0),L:L,0)),INDEX(F:F,MATCH(VLOOKUP(D598,Input!$A$14:$L$22,12,0),L:L,0)))+(0.01-ROW()*0.01))</f>
        <v>0</v>
      </c>
      <c r="Q598" s="107">
        <f t="shared" si="124"/>
        <v>0</v>
      </c>
      <c r="R598" s="11">
        <f>IF(VLOOKUP($D598,$X$14:$Y$19,2,0)&lt;=0,1,IF(Q598&lt;0,1,ROUNDUP(IF(Q598*('Draft Center'!$L$28+'Draft Center'!$L$78-'Draft Center'!$L$82)&lt;1,1,Q598*('Draft Center'!$L$28+'Draft Center'!$L$78-'Draft Center'!$L$82)),0)))</f>
        <v>1</v>
      </c>
      <c r="S598" s="11">
        <f>IF(A598&lt;Input!$B$10+0.1,IF(ROUNDUP(R598*Input!$C$10,0)=0,1,ROUNDUP(R598*Input!$C$10,0)),IF(A598&gt;Input!$B$11,IF(ROUNDUP(R598*Input!$C$11,0)=0,1,ROUNDUP(R598*Input!$C$11,0)),IF(ROUNDUP(R598,0)=0,1,ROUNDUP(R598,0))))</f>
        <v>1</v>
      </c>
      <c r="T598" s="11">
        <f t="shared" si="125"/>
        <v>1</v>
      </c>
      <c r="U598" s="11">
        <f>IFERROR(VLOOKUP($B598,Input!$AC$2:$AE$161,3,0),0)</f>
        <v>0</v>
      </c>
      <c r="V598" s="257">
        <f t="shared" si="126"/>
        <v>0</v>
      </c>
      <c r="W598" s="264">
        <f t="shared" si="127"/>
        <v>1.0059800000000001</v>
      </c>
      <c r="X598" s="68"/>
      <c r="Y598" s="68"/>
      <c r="Z598" s="68"/>
      <c r="AA598" s="68"/>
      <c r="AB598" s="68"/>
      <c r="AC598" s="68"/>
      <c r="AD598" s="68"/>
      <c r="AE598" s="68"/>
      <c r="AF598" s="68"/>
      <c r="AG598" s="68"/>
      <c r="AH598" s="68"/>
      <c r="AI598" s="68"/>
      <c r="AJ598" s="68">
        <v>1</v>
      </c>
      <c r="AL598" s="68">
        <v>1</v>
      </c>
      <c r="AM598" s="68"/>
      <c r="AN598" s="68"/>
      <c r="AO598" s="68"/>
      <c r="AQ598" s="68"/>
      <c r="AR598" s="68"/>
      <c r="AS598" s="68"/>
      <c r="AT598" s="68"/>
      <c r="AU598" s="68"/>
      <c r="AV598" s="68"/>
      <c r="AW598" s="68"/>
      <c r="AX598" s="68"/>
      <c r="AY598" s="68"/>
      <c r="AZ598" s="68"/>
      <c r="BB598" s="68"/>
      <c r="BC598" s="68"/>
      <c r="BJ598" s="68"/>
      <c r="BT598">
        <v>1</v>
      </c>
      <c r="BV598">
        <v>1</v>
      </c>
      <c r="BX598" s="68"/>
      <c r="BY598" s="68">
        <v>1</v>
      </c>
      <c r="BZ598" s="68">
        <v>0</v>
      </c>
      <c r="CA598" s="68">
        <v>0</v>
      </c>
      <c r="CB598" s="68">
        <v>0</v>
      </c>
      <c r="CC598" s="68">
        <f t="shared" si="128"/>
        <v>0</v>
      </c>
      <c r="CD598" s="68">
        <f t="shared" si="129"/>
        <v>0</v>
      </c>
    </row>
    <row r="599" spans="1:82" ht="15.75" customHeight="1" thickBot="1" x14ac:dyDescent="0.3">
      <c r="A599" s="6">
        <v>598</v>
      </c>
      <c r="B599" s="7" t="s">
        <v>1097</v>
      </c>
      <c r="C599" s="7" t="s">
        <v>21</v>
      </c>
      <c r="D599" s="7" t="s">
        <v>19</v>
      </c>
      <c r="E599" s="50">
        <v>-169.102398025952</v>
      </c>
      <c r="F599" s="50">
        <v>0</v>
      </c>
      <c r="G599" s="50">
        <v>0</v>
      </c>
      <c r="H599" s="50">
        <v>0</v>
      </c>
      <c r="I599" s="8" t="s">
        <v>1057</v>
      </c>
      <c r="J599" s="50">
        <v>2.3510017858661798</v>
      </c>
      <c r="K599" s="248">
        <f>IFERROR(VLOOKUP(C599,Schedule!$T$3:$U$34,2,0),"FA")</f>
        <v>5</v>
      </c>
      <c r="L599" s="7" t="str">
        <f>D599&amp;COUNTIF(D$2:$D599,D599)</f>
        <v>RB191</v>
      </c>
      <c r="M599" s="50">
        <f t="array" ref="M599">IFERROR(F599-AVERAGE(VLOOKUP(D599,$D600:$F$885,3,0),INDEX($F600:$F$885,SMALL(IF(D599=$D600:$D$885,ROW($D600:$D$885)-ROW(D599)),2))),0)</f>
        <v>0</v>
      </c>
      <c r="N599" s="50">
        <f>IFERROR(IF(VLOOKUP($B599,Input!$AC$2:$AC$162,1,0)=$B599,0),F599)</f>
        <v>0</v>
      </c>
      <c r="O599" s="50">
        <f>IFERROR(IF(VLOOKUP($B599,Input!$AC$2:$AC$162,1,0)=$B599,0,G599),G599)</f>
        <v>0</v>
      </c>
      <c r="P599" s="50">
        <f>IF(N599=0,0,F599-AVERAGE(INDEX(F:F,MATCH(VLOOKUP(D599,Input!$A$14:$L$22,10,0),L:L,0)),INDEX(F:F,MATCH(VLOOKUP(D599,Input!$A$14:$L$22,11,0),L:L,0)),INDEX(F:F,MATCH(VLOOKUP(D599,Input!$A$14:$L$22,12,0),L:L,0)))+(0.01-ROW()*0.01))</f>
        <v>0</v>
      </c>
      <c r="Q599" s="106">
        <f t="shared" si="124"/>
        <v>0</v>
      </c>
      <c r="R599" s="8">
        <f>IF(VLOOKUP($D599,$X$14:$Y$19,2,0)&lt;=0,1,IF(Q599&lt;0,1,ROUNDUP(IF(Q599*('Draft Center'!$L$28+'Draft Center'!$L$78-'Draft Center'!$L$82)&lt;1,1,Q599*('Draft Center'!$L$28+'Draft Center'!$L$78-'Draft Center'!$L$82)),0)))</f>
        <v>1</v>
      </c>
      <c r="S599" s="8">
        <f>IF(A599&lt;Input!$B$10+0.1,IF(ROUNDUP(R599*Input!$C$10,0)=0,1,ROUNDUP(R599*Input!$C$10,0)),IF(A599&gt;Input!$B$11,IF(ROUNDUP(R599*Input!$C$11,0)=0,1,ROUNDUP(R599*Input!$C$11,0)),IF(ROUNDUP(R599,0)=0,1,ROUNDUP(R599,0))))</f>
        <v>1</v>
      </c>
      <c r="T599" s="8">
        <f t="shared" si="125"/>
        <v>1</v>
      </c>
      <c r="U599" s="8">
        <f>IFERROR(VLOOKUP($B599,Input!$AC$2:$AE$161,3,0),0)</f>
        <v>0</v>
      </c>
      <c r="V599" s="256">
        <f t="shared" si="126"/>
        <v>0</v>
      </c>
      <c r="W599" s="263">
        <f t="shared" si="127"/>
        <v>0</v>
      </c>
      <c r="X599" s="68"/>
      <c r="Y599" s="68"/>
      <c r="Z599" s="68"/>
      <c r="AA599" s="68"/>
      <c r="AB599" s="68"/>
      <c r="AC599" s="68"/>
      <c r="AD599" s="68"/>
      <c r="AE599" s="68"/>
      <c r="AF599" s="68"/>
      <c r="AG599" s="68"/>
      <c r="AH599" s="68"/>
      <c r="AI599" s="68"/>
      <c r="AJ599" s="68">
        <v>1</v>
      </c>
      <c r="AL599" s="68">
        <v>1</v>
      </c>
      <c r="AM599" s="68"/>
      <c r="AN599" s="68"/>
      <c r="AO599" s="68"/>
      <c r="AQ599" s="68"/>
      <c r="AR599" s="68"/>
      <c r="AS599" s="68"/>
      <c r="AT599" s="68"/>
      <c r="AU599" s="68"/>
      <c r="AV599" s="68"/>
      <c r="AW599" s="68"/>
      <c r="AX599" s="68"/>
      <c r="AY599" s="68"/>
      <c r="AZ599" s="68"/>
      <c r="BB599" s="68"/>
      <c r="BC599" s="68"/>
      <c r="BJ599" s="68"/>
      <c r="BT599">
        <v>1</v>
      </c>
      <c r="BV599">
        <v>1</v>
      </c>
      <c r="BX599" s="68"/>
      <c r="BY599" s="68">
        <v>1</v>
      </c>
      <c r="BZ599" s="68" t="s">
        <v>1057</v>
      </c>
      <c r="CA599" s="68" t="s">
        <v>1057</v>
      </c>
      <c r="CB599" s="68" t="s">
        <v>1057</v>
      </c>
      <c r="CC599" s="68" t="e">
        <f t="shared" si="128"/>
        <v>#DIV/0!</v>
      </c>
      <c r="CD599" s="68" t="str">
        <f t="shared" si="129"/>
        <v>NA</v>
      </c>
    </row>
    <row r="600" spans="1:82" ht="15.75" customHeight="1" thickBot="1" x14ac:dyDescent="0.3">
      <c r="A600" s="9">
        <v>599</v>
      </c>
      <c r="B600" s="10" t="s">
        <v>374</v>
      </c>
      <c r="C600" s="10" t="s">
        <v>21</v>
      </c>
      <c r="D600" s="10" t="s">
        <v>19</v>
      </c>
      <c r="E600" s="51">
        <v>-169.102398025952</v>
      </c>
      <c r="F600" s="51">
        <v>0</v>
      </c>
      <c r="G600" s="51">
        <v>0</v>
      </c>
      <c r="H600" s="51">
        <v>0</v>
      </c>
      <c r="I600" s="11">
        <v>0</v>
      </c>
      <c r="J600" s="51">
        <v>2.3510017858661798</v>
      </c>
      <c r="K600" s="249">
        <f>IFERROR(VLOOKUP(C600,Schedule!$T$3:$U$34,2,0),"FA")</f>
        <v>5</v>
      </c>
      <c r="L600" s="10" t="str">
        <f>D600&amp;COUNTIF(D$2:$D600,D600)</f>
        <v>RB192</v>
      </c>
      <c r="M600" s="51">
        <f t="array" ref="M600">IFERROR(F600-AVERAGE(VLOOKUP(D600,$D601:$F$885,3,0),INDEX($F601:$F$885,SMALL(IF(D600=$D601:$D$885,ROW($D601:$D$885)-ROW(D600)),2))),0)</f>
        <v>0</v>
      </c>
      <c r="N600" s="51">
        <f>IFERROR(IF(VLOOKUP($B600,Input!$AC$2:$AC$162,1,0)=$B600,0),F600)</f>
        <v>0</v>
      </c>
      <c r="O600" s="51">
        <f>IFERROR(IF(VLOOKUP($B600,Input!$AC$2:$AC$162,1,0)=$B600,0,G600),G600)</f>
        <v>0</v>
      </c>
      <c r="P600" s="51">
        <f>IF(N600=0,0,F600-AVERAGE(INDEX(F:F,MATCH(VLOOKUP(D600,Input!$A$14:$L$22,10,0),L:L,0)),INDEX(F:F,MATCH(VLOOKUP(D600,Input!$A$14:$L$22,11,0),L:L,0)),INDEX(F:F,MATCH(VLOOKUP(D600,Input!$A$14:$L$22,12,0),L:L,0)))+(0.01-ROW()*0.01))</f>
        <v>0</v>
      </c>
      <c r="Q600" s="107">
        <f t="shared" si="124"/>
        <v>0</v>
      </c>
      <c r="R600" s="11">
        <f>IF(VLOOKUP($D600,$X$14:$Y$19,2,0)&lt;=0,1,IF(Q600&lt;0,1,ROUNDUP(IF(Q600*('Draft Center'!$L$28+'Draft Center'!$L$78-'Draft Center'!$L$82)&lt;1,1,Q600*('Draft Center'!$L$28+'Draft Center'!$L$78-'Draft Center'!$L$82)),0)))</f>
        <v>1</v>
      </c>
      <c r="S600" s="11">
        <f>IF(A600&lt;Input!$B$10+0.1,IF(ROUNDUP(R600*Input!$C$10,0)=0,1,ROUNDUP(R600*Input!$C$10,0)),IF(A600&gt;Input!$B$11,IF(ROUNDUP(R600*Input!$C$11,0)=0,1,ROUNDUP(R600*Input!$C$11,0)),IF(ROUNDUP(R600,0)=0,1,ROUNDUP(R600,0))))</f>
        <v>1</v>
      </c>
      <c r="T600" s="11">
        <f t="shared" si="125"/>
        <v>1</v>
      </c>
      <c r="U600" s="11">
        <f>IFERROR(VLOOKUP($B600,Input!$AC$2:$AE$161,3,0),0)</f>
        <v>0</v>
      </c>
      <c r="V600" s="257">
        <f t="shared" si="126"/>
        <v>0</v>
      </c>
      <c r="W600" s="264">
        <f t="shared" si="127"/>
        <v>1.006</v>
      </c>
      <c r="X600" s="68"/>
      <c r="Y600" s="68"/>
      <c r="Z600" s="68"/>
      <c r="AA600" s="68"/>
      <c r="AB600" s="68"/>
      <c r="AC600" s="68"/>
      <c r="AD600" s="68"/>
      <c r="AE600" s="68"/>
      <c r="AF600" s="68"/>
      <c r="AG600" s="68"/>
      <c r="AH600" s="68"/>
      <c r="AI600" s="68"/>
      <c r="AJ600" s="68">
        <v>1</v>
      </c>
      <c r="AL600" s="68">
        <v>1</v>
      </c>
      <c r="AM600" s="68"/>
      <c r="AN600" s="68"/>
      <c r="AO600" s="68"/>
      <c r="AQ600" s="68"/>
      <c r="AR600" s="68"/>
      <c r="AS600" s="68"/>
      <c r="AT600" s="68"/>
      <c r="AU600" s="68"/>
      <c r="AV600" s="68"/>
      <c r="AW600" s="68"/>
      <c r="AX600" s="68"/>
      <c r="AY600" s="68"/>
      <c r="AZ600" s="68"/>
      <c r="BB600" s="68"/>
      <c r="BC600" s="68"/>
      <c r="BJ600" s="68"/>
      <c r="BT600">
        <v>1</v>
      </c>
      <c r="BV600">
        <v>1</v>
      </c>
      <c r="BX600" s="68"/>
      <c r="BY600" s="68">
        <v>1</v>
      </c>
      <c r="BZ600" s="68">
        <v>0</v>
      </c>
      <c r="CA600" s="68">
        <v>0</v>
      </c>
      <c r="CB600" s="68">
        <v>0</v>
      </c>
      <c r="CC600" s="68">
        <f t="shared" si="128"/>
        <v>0</v>
      </c>
      <c r="CD600" s="68">
        <f t="shared" si="129"/>
        <v>0</v>
      </c>
    </row>
    <row r="601" spans="1:82" ht="15.75" customHeight="1" thickBot="1" x14ac:dyDescent="0.3">
      <c r="A601" s="6">
        <v>600</v>
      </c>
      <c r="B601" s="7" t="s">
        <v>1098</v>
      </c>
      <c r="C601" s="7" t="s">
        <v>21</v>
      </c>
      <c r="D601" s="7" t="s">
        <v>19</v>
      </c>
      <c r="E601" s="50">
        <v>-169.102398025952</v>
      </c>
      <c r="F601" s="50">
        <v>0</v>
      </c>
      <c r="G601" s="50">
        <v>0</v>
      </c>
      <c r="H601" s="50">
        <v>0</v>
      </c>
      <c r="I601" s="8" t="s">
        <v>1057</v>
      </c>
      <c r="J601" s="50">
        <v>2.3510017858661798</v>
      </c>
      <c r="K601" s="248">
        <f>IFERROR(VLOOKUP(C601,Schedule!$T$3:$U$34,2,0),"FA")</f>
        <v>5</v>
      </c>
      <c r="L601" s="7" t="str">
        <f>D601&amp;COUNTIF(D$2:$D601,D601)</f>
        <v>RB193</v>
      </c>
      <c r="M601" s="50">
        <f t="array" ref="M601">IFERROR(F601-AVERAGE(VLOOKUP(D601,$D602:$F$885,3,0),INDEX($F602:$F$885,SMALL(IF(D601=$D602:$D$885,ROW($D602:$D$885)-ROW(D601)),2))),0)</f>
        <v>0</v>
      </c>
      <c r="N601" s="50">
        <f>IFERROR(IF(VLOOKUP($B601,Input!$AC$2:$AC$162,1,0)=$B601,0),F601)</f>
        <v>0</v>
      </c>
      <c r="O601" s="50">
        <f>IFERROR(IF(VLOOKUP($B601,Input!$AC$2:$AC$162,1,0)=$B601,0,G601),G601)</f>
        <v>0</v>
      </c>
      <c r="P601" s="50">
        <f>IF(N601=0,0,F601-AVERAGE(INDEX(F:F,MATCH(VLOOKUP(D601,Input!$A$14:$L$22,10,0),L:L,0)),INDEX(F:F,MATCH(VLOOKUP(D601,Input!$A$14:$L$22,11,0),L:L,0)),INDEX(F:F,MATCH(VLOOKUP(D601,Input!$A$14:$L$22,12,0),L:L,0)))+(0.01-ROW()*0.01))</f>
        <v>0</v>
      </c>
      <c r="Q601" s="106">
        <f t="shared" si="124"/>
        <v>0</v>
      </c>
      <c r="R601" s="8">
        <f>IF(VLOOKUP($D601,$X$14:$Y$19,2,0)&lt;=0,1,IF(Q601&lt;0,1,ROUNDUP(IF(Q601*('Draft Center'!$L$28+'Draft Center'!$L$78-'Draft Center'!$L$82)&lt;1,1,Q601*('Draft Center'!$L$28+'Draft Center'!$L$78-'Draft Center'!$L$82)),0)))</f>
        <v>1</v>
      </c>
      <c r="S601" s="8">
        <f>IF(A601&lt;Input!$B$10+0.1,IF(ROUNDUP(R601*Input!$C$10,0)=0,1,ROUNDUP(R601*Input!$C$10,0)),IF(A601&gt;Input!$B$11,IF(ROUNDUP(R601*Input!$C$11,0)=0,1,ROUNDUP(R601*Input!$C$11,0)),IF(ROUNDUP(R601,0)=0,1,ROUNDUP(R601,0))))</f>
        <v>1</v>
      </c>
      <c r="T601" s="8">
        <f t="shared" si="125"/>
        <v>1</v>
      </c>
      <c r="U601" s="8">
        <f>IFERROR(VLOOKUP($B601,Input!$AC$2:$AE$161,3,0),0)</f>
        <v>0</v>
      </c>
      <c r="V601" s="256">
        <f t="shared" si="126"/>
        <v>0</v>
      </c>
      <c r="W601" s="263">
        <f t="shared" si="127"/>
        <v>0</v>
      </c>
      <c r="X601" s="68"/>
      <c r="Y601" s="68"/>
      <c r="Z601" s="68"/>
      <c r="AA601" s="68"/>
      <c r="AB601" s="68"/>
      <c r="AC601" s="68"/>
      <c r="AD601" s="68"/>
      <c r="AE601" s="68"/>
      <c r="AF601" s="68"/>
      <c r="AG601" s="68"/>
      <c r="AH601" s="68"/>
      <c r="AI601" s="68"/>
      <c r="AJ601" s="68">
        <v>1</v>
      </c>
      <c r="AL601" s="68">
        <v>1</v>
      </c>
      <c r="AM601" s="68"/>
      <c r="AN601" s="68"/>
      <c r="AO601" s="68"/>
      <c r="AQ601" s="68"/>
      <c r="AR601" s="68"/>
      <c r="AS601" s="68"/>
      <c r="AT601" s="68"/>
      <c r="AU601" s="68"/>
      <c r="AV601" s="68"/>
      <c r="AW601" s="68"/>
      <c r="AX601" s="68"/>
      <c r="AY601" s="68"/>
      <c r="AZ601" s="68"/>
      <c r="BB601" s="68"/>
      <c r="BC601" s="68"/>
      <c r="BJ601" s="68"/>
      <c r="BT601">
        <v>1</v>
      </c>
      <c r="BV601">
        <v>1</v>
      </c>
      <c r="BX601" s="68"/>
      <c r="BY601" s="68">
        <v>1</v>
      </c>
      <c r="BZ601" s="68" t="s">
        <v>1057</v>
      </c>
      <c r="CA601" s="68" t="s">
        <v>1057</v>
      </c>
      <c r="CB601" s="68" t="s">
        <v>1057</v>
      </c>
      <c r="CC601" s="68" t="e">
        <f t="shared" si="128"/>
        <v>#DIV/0!</v>
      </c>
      <c r="CD601" s="68" t="str">
        <f t="shared" si="129"/>
        <v>NA</v>
      </c>
    </row>
    <row r="602" spans="1:82" ht="15.75" customHeight="1" thickBot="1" x14ac:dyDescent="0.3">
      <c r="A602" s="9">
        <v>601</v>
      </c>
      <c r="B602" s="10" t="s">
        <v>1099</v>
      </c>
      <c r="C602" s="10" t="s">
        <v>311</v>
      </c>
      <c r="D602" s="10" t="s">
        <v>19</v>
      </c>
      <c r="E602" s="51">
        <v>-169.102398025952</v>
      </c>
      <c r="F602" s="51">
        <v>0</v>
      </c>
      <c r="G602" s="51">
        <v>0</v>
      </c>
      <c r="H602" s="51">
        <v>0</v>
      </c>
      <c r="I602" s="11" t="s">
        <v>1057</v>
      </c>
      <c r="J602" s="51">
        <v>2.3510017858661798</v>
      </c>
      <c r="K602" s="249" t="str">
        <f>IFERROR(VLOOKUP(C602,Schedule!$T$3:$U$34,2,0),"FA")</f>
        <v>FA</v>
      </c>
      <c r="L602" s="10" t="str">
        <f>D602&amp;COUNTIF(D$2:$D602,D602)</f>
        <v>RB194</v>
      </c>
      <c r="M602" s="51">
        <f t="array" ref="M602">IFERROR(F602-AVERAGE(VLOOKUP(D602,$D603:$F$885,3,0),INDEX($F603:$F$885,SMALL(IF(D602=$D603:$D$885,ROW($D603:$D$885)-ROW(D602)),2))),0)</f>
        <v>0</v>
      </c>
      <c r="N602" s="51">
        <f>IFERROR(IF(VLOOKUP($B602,Input!$AC$2:$AC$162,1,0)=$B602,0),F602)</f>
        <v>0</v>
      </c>
      <c r="O602" s="51">
        <f>IFERROR(IF(VLOOKUP($B602,Input!$AC$2:$AC$162,1,0)=$B602,0,G602),G602)</f>
        <v>0</v>
      </c>
      <c r="P602" s="51">
        <f>IF(N602=0,0,F602-AVERAGE(INDEX(F:F,MATCH(VLOOKUP(D602,Input!$A$14:$L$22,10,0),L:L,0)),INDEX(F:F,MATCH(VLOOKUP(D602,Input!$A$14:$L$22,11,0),L:L,0)),INDEX(F:F,MATCH(VLOOKUP(D602,Input!$A$14:$L$22,12,0),L:L,0)))+(0.01-ROW()*0.01))</f>
        <v>0</v>
      </c>
      <c r="Q602" s="107">
        <f t="shared" si="124"/>
        <v>0</v>
      </c>
      <c r="R602" s="11">
        <f>IF(VLOOKUP($D602,$X$14:$Y$19,2,0)&lt;=0,1,IF(Q602&lt;0,1,ROUNDUP(IF(Q602*('Draft Center'!$L$28+'Draft Center'!$L$78-'Draft Center'!$L$82)&lt;1,1,Q602*('Draft Center'!$L$28+'Draft Center'!$L$78-'Draft Center'!$L$82)),0)))</f>
        <v>1</v>
      </c>
      <c r="S602" s="11">
        <f>IF(A602&lt;Input!$B$10+0.1,IF(ROUNDUP(R602*Input!$C$10,0)=0,1,ROUNDUP(R602*Input!$C$10,0)),IF(A602&gt;Input!$B$11,IF(ROUNDUP(R602*Input!$C$11,0)=0,1,ROUNDUP(R602*Input!$C$11,0)),IF(ROUNDUP(R602,0)=0,1,ROUNDUP(R602,0))))</f>
        <v>1</v>
      </c>
      <c r="T602" s="11">
        <f t="shared" si="125"/>
        <v>1</v>
      </c>
      <c r="U602" s="11">
        <f>IFERROR(VLOOKUP($B602,Input!$AC$2:$AE$161,3,0),0)</f>
        <v>0</v>
      </c>
      <c r="V602" s="257">
        <f t="shared" si="126"/>
        <v>0</v>
      </c>
      <c r="W602" s="264">
        <f t="shared" si="127"/>
        <v>0</v>
      </c>
      <c r="X602" s="68"/>
      <c r="Y602" s="68"/>
      <c r="Z602" s="68"/>
      <c r="AA602" s="68"/>
      <c r="AB602" s="68"/>
      <c r="AC602" s="68"/>
      <c r="AD602" s="68"/>
      <c r="AE602" s="68"/>
      <c r="AF602" s="68"/>
      <c r="AG602" s="68"/>
      <c r="AH602" s="68"/>
      <c r="AI602" s="68"/>
      <c r="AJ602" s="68">
        <v>1</v>
      </c>
      <c r="AL602" s="68">
        <v>1</v>
      </c>
      <c r="AM602" s="68"/>
      <c r="AN602" s="68"/>
      <c r="AO602" s="68"/>
      <c r="AQ602" s="68"/>
      <c r="AR602" s="68"/>
      <c r="AS602" s="68"/>
      <c r="AT602" s="68"/>
      <c r="AU602" s="68"/>
      <c r="AV602" s="68"/>
      <c r="AW602" s="68"/>
      <c r="AX602" s="68"/>
      <c r="AY602" s="68"/>
      <c r="AZ602" s="68"/>
      <c r="BB602" s="68"/>
      <c r="BC602" s="68"/>
      <c r="BJ602" s="68"/>
      <c r="BT602">
        <v>1</v>
      </c>
      <c r="BV602">
        <v>1</v>
      </c>
      <c r="BX602" s="68"/>
      <c r="BY602" s="68">
        <v>1</v>
      </c>
      <c r="BZ602" s="68" t="s">
        <v>1057</v>
      </c>
      <c r="CA602" s="68" t="s">
        <v>1057</v>
      </c>
      <c r="CB602" s="68" t="s">
        <v>1057</v>
      </c>
      <c r="CC602" s="68" t="e">
        <f t="shared" si="128"/>
        <v>#DIV/0!</v>
      </c>
      <c r="CD602" s="68" t="str">
        <f t="shared" si="129"/>
        <v>NA</v>
      </c>
    </row>
    <row r="603" spans="1:82" ht="15.75" customHeight="1" thickBot="1" x14ac:dyDescent="0.3">
      <c r="A603" s="6">
        <v>602</v>
      </c>
      <c r="B603" s="7" t="s">
        <v>1100</v>
      </c>
      <c r="C603" s="7" t="s">
        <v>311</v>
      </c>
      <c r="D603" s="7" t="s">
        <v>19</v>
      </c>
      <c r="E603" s="50">
        <v>-169.102398025952</v>
      </c>
      <c r="F603" s="50">
        <v>0</v>
      </c>
      <c r="G603" s="50">
        <v>0</v>
      </c>
      <c r="H603" s="50">
        <v>0</v>
      </c>
      <c r="I603" s="8" t="s">
        <v>1057</v>
      </c>
      <c r="J603" s="50">
        <v>6.5843886197100803</v>
      </c>
      <c r="K603" s="248" t="str">
        <f>IFERROR(VLOOKUP(C603,Schedule!$T$3:$U$34,2,0),"FA")</f>
        <v>FA</v>
      </c>
      <c r="L603" s="7" t="str">
        <f>D603&amp;COUNTIF(D$2:$D603,D603)</f>
        <v>RB195</v>
      </c>
      <c r="M603" s="50">
        <f t="array" ref="M603">IFERROR(F603-AVERAGE(VLOOKUP(D603,$D604:$F$885,3,0),INDEX($F604:$F$885,SMALL(IF(D603=$D604:$D$885,ROW($D604:$D$885)-ROW(D603)),2))),0)</f>
        <v>0</v>
      </c>
      <c r="N603" s="50">
        <f>IFERROR(IF(VLOOKUP($B603,Input!$AC$2:$AC$162,1,0)=$B603,0),F603)</f>
        <v>0</v>
      </c>
      <c r="O603" s="50">
        <f>IFERROR(IF(VLOOKUP($B603,Input!$AC$2:$AC$162,1,0)=$B603,0,G603),G603)</f>
        <v>0</v>
      </c>
      <c r="P603" s="50">
        <f>IF(N603=0,0,F603-AVERAGE(INDEX(F:F,MATCH(VLOOKUP(D603,Input!$A$14:$L$22,10,0),L:L,0)),INDEX(F:F,MATCH(VLOOKUP(D603,Input!$A$14:$L$22,11,0),L:L,0)),INDEX(F:F,MATCH(VLOOKUP(D603,Input!$A$14:$L$22,12,0),L:L,0)))+(0.01-ROW()*0.01))</f>
        <v>0</v>
      </c>
      <c r="Q603" s="106">
        <f t="shared" si="124"/>
        <v>0</v>
      </c>
      <c r="R603" s="8">
        <f>IF(VLOOKUP($D603,$X$14:$Y$19,2,0)&lt;=0,1,IF(Q603&lt;0,1,ROUNDUP(IF(Q603*('Draft Center'!$L$28+'Draft Center'!$L$78-'Draft Center'!$L$82)&lt;1,1,Q603*('Draft Center'!$L$28+'Draft Center'!$L$78-'Draft Center'!$L$82)),0)))</f>
        <v>1</v>
      </c>
      <c r="S603" s="8">
        <f>IF(A603&lt;Input!$B$10+0.1,IF(ROUNDUP(R603*Input!$C$10,0)=0,1,ROUNDUP(R603*Input!$C$10,0)),IF(A603&gt;Input!$B$11,IF(ROUNDUP(R603*Input!$C$11,0)=0,1,ROUNDUP(R603*Input!$C$11,0)),IF(ROUNDUP(R603,0)=0,1,ROUNDUP(R603,0))))</f>
        <v>1</v>
      </c>
      <c r="T603" s="8">
        <f t="shared" si="125"/>
        <v>1</v>
      </c>
      <c r="U603" s="8">
        <f>IFERROR(VLOOKUP($B603,Input!$AC$2:$AE$161,3,0),0)</f>
        <v>0</v>
      </c>
      <c r="V603" s="256">
        <f t="shared" si="126"/>
        <v>0</v>
      </c>
      <c r="W603" s="263">
        <f t="shared" si="127"/>
        <v>0</v>
      </c>
      <c r="X603" s="68"/>
      <c r="Y603" s="68"/>
      <c r="Z603" s="68"/>
      <c r="AA603" s="68"/>
      <c r="AB603" s="68"/>
      <c r="AC603" s="68"/>
      <c r="AD603" s="68"/>
      <c r="AE603" s="68"/>
      <c r="AF603" s="68"/>
      <c r="AG603" s="68"/>
      <c r="AH603" s="68"/>
      <c r="AI603" s="68"/>
      <c r="AJ603" s="68">
        <v>1</v>
      </c>
      <c r="AL603" s="68">
        <v>1</v>
      </c>
      <c r="AM603" s="68"/>
      <c r="AN603" s="68"/>
      <c r="AO603" s="68"/>
      <c r="AQ603" s="68"/>
      <c r="AR603" s="68"/>
      <c r="AS603" s="68"/>
      <c r="AT603" s="68"/>
      <c r="AU603" s="68"/>
      <c r="AV603" s="68"/>
      <c r="AW603" s="68"/>
      <c r="AX603" s="68"/>
      <c r="AY603" s="68"/>
      <c r="AZ603" s="68"/>
      <c r="BB603" s="68"/>
      <c r="BC603" s="68"/>
      <c r="BJ603" s="68"/>
      <c r="BT603">
        <v>1</v>
      </c>
      <c r="BV603">
        <v>1</v>
      </c>
      <c r="BX603" s="68"/>
      <c r="BY603" s="68">
        <v>1</v>
      </c>
      <c r="BZ603" s="68" t="s">
        <v>1057</v>
      </c>
      <c r="CA603" s="68" t="s">
        <v>1057</v>
      </c>
      <c r="CB603" s="68" t="s">
        <v>1057</v>
      </c>
      <c r="CC603" s="68" t="e">
        <f t="shared" si="128"/>
        <v>#DIV/0!</v>
      </c>
      <c r="CD603" s="68" t="str">
        <f t="shared" si="129"/>
        <v>NA</v>
      </c>
    </row>
    <row r="604" spans="1:82" ht="15.75" customHeight="1" thickBot="1" x14ac:dyDescent="0.3">
      <c r="A604" s="9">
        <v>603</v>
      </c>
      <c r="B604" s="10" t="s">
        <v>256</v>
      </c>
      <c r="C604" s="10" t="s">
        <v>311</v>
      </c>
      <c r="D604" s="10" t="s">
        <v>19</v>
      </c>
      <c r="E604" s="51">
        <v>-169.102398025952</v>
      </c>
      <c r="F604" s="51">
        <v>0</v>
      </c>
      <c r="G604" s="51">
        <v>0</v>
      </c>
      <c r="H604" s="51">
        <v>0</v>
      </c>
      <c r="I604" s="11" t="s">
        <v>1057</v>
      </c>
      <c r="J604" s="51" t="s">
        <v>1057</v>
      </c>
      <c r="K604" s="249" t="str">
        <f>IFERROR(VLOOKUP(C604,Schedule!$T$3:$U$34,2,0),"FA")</f>
        <v>FA</v>
      </c>
      <c r="L604" s="10" t="str">
        <f>D604&amp;COUNTIF(D$2:$D604,D604)</f>
        <v>RB196</v>
      </c>
      <c r="M604" s="51">
        <f t="array" ref="M604">IFERROR(F604-AVERAGE(VLOOKUP(D604,$D605:$F$885,3,0),INDEX($F605:$F$885,SMALL(IF(D604=$D605:$D$885,ROW($D605:$D$885)-ROW(D604)),2))),0)</f>
        <v>0</v>
      </c>
      <c r="N604" s="51">
        <f>IFERROR(IF(VLOOKUP($B604,Input!$AC$2:$AC$162,1,0)=$B604,0),F604)</f>
        <v>0</v>
      </c>
      <c r="O604" s="51">
        <f>IFERROR(IF(VLOOKUP($B604,Input!$AC$2:$AC$162,1,0)=$B604,0,G604),G604)</f>
        <v>0</v>
      </c>
      <c r="P604" s="51">
        <f>IF(N604=0,0,F604-AVERAGE(INDEX(F:F,MATCH(VLOOKUP(D604,Input!$A$14:$L$22,10,0),L:L,0)),INDEX(F:F,MATCH(VLOOKUP(D604,Input!$A$14:$L$22,11,0),L:L,0)),INDEX(F:F,MATCH(VLOOKUP(D604,Input!$A$14:$L$22,12,0),L:L,0)))+(0.01-ROW()*0.01))</f>
        <v>0</v>
      </c>
      <c r="Q604" s="107">
        <f t="shared" si="124"/>
        <v>0</v>
      </c>
      <c r="R604" s="11">
        <f>IF(VLOOKUP($D604,$X$14:$Y$19,2,0)&lt;=0,1,IF(Q604&lt;0,1,ROUNDUP(IF(Q604*('Draft Center'!$L$28+'Draft Center'!$L$78-'Draft Center'!$L$82)&lt;1,1,Q604*('Draft Center'!$L$28+'Draft Center'!$L$78-'Draft Center'!$L$82)),0)))</f>
        <v>1</v>
      </c>
      <c r="S604" s="11">
        <f>IF(A604&lt;Input!$B$10+0.1,IF(ROUNDUP(R604*Input!$C$10,0)=0,1,ROUNDUP(R604*Input!$C$10,0)),IF(A604&gt;Input!$B$11,IF(ROUNDUP(R604*Input!$C$11,0)=0,1,ROUNDUP(R604*Input!$C$11,0)),IF(ROUNDUP(R604,0)=0,1,ROUNDUP(R604,0))))</f>
        <v>1</v>
      </c>
      <c r="T604" s="11">
        <f t="shared" si="125"/>
        <v>1</v>
      </c>
      <c r="U604" s="11">
        <f>IFERROR(VLOOKUP($B604,Input!$AC$2:$AE$161,3,0),0)</f>
        <v>0</v>
      </c>
      <c r="V604" s="257">
        <f t="shared" si="126"/>
        <v>0</v>
      </c>
      <c r="W604" s="264">
        <f t="shared" si="127"/>
        <v>0</v>
      </c>
      <c r="X604" s="68"/>
      <c r="Y604" s="68"/>
      <c r="Z604" s="68"/>
      <c r="AA604" s="68"/>
      <c r="AB604" s="68"/>
      <c r="AC604" s="68"/>
      <c r="AD604" s="68"/>
      <c r="AE604" s="68"/>
      <c r="AF604" s="68"/>
      <c r="AG604" s="68"/>
      <c r="AH604" s="68"/>
      <c r="AI604" s="68"/>
      <c r="AJ604" s="68">
        <v>1</v>
      </c>
      <c r="AL604" s="68">
        <v>1</v>
      </c>
      <c r="AM604" s="68"/>
      <c r="AN604" s="68"/>
      <c r="AO604" s="68"/>
      <c r="AQ604" s="68"/>
      <c r="AR604" s="68"/>
      <c r="AS604" s="68"/>
      <c r="AT604" s="68"/>
      <c r="AU604" s="68"/>
      <c r="AV604" s="68"/>
      <c r="AW604" s="68"/>
      <c r="AX604" s="68"/>
      <c r="AY604" s="68"/>
      <c r="AZ604" s="68"/>
      <c r="BB604" s="68"/>
      <c r="BC604" s="68"/>
      <c r="BJ604" s="68"/>
      <c r="BT604">
        <v>1</v>
      </c>
      <c r="BV604">
        <v>1</v>
      </c>
      <c r="BX604" s="68"/>
      <c r="BY604" s="68">
        <v>1</v>
      </c>
      <c r="BZ604" s="68" t="s">
        <v>1057</v>
      </c>
      <c r="CA604" s="68" t="s">
        <v>1057</v>
      </c>
      <c r="CB604" s="68" t="s">
        <v>1057</v>
      </c>
      <c r="CC604" s="68" t="e">
        <f t="shared" si="128"/>
        <v>#DIV/0!</v>
      </c>
      <c r="CD604" s="68" t="str">
        <f t="shared" si="129"/>
        <v>NA</v>
      </c>
    </row>
    <row r="605" spans="1:82" ht="15.75" customHeight="1" thickBot="1" x14ac:dyDescent="0.3">
      <c r="A605" s="6">
        <v>604</v>
      </c>
      <c r="B605" s="7" t="s">
        <v>1101</v>
      </c>
      <c r="C605" s="7" t="s">
        <v>311</v>
      </c>
      <c r="D605" s="7" t="s">
        <v>19</v>
      </c>
      <c r="E605" s="50">
        <v>-169.102398025952</v>
      </c>
      <c r="F605" s="50">
        <v>0</v>
      </c>
      <c r="G605" s="50">
        <v>0</v>
      </c>
      <c r="H605" s="50">
        <v>0</v>
      </c>
      <c r="I605" s="8" t="s">
        <v>1057</v>
      </c>
      <c r="J605" s="50">
        <v>3.0106406916063402</v>
      </c>
      <c r="K605" s="248" t="str">
        <f>IFERROR(VLOOKUP(C605,Schedule!$T$3:$U$34,2,0),"FA")</f>
        <v>FA</v>
      </c>
      <c r="L605" s="7" t="str">
        <f>D605&amp;COUNTIF(D$2:$D605,D605)</f>
        <v>RB197</v>
      </c>
      <c r="M605" s="50">
        <f t="array" ref="M605">IFERROR(F605-AVERAGE(VLOOKUP(D605,$D606:$F$885,3,0),INDEX($F606:$F$885,SMALL(IF(D605=$D606:$D$885,ROW($D606:$D$885)-ROW(D605)),2))),0)</f>
        <v>0</v>
      </c>
      <c r="N605" s="50">
        <f>IFERROR(IF(VLOOKUP($B605,Input!$AC$2:$AC$162,1,0)=$B605,0),F605)</f>
        <v>0</v>
      </c>
      <c r="O605" s="50">
        <f>IFERROR(IF(VLOOKUP($B605,Input!$AC$2:$AC$162,1,0)=$B605,0,G605),G605)</f>
        <v>0</v>
      </c>
      <c r="P605" s="50">
        <f>IF(N605=0,0,F605-AVERAGE(INDEX(F:F,MATCH(VLOOKUP(D605,Input!$A$14:$L$22,10,0),L:L,0)),INDEX(F:F,MATCH(VLOOKUP(D605,Input!$A$14:$L$22,11,0),L:L,0)),INDEX(F:F,MATCH(VLOOKUP(D605,Input!$A$14:$L$22,12,0),L:L,0)))+(0.01-ROW()*0.01))</f>
        <v>0</v>
      </c>
      <c r="Q605" s="106">
        <f t="shared" si="124"/>
        <v>0</v>
      </c>
      <c r="R605" s="8">
        <f>IF(VLOOKUP($D605,$X$14:$Y$19,2,0)&lt;=0,1,IF(Q605&lt;0,1,ROUNDUP(IF(Q605*('Draft Center'!$L$28+'Draft Center'!$L$78-'Draft Center'!$L$82)&lt;1,1,Q605*('Draft Center'!$L$28+'Draft Center'!$L$78-'Draft Center'!$L$82)),0)))</f>
        <v>1</v>
      </c>
      <c r="S605" s="8">
        <f>IF(A605&lt;Input!$B$10+0.1,IF(ROUNDUP(R605*Input!$C$10,0)=0,1,ROUNDUP(R605*Input!$C$10,0)),IF(A605&gt;Input!$B$11,IF(ROUNDUP(R605*Input!$C$11,0)=0,1,ROUNDUP(R605*Input!$C$11,0)),IF(ROUNDUP(R605,0)=0,1,ROUNDUP(R605,0))))</f>
        <v>1</v>
      </c>
      <c r="T605" s="8">
        <f t="shared" si="125"/>
        <v>1</v>
      </c>
      <c r="U605" s="8">
        <f>IFERROR(VLOOKUP($B605,Input!$AC$2:$AE$161,3,0),0)</f>
        <v>0</v>
      </c>
      <c r="V605" s="256">
        <f t="shared" si="126"/>
        <v>0</v>
      </c>
      <c r="W605" s="263">
        <f t="shared" si="127"/>
        <v>0</v>
      </c>
      <c r="X605" s="68"/>
      <c r="Y605" s="68"/>
      <c r="Z605" s="68"/>
      <c r="AA605" s="68"/>
      <c r="AB605" s="68"/>
      <c r="AC605" s="68"/>
      <c r="AD605" s="68"/>
      <c r="AE605" s="68"/>
      <c r="AF605" s="68"/>
      <c r="AG605" s="68"/>
      <c r="AH605" s="68"/>
      <c r="AI605" s="68"/>
      <c r="AJ605" s="68">
        <v>1</v>
      </c>
      <c r="AL605" s="68">
        <v>1</v>
      </c>
      <c r="AM605" s="68"/>
      <c r="AN605" s="68"/>
      <c r="AO605" s="68"/>
      <c r="AQ605" s="68"/>
      <c r="AR605" s="68"/>
      <c r="AS605" s="68"/>
      <c r="AT605" s="68"/>
      <c r="AU605" s="68"/>
      <c r="AV605" s="68"/>
      <c r="AW605" s="68"/>
      <c r="AX605" s="68"/>
      <c r="AY605" s="68"/>
      <c r="AZ605" s="68"/>
      <c r="BB605" s="68"/>
      <c r="BC605" s="68"/>
      <c r="BJ605" s="68"/>
      <c r="BT605">
        <v>1</v>
      </c>
      <c r="BV605">
        <v>1</v>
      </c>
      <c r="BX605" s="68"/>
      <c r="BY605" s="68">
        <v>1</v>
      </c>
      <c r="BZ605" s="68" t="s">
        <v>1057</v>
      </c>
      <c r="CA605" s="68" t="s">
        <v>1057</v>
      </c>
      <c r="CB605" s="68" t="s">
        <v>1057</v>
      </c>
      <c r="CC605" s="68" t="e">
        <f t="shared" si="128"/>
        <v>#DIV/0!</v>
      </c>
      <c r="CD605" s="68" t="str">
        <f t="shared" si="129"/>
        <v>NA</v>
      </c>
    </row>
    <row r="606" spans="1:82" ht="15.75" customHeight="1" thickBot="1" x14ac:dyDescent="0.3">
      <c r="A606" s="9">
        <v>605</v>
      </c>
      <c r="B606" s="10" t="s">
        <v>454</v>
      </c>
      <c r="C606" s="10" t="s">
        <v>311</v>
      </c>
      <c r="D606" s="10" t="s">
        <v>19</v>
      </c>
      <c r="E606" s="51">
        <v>-169.102398025952</v>
      </c>
      <c r="F606" s="51">
        <v>0</v>
      </c>
      <c r="G606" s="51">
        <v>0</v>
      </c>
      <c r="H606" s="51">
        <v>0</v>
      </c>
      <c r="I606" s="11" t="s">
        <v>1057</v>
      </c>
      <c r="J606" s="51" t="s">
        <v>1057</v>
      </c>
      <c r="K606" s="249" t="str">
        <f>IFERROR(VLOOKUP(C606,Schedule!$T$3:$U$34,2,0),"FA")</f>
        <v>FA</v>
      </c>
      <c r="L606" s="10" t="str">
        <f>D606&amp;COUNTIF(D$2:$D606,D606)</f>
        <v>RB198</v>
      </c>
      <c r="M606" s="51">
        <f t="array" ref="M606">IFERROR(F606-AVERAGE(VLOOKUP(D606,$D607:$F$885,3,0),INDEX($F607:$F$885,SMALL(IF(D606=$D607:$D$885,ROW($D607:$D$885)-ROW(D606)),2))),0)</f>
        <v>0</v>
      </c>
      <c r="N606" s="51">
        <f>IFERROR(IF(VLOOKUP($B606,Input!$AC$2:$AC$162,1,0)=$B606,0),F606)</f>
        <v>0</v>
      </c>
      <c r="O606" s="51">
        <f>IFERROR(IF(VLOOKUP($B606,Input!$AC$2:$AC$162,1,0)=$B606,0,G606),G606)</f>
        <v>0</v>
      </c>
      <c r="P606" s="51">
        <f>IF(N606=0,0,F606-AVERAGE(INDEX(F:F,MATCH(VLOOKUP(D606,Input!$A$14:$L$22,10,0),L:L,0)),INDEX(F:F,MATCH(VLOOKUP(D606,Input!$A$14:$L$22,11,0),L:L,0)),INDEX(F:F,MATCH(VLOOKUP(D606,Input!$A$14:$L$22,12,0),L:L,0)))+(0.01-ROW()*0.01))</f>
        <v>0</v>
      </c>
      <c r="Q606" s="107">
        <f t="shared" si="124"/>
        <v>0</v>
      </c>
      <c r="R606" s="11">
        <f>IF(VLOOKUP($D606,$X$14:$Y$19,2,0)&lt;=0,1,IF(Q606&lt;0,1,ROUNDUP(IF(Q606*('Draft Center'!$L$28+'Draft Center'!$L$78-'Draft Center'!$L$82)&lt;1,1,Q606*('Draft Center'!$L$28+'Draft Center'!$L$78-'Draft Center'!$L$82)),0)))</f>
        <v>1</v>
      </c>
      <c r="S606" s="11">
        <f>IF(A606&lt;Input!$B$10+0.1,IF(ROUNDUP(R606*Input!$C$10,0)=0,1,ROUNDUP(R606*Input!$C$10,0)),IF(A606&gt;Input!$B$11,IF(ROUNDUP(R606*Input!$C$11,0)=0,1,ROUNDUP(R606*Input!$C$11,0)),IF(ROUNDUP(R606,0)=0,1,ROUNDUP(R606,0))))</f>
        <v>1</v>
      </c>
      <c r="T606" s="11">
        <f t="shared" si="125"/>
        <v>1</v>
      </c>
      <c r="U606" s="11">
        <f>IFERROR(VLOOKUP($B606,Input!$AC$2:$AE$161,3,0),0)</f>
        <v>0</v>
      </c>
      <c r="V606" s="257">
        <f t="shared" si="126"/>
        <v>0</v>
      </c>
      <c r="W606" s="264">
        <f t="shared" si="127"/>
        <v>0</v>
      </c>
      <c r="X606" s="68"/>
      <c r="Y606" s="68"/>
      <c r="Z606" s="68"/>
      <c r="AA606" s="68"/>
      <c r="AB606" s="68"/>
      <c r="AC606" s="68"/>
      <c r="AD606" s="68"/>
      <c r="AE606" s="68"/>
      <c r="AF606" s="68"/>
      <c r="AG606" s="68"/>
      <c r="AH606" s="68"/>
      <c r="AI606" s="68"/>
      <c r="AJ606" s="68">
        <v>1</v>
      </c>
      <c r="AL606" s="68">
        <v>1</v>
      </c>
      <c r="AM606" s="68"/>
      <c r="AN606" s="68"/>
      <c r="AO606" s="68"/>
      <c r="AQ606" s="68"/>
      <c r="AR606" s="68"/>
      <c r="AS606" s="68"/>
      <c r="AT606" s="68"/>
      <c r="AU606" s="68"/>
      <c r="AV606" s="68"/>
      <c r="AW606" s="68"/>
      <c r="AX606" s="68"/>
      <c r="AY606" s="68"/>
      <c r="AZ606" s="68"/>
      <c r="BB606" s="68"/>
      <c r="BC606" s="68"/>
      <c r="BJ606" s="68"/>
      <c r="BT606">
        <v>1</v>
      </c>
      <c r="BV606">
        <v>1</v>
      </c>
      <c r="BX606" s="68"/>
      <c r="BY606" s="68">
        <v>1</v>
      </c>
      <c r="BZ606" s="68" t="s">
        <v>1057</v>
      </c>
      <c r="CA606" s="68" t="s">
        <v>1057</v>
      </c>
      <c r="CB606" s="68" t="s">
        <v>1057</v>
      </c>
      <c r="CC606" s="68" t="e">
        <f t="shared" si="128"/>
        <v>#DIV/0!</v>
      </c>
      <c r="CD606" s="68" t="str">
        <f t="shared" si="129"/>
        <v>NA</v>
      </c>
    </row>
    <row r="607" spans="1:82" ht="15.75" customHeight="1" thickBot="1" x14ac:dyDescent="0.3">
      <c r="A607" s="6">
        <v>606</v>
      </c>
      <c r="B607" s="7" t="s">
        <v>417</v>
      </c>
      <c r="C607" s="7" t="s">
        <v>311</v>
      </c>
      <c r="D607" s="7" t="s">
        <v>19</v>
      </c>
      <c r="E607" s="50">
        <v>-169.102398025952</v>
      </c>
      <c r="F607" s="50">
        <v>0</v>
      </c>
      <c r="G607" s="50">
        <v>0</v>
      </c>
      <c r="H607" s="50">
        <v>0</v>
      </c>
      <c r="I607" s="8" t="s">
        <v>1057</v>
      </c>
      <c r="J607" s="50">
        <v>2.3510017858661798</v>
      </c>
      <c r="K607" s="248" t="str">
        <f>IFERROR(VLOOKUP(C607,Schedule!$T$3:$U$34,2,0),"FA")</f>
        <v>FA</v>
      </c>
      <c r="L607" s="7" t="str">
        <f>D607&amp;COUNTIF(D$2:$D607,D607)</f>
        <v>RB199</v>
      </c>
      <c r="M607" s="50">
        <f t="array" ref="M607">IFERROR(F607-AVERAGE(VLOOKUP(D607,$D608:$F$885,3,0),INDEX($F608:$F$885,SMALL(IF(D607=$D608:$D$885,ROW($D608:$D$885)-ROW(D607)),2))),0)</f>
        <v>0</v>
      </c>
      <c r="N607" s="50">
        <f>IFERROR(IF(VLOOKUP($B607,Input!$AC$2:$AC$162,1,0)=$B607,0),F607)</f>
        <v>0</v>
      </c>
      <c r="O607" s="50">
        <f>IFERROR(IF(VLOOKUP($B607,Input!$AC$2:$AC$162,1,0)=$B607,0,G607),G607)</f>
        <v>0</v>
      </c>
      <c r="P607" s="50">
        <f>IF(N607=0,0,F607-AVERAGE(INDEX(F:F,MATCH(VLOOKUP(D607,Input!$A$14:$L$22,10,0),L:L,0)),INDEX(F:F,MATCH(VLOOKUP(D607,Input!$A$14:$L$22,11,0),L:L,0)),INDEX(F:F,MATCH(VLOOKUP(D607,Input!$A$14:$L$22,12,0),L:L,0)))+(0.01-ROW()*0.01))</f>
        <v>0</v>
      </c>
      <c r="Q607" s="106">
        <f t="shared" si="124"/>
        <v>0</v>
      </c>
      <c r="R607" s="8">
        <f>IF(VLOOKUP($D607,$X$14:$Y$19,2,0)&lt;=0,1,IF(Q607&lt;0,1,ROUNDUP(IF(Q607*('Draft Center'!$L$28+'Draft Center'!$L$78-'Draft Center'!$L$82)&lt;1,1,Q607*('Draft Center'!$L$28+'Draft Center'!$L$78-'Draft Center'!$L$82)),0)))</f>
        <v>1</v>
      </c>
      <c r="S607" s="8">
        <f>IF(A607&lt;Input!$B$10+0.1,IF(ROUNDUP(R607*Input!$C$10,0)=0,1,ROUNDUP(R607*Input!$C$10,0)),IF(A607&gt;Input!$B$11,IF(ROUNDUP(R607*Input!$C$11,0)=0,1,ROUNDUP(R607*Input!$C$11,0)),IF(ROUNDUP(R607,0)=0,1,ROUNDUP(R607,0))))</f>
        <v>1</v>
      </c>
      <c r="T607" s="8">
        <f t="shared" si="125"/>
        <v>1</v>
      </c>
      <c r="U607" s="8">
        <f>IFERROR(VLOOKUP($B607,Input!$AC$2:$AE$161,3,0),0)</f>
        <v>0</v>
      </c>
      <c r="V607" s="256">
        <f t="shared" si="126"/>
        <v>0</v>
      </c>
      <c r="W607" s="263">
        <f t="shared" si="127"/>
        <v>0</v>
      </c>
      <c r="X607" s="68"/>
      <c r="Y607" s="68"/>
      <c r="Z607" s="68"/>
      <c r="AA607" s="68"/>
      <c r="AB607" s="68"/>
      <c r="AC607" s="68"/>
      <c r="AD607" s="68"/>
      <c r="AE607" s="68"/>
      <c r="AF607" s="68"/>
      <c r="AG607" s="68"/>
      <c r="AH607" s="68"/>
      <c r="AI607" s="68"/>
      <c r="AJ607" s="68">
        <v>1</v>
      </c>
      <c r="AL607" s="68">
        <v>1</v>
      </c>
      <c r="AM607" s="68"/>
      <c r="AN607" s="68"/>
      <c r="AO607" s="68"/>
      <c r="AQ607" s="68"/>
      <c r="AR607" s="68"/>
      <c r="AS607" s="68"/>
      <c r="AT607" s="68"/>
      <c r="AU607" s="68"/>
      <c r="AV607" s="68"/>
      <c r="AW607" s="68"/>
      <c r="AX607" s="68"/>
      <c r="AY607" s="68"/>
      <c r="AZ607" s="68"/>
      <c r="BB607" s="68"/>
      <c r="BC607" s="68"/>
      <c r="BJ607" s="68"/>
      <c r="BT607">
        <v>1</v>
      </c>
      <c r="BV607">
        <v>1</v>
      </c>
      <c r="BX607" s="68"/>
      <c r="BY607" s="68">
        <v>1</v>
      </c>
      <c r="BZ607" s="68" t="s">
        <v>1057</v>
      </c>
      <c r="CA607" s="68" t="s">
        <v>1057</v>
      </c>
      <c r="CB607" s="68" t="s">
        <v>1057</v>
      </c>
      <c r="CC607" s="68" t="e">
        <f t="shared" si="128"/>
        <v>#DIV/0!</v>
      </c>
      <c r="CD607" s="68" t="str">
        <f t="shared" si="129"/>
        <v>NA</v>
      </c>
    </row>
    <row r="608" spans="1:82" ht="15.75" customHeight="1" thickBot="1" x14ac:dyDescent="0.3">
      <c r="A608" s="9">
        <v>607</v>
      </c>
      <c r="B608" s="10" t="s">
        <v>1103</v>
      </c>
      <c r="C608" s="10" t="s">
        <v>311</v>
      </c>
      <c r="D608" s="10" t="s">
        <v>19</v>
      </c>
      <c r="E608" s="51">
        <v>-169.102398025952</v>
      </c>
      <c r="F608" s="51">
        <v>0</v>
      </c>
      <c r="G608" s="51">
        <v>0</v>
      </c>
      <c r="H608" s="51">
        <v>0</v>
      </c>
      <c r="I608" s="11" t="s">
        <v>1057</v>
      </c>
      <c r="J608" s="51">
        <v>2.3510017858661798</v>
      </c>
      <c r="K608" s="249" t="str">
        <f>IFERROR(VLOOKUP(C608,Schedule!$T$3:$U$34,2,0),"FA")</f>
        <v>FA</v>
      </c>
      <c r="L608" s="10" t="str">
        <f>D608&amp;COUNTIF(D$2:$D608,D608)</f>
        <v>RB200</v>
      </c>
      <c r="M608" s="51">
        <f t="array" ref="M608">IFERROR(F608-AVERAGE(VLOOKUP(D608,$D609:$F$885,3,0),INDEX($F609:$F$885,SMALL(IF(D608=$D609:$D$885,ROW($D609:$D$885)-ROW(D608)),2))),0)</f>
        <v>0</v>
      </c>
      <c r="N608" s="51">
        <f>IFERROR(IF(VLOOKUP($B608,Input!$AC$2:$AC$162,1,0)=$B608,0),F608)</f>
        <v>0</v>
      </c>
      <c r="O608" s="51">
        <f>IFERROR(IF(VLOOKUP($B608,Input!$AC$2:$AC$162,1,0)=$B608,0,G608),G608)</f>
        <v>0</v>
      </c>
      <c r="P608" s="51">
        <f>IF(N608=0,0,F608-AVERAGE(INDEX(F:F,MATCH(VLOOKUP(D608,Input!$A$14:$L$22,10,0),L:L,0)),INDEX(F:F,MATCH(VLOOKUP(D608,Input!$A$14:$L$22,11,0),L:L,0)),INDEX(F:F,MATCH(VLOOKUP(D608,Input!$A$14:$L$22,12,0),L:L,0)))+(0.01-ROW()*0.01))</f>
        <v>0</v>
      </c>
      <c r="Q608" s="107">
        <f t="shared" si="124"/>
        <v>0</v>
      </c>
      <c r="R608" s="11">
        <f>IF(VLOOKUP($D608,$X$14:$Y$19,2,0)&lt;=0,1,IF(Q608&lt;0,1,ROUNDUP(IF(Q608*('Draft Center'!$L$28+'Draft Center'!$L$78-'Draft Center'!$L$82)&lt;1,1,Q608*('Draft Center'!$L$28+'Draft Center'!$L$78-'Draft Center'!$L$82)),0)))</f>
        <v>1</v>
      </c>
      <c r="S608" s="11">
        <f>IF(A608&lt;Input!$B$10+0.1,IF(ROUNDUP(R608*Input!$C$10,0)=0,1,ROUNDUP(R608*Input!$C$10,0)),IF(A608&gt;Input!$B$11,IF(ROUNDUP(R608*Input!$C$11,0)=0,1,ROUNDUP(R608*Input!$C$11,0)),IF(ROUNDUP(R608,0)=0,1,ROUNDUP(R608,0))))</f>
        <v>1</v>
      </c>
      <c r="T608" s="11">
        <f t="shared" si="125"/>
        <v>1</v>
      </c>
      <c r="U608" s="11">
        <f>IFERROR(VLOOKUP($B608,Input!$AC$2:$AE$161,3,0),0)</f>
        <v>0</v>
      </c>
      <c r="V608" s="257">
        <f t="shared" si="126"/>
        <v>0</v>
      </c>
      <c r="W608" s="264">
        <f t="shared" si="127"/>
        <v>0</v>
      </c>
      <c r="X608" s="68"/>
      <c r="Y608" s="68"/>
      <c r="Z608" s="68"/>
      <c r="AA608" s="68"/>
      <c r="AB608" s="68"/>
      <c r="AC608" s="68"/>
      <c r="AD608" s="68"/>
      <c r="AE608" s="68"/>
      <c r="AF608" s="68"/>
      <c r="AG608" s="68"/>
      <c r="AH608" s="68"/>
      <c r="AI608" s="68"/>
      <c r="AJ608" s="68">
        <v>1</v>
      </c>
      <c r="AL608" s="68">
        <v>1</v>
      </c>
      <c r="AM608" s="68"/>
      <c r="AN608" s="68"/>
      <c r="AO608" s="68"/>
      <c r="AQ608" s="68"/>
      <c r="AR608" s="68"/>
      <c r="AS608" s="68"/>
      <c r="AT608" s="68"/>
      <c r="AU608" s="68"/>
      <c r="AV608" s="68"/>
      <c r="AW608" s="68"/>
      <c r="AX608" s="68"/>
      <c r="AY608" s="68"/>
      <c r="AZ608" s="68"/>
      <c r="BB608" s="68"/>
      <c r="BC608" s="68"/>
      <c r="BJ608" s="68"/>
      <c r="BT608">
        <v>1</v>
      </c>
      <c r="BV608">
        <v>1</v>
      </c>
      <c r="BX608" s="68"/>
      <c r="BY608" s="68">
        <v>1</v>
      </c>
      <c r="BZ608" s="68" t="s">
        <v>1057</v>
      </c>
      <c r="CA608" s="68" t="s">
        <v>1057</v>
      </c>
      <c r="CB608" s="68" t="s">
        <v>1057</v>
      </c>
      <c r="CC608" s="68" t="e">
        <f t="shared" si="128"/>
        <v>#DIV/0!</v>
      </c>
      <c r="CD608" s="68" t="str">
        <f t="shared" si="129"/>
        <v>NA</v>
      </c>
    </row>
    <row r="609" spans="1:82" ht="15.75" customHeight="1" thickBot="1" x14ac:dyDescent="0.3">
      <c r="A609" s="6">
        <v>608</v>
      </c>
      <c r="B609" s="7" t="s">
        <v>1104</v>
      </c>
      <c r="C609" s="7" t="s">
        <v>311</v>
      </c>
      <c r="D609" s="7" t="s">
        <v>19</v>
      </c>
      <c r="E609" s="50">
        <v>-169.102398025952</v>
      </c>
      <c r="F609" s="50">
        <v>0</v>
      </c>
      <c r="G609" s="50">
        <v>0</v>
      </c>
      <c r="H609" s="50">
        <v>0</v>
      </c>
      <c r="I609" s="8" t="s">
        <v>1057</v>
      </c>
      <c r="J609" s="50">
        <v>2.3510017858661798</v>
      </c>
      <c r="K609" s="248" t="str">
        <f>IFERROR(VLOOKUP(C609,Schedule!$T$3:$U$34,2,0),"FA")</f>
        <v>FA</v>
      </c>
      <c r="L609" s="7" t="str">
        <f>D609&amp;COUNTIF(D$2:$D609,D609)</f>
        <v>RB201</v>
      </c>
      <c r="M609" s="50">
        <f t="array" ref="M609">IFERROR(F609-AVERAGE(VLOOKUP(D609,$D610:$F$885,3,0),INDEX($F610:$F$885,SMALL(IF(D609=$D610:$D$885,ROW($D610:$D$885)-ROW(D609)),2))),0)</f>
        <v>0</v>
      </c>
      <c r="N609" s="50">
        <f>IFERROR(IF(VLOOKUP($B609,Input!$AC$2:$AC$162,1,0)=$B609,0),F609)</f>
        <v>0</v>
      </c>
      <c r="O609" s="50">
        <f>IFERROR(IF(VLOOKUP($B609,Input!$AC$2:$AC$162,1,0)=$B609,0,G609),G609)</f>
        <v>0</v>
      </c>
      <c r="P609" s="50">
        <f>IF(N609=0,0,F609-AVERAGE(INDEX(F:F,MATCH(VLOOKUP(D609,Input!$A$14:$L$22,10,0),L:L,0)),INDEX(F:F,MATCH(VLOOKUP(D609,Input!$A$14:$L$22,11,0),L:L,0)),INDEX(F:F,MATCH(VLOOKUP(D609,Input!$A$14:$L$22,12,0),L:L,0)))+(0.01-ROW()*0.01))</f>
        <v>0</v>
      </c>
      <c r="Q609" s="106">
        <f t="shared" si="124"/>
        <v>0</v>
      </c>
      <c r="R609" s="8">
        <f>IF(VLOOKUP($D609,$X$14:$Y$19,2,0)&lt;=0,1,IF(Q609&lt;0,1,ROUNDUP(IF(Q609*('Draft Center'!$L$28+'Draft Center'!$L$78-'Draft Center'!$L$82)&lt;1,1,Q609*('Draft Center'!$L$28+'Draft Center'!$L$78-'Draft Center'!$L$82)),0)))</f>
        <v>1</v>
      </c>
      <c r="S609" s="8">
        <f>IF(A609&lt;Input!$B$10+0.1,IF(ROUNDUP(R609*Input!$C$10,0)=0,1,ROUNDUP(R609*Input!$C$10,0)),IF(A609&gt;Input!$B$11,IF(ROUNDUP(R609*Input!$C$11,0)=0,1,ROUNDUP(R609*Input!$C$11,0)),IF(ROUNDUP(R609,0)=0,1,ROUNDUP(R609,0))))</f>
        <v>1</v>
      </c>
      <c r="T609" s="8">
        <f t="shared" si="125"/>
        <v>1</v>
      </c>
      <c r="U609" s="8">
        <f>IFERROR(VLOOKUP($B609,Input!$AC$2:$AE$161,3,0),0)</f>
        <v>0</v>
      </c>
      <c r="V609" s="256">
        <f t="shared" si="126"/>
        <v>0</v>
      </c>
      <c r="W609" s="263">
        <f t="shared" si="127"/>
        <v>0</v>
      </c>
      <c r="X609" s="68"/>
      <c r="Y609" s="68"/>
      <c r="Z609" s="68"/>
      <c r="AA609" s="68"/>
      <c r="AB609" s="68"/>
      <c r="AC609" s="68"/>
      <c r="AD609" s="68"/>
      <c r="AE609" s="68"/>
      <c r="AF609" s="68"/>
      <c r="AG609" s="68"/>
      <c r="AH609" s="68"/>
      <c r="AI609" s="68"/>
      <c r="AJ609" s="68">
        <v>1</v>
      </c>
      <c r="AL609" s="68">
        <v>1</v>
      </c>
      <c r="AM609" s="68"/>
      <c r="AN609" s="68"/>
      <c r="AO609" s="68"/>
      <c r="AQ609" s="68"/>
      <c r="AR609" s="68"/>
      <c r="AS609" s="68"/>
      <c r="AT609" s="68"/>
      <c r="AU609" s="68"/>
      <c r="AV609" s="68"/>
      <c r="AW609" s="68"/>
      <c r="AX609" s="68"/>
      <c r="AY609" s="68"/>
      <c r="AZ609" s="68"/>
      <c r="BB609" s="68"/>
      <c r="BC609" s="68"/>
      <c r="BJ609" s="68"/>
      <c r="BT609">
        <v>1</v>
      </c>
      <c r="BV609">
        <v>1</v>
      </c>
      <c r="BX609" s="68"/>
      <c r="BY609" s="68">
        <v>1</v>
      </c>
      <c r="BZ609" s="68" t="s">
        <v>1057</v>
      </c>
      <c r="CA609" s="68" t="s">
        <v>1057</v>
      </c>
      <c r="CB609" s="68" t="s">
        <v>1057</v>
      </c>
      <c r="CC609" s="68" t="e">
        <f t="shared" si="128"/>
        <v>#DIV/0!</v>
      </c>
      <c r="CD609" s="68" t="str">
        <f t="shared" si="129"/>
        <v>NA</v>
      </c>
    </row>
    <row r="610" spans="1:82" ht="15.75" customHeight="1" thickBot="1" x14ac:dyDescent="0.3">
      <c r="A610" s="9">
        <v>609</v>
      </c>
      <c r="B610" s="10" t="s">
        <v>1105</v>
      </c>
      <c r="C610" s="10" t="s">
        <v>311</v>
      </c>
      <c r="D610" s="10" t="s">
        <v>19</v>
      </c>
      <c r="E610" s="51">
        <v>-169.102398025952</v>
      </c>
      <c r="F610" s="51">
        <v>0</v>
      </c>
      <c r="G610" s="51">
        <v>0</v>
      </c>
      <c r="H610" s="51">
        <v>0</v>
      </c>
      <c r="I610" s="11" t="s">
        <v>1057</v>
      </c>
      <c r="J610" s="51" t="s">
        <v>1057</v>
      </c>
      <c r="K610" s="249" t="str">
        <f>IFERROR(VLOOKUP(C610,Schedule!$T$3:$U$34,2,0),"FA")</f>
        <v>FA</v>
      </c>
      <c r="L610" s="10" t="str">
        <f>D610&amp;COUNTIF(D$2:$D610,D610)</f>
        <v>RB202</v>
      </c>
      <c r="M610" s="51">
        <f t="array" ref="M610">IFERROR(F610-AVERAGE(VLOOKUP(D610,$D611:$F$885,3,0),INDEX($F611:$F$885,SMALL(IF(D610=$D611:$D$885,ROW($D611:$D$885)-ROW(D610)),2))),0)</f>
        <v>0</v>
      </c>
      <c r="N610" s="51">
        <f>IFERROR(IF(VLOOKUP($B610,Input!$AC$2:$AC$162,1,0)=$B610,0),F610)</f>
        <v>0</v>
      </c>
      <c r="O610" s="51">
        <f>IFERROR(IF(VLOOKUP($B610,Input!$AC$2:$AC$162,1,0)=$B610,0,G610),G610)</f>
        <v>0</v>
      </c>
      <c r="P610" s="51">
        <f>IF(N610=0,0,F610-AVERAGE(INDEX(F:F,MATCH(VLOOKUP(D610,Input!$A$14:$L$22,10,0),L:L,0)),INDEX(F:F,MATCH(VLOOKUP(D610,Input!$A$14:$L$22,11,0),L:L,0)),INDEX(F:F,MATCH(VLOOKUP(D610,Input!$A$14:$L$22,12,0),L:L,0)))+(0.01-ROW()*0.01))</f>
        <v>0</v>
      </c>
      <c r="Q610" s="107">
        <f t="shared" si="124"/>
        <v>0</v>
      </c>
      <c r="R610" s="11">
        <f>IF(VLOOKUP($D610,$X$14:$Y$19,2,0)&lt;=0,1,IF(Q610&lt;0,1,ROUNDUP(IF(Q610*('Draft Center'!$L$28+'Draft Center'!$L$78-'Draft Center'!$L$82)&lt;1,1,Q610*('Draft Center'!$L$28+'Draft Center'!$L$78-'Draft Center'!$L$82)),0)))</f>
        <v>1</v>
      </c>
      <c r="S610" s="11">
        <f>IF(A610&lt;Input!$B$10+0.1,IF(ROUNDUP(R610*Input!$C$10,0)=0,1,ROUNDUP(R610*Input!$C$10,0)),IF(A610&gt;Input!$B$11,IF(ROUNDUP(R610*Input!$C$11,0)=0,1,ROUNDUP(R610*Input!$C$11,0)),IF(ROUNDUP(R610,0)=0,1,ROUNDUP(R610,0))))</f>
        <v>1</v>
      </c>
      <c r="T610" s="11">
        <f t="shared" si="125"/>
        <v>1</v>
      </c>
      <c r="U610" s="11">
        <f>IFERROR(VLOOKUP($B610,Input!$AC$2:$AE$161,3,0),0)</f>
        <v>0</v>
      </c>
      <c r="V610" s="257">
        <f t="shared" si="126"/>
        <v>0</v>
      </c>
      <c r="W610" s="264">
        <f t="shared" si="127"/>
        <v>0</v>
      </c>
      <c r="X610" s="68"/>
      <c r="Y610" s="68"/>
      <c r="Z610" s="68"/>
      <c r="AA610" s="68"/>
      <c r="AB610" s="68"/>
      <c r="AC610" s="68"/>
      <c r="AD610" s="68"/>
      <c r="AE610" s="68"/>
      <c r="AF610" s="68"/>
      <c r="AG610" s="68"/>
      <c r="AH610" s="68"/>
      <c r="AI610" s="68"/>
      <c r="AJ610" s="68">
        <v>1</v>
      </c>
      <c r="AL610" s="68">
        <v>1</v>
      </c>
      <c r="AM610" s="68"/>
      <c r="AN610" s="68"/>
      <c r="AO610" s="68"/>
      <c r="AQ610" s="68"/>
      <c r="AR610" s="68"/>
      <c r="AS610" s="68"/>
      <c r="AT610" s="68"/>
      <c r="AU610" s="68"/>
      <c r="AV610" s="68"/>
      <c r="AW610" s="68"/>
      <c r="AX610" s="68"/>
      <c r="AY610" s="68"/>
      <c r="AZ610" s="68"/>
      <c r="BB610" s="68"/>
      <c r="BC610" s="68"/>
      <c r="BJ610" s="68"/>
      <c r="BT610">
        <v>1</v>
      </c>
      <c r="BV610">
        <v>1</v>
      </c>
      <c r="BX610" s="68"/>
      <c r="BY610" s="68">
        <v>1</v>
      </c>
      <c r="BZ610" s="68" t="s">
        <v>1057</v>
      </c>
      <c r="CA610" s="68" t="s">
        <v>1057</v>
      </c>
      <c r="CB610" s="68" t="s">
        <v>1057</v>
      </c>
      <c r="CC610" s="68" t="e">
        <f t="shared" si="128"/>
        <v>#DIV/0!</v>
      </c>
      <c r="CD610" s="68" t="str">
        <f t="shared" si="129"/>
        <v>NA</v>
      </c>
    </row>
    <row r="611" spans="1:82" ht="15.75" customHeight="1" thickBot="1" x14ac:dyDescent="0.3">
      <c r="A611" s="6">
        <v>610</v>
      </c>
      <c r="B611" s="7" t="s">
        <v>1106</v>
      </c>
      <c r="C611" s="7" t="s">
        <v>311</v>
      </c>
      <c r="D611" s="7" t="s">
        <v>19</v>
      </c>
      <c r="E611" s="50">
        <v>-169.102398025952</v>
      </c>
      <c r="F611" s="50">
        <v>0</v>
      </c>
      <c r="G611" s="50">
        <v>0</v>
      </c>
      <c r="H611" s="50">
        <v>0</v>
      </c>
      <c r="I611" s="8" t="s">
        <v>1057</v>
      </c>
      <c r="J611" s="50">
        <v>2.3510017858661798</v>
      </c>
      <c r="K611" s="248" t="str">
        <f>IFERROR(VLOOKUP(C611,Schedule!$T$3:$U$34,2,0),"FA")</f>
        <v>FA</v>
      </c>
      <c r="L611" s="7" t="str">
        <f>D611&amp;COUNTIF(D$2:$D611,D611)</f>
        <v>RB203</v>
      </c>
      <c r="M611" s="50">
        <f t="array" ref="M611">IFERROR(F611-AVERAGE(VLOOKUP(D611,$D612:$F$885,3,0),INDEX($F612:$F$885,SMALL(IF(D611=$D612:$D$885,ROW($D612:$D$885)-ROW(D611)),2))),0)</f>
        <v>0</v>
      </c>
      <c r="N611" s="50">
        <f>IFERROR(IF(VLOOKUP($B611,Input!$AC$2:$AC$162,1,0)=$B611,0),F611)</f>
        <v>0</v>
      </c>
      <c r="O611" s="50">
        <f>IFERROR(IF(VLOOKUP($B611,Input!$AC$2:$AC$162,1,0)=$B611,0,G611),G611)</f>
        <v>0</v>
      </c>
      <c r="P611" s="50">
        <f>IF(N611=0,0,F611-AVERAGE(INDEX(F:F,MATCH(VLOOKUP(D611,Input!$A$14:$L$22,10,0),L:L,0)),INDEX(F:F,MATCH(VLOOKUP(D611,Input!$A$14:$L$22,11,0),L:L,0)),INDEX(F:F,MATCH(VLOOKUP(D611,Input!$A$14:$L$22,12,0),L:L,0)))+(0.01-ROW()*0.01))</f>
        <v>0</v>
      </c>
      <c r="Q611" s="106">
        <f t="shared" si="124"/>
        <v>0</v>
      </c>
      <c r="R611" s="8">
        <f>IF(VLOOKUP($D611,$X$14:$Y$19,2,0)&lt;=0,1,IF(Q611&lt;0,1,ROUNDUP(IF(Q611*('Draft Center'!$L$28+'Draft Center'!$L$78-'Draft Center'!$L$82)&lt;1,1,Q611*('Draft Center'!$L$28+'Draft Center'!$L$78-'Draft Center'!$L$82)),0)))</f>
        <v>1</v>
      </c>
      <c r="S611" s="8">
        <f>IF(A611&lt;Input!$B$10+0.1,IF(ROUNDUP(R611*Input!$C$10,0)=0,1,ROUNDUP(R611*Input!$C$10,0)),IF(A611&gt;Input!$B$11,IF(ROUNDUP(R611*Input!$C$11,0)=0,1,ROUNDUP(R611*Input!$C$11,0)),IF(ROUNDUP(R611,0)=0,1,ROUNDUP(R611,0))))</f>
        <v>1</v>
      </c>
      <c r="T611" s="8">
        <f t="shared" si="125"/>
        <v>1</v>
      </c>
      <c r="U611" s="8">
        <f>IFERROR(VLOOKUP($B611,Input!$AC$2:$AE$161,3,0),0)</f>
        <v>0</v>
      </c>
      <c r="V611" s="256">
        <f t="shared" si="126"/>
        <v>0</v>
      </c>
      <c r="W611" s="263">
        <f t="shared" si="127"/>
        <v>0</v>
      </c>
      <c r="X611" s="68"/>
      <c r="Y611" s="68"/>
      <c r="Z611" s="68"/>
      <c r="AA611" s="68"/>
      <c r="AB611" s="68"/>
      <c r="AC611" s="68"/>
      <c r="AD611" s="68"/>
      <c r="AE611" s="68"/>
      <c r="AF611" s="68"/>
      <c r="AG611" s="68"/>
      <c r="AH611" s="68"/>
      <c r="AI611" s="68"/>
      <c r="AJ611" s="68">
        <v>1</v>
      </c>
      <c r="AL611" s="68">
        <v>1</v>
      </c>
      <c r="AM611" s="68"/>
      <c r="AN611" s="68"/>
      <c r="AO611" s="68"/>
      <c r="AQ611" s="68"/>
      <c r="AR611" s="68"/>
      <c r="AS611" s="68"/>
      <c r="AT611" s="68"/>
      <c r="AU611" s="68"/>
      <c r="AV611" s="68"/>
      <c r="AW611" s="68"/>
      <c r="AX611" s="68"/>
      <c r="AY611" s="68"/>
      <c r="AZ611" s="68"/>
      <c r="BB611" s="68"/>
      <c r="BC611" s="68"/>
      <c r="BJ611" s="68"/>
      <c r="BT611">
        <v>1</v>
      </c>
      <c r="BV611">
        <v>1</v>
      </c>
      <c r="BX611" s="68"/>
      <c r="BY611" s="68">
        <v>1</v>
      </c>
      <c r="BZ611" s="68" t="s">
        <v>1057</v>
      </c>
      <c r="CA611" s="68" t="s">
        <v>1057</v>
      </c>
      <c r="CB611" s="68" t="s">
        <v>1057</v>
      </c>
      <c r="CC611" s="68" t="e">
        <f t="shared" si="128"/>
        <v>#DIV/0!</v>
      </c>
      <c r="CD611" s="68" t="str">
        <f t="shared" si="129"/>
        <v>NA</v>
      </c>
    </row>
    <row r="612" spans="1:82" ht="15.75" customHeight="1" thickBot="1" x14ac:dyDescent="0.3">
      <c r="A612" s="9">
        <v>611</v>
      </c>
      <c r="B612" s="10" t="s">
        <v>277</v>
      </c>
      <c r="C612" s="10" t="s">
        <v>311</v>
      </c>
      <c r="D612" s="10" t="s">
        <v>19</v>
      </c>
      <c r="E612" s="51">
        <v>-169.102398025952</v>
      </c>
      <c r="F612" s="51">
        <v>0</v>
      </c>
      <c r="G612" s="51">
        <v>0</v>
      </c>
      <c r="H612" s="51">
        <v>0</v>
      </c>
      <c r="I612" s="11" t="s">
        <v>1057</v>
      </c>
      <c r="J612" s="51" t="s">
        <v>1057</v>
      </c>
      <c r="K612" s="249" t="str">
        <f>IFERROR(VLOOKUP(C612,Schedule!$T$3:$U$34,2,0),"FA")</f>
        <v>FA</v>
      </c>
      <c r="L612" s="10" t="str">
        <f>D612&amp;COUNTIF(D$2:$D612,D612)</f>
        <v>RB204</v>
      </c>
      <c r="M612" s="51">
        <f t="array" ref="M612">IFERROR(F612-AVERAGE(VLOOKUP(D612,$D613:$F$885,3,0),INDEX($F613:$F$885,SMALL(IF(D612=$D613:$D$885,ROW($D613:$D$885)-ROW(D612)),2))),0)</f>
        <v>0</v>
      </c>
      <c r="N612" s="51">
        <f>IFERROR(IF(VLOOKUP($B612,Input!$AC$2:$AC$162,1,0)=$B612,0),F612)</f>
        <v>0</v>
      </c>
      <c r="O612" s="51">
        <f>IFERROR(IF(VLOOKUP($B612,Input!$AC$2:$AC$162,1,0)=$B612,0,G612),G612)</f>
        <v>0</v>
      </c>
      <c r="P612" s="51">
        <f>IF(N612=0,0,F612-AVERAGE(INDEX(F:F,MATCH(VLOOKUP(D612,Input!$A$14:$L$22,10,0),L:L,0)),INDEX(F:F,MATCH(VLOOKUP(D612,Input!$A$14:$L$22,11,0),L:L,0)),INDEX(F:F,MATCH(VLOOKUP(D612,Input!$A$14:$L$22,12,0),L:L,0)))+(0.01-ROW()*0.01))</f>
        <v>0</v>
      </c>
      <c r="Q612" s="107">
        <f t="shared" si="124"/>
        <v>0</v>
      </c>
      <c r="R612" s="11">
        <f>IF(VLOOKUP($D612,$X$14:$Y$19,2,0)&lt;=0,1,IF(Q612&lt;0,1,ROUNDUP(IF(Q612*('Draft Center'!$L$28+'Draft Center'!$L$78-'Draft Center'!$L$82)&lt;1,1,Q612*('Draft Center'!$L$28+'Draft Center'!$L$78-'Draft Center'!$L$82)),0)))</f>
        <v>1</v>
      </c>
      <c r="S612" s="11">
        <f>IF(A612&lt;Input!$B$10+0.1,IF(ROUNDUP(R612*Input!$C$10,0)=0,1,ROUNDUP(R612*Input!$C$10,0)),IF(A612&gt;Input!$B$11,IF(ROUNDUP(R612*Input!$C$11,0)=0,1,ROUNDUP(R612*Input!$C$11,0)),IF(ROUNDUP(R612,0)=0,1,ROUNDUP(R612,0))))</f>
        <v>1</v>
      </c>
      <c r="T612" s="11">
        <f t="shared" si="125"/>
        <v>1</v>
      </c>
      <c r="U612" s="11">
        <f>IFERROR(VLOOKUP($B612,Input!$AC$2:$AE$161,3,0),0)</f>
        <v>0</v>
      </c>
      <c r="V612" s="257">
        <f t="shared" si="126"/>
        <v>0</v>
      </c>
      <c r="W612" s="264">
        <f t="shared" si="127"/>
        <v>0</v>
      </c>
      <c r="X612" s="68"/>
      <c r="Y612" s="68"/>
      <c r="Z612" s="68"/>
      <c r="AA612" s="68"/>
      <c r="AB612" s="68"/>
      <c r="AC612" s="68"/>
      <c r="AD612" s="68"/>
      <c r="AE612" s="68"/>
      <c r="AF612" s="68"/>
      <c r="AG612" s="68"/>
      <c r="AH612" s="68"/>
      <c r="AI612" s="68"/>
      <c r="AJ612" s="68">
        <v>1</v>
      </c>
      <c r="AL612" s="68">
        <v>1</v>
      </c>
      <c r="AM612" s="68"/>
      <c r="AN612" s="68"/>
      <c r="AO612" s="68"/>
      <c r="AQ612" s="68"/>
      <c r="AR612" s="68"/>
      <c r="AS612" s="68"/>
      <c r="AT612" s="68"/>
      <c r="AU612" s="68"/>
      <c r="AV612" s="68"/>
      <c r="AW612" s="68"/>
      <c r="AX612" s="68"/>
      <c r="AY612" s="68"/>
      <c r="AZ612" s="68"/>
      <c r="BB612" s="68"/>
      <c r="BC612" s="68"/>
      <c r="BJ612" s="68"/>
      <c r="BT612">
        <v>1</v>
      </c>
      <c r="BV612">
        <v>1</v>
      </c>
      <c r="BX612" s="68"/>
      <c r="BY612" s="68">
        <v>1</v>
      </c>
      <c r="BZ612" s="68" t="s">
        <v>1057</v>
      </c>
      <c r="CA612" s="68" t="s">
        <v>1057</v>
      </c>
      <c r="CB612" s="68" t="s">
        <v>1057</v>
      </c>
      <c r="CC612" s="68" t="e">
        <f t="shared" si="128"/>
        <v>#DIV/0!</v>
      </c>
      <c r="CD612" s="68" t="str">
        <f t="shared" si="129"/>
        <v>NA</v>
      </c>
    </row>
    <row r="613" spans="1:82" ht="15.75" customHeight="1" thickBot="1" x14ac:dyDescent="0.3">
      <c r="A613" s="6">
        <v>612</v>
      </c>
      <c r="B613" s="7" t="s">
        <v>101</v>
      </c>
      <c r="C613" s="7" t="s">
        <v>311</v>
      </c>
      <c r="D613" s="7" t="s">
        <v>19</v>
      </c>
      <c r="E613" s="50">
        <v>-169.102398025952</v>
      </c>
      <c r="F613" s="50">
        <v>0</v>
      </c>
      <c r="G613" s="50">
        <v>0</v>
      </c>
      <c r="H613" s="50">
        <v>0</v>
      </c>
      <c r="I613" s="8">
        <v>0</v>
      </c>
      <c r="J613" s="50" t="s">
        <v>1057</v>
      </c>
      <c r="K613" s="248" t="str">
        <f>IFERROR(VLOOKUP(C613,Schedule!$T$3:$U$34,2,0),"FA")</f>
        <v>FA</v>
      </c>
      <c r="L613" s="7" t="str">
        <f>D613&amp;COUNTIF(D$2:$D613,D613)</f>
        <v>RB205</v>
      </c>
      <c r="M613" s="50">
        <f t="array" ref="M613">IFERROR(F613-AVERAGE(VLOOKUP(D613,$D614:$F$885,3,0),INDEX($F614:$F$885,SMALL(IF(D613=$D614:$D$885,ROW($D614:$D$885)-ROW(D613)),2))),0)</f>
        <v>0</v>
      </c>
      <c r="N613" s="50">
        <f>IFERROR(IF(VLOOKUP($B613,Input!$AC$2:$AC$162,1,0)=$B613,0),F613)</f>
        <v>0</v>
      </c>
      <c r="O613" s="50">
        <f>IFERROR(IF(VLOOKUP($B613,Input!$AC$2:$AC$162,1,0)=$B613,0,G613),G613)</f>
        <v>0</v>
      </c>
      <c r="P613" s="50">
        <f>IF(N613=0,0,F613-AVERAGE(INDEX(F:F,MATCH(VLOOKUP(D613,Input!$A$14:$L$22,10,0),L:L,0)),INDEX(F:F,MATCH(VLOOKUP(D613,Input!$A$14:$L$22,11,0),L:L,0)),INDEX(F:F,MATCH(VLOOKUP(D613,Input!$A$14:$L$22,12,0),L:L,0)))+(0.01-ROW()*0.01))</f>
        <v>0</v>
      </c>
      <c r="Q613" s="106">
        <f t="shared" si="124"/>
        <v>0</v>
      </c>
      <c r="R613" s="8">
        <f>IF(VLOOKUP($D613,$X$14:$Y$19,2,0)&lt;=0,1,IF(Q613&lt;0,1,ROUNDUP(IF(Q613*('Draft Center'!$L$28+'Draft Center'!$L$78-'Draft Center'!$L$82)&lt;1,1,Q613*('Draft Center'!$L$28+'Draft Center'!$L$78-'Draft Center'!$L$82)),0)))</f>
        <v>1</v>
      </c>
      <c r="S613" s="8">
        <f>IF(A613&lt;Input!$B$10+0.1,IF(ROUNDUP(R613*Input!$C$10,0)=0,1,ROUNDUP(R613*Input!$C$10,0)),IF(A613&gt;Input!$B$11,IF(ROUNDUP(R613*Input!$C$11,0)=0,1,ROUNDUP(R613*Input!$C$11,0)),IF(ROUNDUP(R613,0)=0,1,ROUNDUP(R613,0))))</f>
        <v>1</v>
      </c>
      <c r="T613" s="8">
        <f t="shared" si="125"/>
        <v>1</v>
      </c>
      <c r="U613" s="8">
        <f>IFERROR(VLOOKUP($B613,Input!$AC$2:$AE$161,3,0),0)</f>
        <v>0</v>
      </c>
      <c r="V613" s="256">
        <f t="shared" si="126"/>
        <v>0</v>
      </c>
      <c r="W613" s="263">
        <f t="shared" si="127"/>
        <v>1.00613</v>
      </c>
      <c r="X613" s="68"/>
      <c r="Y613" s="68"/>
      <c r="Z613" s="68"/>
      <c r="AA613" s="68"/>
      <c r="AB613" s="68"/>
      <c r="AC613" s="68"/>
      <c r="AD613" s="68"/>
      <c r="AE613" s="68"/>
      <c r="AF613" s="68"/>
      <c r="AG613" s="68"/>
      <c r="AH613" s="68"/>
      <c r="AI613" s="68"/>
      <c r="AJ613" s="68">
        <v>1</v>
      </c>
      <c r="AL613" s="68">
        <v>1</v>
      </c>
      <c r="AM613" s="68"/>
      <c r="AN613" s="68"/>
      <c r="AO613" s="68"/>
      <c r="AQ613" s="68"/>
      <c r="AR613" s="68"/>
      <c r="AS613" s="68"/>
      <c r="AT613" s="68"/>
      <c r="AU613" s="68"/>
      <c r="AV613" s="68"/>
      <c r="AW613" s="68"/>
      <c r="AX613" s="68"/>
      <c r="AY613" s="68"/>
      <c r="AZ613" s="68"/>
      <c r="BB613" s="68"/>
      <c r="BC613" s="68"/>
      <c r="BJ613" s="68"/>
      <c r="BT613">
        <v>1</v>
      </c>
      <c r="BV613">
        <v>1</v>
      </c>
      <c r="BX613" s="68"/>
      <c r="BY613" s="68">
        <v>1</v>
      </c>
      <c r="BZ613" s="68">
        <v>0</v>
      </c>
      <c r="CA613" s="68">
        <v>0</v>
      </c>
      <c r="CB613" s="68">
        <v>0</v>
      </c>
      <c r="CC613" s="68">
        <f t="shared" si="128"/>
        <v>0</v>
      </c>
      <c r="CD613" s="68">
        <f t="shared" si="129"/>
        <v>0</v>
      </c>
    </row>
    <row r="614" spans="1:82" ht="15.75" customHeight="1" thickBot="1" x14ac:dyDescent="0.3">
      <c r="A614" s="9">
        <v>613</v>
      </c>
      <c r="B614" s="10" t="s">
        <v>1107</v>
      </c>
      <c r="C614" s="10" t="s">
        <v>311</v>
      </c>
      <c r="D614" s="10" t="s">
        <v>19</v>
      </c>
      <c r="E614" s="51">
        <v>-169.102398025952</v>
      </c>
      <c r="F614" s="51">
        <v>0</v>
      </c>
      <c r="G614" s="51">
        <v>0</v>
      </c>
      <c r="H614" s="51">
        <v>0</v>
      </c>
      <c r="I614" s="11" t="s">
        <v>1057</v>
      </c>
      <c r="J614" s="51" t="s">
        <v>1057</v>
      </c>
      <c r="K614" s="249" t="str">
        <f>IFERROR(VLOOKUP(C614,Schedule!$T$3:$U$34,2,0),"FA")</f>
        <v>FA</v>
      </c>
      <c r="L614" s="10" t="str">
        <f>D614&amp;COUNTIF(D$2:$D614,D614)</f>
        <v>RB206</v>
      </c>
      <c r="M614" s="51">
        <f t="array" ref="M614">IFERROR(F614-AVERAGE(VLOOKUP(D614,$D615:$F$885,3,0),INDEX($F615:$F$885,SMALL(IF(D614=$D615:$D$885,ROW($D615:$D$885)-ROW(D614)),2))),0)</f>
        <v>0</v>
      </c>
      <c r="N614" s="51">
        <f>IFERROR(IF(VLOOKUP($B614,Input!$AC$2:$AC$162,1,0)=$B614,0),F614)</f>
        <v>0</v>
      </c>
      <c r="O614" s="51">
        <f>IFERROR(IF(VLOOKUP($B614,Input!$AC$2:$AC$162,1,0)=$B614,0,G614),G614)</f>
        <v>0</v>
      </c>
      <c r="P614" s="51">
        <f>IF(N614=0,0,F614-AVERAGE(INDEX(F:F,MATCH(VLOOKUP(D614,Input!$A$14:$L$22,10,0),L:L,0)),INDEX(F:F,MATCH(VLOOKUP(D614,Input!$A$14:$L$22,11,0),L:L,0)),INDEX(F:F,MATCH(VLOOKUP(D614,Input!$A$14:$L$22,12,0),L:L,0)))+(0.01-ROW()*0.01))</f>
        <v>0</v>
      </c>
      <c r="Q614" s="107">
        <f t="shared" si="124"/>
        <v>0</v>
      </c>
      <c r="R614" s="11">
        <f>IF(VLOOKUP($D614,$X$14:$Y$19,2,0)&lt;=0,1,IF(Q614&lt;0,1,ROUNDUP(IF(Q614*('Draft Center'!$L$28+'Draft Center'!$L$78-'Draft Center'!$L$82)&lt;1,1,Q614*('Draft Center'!$L$28+'Draft Center'!$L$78-'Draft Center'!$L$82)),0)))</f>
        <v>1</v>
      </c>
      <c r="S614" s="11">
        <f>IF(A614&lt;Input!$B$10+0.1,IF(ROUNDUP(R614*Input!$C$10,0)=0,1,ROUNDUP(R614*Input!$C$10,0)),IF(A614&gt;Input!$B$11,IF(ROUNDUP(R614*Input!$C$11,0)=0,1,ROUNDUP(R614*Input!$C$11,0)),IF(ROUNDUP(R614,0)=0,1,ROUNDUP(R614,0))))</f>
        <v>1</v>
      </c>
      <c r="T614" s="11">
        <f t="shared" si="125"/>
        <v>1</v>
      </c>
      <c r="U614" s="11">
        <f>IFERROR(VLOOKUP($B614,Input!$AC$2:$AE$161,3,0),0)</f>
        <v>0</v>
      </c>
      <c r="V614" s="257">
        <f t="shared" si="126"/>
        <v>0</v>
      </c>
      <c r="W614" s="264">
        <f t="shared" si="127"/>
        <v>0</v>
      </c>
      <c r="X614" s="68"/>
      <c r="Y614" s="68"/>
      <c r="Z614" s="68"/>
      <c r="AA614" s="68"/>
      <c r="AB614" s="68"/>
      <c r="AC614" s="68"/>
      <c r="AD614" s="68"/>
      <c r="AE614" s="68"/>
      <c r="AF614" s="68"/>
      <c r="AG614" s="68"/>
      <c r="AH614" s="68"/>
      <c r="AI614" s="68"/>
      <c r="AJ614" s="68">
        <v>1</v>
      </c>
      <c r="AL614" s="68">
        <v>1</v>
      </c>
      <c r="AM614" s="68"/>
      <c r="AN614" s="68"/>
      <c r="AO614" s="68"/>
      <c r="AQ614" s="68"/>
      <c r="AR614" s="68"/>
      <c r="AS614" s="68"/>
      <c r="AT614" s="68"/>
      <c r="AU614" s="68"/>
      <c r="AV614" s="68"/>
      <c r="AW614" s="68"/>
      <c r="AX614" s="68"/>
      <c r="AY614" s="68"/>
      <c r="AZ614" s="68"/>
      <c r="BB614" s="68"/>
      <c r="BC614" s="68"/>
      <c r="BJ614" s="68"/>
      <c r="BT614">
        <v>1</v>
      </c>
      <c r="BV614">
        <v>1</v>
      </c>
      <c r="BX614" s="68"/>
      <c r="BY614" s="68">
        <v>1</v>
      </c>
      <c r="BZ614" s="68" t="s">
        <v>1057</v>
      </c>
      <c r="CA614" s="68" t="s">
        <v>1057</v>
      </c>
      <c r="CB614" s="68" t="s">
        <v>1057</v>
      </c>
      <c r="CC614" s="68" t="e">
        <f t="shared" si="128"/>
        <v>#DIV/0!</v>
      </c>
      <c r="CD614" s="68" t="str">
        <f t="shared" si="129"/>
        <v>NA</v>
      </c>
    </row>
    <row r="615" spans="1:82" ht="15.75" customHeight="1" thickBot="1" x14ac:dyDescent="0.3">
      <c r="A615" s="6">
        <v>614</v>
      </c>
      <c r="B615" s="7" t="s">
        <v>1108</v>
      </c>
      <c r="C615" s="7" t="s">
        <v>311</v>
      </c>
      <c r="D615" s="7" t="s">
        <v>19</v>
      </c>
      <c r="E615" s="50">
        <v>-169.102398025952</v>
      </c>
      <c r="F615" s="50">
        <v>0</v>
      </c>
      <c r="G615" s="50">
        <v>0</v>
      </c>
      <c r="H615" s="50">
        <v>0</v>
      </c>
      <c r="I615" s="8" t="s">
        <v>1057</v>
      </c>
      <c r="J615" s="50" t="s">
        <v>1057</v>
      </c>
      <c r="K615" s="248" t="str">
        <f>IFERROR(VLOOKUP(C615,Schedule!$T$3:$U$34,2,0),"FA")</f>
        <v>FA</v>
      </c>
      <c r="L615" s="7" t="str">
        <f>D615&amp;COUNTIF(D$2:$D615,D615)</f>
        <v>RB207</v>
      </c>
      <c r="M615" s="50">
        <f t="array" ref="M615">IFERROR(F615-AVERAGE(VLOOKUP(D615,$D616:$F$885,3,0),INDEX($F616:$F$885,SMALL(IF(D615=$D616:$D$885,ROW($D616:$D$885)-ROW(D615)),2))),0)</f>
        <v>0</v>
      </c>
      <c r="N615" s="50">
        <f>IFERROR(IF(VLOOKUP($B615,Input!$AC$2:$AC$162,1,0)=$B615,0),F615)</f>
        <v>0</v>
      </c>
      <c r="O615" s="50">
        <f>IFERROR(IF(VLOOKUP($B615,Input!$AC$2:$AC$162,1,0)=$B615,0,G615),G615)</f>
        <v>0</v>
      </c>
      <c r="P615" s="50">
        <f>IF(N615=0,0,F615-AVERAGE(INDEX(F:F,MATCH(VLOOKUP(D615,Input!$A$14:$L$22,10,0),L:L,0)),INDEX(F:F,MATCH(VLOOKUP(D615,Input!$A$14:$L$22,11,0),L:L,0)),INDEX(F:F,MATCH(VLOOKUP(D615,Input!$A$14:$L$22,12,0),L:L,0)))+(0.01-ROW()*0.01))</f>
        <v>0</v>
      </c>
      <c r="Q615" s="106">
        <f t="shared" si="124"/>
        <v>0</v>
      </c>
      <c r="R615" s="8">
        <f>IF(VLOOKUP($D615,$X$14:$Y$19,2,0)&lt;=0,1,IF(Q615&lt;0,1,ROUNDUP(IF(Q615*('Draft Center'!$L$28+'Draft Center'!$L$78-'Draft Center'!$L$82)&lt;1,1,Q615*('Draft Center'!$L$28+'Draft Center'!$L$78-'Draft Center'!$L$82)),0)))</f>
        <v>1</v>
      </c>
      <c r="S615" s="8">
        <f>IF(A615&lt;Input!$B$10+0.1,IF(ROUNDUP(R615*Input!$C$10,0)=0,1,ROUNDUP(R615*Input!$C$10,0)),IF(A615&gt;Input!$B$11,IF(ROUNDUP(R615*Input!$C$11,0)=0,1,ROUNDUP(R615*Input!$C$11,0)),IF(ROUNDUP(R615,0)=0,1,ROUNDUP(R615,0))))</f>
        <v>1</v>
      </c>
      <c r="T615" s="8">
        <f t="shared" si="125"/>
        <v>1</v>
      </c>
      <c r="U615" s="8">
        <f>IFERROR(VLOOKUP($B615,Input!$AC$2:$AE$161,3,0),0)</f>
        <v>0</v>
      </c>
      <c r="V615" s="256">
        <f t="shared" si="126"/>
        <v>0</v>
      </c>
      <c r="W615" s="263">
        <f t="shared" si="127"/>
        <v>0</v>
      </c>
      <c r="X615" s="68"/>
      <c r="Y615" s="68"/>
      <c r="Z615" s="68"/>
      <c r="AA615" s="68"/>
      <c r="AB615" s="68"/>
      <c r="AC615" s="68"/>
      <c r="AD615" s="68"/>
      <c r="AE615" s="68"/>
      <c r="AF615" s="68"/>
      <c r="AG615" s="68"/>
      <c r="AH615" s="68"/>
      <c r="AI615" s="68"/>
      <c r="AJ615" s="68">
        <v>1</v>
      </c>
      <c r="AL615" s="68">
        <v>1</v>
      </c>
      <c r="AM615" s="68"/>
      <c r="AN615" s="68"/>
      <c r="AO615" s="68"/>
      <c r="AQ615" s="68"/>
      <c r="AR615" s="68"/>
      <c r="AS615" s="68"/>
      <c r="AT615" s="68"/>
      <c r="AU615" s="68"/>
      <c r="AV615" s="68"/>
      <c r="AW615" s="68"/>
      <c r="AX615" s="68"/>
      <c r="AY615" s="68"/>
      <c r="AZ615" s="68"/>
      <c r="BB615" s="68"/>
      <c r="BC615" s="68"/>
      <c r="BJ615" s="68"/>
      <c r="BT615">
        <v>1</v>
      </c>
      <c r="BV615">
        <v>1</v>
      </c>
      <c r="BX615" s="68"/>
      <c r="BY615" s="68">
        <v>1</v>
      </c>
      <c r="BZ615" s="68" t="s">
        <v>1057</v>
      </c>
      <c r="CA615" s="68" t="s">
        <v>1057</v>
      </c>
      <c r="CB615" s="68" t="s">
        <v>1057</v>
      </c>
      <c r="CC615" s="68" t="e">
        <f t="shared" si="128"/>
        <v>#DIV/0!</v>
      </c>
      <c r="CD615" s="68" t="str">
        <f t="shared" si="129"/>
        <v>NA</v>
      </c>
    </row>
    <row r="616" spans="1:82" ht="15.75" customHeight="1" thickBot="1" x14ac:dyDescent="0.3">
      <c r="A616" s="9">
        <v>615</v>
      </c>
      <c r="B616" s="10" t="s">
        <v>1109</v>
      </c>
      <c r="C616" s="10" t="s">
        <v>311</v>
      </c>
      <c r="D616" s="10" t="s">
        <v>19</v>
      </c>
      <c r="E616" s="51">
        <v>-169.102398025952</v>
      </c>
      <c r="F616" s="51">
        <v>0</v>
      </c>
      <c r="G616" s="51">
        <v>0</v>
      </c>
      <c r="H616" s="51">
        <v>0</v>
      </c>
      <c r="I616" s="11" t="s">
        <v>1057</v>
      </c>
      <c r="J616" s="51" t="s">
        <v>1057</v>
      </c>
      <c r="K616" s="249" t="str">
        <f>IFERROR(VLOOKUP(C616,Schedule!$T$3:$U$34,2,0),"FA")</f>
        <v>FA</v>
      </c>
      <c r="L616" s="10" t="str">
        <f>D616&amp;COUNTIF(D$2:$D616,D616)</f>
        <v>RB208</v>
      </c>
      <c r="M616" s="51">
        <f t="array" ref="M616">IFERROR(F616-AVERAGE(VLOOKUP(D616,$D617:$F$885,3,0),INDEX($F617:$F$885,SMALL(IF(D616=$D617:$D$885,ROW($D617:$D$885)-ROW(D616)),2))),0)</f>
        <v>0</v>
      </c>
      <c r="N616" s="51">
        <f>IFERROR(IF(VLOOKUP($B616,Input!$AC$2:$AC$162,1,0)=$B616,0),F616)</f>
        <v>0</v>
      </c>
      <c r="O616" s="51">
        <f>IFERROR(IF(VLOOKUP($B616,Input!$AC$2:$AC$162,1,0)=$B616,0,G616),G616)</f>
        <v>0</v>
      </c>
      <c r="P616" s="51">
        <f>IF(N616=0,0,F616-AVERAGE(INDEX(F:F,MATCH(VLOOKUP(D616,Input!$A$14:$L$22,10,0),L:L,0)),INDEX(F:F,MATCH(VLOOKUP(D616,Input!$A$14:$L$22,11,0),L:L,0)),INDEX(F:F,MATCH(VLOOKUP(D616,Input!$A$14:$L$22,12,0),L:L,0)))+(0.01-ROW()*0.01))</f>
        <v>0</v>
      </c>
      <c r="Q616" s="107">
        <f t="shared" si="124"/>
        <v>0</v>
      </c>
      <c r="R616" s="11">
        <f>IF(VLOOKUP($D616,$X$14:$Y$19,2,0)&lt;=0,1,IF(Q616&lt;0,1,ROUNDUP(IF(Q616*('Draft Center'!$L$28+'Draft Center'!$L$78-'Draft Center'!$L$82)&lt;1,1,Q616*('Draft Center'!$L$28+'Draft Center'!$L$78-'Draft Center'!$L$82)),0)))</f>
        <v>1</v>
      </c>
      <c r="S616" s="11">
        <f>IF(A616&lt;Input!$B$10+0.1,IF(ROUNDUP(R616*Input!$C$10,0)=0,1,ROUNDUP(R616*Input!$C$10,0)),IF(A616&gt;Input!$B$11,IF(ROUNDUP(R616*Input!$C$11,0)=0,1,ROUNDUP(R616*Input!$C$11,0)),IF(ROUNDUP(R616,0)=0,1,ROUNDUP(R616,0))))</f>
        <v>1</v>
      </c>
      <c r="T616" s="11">
        <f t="shared" si="125"/>
        <v>1</v>
      </c>
      <c r="U616" s="11">
        <f>IFERROR(VLOOKUP($B616,Input!$AC$2:$AE$161,3,0),0)</f>
        <v>0</v>
      </c>
      <c r="V616" s="257">
        <f t="shared" si="126"/>
        <v>0</v>
      </c>
      <c r="W616" s="264">
        <f t="shared" si="127"/>
        <v>0</v>
      </c>
      <c r="X616" s="68"/>
      <c r="Y616" s="68"/>
      <c r="Z616" s="68"/>
      <c r="AA616" s="68"/>
      <c r="AB616" s="68"/>
      <c r="AC616" s="68"/>
      <c r="AD616" s="68"/>
      <c r="AE616" s="68"/>
      <c r="AF616" s="68"/>
      <c r="AG616" s="68"/>
      <c r="AH616" s="68"/>
      <c r="AI616" s="68"/>
      <c r="AJ616" s="68">
        <v>1</v>
      </c>
      <c r="AL616" s="68">
        <v>1</v>
      </c>
      <c r="AM616" s="68"/>
      <c r="AN616" s="68"/>
      <c r="AO616" s="68"/>
      <c r="AQ616" s="68"/>
      <c r="AR616" s="68"/>
      <c r="AS616" s="68"/>
      <c r="AT616" s="68"/>
      <c r="AU616" s="68"/>
      <c r="AV616" s="68"/>
      <c r="AW616" s="68"/>
      <c r="AX616" s="68"/>
      <c r="AY616" s="68"/>
      <c r="AZ616" s="68"/>
      <c r="BB616" s="68"/>
      <c r="BC616" s="68"/>
      <c r="BJ616" s="68"/>
      <c r="BT616">
        <v>1</v>
      </c>
      <c r="BV616">
        <v>1</v>
      </c>
      <c r="BX616" s="68"/>
      <c r="BY616" s="68">
        <v>1</v>
      </c>
      <c r="BZ616" s="68" t="s">
        <v>1057</v>
      </c>
      <c r="CA616" s="68" t="s">
        <v>1057</v>
      </c>
      <c r="CB616" s="68" t="s">
        <v>1057</v>
      </c>
      <c r="CC616" s="68" t="e">
        <f t="shared" si="128"/>
        <v>#DIV/0!</v>
      </c>
      <c r="CD616" s="68" t="str">
        <f t="shared" si="129"/>
        <v>NA</v>
      </c>
    </row>
    <row r="617" spans="1:82" ht="15.75" customHeight="1" thickBot="1" x14ac:dyDescent="0.3">
      <c r="A617" s="6">
        <v>616</v>
      </c>
      <c r="B617" s="7" t="s">
        <v>1110</v>
      </c>
      <c r="C617" s="7" t="s">
        <v>311</v>
      </c>
      <c r="D617" s="7" t="s">
        <v>19</v>
      </c>
      <c r="E617" s="50">
        <v>-169.102398025952</v>
      </c>
      <c r="F617" s="50">
        <v>0</v>
      </c>
      <c r="G617" s="50">
        <v>0</v>
      </c>
      <c r="H617" s="50">
        <v>0</v>
      </c>
      <c r="I617" s="8" t="s">
        <v>1057</v>
      </c>
      <c r="J617" s="50">
        <v>2.3510017858661798</v>
      </c>
      <c r="K617" s="248" t="str">
        <f>IFERROR(VLOOKUP(C617,Schedule!$T$3:$U$34,2,0),"FA")</f>
        <v>FA</v>
      </c>
      <c r="L617" s="7" t="str">
        <f>D617&amp;COUNTIF(D$2:$D617,D617)</f>
        <v>RB209</v>
      </c>
      <c r="M617" s="50">
        <f t="array" ref="M617">IFERROR(F617-AVERAGE(VLOOKUP(D617,$D618:$F$885,3,0),INDEX($F618:$F$885,SMALL(IF(D617=$D618:$D$885,ROW($D618:$D$885)-ROW(D617)),2))),0)</f>
        <v>0</v>
      </c>
      <c r="N617" s="50">
        <f>IFERROR(IF(VLOOKUP($B617,Input!$AC$2:$AC$162,1,0)=$B617,0),F617)</f>
        <v>0</v>
      </c>
      <c r="O617" s="50">
        <f>IFERROR(IF(VLOOKUP($B617,Input!$AC$2:$AC$162,1,0)=$B617,0,G617),G617)</f>
        <v>0</v>
      </c>
      <c r="P617" s="50">
        <f>IF(N617=0,0,F617-AVERAGE(INDEX(F:F,MATCH(VLOOKUP(D617,Input!$A$14:$L$22,10,0),L:L,0)),INDEX(F:F,MATCH(VLOOKUP(D617,Input!$A$14:$L$22,11,0),L:L,0)),INDEX(F:F,MATCH(VLOOKUP(D617,Input!$A$14:$L$22,12,0),L:L,0)))+(0.01-ROW()*0.01))</f>
        <v>0</v>
      </c>
      <c r="Q617" s="106">
        <f t="shared" si="124"/>
        <v>0</v>
      </c>
      <c r="R617" s="8">
        <f>IF(VLOOKUP($D617,$X$14:$Y$19,2,0)&lt;=0,1,IF(Q617&lt;0,1,ROUNDUP(IF(Q617*('Draft Center'!$L$28+'Draft Center'!$L$78-'Draft Center'!$L$82)&lt;1,1,Q617*('Draft Center'!$L$28+'Draft Center'!$L$78-'Draft Center'!$L$82)),0)))</f>
        <v>1</v>
      </c>
      <c r="S617" s="8">
        <f>IF(A617&lt;Input!$B$10+0.1,IF(ROUNDUP(R617*Input!$C$10,0)=0,1,ROUNDUP(R617*Input!$C$10,0)),IF(A617&gt;Input!$B$11,IF(ROUNDUP(R617*Input!$C$11,0)=0,1,ROUNDUP(R617*Input!$C$11,0)),IF(ROUNDUP(R617,0)=0,1,ROUNDUP(R617,0))))</f>
        <v>1</v>
      </c>
      <c r="T617" s="8">
        <f t="shared" si="125"/>
        <v>1</v>
      </c>
      <c r="U617" s="8">
        <f>IFERROR(VLOOKUP($B617,Input!$AC$2:$AE$161,3,0),0)</f>
        <v>0</v>
      </c>
      <c r="V617" s="256">
        <f t="shared" si="126"/>
        <v>0</v>
      </c>
      <c r="W617" s="263">
        <f t="shared" si="127"/>
        <v>0</v>
      </c>
      <c r="X617" s="68"/>
      <c r="Y617" s="68"/>
      <c r="Z617" s="68"/>
      <c r="AA617" s="68"/>
      <c r="AB617" s="68"/>
      <c r="AC617" s="68"/>
      <c r="AD617" s="68"/>
      <c r="AE617" s="68"/>
      <c r="AF617" s="68"/>
      <c r="AG617" s="68"/>
      <c r="AH617" s="68"/>
      <c r="AI617" s="68"/>
      <c r="AJ617" s="68">
        <v>1</v>
      </c>
      <c r="AL617" s="68">
        <v>1</v>
      </c>
      <c r="AM617" s="68"/>
      <c r="AN617" s="68"/>
      <c r="AO617" s="68"/>
      <c r="AQ617" s="68"/>
      <c r="AR617" s="68"/>
      <c r="AS617" s="68"/>
      <c r="AT617" s="68"/>
      <c r="AU617" s="68"/>
      <c r="AV617" s="68"/>
      <c r="AW617" s="68"/>
      <c r="AX617" s="68"/>
      <c r="AY617" s="68"/>
      <c r="AZ617" s="68"/>
      <c r="BB617" s="68"/>
      <c r="BC617" s="68"/>
      <c r="BJ617" s="68"/>
      <c r="BT617">
        <v>1</v>
      </c>
      <c r="BV617">
        <v>1</v>
      </c>
      <c r="BX617" s="68"/>
      <c r="BY617" s="68">
        <v>1</v>
      </c>
      <c r="BZ617" s="68" t="s">
        <v>1057</v>
      </c>
      <c r="CA617" s="68" t="s">
        <v>1057</v>
      </c>
      <c r="CB617" s="68" t="s">
        <v>1057</v>
      </c>
      <c r="CC617" s="68" t="e">
        <f t="shared" si="128"/>
        <v>#DIV/0!</v>
      </c>
      <c r="CD617" s="68" t="str">
        <f t="shared" si="129"/>
        <v>NA</v>
      </c>
    </row>
    <row r="618" spans="1:82" ht="15.75" customHeight="1" thickBot="1" x14ac:dyDescent="0.3">
      <c r="A618" s="9">
        <v>617</v>
      </c>
      <c r="B618" s="10" t="s">
        <v>235</v>
      </c>
      <c r="C618" s="10" t="s">
        <v>311</v>
      </c>
      <c r="D618" s="10" t="s">
        <v>19</v>
      </c>
      <c r="E618" s="51">
        <v>-169.102398025952</v>
      </c>
      <c r="F618" s="51">
        <v>0</v>
      </c>
      <c r="G618" s="51">
        <v>0</v>
      </c>
      <c r="H618" s="51">
        <v>0</v>
      </c>
      <c r="I618" s="11" t="s">
        <v>1057</v>
      </c>
      <c r="J618" s="51">
        <v>2.3510017858661798</v>
      </c>
      <c r="K618" s="249" t="str">
        <f>IFERROR(VLOOKUP(C618,Schedule!$T$3:$U$34,2,0),"FA")</f>
        <v>FA</v>
      </c>
      <c r="L618" s="10" t="str">
        <f>D618&amp;COUNTIF(D$2:$D618,D618)</f>
        <v>RB210</v>
      </c>
      <c r="M618" s="51">
        <f t="array" ref="M618">IFERROR(F618-AVERAGE(VLOOKUP(D618,$D619:$F$885,3,0),INDEX($F619:$F$885,SMALL(IF(D618=$D619:$D$885,ROW($D619:$D$885)-ROW(D618)),2))),0)</f>
        <v>0</v>
      </c>
      <c r="N618" s="51">
        <f>IFERROR(IF(VLOOKUP($B618,Input!$AC$2:$AC$162,1,0)=$B618,0),F618)</f>
        <v>0</v>
      </c>
      <c r="O618" s="51">
        <f>IFERROR(IF(VLOOKUP($B618,Input!$AC$2:$AC$162,1,0)=$B618,0,G618),G618)</f>
        <v>0</v>
      </c>
      <c r="P618" s="51">
        <f>IF(N618=0,0,F618-AVERAGE(INDEX(F:F,MATCH(VLOOKUP(D618,Input!$A$14:$L$22,10,0),L:L,0)),INDEX(F:F,MATCH(VLOOKUP(D618,Input!$A$14:$L$22,11,0),L:L,0)),INDEX(F:F,MATCH(VLOOKUP(D618,Input!$A$14:$L$22,12,0),L:L,0)))+(0.01-ROW()*0.01))</f>
        <v>0</v>
      </c>
      <c r="Q618" s="107">
        <f t="shared" si="124"/>
        <v>0</v>
      </c>
      <c r="R618" s="11">
        <f>IF(VLOOKUP($D618,$X$14:$Y$19,2,0)&lt;=0,1,IF(Q618&lt;0,1,ROUNDUP(IF(Q618*('Draft Center'!$L$28+'Draft Center'!$L$78-'Draft Center'!$L$82)&lt;1,1,Q618*('Draft Center'!$L$28+'Draft Center'!$L$78-'Draft Center'!$L$82)),0)))</f>
        <v>1</v>
      </c>
      <c r="S618" s="11">
        <f>IF(A618&lt;Input!$B$10+0.1,IF(ROUNDUP(R618*Input!$C$10,0)=0,1,ROUNDUP(R618*Input!$C$10,0)),IF(A618&gt;Input!$B$11,IF(ROUNDUP(R618*Input!$C$11,0)=0,1,ROUNDUP(R618*Input!$C$11,0)),IF(ROUNDUP(R618,0)=0,1,ROUNDUP(R618,0))))</f>
        <v>1</v>
      </c>
      <c r="T618" s="11">
        <f t="shared" si="125"/>
        <v>1</v>
      </c>
      <c r="U618" s="11">
        <f>IFERROR(VLOOKUP($B618,Input!$AC$2:$AE$161,3,0),0)</f>
        <v>0</v>
      </c>
      <c r="V618" s="257">
        <f t="shared" si="126"/>
        <v>0</v>
      </c>
      <c r="W618" s="264">
        <f t="shared" si="127"/>
        <v>0</v>
      </c>
      <c r="X618" s="68"/>
      <c r="Y618" s="68"/>
      <c r="Z618" s="68"/>
      <c r="AA618" s="68"/>
      <c r="AB618" s="68"/>
      <c r="AC618" s="68"/>
      <c r="AD618" s="68"/>
      <c r="AE618" s="68"/>
      <c r="AF618" s="68"/>
      <c r="AG618" s="68"/>
      <c r="AH618" s="68"/>
      <c r="AI618" s="68"/>
      <c r="AJ618" s="68">
        <v>1</v>
      </c>
      <c r="AL618" s="68">
        <v>1</v>
      </c>
      <c r="AM618" s="68"/>
      <c r="AN618" s="68"/>
      <c r="AO618" s="68"/>
      <c r="AQ618" s="68"/>
      <c r="AR618" s="68"/>
      <c r="AS618" s="68"/>
      <c r="AT618" s="68"/>
      <c r="AU618" s="68"/>
      <c r="AV618" s="68"/>
      <c r="AW618" s="68"/>
      <c r="AX618" s="68"/>
      <c r="AY618" s="68"/>
      <c r="AZ618" s="68"/>
      <c r="BB618" s="68"/>
      <c r="BC618" s="68"/>
      <c r="BJ618" s="68"/>
      <c r="BT618">
        <v>1</v>
      </c>
      <c r="BV618">
        <v>1</v>
      </c>
      <c r="BX618" s="68"/>
      <c r="BY618" s="68">
        <v>1</v>
      </c>
      <c r="BZ618" s="68" t="s">
        <v>1057</v>
      </c>
      <c r="CA618" s="68" t="s">
        <v>1057</v>
      </c>
      <c r="CB618" s="68" t="s">
        <v>1057</v>
      </c>
      <c r="CC618" s="68" t="e">
        <f t="shared" si="128"/>
        <v>#DIV/0!</v>
      </c>
      <c r="CD618" s="68" t="str">
        <f t="shared" si="129"/>
        <v>NA</v>
      </c>
    </row>
    <row r="619" spans="1:82" ht="15.75" customHeight="1" thickBot="1" x14ac:dyDescent="0.3">
      <c r="A619" s="6">
        <v>618</v>
      </c>
      <c r="B619" s="7" t="s">
        <v>1111</v>
      </c>
      <c r="C619" s="7" t="s">
        <v>311</v>
      </c>
      <c r="D619" s="7" t="s">
        <v>19</v>
      </c>
      <c r="E619" s="50">
        <v>-169.102398025952</v>
      </c>
      <c r="F619" s="50">
        <v>0</v>
      </c>
      <c r="G619" s="50">
        <v>0</v>
      </c>
      <c r="H619" s="50">
        <v>0</v>
      </c>
      <c r="I619" s="8" t="s">
        <v>1057</v>
      </c>
      <c r="J619" s="50">
        <v>1.39201529318037</v>
      </c>
      <c r="K619" s="248" t="str">
        <f>IFERROR(VLOOKUP(C619,Schedule!$T$3:$U$34,2,0),"FA")</f>
        <v>FA</v>
      </c>
      <c r="L619" s="7" t="str">
        <f>D619&amp;COUNTIF(D$2:$D619,D619)</f>
        <v>RB211</v>
      </c>
      <c r="M619" s="50">
        <f t="array" ref="M619">IFERROR(F619-AVERAGE(VLOOKUP(D619,$D620:$F$885,3,0),INDEX($F620:$F$885,SMALL(IF(D619=$D620:$D$885,ROW($D620:$D$885)-ROW(D619)),2))),0)</f>
        <v>0</v>
      </c>
      <c r="N619" s="50">
        <f>IFERROR(IF(VLOOKUP($B619,Input!$AC$2:$AC$162,1,0)=$B619,0),F619)</f>
        <v>0</v>
      </c>
      <c r="O619" s="50">
        <f>IFERROR(IF(VLOOKUP($B619,Input!$AC$2:$AC$162,1,0)=$B619,0,G619),G619)</f>
        <v>0</v>
      </c>
      <c r="P619" s="50">
        <f>IF(N619=0,0,F619-AVERAGE(INDEX(F:F,MATCH(VLOOKUP(D619,Input!$A$14:$L$22,10,0),L:L,0)),INDEX(F:F,MATCH(VLOOKUP(D619,Input!$A$14:$L$22,11,0),L:L,0)),INDEX(F:F,MATCH(VLOOKUP(D619,Input!$A$14:$L$22,12,0),L:L,0)))+(0.01-ROW()*0.01))</f>
        <v>0</v>
      </c>
      <c r="Q619" s="106">
        <f t="shared" si="124"/>
        <v>0</v>
      </c>
      <c r="R619" s="8">
        <f>IF(VLOOKUP($D619,$X$14:$Y$19,2,0)&lt;=0,1,IF(Q619&lt;0,1,ROUNDUP(IF(Q619*('Draft Center'!$L$28+'Draft Center'!$L$78-'Draft Center'!$L$82)&lt;1,1,Q619*('Draft Center'!$L$28+'Draft Center'!$L$78-'Draft Center'!$L$82)),0)))</f>
        <v>1</v>
      </c>
      <c r="S619" s="8">
        <f>IF(A619&lt;Input!$B$10+0.1,IF(ROUNDUP(R619*Input!$C$10,0)=0,1,ROUNDUP(R619*Input!$C$10,0)),IF(A619&gt;Input!$B$11,IF(ROUNDUP(R619*Input!$C$11,0)=0,1,ROUNDUP(R619*Input!$C$11,0)),IF(ROUNDUP(R619,0)=0,1,ROUNDUP(R619,0))))</f>
        <v>1</v>
      </c>
      <c r="T619" s="8">
        <f t="shared" si="125"/>
        <v>1</v>
      </c>
      <c r="U619" s="8">
        <f>IFERROR(VLOOKUP($B619,Input!$AC$2:$AE$161,3,0),0)</f>
        <v>0</v>
      </c>
      <c r="V619" s="256">
        <f t="shared" si="126"/>
        <v>0</v>
      </c>
      <c r="W619" s="263">
        <f t="shared" si="127"/>
        <v>0</v>
      </c>
      <c r="X619" s="68"/>
      <c r="Y619" s="68"/>
      <c r="Z619" s="68"/>
      <c r="AA619" s="68"/>
      <c r="AB619" s="68"/>
      <c r="AC619" s="68"/>
      <c r="AD619" s="68"/>
      <c r="AE619" s="68"/>
      <c r="AF619" s="68"/>
      <c r="AG619" s="68"/>
      <c r="AH619" s="68"/>
      <c r="AI619" s="68"/>
      <c r="AJ619" s="68">
        <v>1</v>
      </c>
      <c r="AL619" s="68">
        <v>1</v>
      </c>
      <c r="AM619" s="68"/>
      <c r="AN619" s="68"/>
      <c r="AO619" s="68"/>
      <c r="AQ619" s="68"/>
      <c r="AR619" s="68"/>
      <c r="AS619" s="68"/>
      <c r="AT619" s="68"/>
      <c r="AU619" s="68"/>
      <c r="AV619" s="68"/>
      <c r="AW619" s="68"/>
      <c r="AX619" s="68"/>
      <c r="AY619" s="68"/>
      <c r="AZ619" s="68"/>
      <c r="BB619" s="68"/>
      <c r="BC619" s="68"/>
      <c r="BJ619" s="68"/>
      <c r="BT619">
        <v>1</v>
      </c>
      <c r="BV619">
        <v>1</v>
      </c>
      <c r="BX619" s="68"/>
      <c r="BY619" s="68">
        <v>1</v>
      </c>
      <c r="BZ619" s="68" t="s">
        <v>1057</v>
      </c>
      <c r="CA619" s="68" t="s">
        <v>1057</v>
      </c>
      <c r="CB619" s="68" t="s">
        <v>1057</v>
      </c>
      <c r="CC619" s="68" t="e">
        <f t="shared" si="128"/>
        <v>#DIV/0!</v>
      </c>
      <c r="CD619" s="68" t="str">
        <f t="shared" si="129"/>
        <v>NA</v>
      </c>
    </row>
    <row r="620" spans="1:82" ht="15.75" thickBot="1" x14ac:dyDescent="0.3">
      <c r="A620" s="9">
        <v>619</v>
      </c>
      <c r="B620" s="10" t="s">
        <v>1112</v>
      </c>
      <c r="C620" s="10" t="s">
        <v>311</v>
      </c>
      <c r="D620" s="10" t="s">
        <v>19</v>
      </c>
      <c r="E620" s="51">
        <v>-169.102398025952</v>
      </c>
      <c r="F620" s="51">
        <v>0</v>
      </c>
      <c r="G620" s="51">
        <v>0</v>
      </c>
      <c r="H620" s="51">
        <v>0</v>
      </c>
      <c r="I620" s="11" t="s">
        <v>1057</v>
      </c>
      <c r="J620" s="51" t="s">
        <v>1057</v>
      </c>
      <c r="K620" s="249" t="str">
        <f>IFERROR(VLOOKUP(C620,Schedule!$T$3:$U$34,2,0),"FA")</f>
        <v>FA</v>
      </c>
      <c r="L620" s="10" t="str">
        <f>D620&amp;COUNTIF(D$2:$D620,D620)</f>
        <v>RB212</v>
      </c>
      <c r="M620" s="51">
        <f t="array" ref="M620">IFERROR(F620-AVERAGE(VLOOKUP(D620,$D621:$F$885,3,0),INDEX($F621:$F$885,SMALL(IF(D620=$D621:$D$885,ROW($D621:$D$885)-ROW(D620)),2))),0)</f>
        <v>0</v>
      </c>
      <c r="N620" s="51">
        <f>IFERROR(IF(VLOOKUP($B620,Input!$AC$2:$AC$162,1,0)=$B620,0),F620)</f>
        <v>0</v>
      </c>
      <c r="O620" s="51">
        <f>IFERROR(IF(VLOOKUP($B620,Input!$AC$2:$AC$162,1,0)=$B620,0,G620),G620)</f>
        <v>0</v>
      </c>
      <c r="P620" s="51">
        <f>IF(N620=0,0,F620-AVERAGE(INDEX(F:F,MATCH(VLOOKUP(D620,Input!$A$14:$L$22,10,0),L:L,0)),INDEX(F:F,MATCH(VLOOKUP(D620,Input!$A$14:$L$22,11,0),L:L,0)),INDEX(F:F,MATCH(VLOOKUP(D620,Input!$A$14:$L$22,12,0),L:L,0)))+(0.01-ROW()*0.01))</f>
        <v>0</v>
      </c>
      <c r="Q620" s="107">
        <f t="shared" si="124"/>
        <v>0</v>
      </c>
      <c r="R620" s="11">
        <f>IF(VLOOKUP($D620,$X$14:$Y$19,2,0)&lt;=0,1,IF(Q620&lt;0,1,ROUNDUP(IF(Q620*('Draft Center'!$L$28+'Draft Center'!$L$78-'Draft Center'!$L$82)&lt;1,1,Q620*('Draft Center'!$L$28+'Draft Center'!$L$78-'Draft Center'!$L$82)),0)))</f>
        <v>1</v>
      </c>
      <c r="S620" s="11">
        <f>IF(A620&lt;Input!$B$10+0.1,IF(ROUNDUP(R620*Input!$C$10,0)=0,1,ROUNDUP(R620*Input!$C$10,0)),IF(A620&gt;Input!$B$11,IF(ROUNDUP(R620*Input!$C$11,0)=0,1,ROUNDUP(R620*Input!$C$11,0)),IF(ROUNDUP(R620,0)=0,1,ROUNDUP(R620,0))))</f>
        <v>1</v>
      </c>
      <c r="T620" s="11">
        <f t="shared" si="125"/>
        <v>1</v>
      </c>
      <c r="U620" s="11">
        <f>IFERROR(VLOOKUP($B620,Input!$AC$2:$AE$161,3,0),0)</f>
        <v>0</v>
      </c>
      <c r="V620" s="257">
        <f t="shared" si="126"/>
        <v>0</v>
      </c>
      <c r="W620" s="264">
        <f t="shared" si="127"/>
        <v>0</v>
      </c>
      <c r="X620" s="68"/>
      <c r="Y620" s="68"/>
      <c r="Z620" s="68"/>
      <c r="AA620" s="68"/>
      <c r="AB620" s="68"/>
      <c r="AC620" s="68"/>
      <c r="AD620" s="68"/>
      <c r="AE620" s="68"/>
      <c r="AF620" s="68"/>
      <c r="AG620" s="68"/>
      <c r="AH620" s="68"/>
      <c r="AI620" s="68"/>
      <c r="AJ620" s="68">
        <v>1</v>
      </c>
      <c r="AL620" s="68">
        <v>1</v>
      </c>
      <c r="AM620" s="68"/>
      <c r="AN620" s="68"/>
      <c r="AO620" s="68"/>
      <c r="AQ620" s="68"/>
      <c r="AR620" s="68"/>
      <c r="AS620" s="68"/>
      <c r="AT620" s="68"/>
      <c r="AU620" s="68"/>
      <c r="AV620" s="68"/>
      <c r="AW620" s="68"/>
      <c r="AX620" s="68"/>
      <c r="AY620" s="68"/>
      <c r="AZ620" s="68"/>
      <c r="BB620" s="68"/>
      <c r="BC620" s="68"/>
      <c r="BJ620" s="68"/>
      <c r="BT620">
        <v>1</v>
      </c>
      <c r="BV620">
        <v>1</v>
      </c>
      <c r="BX620" s="68"/>
      <c r="BY620" s="68">
        <v>1</v>
      </c>
      <c r="BZ620" s="68" t="s">
        <v>1057</v>
      </c>
      <c r="CA620" s="68" t="s">
        <v>1057</v>
      </c>
      <c r="CB620" s="68" t="s">
        <v>1057</v>
      </c>
      <c r="CC620" s="68" t="e">
        <f t="shared" si="128"/>
        <v>#DIV/0!</v>
      </c>
      <c r="CD620" s="68" t="str">
        <f t="shared" si="129"/>
        <v>NA</v>
      </c>
    </row>
    <row r="621" spans="1:82" ht="15.75" thickBot="1" x14ac:dyDescent="0.3">
      <c r="A621" s="6">
        <v>620</v>
      </c>
      <c r="B621" s="7" t="s">
        <v>1113</v>
      </c>
      <c r="C621" s="7" t="s">
        <v>311</v>
      </c>
      <c r="D621" s="7" t="s">
        <v>19</v>
      </c>
      <c r="E621" s="50">
        <v>-169.102398025952</v>
      </c>
      <c r="F621" s="50">
        <v>0</v>
      </c>
      <c r="G621" s="50">
        <v>0</v>
      </c>
      <c r="H621" s="50">
        <v>0</v>
      </c>
      <c r="I621" s="8" t="s">
        <v>1057</v>
      </c>
      <c r="J621" s="50" t="s">
        <v>1057</v>
      </c>
      <c r="K621" s="248" t="str">
        <f>IFERROR(VLOOKUP(C621,Schedule!$T$3:$U$34,2,0),"FA")</f>
        <v>FA</v>
      </c>
      <c r="L621" s="7" t="str">
        <f>D621&amp;COUNTIF(D$2:$D621,D621)</f>
        <v>RB213</v>
      </c>
      <c r="M621" s="50">
        <f t="array" ref="M621">IFERROR(F621-AVERAGE(VLOOKUP(D621,$D622:$F$885,3,0),INDEX($F622:$F$885,SMALL(IF(D621=$D622:$D$885,ROW($D622:$D$885)-ROW(D621)),2))),0)</f>
        <v>0</v>
      </c>
      <c r="N621" s="50">
        <f>IFERROR(IF(VLOOKUP($B621,Input!$AC$2:$AC$162,1,0)=$B621,0),F621)</f>
        <v>0</v>
      </c>
      <c r="O621" s="50">
        <f>IFERROR(IF(VLOOKUP($B621,Input!$AC$2:$AC$162,1,0)=$B621,0,G621),G621)</f>
        <v>0</v>
      </c>
      <c r="P621" s="50">
        <f>IF(N621=0,0,F621-AVERAGE(INDEX(F:F,MATCH(VLOOKUP(D621,Input!$A$14:$L$22,10,0),L:L,0)),INDEX(F:F,MATCH(VLOOKUP(D621,Input!$A$14:$L$22,11,0),L:L,0)),INDEX(F:F,MATCH(VLOOKUP(D621,Input!$A$14:$L$22,12,0),L:L,0)))+(0.01-ROW()*0.01))</f>
        <v>0</v>
      </c>
      <c r="Q621" s="106">
        <f t="shared" si="124"/>
        <v>0</v>
      </c>
      <c r="R621" s="8">
        <f>IF(VLOOKUP($D621,$X$14:$Y$19,2,0)&lt;=0,1,IF(Q621&lt;0,1,ROUNDUP(IF(Q621*('Draft Center'!$L$28+'Draft Center'!$L$78-'Draft Center'!$L$82)&lt;1,1,Q621*('Draft Center'!$L$28+'Draft Center'!$L$78-'Draft Center'!$L$82)),0)))</f>
        <v>1</v>
      </c>
      <c r="S621" s="8">
        <f>IF(A621&lt;Input!$B$10+0.1,IF(ROUNDUP(R621*Input!$C$10,0)=0,1,ROUNDUP(R621*Input!$C$10,0)),IF(A621&gt;Input!$B$11,IF(ROUNDUP(R621*Input!$C$11,0)=0,1,ROUNDUP(R621*Input!$C$11,0)),IF(ROUNDUP(R621,0)=0,1,ROUNDUP(R621,0))))</f>
        <v>1</v>
      </c>
      <c r="T621" s="8">
        <f t="shared" si="125"/>
        <v>1</v>
      </c>
      <c r="U621" s="8">
        <f>IFERROR(VLOOKUP($B621,Input!$AC$2:$AE$161,3,0),0)</f>
        <v>0</v>
      </c>
      <c r="V621" s="256">
        <f t="shared" si="126"/>
        <v>0</v>
      </c>
      <c r="W621" s="263">
        <f t="shared" si="127"/>
        <v>0</v>
      </c>
      <c r="X621" s="68"/>
      <c r="Y621" s="68"/>
      <c r="Z621" s="68"/>
      <c r="AA621" s="68"/>
      <c r="AB621" s="68"/>
      <c r="AC621" s="68"/>
      <c r="AD621" s="68"/>
      <c r="AE621" s="68"/>
      <c r="AF621" s="68"/>
      <c r="AG621" s="68"/>
      <c r="AH621" s="68"/>
      <c r="AI621" s="68"/>
      <c r="AJ621" s="68">
        <v>1</v>
      </c>
      <c r="AL621" s="68">
        <v>1</v>
      </c>
      <c r="AM621" s="68"/>
      <c r="AN621" s="68"/>
      <c r="AO621" s="68"/>
      <c r="AQ621" s="68"/>
      <c r="AR621" s="68"/>
      <c r="AS621" s="68"/>
      <c r="AT621" s="68"/>
      <c r="AU621" s="68"/>
      <c r="AV621" s="68"/>
      <c r="AW621" s="68"/>
      <c r="AX621" s="68"/>
      <c r="AY621" s="68"/>
      <c r="AZ621" s="68"/>
      <c r="BB621" s="68"/>
      <c r="BC621" s="68"/>
      <c r="BJ621" s="68"/>
      <c r="BT621">
        <v>1</v>
      </c>
      <c r="BV621">
        <v>1</v>
      </c>
      <c r="BX621" s="68"/>
      <c r="BY621" s="68">
        <v>1</v>
      </c>
      <c r="BZ621" s="68" t="s">
        <v>1057</v>
      </c>
      <c r="CA621" s="68" t="s">
        <v>1057</v>
      </c>
      <c r="CB621" s="68" t="s">
        <v>1057</v>
      </c>
      <c r="CC621" s="68" t="e">
        <f t="shared" si="128"/>
        <v>#DIV/0!</v>
      </c>
      <c r="CD621" s="68" t="str">
        <f t="shared" si="129"/>
        <v>NA</v>
      </c>
    </row>
    <row r="622" spans="1:82" ht="15.75" customHeight="1" thickBot="1" x14ac:dyDescent="0.3">
      <c r="A622" s="9">
        <v>621</v>
      </c>
      <c r="B622" s="10" t="s">
        <v>1114</v>
      </c>
      <c r="C622" s="10" t="s">
        <v>311</v>
      </c>
      <c r="D622" s="10" t="s">
        <v>19</v>
      </c>
      <c r="E622" s="51">
        <v>-169.102398025952</v>
      </c>
      <c r="F622" s="51">
        <v>0</v>
      </c>
      <c r="G622" s="51">
        <v>0</v>
      </c>
      <c r="H622" s="51">
        <v>0</v>
      </c>
      <c r="I622" s="11" t="s">
        <v>1057</v>
      </c>
      <c r="J622" s="51" t="s">
        <v>1057</v>
      </c>
      <c r="K622" s="249" t="str">
        <f>IFERROR(VLOOKUP(C622,Schedule!$T$3:$U$34,2,0),"FA")</f>
        <v>FA</v>
      </c>
      <c r="L622" s="10" t="str">
        <f>D622&amp;COUNTIF(D$2:$D622,D622)</f>
        <v>RB214</v>
      </c>
      <c r="M622" s="51">
        <f t="array" ref="M622">IFERROR(F622-AVERAGE(VLOOKUP(D622,$D623:$F$885,3,0),INDEX($F623:$F$885,SMALL(IF(D622=$D623:$D$885,ROW($D623:$D$885)-ROW(D622)),2))),0)</f>
        <v>0</v>
      </c>
      <c r="N622" s="51">
        <f>IFERROR(IF(VLOOKUP($B622,Input!$AC$2:$AC$162,1,0)=$B622,0),F622)</f>
        <v>0</v>
      </c>
      <c r="O622" s="51">
        <f>IFERROR(IF(VLOOKUP($B622,Input!$AC$2:$AC$162,1,0)=$B622,0,G622),G622)</f>
        <v>0</v>
      </c>
      <c r="P622" s="51">
        <f>IF(N622=0,0,F622-AVERAGE(INDEX(F:F,MATCH(VLOOKUP(D622,Input!$A$14:$L$22,10,0),L:L,0)),INDEX(F:F,MATCH(VLOOKUP(D622,Input!$A$14:$L$22,11,0),L:L,0)),INDEX(F:F,MATCH(VLOOKUP(D622,Input!$A$14:$L$22,12,0),L:L,0)))+(0.01-ROW()*0.01))</f>
        <v>0</v>
      </c>
      <c r="Q622" s="107">
        <f t="shared" si="124"/>
        <v>0</v>
      </c>
      <c r="R622" s="11">
        <f>IF(VLOOKUP($D622,$X$14:$Y$19,2,0)&lt;=0,1,IF(Q622&lt;0,1,ROUNDUP(IF(Q622*('Draft Center'!$L$28+'Draft Center'!$L$78-'Draft Center'!$L$82)&lt;1,1,Q622*('Draft Center'!$L$28+'Draft Center'!$L$78-'Draft Center'!$L$82)),0)))</f>
        <v>1</v>
      </c>
      <c r="S622" s="11">
        <f>IF(A622&lt;Input!$B$10+0.1,IF(ROUNDUP(R622*Input!$C$10,0)=0,1,ROUNDUP(R622*Input!$C$10,0)),IF(A622&gt;Input!$B$11,IF(ROUNDUP(R622*Input!$C$11,0)=0,1,ROUNDUP(R622*Input!$C$11,0)),IF(ROUNDUP(R622,0)=0,1,ROUNDUP(R622,0))))</f>
        <v>1</v>
      </c>
      <c r="T622" s="11">
        <f t="shared" si="125"/>
        <v>1</v>
      </c>
      <c r="U622" s="11">
        <f>IFERROR(VLOOKUP($B622,Input!$AC$2:$AE$161,3,0),0)</f>
        <v>0</v>
      </c>
      <c r="V622" s="257">
        <f t="shared" si="126"/>
        <v>0</v>
      </c>
      <c r="W622" s="264">
        <f t="shared" si="127"/>
        <v>0</v>
      </c>
      <c r="X622" s="68"/>
      <c r="Y622" s="68"/>
      <c r="Z622" s="68"/>
      <c r="AA622" s="68"/>
      <c r="AB622" s="68"/>
      <c r="AC622" s="68"/>
      <c r="AD622" s="68"/>
      <c r="AE622" s="68"/>
      <c r="AF622" s="68"/>
      <c r="AG622" s="68"/>
      <c r="AH622" s="68"/>
      <c r="AI622" s="68"/>
      <c r="AJ622" s="68">
        <v>1</v>
      </c>
      <c r="AL622" s="68">
        <v>1</v>
      </c>
      <c r="AM622" s="68"/>
      <c r="AN622" s="68"/>
      <c r="AO622" s="68"/>
      <c r="AQ622" s="68"/>
      <c r="AR622" s="68"/>
      <c r="AS622" s="68"/>
      <c r="AT622" s="68"/>
      <c r="AU622" s="68"/>
      <c r="AV622" s="68"/>
      <c r="AW622" s="68"/>
      <c r="AX622" s="68"/>
      <c r="AY622" s="68"/>
      <c r="AZ622" s="68"/>
      <c r="BB622" s="68"/>
      <c r="BC622" s="68"/>
      <c r="BJ622" s="68"/>
      <c r="BT622">
        <v>1</v>
      </c>
      <c r="BV622">
        <v>1</v>
      </c>
      <c r="BX622" s="68"/>
      <c r="BY622" s="68">
        <v>1</v>
      </c>
      <c r="BZ622" s="68" t="s">
        <v>1057</v>
      </c>
      <c r="CA622" s="68" t="s">
        <v>1057</v>
      </c>
      <c r="CB622" s="68" t="s">
        <v>1057</v>
      </c>
      <c r="CC622" s="68" t="e">
        <f t="shared" si="128"/>
        <v>#DIV/0!</v>
      </c>
      <c r="CD622" s="68" t="str">
        <f t="shared" si="129"/>
        <v>NA</v>
      </c>
    </row>
    <row r="623" spans="1:82" ht="15.75" thickBot="1" x14ac:dyDescent="0.3">
      <c r="A623" s="6">
        <v>622</v>
      </c>
      <c r="B623" s="7" t="s">
        <v>1115</v>
      </c>
      <c r="C623" s="7" t="s">
        <v>311</v>
      </c>
      <c r="D623" s="7" t="s">
        <v>19</v>
      </c>
      <c r="E623" s="50">
        <v>-169.102398025952</v>
      </c>
      <c r="F623" s="50">
        <v>0</v>
      </c>
      <c r="G623" s="50">
        <v>0</v>
      </c>
      <c r="H623" s="50">
        <v>0</v>
      </c>
      <c r="I623" s="8" t="s">
        <v>1057</v>
      </c>
      <c r="J623" s="50" t="s">
        <v>1057</v>
      </c>
      <c r="K623" s="248" t="str">
        <f>IFERROR(VLOOKUP(C623,Schedule!$T$3:$U$34,2,0),"FA")</f>
        <v>FA</v>
      </c>
      <c r="L623" s="7" t="str">
        <f>D623&amp;COUNTIF(D$2:$D623,D623)</f>
        <v>RB215</v>
      </c>
      <c r="M623" s="50">
        <f t="array" ref="M623">IFERROR(F623-AVERAGE(VLOOKUP(D623,$D624:$F$885,3,0),INDEX($F624:$F$885,SMALL(IF(D623=$D624:$D$885,ROW($D624:$D$885)-ROW(D623)),2))),0)</f>
        <v>0</v>
      </c>
      <c r="N623" s="50">
        <f>IFERROR(IF(VLOOKUP($B623,Input!$AC$2:$AC$162,1,0)=$B623,0),F623)</f>
        <v>0</v>
      </c>
      <c r="O623" s="50">
        <f>IFERROR(IF(VLOOKUP($B623,Input!$AC$2:$AC$162,1,0)=$B623,0,G623),G623)</f>
        <v>0</v>
      </c>
      <c r="P623" s="50">
        <f>IF(N623=0,0,F623-AVERAGE(INDEX(F:F,MATCH(VLOOKUP(D623,Input!$A$14:$L$22,10,0),L:L,0)),INDEX(F:F,MATCH(VLOOKUP(D623,Input!$A$14:$L$22,11,0),L:L,0)),INDEX(F:F,MATCH(VLOOKUP(D623,Input!$A$14:$L$22,12,0),L:L,0)))+(0.01-ROW()*0.01))</f>
        <v>0</v>
      </c>
      <c r="Q623" s="106">
        <f t="shared" si="124"/>
        <v>0</v>
      </c>
      <c r="R623" s="8">
        <f>IF(VLOOKUP($D623,$X$14:$Y$19,2,0)&lt;=0,1,IF(Q623&lt;0,1,ROUNDUP(IF(Q623*('Draft Center'!$L$28+'Draft Center'!$L$78-'Draft Center'!$L$82)&lt;1,1,Q623*('Draft Center'!$L$28+'Draft Center'!$L$78-'Draft Center'!$L$82)),0)))</f>
        <v>1</v>
      </c>
      <c r="S623" s="8">
        <f>IF(A623&lt;Input!$B$10+0.1,IF(ROUNDUP(R623*Input!$C$10,0)=0,1,ROUNDUP(R623*Input!$C$10,0)),IF(A623&gt;Input!$B$11,IF(ROUNDUP(R623*Input!$C$11,0)=0,1,ROUNDUP(R623*Input!$C$11,0)),IF(ROUNDUP(R623,0)=0,1,ROUNDUP(R623,0))))</f>
        <v>1</v>
      </c>
      <c r="T623" s="8">
        <f t="shared" si="125"/>
        <v>1</v>
      </c>
      <c r="U623" s="8">
        <f>IFERROR(VLOOKUP($B623,Input!$AC$2:$AE$161,3,0),0)</f>
        <v>0</v>
      </c>
      <c r="V623" s="256">
        <f t="shared" si="126"/>
        <v>0</v>
      </c>
      <c r="W623" s="263">
        <f t="shared" si="127"/>
        <v>0</v>
      </c>
      <c r="X623" s="68"/>
      <c r="Y623" s="68"/>
      <c r="Z623" s="68"/>
      <c r="AA623" s="68"/>
      <c r="AB623" s="68"/>
      <c r="AC623" s="68"/>
      <c r="AD623" s="68"/>
      <c r="AE623" s="68"/>
      <c r="AF623" s="68"/>
      <c r="AG623" s="68"/>
      <c r="AH623" s="68"/>
      <c r="AI623" s="68"/>
      <c r="AJ623" s="68">
        <v>1</v>
      </c>
      <c r="AL623" s="68">
        <v>1</v>
      </c>
      <c r="AM623" s="68"/>
      <c r="AN623" s="68"/>
      <c r="AO623" s="68"/>
      <c r="AQ623" s="68"/>
      <c r="AR623" s="68"/>
      <c r="AS623" s="68"/>
      <c r="AT623" s="68"/>
      <c r="AU623" s="68"/>
      <c r="AV623" s="68"/>
      <c r="AW623" s="68"/>
      <c r="AX623" s="68"/>
      <c r="AY623" s="68"/>
      <c r="AZ623" s="68"/>
      <c r="BB623" s="68"/>
      <c r="BC623" s="68"/>
      <c r="BJ623" s="68"/>
      <c r="BT623">
        <v>1</v>
      </c>
      <c r="BV623">
        <v>1</v>
      </c>
      <c r="BX623" s="68"/>
      <c r="BY623" s="68">
        <v>1</v>
      </c>
      <c r="BZ623" s="68" t="s">
        <v>1057</v>
      </c>
      <c r="CA623" s="68" t="s">
        <v>1057</v>
      </c>
      <c r="CB623" s="68" t="s">
        <v>1057</v>
      </c>
      <c r="CC623" s="68" t="e">
        <f t="shared" si="128"/>
        <v>#DIV/0!</v>
      </c>
      <c r="CD623" s="68" t="str">
        <f t="shared" si="129"/>
        <v>NA</v>
      </c>
    </row>
    <row r="624" spans="1:82" ht="15.75" thickBot="1" x14ac:dyDescent="0.3">
      <c r="A624" s="9">
        <v>623</v>
      </c>
      <c r="B624" s="10" t="s">
        <v>1116</v>
      </c>
      <c r="C624" s="10" t="s">
        <v>311</v>
      </c>
      <c r="D624" s="10" t="s">
        <v>19</v>
      </c>
      <c r="E624" s="51">
        <v>-169.102398025952</v>
      </c>
      <c r="F624" s="51">
        <v>0</v>
      </c>
      <c r="G624" s="51">
        <v>0</v>
      </c>
      <c r="H624" s="51">
        <v>0</v>
      </c>
      <c r="I624" s="11" t="s">
        <v>1057</v>
      </c>
      <c r="J624" s="51" t="s">
        <v>1057</v>
      </c>
      <c r="K624" s="249" t="str">
        <f>IFERROR(VLOOKUP(C624,Schedule!$T$3:$U$34,2,0),"FA")</f>
        <v>FA</v>
      </c>
      <c r="L624" s="10" t="str">
        <f>D624&amp;COUNTIF(D$2:$D624,D624)</f>
        <v>RB216</v>
      </c>
      <c r="M624" s="51">
        <f t="array" ref="M624">IFERROR(F624-AVERAGE(VLOOKUP(D624,$D625:$F$885,3,0),INDEX($F625:$F$885,SMALL(IF(D624=$D625:$D$885,ROW($D625:$D$885)-ROW(D624)),2))),0)</f>
        <v>0</v>
      </c>
      <c r="N624" s="51">
        <f>IFERROR(IF(VLOOKUP($B624,Input!$AC$2:$AC$162,1,0)=$B624,0),F624)</f>
        <v>0</v>
      </c>
      <c r="O624" s="51">
        <f>IFERROR(IF(VLOOKUP($B624,Input!$AC$2:$AC$162,1,0)=$B624,0,G624),G624)</f>
        <v>0</v>
      </c>
      <c r="P624" s="51">
        <f>IF(N624=0,0,F624-AVERAGE(INDEX(F:F,MATCH(VLOOKUP(D624,Input!$A$14:$L$22,10,0),L:L,0)),INDEX(F:F,MATCH(VLOOKUP(D624,Input!$A$14:$L$22,11,0),L:L,0)),INDEX(F:F,MATCH(VLOOKUP(D624,Input!$A$14:$L$22,12,0),L:L,0)))+(0.01-ROW()*0.01))</f>
        <v>0</v>
      </c>
      <c r="Q624" s="107">
        <f t="shared" si="124"/>
        <v>0</v>
      </c>
      <c r="R624" s="11">
        <f>IF(VLOOKUP($D624,$X$14:$Y$19,2,0)&lt;=0,1,IF(Q624&lt;0,1,ROUNDUP(IF(Q624*('Draft Center'!$L$28+'Draft Center'!$L$78-'Draft Center'!$L$82)&lt;1,1,Q624*('Draft Center'!$L$28+'Draft Center'!$L$78-'Draft Center'!$L$82)),0)))</f>
        <v>1</v>
      </c>
      <c r="S624" s="11">
        <f>IF(A624&lt;Input!$B$10+0.1,IF(ROUNDUP(R624*Input!$C$10,0)=0,1,ROUNDUP(R624*Input!$C$10,0)),IF(A624&gt;Input!$B$11,IF(ROUNDUP(R624*Input!$C$11,0)=0,1,ROUNDUP(R624*Input!$C$11,0)),IF(ROUNDUP(R624,0)=0,1,ROUNDUP(R624,0))))</f>
        <v>1</v>
      </c>
      <c r="T624" s="11">
        <f t="shared" si="125"/>
        <v>1</v>
      </c>
      <c r="U624" s="11">
        <f>IFERROR(VLOOKUP($B624,Input!$AC$2:$AE$161,3,0),0)</f>
        <v>0</v>
      </c>
      <c r="V624" s="257">
        <f t="shared" si="126"/>
        <v>0</v>
      </c>
      <c r="W624" s="264">
        <f t="shared" si="127"/>
        <v>0</v>
      </c>
      <c r="X624" s="68"/>
      <c r="Y624" s="68"/>
      <c r="Z624" s="68"/>
      <c r="AA624" s="68"/>
      <c r="AB624" s="68"/>
      <c r="AC624" s="68"/>
      <c r="AD624" s="68"/>
      <c r="AE624" s="68"/>
      <c r="AF624" s="68"/>
      <c r="AG624" s="68"/>
      <c r="AH624" s="68"/>
      <c r="AI624" s="68"/>
      <c r="AJ624" s="68">
        <v>1</v>
      </c>
      <c r="AL624" s="68">
        <v>1</v>
      </c>
      <c r="AM624" s="68"/>
      <c r="AN624" s="68"/>
      <c r="AO624" s="68"/>
      <c r="AQ624" s="68"/>
      <c r="AR624" s="68"/>
      <c r="AS624" s="68"/>
      <c r="AT624" s="68"/>
      <c r="AU624" s="68"/>
      <c r="AV624" s="68"/>
      <c r="AW624" s="68"/>
      <c r="AX624" s="68"/>
      <c r="AY624" s="68"/>
      <c r="AZ624" s="68"/>
      <c r="BB624" s="68"/>
      <c r="BC624" s="68"/>
      <c r="BJ624" s="68"/>
      <c r="BT624">
        <v>1</v>
      </c>
      <c r="BV624">
        <v>1</v>
      </c>
      <c r="BX624" s="68"/>
      <c r="BY624" s="68">
        <v>1</v>
      </c>
      <c r="BZ624" s="68" t="s">
        <v>1057</v>
      </c>
      <c r="CA624" s="68" t="s">
        <v>1057</v>
      </c>
      <c r="CB624" s="68" t="s">
        <v>1057</v>
      </c>
      <c r="CC624" s="68" t="e">
        <f t="shared" si="128"/>
        <v>#DIV/0!</v>
      </c>
      <c r="CD624" s="68" t="str">
        <f t="shared" si="129"/>
        <v>NA</v>
      </c>
    </row>
    <row r="625" spans="1:82" ht="15.75" thickBot="1" x14ac:dyDescent="0.3">
      <c r="A625" s="6">
        <v>624</v>
      </c>
      <c r="B625" s="7" t="s">
        <v>1117</v>
      </c>
      <c r="C625" s="7" t="s">
        <v>311</v>
      </c>
      <c r="D625" s="7" t="s">
        <v>19</v>
      </c>
      <c r="E625" s="50">
        <v>-169.102398025952</v>
      </c>
      <c r="F625" s="50">
        <v>0</v>
      </c>
      <c r="G625" s="50">
        <v>0</v>
      </c>
      <c r="H625" s="50">
        <v>0</v>
      </c>
      <c r="I625" s="8" t="s">
        <v>1057</v>
      </c>
      <c r="J625" s="50">
        <v>2.3510017858661798</v>
      </c>
      <c r="K625" s="248" t="str">
        <f>IFERROR(VLOOKUP(C625,Schedule!$T$3:$U$34,2,0),"FA")</f>
        <v>FA</v>
      </c>
      <c r="L625" s="7" t="str">
        <f>D625&amp;COUNTIF(D$2:$D625,D625)</f>
        <v>RB217</v>
      </c>
      <c r="M625" s="50">
        <f t="array" ref="M625">IFERROR(F625-AVERAGE(VLOOKUP(D625,$D626:$F$885,3,0),INDEX($F626:$F$885,SMALL(IF(D625=$D626:$D$885,ROW($D626:$D$885)-ROW(D625)),2))),0)</f>
        <v>0</v>
      </c>
      <c r="N625" s="50">
        <f>IFERROR(IF(VLOOKUP($B625,Input!$AC$2:$AC$162,1,0)=$B625,0),F625)</f>
        <v>0</v>
      </c>
      <c r="O625" s="50">
        <f>IFERROR(IF(VLOOKUP($B625,Input!$AC$2:$AC$162,1,0)=$B625,0,G625),G625)</f>
        <v>0</v>
      </c>
      <c r="P625" s="50">
        <f>IF(N625=0,0,F625-AVERAGE(INDEX(F:F,MATCH(VLOOKUP(D625,Input!$A$14:$L$22,10,0),L:L,0)),INDEX(F:F,MATCH(VLOOKUP(D625,Input!$A$14:$L$22,11,0),L:L,0)),INDEX(F:F,MATCH(VLOOKUP(D625,Input!$A$14:$L$22,12,0),L:L,0)))+(0.01-ROW()*0.01))</f>
        <v>0</v>
      </c>
      <c r="Q625" s="106">
        <f t="shared" si="124"/>
        <v>0</v>
      </c>
      <c r="R625" s="8">
        <f>IF(VLOOKUP($D625,$X$14:$Y$19,2,0)&lt;=0,1,IF(Q625&lt;0,1,ROUNDUP(IF(Q625*('Draft Center'!$L$28+'Draft Center'!$L$78-'Draft Center'!$L$82)&lt;1,1,Q625*('Draft Center'!$L$28+'Draft Center'!$L$78-'Draft Center'!$L$82)),0)))</f>
        <v>1</v>
      </c>
      <c r="S625" s="8">
        <f>IF(A625&lt;Input!$B$10+0.1,IF(ROUNDUP(R625*Input!$C$10,0)=0,1,ROUNDUP(R625*Input!$C$10,0)),IF(A625&gt;Input!$B$11,IF(ROUNDUP(R625*Input!$C$11,0)=0,1,ROUNDUP(R625*Input!$C$11,0)),IF(ROUNDUP(R625,0)=0,1,ROUNDUP(R625,0))))</f>
        <v>1</v>
      </c>
      <c r="T625" s="8">
        <f t="shared" si="125"/>
        <v>1</v>
      </c>
      <c r="U625" s="8">
        <f>IFERROR(VLOOKUP($B625,Input!$AC$2:$AE$161,3,0),0)</f>
        <v>0</v>
      </c>
      <c r="V625" s="256">
        <f t="shared" si="126"/>
        <v>0</v>
      </c>
      <c r="W625" s="263">
        <f t="shared" si="127"/>
        <v>0</v>
      </c>
      <c r="X625" s="68"/>
      <c r="Y625" s="68"/>
      <c r="Z625" s="68"/>
      <c r="AA625" s="68"/>
      <c r="AB625" s="68"/>
      <c r="AC625" s="68"/>
      <c r="AD625" s="68"/>
      <c r="AE625" s="68"/>
      <c r="AF625" s="68"/>
      <c r="AG625" s="68"/>
      <c r="AH625" s="68"/>
      <c r="AI625" s="68"/>
      <c r="AJ625" s="68">
        <v>1</v>
      </c>
      <c r="AL625" s="68">
        <v>1</v>
      </c>
      <c r="AM625" s="68"/>
      <c r="AN625" s="68"/>
      <c r="AO625" s="68"/>
      <c r="AQ625" s="68"/>
      <c r="AR625" s="68"/>
      <c r="AS625" s="68"/>
      <c r="AT625" s="68"/>
      <c r="AU625" s="68"/>
      <c r="AV625" s="68"/>
      <c r="AW625" s="68"/>
      <c r="AX625" s="68"/>
      <c r="AY625" s="68"/>
      <c r="AZ625" s="68"/>
      <c r="BB625" s="68"/>
      <c r="BC625" s="68"/>
      <c r="BJ625" s="68"/>
      <c r="BT625">
        <v>1</v>
      </c>
      <c r="BV625">
        <v>1</v>
      </c>
      <c r="BX625" s="68"/>
      <c r="BY625" s="68">
        <v>1</v>
      </c>
      <c r="BZ625" s="68" t="s">
        <v>1057</v>
      </c>
      <c r="CA625" s="68" t="s">
        <v>1057</v>
      </c>
      <c r="CB625" s="68" t="s">
        <v>1057</v>
      </c>
      <c r="CC625" s="68" t="e">
        <f t="shared" si="128"/>
        <v>#DIV/0!</v>
      </c>
      <c r="CD625" s="68" t="str">
        <f t="shared" si="129"/>
        <v>NA</v>
      </c>
    </row>
    <row r="626" spans="1:82" ht="15.75" thickBot="1" x14ac:dyDescent="0.3">
      <c r="A626" s="9">
        <v>625</v>
      </c>
      <c r="B626" s="10" t="s">
        <v>1118</v>
      </c>
      <c r="C626" s="10" t="s">
        <v>311</v>
      </c>
      <c r="D626" s="10" t="s">
        <v>19</v>
      </c>
      <c r="E626" s="51">
        <v>-169.102398025952</v>
      </c>
      <c r="F626" s="51">
        <v>0</v>
      </c>
      <c r="G626" s="51">
        <v>0</v>
      </c>
      <c r="H626" s="51">
        <v>0</v>
      </c>
      <c r="I626" s="11" t="s">
        <v>1057</v>
      </c>
      <c r="J626" s="51">
        <v>2.3510017858661798</v>
      </c>
      <c r="K626" s="249" t="str">
        <f>IFERROR(VLOOKUP(C626,Schedule!$T$3:$U$34,2,0),"FA")</f>
        <v>FA</v>
      </c>
      <c r="L626" s="10" t="str">
        <f>D626&amp;COUNTIF(D$2:$D626,D626)</f>
        <v>RB218</v>
      </c>
      <c r="M626" s="51">
        <f t="array" ref="M626">IFERROR(F626-AVERAGE(VLOOKUP(D626,$D627:$F$885,3,0),INDEX($F627:$F$885,SMALL(IF(D626=$D627:$D$885,ROW($D627:$D$885)-ROW(D626)),2))),0)</f>
        <v>0</v>
      </c>
      <c r="N626" s="51">
        <f>IFERROR(IF(VLOOKUP($B626,Input!$AC$2:$AC$162,1,0)=$B626,0),F626)</f>
        <v>0</v>
      </c>
      <c r="O626" s="51">
        <f>IFERROR(IF(VLOOKUP($B626,Input!$AC$2:$AC$162,1,0)=$B626,0,G626),G626)</f>
        <v>0</v>
      </c>
      <c r="P626" s="51">
        <f>IF(N626=0,0,F626-AVERAGE(INDEX(F:F,MATCH(VLOOKUP(D626,Input!$A$14:$L$22,10,0),L:L,0)),INDEX(F:F,MATCH(VLOOKUP(D626,Input!$A$14:$L$22,11,0),L:L,0)),INDEX(F:F,MATCH(VLOOKUP(D626,Input!$A$14:$L$22,12,0),L:L,0)))+(0.01-ROW()*0.01))</f>
        <v>0</v>
      </c>
      <c r="Q626" s="107">
        <f t="shared" si="124"/>
        <v>0</v>
      </c>
      <c r="R626" s="11">
        <f>IF(VLOOKUP($D626,$X$14:$Y$19,2,0)&lt;=0,1,IF(Q626&lt;0,1,ROUNDUP(IF(Q626*('Draft Center'!$L$28+'Draft Center'!$L$78-'Draft Center'!$L$82)&lt;1,1,Q626*('Draft Center'!$L$28+'Draft Center'!$L$78-'Draft Center'!$L$82)),0)))</f>
        <v>1</v>
      </c>
      <c r="S626" s="11">
        <f>IF(A626&lt;Input!$B$10+0.1,IF(ROUNDUP(R626*Input!$C$10,0)=0,1,ROUNDUP(R626*Input!$C$10,0)),IF(A626&gt;Input!$B$11,IF(ROUNDUP(R626*Input!$C$11,0)=0,1,ROUNDUP(R626*Input!$C$11,0)),IF(ROUNDUP(R626,0)=0,1,ROUNDUP(R626,0))))</f>
        <v>1</v>
      </c>
      <c r="T626" s="11">
        <f t="shared" si="125"/>
        <v>1</v>
      </c>
      <c r="U626" s="11">
        <f>IFERROR(VLOOKUP($B626,Input!$AC$2:$AE$161,3,0),0)</f>
        <v>0</v>
      </c>
      <c r="V626" s="257">
        <f t="shared" si="126"/>
        <v>0</v>
      </c>
      <c r="W626" s="264">
        <f t="shared" si="127"/>
        <v>0</v>
      </c>
      <c r="X626" s="68"/>
      <c r="Y626" s="68"/>
      <c r="Z626" s="68"/>
      <c r="AA626" s="68"/>
      <c r="AB626" s="68"/>
      <c r="AC626" s="68"/>
      <c r="AD626" s="68"/>
      <c r="AE626" s="68"/>
      <c r="AF626" s="68"/>
      <c r="AG626" s="68"/>
      <c r="AH626" s="68"/>
      <c r="AI626" s="68"/>
      <c r="AJ626" s="68">
        <v>1</v>
      </c>
      <c r="AL626" s="68">
        <v>1</v>
      </c>
      <c r="AM626" s="68"/>
      <c r="AN626" s="68"/>
      <c r="AO626" s="68"/>
      <c r="AQ626" s="68"/>
      <c r="AR626" s="68"/>
      <c r="AS626" s="68"/>
      <c r="AT626" s="68"/>
      <c r="AU626" s="68"/>
      <c r="AV626" s="68"/>
      <c r="AW626" s="68"/>
      <c r="AX626" s="68"/>
      <c r="AY626" s="68"/>
      <c r="AZ626" s="68"/>
      <c r="BB626" s="68"/>
      <c r="BC626" s="68"/>
      <c r="BJ626" s="68"/>
      <c r="BT626">
        <v>1</v>
      </c>
      <c r="BV626">
        <v>1</v>
      </c>
      <c r="BX626" s="68"/>
      <c r="BY626" s="68">
        <v>1</v>
      </c>
      <c r="BZ626" s="68" t="s">
        <v>1057</v>
      </c>
      <c r="CA626" s="68" t="s">
        <v>1057</v>
      </c>
      <c r="CB626" s="68" t="s">
        <v>1057</v>
      </c>
      <c r="CC626" s="68" t="e">
        <f t="shared" si="128"/>
        <v>#DIV/0!</v>
      </c>
      <c r="CD626" s="68" t="str">
        <f t="shared" si="129"/>
        <v>NA</v>
      </c>
    </row>
    <row r="627" spans="1:82" ht="15.75" thickBot="1" x14ac:dyDescent="0.3">
      <c r="A627" s="6">
        <v>626</v>
      </c>
      <c r="B627" s="7" t="s">
        <v>991</v>
      </c>
      <c r="C627" s="7" t="s">
        <v>311</v>
      </c>
      <c r="D627" s="7" t="s">
        <v>19</v>
      </c>
      <c r="E627" s="50">
        <v>-169.102398025952</v>
      </c>
      <c r="F627" s="50">
        <v>0</v>
      </c>
      <c r="G627" s="50">
        <v>0</v>
      </c>
      <c r="H627" s="50">
        <v>0</v>
      </c>
      <c r="I627" s="8" t="s">
        <v>1057</v>
      </c>
      <c r="J627" s="50">
        <v>2.3510017858661798</v>
      </c>
      <c r="K627" s="248" t="str">
        <f>IFERROR(VLOOKUP(C627,Schedule!$T$3:$U$34,2,0),"FA")</f>
        <v>FA</v>
      </c>
      <c r="L627" s="7" t="str">
        <f>D627&amp;COUNTIF(D$2:$D627,D627)</f>
        <v>RB219</v>
      </c>
      <c r="M627" s="50">
        <f t="array" ref="M627">IFERROR(F627-AVERAGE(VLOOKUP(D627,$D628:$F$885,3,0),INDEX($F628:$F$885,SMALL(IF(D627=$D628:$D$885,ROW($D628:$D$885)-ROW(D627)),2))),0)</f>
        <v>0</v>
      </c>
      <c r="N627" s="50">
        <f>IFERROR(IF(VLOOKUP($B627,Input!$AC$2:$AC$162,1,0)=$B627,0),F627)</f>
        <v>0</v>
      </c>
      <c r="O627" s="50">
        <f>IFERROR(IF(VLOOKUP($B627,Input!$AC$2:$AC$162,1,0)=$B627,0,G627),G627)</f>
        <v>0</v>
      </c>
      <c r="P627" s="50">
        <f>IF(N627=0,0,F627-AVERAGE(INDEX(F:F,MATCH(VLOOKUP(D627,Input!$A$14:$L$22,10,0),L:L,0)),INDEX(F:F,MATCH(VLOOKUP(D627,Input!$A$14:$L$22,11,0),L:L,0)),INDEX(F:F,MATCH(VLOOKUP(D627,Input!$A$14:$L$22,12,0),L:L,0)))+(0.01-ROW()*0.01))</f>
        <v>0</v>
      </c>
      <c r="Q627" s="106">
        <f t="shared" si="124"/>
        <v>0</v>
      </c>
      <c r="R627" s="8">
        <f>IF(VLOOKUP($D627,$X$14:$Y$19,2,0)&lt;=0,1,IF(Q627&lt;0,1,ROUNDUP(IF(Q627*('Draft Center'!$L$28+'Draft Center'!$L$78-'Draft Center'!$L$82)&lt;1,1,Q627*('Draft Center'!$L$28+'Draft Center'!$L$78-'Draft Center'!$L$82)),0)))</f>
        <v>1</v>
      </c>
      <c r="S627" s="8">
        <f>IF(A627&lt;Input!$B$10+0.1,IF(ROUNDUP(R627*Input!$C$10,0)=0,1,ROUNDUP(R627*Input!$C$10,0)),IF(A627&gt;Input!$B$11,IF(ROUNDUP(R627*Input!$C$11,0)=0,1,ROUNDUP(R627*Input!$C$11,0)),IF(ROUNDUP(R627,0)=0,1,ROUNDUP(R627,0))))</f>
        <v>1</v>
      </c>
      <c r="T627" s="8">
        <f t="shared" si="125"/>
        <v>1</v>
      </c>
      <c r="U627" s="8">
        <f>IFERROR(VLOOKUP($B627,Input!$AC$2:$AE$161,3,0),0)</f>
        <v>0</v>
      </c>
      <c r="V627" s="256">
        <f t="shared" si="126"/>
        <v>0</v>
      </c>
      <c r="W627" s="263">
        <f t="shared" si="127"/>
        <v>0</v>
      </c>
      <c r="X627" s="68"/>
      <c r="Y627" s="68"/>
      <c r="Z627" s="68"/>
      <c r="AA627" s="68"/>
      <c r="AB627" s="68"/>
      <c r="AC627" s="68"/>
      <c r="AD627" s="68"/>
      <c r="AE627" s="68"/>
      <c r="AF627" s="68"/>
      <c r="AG627" s="68"/>
      <c r="AH627" s="68"/>
      <c r="AI627" s="68"/>
      <c r="AJ627" s="68">
        <v>1</v>
      </c>
      <c r="AL627" s="68">
        <v>1</v>
      </c>
      <c r="AM627" s="68"/>
      <c r="AN627" s="68"/>
      <c r="AO627" s="68"/>
      <c r="AQ627" s="68"/>
      <c r="AR627" s="68"/>
      <c r="AS627" s="68"/>
      <c r="AT627" s="68"/>
      <c r="AU627" s="68"/>
      <c r="AV627" s="68"/>
      <c r="AW627" s="68"/>
      <c r="AX627" s="68"/>
      <c r="AY627" s="68"/>
      <c r="AZ627" s="68"/>
      <c r="BB627" s="68"/>
      <c r="BC627" s="68"/>
      <c r="BJ627" s="68"/>
      <c r="BT627">
        <v>1</v>
      </c>
      <c r="BV627">
        <v>1</v>
      </c>
      <c r="BX627" s="68"/>
      <c r="BY627" s="68">
        <v>1</v>
      </c>
      <c r="BZ627" s="68" t="s">
        <v>1057</v>
      </c>
      <c r="CA627" s="68" t="s">
        <v>1057</v>
      </c>
      <c r="CB627" s="68" t="s">
        <v>1057</v>
      </c>
      <c r="CC627" s="68" t="e">
        <f t="shared" si="128"/>
        <v>#DIV/0!</v>
      </c>
      <c r="CD627" s="68" t="str">
        <f t="shared" si="129"/>
        <v>NA</v>
      </c>
    </row>
    <row r="628" spans="1:82" ht="15.75" thickBot="1" x14ac:dyDescent="0.3">
      <c r="A628" s="9">
        <v>627</v>
      </c>
      <c r="B628" s="10" t="s">
        <v>1003</v>
      </c>
      <c r="C628" s="10" t="s">
        <v>311</v>
      </c>
      <c r="D628" s="10" t="s">
        <v>19</v>
      </c>
      <c r="E628" s="51">
        <v>-169.102398025952</v>
      </c>
      <c r="F628" s="51">
        <v>0</v>
      </c>
      <c r="G628" s="51">
        <v>0</v>
      </c>
      <c r="H628" s="51">
        <v>0</v>
      </c>
      <c r="I628" s="11" t="s">
        <v>1057</v>
      </c>
      <c r="J628" s="51">
        <v>2.3510017858661798</v>
      </c>
      <c r="K628" s="249" t="str">
        <f>IFERROR(VLOOKUP(C628,Schedule!$T$3:$U$34,2,0),"FA")</f>
        <v>FA</v>
      </c>
      <c r="L628" s="10" t="str">
        <f>D628&amp;COUNTIF(D$2:$D628,D628)</f>
        <v>RB220</v>
      </c>
      <c r="M628" s="51">
        <f t="array" ref="M628">IFERROR(F628-AVERAGE(VLOOKUP(D628,$D629:$F$885,3,0),INDEX($F629:$F$885,SMALL(IF(D628=$D629:$D$885,ROW($D629:$D$885)-ROW(D628)),2))),0)</f>
        <v>0</v>
      </c>
      <c r="N628" s="51">
        <f>IFERROR(IF(VLOOKUP($B628,Input!$AC$2:$AC$162,1,0)=$B628,0),F628)</f>
        <v>0</v>
      </c>
      <c r="O628" s="51">
        <f>IFERROR(IF(VLOOKUP($B628,Input!$AC$2:$AC$162,1,0)=$B628,0,G628),G628)</f>
        <v>0</v>
      </c>
      <c r="P628" s="51">
        <f>IF(N628=0,0,F628-AVERAGE(INDEX(F:F,MATCH(VLOOKUP(D628,Input!$A$14:$L$22,10,0),L:L,0)),INDEX(F:F,MATCH(VLOOKUP(D628,Input!$A$14:$L$22,11,0),L:L,0)),INDEX(F:F,MATCH(VLOOKUP(D628,Input!$A$14:$L$22,12,0),L:L,0)))+(0.01-ROW()*0.01))</f>
        <v>0</v>
      </c>
      <c r="Q628" s="107">
        <f t="shared" si="124"/>
        <v>0</v>
      </c>
      <c r="R628" s="11">
        <f>IF(VLOOKUP($D628,$X$14:$Y$19,2,0)&lt;=0,1,IF(Q628&lt;0,1,ROUNDUP(IF(Q628*('Draft Center'!$L$28+'Draft Center'!$L$78-'Draft Center'!$L$82)&lt;1,1,Q628*('Draft Center'!$L$28+'Draft Center'!$L$78-'Draft Center'!$L$82)),0)))</f>
        <v>1</v>
      </c>
      <c r="S628" s="11">
        <f>IF(A628&lt;Input!$B$10+0.1,IF(ROUNDUP(R628*Input!$C$10,0)=0,1,ROUNDUP(R628*Input!$C$10,0)),IF(A628&gt;Input!$B$11,IF(ROUNDUP(R628*Input!$C$11,0)=0,1,ROUNDUP(R628*Input!$C$11,0)),IF(ROUNDUP(R628,0)=0,1,ROUNDUP(R628,0))))</f>
        <v>1</v>
      </c>
      <c r="T628" s="11">
        <f t="shared" si="125"/>
        <v>1</v>
      </c>
      <c r="U628" s="11">
        <f>IFERROR(VLOOKUP($B628,Input!$AC$2:$AE$161,3,0),0)</f>
        <v>0</v>
      </c>
      <c r="V628" s="257">
        <f t="shared" si="126"/>
        <v>0</v>
      </c>
      <c r="W628" s="264">
        <f t="shared" si="127"/>
        <v>0</v>
      </c>
      <c r="X628" s="68"/>
      <c r="Y628" s="68"/>
      <c r="Z628" s="68"/>
      <c r="AA628" s="68"/>
      <c r="AB628" s="68"/>
      <c r="AC628" s="68"/>
      <c r="AD628" s="68"/>
      <c r="AE628" s="68"/>
      <c r="AF628" s="68"/>
      <c r="AG628" s="68"/>
      <c r="AH628" s="68"/>
      <c r="AI628" s="68"/>
      <c r="AJ628" s="68">
        <v>1</v>
      </c>
      <c r="AL628" s="68">
        <v>1</v>
      </c>
      <c r="AM628" s="68"/>
      <c r="AN628" s="68"/>
      <c r="AO628" s="68"/>
      <c r="AQ628" s="68"/>
      <c r="AR628" s="68"/>
      <c r="AS628" s="68"/>
      <c r="AT628" s="68"/>
      <c r="AU628" s="68"/>
      <c r="AV628" s="68"/>
      <c r="AW628" s="68"/>
      <c r="AX628" s="68"/>
      <c r="AY628" s="68"/>
      <c r="AZ628" s="68"/>
      <c r="BB628" s="68"/>
      <c r="BC628" s="68"/>
      <c r="BJ628" s="68"/>
      <c r="BT628">
        <v>1</v>
      </c>
      <c r="BV628">
        <v>1</v>
      </c>
      <c r="BX628" s="68"/>
      <c r="BY628" s="68">
        <v>1</v>
      </c>
      <c r="BZ628" s="68" t="s">
        <v>1057</v>
      </c>
      <c r="CA628" s="68" t="s">
        <v>1057</v>
      </c>
      <c r="CB628" s="68" t="s">
        <v>1057</v>
      </c>
      <c r="CC628" s="68" t="e">
        <f t="shared" si="128"/>
        <v>#DIV/0!</v>
      </c>
      <c r="CD628" s="68" t="str">
        <f t="shared" si="129"/>
        <v>NA</v>
      </c>
    </row>
    <row r="629" spans="1:82" ht="15.75" thickBot="1" x14ac:dyDescent="0.3">
      <c r="A629" s="6">
        <v>628</v>
      </c>
      <c r="B629" s="7" t="s">
        <v>1119</v>
      </c>
      <c r="C629" s="7" t="s">
        <v>311</v>
      </c>
      <c r="D629" s="7" t="s">
        <v>19</v>
      </c>
      <c r="E629" s="50">
        <v>-169.102398025952</v>
      </c>
      <c r="F629" s="50">
        <v>0</v>
      </c>
      <c r="G629" s="50">
        <v>0</v>
      </c>
      <c r="H629" s="50">
        <v>0</v>
      </c>
      <c r="I629" s="8" t="s">
        <v>1057</v>
      </c>
      <c r="J629" s="50">
        <v>2.3510017858661798</v>
      </c>
      <c r="K629" s="248" t="str">
        <f>IFERROR(VLOOKUP(C629,Schedule!$T$3:$U$34,2,0),"FA")</f>
        <v>FA</v>
      </c>
      <c r="L629" s="7" t="str">
        <f>D629&amp;COUNTIF(D$2:$D629,D629)</f>
        <v>RB221</v>
      </c>
      <c r="M629" s="50">
        <f t="array" ref="M629">IFERROR(F629-AVERAGE(VLOOKUP(D629,$D630:$F$885,3,0),INDEX($F630:$F$885,SMALL(IF(D629=$D630:$D$885,ROW($D630:$D$885)-ROW(D629)),2))),0)</f>
        <v>0</v>
      </c>
      <c r="N629" s="50">
        <f>IFERROR(IF(VLOOKUP($B629,Input!$AC$2:$AC$162,1,0)=$B629,0),F629)</f>
        <v>0</v>
      </c>
      <c r="O629" s="50">
        <f>IFERROR(IF(VLOOKUP($B629,Input!$AC$2:$AC$162,1,0)=$B629,0,G629),G629)</f>
        <v>0</v>
      </c>
      <c r="P629" s="50">
        <f>IF(N629=0,0,F629-AVERAGE(INDEX(F:F,MATCH(VLOOKUP(D629,Input!$A$14:$L$22,10,0),L:L,0)),INDEX(F:F,MATCH(VLOOKUP(D629,Input!$A$14:$L$22,11,0),L:L,0)),INDEX(F:F,MATCH(VLOOKUP(D629,Input!$A$14:$L$22,12,0),L:L,0)))+(0.01-ROW()*0.01))</f>
        <v>0</v>
      </c>
      <c r="Q629" s="106">
        <f t="shared" si="124"/>
        <v>0</v>
      </c>
      <c r="R629" s="8">
        <f>IF(VLOOKUP($D629,$X$14:$Y$19,2,0)&lt;=0,1,IF(Q629&lt;0,1,ROUNDUP(IF(Q629*('Draft Center'!$L$28+'Draft Center'!$L$78-'Draft Center'!$L$82)&lt;1,1,Q629*('Draft Center'!$L$28+'Draft Center'!$L$78-'Draft Center'!$L$82)),0)))</f>
        <v>1</v>
      </c>
      <c r="S629" s="8">
        <f>IF(A629&lt;Input!$B$10+0.1,IF(ROUNDUP(R629*Input!$C$10,0)=0,1,ROUNDUP(R629*Input!$C$10,0)),IF(A629&gt;Input!$B$11,IF(ROUNDUP(R629*Input!$C$11,0)=0,1,ROUNDUP(R629*Input!$C$11,0)),IF(ROUNDUP(R629,0)=0,1,ROUNDUP(R629,0))))</f>
        <v>1</v>
      </c>
      <c r="T629" s="8">
        <f t="shared" si="125"/>
        <v>1</v>
      </c>
      <c r="U629" s="8">
        <f>IFERROR(VLOOKUP($B629,Input!$AC$2:$AE$161,3,0),0)</f>
        <v>0</v>
      </c>
      <c r="V629" s="256">
        <f t="shared" si="126"/>
        <v>0</v>
      </c>
      <c r="W629" s="263">
        <f t="shared" si="127"/>
        <v>0</v>
      </c>
      <c r="X629" s="68"/>
      <c r="Y629" s="68"/>
      <c r="Z629" s="68"/>
      <c r="AA629" s="68"/>
      <c r="AB629" s="68"/>
      <c r="AC629" s="68"/>
      <c r="AD629" s="68"/>
      <c r="AE629" s="68"/>
      <c r="AF629" s="68"/>
      <c r="AG629" s="68"/>
      <c r="AH629" s="68"/>
      <c r="AI629" s="68"/>
      <c r="AJ629" s="68">
        <v>1</v>
      </c>
      <c r="AL629" s="68">
        <v>1</v>
      </c>
      <c r="AM629" s="68"/>
      <c r="AN629" s="68"/>
      <c r="AO629" s="68"/>
      <c r="AQ629" s="68"/>
      <c r="AR629" s="68"/>
      <c r="AS629" s="68"/>
      <c r="AT629" s="68"/>
      <c r="AU629" s="68"/>
      <c r="AV629" s="68"/>
      <c r="AW629" s="68"/>
      <c r="AX629" s="68"/>
      <c r="AY629" s="68"/>
      <c r="AZ629" s="68"/>
      <c r="BB629" s="68"/>
      <c r="BC629" s="68"/>
      <c r="BJ629" s="68"/>
      <c r="BT629">
        <v>1</v>
      </c>
      <c r="BV629">
        <v>1</v>
      </c>
      <c r="BX629" s="68"/>
      <c r="BY629" s="68">
        <v>1</v>
      </c>
      <c r="BZ629" s="68" t="s">
        <v>1057</v>
      </c>
      <c r="CA629" s="68" t="s">
        <v>1057</v>
      </c>
      <c r="CB629" s="68" t="s">
        <v>1057</v>
      </c>
      <c r="CC629" s="68" t="e">
        <f t="shared" si="128"/>
        <v>#DIV/0!</v>
      </c>
      <c r="CD629" s="68" t="str">
        <f t="shared" si="129"/>
        <v>NA</v>
      </c>
    </row>
    <row r="630" spans="1:82" ht="15.75" thickBot="1" x14ac:dyDescent="0.3">
      <c r="A630" s="9">
        <v>629</v>
      </c>
      <c r="B630" s="10" t="s">
        <v>1120</v>
      </c>
      <c r="C630" s="10" t="s">
        <v>66</v>
      </c>
      <c r="D630" s="10" t="s">
        <v>19</v>
      </c>
      <c r="E630" s="51">
        <v>-169.102398025952</v>
      </c>
      <c r="F630" s="51">
        <v>0</v>
      </c>
      <c r="G630" s="51">
        <v>0</v>
      </c>
      <c r="H630" s="51">
        <v>0</v>
      </c>
      <c r="I630" s="11" t="s">
        <v>1057</v>
      </c>
      <c r="J630" s="51" t="s">
        <v>1057</v>
      </c>
      <c r="K630" s="249">
        <f>IFERROR(VLOOKUP(C630,Schedule!$T$3:$U$34,2,0),"FA")</f>
        <v>7</v>
      </c>
      <c r="L630" s="10" t="str">
        <f>D630&amp;COUNTIF(D$2:$D630,D630)</f>
        <v>RB222</v>
      </c>
      <c r="M630" s="51">
        <f t="array" ref="M630">IFERROR(F630-AVERAGE(VLOOKUP(D630,$D631:$F$885,3,0),INDEX($F631:$F$885,SMALL(IF(D630=$D631:$D$885,ROW($D631:$D$885)-ROW(D630)),2))),0)</f>
        <v>0</v>
      </c>
      <c r="N630" s="51">
        <f>IFERROR(IF(VLOOKUP($B630,Input!$AC$2:$AC$162,1,0)=$B630,0),F630)</f>
        <v>0</v>
      </c>
      <c r="O630" s="51">
        <f>IFERROR(IF(VLOOKUP($B630,Input!$AC$2:$AC$162,1,0)=$B630,0,G630),G630)</f>
        <v>0</v>
      </c>
      <c r="P630" s="51">
        <f>IF(N630=0,0,F630-AVERAGE(INDEX(F:F,MATCH(VLOOKUP(D630,Input!$A$14:$L$22,10,0),L:L,0)),INDEX(F:F,MATCH(VLOOKUP(D630,Input!$A$14:$L$22,11,0),L:L,0)),INDEX(F:F,MATCH(VLOOKUP(D630,Input!$A$14:$L$22,12,0),L:L,0)))+(0.01-ROW()*0.01))</f>
        <v>0</v>
      </c>
      <c r="Q630" s="107">
        <f t="shared" si="124"/>
        <v>0</v>
      </c>
      <c r="R630" s="11">
        <f>IF(VLOOKUP($D630,$X$14:$Y$19,2,0)&lt;=0,1,IF(Q630&lt;0,1,ROUNDUP(IF(Q630*('Draft Center'!$L$28+'Draft Center'!$L$78-'Draft Center'!$L$82)&lt;1,1,Q630*('Draft Center'!$L$28+'Draft Center'!$L$78-'Draft Center'!$L$82)),0)))</f>
        <v>1</v>
      </c>
      <c r="S630" s="11">
        <f>IF(A630&lt;Input!$B$10+0.1,IF(ROUNDUP(R630*Input!$C$10,0)=0,1,ROUNDUP(R630*Input!$C$10,0)),IF(A630&gt;Input!$B$11,IF(ROUNDUP(R630*Input!$C$11,0)=0,1,ROUNDUP(R630*Input!$C$11,0)),IF(ROUNDUP(R630,0)=0,1,ROUNDUP(R630,0))))</f>
        <v>1</v>
      </c>
      <c r="T630" s="11">
        <f t="shared" si="125"/>
        <v>1</v>
      </c>
      <c r="U630" s="11">
        <f>IFERROR(VLOOKUP($B630,Input!$AC$2:$AE$161,3,0),0)</f>
        <v>0</v>
      </c>
      <c r="V630" s="257">
        <f t="shared" si="126"/>
        <v>0</v>
      </c>
      <c r="W630" s="264">
        <f t="shared" si="127"/>
        <v>0</v>
      </c>
      <c r="X630" s="68"/>
      <c r="Y630" s="68"/>
      <c r="Z630" s="68"/>
      <c r="AA630" s="68"/>
      <c r="AB630" s="68"/>
      <c r="AC630" s="68"/>
      <c r="AD630" s="68"/>
      <c r="AE630" s="68"/>
      <c r="AF630" s="68"/>
      <c r="AG630" s="68"/>
      <c r="AH630" s="68"/>
      <c r="AI630" s="68"/>
      <c r="AJ630" s="68">
        <v>1</v>
      </c>
      <c r="AL630" s="68">
        <v>1</v>
      </c>
      <c r="AM630" s="68"/>
      <c r="AN630" s="68"/>
      <c r="AO630" s="68"/>
      <c r="AQ630" s="68"/>
      <c r="AR630" s="68"/>
      <c r="AS630" s="68"/>
      <c r="AT630" s="68"/>
      <c r="AU630" s="68"/>
      <c r="AV630" s="68"/>
      <c r="AW630" s="68"/>
      <c r="AX630" s="68"/>
      <c r="AY630" s="68"/>
      <c r="AZ630" s="68"/>
      <c r="BB630" s="68"/>
      <c r="BC630" s="68"/>
      <c r="BJ630" s="68"/>
      <c r="BT630">
        <v>1</v>
      </c>
      <c r="BV630">
        <v>1</v>
      </c>
      <c r="BX630" s="68"/>
      <c r="BY630" s="68">
        <v>1</v>
      </c>
      <c r="BZ630" s="68" t="s">
        <v>1057</v>
      </c>
      <c r="CA630" s="68" t="s">
        <v>1057</v>
      </c>
      <c r="CB630" s="68" t="s">
        <v>1057</v>
      </c>
      <c r="CC630" s="68" t="e">
        <f t="shared" si="128"/>
        <v>#DIV/0!</v>
      </c>
      <c r="CD630" s="68" t="str">
        <f t="shared" si="129"/>
        <v>NA</v>
      </c>
    </row>
    <row r="631" spans="1:82" ht="15.75" customHeight="1" thickBot="1" x14ac:dyDescent="0.3">
      <c r="A631" s="6">
        <v>630</v>
      </c>
      <c r="B631" s="7" t="s">
        <v>457</v>
      </c>
      <c r="C631" s="7" t="s">
        <v>52</v>
      </c>
      <c r="D631" s="7" t="s">
        <v>19</v>
      </c>
      <c r="E631" s="50">
        <v>-169.102398025952</v>
      </c>
      <c r="F631" s="50">
        <v>0</v>
      </c>
      <c r="G631" s="50">
        <v>0</v>
      </c>
      <c r="H631" s="50">
        <v>0</v>
      </c>
      <c r="I631" s="8" t="s">
        <v>1057</v>
      </c>
      <c r="J631" s="50" t="s">
        <v>1057</v>
      </c>
      <c r="K631" s="248">
        <f>IFERROR(VLOOKUP(C631,Schedule!$T$3:$U$34,2,0),"FA")</f>
        <v>11</v>
      </c>
      <c r="L631" s="7" t="str">
        <f>D631&amp;COUNTIF(D$2:$D631,D631)</f>
        <v>RB223</v>
      </c>
      <c r="M631" s="50">
        <f t="array" ref="M631">IFERROR(F631-AVERAGE(VLOOKUP(D631,$D632:$F$885,3,0),INDEX($F632:$F$885,SMALL(IF(D631=$D632:$D$885,ROW($D632:$D$885)-ROW(D631)),2))),0)</f>
        <v>0</v>
      </c>
      <c r="N631" s="50">
        <f>IFERROR(IF(VLOOKUP($B631,Input!$AC$2:$AC$162,1,0)=$B631,0),F631)</f>
        <v>0</v>
      </c>
      <c r="O631" s="50">
        <f>IFERROR(IF(VLOOKUP($B631,Input!$AC$2:$AC$162,1,0)=$B631,0,G631),G631)</f>
        <v>0</v>
      </c>
      <c r="P631" s="50">
        <f>IF(N631=0,0,F631-AVERAGE(INDEX(F:F,MATCH(VLOOKUP(D631,Input!$A$14:$L$22,10,0),L:L,0)),INDEX(F:F,MATCH(VLOOKUP(D631,Input!$A$14:$L$22,11,0),L:L,0)),INDEX(F:F,MATCH(VLOOKUP(D631,Input!$A$14:$L$22,12,0),L:L,0)))+(0.01-ROW()*0.01))</f>
        <v>0</v>
      </c>
      <c r="Q631" s="106">
        <f t="shared" si="124"/>
        <v>0</v>
      </c>
      <c r="R631" s="8">
        <f>IF(VLOOKUP($D631,$X$14:$Y$19,2,0)&lt;=0,1,IF(Q631&lt;0,1,ROUNDUP(IF(Q631*('Draft Center'!$L$28+'Draft Center'!$L$78-'Draft Center'!$L$82)&lt;1,1,Q631*('Draft Center'!$L$28+'Draft Center'!$L$78-'Draft Center'!$L$82)),0)))</f>
        <v>1</v>
      </c>
      <c r="S631" s="8">
        <f>IF(A631&lt;Input!$B$10+0.1,IF(ROUNDUP(R631*Input!$C$10,0)=0,1,ROUNDUP(R631*Input!$C$10,0)),IF(A631&gt;Input!$B$11,IF(ROUNDUP(R631*Input!$C$11,0)=0,1,ROUNDUP(R631*Input!$C$11,0)),IF(ROUNDUP(R631,0)=0,1,ROUNDUP(R631,0))))</f>
        <v>1</v>
      </c>
      <c r="T631" s="8">
        <f t="shared" si="125"/>
        <v>1</v>
      </c>
      <c r="U631" s="8">
        <f>IFERROR(VLOOKUP($B631,Input!$AC$2:$AE$161,3,0),0)</f>
        <v>0</v>
      </c>
      <c r="V631" s="256">
        <f t="shared" si="126"/>
        <v>0</v>
      </c>
      <c r="W631" s="263">
        <f t="shared" si="127"/>
        <v>0</v>
      </c>
      <c r="X631" s="68"/>
      <c r="Y631" s="68"/>
      <c r="Z631" s="68"/>
      <c r="AA631" s="68"/>
      <c r="AB631" s="68"/>
      <c r="AC631" s="68"/>
      <c r="AD631" s="68"/>
      <c r="AE631" s="68"/>
      <c r="AF631" s="68"/>
      <c r="AG631" s="68"/>
      <c r="AH631" s="68"/>
      <c r="AI631" s="68"/>
      <c r="AJ631" s="68">
        <v>1</v>
      </c>
      <c r="AL631" s="68">
        <v>1</v>
      </c>
      <c r="AM631" s="68"/>
      <c r="AN631" s="68"/>
      <c r="AO631" s="68"/>
      <c r="AQ631" s="68"/>
      <c r="AR631" s="68"/>
      <c r="AS631" s="68"/>
      <c r="AT631" s="68"/>
      <c r="AU631" s="68"/>
      <c r="AV631" s="68"/>
      <c r="AW631" s="68"/>
      <c r="AX631" s="68"/>
      <c r="AY631" s="68"/>
      <c r="AZ631" s="68"/>
      <c r="BB631" s="68"/>
      <c r="BC631" s="68"/>
      <c r="BJ631" s="68"/>
      <c r="BT631">
        <v>1</v>
      </c>
      <c r="BV631">
        <v>1</v>
      </c>
      <c r="BX631" s="68"/>
      <c r="BY631" s="68">
        <v>1</v>
      </c>
      <c r="BZ631" s="68" t="s">
        <v>1057</v>
      </c>
      <c r="CA631" s="68" t="s">
        <v>1057</v>
      </c>
      <c r="CB631" s="68" t="s">
        <v>1057</v>
      </c>
      <c r="CC631" s="68" t="e">
        <f t="shared" si="128"/>
        <v>#DIV/0!</v>
      </c>
      <c r="CD631" s="68" t="str">
        <f t="shared" si="129"/>
        <v>NA</v>
      </c>
    </row>
    <row r="632" spans="1:82" ht="15.75" customHeight="1" thickBot="1" x14ac:dyDescent="0.3">
      <c r="A632" s="9">
        <v>631</v>
      </c>
      <c r="B632" s="10" t="s">
        <v>1121</v>
      </c>
      <c r="C632" s="10" t="s">
        <v>95</v>
      </c>
      <c r="D632" s="10" t="s">
        <v>19</v>
      </c>
      <c r="E632" s="51">
        <v>-169.102398025952</v>
      </c>
      <c r="F632" s="51">
        <v>0</v>
      </c>
      <c r="G632" s="51">
        <v>0</v>
      </c>
      <c r="H632" s="51">
        <v>0</v>
      </c>
      <c r="I632" s="11" t="s">
        <v>1057</v>
      </c>
      <c r="J632" s="51" t="s">
        <v>1057</v>
      </c>
      <c r="K632" s="249">
        <f>IFERROR(VLOOKUP(C632,Schedule!$T$3:$U$34,2,0),"FA")</f>
        <v>8</v>
      </c>
      <c r="L632" s="10" t="str">
        <f>D632&amp;COUNTIF(D$2:$D632,D632)</f>
        <v>RB224</v>
      </c>
      <c r="M632" s="51">
        <f t="array" ref="M632">IFERROR(F632-AVERAGE(VLOOKUP(D632,$D633:$F$885,3,0),INDEX($F633:$F$885,SMALL(IF(D632=$D633:$D$885,ROW($D633:$D$885)-ROW(D632)),2))),0)</f>
        <v>0</v>
      </c>
      <c r="N632" s="51">
        <f>IFERROR(IF(VLOOKUP($B632,Input!$AC$2:$AC$162,1,0)=$B632,0),F632)</f>
        <v>0</v>
      </c>
      <c r="O632" s="51">
        <f>IFERROR(IF(VLOOKUP($B632,Input!$AC$2:$AC$162,1,0)=$B632,0,G632),G632)</f>
        <v>0</v>
      </c>
      <c r="P632" s="51">
        <f>IF(N632=0,0,F632-AVERAGE(INDEX(F:F,MATCH(VLOOKUP(D632,Input!$A$14:$L$22,10,0),L:L,0)),INDEX(F:F,MATCH(VLOOKUP(D632,Input!$A$14:$L$22,11,0),L:L,0)),INDEX(F:F,MATCH(VLOOKUP(D632,Input!$A$14:$L$22,12,0),L:L,0)))+(0.01-ROW()*0.01))</f>
        <v>0</v>
      </c>
      <c r="Q632" s="107">
        <f t="shared" si="124"/>
        <v>0</v>
      </c>
      <c r="R632" s="11">
        <f>IF(VLOOKUP($D632,$X$14:$Y$19,2,0)&lt;=0,1,IF(Q632&lt;0,1,ROUNDUP(IF(Q632*('Draft Center'!$L$28+'Draft Center'!$L$78-'Draft Center'!$L$82)&lt;1,1,Q632*('Draft Center'!$L$28+'Draft Center'!$L$78-'Draft Center'!$L$82)),0)))</f>
        <v>1</v>
      </c>
      <c r="S632" s="11">
        <f>IF(A632&lt;Input!$B$10+0.1,IF(ROUNDUP(R632*Input!$C$10,0)=0,1,ROUNDUP(R632*Input!$C$10,0)),IF(A632&gt;Input!$B$11,IF(ROUNDUP(R632*Input!$C$11,0)=0,1,ROUNDUP(R632*Input!$C$11,0)),IF(ROUNDUP(R632,0)=0,1,ROUNDUP(R632,0))))</f>
        <v>1</v>
      </c>
      <c r="T632" s="11">
        <f t="shared" si="125"/>
        <v>1</v>
      </c>
      <c r="U632" s="11">
        <f>IFERROR(VLOOKUP($B632,Input!$AC$2:$AE$161,3,0),0)</f>
        <v>0</v>
      </c>
      <c r="V632" s="257">
        <f t="shared" si="126"/>
        <v>0</v>
      </c>
      <c r="W632" s="264">
        <f t="shared" si="127"/>
        <v>0</v>
      </c>
      <c r="X632" s="68"/>
      <c r="Y632" s="68"/>
      <c r="Z632" s="68"/>
      <c r="AA632" s="68"/>
      <c r="AB632" s="68"/>
      <c r="AC632" s="68"/>
      <c r="AD632" s="68"/>
      <c r="AE632" s="68"/>
      <c r="AF632" s="68"/>
      <c r="AG632" s="68"/>
      <c r="AH632" s="68"/>
      <c r="AI632" s="68"/>
      <c r="AJ632" s="68">
        <v>1</v>
      </c>
      <c r="AL632" s="68">
        <v>1</v>
      </c>
      <c r="AM632" s="68"/>
      <c r="AN632" s="68"/>
      <c r="AO632" s="68"/>
      <c r="AQ632" s="68"/>
      <c r="AR632" s="68"/>
      <c r="AS632" s="68"/>
      <c r="AT632" s="68"/>
      <c r="AU632" s="68"/>
      <c r="AV632" s="68"/>
      <c r="AW632" s="68"/>
      <c r="AX632" s="68"/>
      <c r="AY632" s="68"/>
      <c r="AZ632" s="68"/>
      <c r="BB632" s="68"/>
      <c r="BC632" s="68"/>
      <c r="BJ632" s="68"/>
      <c r="BT632">
        <v>1</v>
      </c>
      <c r="BV632">
        <v>1</v>
      </c>
      <c r="BX632" s="68"/>
      <c r="BY632" s="68">
        <v>1</v>
      </c>
      <c r="BZ632" s="68" t="s">
        <v>1057</v>
      </c>
      <c r="CA632" s="68" t="s">
        <v>1057</v>
      </c>
      <c r="CB632" s="68" t="s">
        <v>1057</v>
      </c>
      <c r="CC632" s="68" t="e">
        <f t="shared" si="128"/>
        <v>#DIV/0!</v>
      </c>
      <c r="CD632" s="68" t="str">
        <f t="shared" si="129"/>
        <v>NA</v>
      </c>
    </row>
    <row r="633" spans="1:82" ht="15.75" customHeight="1" thickBot="1" x14ac:dyDescent="0.3">
      <c r="A633" s="6">
        <v>632</v>
      </c>
      <c r="B633" s="7" t="s">
        <v>1122</v>
      </c>
      <c r="C633" s="7" t="s">
        <v>925</v>
      </c>
      <c r="D633" s="7" t="s">
        <v>19</v>
      </c>
      <c r="E633" s="50">
        <v>-169.102398025952</v>
      </c>
      <c r="F633" s="50">
        <v>0</v>
      </c>
      <c r="G633" s="50">
        <v>0</v>
      </c>
      <c r="H633" s="50">
        <v>0</v>
      </c>
      <c r="I633" s="8" t="s">
        <v>1057</v>
      </c>
      <c r="J633" s="50" t="s">
        <v>1057</v>
      </c>
      <c r="K633" s="248">
        <f>IFERROR(VLOOKUP(C633,Schedule!$T$3:$U$34,2,0),"FA")</f>
        <v>8</v>
      </c>
      <c r="L633" s="7" t="str">
        <f>D633&amp;COUNTIF(D$2:$D633,D633)</f>
        <v>RB225</v>
      </c>
      <c r="M633" s="50">
        <f t="array" ref="M633">IFERROR(F633-AVERAGE(VLOOKUP(D633,$D634:$F$885,3,0),INDEX($F634:$F$885,SMALL(IF(D633=$D634:$D$885,ROW($D634:$D$885)-ROW(D633)),2))),0)</f>
        <v>0</v>
      </c>
      <c r="N633" s="50">
        <f>IFERROR(IF(VLOOKUP($B633,Input!$AC$2:$AC$162,1,0)=$B633,0),F633)</f>
        <v>0</v>
      </c>
      <c r="O633" s="50">
        <f>IFERROR(IF(VLOOKUP($B633,Input!$AC$2:$AC$162,1,0)=$B633,0,G633),G633)</f>
        <v>0</v>
      </c>
      <c r="P633" s="50">
        <f>IF(N633=0,0,F633-AVERAGE(INDEX(F:F,MATCH(VLOOKUP(D633,Input!$A$14:$L$22,10,0),L:L,0)),INDEX(F:F,MATCH(VLOOKUP(D633,Input!$A$14:$L$22,11,0),L:L,0)),INDEX(F:F,MATCH(VLOOKUP(D633,Input!$A$14:$L$22,12,0),L:L,0)))+(0.01-ROW()*0.01))</f>
        <v>0</v>
      </c>
      <c r="Q633" s="106">
        <f t="shared" si="124"/>
        <v>0</v>
      </c>
      <c r="R633" s="8">
        <f>IF(VLOOKUP($D633,$X$14:$Y$19,2,0)&lt;=0,1,IF(Q633&lt;0,1,ROUNDUP(IF(Q633*('Draft Center'!$L$28+'Draft Center'!$L$78-'Draft Center'!$L$82)&lt;1,1,Q633*('Draft Center'!$L$28+'Draft Center'!$L$78-'Draft Center'!$L$82)),0)))</f>
        <v>1</v>
      </c>
      <c r="S633" s="8">
        <f>IF(A633&lt;Input!$B$10+0.1,IF(ROUNDUP(R633*Input!$C$10,0)=0,1,ROUNDUP(R633*Input!$C$10,0)),IF(A633&gt;Input!$B$11,IF(ROUNDUP(R633*Input!$C$11,0)=0,1,ROUNDUP(R633*Input!$C$11,0)),IF(ROUNDUP(R633,0)=0,1,ROUNDUP(R633,0))))</f>
        <v>1</v>
      </c>
      <c r="T633" s="8">
        <f t="shared" si="125"/>
        <v>1</v>
      </c>
      <c r="U633" s="8">
        <f>IFERROR(VLOOKUP($B633,Input!$AC$2:$AE$161,3,0),0)</f>
        <v>0</v>
      </c>
      <c r="V633" s="256">
        <f t="shared" si="126"/>
        <v>0</v>
      </c>
      <c r="W633" s="263">
        <f t="shared" si="127"/>
        <v>0</v>
      </c>
      <c r="X633" s="68"/>
      <c r="Y633" s="68"/>
      <c r="Z633" s="68"/>
      <c r="AA633" s="68"/>
      <c r="AB633" s="68"/>
      <c r="AC633" s="68"/>
      <c r="AD633" s="68"/>
      <c r="AE633" s="68"/>
      <c r="AF633" s="68"/>
      <c r="AG633" s="68"/>
      <c r="AH633" s="68"/>
      <c r="AI633" s="68"/>
      <c r="AJ633" s="68">
        <v>1</v>
      </c>
      <c r="AL633" s="68">
        <v>1</v>
      </c>
      <c r="AM633" s="68"/>
      <c r="AN633" s="68"/>
      <c r="AO633" s="68"/>
      <c r="AQ633" s="68"/>
      <c r="AR633" s="68"/>
      <c r="AS633" s="68"/>
      <c r="AT633" s="68"/>
      <c r="AU633" s="68"/>
      <c r="AV633" s="68"/>
      <c r="AW633" s="68"/>
      <c r="AX633" s="68"/>
      <c r="AY633" s="68"/>
      <c r="AZ633" s="68"/>
      <c r="BB633" s="68"/>
      <c r="BC633" s="68"/>
      <c r="BJ633" s="68"/>
      <c r="BT633">
        <v>1</v>
      </c>
      <c r="BV633">
        <v>1</v>
      </c>
      <c r="BX633" s="68"/>
      <c r="BY633" s="68">
        <v>1</v>
      </c>
      <c r="BZ633" s="68" t="s">
        <v>1057</v>
      </c>
      <c r="CA633" s="68" t="s">
        <v>1057</v>
      </c>
      <c r="CB633" s="68" t="s">
        <v>1057</v>
      </c>
      <c r="CC633" s="68" t="e">
        <f t="shared" si="128"/>
        <v>#DIV/0!</v>
      </c>
      <c r="CD633" s="68" t="str">
        <f t="shared" si="129"/>
        <v>NA</v>
      </c>
    </row>
    <row r="634" spans="1:82" ht="15.75" customHeight="1" thickBot="1" x14ac:dyDescent="0.3">
      <c r="A634" s="9">
        <v>633</v>
      </c>
      <c r="B634" s="10" t="s">
        <v>391</v>
      </c>
      <c r="C634" s="10" t="s">
        <v>64</v>
      </c>
      <c r="D634" s="10" t="s">
        <v>19</v>
      </c>
      <c r="E634" s="51">
        <v>-169.102398025952</v>
      </c>
      <c r="F634" s="51">
        <v>0</v>
      </c>
      <c r="G634" s="51">
        <v>0</v>
      </c>
      <c r="H634" s="51">
        <v>0</v>
      </c>
      <c r="I634" s="11">
        <v>0</v>
      </c>
      <c r="J634" s="51">
        <v>3.79239805087904</v>
      </c>
      <c r="K634" s="249">
        <f>IFERROR(VLOOKUP(C634,Schedule!$T$3:$U$34,2,0),"FA")</f>
        <v>11</v>
      </c>
      <c r="L634" s="10" t="str">
        <f>D634&amp;COUNTIF(D$2:$D634,D634)</f>
        <v>RB226</v>
      </c>
      <c r="M634" s="51">
        <f t="array" ref="M634">IFERROR(F634-AVERAGE(VLOOKUP(D634,$D635:$F$885,3,0),INDEX($F635:$F$885,SMALL(IF(D634=$D635:$D$885,ROW($D635:$D$885)-ROW(D634)),2))),0)</f>
        <v>0</v>
      </c>
      <c r="N634" s="51">
        <f>IFERROR(IF(VLOOKUP($B634,Input!$AC$2:$AC$162,1,0)=$B634,0),F634)</f>
        <v>0</v>
      </c>
      <c r="O634" s="51">
        <f>IFERROR(IF(VLOOKUP($B634,Input!$AC$2:$AC$162,1,0)=$B634,0,G634),G634)</f>
        <v>0</v>
      </c>
      <c r="P634" s="51">
        <f>IF(N634=0,0,F634-AVERAGE(INDEX(F:F,MATCH(VLOOKUP(D634,Input!$A$14:$L$22,10,0),L:L,0)),INDEX(F:F,MATCH(VLOOKUP(D634,Input!$A$14:$L$22,11,0),L:L,0)),INDEX(F:F,MATCH(VLOOKUP(D634,Input!$A$14:$L$22,12,0),L:L,0)))+(0.01-ROW()*0.01))</f>
        <v>0</v>
      </c>
      <c r="Q634" s="107">
        <f t="shared" si="124"/>
        <v>0</v>
      </c>
      <c r="R634" s="11">
        <f>IF(VLOOKUP($D634,$X$14:$Y$19,2,0)&lt;=0,1,IF(Q634&lt;0,1,ROUNDUP(IF(Q634*('Draft Center'!$L$28+'Draft Center'!$L$78-'Draft Center'!$L$82)&lt;1,1,Q634*('Draft Center'!$L$28+'Draft Center'!$L$78-'Draft Center'!$L$82)),0)))</f>
        <v>1</v>
      </c>
      <c r="S634" s="11">
        <f>IF(A634&lt;Input!$B$10+0.1,IF(ROUNDUP(R634*Input!$C$10,0)=0,1,ROUNDUP(R634*Input!$C$10,0)),IF(A634&gt;Input!$B$11,IF(ROUNDUP(R634*Input!$C$11,0)=0,1,ROUNDUP(R634*Input!$C$11,0)),IF(ROUNDUP(R634,0)=0,1,ROUNDUP(R634,0))))</f>
        <v>1</v>
      </c>
      <c r="T634" s="11">
        <f t="shared" si="125"/>
        <v>1</v>
      </c>
      <c r="U634" s="11">
        <f>IFERROR(VLOOKUP($B634,Input!$AC$2:$AE$161,3,0),0)</f>
        <v>0</v>
      </c>
      <c r="V634" s="257">
        <f t="shared" si="126"/>
        <v>0</v>
      </c>
      <c r="W634" s="264">
        <f t="shared" si="127"/>
        <v>1.00634</v>
      </c>
      <c r="X634" s="68"/>
      <c r="Y634" s="68"/>
      <c r="Z634" s="68"/>
      <c r="AA634" s="68"/>
      <c r="AB634" s="68"/>
      <c r="AC634" s="68"/>
      <c r="AD634" s="68"/>
      <c r="AE634" s="68"/>
      <c r="AF634" s="68"/>
      <c r="AG634" s="68"/>
      <c r="AH634" s="68"/>
      <c r="AI634" s="68"/>
      <c r="AJ634" s="68">
        <v>1</v>
      </c>
      <c r="AL634" s="68">
        <v>1</v>
      </c>
      <c r="AM634" s="68"/>
      <c r="AN634" s="68"/>
      <c r="AO634" s="68"/>
      <c r="AQ634" s="68"/>
      <c r="AR634" s="68"/>
      <c r="AS634" s="68"/>
      <c r="AT634" s="68"/>
      <c r="AU634" s="68"/>
      <c r="AV634" s="68"/>
      <c r="AW634" s="68"/>
      <c r="AX634" s="68"/>
      <c r="AY634" s="68"/>
      <c r="AZ634" s="68"/>
      <c r="BB634" s="68"/>
      <c r="BC634" s="68"/>
      <c r="BJ634" s="68"/>
      <c r="BT634">
        <v>1</v>
      </c>
      <c r="BV634">
        <v>1</v>
      </c>
      <c r="BX634" s="68"/>
      <c r="BY634" s="68">
        <v>1</v>
      </c>
      <c r="BZ634" s="68">
        <v>0</v>
      </c>
      <c r="CA634" s="68">
        <v>0</v>
      </c>
      <c r="CB634" s="68">
        <v>0</v>
      </c>
      <c r="CC634" s="68">
        <f t="shared" si="128"/>
        <v>0</v>
      </c>
      <c r="CD634" s="68">
        <f t="shared" si="129"/>
        <v>0</v>
      </c>
    </row>
    <row r="635" spans="1:82" ht="15.75" customHeight="1" thickBot="1" x14ac:dyDescent="0.3">
      <c r="A635" s="6">
        <v>634</v>
      </c>
      <c r="B635" s="7" t="s">
        <v>440</v>
      </c>
      <c r="C635" s="7" t="s">
        <v>64</v>
      </c>
      <c r="D635" s="7" t="s">
        <v>19</v>
      </c>
      <c r="E635" s="50">
        <v>-169.102398025952</v>
      </c>
      <c r="F635" s="50">
        <v>0</v>
      </c>
      <c r="G635" s="50">
        <v>0</v>
      </c>
      <c r="H635" s="50">
        <v>0</v>
      </c>
      <c r="I635" s="8" t="s">
        <v>1057</v>
      </c>
      <c r="J635" s="50">
        <v>2.3510017858661798</v>
      </c>
      <c r="K635" s="248">
        <f>IFERROR(VLOOKUP(C635,Schedule!$T$3:$U$34,2,0),"FA")</f>
        <v>11</v>
      </c>
      <c r="L635" s="7" t="str">
        <f>D635&amp;COUNTIF(D$2:$D635,D635)</f>
        <v>RB227</v>
      </c>
      <c r="M635" s="50">
        <f t="array" ref="M635">IFERROR(F635-AVERAGE(VLOOKUP(D635,$D636:$F$885,3,0),INDEX($F636:$F$885,SMALL(IF(D635=$D636:$D$885,ROW($D636:$D$885)-ROW(D635)),2))),0)</f>
        <v>0</v>
      </c>
      <c r="N635" s="50">
        <f>IFERROR(IF(VLOOKUP($B635,Input!$AC$2:$AC$162,1,0)=$B635,0),F635)</f>
        <v>0</v>
      </c>
      <c r="O635" s="50">
        <f>IFERROR(IF(VLOOKUP($B635,Input!$AC$2:$AC$162,1,0)=$B635,0,G635),G635)</f>
        <v>0</v>
      </c>
      <c r="P635" s="50">
        <f>IF(N635=0,0,F635-AVERAGE(INDEX(F:F,MATCH(VLOOKUP(D635,Input!$A$14:$L$22,10,0),L:L,0)),INDEX(F:F,MATCH(VLOOKUP(D635,Input!$A$14:$L$22,11,0),L:L,0)),INDEX(F:F,MATCH(VLOOKUP(D635,Input!$A$14:$L$22,12,0),L:L,0)))+(0.01-ROW()*0.01))</f>
        <v>0</v>
      </c>
      <c r="Q635" s="106">
        <f t="shared" si="124"/>
        <v>0</v>
      </c>
      <c r="R635" s="8">
        <f>IF(VLOOKUP($D635,$X$14:$Y$19,2,0)&lt;=0,1,IF(Q635&lt;0,1,ROUNDUP(IF(Q635*('Draft Center'!$L$28+'Draft Center'!$L$78-'Draft Center'!$L$82)&lt;1,1,Q635*('Draft Center'!$L$28+'Draft Center'!$L$78-'Draft Center'!$L$82)),0)))</f>
        <v>1</v>
      </c>
      <c r="S635" s="8">
        <f>IF(A635&lt;Input!$B$10+0.1,IF(ROUNDUP(R635*Input!$C$10,0)=0,1,ROUNDUP(R635*Input!$C$10,0)),IF(A635&gt;Input!$B$11,IF(ROUNDUP(R635*Input!$C$11,0)=0,1,ROUNDUP(R635*Input!$C$11,0)),IF(ROUNDUP(R635,0)=0,1,ROUNDUP(R635,0))))</f>
        <v>1</v>
      </c>
      <c r="T635" s="8">
        <f t="shared" si="125"/>
        <v>1</v>
      </c>
      <c r="U635" s="8">
        <f>IFERROR(VLOOKUP($B635,Input!$AC$2:$AE$161,3,0),0)</f>
        <v>0</v>
      </c>
      <c r="V635" s="256">
        <f t="shared" si="126"/>
        <v>0</v>
      </c>
      <c r="W635" s="263">
        <f t="shared" si="127"/>
        <v>0</v>
      </c>
      <c r="X635" s="68"/>
      <c r="Y635" s="68"/>
      <c r="Z635" s="68"/>
      <c r="AA635" s="68"/>
      <c r="AB635" s="68"/>
      <c r="AC635" s="68"/>
      <c r="AD635" s="68"/>
      <c r="AE635" s="68"/>
      <c r="AF635" s="68"/>
      <c r="AG635" s="68"/>
      <c r="AH635" s="68"/>
      <c r="AI635" s="68"/>
      <c r="AJ635" s="68">
        <v>1</v>
      </c>
      <c r="AL635" s="68">
        <v>1</v>
      </c>
      <c r="AM635" s="68"/>
      <c r="AN635" s="68"/>
      <c r="AO635" s="68"/>
      <c r="AQ635" s="68"/>
      <c r="AR635" s="68"/>
      <c r="AS635" s="68"/>
      <c r="AT635" s="68"/>
      <c r="AU635" s="68"/>
      <c r="AV635" s="68"/>
      <c r="AW635" s="68"/>
      <c r="AX635" s="68"/>
      <c r="AY635" s="68"/>
      <c r="AZ635" s="68"/>
      <c r="BB635" s="68"/>
      <c r="BC635" s="68"/>
      <c r="BJ635" s="68"/>
      <c r="BT635">
        <v>1</v>
      </c>
      <c r="BV635">
        <v>1</v>
      </c>
      <c r="BX635" s="68"/>
      <c r="BY635" s="68">
        <v>1</v>
      </c>
      <c r="BZ635" s="68" t="s">
        <v>1057</v>
      </c>
      <c r="CA635" s="68" t="s">
        <v>1057</v>
      </c>
      <c r="CB635" s="68" t="s">
        <v>1057</v>
      </c>
      <c r="CC635" s="68" t="e">
        <f t="shared" si="128"/>
        <v>#DIV/0!</v>
      </c>
      <c r="CD635" s="68" t="str">
        <f t="shared" si="129"/>
        <v>NA</v>
      </c>
    </row>
    <row r="636" spans="1:82" ht="15.75" customHeight="1" thickBot="1" x14ac:dyDescent="0.3">
      <c r="A636" s="9">
        <v>635</v>
      </c>
      <c r="B636" s="10" t="s">
        <v>369</v>
      </c>
      <c r="C636" s="10" t="s">
        <v>42</v>
      </c>
      <c r="D636" s="10" t="s">
        <v>19</v>
      </c>
      <c r="E636" s="51">
        <v>-169.102398025952</v>
      </c>
      <c r="F636" s="51">
        <v>0</v>
      </c>
      <c r="G636" s="51">
        <v>0</v>
      </c>
      <c r="H636" s="51">
        <v>0</v>
      </c>
      <c r="I636" s="11">
        <v>0</v>
      </c>
      <c r="J636" s="51" t="s">
        <v>1057</v>
      </c>
      <c r="K636" s="249">
        <f>IFERROR(VLOOKUP(C636,Schedule!$T$3:$U$34,2,0),"FA")</f>
        <v>9</v>
      </c>
      <c r="L636" s="10" t="str">
        <f>D636&amp;COUNTIF(D$2:$D636,D636)</f>
        <v>RB228</v>
      </c>
      <c r="M636" s="51">
        <f t="array" ref="M636">IFERROR(F636-AVERAGE(VLOOKUP(D636,$D637:$F$885,3,0),INDEX($F637:$F$885,SMALL(IF(D636=$D637:$D$885,ROW($D637:$D$885)-ROW(D636)),2))),0)</f>
        <v>0</v>
      </c>
      <c r="N636" s="51">
        <f>IFERROR(IF(VLOOKUP($B636,Input!$AC$2:$AC$162,1,0)=$B636,0),F636)</f>
        <v>0</v>
      </c>
      <c r="O636" s="51">
        <f>IFERROR(IF(VLOOKUP($B636,Input!$AC$2:$AC$162,1,0)=$B636,0,G636),G636)</f>
        <v>0</v>
      </c>
      <c r="P636" s="51">
        <f>IF(N636=0,0,F636-AVERAGE(INDEX(F:F,MATCH(VLOOKUP(D636,Input!$A$14:$L$22,10,0),L:L,0)),INDEX(F:F,MATCH(VLOOKUP(D636,Input!$A$14:$L$22,11,0),L:L,0)),INDEX(F:F,MATCH(VLOOKUP(D636,Input!$A$14:$L$22,12,0),L:L,0)))+(0.01-ROW()*0.01))</f>
        <v>0</v>
      </c>
      <c r="Q636" s="107">
        <f t="shared" si="124"/>
        <v>0</v>
      </c>
      <c r="R636" s="11">
        <f>IF(VLOOKUP($D636,$X$14:$Y$19,2,0)&lt;=0,1,IF(Q636&lt;0,1,ROUNDUP(IF(Q636*('Draft Center'!$L$28+'Draft Center'!$L$78-'Draft Center'!$L$82)&lt;1,1,Q636*('Draft Center'!$L$28+'Draft Center'!$L$78-'Draft Center'!$L$82)),0)))</f>
        <v>1</v>
      </c>
      <c r="S636" s="11">
        <f>IF(A636&lt;Input!$B$10+0.1,IF(ROUNDUP(R636*Input!$C$10,0)=0,1,ROUNDUP(R636*Input!$C$10,0)),IF(A636&gt;Input!$B$11,IF(ROUNDUP(R636*Input!$C$11,0)=0,1,ROUNDUP(R636*Input!$C$11,0)),IF(ROUNDUP(R636,0)=0,1,ROUNDUP(R636,0))))</f>
        <v>1</v>
      </c>
      <c r="T636" s="11">
        <f t="shared" si="125"/>
        <v>1</v>
      </c>
      <c r="U636" s="11">
        <f>IFERROR(VLOOKUP($B636,Input!$AC$2:$AE$161,3,0),0)</f>
        <v>0</v>
      </c>
      <c r="V636" s="257">
        <f t="shared" si="126"/>
        <v>0</v>
      </c>
      <c r="W636" s="264">
        <f t="shared" si="127"/>
        <v>1.0063599999999999</v>
      </c>
      <c r="X636" s="68"/>
      <c r="Y636" s="68"/>
      <c r="Z636" s="68"/>
      <c r="AA636" s="68"/>
      <c r="AB636" s="68"/>
      <c r="AC636" s="68"/>
      <c r="AD636" s="68"/>
      <c r="AE636" s="68"/>
      <c r="AF636" s="68"/>
      <c r="AG636" s="68"/>
      <c r="AH636" s="68"/>
      <c r="AI636" s="68"/>
      <c r="AJ636" s="68">
        <v>1</v>
      </c>
      <c r="AL636" s="68">
        <v>1</v>
      </c>
      <c r="AM636" s="68"/>
      <c r="AN636" s="68"/>
      <c r="AO636" s="68"/>
      <c r="AQ636" s="68"/>
      <c r="AR636" s="68"/>
      <c r="AS636" s="68"/>
      <c r="AT636" s="68"/>
      <c r="AU636" s="68"/>
      <c r="AV636" s="68"/>
      <c r="AW636" s="68"/>
      <c r="AX636" s="68"/>
      <c r="AY636" s="68"/>
      <c r="AZ636" s="68"/>
      <c r="BB636" s="68"/>
      <c r="BC636" s="68"/>
      <c r="BJ636" s="68"/>
      <c r="BT636">
        <v>1</v>
      </c>
      <c r="BV636">
        <v>1</v>
      </c>
      <c r="BX636" s="68"/>
      <c r="BY636" s="68">
        <v>1</v>
      </c>
      <c r="BZ636" s="68">
        <v>0</v>
      </c>
      <c r="CA636" s="68">
        <v>0</v>
      </c>
      <c r="CB636" s="68">
        <v>0</v>
      </c>
      <c r="CC636" s="68">
        <f t="shared" si="128"/>
        <v>0</v>
      </c>
      <c r="CD636" s="68">
        <f t="shared" si="129"/>
        <v>0</v>
      </c>
    </row>
    <row r="637" spans="1:82" ht="15.75" customHeight="1" thickBot="1" x14ac:dyDescent="0.3">
      <c r="A637" s="6">
        <v>636</v>
      </c>
      <c r="B637" s="7" t="s">
        <v>826</v>
      </c>
      <c r="C637" s="7" t="s">
        <v>27</v>
      </c>
      <c r="D637" s="7" t="s">
        <v>19</v>
      </c>
      <c r="E637" s="50">
        <v>-169.102398025952</v>
      </c>
      <c r="F637" s="50">
        <v>0</v>
      </c>
      <c r="G637" s="50">
        <v>0</v>
      </c>
      <c r="H637" s="50">
        <v>0</v>
      </c>
      <c r="I637" s="8" t="s">
        <v>1057</v>
      </c>
      <c r="J637" s="50" t="s">
        <v>1057</v>
      </c>
      <c r="K637" s="248">
        <f>IFERROR(VLOOKUP(C637,Schedule!$T$3:$U$34,2,0),"FA")</f>
        <v>8</v>
      </c>
      <c r="L637" s="7" t="str">
        <f>D637&amp;COUNTIF(D$2:$D637,D637)</f>
        <v>RB229</v>
      </c>
      <c r="M637" s="50">
        <f t="array" ref="M637">IFERROR(F637-AVERAGE(VLOOKUP(D637,$D638:$F$885,3,0),INDEX($F638:$F$885,SMALL(IF(D637=$D638:$D$885,ROW($D638:$D$885)-ROW(D637)),2))),0)</f>
        <v>0</v>
      </c>
      <c r="N637" s="50">
        <f>IFERROR(IF(VLOOKUP($B637,Input!$AC$2:$AC$162,1,0)=$B637,0),F637)</f>
        <v>0</v>
      </c>
      <c r="O637" s="50">
        <f>IFERROR(IF(VLOOKUP($B637,Input!$AC$2:$AC$162,1,0)=$B637,0,G637),G637)</f>
        <v>0</v>
      </c>
      <c r="P637" s="50">
        <f>IF(N637=0,0,F637-AVERAGE(INDEX(F:F,MATCH(VLOOKUP(D637,Input!$A$14:$L$22,10,0),L:L,0)),INDEX(F:F,MATCH(VLOOKUP(D637,Input!$A$14:$L$22,11,0),L:L,0)),INDEX(F:F,MATCH(VLOOKUP(D637,Input!$A$14:$L$22,12,0),L:L,0)))+(0.01-ROW()*0.01))</f>
        <v>0</v>
      </c>
      <c r="Q637" s="106">
        <f t="shared" si="124"/>
        <v>0</v>
      </c>
      <c r="R637" s="8">
        <f>IF(VLOOKUP($D637,$X$14:$Y$19,2,0)&lt;=0,1,IF(Q637&lt;0,1,ROUNDUP(IF(Q637*('Draft Center'!$L$28+'Draft Center'!$L$78-'Draft Center'!$L$82)&lt;1,1,Q637*('Draft Center'!$L$28+'Draft Center'!$L$78-'Draft Center'!$L$82)),0)))</f>
        <v>1</v>
      </c>
      <c r="S637" s="8">
        <f>IF(A637&lt;Input!$B$10+0.1,IF(ROUNDUP(R637*Input!$C$10,0)=0,1,ROUNDUP(R637*Input!$C$10,0)),IF(A637&gt;Input!$B$11,IF(ROUNDUP(R637*Input!$C$11,0)=0,1,ROUNDUP(R637*Input!$C$11,0)),IF(ROUNDUP(R637,0)=0,1,ROUNDUP(R637,0))))</f>
        <v>1</v>
      </c>
      <c r="T637" s="8">
        <f t="shared" si="125"/>
        <v>1</v>
      </c>
      <c r="U637" s="8">
        <f>IFERROR(VLOOKUP($B637,Input!$AC$2:$AE$161,3,0),0)</f>
        <v>0</v>
      </c>
      <c r="V637" s="256">
        <f t="shared" si="126"/>
        <v>0</v>
      </c>
      <c r="W637" s="263">
        <f t="shared" si="127"/>
        <v>0</v>
      </c>
      <c r="X637" s="68"/>
      <c r="Y637" s="68"/>
      <c r="Z637" s="68"/>
      <c r="AA637" s="68"/>
      <c r="AB637" s="68"/>
      <c r="AC637" s="68"/>
      <c r="AD637" s="68"/>
      <c r="AE637" s="68"/>
      <c r="AF637" s="68"/>
      <c r="AG637" s="68"/>
      <c r="AH637" s="68"/>
      <c r="AI637" s="68"/>
      <c r="AJ637" s="68">
        <v>1</v>
      </c>
      <c r="AL637" s="68">
        <v>1</v>
      </c>
      <c r="AM637" s="68"/>
      <c r="AN637" s="68"/>
      <c r="AO637" s="68"/>
      <c r="AQ637" s="68"/>
      <c r="AR637" s="68"/>
      <c r="AS637" s="68"/>
      <c r="AT637" s="68"/>
      <c r="AU637" s="68"/>
      <c r="AV637" s="68"/>
      <c r="AW637" s="68"/>
      <c r="AX637" s="68"/>
      <c r="AY637" s="68"/>
      <c r="AZ637" s="68"/>
      <c r="BB637" s="68"/>
      <c r="BC637" s="68"/>
      <c r="BJ637" s="68"/>
      <c r="BT637">
        <v>1</v>
      </c>
      <c r="BV637">
        <v>1</v>
      </c>
      <c r="BX637" s="68"/>
      <c r="BY637" s="68">
        <v>1</v>
      </c>
      <c r="BZ637" s="68" t="s">
        <v>1057</v>
      </c>
      <c r="CA637" s="68" t="s">
        <v>1057</v>
      </c>
      <c r="CB637" s="68" t="s">
        <v>1057</v>
      </c>
      <c r="CC637" s="68" t="e">
        <f t="shared" si="128"/>
        <v>#DIV/0!</v>
      </c>
      <c r="CD637" s="68" t="str">
        <f t="shared" si="129"/>
        <v>NA</v>
      </c>
    </row>
    <row r="638" spans="1:82" ht="15.75" customHeight="1" thickBot="1" x14ac:dyDescent="0.3">
      <c r="A638" s="9">
        <v>637</v>
      </c>
      <c r="B638" s="10" t="s">
        <v>1123</v>
      </c>
      <c r="C638" s="10" t="s">
        <v>47</v>
      </c>
      <c r="D638" s="10" t="s">
        <v>19</v>
      </c>
      <c r="E638" s="51">
        <v>-169.102398025952</v>
      </c>
      <c r="F638" s="51">
        <v>0</v>
      </c>
      <c r="G638" s="51">
        <v>0</v>
      </c>
      <c r="H638" s="51">
        <v>0</v>
      </c>
      <c r="I638" s="11" t="s">
        <v>1057</v>
      </c>
      <c r="J638" s="51">
        <v>4.8868583538608101</v>
      </c>
      <c r="K638" s="249">
        <f>IFERROR(VLOOKUP(C638,Schedule!$T$3:$U$34,2,0),"FA")</f>
        <v>10</v>
      </c>
      <c r="L638" s="10" t="str">
        <f>D638&amp;COUNTIF(D$2:$D638,D638)</f>
        <v>RB230</v>
      </c>
      <c r="M638" s="51">
        <f t="array" ref="M638">IFERROR(F638-AVERAGE(VLOOKUP(D638,$D639:$F$885,3,0),INDEX($F639:$F$885,SMALL(IF(D638=$D639:$D$885,ROW($D639:$D$885)-ROW(D638)),2))),0)</f>
        <v>0</v>
      </c>
      <c r="N638" s="51">
        <f>IFERROR(IF(VLOOKUP($B638,Input!$AC$2:$AC$162,1,0)=$B638,0),F638)</f>
        <v>0</v>
      </c>
      <c r="O638" s="51">
        <f>IFERROR(IF(VLOOKUP($B638,Input!$AC$2:$AC$162,1,0)=$B638,0,G638),G638)</f>
        <v>0</v>
      </c>
      <c r="P638" s="51">
        <f>IF(N638=0,0,F638-AVERAGE(INDEX(F:F,MATCH(VLOOKUP(D638,Input!$A$14:$L$22,10,0),L:L,0)),INDEX(F:F,MATCH(VLOOKUP(D638,Input!$A$14:$L$22,11,0),L:L,0)),INDEX(F:F,MATCH(VLOOKUP(D638,Input!$A$14:$L$22,12,0),L:L,0)))+(0.01-ROW()*0.01))</f>
        <v>0</v>
      </c>
      <c r="Q638" s="107">
        <f t="shared" si="124"/>
        <v>0</v>
      </c>
      <c r="R638" s="11">
        <f>IF(VLOOKUP($D638,$X$14:$Y$19,2,0)&lt;=0,1,IF(Q638&lt;0,1,ROUNDUP(IF(Q638*('Draft Center'!$L$28+'Draft Center'!$L$78-'Draft Center'!$L$82)&lt;1,1,Q638*('Draft Center'!$L$28+'Draft Center'!$L$78-'Draft Center'!$L$82)),0)))</f>
        <v>1</v>
      </c>
      <c r="S638" s="11">
        <f>IF(A638&lt;Input!$B$10+0.1,IF(ROUNDUP(R638*Input!$C$10,0)=0,1,ROUNDUP(R638*Input!$C$10,0)),IF(A638&gt;Input!$B$11,IF(ROUNDUP(R638*Input!$C$11,0)=0,1,ROUNDUP(R638*Input!$C$11,0)),IF(ROUNDUP(R638,0)=0,1,ROUNDUP(R638,0))))</f>
        <v>1</v>
      </c>
      <c r="T638" s="11">
        <f t="shared" si="125"/>
        <v>1</v>
      </c>
      <c r="U638" s="11">
        <f>IFERROR(VLOOKUP($B638,Input!$AC$2:$AE$161,3,0),0)</f>
        <v>0</v>
      </c>
      <c r="V638" s="257">
        <f t="shared" si="126"/>
        <v>0</v>
      </c>
      <c r="W638" s="264">
        <f t="shared" si="127"/>
        <v>0</v>
      </c>
      <c r="X638" s="68"/>
      <c r="Y638" s="68"/>
      <c r="Z638" s="68"/>
      <c r="AA638" s="68"/>
      <c r="AB638" s="68"/>
      <c r="AC638" s="68"/>
      <c r="AD638" s="68"/>
      <c r="AE638" s="68"/>
      <c r="AF638" s="68"/>
      <c r="AG638" s="68"/>
      <c r="AH638" s="68"/>
      <c r="AI638" s="68"/>
      <c r="AJ638" s="68">
        <v>1</v>
      </c>
      <c r="AL638" s="68">
        <v>1</v>
      </c>
      <c r="AM638" s="68"/>
      <c r="AN638" s="68"/>
      <c r="AO638" s="68"/>
      <c r="AQ638" s="68"/>
      <c r="AR638" s="68"/>
      <c r="AS638" s="68"/>
      <c r="AT638" s="68"/>
      <c r="AU638" s="68"/>
      <c r="AV638" s="68"/>
      <c r="AW638" s="68"/>
      <c r="AX638" s="68"/>
      <c r="AY638" s="68"/>
      <c r="AZ638" s="68"/>
      <c r="BB638" s="68"/>
      <c r="BC638" s="68"/>
      <c r="BJ638" s="68"/>
      <c r="BT638">
        <v>1</v>
      </c>
      <c r="BV638">
        <v>1</v>
      </c>
      <c r="BX638" s="68"/>
      <c r="BY638" s="68">
        <v>1</v>
      </c>
      <c r="BZ638" s="68" t="s">
        <v>1057</v>
      </c>
      <c r="CA638" s="68" t="s">
        <v>1057</v>
      </c>
      <c r="CB638" s="68" t="s">
        <v>1057</v>
      </c>
      <c r="CC638" s="68" t="e">
        <f t="shared" si="128"/>
        <v>#DIV/0!</v>
      </c>
      <c r="CD638" s="68" t="str">
        <f t="shared" si="129"/>
        <v>NA</v>
      </c>
    </row>
    <row r="639" spans="1:82" ht="15.75" customHeight="1" thickBot="1" x14ac:dyDescent="0.3">
      <c r="A639" s="6">
        <v>638</v>
      </c>
      <c r="B639" s="7" t="s">
        <v>879</v>
      </c>
      <c r="C639" s="7" t="s">
        <v>16</v>
      </c>
      <c r="D639" s="7" t="s">
        <v>19</v>
      </c>
      <c r="E639" s="50">
        <v>-169.102398025952</v>
      </c>
      <c r="F639" s="50">
        <v>0</v>
      </c>
      <c r="G639" s="50">
        <v>0</v>
      </c>
      <c r="H639" s="50">
        <v>0</v>
      </c>
      <c r="I639" s="8" t="s">
        <v>1057</v>
      </c>
      <c r="J639" s="50">
        <v>2.3510017858661798</v>
      </c>
      <c r="K639" s="248">
        <f>IFERROR(VLOOKUP(C639,Schedule!$T$3:$U$34,2,0),"FA")</f>
        <v>9</v>
      </c>
      <c r="L639" s="7" t="str">
        <f>D639&amp;COUNTIF(D$2:$D639,D639)</f>
        <v>RB231</v>
      </c>
      <c r="M639" s="50">
        <f t="array" ref="M639">IFERROR(F639-AVERAGE(VLOOKUP(D639,$D640:$F$885,3,0),INDEX($F640:$F$885,SMALL(IF(D639=$D640:$D$885,ROW($D640:$D$885)-ROW(D639)),2))),0)</f>
        <v>0</v>
      </c>
      <c r="N639" s="50">
        <f>IFERROR(IF(VLOOKUP($B639,Input!$AC$2:$AC$162,1,0)=$B639,0),F639)</f>
        <v>0</v>
      </c>
      <c r="O639" s="50">
        <f>IFERROR(IF(VLOOKUP($B639,Input!$AC$2:$AC$162,1,0)=$B639,0,G639),G639)</f>
        <v>0</v>
      </c>
      <c r="P639" s="50">
        <f>IF(N639=0,0,F639-AVERAGE(INDEX(F:F,MATCH(VLOOKUP(D639,Input!$A$14:$L$22,10,0),L:L,0)),INDEX(F:F,MATCH(VLOOKUP(D639,Input!$A$14:$L$22,11,0),L:L,0)),INDEX(F:F,MATCH(VLOOKUP(D639,Input!$A$14:$L$22,12,0),L:L,0)))+(0.01-ROW()*0.01))</f>
        <v>0</v>
      </c>
      <c r="Q639" s="106">
        <f t="shared" si="124"/>
        <v>0</v>
      </c>
      <c r="R639" s="8">
        <f>IF(VLOOKUP($D639,$X$14:$Y$19,2,0)&lt;=0,1,IF(Q639&lt;0,1,ROUNDUP(IF(Q639*('Draft Center'!$L$28+'Draft Center'!$L$78-'Draft Center'!$L$82)&lt;1,1,Q639*('Draft Center'!$L$28+'Draft Center'!$L$78-'Draft Center'!$L$82)),0)))</f>
        <v>1</v>
      </c>
      <c r="S639" s="8">
        <f>IF(A639&lt;Input!$B$10+0.1,IF(ROUNDUP(R639*Input!$C$10,0)=0,1,ROUNDUP(R639*Input!$C$10,0)),IF(A639&gt;Input!$B$11,IF(ROUNDUP(R639*Input!$C$11,0)=0,1,ROUNDUP(R639*Input!$C$11,0)),IF(ROUNDUP(R639,0)=0,1,ROUNDUP(R639,0))))</f>
        <v>1</v>
      </c>
      <c r="T639" s="8">
        <f t="shared" si="125"/>
        <v>1</v>
      </c>
      <c r="U639" s="8">
        <f>IFERROR(VLOOKUP($B639,Input!$AC$2:$AE$161,3,0),0)</f>
        <v>0</v>
      </c>
      <c r="V639" s="256">
        <f t="shared" si="126"/>
        <v>0</v>
      </c>
      <c r="W639" s="263">
        <f t="shared" si="127"/>
        <v>0</v>
      </c>
      <c r="X639" s="68"/>
      <c r="Y639" s="68"/>
      <c r="Z639" s="68"/>
      <c r="AA639" s="68"/>
      <c r="AB639" s="68"/>
      <c r="AC639" s="68"/>
      <c r="AD639" s="68"/>
      <c r="AE639" s="68"/>
      <c r="AF639" s="68"/>
      <c r="AG639" s="68"/>
      <c r="AH639" s="68"/>
      <c r="AI639" s="68"/>
      <c r="AJ639" s="68">
        <v>1</v>
      </c>
      <c r="AL639" s="68">
        <v>1</v>
      </c>
      <c r="AM639" s="68"/>
      <c r="AN639" s="68"/>
      <c r="AO639" s="68"/>
      <c r="AQ639" s="68"/>
      <c r="AR639" s="68"/>
      <c r="AS639" s="68"/>
      <c r="AT639" s="68"/>
      <c r="AU639" s="68"/>
      <c r="AV639" s="68"/>
      <c r="AW639" s="68"/>
      <c r="AX639" s="68"/>
      <c r="AY639" s="68"/>
      <c r="AZ639" s="68"/>
      <c r="BB639" s="68"/>
      <c r="BC639" s="68"/>
      <c r="BJ639" s="68"/>
      <c r="BT639">
        <v>1</v>
      </c>
      <c r="BV639">
        <v>1</v>
      </c>
      <c r="BX639" s="68"/>
      <c r="BY639" s="68">
        <v>1</v>
      </c>
      <c r="BZ639" s="68" t="s">
        <v>1057</v>
      </c>
      <c r="CA639" s="68" t="s">
        <v>1057</v>
      </c>
      <c r="CB639" s="68" t="s">
        <v>1057</v>
      </c>
      <c r="CC639" s="68" t="e">
        <f t="shared" si="128"/>
        <v>#DIV/0!</v>
      </c>
      <c r="CD639" s="68" t="str">
        <f t="shared" si="129"/>
        <v>NA</v>
      </c>
    </row>
    <row r="640" spans="1:82" ht="15.75" customHeight="1" thickBot="1" x14ac:dyDescent="0.3">
      <c r="A640" s="9">
        <v>639</v>
      </c>
      <c r="B640" s="10" t="s">
        <v>800</v>
      </c>
      <c r="C640" s="10" t="s">
        <v>16</v>
      </c>
      <c r="D640" s="10" t="s">
        <v>19</v>
      </c>
      <c r="E640" s="51">
        <v>-169.102398025952</v>
      </c>
      <c r="F640" s="51">
        <v>0</v>
      </c>
      <c r="G640" s="51">
        <v>0</v>
      </c>
      <c r="H640" s="51">
        <v>0</v>
      </c>
      <c r="I640" s="11" t="s">
        <v>1057</v>
      </c>
      <c r="J640" s="51" t="s">
        <v>1057</v>
      </c>
      <c r="K640" s="249">
        <f>IFERROR(VLOOKUP(C640,Schedule!$T$3:$U$34,2,0),"FA")</f>
        <v>9</v>
      </c>
      <c r="L640" s="10" t="str">
        <f>D640&amp;COUNTIF(D$2:$D640,D640)</f>
        <v>RB232</v>
      </c>
      <c r="M640" s="51">
        <f t="array" ref="M640">IFERROR(F640-AVERAGE(VLOOKUP(D640,$D641:$F$885,3,0),INDEX($F641:$F$885,SMALL(IF(D640=$D641:$D$885,ROW($D641:$D$885)-ROW(D640)),2))),0)</f>
        <v>0</v>
      </c>
      <c r="N640" s="51">
        <f>IFERROR(IF(VLOOKUP($B640,Input!$AC$2:$AC$162,1,0)=$B640,0),F640)</f>
        <v>0</v>
      </c>
      <c r="O640" s="51">
        <f>IFERROR(IF(VLOOKUP($B640,Input!$AC$2:$AC$162,1,0)=$B640,0,G640),G640)</f>
        <v>0</v>
      </c>
      <c r="P640" s="51">
        <f>IF(N640=0,0,F640-AVERAGE(INDEX(F:F,MATCH(VLOOKUP(D640,Input!$A$14:$L$22,10,0),L:L,0)),INDEX(F:F,MATCH(VLOOKUP(D640,Input!$A$14:$L$22,11,0),L:L,0)),INDEX(F:F,MATCH(VLOOKUP(D640,Input!$A$14:$L$22,12,0),L:L,0)))+(0.01-ROW()*0.01))</f>
        <v>0</v>
      </c>
      <c r="Q640" s="107">
        <f t="shared" si="124"/>
        <v>0</v>
      </c>
      <c r="R640" s="11">
        <f>IF(VLOOKUP($D640,$X$14:$Y$19,2,0)&lt;=0,1,IF(Q640&lt;0,1,ROUNDUP(IF(Q640*('Draft Center'!$L$28+'Draft Center'!$L$78-'Draft Center'!$L$82)&lt;1,1,Q640*('Draft Center'!$L$28+'Draft Center'!$L$78-'Draft Center'!$L$82)),0)))</f>
        <v>1</v>
      </c>
      <c r="S640" s="11">
        <f>IF(A640&lt;Input!$B$10+0.1,IF(ROUNDUP(R640*Input!$C$10,0)=0,1,ROUNDUP(R640*Input!$C$10,0)),IF(A640&gt;Input!$B$11,IF(ROUNDUP(R640*Input!$C$11,0)=0,1,ROUNDUP(R640*Input!$C$11,0)),IF(ROUNDUP(R640,0)=0,1,ROUNDUP(R640,0))))</f>
        <v>1</v>
      </c>
      <c r="T640" s="11">
        <f t="shared" si="125"/>
        <v>1</v>
      </c>
      <c r="U640" s="11">
        <f>IFERROR(VLOOKUP($B640,Input!$AC$2:$AE$161,3,0),0)</f>
        <v>0</v>
      </c>
      <c r="V640" s="257">
        <f t="shared" si="126"/>
        <v>0</v>
      </c>
      <c r="W640" s="264">
        <f t="shared" si="127"/>
        <v>0</v>
      </c>
      <c r="X640" s="68"/>
      <c r="Y640" s="68"/>
      <c r="Z640" s="68"/>
      <c r="AA640" s="68"/>
      <c r="AB640" s="68"/>
      <c r="AC640" s="68"/>
      <c r="AD640" s="68"/>
      <c r="AE640" s="68"/>
      <c r="AF640" s="68"/>
      <c r="AG640" s="68"/>
      <c r="AH640" s="68"/>
      <c r="AI640" s="68"/>
      <c r="AJ640" s="68">
        <v>1</v>
      </c>
      <c r="AL640" s="68">
        <v>1</v>
      </c>
      <c r="AM640" s="68"/>
      <c r="AN640" s="68"/>
      <c r="AO640" s="68"/>
      <c r="AQ640" s="68"/>
      <c r="AR640" s="68"/>
      <c r="AS640" s="68"/>
      <c r="AT640" s="68"/>
      <c r="AU640" s="68"/>
      <c r="AV640" s="68"/>
      <c r="AW640" s="68"/>
      <c r="AX640" s="68"/>
      <c r="AY640" s="68"/>
      <c r="AZ640" s="68"/>
      <c r="BB640" s="68"/>
      <c r="BC640" s="68"/>
      <c r="BJ640" s="68"/>
      <c r="BT640">
        <v>1</v>
      </c>
      <c r="BV640">
        <v>1</v>
      </c>
      <c r="BX640" s="68"/>
      <c r="BY640" s="68">
        <v>1</v>
      </c>
      <c r="BZ640" s="68" t="s">
        <v>1057</v>
      </c>
      <c r="CA640" s="68" t="s">
        <v>1057</v>
      </c>
      <c r="CB640" s="68" t="s">
        <v>1057</v>
      </c>
      <c r="CC640" s="68" t="e">
        <f t="shared" si="128"/>
        <v>#DIV/0!</v>
      </c>
      <c r="CD640" s="68" t="str">
        <f t="shared" si="129"/>
        <v>NA</v>
      </c>
    </row>
    <row r="641" spans="1:82" ht="15.75" customHeight="1" thickBot="1" x14ac:dyDescent="0.3">
      <c r="A641" s="6">
        <v>640</v>
      </c>
      <c r="B641" s="7" t="s">
        <v>1124</v>
      </c>
      <c r="C641" s="7" t="s">
        <v>38</v>
      </c>
      <c r="D641" s="7" t="s">
        <v>19</v>
      </c>
      <c r="E641" s="50">
        <v>-169.102398025952</v>
      </c>
      <c r="F641" s="50">
        <v>0</v>
      </c>
      <c r="G641" s="50">
        <v>0</v>
      </c>
      <c r="H641" s="50">
        <v>0</v>
      </c>
      <c r="I641" s="8" t="s">
        <v>1057</v>
      </c>
      <c r="J641" s="50">
        <v>2.3510017858661798</v>
      </c>
      <c r="K641" s="248">
        <f>IFERROR(VLOOKUP(C641,Schedule!$T$3:$U$34,2,0),"FA")</f>
        <v>6</v>
      </c>
      <c r="L641" s="7" t="str">
        <f>D641&amp;COUNTIF(D$2:$D641,D641)</f>
        <v>RB233</v>
      </c>
      <c r="M641" s="50">
        <f t="array" ref="M641">IFERROR(F641-AVERAGE(VLOOKUP(D641,$D642:$F$885,3,0),INDEX($F642:$F$885,SMALL(IF(D641=$D642:$D$885,ROW($D642:$D$885)-ROW(D641)),2))),0)</f>
        <v>0</v>
      </c>
      <c r="N641" s="50">
        <f>IFERROR(IF(VLOOKUP($B641,Input!$AC$2:$AC$162,1,0)=$B641,0),F641)</f>
        <v>0</v>
      </c>
      <c r="O641" s="50">
        <f>IFERROR(IF(VLOOKUP($B641,Input!$AC$2:$AC$162,1,0)=$B641,0,G641),G641)</f>
        <v>0</v>
      </c>
      <c r="P641" s="50">
        <f>IF(N641=0,0,F641-AVERAGE(INDEX(F:F,MATCH(VLOOKUP(D641,Input!$A$14:$L$22,10,0),L:L,0)),INDEX(F:F,MATCH(VLOOKUP(D641,Input!$A$14:$L$22,11,0),L:L,0)),INDEX(F:F,MATCH(VLOOKUP(D641,Input!$A$14:$L$22,12,0),L:L,0)))+(0.01-ROW()*0.01))</f>
        <v>0</v>
      </c>
      <c r="Q641" s="106">
        <f t="shared" si="124"/>
        <v>0</v>
      </c>
      <c r="R641" s="8">
        <f>IF(VLOOKUP($D641,$X$14:$Y$19,2,0)&lt;=0,1,IF(Q641&lt;0,1,ROUNDUP(IF(Q641*('Draft Center'!$L$28+'Draft Center'!$L$78-'Draft Center'!$L$82)&lt;1,1,Q641*('Draft Center'!$L$28+'Draft Center'!$L$78-'Draft Center'!$L$82)),0)))</f>
        <v>1</v>
      </c>
      <c r="S641" s="8">
        <f>IF(A641&lt;Input!$B$10+0.1,IF(ROUNDUP(R641*Input!$C$10,0)=0,1,ROUNDUP(R641*Input!$C$10,0)),IF(A641&gt;Input!$B$11,IF(ROUNDUP(R641*Input!$C$11,0)=0,1,ROUNDUP(R641*Input!$C$11,0)),IF(ROUNDUP(R641,0)=0,1,ROUNDUP(R641,0))))</f>
        <v>1</v>
      </c>
      <c r="T641" s="8">
        <f t="shared" si="125"/>
        <v>1</v>
      </c>
      <c r="U641" s="8">
        <f>IFERROR(VLOOKUP($B641,Input!$AC$2:$AE$161,3,0),0)</f>
        <v>0</v>
      </c>
      <c r="V641" s="256">
        <f t="shared" si="126"/>
        <v>0</v>
      </c>
      <c r="W641" s="263">
        <f t="shared" si="127"/>
        <v>0</v>
      </c>
      <c r="X641" s="68"/>
      <c r="Y641" s="68"/>
      <c r="Z641" s="68"/>
      <c r="AA641" s="68"/>
      <c r="AB641" s="68"/>
      <c r="AC641" s="68"/>
      <c r="AD641" s="68"/>
      <c r="AE641" s="68"/>
      <c r="AF641" s="68"/>
      <c r="AG641" s="68"/>
      <c r="AH641" s="68"/>
      <c r="AI641" s="68"/>
      <c r="AJ641" s="68">
        <v>1</v>
      </c>
      <c r="AL641" s="68">
        <v>1</v>
      </c>
      <c r="AM641" s="68"/>
      <c r="AN641" s="68"/>
      <c r="AO641" s="68"/>
      <c r="AQ641" s="68"/>
      <c r="AR641" s="68"/>
      <c r="AS641" s="68"/>
      <c r="AT641" s="68"/>
      <c r="AU641" s="68"/>
      <c r="AV641" s="68"/>
      <c r="AW641" s="68"/>
      <c r="AX641" s="68"/>
      <c r="AY641" s="68"/>
      <c r="AZ641" s="68"/>
      <c r="BB641" s="68"/>
      <c r="BC641" s="68"/>
      <c r="BJ641" s="68"/>
      <c r="BT641">
        <v>1</v>
      </c>
      <c r="BV641">
        <v>1</v>
      </c>
      <c r="BX641" s="68"/>
      <c r="BY641" s="68">
        <v>1</v>
      </c>
      <c r="BZ641" s="68" t="s">
        <v>1057</v>
      </c>
      <c r="CA641" s="68" t="s">
        <v>1057</v>
      </c>
      <c r="CB641" s="68" t="s">
        <v>1057</v>
      </c>
      <c r="CC641" s="68" t="e">
        <f t="shared" si="128"/>
        <v>#DIV/0!</v>
      </c>
      <c r="CD641" s="68" t="str">
        <f t="shared" si="129"/>
        <v>NA</v>
      </c>
    </row>
    <row r="642" spans="1:82" ht="15.75" customHeight="1" thickBot="1" x14ac:dyDescent="0.3">
      <c r="A642" s="9">
        <v>641</v>
      </c>
      <c r="B642" s="10" t="s">
        <v>1126</v>
      </c>
      <c r="C642" s="10" t="s">
        <v>57</v>
      </c>
      <c r="D642" s="10" t="s">
        <v>19</v>
      </c>
      <c r="E642" s="51">
        <v>-169.102398025952</v>
      </c>
      <c r="F642" s="51">
        <v>0</v>
      </c>
      <c r="G642" s="51">
        <v>0</v>
      </c>
      <c r="H642" s="51">
        <v>0</v>
      </c>
      <c r="I642" s="11" t="s">
        <v>1057</v>
      </c>
      <c r="J642" s="51" t="s">
        <v>1057</v>
      </c>
      <c r="K642" s="249">
        <f>IFERROR(VLOOKUP(C642,Schedule!$T$3:$U$34,2,0),"FA")</f>
        <v>11</v>
      </c>
      <c r="L642" s="10" t="str">
        <f>D642&amp;COUNTIF(D$2:$D642,D642)</f>
        <v>RB234</v>
      </c>
      <c r="M642" s="51">
        <f t="array" ref="M642">IFERROR(F642-AVERAGE(VLOOKUP(D642,$D643:$F$885,3,0),INDEX($F643:$F$885,SMALL(IF(D642=$D643:$D$885,ROW($D643:$D$885)-ROW(D642)),2))),0)</f>
        <v>2.2489683631361751E-2</v>
      </c>
      <c r="N642" s="51">
        <f>IFERROR(IF(VLOOKUP($B642,Input!$AC$2:$AC$162,1,0)=$B642,0),F642)</f>
        <v>0</v>
      </c>
      <c r="O642" s="51">
        <f>IFERROR(IF(VLOOKUP($B642,Input!$AC$2:$AC$162,1,0)=$B642,0,G642),G642)</f>
        <v>0</v>
      </c>
      <c r="P642" s="51">
        <f>IF(N642=0,0,F642-AVERAGE(INDEX(F:F,MATCH(VLOOKUP(D642,Input!$A$14:$L$22,10,0),L:L,0)),INDEX(F:F,MATCH(VLOOKUP(D642,Input!$A$14:$L$22,11,0),L:L,0)),INDEX(F:F,MATCH(VLOOKUP(D642,Input!$A$14:$L$22,12,0),L:L,0)))+(0.01-ROW()*0.01))</f>
        <v>0</v>
      </c>
      <c r="Q642" s="107">
        <f t="shared" ref="Q642:Q705" si="130">IFERROR(P642/SUMIF(P:P,"&gt;0",P:P),0)</f>
        <v>0</v>
      </c>
      <c r="R642" s="11">
        <f>IF(VLOOKUP($D642,$X$14:$Y$19,2,0)&lt;=0,1,IF(Q642&lt;0,1,ROUNDUP(IF(Q642*('Draft Center'!$L$28+'Draft Center'!$L$78-'Draft Center'!$L$82)&lt;1,1,Q642*('Draft Center'!$L$28+'Draft Center'!$L$78-'Draft Center'!$L$82)),0)))</f>
        <v>1</v>
      </c>
      <c r="S642" s="11">
        <f>IF(A642&lt;Input!$B$10+0.1,IF(ROUNDUP(R642*Input!$C$10,0)=0,1,ROUNDUP(R642*Input!$C$10,0)),IF(A642&gt;Input!$B$11,IF(ROUNDUP(R642*Input!$C$11,0)=0,1,ROUNDUP(R642*Input!$C$11,0)),IF(ROUNDUP(R642,0)=0,1,ROUNDUP(R642,0))))</f>
        <v>1</v>
      </c>
      <c r="T642" s="11">
        <f t="shared" ref="T642:T705" si="131">IF(U642&gt;0,0,IF(AA642=1,R642,IF(AL642=0,1,AL642)))</f>
        <v>1</v>
      </c>
      <c r="U642" s="11">
        <f>IFERROR(VLOOKUP($B642,Input!$AC$2:$AE$161,3,0),0)</f>
        <v>0</v>
      </c>
      <c r="V642" s="257">
        <f t="shared" si="126"/>
        <v>0</v>
      </c>
      <c r="W642" s="264">
        <f t="shared" si="127"/>
        <v>0</v>
      </c>
      <c r="X642" s="68"/>
      <c r="Y642" s="68"/>
      <c r="Z642" s="68"/>
      <c r="AA642" s="68"/>
      <c r="AB642" s="68"/>
      <c r="AC642" s="68"/>
      <c r="AD642" s="68"/>
      <c r="AE642" s="68"/>
      <c r="AF642" s="68"/>
      <c r="AG642" s="68"/>
      <c r="AH642" s="68"/>
      <c r="AI642" s="68"/>
      <c r="AJ642" s="68">
        <v>1</v>
      </c>
      <c r="AL642" s="68">
        <v>1</v>
      </c>
      <c r="AM642" s="68"/>
      <c r="AN642" s="68"/>
      <c r="AO642" s="68"/>
      <c r="AQ642" s="68"/>
      <c r="AR642" s="68"/>
      <c r="AS642" s="68"/>
      <c r="AT642" s="68"/>
      <c r="AU642" s="68"/>
      <c r="AV642" s="68"/>
      <c r="AW642" s="68"/>
      <c r="AX642" s="68"/>
      <c r="AY642" s="68"/>
      <c r="AZ642" s="68"/>
      <c r="BB642" s="68"/>
      <c r="BC642" s="68"/>
      <c r="BJ642" s="68"/>
      <c r="BT642">
        <v>1</v>
      </c>
      <c r="BV642">
        <v>1</v>
      </c>
      <c r="BX642" s="68"/>
      <c r="BY642" s="68">
        <v>1</v>
      </c>
      <c r="BZ642" s="68" t="s">
        <v>1057</v>
      </c>
      <c r="CA642" s="68" t="s">
        <v>1057</v>
      </c>
      <c r="CB642" s="68" t="s">
        <v>1057</v>
      </c>
      <c r="CC642" s="68" t="e">
        <f t="shared" si="128"/>
        <v>#DIV/0!</v>
      </c>
      <c r="CD642" s="68" t="str">
        <f t="shared" si="129"/>
        <v>NA</v>
      </c>
    </row>
    <row r="643" spans="1:82" ht="15.75" customHeight="1" thickBot="1" x14ac:dyDescent="0.3">
      <c r="A643" s="6">
        <v>642</v>
      </c>
      <c r="B643" s="7" t="s">
        <v>422</v>
      </c>
      <c r="C643" s="7" t="s">
        <v>83</v>
      </c>
      <c r="D643" s="7" t="s">
        <v>19</v>
      </c>
      <c r="E643" s="50">
        <v>-169.102398025952</v>
      </c>
      <c r="F643" s="50">
        <v>0</v>
      </c>
      <c r="G643" s="50">
        <v>0</v>
      </c>
      <c r="H643" s="50">
        <v>0</v>
      </c>
      <c r="I643" s="8">
        <v>0</v>
      </c>
      <c r="J643" s="50" t="s">
        <v>1057</v>
      </c>
      <c r="K643" s="248">
        <f>IFERROR(VLOOKUP(C643,Schedule!$T$3:$U$34,2,0),"FA")</f>
        <v>5</v>
      </c>
      <c r="L643" s="7" t="str">
        <f>D643&amp;COUNTIF(D$2:$D643,D643)</f>
        <v>RB235</v>
      </c>
      <c r="M643" s="50">
        <f t="array" ref="M643">IFERROR(F643-AVERAGE(VLOOKUP(D643,$D644:$F$885,3,0),INDEX($F644:$F$885,SMALL(IF(D643=$D644:$D$885,ROW($D644:$D$885)-ROW(D643)),2))),0)</f>
        <v>0</v>
      </c>
      <c r="N643" s="50">
        <f>IFERROR(IF(VLOOKUP($B643,Input!$AC$2:$AC$162,1,0)=$B643,0),F643)</f>
        <v>0</v>
      </c>
      <c r="O643" s="50">
        <f>IFERROR(IF(VLOOKUP($B643,Input!$AC$2:$AC$162,1,0)=$B643,0,G643),G643)</f>
        <v>0</v>
      </c>
      <c r="P643" s="50">
        <f>IF(N643=0,0,F643-AVERAGE(INDEX(F:F,MATCH(VLOOKUP(D643,Input!$A$14:$L$22,10,0),L:L,0)),INDEX(F:F,MATCH(VLOOKUP(D643,Input!$A$14:$L$22,11,0),L:L,0)),INDEX(F:F,MATCH(VLOOKUP(D643,Input!$A$14:$L$22,12,0),L:L,0)))+(0.01-ROW()*0.01))</f>
        <v>0</v>
      </c>
      <c r="Q643" s="106">
        <f t="shared" si="130"/>
        <v>0</v>
      </c>
      <c r="R643" s="8">
        <f>IF(VLOOKUP($D643,$X$14:$Y$19,2,0)&lt;=0,1,IF(Q643&lt;0,1,ROUNDUP(IF(Q643*('Draft Center'!$L$28+'Draft Center'!$L$78-'Draft Center'!$L$82)&lt;1,1,Q643*('Draft Center'!$L$28+'Draft Center'!$L$78-'Draft Center'!$L$82)),0)))</f>
        <v>1</v>
      </c>
      <c r="S643" s="8">
        <f>IF(A643&lt;Input!$B$10+0.1,IF(ROUNDUP(R643*Input!$C$10,0)=0,1,ROUNDUP(R643*Input!$C$10,0)),IF(A643&gt;Input!$B$11,IF(ROUNDUP(R643*Input!$C$11,0)=0,1,ROUNDUP(R643*Input!$C$11,0)),IF(ROUNDUP(R643,0)=0,1,ROUNDUP(R643,0))))</f>
        <v>1</v>
      </c>
      <c r="T643" s="8">
        <f t="shared" si="131"/>
        <v>1</v>
      </c>
      <c r="U643" s="8">
        <f>IFERROR(VLOOKUP($B643,Input!$AC$2:$AE$161,3,0),0)</f>
        <v>0</v>
      </c>
      <c r="V643" s="256">
        <f t="shared" ref="V643:V706" si="132">IF(R643=0,0,IFERROR(((R643-CD643)/CD643)+(ROW()*0.00001),0))</f>
        <v>0</v>
      </c>
      <c r="W643" s="263">
        <f t="shared" ref="W643:W706" si="133">IF(R643=0,0,IFERROR(((R643-CD643))+(ROW()*0.00001),0))</f>
        <v>1.0064299999999999</v>
      </c>
      <c r="X643" s="68"/>
      <c r="Y643" s="68"/>
      <c r="Z643" s="68"/>
      <c r="AA643" s="68"/>
      <c r="AB643" s="68"/>
      <c r="AC643" s="68"/>
      <c r="AD643" s="68"/>
      <c r="AE643" s="68"/>
      <c r="AF643" s="68"/>
      <c r="AG643" s="68"/>
      <c r="AH643" s="68"/>
      <c r="AI643" s="68"/>
      <c r="AJ643" s="68">
        <v>1</v>
      </c>
      <c r="AL643" s="68">
        <v>1</v>
      </c>
      <c r="AM643" s="68"/>
      <c r="AN643" s="68"/>
      <c r="AO643" s="68"/>
      <c r="AQ643" s="68"/>
      <c r="AR643" s="68"/>
      <c r="AS643" s="68"/>
      <c r="AT643" s="68"/>
      <c r="AU643" s="68"/>
      <c r="AV643" s="68"/>
      <c r="AW643" s="68"/>
      <c r="AX643" s="68"/>
      <c r="AY643" s="68"/>
      <c r="AZ643" s="68"/>
      <c r="BB643" s="68"/>
      <c r="BC643" s="68"/>
      <c r="BJ643" s="68"/>
      <c r="BT643">
        <v>1</v>
      </c>
      <c r="BV643">
        <v>1</v>
      </c>
      <c r="BX643" s="68"/>
      <c r="BY643" s="68">
        <v>1</v>
      </c>
      <c r="BZ643" s="68">
        <v>0</v>
      </c>
      <c r="CA643" s="68">
        <v>0</v>
      </c>
      <c r="CB643" s="68">
        <v>0</v>
      </c>
      <c r="CC643" s="68">
        <f t="shared" ref="CC643:CC706" si="134">AVERAGE(BZ643:CB643)</f>
        <v>0</v>
      </c>
      <c r="CD643" s="68">
        <f t="shared" ref="CD643:CD706" si="135">IFERROR(HLOOKUP($CD$1,$BZ$1:$CC$930,ROW(),0),"")</f>
        <v>0</v>
      </c>
    </row>
    <row r="644" spans="1:82" ht="15.75" customHeight="1" thickBot="1" x14ac:dyDescent="0.3">
      <c r="A644" s="9">
        <v>643</v>
      </c>
      <c r="B644" s="10" t="s">
        <v>1002</v>
      </c>
      <c r="C644" s="10" t="s">
        <v>925</v>
      </c>
      <c r="D644" s="10" t="s">
        <v>19</v>
      </c>
      <c r="E644" s="51">
        <v>-169.14737739321501</v>
      </c>
      <c r="F644" s="51">
        <v>-4.4979367262723502E-2</v>
      </c>
      <c r="G644" s="51">
        <v>-1.4485596707818901E-2</v>
      </c>
      <c r="H644" s="51">
        <v>-0.1</v>
      </c>
      <c r="I644" s="11" t="s">
        <v>1057</v>
      </c>
      <c r="J644" s="51">
        <v>2.3610573481988801</v>
      </c>
      <c r="K644" s="249">
        <f>IFERROR(VLOOKUP(C644,Schedule!$T$3:$U$34,2,0),"FA")</f>
        <v>8</v>
      </c>
      <c r="L644" s="10" t="str">
        <f>D644&amp;COUNTIF(D$2:$D644,D644)</f>
        <v>RB236</v>
      </c>
      <c r="M644" s="51">
        <f t="array" ref="M644">IFERROR(F644-AVERAGE(VLOOKUP(D644,$D645:$F$885,3,0),INDEX($F645:$F$885,SMALL(IF(D644=$D645:$D$885,ROW($D645:$D$885)-ROW(D644)),2))),0)</f>
        <v>0</v>
      </c>
      <c r="N644" s="51">
        <f>IFERROR(IF(VLOOKUP($B644,Input!$AC$2:$AC$162,1,0)=$B644,0),F644)</f>
        <v>-4.4979367262723502E-2</v>
      </c>
      <c r="O644" s="51">
        <f>IFERROR(IF(VLOOKUP($B644,Input!$AC$2:$AC$162,1,0)=$B644,0,G644),G644)</f>
        <v>-1.4485596707818901E-2</v>
      </c>
      <c r="P644" s="51">
        <f>IF(N644=0,0,F644-AVERAGE(INDEX(F:F,MATCH(VLOOKUP(D644,Input!$A$14:$L$22,10,0),L:L,0)),INDEX(F:F,MATCH(VLOOKUP(D644,Input!$A$14:$L$22,11,0),L:L,0)),INDEX(F:F,MATCH(VLOOKUP(D644,Input!$A$14:$L$22,12,0),L:L,0)))+(0.01-ROW()*0.01))</f>
        <v>-175.57737739321473</v>
      </c>
      <c r="Q644" s="107">
        <f t="shared" si="130"/>
        <v>-6.0572955787523017E-2</v>
      </c>
      <c r="R644" s="11">
        <f>IF(VLOOKUP($D644,$X$14:$Y$19,2,0)&lt;=0,1,IF(Q644&lt;0,1,ROUNDUP(IF(Q644*('Draft Center'!$L$28+'Draft Center'!$L$78-'Draft Center'!$L$82)&lt;1,1,Q644*('Draft Center'!$L$28+'Draft Center'!$L$78-'Draft Center'!$L$82)),0)))</f>
        <v>1</v>
      </c>
      <c r="S644" s="11">
        <f>IF(A644&lt;Input!$B$10+0.1,IF(ROUNDUP(R644*Input!$C$10,0)=0,1,ROUNDUP(R644*Input!$C$10,0)),IF(A644&gt;Input!$B$11,IF(ROUNDUP(R644*Input!$C$11,0)=0,1,ROUNDUP(R644*Input!$C$11,0)),IF(ROUNDUP(R644,0)=0,1,ROUNDUP(R644,0))))</f>
        <v>1</v>
      </c>
      <c r="T644" s="11">
        <f t="shared" si="131"/>
        <v>1</v>
      </c>
      <c r="U644" s="11">
        <f>IFERROR(VLOOKUP($B644,Input!$AC$2:$AE$161,3,0),0)</f>
        <v>0</v>
      </c>
      <c r="V644" s="257">
        <f t="shared" si="132"/>
        <v>0</v>
      </c>
      <c r="W644" s="264">
        <f t="shared" si="133"/>
        <v>0</v>
      </c>
      <c r="X644" s="68"/>
      <c r="Y644" s="68"/>
      <c r="Z644" s="68"/>
      <c r="AA644" s="68"/>
      <c r="AB644" s="68"/>
      <c r="AC644" s="68"/>
      <c r="AD644" s="68"/>
      <c r="AE644" s="68"/>
      <c r="AF644" s="68"/>
      <c r="AG644" s="68"/>
      <c r="AH644" s="68"/>
      <c r="AI644" s="68"/>
      <c r="AJ644" s="68">
        <v>1</v>
      </c>
      <c r="AL644" s="68">
        <v>1</v>
      </c>
      <c r="AM644" s="68"/>
      <c r="AN644" s="68"/>
      <c r="AO644" s="68"/>
      <c r="AQ644" s="68"/>
      <c r="AR644" s="68"/>
      <c r="AS644" s="68"/>
      <c r="AT644" s="68"/>
      <c r="AU644" s="68"/>
      <c r="AV644" s="68"/>
      <c r="AW644" s="68"/>
      <c r="AX644" s="68"/>
      <c r="AY644" s="68"/>
      <c r="AZ644" s="68"/>
      <c r="BB644" s="68"/>
      <c r="BC644" s="68"/>
      <c r="BJ644" s="68"/>
      <c r="BT644">
        <v>1</v>
      </c>
      <c r="BV644">
        <v>1</v>
      </c>
      <c r="BX644" s="68"/>
      <c r="BY644" s="68">
        <v>1</v>
      </c>
      <c r="BZ644" s="68" t="s">
        <v>1057</v>
      </c>
      <c r="CA644" s="68" t="s">
        <v>1057</v>
      </c>
      <c r="CB644" s="68" t="s">
        <v>1057</v>
      </c>
      <c r="CC644" s="68" t="e">
        <f t="shared" si="134"/>
        <v>#DIV/0!</v>
      </c>
      <c r="CD644" s="68" t="str">
        <f t="shared" si="135"/>
        <v>NA</v>
      </c>
    </row>
    <row r="645" spans="1:82" ht="15.75" customHeight="1" thickBot="1" x14ac:dyDescent="0.3">
      <c r="A645" s="6">
        <v>644</v>
      </c>
      <c r="B645" s="7" t="s">
        <v>503</v>
      </c>
      <c r="C645" s="7" t="s">
        <v>16</v>
      </c>
      <c r="D645" s="7" t="s">
        <v>17</v>
      </c>
      <c r="E645" s="50">
        <v>-170.158475937861</v>
      </c>
      <c r="F645" s="50">
        <v>42.6194403314881</v>
      </c>
      <c r="G645" s="50">
        <v>60.740979668113702</v>
      </c>
      <c r="H645" s="50">
        <v>9.60932279051538</v>
      </c>
      <c r="I645" s="8">
        <v>0</v>
      </c>
      <c r="J645" s="50">
        <v>7.0860346988982199</v>
      </c>
      <c r="K645" s="248">
        <f>IFERROR(VLOOKUP(C645,Schedule!$T$3:$U$34,2,0),"FA")</f>
        <v>9</v>
      </c>
      <c r="L645" s="7" t="str">
        <f>D645&amp;COUNTIF(D$2:$D645,D645)</f>
        <v>WR135</v>
      </c>
      <c r="M645" s="50">
        <f t="array" ref="M645">IFERROR(F645-AVERAGE(VLOOKUP(D645,$D646:$F$885,3,0),INDEX($F646:$F$885,SMALL(IF(D645=$D646:$D$885,ROW($D646:$D$885)-ROW(D645)),2))),0)</f>
        <v>0.53053142853934787</v>
      </c>
      <c r="N645" s="50">
        <f>IFERROR(IF(VLOOKUP($B645,Input!$AC$2:$AC$162,1,0)=$B645,0),F645)</f>
        <v>42.6194403314881</v>
      </c>
      <c r="O645" s="50">
        <f>IFERROR(IF(VLOOKUP($B645,Input!$AC$2:$AC$162,1,0)=$B645,0,G645),G645)</f>
        <v>60.740979668113702</v>
      </c>
      <c r="P645" s="50">
        <f>IF(N645=0,0,F645-AVERAGE(INDEX(F:F,MATCH(VLOOKUP(D645,Input!$A$14:$L$22,10,0),L:L,0)),INDEX(F:F,MATCH(VLOOKUP(D645,Input!$A$14:$L$22,11,0),L:L,0)),INDEX(F:F,MATCH(VLOOKUP(D645,Input!$A$14:$L$22,12,0),L:L,0)))+(0.01-ROW()*0.01))</f>
        <v>-176.59847593786091</v>
      </c>
      <c r="Q645" s="106">
        <f t="shared" si="130"/>
        <v>-6.0925227577419042E-2</v>
      </c>
      <c r="R645" s="8">
        <f>IF(VLOOKUP($D645,$X$14:$Y$19,2,0)&lt;=0,1,IF(Q645&lt;0,1,ROUNDUP(IF(Q645*('Draft Center'!$L$28+'Draft Center'!$L$78-'Draft Center'!$L$82)&lt;1,1,Q645*('Draft Center'!$L$28+'Draft Center'!$L$78-'Draft Center'!$L$82)),0)))</f>
        <v>1</v>
      </c>
      <c r="S645" s="8">
        <f>IF(A645&lt;Input!$B$10+0.1,IF(ROUNDUP(R645*Input!$C$10,0)=0,1,ROUNDUP(R645*Input!$C$10,0)),IF(A645&gt;Input!$B$11,IF(ROUNDUP(R645*Input!$C$11,0)=0,1,ROUNDUP(R645*Input!$C$11,0)),IF(ROUNDUP(R645,0)=0,1,ROUNDUP(R645,0))))</f>
        <v>1</v>
      </c>
      <c r="T645" s="8">
        <f t="shared" si="131"/>
        <v>1</v>
      </c>
      <c r="U645" s="8">
        <f>IFERROR(VLOOKUP($B645,Input!$AC$2:$AE$161,3,0),0)</f>
        <v>0</v>
      </c>
      <c r="V645" s="256">
        <f t="shared" si="132"/>
        <v>0</v>
      </c>
      <c r="W645" s="263">
        <f t="shared" si="133"/>
        <v>1.0064500000000001</v>
      </c>
      <c r="X645" s="68"/>
      <c r="Y645" s="68"/>
      <c r="Z645" s="68"/>
      <c r="AA645" s="68"/>
      <c r="AB645" s="68"/>
      <c r="AC645" s="68"/>
      <c r="AD645" s="68"/>
      <c r="AE645" s="68"/>
      <c r="AF645" s="68"/>
      <c r="AG645" s="68"/>
      <c r="AH645" s="68"/>
      <c r="AI645" s="68"/>
      <c r="AJ645" s="68">
        <v>1</v>
      </c>
      <c r="AL645" s="68">
        <v>1</v>
      </c>
      <c r="AM645" s="68"/>
      <c r="AN645" s="68"/>
      <c r="AO645" s="68"/>
      <c r="AQ645" s="68"/>
      <c r="AR645" s="68"/>
      <c r="AS645" s="68"/>
      <c r="AT645" s="68"/>
      <c r="AU645" s="68"/>
      <c r="AV645" s="68"/>
      <c r="AW645" s="68"/>
      <c r="AX645" s="68"/>
      <c r="AY645" s="68"/>
      <c r="AZ645" s="68"/>
      <c r="BB645" s="68"/>
      <c r="BC645" s="68"/>
      <c r="BJ645" s="68"/>
      <c r="BT645">
        <v>1</v>
      </c>
      <c r="BV645">
        <v>1</v>
      </c>
      <c r="BX645" s="68"/>
      <c r="BY645" s="68">
        <v>1</v>
      </c>
      <c r="BZ645" s="68">
        <v>0</v>
      </c>
      <c r="CA645" s="68">
        <v>0</v>
      </c>
      <c r="CB645" s="68">
        <v>0</v>
      </c>
      <c r="CC645" s="68">
        <f t="shared" si="134"/>
        <v>0</v>
      </c>
      <c r="CD645" s="68">
        <f t="shared" si="135"/>
        <v>0</v>
      </c>
    </row>
    <row r="646" spans="1:82" ht="15.75" customHeight="1" thickBot="1" x14ac:dyDescent="0.3">
      <c r="A646" s="9">
        <v>645</v>
      </c>
      <c r="B646" s="10" t="s">
        <v>510</v>
      </c>
      <c r="C646" s="10" t="s">
        <v>21</v>
      </c>
      <c r="D646" s="10" t="s">
        <v>17</v>
      </c>
      <c r="E646" s="51">
        <v>-170.322276335411</v>
      </c>
      <c r="F646" s="51">
        <v>42.455639933938002</v>
      </c>
      <c r="G646" s="51">
        <v>55.572641655424398</v>
      </c>
      <c r="H646" s="51">
        <v>-1.16442682735646</v>
      </c>
      <c r="I646" s="11">
        <v>0</v>
      </c>
      <c r="J646" s="51">
        <v>5.1363040263905297</v>
      </c>
      <c r="K646" s="249">
        <f>IFERROR(VLOOKUP(C646,Schedule!$T$3:$U$34,2,0),"FA")</f>
        <v>5</v>
      </c>
      <c r="L646" s="10" t="str">
        <f>D646&amp;COUNTIF(D$2:$D646,D646)</f>
        <v>WR136</v>
      </c>
      <c r="M646" s="51">
        <f t="array" ref="M646">IFERROR(F646-AVERAGE(VLOOKUP(D646,$D647:$F$885,3,0),INDEX($F647:$F$885,SMALL(IF(D646=$D647:$D$885,ROW($D647:$D$885)-ROW(D646)),2))),0)</f>
        <v>1.0427217296655513</v>
      </c>
      <c r="N646" s="51">
        <f>IFERROR(IF(VLOOKUP($B646,Input!$AC$2:$AC$162,1,0)=$B646,0),F646)</f>
        <v>42.455639933938002</v>
      </c>
      <c r="O646" s="51">
        <f>IFERROR(IF(VLOOKUP($B646,Input!$AC$2:$AC$162,1,0)=$B646,0,G646),G646)</f>
        <v>55.572641655424398</v>
      </c>
      <c r="P646" s="51">
        <f>IF(N646=0,0,F646-AVERAGE(INDEX(F:F,MATCH(VLOOKUP(D646,Input!$A$14:$L$22,10,0),L:L,0)),INDEX(F:F,MATCH(VLOOKUP(D646,Input!$A$14:$L$22,11,0),L:L,0)),INDEX(F:F,MATCH(VLOOKUP(D646,Input!$A$14:$L$22,12,0),L:L,0)))+(0.01-ROW()*0.01))</f>
        <v>-176.77227633541099</v>
      </c>
      <c r="Q646" s="107">
        <f t="shared" si="130"/>
        <v>-6.0985187487704505E-2</v>
      </c>
      <c r="R646" s="11">
        <f>IF(VLOOKUP($D646,$X$14:$Y$19,2,0)&lt;=0,1,IF(Q646&lt;0,1,ROUNDUP(IF(Q646*('Draft Center'!$L$28+'Draft Center'!$L$78-'Draft Center'!$L$82)&lt;1,1,Q646*('Draft Center'!$L$28+'Draft Center'!$L$78-'Draft Center'!$L$82)),0)))</f>
        <v>1</v>
      </c>
      <c r="S646" s="11">
        <f>IF(A646&lt;Input!$B$10+0.1,IF(ROUNDUP(R646*Input!$C$10,0)=0,1,ROUNDUP(R646*Input!$C$10,0)),IF(A646&gt;Input!$B$11,IF(ROUNDUP(R646*Input!$C$11,0)=0,1,ROUNDUP(R646*Input!$C$11,0)),IF(ROUNDUP(R646,0)=0,1,ROUNDUP(R646,0))))</f>
        <v>1</v>
      </c>
      <c r="T646" s="11">
        <f t="shared" si="131"/>
        <v>1</v>
      </c>
      <c r="U646" s="11">
        <f>IFERROR(VLOOKUP($B646,Input!$AC$2:$AE$161,3,0),0)</f>
        <v>0</v>
      </c>
      <c r="V646" s="257">
        <f t="shared" si="132"/>
        <v>0</v>
      </c>
      <c r="W646" s="264">
        <f t="shared" si="133"/>
        <v>1.0064599999999999</v>
      </c>
      <c r="X646" s="68"/>
      <c r="Y646" s="68"/>
      <c r="Z646" s="68"/>
      <c r="AA646" s="68"/>
      <c r="AB646" s="68"/>
      <c r="AC646" s="68"/>
      <c r="AD646" s="68"/>
      <c r="AE646" s="68"/>
      <c r="AF646" s="68"/>
      <c r="AG646" s="68"/>
      <c r="AH646" s="68"/>
      <c r="AI646" s="68"/>
      <c r="AJ646" s="68">
        <v>1</v>
      </c>
      <c r="AL646" s="68">
        <v>1</v>
      </c>
      <c r="AM646" s="68"/>
      <c r="AN646" s="68"/>
      <c r="AO646" s="68"/>
      <c r="AQ646" s="68"/>
      <c r="AR646" s="68"/>
      <c r="AS646" s="68"/>
      <c r="AT646" s="68"/>
      <c r="AU646" s="68"/>
      <c r="AV646" s="68"/>
      <c r="AW646" s="68"/>
      <c r="AX646" s="68"/>
      <c r="AY646" s="68"/>
      <c r="AZ646" s="68"/>
      <c r="BB646" s="68"/>
      <c r="BC646" s="68"/>
      <c r="BJ646" s="68"/>
      <c r="BT646">
        <v>1</v>
      </c>
      <c r="BV646">
        <v>1</v>
      </c>
      <c r="BX646" s="68"/>
      <c r="BY646" s="68">
        <v>1</v>
      </c>
      <c r="BZ646" s="68">
        <v>0</v>
      </c>
      <c r="CA646" s="68">
        <v>0</v>
      </c>
      <c r="CB646" s="68">
        <v>0</v>
      </c>
      <c r="CC646" s="68">
        <f t="shared" si="134"/>
        <v>0</v>
      </c>
      <c r="CD646" s="68">
        <f t="shared" si="135"/>
        <v>0</v>
      </c>
    </row>
    <row r="647" spans="1:82" ht="15.75" customHeight="1" thickBot="1" x14ac:dyDescent="0.3">
      <c r="A647" s="6">
        <v>646</v>
      </c>
      <c r="B647" s="7" t="s">
        <v>890</v>
      </c>
      <c r="C647" s="7" t="s">
        <v>27</v>
      </c>
      <c r="D647" s="7" t="s">
        <v>17</v>
      </c>
      <c r="E647" s="50">
        <v>-171.05573839739</v>
      </c>
      <c r="F647" s="50">
        <v>41.722177871959502</v>
      </c>
      <c r="G647" s="50">
        <v>70.628313659762298</v>
      </c>
      <c r="H647" s="50">
        <v>-0.311988986870468</v>
      </c>
      <c r="I647" s="8" t="s">
        <v>1057</v>
      </c>
      <c r="J647" s="50">
        <v>5.6693879792618098</v>
      </c>
      <c r="K647" s="248">
        <f>IFERROR(VLOOKUP(C647,Schedule!$T$3:$U$34,2,0),"FA")</f>
        <v>8</v>
      </c>
      <c r="L647" s="7" t="str">
        <f>D647&amp;COUNTIF(D$2:$D647,D647)</f>
        <v>WR137</v>
      </c>
      <c r="M647" s="50">
        <f t="array" ref="M647">IFERROR(F647-AVERAGE(VLOOKUP(D647,$D648:$F$885,3,0),INDEX($F648:$F$885,SMALL(IF(D647=$D648:$D$885,ROW($D648:$D$885)-ROW(D647)),2))),0)</f>
        <v>1.0844348381523474</v>
      </c>
      <c r="N647" s="50">
        <f>IFERROR(IF(VLOOKUP($B647,Input!$AC$2:$AC$162,1,0)=$B647,0),F647)</f>
        <v>41.722177871959502</v>
      </c>
      <c r="O647" s="50">
        <f>IFERROR(IF(VLOOKUP($B647,Input!$AC$2:$AC$162,1,0)=$B647,0,G647),G647)</f>
        <v>70.628313659762298</v>
      </c>
      <c r="P647" s="50">
        <f>IF(N647=0,0,F647-AVERAGE(INDEX(F:F,MATCH(VLOOKUP(D647,Input!$A$14:$L$22,10,0),L:L,0)),INDEX(F:F,MATCH(VLOOKUP(D647,Input!$A$14:$L$22,11,0),L:L,0)),INDEX(F:F,MATCH(VLOOKUP(D647,Input!$A$14:$L$22,12,0),L:L,0)))+(0.01-ROW()*0.01))</f>
        <v>-177.51573839738953</v>
      </c>
      <c r="Q647" s="106">
        <f t="shared" si="130"/>
        <v>-6.1241676650935779E-2</v>
      </c>
      <c r="R647" s="8">
        <f>IF(VLOOKUP($D647,$X$14:$Y$19,2,0)&lt;=0,1,IF(Q647&lt;0,1,ROUNDUP(IF(Q647*('Draft Center'!$L$28+'Draft Center'!$L$78-'Draft Center'!$L$82)&lt;1,1,Q647*('Draft Center'!$L$28+'Draft Center'!$L$78-'Draft Center'!$L$82)),0)))</f>
        <v>1</v>
      </c>
      <c r="S647" s="8">
        <f>IF(A647&lt;Input!$B$10+0.1,IF(ROUNDUP(R647*Input!$C$10,0)=0,1,ROUNDUP(R647*Input!$C$10,0)),IF(A647&gt;Input!$B$11,IF(ROUNDUP(R647*Input!$C$11,0)=0,1,ROUNDUP(R647*Input!$C$11,0)),IF(ROUNDUP(R647,0)=0,1,ROUNDUP(R647,0))))</f>
        <v>1</v>
      </c>
      <c r="T647" s="8">
        <f t="shared" si="131"/>
        <v>1</v>
      </c>
      <c r="U647" s="8">
        <f>IFERROR(VLOOKUP($B647,Input!$AC$2:$AE$161,3,0),0)</f>
        <v>0</v>
      </c>
      <c r="V647" s="256">
        <f t="shared" si="132"/>
        <v>0</v>
      </c>
      <c r="W647" s="263">
        <f t="shared" si="133"/>
        <v>0</v>
      </c>
      <c r="X647" s="68"/>
      <c r="Y647" s="68"/>
      <c r="Z647" s="68"/>
      <c r="AA647" s="68"/>
      <c r="AB647" s="68"/>
      <c r="AC647" s="68"/>
      <c r="AD647" s="68"/>
      <c r="AE647" s="68"/>
      <c r="AF647" s="68"/>
      <c r="AG647" s="68"/>
      <c r="AH647" s="68"/>
      <c r="AI647" s="68"/>
      <c r="AJ647" s="68">
        <v>1</v>
      </c>
      <c r="AL647" s="68">
        <v>1</v>
      </c>
      <c r="AM647" s="68"/>
      <c r="AN647" s="68"/>
      <c r="AO647" s="68"/>
      <c r="AQ647" s="68"/>
      <c r="AR647" s="68"/>
      <c r="AS647" s="68"/>
      <c r="AT647" s="68"/>
      <c r="AU647" s="68"/>
      <c r="AV647" s="68"/>
      <c r="AW647" s="68"/>
      <c r="AX647" s="68"/>
      <c r="AY647" s="68"/>
      <c r="AZ647" s="68"/>
      <c r="BB647" s="68"/>
      <c r="BC647" s="68"/>
      <c r="BJ647" s="68"/>
      <c r="BT647">
        <v>1</v>
      </c>
      <c r="BV647">
        <v>1</v>
      </c>
      <c r="BX647" s="68"/>
      <c r="BY647" s="68">
        <v>1</v>
      </c>
      <c r="BZ647" s="68" t="s">
        <v>1057</v>
      </c>
      <c r="CA647" s="68" t="s">
        <v>1057</v>
      </c>
      <c r="CB647" s="68" t="s">
        <v>1057</v>
      </c>
      <c r="CC647" s="68" t="e">
        <f t="shared" si="134"/>
        <v>#DIV/0!</v>
      </c>
      <c r="CD647" s="68" t="str">
        <f t="shared" si="135"/>
        <v>NA</v>
      </c>
    </row>
    <row r="648" spans="1:82" ht="15.75" customHeight="1" thickBot="1" x14ac:dyDescent="0.3">
      <c r="A648" s="9">
        <v>647</v>
      </c>
      <c r="B648" s="10" t="s">
        <v>946</v>
      </c>
      <c r="C648" s="10" t="s">
        <v>68</v>
      </c>
      <c r="D648" s="10" t="s">
        <v>17</v>
      </c>
      <c r="E648" s="51">
        <v>-171.674257732764</v>
      </c>
      <c r="F648" s="51">
        <v>41.103658536585399</v>
      </c>
      <c r="G648" s="51">
        <v>66.821702127659606</v>
      </c>
      <c r="H648" s="51">
        <v>3.49</v>
      </c>
      <c r="I648" s="11">
        <v>0</v>
      </c>
      <c r="J648" s="51">
        <v>6.98758715605367</v>
      </c>
      <c r="K648" s="249">
        <f>IFERROR(VLOOKUP(C648,Schedule!$T$3:$U$34,2,0),"FA")</f>
        <v>8</v>
      </c>
      <c r="L648" s="10" t="str">
        <f>D648&amp;COUNTIF(D$2:$D648,D648)</f>
        <v>WR138</v>
      </c>
      <c r="M648" s="51">
        <f t="array" ref="M648">IFERROR(F648-AVERAGE(VLOOKUP(D648,$D649:$F$885,3,0),INDEX($F649:$F$885,SMALL(IF(D648=$D649:$D$885,ROW($D649:$D$885)-ROW(D648)),2))),0)</f>
        <v>1.1845081552635435</v>
      </c>
      <c r="N648" s="51">
        <f>IFERROR(IF(VLOOKUP($B648,Input!$AC$2:$AC$162,1,0)=$B648,0),F648)</f>
        <v>41.103658536585399</v>
      </c>
      <c r="O648" s="51">
        <f>IFERROR(IF(VLOOKUP($B648,Input!$AC$2:$AC$162,1,0)=$B648,0,G648),G648)</f>
        <v>66.821702127659606</v>
      </c>
      <c r="P648" s="51">
        <f>IF(N648=0,0,F648-AVERAGE(INDEX(F:F,MATCH(VLOOKUP(D648,Input!$A$14:$L$22,10,0),L:L,0)),INDEX(F:F,MATCH(VLOOKUP(D648,Input!$A$14:$L$22,11,0),L:L,0)),INDEX(F:F,MATCH(VLOOKUP(D648,Input!$A$14:$L$22,12,0),L:L,0)))+(0.01-ROW()*0.01))</f>
        <v>-178.14425773276363</v>
      </c>
      <c r="Q648" s="107">
        <f t="shared" si="130"/>
        <v>-6.145851138487736E-2</v>
      </c>
      <c r="R648" s="11">
        <f>IF(VLOOKUP($D648,$X$14:$Y$19,2,0)&lt;=0,1,IF(Q648&lt;0,1,ROUNDUP(IF(Q648*('Draft Center'!$L$28+'Draft Center'!$L$78-'Draft Center'!$L$82)&lt;1,1,Q648*('Draft Center'!$L$28+'Draft Center'!$L$78-'Draft Center'!$L$82)),0)))</f>
        <v>1</v>
      </c>
      <c r="S648" s="11">
        <f>IF(A648&lt;Input!$B$10+0.1,IF(ROUNDUP(R648*Input!$C$10,0)=0,1,ROUNDUP(R648*Input!$C$10,0)),IF(A648&gt;Input!$B$11,IF(ROUNDUP(R648*Input!$C$11,0)=0,1,ROUNDUP(R648*Input!$C$11,0)),IF(ROUNDUP(R648,0)=0,1,ROUNDUP(R648,0))))</f>
        <v>1</v>
      </c>
      <c r="T648" s="11">
        <f t="shared" si="131"/>
        <v>1</v>
      </c>
      <c r="U648" s="11">
        <f>IFERROR(VLOOKUP($B648,Input!$AC$2:$AE$161,3,0),0)</f>
        <v>0</v>
      </c>
      <c r="V648" s="257">
        <f t="shared" si="132"/>
        <v>0</v>
      </c>
      <c r="W648" s="264">
        <f t="shared" si="133"/>
        <v>1.00648</v>
      </c>
      <c r="X648" s="68"/>
      <c r="Y648" s="68"/>
      <c r="Z648" s="68"/>
      <c r="AA648" s="68"/>
      <c r="AB648" s="68"/>
      <c r="AC648" s="68"/>
      <c r="AD648" s="68"/>
      <c r="AE648" s="68"/>
      <c r="AF648" s="68"/>
      <c r="AG648" s="68"/>
      <c r="AH648" s="68"/>
      <c r="AI648" s="68"/>
      <c r="AJ648" s="68">
        <v>1</v>
      </c>
      <c r="AL648" s="68">
        <v>1</v>
      </c>
      <c r="AM648" s="68"/>
      <c r="AN648" s="68"/>
      <c r="AO648" s="68"/>
      <c r="AQ648" s="68"/>
      <c r="AR648" s="68"/>
      <c r="AS648" s="68"/>
      <c r="AT648" s="68"/>
      <c r="AU648" s="68"/>
      <c r="AV648" s="68"/>
      <c r="AW648" s="68"/>
      <c r="AX648" s="68"/>
      <c r="AY648" s="68"/>
      <c r="AZ648" s="68"/>
      <c r="BB648" s="68"/>
      <c r="BC648" s="68"/>
      <c r="BJ648" s="68"/>
      <c r="BT648">
        <v>1</v>
      </c>
      <c r="BV648">
        <v>1</v>
      </c>
      <c r="BX648" s="68"/>
      <c r="BY648" s="68">
        <v>1</v>
      </c>
      <c r="BZ648" s="68">
        <v>0</v>
      </c>
      <c r="CA648" s="68">
        <v>0</v>
      </c>
      <c r="CB648" s="68">
        <v>0</v>
      </c>
      <c r="CC648" s="68">
        <f t="shared" si="134"/>
        <v>0</v>
      </c>
      <c r="CD648" s="68">
        <f t="shared" si="135"/>
        <v>0</v>
      </c>
    </row>
    <row r="649" spans="1:82" ht="15.75" customHeight="1" thickBot="1" x14ac:dyDescent="0.3">
      <c r="A649" s="6">
        <v>648</v>
      </c>
      <c r="B649" s="7" t="s">
        <v>996</v>
      </c>
      <c r="C649" s="7" t="s">
        <v>925</v>
      </c>
      <c r="D649" s="7" t="s">
        <v>17</v>
      </c>
      <c r="E649" s="50">
        <v>-172.60608873832001</v>
      </c>
      <c r="F649" s="50">
        <v>40.171827531028903</v>
      </c>
      <c r="G649" s="50">
        <v>57.961559460335501</v>
      </c>
      <c r="H649" s="50">
        <v>16.222596964586799</v>
      </c>
      <c r="I649" s="8">
        <v>0</v>
      </c>
      <c r="J649" s="50">
        <v>5.6222602943244304</v>
      </c>
      <c r="K649" s="248">
        <f>IFERROR(VLOOKUP(C649,Schedule!$T$3:$U$34,2,0),"FA")</f>
        <v>8</v>
      </c>
      <c r="L649" s="7" t="str">
        <f>D649&amp;COUNTIF(D$2:$D649,D649)</f>
        <v>WR139</v>
      </c>
      <c r="M649" s="50">
        <f t="array" ref="M649">IFERROR(F649-AVERAGE(VLOOKUP(D649,$D650:$F$885,3,0),INDEX($F650:$F$885,SMALL(IF(D649=$D650:$D$885,ROW($D650:$D$885)-ROW(D649)),2))),0)</f>
        <v>1.2562906820310005</v>
      </c>
      <c r="N649" s="50">
        <f>IFERROR(IF(VLOOKUP($B649,Input!$AC$2:$AC$162,1,0)=$B649,0),F649)</f>
        <v>40.171827531028903</v>
      </c>
      <c r="O649" s="50">
        <f>IFERROR(IF(VLOOKUP($B649,Input!$AC$2:$AC$162,1,0)=$B649,0,G649),G649)</f>
        <v>57.961559460335501</v>
      </c>
      <c r="P649" s="50">
        <f>IF(N649=0,0,F649-AVERAGE(INDEX(F:F,MATCH(VLOOKUP(D649,Input!$A$14:$L$22,10,0),L:L,0)),INDEX(F:F,MATCH(VLOOKUP(D649,Input!$A$14:$L$22,11,0),L:L,0)),INDEX(F:F,MATCH(VLOOKUP(D649,Input!$A$14:$L$22,12,0),L:L,0)))+(0.01-ROW()*0.01))</f>
        <v>-179.08608873832011</v>
      </c>
      <c r="Q649" s="106">
        <f t="shared" si="130"/>
        <v>-6.1783436433342609E-2</v>
      </c>
      <c r="R649" s="8">
        <f>IF(VLOOKUP($D649,$X$14:$Y$19,2,0)&lt;=0,1,IF(Q649&lt;0,1,ROUNDUP(IF(Q649*('Draft Center'!$L$28+'Draft Center'!$L$78-'Draft Center'!$L$82)&lt;1,1,Q649*('Draft Center'!$L$28+'Draft Center'!$L$78-'Draft Center'!$L$82)),0)))</f>
        <v>1</v>
      </c>
      <c r="S649" s="8">
        <f>IF(A649&lt;Input!$B$10+0.1,IF(ROUNDUP(R649*Input!$C$10,0)=0,1,ROUNDUP(R649*Input!$C$10,0)),IF(A649&gt;Input!$B$11,IF(ROUNDUP(R649*Input!$C$11,0)=0,1,ROUNDUP(R649*Input!$C$11,0)),IF(ROUNDUP(R649,0)=0,1,ROUNDUP(R649,0))))</f>
        <v>1</v>
      </c>
      <c r="T649" s="8">
        <f t="shared" si="131"/>
        <v>1</v>
      </c>
      <c r="U649" s="8">
        <f>IFERROR(VLOOKUP($B649,Input!$AC$2:$AE$161,3,0),0)</f>
        <v>0</v>
      </c>
      <c r="V649" s="256">
        <f t="shared" si="132"/>
        <v>0</v>
      </c>
      <c r="W649" s="263">
        <f t="shared" si="133"/>
        <v>1.0064900000000001</v>
      </c>
      <c r="X649" s="68"/>
      <c r="Y649" s="68"/>
      <c r="Z649" s="68"/>
      <c r="AA649" s="68"/>
      <c r="AB649" s="68"/>
      <c r="AC649" s="68"/>
      <c r="AD649" s="68"/>
      <c r="AE649" s="68"/>
      <c r="AF649" s="68"/>
      <c r="AG649" s="68"/>
      <c r="AH649" s="68"/>
      <c r="AI649" s="68"/>
      <c r="AJ649" s="68">
        <v>1</v>
      </c>
      <c r="AL649" s="68">
        <v>1</v>
      </c>
      <c r="AM649" s="68"/>
      <c r="AN649" s="68"/>
      <c r="AO649" s="68"/>
      <c r="AQ649" s="68"/>
      <c r="AR649" s="68"/>
      <c r="AS649" s="68"/>
      <c r="AT649" s="68"/>
      <c r="AU649" s="68"/>
      <c r="AV649" s="68"/>
      <c r="AW649" s="68"/>
      <c r="AX649" s="68"/>
      <c r="AY649" s="68"/>
      <c r="AZ649" s="68"/>
      <c r="BB649" s="68"/>
      <c r="BC649" s="68"/>
      <c r="BJ649" s="68"/>
      <c r="BT649">
        <v>1</v>
      </c>
      <c r="BV649">
        <v>1</v>
      </c>
      <c r="BX649" s="68"/>
      <c r="BY649" s="68">
        <v>1</v>
      </c>
      <c r="BZ649" s="68">
        <v>0</v>
      </c>
      <c r="CA649" s="68">
        <v>0</v>
      </c>
      <c r="CB649" s="68">
        <v>0</v>
      </c>
      <c r="CC649" s="68">
        <f t="shared" si="134"/>
        <v>0</v>
      </c>
      <c r="CD649" s="68">
        <f t="shared" si="135"/>
        <v>0</v>
      </c>
    </row>
    <row r="650" spans="1:82" ht="15.75" customHeight="1" thickBot="1" x14ac:dyDescent="0.3">
      <c r="A650" s="9">
        <v>649</v>
      </c>
      <c r="B650" s="10" t="s">
        <v>266</v>
      </c>
      <c r="C650" s="10" t="s">
        <v>23</v>
      </c>
      <c r="D650" s="10" t="s">
        <v>17</v>
      </c>
      <c r="E650" s="51">
        <v>-173.11144303773401</v>
      </c>
      <c r="F650" s="51">
        <v>39.666473231614802</v>
      </c>
      <c r="G650" s="51">
        <v>62.962194148619801</v>
      </c>
      <c r="H650" s="51">
        <v>17.832208504801098</v>
      </c>
      <c r="I650" s="11" t="s">
        <v>1057</v>
      </c>
      <c r="J650" s="51">
        <v>8.0865805805707005</v>
      </c>
      <c r="K650" s="249">
        <f>IFERROR(VLOOKUP(C650,Schedule!$T$3:$U$34,2,0),"FA")</f>
        <v>5</v>
      </c>
      <c r="L650" s="10" t="str">
        <f>D650&amp;COUNTIF(D$2:$D650,D650)</f>
        <v>WR140</v>
      </c>
      <c r="M650" s="51">
        <f t="array" ref="M650">IFERROR(F650-AVERAGE(VLOOKUP(D650,$D651:$F$885,3,0),INDEX($F651:$F$885,SMALL(IF(D650=$D651:$D$885,ROW($D651:$D$885)-ROW(D650)),2))),0)</f>
        <v>2.1015039952509014</v>
      </c>
      <c r="N650" s="51">
        <f>IFERROR(IF(VLOOKUP($B650,Input!$AC$2:$AC$162,1,0)=$B650,0),F650)</f>
        <v>39.666473231614802</v>
      </c>
      <c r="O650" s="51">
        <f>IFERROR(IF(VLOOKUP($B650,Input!$AC$2:$AC$162,1,0)=$B650,0,G650),G650)</f>
        <v>62.962194148619801</v>
      </c>
      <c r="P650" s="51">
        <f>IF(N650=0,0,F650-AVERAGE(INDEX(F:F,MATCH(VLOOKUP(D650,Input!$A$14:$L$22,10,0),L:L,0)),INDEX(F:F,MATCH(VLOOKUP(D650,Input!$A$14:$L$22,11,0),L:L,0)),INDEX(F:F,MATCH(VLOOKUP(D650,Input!$A$14:$L$22,12,0),L:L,0)))+(0.01-ROW()*0.01))</f>
        <v>-179.60144303773421</v>
      </c>
      <c r="Q650" s="107">
        <f t="shared" si="130"/>
        <v>-6.1961230028717992E-2</v>
      </c>
      <c r="R650" s="11">
        <f>IF(VLOOKUP($D650,$X$14:$Y$19,2,0)&lt;=0,1,IF(Q650&lt;0,1,ROUNDUP(IF(Q650*('Draft Center'!$L$28+'Draft Center'!$L$78-'Draft Center'!$L$82)&lt;1,1,Q650*('Draft Center'!$L$28+'Draft Center'!$L$78-'Draft Center'!$L$82)),0)))</f>
        <v>1</v>
      </c>
      <c r="S650" s="11">
        <f>IF(A650&lt;Input!$B$10+0.1,IF(ROUNDUP(R650*Input!$C$10,0)=0,1,ROUNDUP(R650*Input!$C$10,0)),IF(A650&gt;Input!$B$11,IF(ROUNDUP(R650*Input!$C$11,0)=0,1,ROUNDUP(R650*Input!$C$11,0)),IF(ROUNDUP(R650,0)=0,1,ROUNDUP(R650,0))))</f>
        <v>1</v>
      </c>
      <c r="T650" s="11">
        <f t="shared" si="131"/>
        <v>1</v>
      </c>
      <c r="U650" s="11">
        <f>IFERROR(VLOOKUP($B650,Input!$AC$2:$AE$161,3,0),0)</f>
        <v>0</v>
      </c>
      <c r="V650" s="257">
        <f t="shared" si="132"/>
        <v>0</v>
      </c>
      <c r="W650" s="264">
        <f t="shared" si="133"/>
        <v>0</v>
      </c>
      <c r="X650" s="68"/>
      <c r="Y650" s="68"/>
      <c r="Z650" s="68"/>
      <c r="AA650" s="68"/>
      <c r="AB650" s="68"/>
      <c r="AC650" s="68"/>
      <c r="AD650" s="68"/>
      <c r="AE650" s="68"/>
      <c r="AF650" s="68"/>
      <c r="AG650" s="68"/>
      <c r="AH650" s="68"/>
      <c r="AI650" s="68"/>
      <c r="AJ650" s="68">
        <v>1</v>
      </c>
      <c r="AL650" s="68">
        <v>1</v>
      </c>
      <c r="AM650" s="68"/>
      <c r="AN650" s="68"/>
      <c r="AO650" s="68"/>
      <c r="AQ650" s="68"/>
      <c r="AR650" s="68"/>
      <c r="AS650" s="68"/>
      <c r="AT650" s="68"/>
      <c r="AU650" s="68"/>
      <c r="AV650" s="68"/>
      <c r="AW650" s="68"/>
      <c r="AX650" s="68"/>
      <c r="AY650" s="68"/>
      <c r="AZ650" s="68"/>
      <c r="BB650" s="68"/>
      <c r="BC650" s="68"/>
      <c r="BJ650" s="68"/>
      <c r="BT650">
        <v>1</v>
      </c>
      <c r="BV650">
        <v>1</v>
      </c>
      <c r="BX650" s="68"/>
      <c r="BY650" s="68">
        <v>1</v>
      </c>
      <c r="BZ650" s="68" t="s">
        <v>1057</v>
      </c>
      <c r="CA650" s="68" t="s">
        <v>1057</v>
      </c>
      <c r="CB650" s="68" t="s">
        <v>1057</v>
      </c>
      <c r="CC650" s="68" t="e">
        <f t="shared" si="134"/>
        <v>#DIV/0!</v>
      </c>
      <c r="CD650" s="68" t="str">
        <f t="shared" si="135"/>
        <v>NA</v>
      </c>
    </row>
    <row r="651" spans="1:82" ht="15.75" customHeight="1" thickBot="1" x14ac:dyDescent="0.3">
      <c r="A651" s="6">
        <v>650</v>
      </c>
      <c r="B651" s="7" t="s">
        <v>501</v>
      </c>
      <c r="C651" s="7" t="s">
        <v>80</v>
      </c>
      <c r="D651" s="7" t="s">
        <v>17</v>
      </c>
      <c r="E651" s="50">
        <v>-174.613315802968</v>
      </c>
      <c r="F651" s="50">
        <v>38.164600466381003</v>
      </c>
      <c r="G651" s="50">
        <v>56.8606091611667</v>
      </c>
      <c r="H651" s="50">
        <v>0</v>
      </c>
      <c r="I651" s="8" t="s">
        <v>1057</v>
      </c>
      <c r="J651" s="50">
        <v>5.7325620763035996</v>
      </c>
      <c r="K651" s="248">
        <f>IFERROR(VLOOKUP(C651,Schedule!$T$3:$U$34,2,0),"FA")</f>
        <v>11</v>
      </c>
      <c r="L651" s="7" t="str">
        <f>D651&amp;COUNTIF(D$2:$D651,D651)</f>
        <v>WR141</v>
      </c>
      <c r="M651" s="50">
        <f t="array" ref="M651">IFERROR(F651-AVERAGE(VLOOKUP(D651,$D652:$F$885,3,0),INDEX($F652:$F$885,SMALL(IF(D651=$D652:$D$885,ROW($D652:$D$885)-ROW(D651)),2))),0)</f>
        <v>1.9840452209709056</v>
      </c>
      <c r="N651" s="50">
        <f>IFERROR(IF(VLOOKUP($B651,Input!$AC$2:$AC$162,1,0)=$B651,0),F651)</f>
        <v>38.164600466381003</v>
      </c>
      <c r="O651" s="50">
        <f>IFERROR(IF(VLOOKUP($B651,Input!$AC$2:$AC$162,1,0)=$B651,0,G651),G651)</f>
        <v>56.8606091611667</v>
      </c>
      <c r="P651" s="50">
        <f>IF(N651=0,0,F651-AVERAGE(INDEX(F:F,MATCH(VLOOKUP(D651,Input!$A$14:$L$22,10,0),L:L,0)),INDEX(F:F,MATCH(VLOOKUP(D651,Input!$A$14:$L$22,11,0),L:L,0)),INDEX(F:F,MATCH(VLOOKUP(D651,Input!$A$14:$L$22,12,0),L:L,0)))+(0.01-ROW()*0.01))</f>
        <v>-181.11331580296803</v>
      </c>
      <c r="Q651" s="106">
        <f t="shared" si="130"/>
        <v>-6.2482815460306783E-2</v>
      </c>
      <c r="R651" s="8">
        <f>IF(VLOOKUP($D651,$X$14:$Y$19,2,0)&lt;=0,1,IF(Q651&lt;0,1,ROUNDUP(IF(Q651*('Draft Center'!$L$28+'Draft Center'!$L$78-'Draft Center'!$L$82)&lt;1,1,Q651*('Draft Center'!$L$28+'Draft Center'!$L$78-'Draft Center'!$L$82)),0)))</f>
        <v>1</v>
      </c>
      <c r="S651" s="8">
        <f>IF(A651&lt;Input!$B$10+0.1,IF(ROUNDUP(R651*Input!$C$10,0)=0,1,ROUNDUP(R651*Input!$C$10,0)),IF(A651&gt;Input!$B$11,IF(ROUNDUP(R651*Input!$C$11,0)=0,1,ROUNDUP(R651*Input!$C$11,0)),IF(ROUNDUP(R651,0)=0,1,ROUNDUP(R651,0))))</f>
        <v>1</v>
      </c>
      <c r="T651" s="8">
        <f t="shared" si="131"/>
        <v>1</v>
      </c>
      <c r="U651" s="8">
        <f>IFERROR(VLOOKUP($B651,Input!$AC$2:$AE$161,3,0),0)</f>
        <v>0</v>
      </c>
      <c r="V651" s="256">
        <f t="shared" si="132"/>
        <v>0</v>
      </c>
      <c r="W651" s="263">
        <f t="shared" si="133"/>
        <v>0</v>
      </c>
      <c r="X651" s="68"/>
      <c r="Y651" s="68"/>
      <c r="Z651" s="68"/>
      <c r="AA651" s="68"/>
      <c r="AB651" s="68"/>
      <c r="AC651" s="68"/>
      <c r="AD651" s="68"/>
      <c r="AE651" s="68"/>
      <c r="AF651" s="68"/>
      <c r="AG651" s="68"/>
      <c r="AH651" s="68"/>
      <c r="AI651" s="68"/>
      <c r="AJ651" s="68">
        <v>1</v>
      </c>
      <c r="AL651" s="68">
        <v>1</v>
      </c>
      <c r="AM651" s="68"/>
      <c r="AN651" s="68"/>
      <c r="AO651" s="68"/>
      <c r="AQ651" s="68"/>
      <c r="AR651" s="68"/>
      <c r="AS651" s="68"/>
      <c r="AT651" s="68"/>
      <c r="AU651" s="68"/>
      <c r="AV651" s="68"/>
      <c r="AW651" s="68"/>
      <c r="AX651" s="68"/>
      <c r="AY651" s="68"/>
      <c r="AZ651" s="68"/>
      <c r="BB651" s="68"/>
      <c r="BC651" s="68"/>
      <c r="BJ651" s="68"/>
      <c r="BT651">
        <v>1</v>
      </c>
      <c r="BV651">
        <v>1</v>
      </c>
      <c r="BX651" s="68"/>
      <c r="BY651" s="68">
        <v>1</v>
      </c>
      <c r="BZ651" s="68" t="s">
        <v>1057</v>
      </c>
      <c r="CA651" s="68" t="s">
        <v>1057</v>
      </c>
      <c r="CB651" s="68" t="s">
        <v>1057</v>
      </c>
      <c r="CC651" s="68" t="e">
        <f t="shared" si="134"/>
        <v>#DIV/0!</v>
      </c>
      <c r="CD651" s="68" t="str">
        <f t="shared" si="135"/>
        <v>NA</v>
      </c>
    </row>
    <row r="652" spans="1:82" ht="15.75" customHeight="1" thickBot="1" x14ac:dyDescent="0.3">
      <c r="A652" s="9">
        <v>651</v>
      </c>
      <c r="B652" s="10" t="s">
        <v>792</v>
      </c>
      <c r="C652" s="10" t="s">
        <v>48</v>
      </c>
      <c r="D652" s="10" t="s">
        <v>17</v>
      </c>
      <c r="E652" s="51">
        <v>-175.812578263002</v>
      </c>
      <c r="F652" s="51">
        <v>36.965338006346798</v>
      </c>
      <c r="G652" s="51">
        <v>58.744902203243399</v>
      </c>
      <c r="H652" s="51">
        <v>10.1051303155007</v>
      </c>
      <c r="I652" s="11" t="s">
        <v>1057</v>
      </c>
      <c r="J652" s="51">
        <v>5.5554385267484401</v>
      </c>
      <c r="K652" s="249">
        <f>IFERROR(VLOOKUP(C652,Schedule!$T$3:$U$34,2,0),"FA")</f>
        <v>10</v>
      </c>
      <c r="L652" s="10" t="str">
        <f>D652&amp;COUNTIF(D$2:$D652,D652)</f>
        <v>WR142</v>
      </c>
      <c r="M652" s="51">
        <f t="array" ref="M652">IFERROR(F652-AVERAGE(VLOOKUP(D652,$D653:$F$885,3,0),INDEX($F653:$F$885,SMALL(IF(D652=$D653:$D$885,ROW($D653:$D$885)-ROW(D652)),2))),0)</f>
        <v>1.8304734634433544</v>
      </c>
      <c r="N652" s="51">
        <f>IFERROR(IF(VLOOKUP($B652,Input!$AC$2:$AC$162,1,0)=$B652,0),F652)</f>
        <v>36.965338006346798</v>
      </c>
      <c r="O652" s="51">
        <f>IFERROR(IF(VLOOKUP($B652,Input!$AC$2:$AC$162,1,0)=$B652,0,G652),G652)</f>
        <v>58.744902203243399</v>
      </c>
      <c r="P652" s="51">
        <f>IF(N652=0,0,F652-AVERAGE(INDEX(F:F,MATCH(VLOOKUP(D652,Input!$A$14:$L$22,10,0),L:L,0)),INDEX(F:F,MATCH(VLOOKUP(D652,Input!$A$14:$L$22,11,0),L:L,0)),INDEX(F:F,MATCH(VLOOKUP(D652,Input!$A$14:$L$22,12,0),L:L,0)))+(0.01-ROW()*0.01))</f>
        <v>-182.32257826300221</v>
      </c>
      <c r="Q652" s="107">
        <f t="shared" si="130"/>
        <v>-6.2900002472749267E-2</v>
      </c>
      <c r="R652" s="11">
        <f>IF(VLOOKUP($D652,$X$14:$Y$19,2,0)&lt;=0,1,IF(Q652&lt;0,1,ROUNDUP(IF(Q652*('Draft Center'!$L$28+'Draft Center'!$L$78-'Draft Center'!$L$82)&lt;1,1,Q652*('Draft Center'!$L$28+'Draft Center'!$L$78-'Draft Center'!$L$82)),0)))</f>
        <v>1</v>
      </c>
      <c r="S652" s="11">
        <f>IF(A652&lt;Input!$B$10+0.1,IF(ROUNDUP(R652*Input!$C$10,0)=0,1,ROUNDUP(R652*Input!$C$10,0)),IF(A652&gt;Input!$B$11,IF(ROUNDUP(R652*Input!$C$11,0)=0,1,ROUNDUP(R652*Input!$C$11,0)),IF(ROUNDUP(R652,0)=0,1,ROUNDUP(R652,0))))</f>
        <v>1</v>
      </c>
      <c r="T652" s="11">
        <f t="shared" si="131"/>
        <v>1</v>
      </c>
      <c r="U652" s="11">
        <f>IFERROR(VLOOKUP($B652,Input!$AC$2:$AE$161,3,0),0)</f>
        <v>0</v>
      </c>
      <c r="V652" s="257">
        <f t="shared" si="132"/>
        <v>0</v>
      </c>
      <c r="W652" s="264">
        <f t="shared" si="133"/>
        <v>0</v>
      </c>
      <c r="X652" s="68"/>
      <c r="Y652" s="68"/>
      <c r="Z652" s="68"/>
      <c r="AA652" s="68"/>
      <c r="AB652" s="68"/>
      <c r="AC652" s="68"/>
      <c r="AD652" s="68"/>
      <c r="AE652" s="68"/>
      <c r="AF652" s="68"/>
      <c r="AG652" s="68"/>
      <c r="AH652" s="68"/>
      <c r="AI652" s="68"/>
      <c r="AJ652" s="68">
        <v>1</v>
      </c>
      <c r="AL652" s="68">
        <v>1</v>
      </c>
      <c r="AM652" s="68"/>
      <c r="AN652" s="68"/>
      <c r="AO652" s="68"/>
      <c r="AQ652" s="68"/>
      <c r="AR652" s="68"/>
      <c r="AS652" s="68"/>
      <c r="AT652" s="68"/>
      <c r="AU652" s="68"/>
      <c r="AV652" s="68"/>
      <c r="AW652" s="68"/>
      <c r="AX652" s="68"/>
      <c r="AY652" s="68"/>
      <c r="AZ652" s="68"/>
      <c r="BB652" s="68"/>
      <c r="BC652" s="68"/>
      <c r="BJ652" s="68"/>
      <c r="BT652">
        <v>1</v>
      </c>
      <c r="BV652">
        <v>1</v>
      </c>
      <c r="BX652" s="68"/>
      <c r="BY652" s="68">
        <v>1</v>
      </c>
      <c r="BZ652" s="68" t="s">
        <v>1057</v>
      </c>
      <c r="CA652" s="68" t="s">
        <v>1057</v>
      </c>
      <c r="CB652" s="68" t="s">
        <v>1057</v>
      </c>
      <c r="CC652" s="68" t="e">
        <f t="shared" si="134"/>
        <v>#DIV/0!</v>
      </c>
      <c r="CD652" s="68" t="str">
        <f t="shared" si="135"/>
        <v>NA</v>
      </c>
    </row>
    <row r="653" spans="1:82" ht="15.75" customHeight="1" thickBot="1" x14ac:dyDescent="0.3">
      <c r="A653" s="6">
        <v>652</v>
      </c>
      <c r="B653" s="7" t="s">
        <v>780</v>
      </c>
      <c r="C653" s="7" t="s">
        <v>64</v>
      </c>
      <c r="D653" s="7" t="s">
        <v>17</v>
      </c>
      <c r="E653" s="50">
        <v>-177.38214378487601</v>
      </c>
      <c r="F653" s="50">
        <v>35.395772484473397</v>
      </c>
      <c r="G653" s="50">
        <v>57.878375741043598</v>
      </c>
      <c r="H653" s="50">
        <v>9.9031824417009595</v>
      </c>
      <c r="I653" s="8" t="s">
        <v>1057</v>
      </c>
      <c r="J653" s="50">
        <v>8.0420929216472103</v>
      </c>
      <c r="K653" s="248">
        <f>IFERROR(VLOOKUP(C653,Schedule!$T$3:$U$34,2,0),"FA")</f>
        <v>11</v>
      </c>
      <c r="L653" s="7" t="str">
        <f>D653&amp;COUNTIF(D$2:$D653,D653)</f>
        <v>WR143</v>
      </c>
      <c r="M653" s="50">
        <f t="array" ref="M653">IFERROR(F653-AVERAGE(VLOOKUP(D653,$D654:$F$885,3,0),INDEX($F654:$F$885,SMALL(IF(D653=$D654:$D$885,ROW($D654:$D$885)-ROW(D653)),2))),0)</f>
        <v>0.82085821275154558</v>
      </c>
      <c r="N653" s="50">
        <f>IFERROR(IF(VLOOKUP($B653,Input!$AC$2:$AC$162,1,0)=$B653,0),F653)</f>
        <v>35.395772484473397</v>
      </c>
      <c r="O653" s="50">
        <f>IFERROR(IF(VLOOKUP($B653,Input!$AC$2:$AC$162,1,0)=$B653,0,G653),G653)</f>
        <v>57.878375741043598</v>
      </c>
      <c r="P653" s="50">
        <f>IF(N653=0,0,F653-AVERAGE(INDEX(F:F,MATCH(VLOOKUP(D653,Input!$A$14:$L$22,10,0),L:L,0)),INDEX(F:F,MATCH(VLOOKUP(D653,Input!$A$14:$L$22,11,0),L:L,0)),INDEX(F:F,MATCH(VLOOKUP(D653,Input!$A$14:$L$22,12,0),L:L,0)))+(0.01-ROW()*0.01))</f>
        <v>-183.90214378487562</v>
      </c>
      <c r="Q653" s="106">
        <f t="shared" si="130"/>
        <v>-6.3444941427530752E-2</v>
      </c>
      <c r="R653" s="8">
        <f>IF(VLOOKUP($D653,$X$14:$Y$19,2,0)&lt;=0,1,IF(Q653&lt;0,1,ROUNDUP(IF(Q653*('Draft Center'!$L$28+'Draft Center'!$L$78-'Draft Center'!$L$82)&lt;1,1,Q653*('Draft Center'!$L$28+'Draft Center'!$L$78-'Draft Center'!$L$82)),0)))</f>
        <v>1</v>
      </c>
      <c r="S653" s="8">
        <f>IF(A653&lt;Input!$B$10+0.1,IF(ROUNDUP(R653*Input!$C$10,0)=0,1,ROUNDUP(R653*Input!$C$10,0)),IF(A653&gt;Input!$B$11,IF(ROUNDUP(R653*Input!$C$11,0)=0,1,ROUNDUP(R653*Input!$C$11,0)),IF(ROUNDUP(R653,0)=0,1,ROUNDUP(R653,0))))</f>
        <v>1</v>
      </c>
      <c r="T653" s="8">
        <f t="shared" si="131"/>
        <v>1</v>
      </c>
      <c r="U653" s="8">
        <f>IFERROR(VLOOKUP($B653,Input!$AC$2:$AE$161,3,0),0)</f>
        <v>0</v>
      </c>
      <c r="V653" s="256">
        <f t="shared" si="132"/>
        <v>0</v>
      </c>
      <c r="W653" s="263">
        <f t="shared" si="133"/>
        <v>0</v>
      </c>
      <c r="X653" s="68"/>
      <c r="Y653" s="68"/>
      <c r="Z653" s="68"/>
      <c r="AA653" s="68"/>
      <c r="AB653" s="68"/>
      <c r="AC653" s="68"/>
      <c r="AD653" s="68"/>
      <c r="AE653" s="68"/>
      <c r="AF653" s="68"/>
      <c r="AG653" s="68"/>
      <c r="AH653" s="68"/>
      <c r="AI653" s="68"/>
      <c r="AJ653" s="68">
        <v>1</v>
      </c>
      <c r="AL653" s="68">
        <v>1</v>
      </c>
      <c r="AM653" s="68"/>
      <c r="AN653" s="68"/>
      <c r="AO653" s="68"/>
      <c r="AQ653" s="68"/>
      <c r="AR653" s="68"/>
      <c r="AS653" s="68"/>
      <c r="AT653" s="68"/>
      <c r="AU653" s="68"/>
      <c r="AV653" s="68"/>
      <c r="AW653" s="68"/>
      <c r="AX653" s="68"/>
      <c r="AY653" s="68"/>
      <c r="AZ653" s="68"/>
      <c r="BB653" s="68"/>
      <c r="BC653" s="68"/>
      <c r="BJ653" s="68"/>
      <c r="BT653">
        <v>1</v>
      </c>
      <c r="BV653">
        <v>1</v>
      </c>
      <c r="BX653" s="68"/>
      <c r="BY653" s="68">
        <v>1</v>
      </c>
      <c r="BZ653" s="68" t="s">
        <v>1057</v>
      </c>
      <c r="CA653" s="68" t="s">
        <v>1057</v>
      </c>
      <c r="CB653" s="68" t="s">
        <v>1057</v>
      </c>
      <c r="CC653" s="68" t="e">
        <f t="shared" si="134"/>
        <v>#DIV/0!</v>
      </c>
      <c r="CD653" s="68" t="str">
        <f t="shared" si="135"/>
        <v>NA</v>
      </c>
    </row>
    <row r="654" spans="1:82" ht="15.75" customHeight="1" thickBot="1" x14ac:dyDescent="0.3">
      <c r="A654" s="9">
        <v>653</v>
      </c>
      <c r="B654" s="10" t="s">
        <v>556</v>
      </c>
      <c r="C654" s="10" t="s">
        <v>66</v>
      </c>
      <c r="D654" s="10" t="s">
        <v>53</v>
      </c>
      <c r="E654" s="51">
        <v>-177.83731289933701</v>
      </c>
      <c r="F654" s="51">
        <v>94.510330733498705</v>
      </c>
      <c r="G654" s="51">
        <v>148.463025474132</v>
      </c>
      <c r="H654" s="51">
        <v>25.29</v>
      </c>
      <c r="I654" s="11">
        <v>0</v>
      </c>
      <c r="J654" s="51">
        <v>8.5539358198150897</v>
      </c>
      <c r="K654" s="249">
        <f>IFERROR(VLOOKUP(C654,Schedule!$T$3:$U$34,2,0),"FA")</f>
        <v>7</v>
      </c>
      <c r="L654" s="10" t="str">
        <f>D654&amp;COUNTIF(D$2:$D654,D654)</f>
        <v>QB33</v>
      </c>
      <c r="M654" s="51">
        <f t="array" ref="M654">IFERROR(F654-AVERAGE(VLOOKUP(D654,$D655:$F$885,3,0),INDEX($F655:$F$885,SMALL(IF(D654=$D655:$D$885,ROW($D655:$D$885)-ROW(D654)),2))),0)</f>
        <v>23.467477545053157</v>
      </c>
      <c r="N654" s="51">
        <f>IFERROR(IF(VLOOKUP($B654,Input!$AC$2:$AC$162,1,0)=$B654,0),F654)</f>
        <v>94.510330733498705</v>
      </c>
      <c r="O654" s="51">
        <f>IFERROR(IF(VLOOKUP($B654,Input!$AC$2:$AC$162,1,0)=$B654,0,G654),G654)</f>
        <v>148.463025474132</v>
      </c>
      <c r="P654" s="51">
        <f>IF(N654=0,0,F654-AVERAGE(INDEX(F:F,MATCH(VLOOKUP(D654,Input!$A$14:$L$22,10,0),L:L,0)),INDEX(F:F,MATCH(VLOOKUP(D654,Input!$A$14:$L$22,11,0),L:L,0)),INDEX(F:F,MATCH(VLOOKUP(D654,Input!$A$14:$L$22,12,0),L:L,0)))+(0.01-ROW()*0.01))</f>
        <v>-184.36731289933692</v>
      </c>
      <c r="Q654" s="107">
        <f t="shared" si="130"/>
        <v>-6.3605421488358196E-2</v>
      </c>
      <c r="R654" s="11">
        <f>IF(VLOOKUP($D654,$X$14:$Y$19,2,0)&lt;=0,1,IF(Q654&lt;0,1,ROUNDUP(IF(Q654*('Draft Center'!$L$28+'Draft Center'!$L$78-'Draft Center'!$L$82)&lt;1,1,Q654*('Draft Center'!$L$28+'Draft Center'!$L$78-'Draft Center'!$L$82)),0)))</f>
        <v>1</v>
      </c>
      <c r="S654" s="11">
        <f>IF(A654&lt;Input!$B$10+0.1,IF(ROUNDUP(R654*Input!$C$10,0)=0,1,ROUNDUP(R654*Input!$C$10,0)),IF(A654&gt;Input!$B$11,IF(ROUNDUP(R654*Input!$C$11,0)=0,1,ROUNDUP(R654*Input!$C$11,0)),IF(ROUNDUP(R654,0)=0,1,ROUNDUP(R654,0))))</f>
        <v>1</v>
      </c>
      <c r="T654" s="11">
        <f t="shared" si="131"/>
        <v>1</v>
      </c>
      <c r="U654" s="11">
        <f>IFERROR(VLOOKUP($B654,Input!$AC$2:$AE$161,3,0),0)</f>
        <v>0</v>
      </c>
      <c r="V654" s="257">
        <f t="shared" si="132"/>
        <v>0</v>
      </c>
      <c r="W654" s="264">
        <f t="shared" si="133"/>
        <v>1.00654</v>
      </c>
      <c r="X654" s="68"/>
      <c r="Y654" s="68"/>
      <c r="Z654" s="68"/>
      <c r="AA654" s="68"/>
      <c r="AB654" s="68"/>
      <c r="AC654" s="68"/>
      <c r="AD654" s="68"/>
      <c r="AE654" s="68"/>
      <c r="AF654" s="68"/>
      <c r="AG654" s="68"/>
      <c r="AH654" s="68"/>
      <c r="AI654" s="68"/>
      <c r="AJ654" s="68">
        <v>1</v>
      </c>
      <c r="AL654" s="68">
        <v>1</v>
      </c>
      <c r="AM654" s="68"/>
      <c r="AN654" s="68"/>
      <c r="AO654" s="68"/>
      <c r="AQ654" s="68"/>
      <c r="AR654" s="68"/>
      <c r="AS654" s="68"/>
      <c r="AT654" s="68"/>
      <c r="AU654" s="68"/>
      <c r="AV654" s="68"/>
      <c r="AW654" s="68"/>
      <c r="AX654" s="68"/>
      <c r="AY654" s="68"/>
      <c r="AZ654" s="68"/>
      <c r="BB654" s="68"/>
      <c r="BC654" s="68"/>
      <c r="BJ654" s="68"/>
      <c r="BT654">
        <v>1</v>
      </c>
      <c r="BV654">
        <v>1</v>
      </c>
      <c r="BX654" s="68"/>
      <c r="BY654" s="68">
        <v>1</v>
      </c>
      <c r="BZ654" s="68">
        <v>0</v>
      </c>
      <c r="CA654" s="68">
        <v>0</v>
      </c>
      <c r="CB654" s="68">
        <v>0</v>
      </c>
      <c r="CC654" s="68">
        <f t="shared" si="134"/>
        <v>0</v>
      </c>
      <c r="CD654" s="68">
        <f t="shared" si="135"/>
        <v>0</v>
      </c>
    </row>
    <row r="655" spans="1:82" ht="15.75" customHeight="1" thickBot="1" x14ac:dyDescent="0.3">
      <c r="A655" s="6">
        <v>654</v>
      </c>
      <c r="B655" s="7" t="s">
        <v>291</v>
      </c>
      <c r="C655" s="7" t="s">
        <v>117</v>
      </c>
      <c r="D655" s="7" t="s">
        <v>17</v>
      </c>
      <c r="E655" s="50">
        <v>-177.903959668016</v>
      </c>
      <c r="F655" s="50">
        <v>34.873956601333497</v>
      </c>
      <c r="G655" s="50">
        <v>59.4161550787557</v>
      </c>
      <c r="H655" s="50">
        <v>-0.22904111307074301</v>
      </c>
      <c r="I655" s="8" t="s">
        <v>1057</v>
      </c>
      <c r="J655" s="50">
        <v>7.9237275761189201</v>
      </c>
      <c r="K655" s="248">
        <f>IFERROR(VLOOKUP(C655,Schedule!$T$3:$U$34,2,0),"FA")</f>
        <v>8</v>
      </c>
      <c r="L655" s="7" t="str">
        <f>D655&amp;COUNTIF(D$2:$D655,D655)</f>
        <v>WR144</v>
      </c>
      <c r="M655" s="50">
        <f t="array" ref="M655">IFERROR(F655-AVERAGE(VLOOKUP(D655,$D656:$F$885,3,0),INDEX($F656:$F$885,SMALL(IF(D655=$D656:$D$885,ROW($D656:$D$885)-ROW(D655)),2))),0)</f>
        <v>0.911790931085946</v>
      </c>
      <c r="N655" s="50">
        <f>IFERROR(IF(VLOOKUP($B655,Input!$AC$2:$AC$162,1,0)=$B655,0),F655)</f>
        <v>34.873956601333497</v>
      </c>
      <c r="O655" s="50">
        <f>IFERROR(IF(VLOOKUP($B655,Input!$AC$2:$AC$162,1,0)=$B655,0,G655),G655)</f>
        <v>59.4161550787557</v>
      </c>
      <c r="P655" s="50">
        <f>IF(N655=0,0,F655-AVERAGE(INDEX(F:F,MATCH(VLOOKUP(D655,Input!$A$14:$L$22,10,0),L:L,0)),INDEX(F:F,MATCH(VLOOKUP(D655,Input!$A$14:$L$22,11,0),L:L,0)),INDEX(F:F,MATCH(VLOOKUP(D655,Input!$A$14:$L$22,12,0),L:L,0)))+(0.01-ROW()*0.01))</f>
        <v>-184.44395966801551</v>
      </c>
      <c r="Q655" s="106">
        <f t="shared" si="130"/>
        <v>-6.3631864082497339E-2</v>
      </c>
      <c r="R655" s="8">
        <f>IF(VLOOKUP($D655,$X$14:$Y$19,2,0)&lt;=0,1,IF(Q655&lt;0,1,ROUNDUP(IF(Q655*('Draft Center'!$L$28+'Draft Center'!$L$78-'Draft Center'!$L$82)&lt;1,1,Q655*('Draft Center'!$L$28+'Draft Center'!$L$78-'Draft Center'!$L$82)),0)))</f>
        <v>1</v>
      </c>
      <c r="S655" s="8">
        <f>IF(A655&lt;Input!$B$10+0.1,IF(ROUNDUP(R655*Input!$C$10,0)=0,1,ROUNDUP(R655*Input!$C$10,0)),IF(A655&gt;Input!$B$11,IF(ROUNDUP(R655*Input!$C$11,0)=0,1,ROUNDUP(R655*Input!$C$11,0)),IF(ROUNDUP(R655,0)=0,1,ROUNDUP(R655,0))))</f>
        <v>1</v>
      </c>
      <c r="T655" s="8">
        <f t="shared" si="131"/>
        <v>1</v>
      </c>
      <c r="U655" s="8">
        <f>IFERROR(VLOOKUP($B655,Input!$AC$2:$AE$161,3,0),0)</f>
        <v>0</v>
      </c>
      <c r="V655" s="256">
        <f t="shared" si="132"/>
        <v>0</v>
      </c>
      <c r="W655" s="263">
        <f t="shared" si="133"/>
        <v>0</v>
      </c>
      <c r="X655" s="68"/>
      <c r="Y655" s="68"/>
      <c r="Z655" s="68"/>
      <c r="AA655" s="68"/>
      <c r="AB655" s="68"/>
      <c r="AC655" s="68"/>
      <c r="AD655" s="68"/>
      <c r="AE655" s="68"/>
      <c r="AF655" s="68"/>
      <c r="AG655" s="68"/>
      <c r="AH655" s="68"/>
      <c r="AI655" s="68"/>
      <c r="AJ655" s="68">
        <v>1</v>
      </c>
      <c r="AL655" s="68">
        <v>1</v>
      </c>
      <c r="AM655" s="68"/>
      <c r="AN655" s="68"/>
      <c r="AO655" s="68"/>
      <c r="AQ655" s="68"/>
      <c r="AR655" s="68"/>
      <c r="AS655" s="68"/>
      <c r="AT655" s="68"/>
      <c r="AU655" s="68"/>
      <c r="AV655" s="68"/>
      <c r="AW655" s="68"/>
      <c r="AX655" s="68"/>
      <c r="AY655" s="68"/>
      <c r="AZ655" s="68"/>
      <c r="BB655" s="68"/>
      <c r="BC655" s="68"/>
      <c r="BJ655" s="68"/>
      <c r="BT655">
        <v>1</v>
      </c>
      <c r="BV655">
        <v>1</v>
      </c>
      <c r="BX655" s="68"/>
      <c r="BY655" s="68">
        <v>1</v>
      </c>
      <c r="BZ655" s="68" t="s">
        <v>1057</v>
      </c>
      <c r="CA655" s="68" t="s">
        <v>1057</v>
      </c>
      <c r="CB655" s="68" t="s">
        <v>1057</v>
      </c>
      <c r="CC655" s="68" t="e">
        <f t="shared" si="134"/>
        <v>#DIV/0!</v>
      </c>
      <c r="CD655" s="68" t="str">
        <f t="shared" si="135"/>
        <v>NA</v>
      </c>
    </row>
    <row r="656" spans="1:82" ht="15.75" customHeight="1" thickBot="1" x14ac:dyDescent="0.3">
      <c r="A656" s="9">
        <v>655</v>
      </c>
      <c r="B656" s="10" t="s">
        <v>527</v>
      </c>
      <c r="C656" s="10" t="s">
        <v>16</v>
      </c>
      <c r="D656" s="10" t="s">
        <v>17</v>
      </c>
      <c r="E656" s="51">
        <v>-178.50204432723899</v>
      </c>
      <c r="F656" s="51">
        <v>34.2758719421102</v>
      </c>
      <c r="G656" s="51">
        <v>49.041948012232403</v>
      </c>
      <c r="H656" s="51">
        <v>-0.128478057889823</v>
      </c>
      <c r="I656" s="11" t="s">
        <v>1057</v>
      </c>
      <c r="J656" s="51">
        <v>7.1657812101408398</v>
      </c>
      <c r="K656" s="249">
        <f>IFERROR(VLOOKUP(C656,Schedule!$T$3:$U$34,2,0),"FA")</f>
        <v>9</v>
      </c>
      <c r="L656" s="10" t="str">
        <f>D656&amp;COUNTIF(D$2:$D656,D656)</f>
        <v>WR145</v>
      </c>
      <c r="M656" s="51">
        <f t="array" ref="M656">IFERROR(F656-AVERAGE(VLOOKUP(D656,$D657:$F$885,3,0),INDEX($F657:$F$885,SMALL(IF(D656=$D657:$D$885,ROW($D657:$D$885)-ROW(D656)),2))),0)</f>
        <v>1.0264608656152987</v>
      </c>
      <c r="N656" s="51">
        <f>IFERROR(IF(VLOOKUP($B656,Input!$AC$2:$AC$162,1,0)=$B656,0),F656)</f>
        <v>34.2758719421102</v>
      </c>
      <c r="O656" s="51">
        <f>IFERROR(IF(VLOOKUP($B656,Input!$AC$2:$AC$162,1,0)=$B656,0,G656),G656)</f>
        <v>49.041948012232403</v>
      </c>
      <c r="P656" s="51">
        <f>IF(N656=0,0,F656-AVERAGE(INDEX(F:F,MATCH(VLOOKUP(D656,Input!$A$14:$L$22,10,0),L:L,0)),INDEX(F:F,MATCH(VLOOKUP(D656,Input!$A$14:$L$22,11,0),L:L,0)),INDEX(F:F,MATCH(VLOOKUP(D656,Input!$A$14:$L$22,12,0),L:L,0)))+(0.01-ROW()*0.01))</f>
        <v>-185.05204432723883</v>
      </c>
      <c r="Q656" s="107">
        <f t="shared" si="130"/>
        <v>-6.3841648997416733E-2</v>
      </c>
      <c r="R656" s="11">
        <f>IF(VLOOKUP($D656,$X$14:$Y$19,2,0)&lt;=0,1,IF(Q656&lt;0,1,ROUNDUP(IF(Q656*('Draft Center'!$L$28+'Draft Center'!$L$78-'Draft Center'!$L$82)&lt;1,1,Q656*('Draft Center'!$L$28+'Draft Center'!$L$78-'Draft Center'!$L$82)),0)))</f>
        <v>1</v>
      </c>
      <c r="S656" s="11">
        <f>IF(A656&lt;Input!$B$10+0.1,IF(ROUNDUP(R656*Input!$C$10,0)=0,1,ROUNDUP(R656*Input!$C$10,0)),IF(A656&gt;Input!$B$11,IF(ROUNDUP(R656*Input!$C$11,0)=0,1,ROUNDUP(R656*Input!$C$11,0)),IF(ROUNDUP(R656,0)=0,1,ROUNDUP(R656,0))))</f>
        <v>1</v>
      </c>
      <c r="T656" s="11">
        <f t="shared" si="131"/>
        <v>1</v>
      </c>
      <c r="U656" s="11">
        <f>IFERROR(VLOOKUP($B656,Input!$AC$2:$AE$161,3,0),0)</f>
        <v>0</v>
      </c>
      <c r="V656" s="257">
        <f t="shared" si="132"/>
        <v>0</v>
      </c>
      <c r="W656" s="264">
        <f t="shared" si="133"/>
        <v>0</v>
      </c>
      <c r="X656" s="68"/>
      <c r="Y656" s="68"/>
      <c r="Z656" s="68"/>
      <c r="AA656" s="68"/>
      <c r="AB656" s="68"/>
      <c r="AC656" s="68"/>
      <c r="AD656" s="68"/>
      <c r="AE656" s="68"/>
      <c r="AF656" s="68"/>
      <c r="AG656" s="68"/>
      <c r="AH656" s="68"/>
      <c r="AI656" s="68"/>
      <c r="AJ656" s="68">
        <v>1</v>
      </c>
      <c r="AL656" s="68">
        <v>1</v>
      </c>
      <c r="AM656" s="68"/>
      <c r="AN656" s="68"/>
      <c r="AO656" s="68"/>
      <c r="AQ656" s="68"/>
      <c r="AR656" s="68"/>
      <c r="AS656" s="68"/>
      <c r="AT656" s="68"/>
      <c r="AU656" s="68"/>
      <c r="AV656" s="68"/>
      <c r="AW656" s="68"/>
      <c r="AX656" s="68"/>
      <c r="AY656" s="68"/>
      <c r="AZ656" s="68"/>
      <c r="BB656" s="68"/>
      <c r="BC656" s="68"/>
      <c r="BJ656" s="68"/>
      <c r="BT656">
        <v>1</v>
      </c>
      <c r="BV656">
        <v>1</v>
      </c>
      <c r="BX656" s="68"/>
      <c r="BY656" s="68">
        <v>1</v>
      </c>
      <c r="BZ656" s="68" t="s">
        <v>1057</v>
      </c>
      <c r="CA656" s="68" t="s">
        <v>1057</v>
      </c>
      <c r="CB656" s="68" t="s">
        <v>1057</v>
      </c>
      <c r="CC656" s="68" t="e">
        <f t="shared" si="134"/>
        <v>#DIV/0!</v>
      </c>
      <c r="CD656" s="68" t="str">
        <f t="shared" si="135"/>
        <v>NA</v>
      </c>
    </row>
    <row r="657" spans="1:82" ht="15.75" customHeight="1" thickBot="1" x14ac:dyDescent="0.3">
      <c r="A657" s="6">
        <v>656</v>
      </c>
      <c r="B657" s="7" t="s">
        <v>773</v>
      </c>
      <c r="C657" s="7" t="s">
        <v>143</v>
      </c>
      <c r="D657" s="7" t="s">
        <v>17</v>
      </c>
      <c r="E657" s="50">
        <v>-179.12945687096399</v>
      </c>
      <c r="F657" s="50">
        <v>33.648459398384901</v>
      </c>
      <c r="G657" s="50">
        <v>50.653597636489202</v>
      </c>
      <c r="H657" s="50">
        <v>11.189458504801101</v>
      </c>
      <c r="I657" s="8">
        <v>0</v>
      </c>
      <c r="J657" s="50">
        <v>5.7828372692283398</v>
      </c>
      <c r="K657" s="248">
        <f>IFERROR(VLOOKUP(C657,Schedule!$T$3:$U$34,2,0),"FA")</f>
        <v>9</v>
      </c>
      <c r="L657" s="7" t="str">
        <f>D657&amp;COUNTIF(D$2:$D657,D657)</f>
        <v>WR146</v>
      </c>
      <c r="M657" s="50">
        <f t="array" ref="M657">IFERROR(F657-AVERAGE(VLOOKUP(D657,$D658:$F$885,3,0),INDEX($F658:$F$885,SMALL(IF(D657=$D658:$D$885,ROW($D658:$D$885)-ROW(D657)),2))),0)</f>
        <v>1.005967154507502</v>
      </c>
      <c r="N657" s="50">
        <f>IFERROR(IF(VLOOKUP($B657,Input!$AC$2:$AC$162,1,0)=$B657,0),F657)</f>
        <v>33.648459398384901</v>
      </c>
      <c r="O657" s="50">
        <f>IFERROR(IF(VLOOKUP($B657,Input!$AC$2:$AC$162,1,0)=$B657,0,G657),G657)</f>
        <v>50.653597636489202</v>
      </c>
      <c r="P657" s="50">
        <f>IF(N657=0,0,F657-AVERAGE(INDEX(F:F,MATCH(VLOOKUP(D657,Input!$A$14:$L$22,10,0),L:L,0)),INDEX(F:F,MATCH(VLOOKUP(D657,Input!$A$14:$L$22,11,0),L:L,0)),INDEX(F:F,MATCH(VLOOKUP(D657,Input!$A$14:$L$22,12,0),L:L,0)))+(0.01-ROW()*0.01))</f>
        <v>-185.68945687096414</v>
      </c>
      <c r="Q657" s="106">
        <f t="shared" si="130"/>
        <v>-6.4061551825461693E-2</v>
      </c>
      <c r="R657" s="8">
        <f>IF(VLOOKUP($D657,$X$14:$Y$19,2,0)&lt;=0,1,IF(Q657&lt;0,1,ROUNDUP(IF(Q657*('Draft Center'!$L$28+'Draft Center'!$L$78-'Draft Center'!$L$82)&lt;1,1,Q657*('Draft Center'!$L$28+'Draft Center'!$L$78-'Draft Center'!$L$82)),0)))</f>
        <v>1</v>
      </c>
      <c r="S657" s="8">
        <f>IF(A657&lt;Input!$B$10+0.1,IF(ROUNDUP(R657*Input!$C$10,0)=0,1,ROUNDUP(R657*Input!$C$10,0)),IF(A657&gt;Input!$B$11,IF(ROUNDUP(R657*Input!$C$11,0)=0,1,ROUNDUP(R657*Input!$C$11,0)),IF(ROUNDUP(R657,0)=0,1,ROUNDUP(R657,0))))</f>
        <v>1</v>
      </c>
      <c r="T657" s="8">
        <f t="shared" si="131"/>
        <v>1</v>
      </c>
      <c r="U657" s="8">
        <f>IFERROR(VLOOKUP($B657,Input!$AC$2:$AE$161,3,0),0)</f>
        <v>0</v>
      </c>
      <c r="V657" s="256">
        <f t="shared" si="132"/>
        <v>0</v>
      </c>
      <c r="W657" s="263">
        <f t="shared" si="133"/>
        <v>1.00657</v>
      </c>
      <c r="X657" s="68"/>
      <c r="Y657" s="68"/>
      <c r="Z657" s="68"/>
      <c r="AA657" s="68"/>
      <c r="AB657" s="68"/>
      <c r="AC657" s="68"/>
      <c r="AD657" s="68"/>
      <c r="AE657" s="68"/>
      <c r="AF657" s="68"/>
      <c r="AG657" s="68"/>
      <c r="AH657" s="68"/>
      <c r="AI657" s="68"/>
      <c r="AJ657" s="68">
        <v>1</v>
      </c>
      <c r="AL657" s="68">
        <v>1</v>
      </c>
      <c r="AM657" s="68"/>
      <c r="AN657" s="68"/>
      <c r="AO657" s="68"/>
      <c r="AQ657" s="68"/>
      <c r="AR657" s="68"/>
      <c r="AS657" s="68"/>
      <c r="AT657" s="68"/>
      <c r="AU657" s="68"/>
      <c r="AV657" s="68"/>
      <c r="AW657" s="68"/>
      <c r="AX657" s="68"/>
      <c r="AY657" s="68"/>
      <c r="AZ657" s="68"/>
      <c r="BB657" s="68"/>
      <c r="BC657" s="68"/>
      <c r="BJ657" s="68"/>
      <c r="BT657">
        <v>1</v>
      </c>
      <c r="BV657">
        <v>1</v>
      </c>
      <c r="BX657" s="68"/>
      <c r="BY657" s="68">
        <v>1</v>
      </c>
      <c r="BZ657" s="68">
        <v>0</v>
      </c>
      <c r="CA657" s="68">
        <v>0</v>
      </c>
      <c r="CB657" s="68">
        <v>0</v>
      </c>
      <c r="CC657" s="68">
        <f t="shared" si="134"/>
        <v>0</v>
      </c>
      <c r="CD657" s="68">
        <f t="shared" si="135"/>
        <v>0</v>
      </c>
    </row>
    <row r="658" spans="1:82" ht="15.75" customHeight="1" thickBot="1" x14ac:dyDescent="0.3">
      <c r="A658" s="9">
        <v>657</v>
      </c>
      <c r="B658" s="10" t="s">
        <v>893</v>
      </c>
      <c r="C658" s="10" t="s">
        <v>45</v>
      </c>
      <c r="D658" s="10" t="s">
        <v>17</v>
      </c>
      <c r="E658" s="51">
        <v>-179.92755351474401</v>
      </c>
      <c r="F658" s="51">
        <v>32.850362754604902</v>
      </c>
      <c r="G658" s="51">
        <v>53.563854624999998</v>
      </c>
      <c r="H658" s="51">
        <v>-9.4060415441896902E-2</v>
      </c>
      <c r="I658" s="11">
        <v>0</v>
      </c>
      <c r="J658" s="51">
        <v>6.9481212888077204</v>
      </c>
      <c r="K658" s="249">
        <f>IFERROR(VLOOKUP(C658,Schedule!$T$3:$U$34,2,0),"FA")</f>
        <v>6</v>
      </c>
      <c r="L658" s="10" t="str">
        <f>D658&amp;COUNTIF(D$2:$D658,D658)</f>
        <v>WR147</v>
      </c>
      <c r="M658" s="51">
        <f t="array" ref="M658">IFERROR(F658-AVERAGE(VLOOKUP(D658,$D659:$F$885,3,0),INDEX($F659:$F$885,SMALL(IF(D658=$D659:$D$885,ROW($D659:$D$885)-ROW(D658)),2))),0)</f>
        <v>0.43901079450154867</v>
      </c>
      <c r="N658" s="51">
        <f>IFERROR(IF(VLOOKUP($B658,Input!$AC$2:$AC$162,1,0)=$B658,0),F658)</f>
        <v>32.850362754604902</v>
      </c>
      <c r="O658" s="51">
        <f>IFERROR(IF(VLOOKUP($B658,Input!$AC$2:$AC$162,1,0)=$B658,0,G658),G658)</f>
        <v>53.563854624999998</v>
      </c>
      <c r="P658" s="51">
        <f>IF(N658=0,0,F658-AVERAGE(INDEX(F:F,MATCH(VLOOKUP(D658,Input!$A$14:$L$22,10,0),L:L,0)),INDEX(F:F,MATCH(VLOOKUP(D658,Input!$A$14:$L$22,11,0),L:L,0)),INDEX(F:F,MATCH(VLOOKUP(D658,Input!$A$14:$L$22,12,0),L:L,0)))+(0.01-ROW()*0.01))</f>
        <v>-186.49755351474411</v>
      </c>
      <c r="Q658" s="107">
        <f t="shared" si="130"/>
        <v>-6.4340339463154372E-2</v>
      </c>
      <c r="R658" s="11">
        <f>IF(VLOOKUP($D658,$X$14:$Y$19,2,0)&lt;=0,1,IF(Q658&lt;0,1,ROUNDUP(IF(Q658*('Draft Center'!$L$28+'Draft Center'!$L$78-'Draft Center'!$L$82)&lt;1,1,Q658*('Draft Center'!$L$28+'Draft Center'!$L$78-'Draft Center'!$L$82)),0)))</f>
        <v>1</v>
      </c>
      <c r="S658" s="11">
        <f>IF(A658&lt;Input!$B$10+0.1,IF(ROUNDUP(R658*Input!$C$10,0)=0,1,ROUNDUP(R658*Input!$C$10,0)),IF(A658&gt;Input!$B$11,IF(ROUNDUP(R658*Input!$C$11,0)=0,1,ROUNDUP(R658*Input!$C$11,0)),IF(ROUNDUP(R658,0)=0,1,ROUNDUP(R658,0))))</f>
        <v>1</v>
      </c>
      <c r="T658" s="11">
        <f t="shared" si="131"/>
        <v>1</v>
      </c>
      <c r="U658" s="11">
        <f>IFERROR(VLOOKUP($B658,Input!$AC$2:$AE$161,3,0),0)</f>
        <v>0</v>
      </c>
      <c r="V658" s="257">
        <f t="shared" si="132"/>
        <v>0</v>
      </c>
      <c r="W658" s="264">
        <f t="shared" si="133"/>
        <v>1.00658</v>
      </c>
      <c r="X658" s="68"/>
      <c r="Y658" s="68"/>
      <c r="Z658" s="68"/>
      <c r="AA658" s="68"/>
      <c r="AB658" s="68"/>
      <c r="AC658" s="68"/>
      <c r="AD658" s="68"/>
      <c r="AE658" s="68"/>
      <c r="AF658" s="68"/>
      <c r="AG658" s="68"/>
      <c r="AH658" s="68"/>
      <c r="AI658" s="68"/>
      <c r="AJ658" s="68">
        <v>1</v>
      </c>
      <c r="AL658" s="68">
        <v>1</v>
      </c>
      <c r="AM658" s="68"/>
      <c r="AN658" s="68"/>
      <c r="AO658" s="68"/>
      <c r="AQ658" s="68"/>
      <c r="AR658" s="68"/>
      <c r="AS658" s="68"/>
      <c r="AT658" s="68"/>
      <c r="AU658" s="68"/>
      <c r="AV658" s="68"/>
      <c r="AW658" s="68"/>
      <c r="AX658" s="68"/>
      <c r="AY658" s="68"/>
      <c r="AZ658" s="68"/>
      <c r="BB658" s="68"/>
      <c r="BC658" s="68"/>
      <c r="BJ658" s="68"/>
      <c r="BT658">
        <v>1</v>
      </c>
      <c r="BV658">
        <v>1</v>
      </c>
      <c r="BX658" s="68"/>
      <c r="BY658" s="68">
        <v>1</v>
      </c>
      <c r="BZ658" s="68">
        <v>0</v>
      </c>
      <c r="CA658" s="68">
        <v>0</v>
      </c>
      <c r="CB658" s="68">
        <v>0</v>
      </c>
      <c r="CC658" s="68">
        <f t="shared" si="134"/>
        <v>0</v>
      </c>
      <c r="CD658" s="68">
        <f t="shared" si="135"/>
        <v>0</v>
      </c>
    </row>
    <row r="659" spans="1:82" ht="15.75" customHeight="1" thickBot="1" x14ac:dyDescent="0.3">
      <c r="A659" s="6">
        <v>658</v>
      </c>
      <c r="B659" s="7" t="s">
        <v>104</v>
      </c>
      <c r="C659" s="7" t="s">
        <v>311</v>
      </c>
      <c r="D659" s="7" t="s">
        <v>17</v>
      </c>
      <c r="E659" s="50">
        <v>-180.34329453619901</v>
      </c>
      <c r="F659" s="50">
        <v>32.434621733149903</v>
      </c>
      <c r="G659" s="50">
        <v>52.904751536413301</v>
      </c>
      <c r="H659" s="50">
        <v>0</v>
      </c>
      <c r="I659" s="8" t="s">
        <v>1057</v>
      </c>
      <c r="J659" s="50">
        <v>9.7351973442784399</v>
      </c>
      <c r="K659" s="248" t="str">
        <f>IFERROR(VLOOKUP(C659,Schedule!$T$3:$U$34,2,0),"FA")</f>
        <v>FA</v>
      </c>
      <c r="L659" s="7" t="str">
        <f>D659&amp;COUNTIF(D$2:$D659,D659)</f>
        <v>WR148</v>
      </c>
      <c r="M659" s="50">
        <f t="array" ref="M659">IFERROR(F659-AVERAGE(VLOOKUP(D659,$D660:$F$885,3,0),INDEX($F660:$F$885,SMALL(IF(D659=$D660:$D$885,ROW($D660:$D$885)-ROW(D659)),2))),0)</f>
        <v>0.13346922284019769</v>
      </c>
      <c r="N659" s="50">
        <f>IFERROR(IF(VLOOKUP($B659,Input!$AC$2:$AC$162,1,0)=$B659,0),F659)</f>
        <v>32.434621733149903</v>
      </c>
      <c r="O659" s="50">
        <f>IFERROR(IF(VLOOKUP($B659,Input!$AC$2:$AC$162,1,0)=$B659,0,G659),G659)</f>
        <v>52.904751536413301</v>
      </c>
      <c r="P659" s="50">
        <f>IF(N659=0,0,F659-AVERAGE(INDEX(F:F,MATCH(VLOOKUP(D659,Input!$A$14:$L$22,10,0),L:L,0)),INDEX(F:F,MATCH(VLOOKUP(D659,Input!$A$14:$L$22,11,0),L:L,0)),INDEX(F:F,MATCH(VLOOKUP(D659,Input!$A$14:$L$22,12,0),L:L,0)))+(0.01-ROW()*0.01))</f>
        <v>-186.92329453619914</v>
      </c>
      <c r="Q659" s="106">
        <f t="shared" si="130"/>
        <v>-6.4487217110220346E-2</v>
      </c>
      <c r="R659" s="8">
        <f>IF(VLOOKUP($D659,$X$14:$Y$19,2,0)&lt;=0,1,IF(Q659&lt;0,1,ROUNDUP(IF(Q659*('Draft Center'!$L$28+'Draft Center'!$L$78-'Draft Center'!$L$82)&lt;1,1,Q659*('Draft Center'!$L$28+'Draft Center'!$L$78-'Draft Center'!$L$82)),0)))</f>
        <v>1</v>
      </c>
      <c r="S659" s="8">
        <f>IF(A659&lt;Input!$B$10+0.1,IF(ROUNDUP(R659*Input!$C$10,0)=0,1,ROUNDUP(R659*Input!$C$10,0)),IF(A659&gt;Input!$B$11,IF(ROUNDUP(R659*Input!$C$11,0)=0,1,ROUNDUP(R659*Input!$C$11,0)),IF(ROUNDUP(R659,0)=0,1,ROUNDUP(R659,0))))</f>
        <v>1</v>
      </c>
      <c r="T659" s="8">
        <f t="shared" si="131"/>
        <v>1</v>
      </c>
      <c r="U659" s="8">
        <f>IFERROR(VLOOKUP($B659,Input!$AC$2:$AE$161,3,0),0)</f>
        <v>0</v>
      </c>
      <c r="V659" s="256">
        <f t="shared" si="132"/>
        <v>0</v>
      </c>
      <c r="W659" s="263">
        <f t="shared" si="133"/>
        <v>0</v>
      </c>
      <c r="X659" s="68"/>
      <c r="Y659" s="68"/>
      <c r="Z659" s="68"/>
      <c r="AA659" s="68"/>
      <c r="AB659" s="68"/>
      <c r="AC659" s="68"/>
      <c r="AD659" s="68"/>
      <c r="AE659" s="68"/>
      <c r="AF659" s="68"/>
      <c r="AG659" s="68"/>
      <c r="AH659" s="68"/>
      <c r="AI659" s="68"/>
      <c r="AJ659" s="68">
        <v>1</v>
      </c>
      <c r="AL659" s="68">
        <v>1</v>
      </c>
      <c r="AM659" s="68"/>
      <c r="AN659" s="68"/>
      <c r="AO659" s="68"/>
      <c r="AQ659" s="68"/>
      <c r="AR659" s="68"/>
      <c r="AS659" s="68"/>
      <c r="AT659" s="68"/>
      <c r="AU659" s="68"/>
      <c r="AV659" s="68"/>
      <c r="AW659" s="68"/>
      <c r="AX659" s="68"/>
      <c r="AY659" s="68"/>
      <c r="AZ659" s="68"/>
      <c r="BB659" s="68"/>
      <c r="BC659" s="68"/>
      <c r="BJ659" s="68"/>
      <c r="BT659">
        <v>1</v>
      </c>
      <c r="BV659">
        <v>1</v>
      </c>
      <c r="BX659" s="68"/>
      <c r="BY659" s="68">
        <v>1</v>
      </c>
      <c r="BZ659" s="68" t="s">
        <v>1057</v>
      </c>
      <c r="CA659" s="68" t="s">
        <v>1057</v>
      </c>
      <c r="CB659" s="68" t="s">
        <v>1057</v>
      </c>
      <c r="CC659" s="68" t="e">
        <f t="shared" si="134"/>
        <v>#DIV/0!</v>
      </c>
      <c r="CD659" s="68" t="str">
        <f t="shared" si="135"/>
        <v>NA</v>
      </c>
    </row>
    <row r="660" spans="1:82" ht="15.75" customHeight="1" thickBot="1" x14ac:dyDescent="0.3">
      <c r="A660" s="9">
        <v>659</v>
      </c>
      <c r="B660" s="10" t="s">
        <v>1008</v>
      </c>
      <c r="C660" s="10" t="s">
        <v>38</v>
      </c>
      <c r="D660" s="10" t="s">
        <v>17</v>
      </c>
      <c r="E660" s="51">
        <v>-180.389834082292</v>
      </c>
      <c r="F660" s="51">
        <v>32.388082187056803</v>
      </c>
      <c r="G660" s="51">
        <v>48.495159518344998</v>
      </c>
      <c r="H660" s="51">
        <v>6.1851303155006896</v>
      </c>
      <c r="I660" s="11" t="s">
        <v>1057</v>
      </c>
      <c r="J660" s="51">
        <v>7.46384254960787</v>
      </c>
      <c r="K660" s="249">
        <f>IFERROR(VLOOKUP(C660,Schedule!$T$3:$U$34,2,0),"FA")</f>
        <v>6</v>
      </c>
      <c r="L660" s="10" t="str">
        <f>D660&amp;COUNTIF(D$2:$D660,D660)</f>
        <v>WR149</v>
      </c>
      <c r="M660" s="51">
        <f t="array" ref="M660">IFERROR(F660-AVERAGE(VLOOKUP(D660,$D661:$F$885,3,0),INDEX($F661:$F$885,SMALL(IF(D660=$D661:$D$885,ROW($D661:$D$885)-ROW(D660)),2))),0)</f>
        <v>0.65156730343625213</v>
      </c>
      <c r="N660" s="51">
        <f>IFERROR(IF(VLOOKUP($B660,Input!$AC$2:$AC$162,1,0)=$B660,0),F660)</f>
        <v>32.388082187056803</v>
      </c>
      <c r="O660" s="51">
        <f>IFERROR(IF(VLOOKUP($B660,Input!$AC$2:$AC$162,1,0)=$B660,0,G660),G660)</f>
        <v>48.495159518344998</v>
      </c>
      <c r="P660" s="51">
        <f>IF(N660=0,0,F660-AVERAGE(INDEX(F:F,MATCH(VLOOKUP(D660,Input!$A$14:$L$22,10,0),L:L,0)),INDEX(F:F,MATCH(VLOOKUP(D660,Input!$A$14:$L$22,11,0),L:L,0)),INDEX(F:F,MATCH(VLOOKUP(D660,Input!$A$14:$L$22,12,0),L:L,0)))+(0.01-ROW()*0.01))</f>
        <v>-186.97983408229223</v>
      </c>
      <c r="Q660" s="107">
        <f t="shared" si="130"/>
        <v>-6.4506722854505816E-2</v>
      </c>
      <c r="R660" s="11">
        <f>IF(VLOOKUP($D660,$X$14:$Y$19,2,0)&lt;=0,1,IF(Q660&lt;0,1,ROUNDUP(IF(Q660*('Draft Center'!$L$28+'Draft Center'!$L$78-'Draft Center'!$L$82)&lt;1,1,Q660*('Draft Center'!$L$28+'Draft Center'!$L$78-'Draft Center'!$L$82)),0)))</f>
        <v>1</v>
      </c>
      <c r="S660" s="11">
        <f>IF(A660&lt;Input!$B$10+0.1,IF(ROUNDUP(R660*Input!$C$10,0)=0,1,ROUNDUP(R660*Input!$C$10,0)),IF(A660&gt;Input!$B$11,IF(ROUNDUP(R660*Input!$C$11,0)=0,1,ROUNDUP(R660*Input!$C$11,0)),IF(ROUNDUP(R660,0)=0,1,ROUNDUP(R660,0))))</f>
        <v>1</v>
      </c>
      <c r="T660" s="11">
        <f t="shared" si="131"/>
        <v>1</v>
      </c>
      <c r="U660" s="11">
        <f>IFERROR(VLOOKUP($B660,Input!$AC$2:$AE$161,3,0),0)</f>
        <v>0</v>
      </c>
      <c r="V660" s="257">
        <f t="shared" si="132"/>
        <v>0</v>
      </c>
      <c r="W660" s="264">
        <f t="shared" si="133"/>
        <v>0</v>
      </c>
      <c r="X660" s="68"/>
      <c r="Y660" s="68"/>
      <c r="Z660" s="68"/>
      <c r="AA660" s="68"/>
      <c r="AB660" s="68"/>
      <c r="AC660" s="68"/>
      <c r="AD660" s="68"/>
      <c r="AE660" s="68"/>
      <c r="AF660" s="68"/>
      <c r="AG660" s="68"/>
      <c r="AH660" s="68"/>
      <c r="AI660" s="68"/>
      <c r="AJ660" s="68">
        <v>1</v>
      </c>
      <c r="AL660" s="68">
        <v>1</v>
      </c>
      <c r="AM660" s="68"/>
      <c r="AN660" s="68"/>
      <c r="AO660" s="68"/>
      <c r="AQ660" s="68"/>
      <c r="AR660" s="68"/>
      <c r="AS660" s="68"/>
      <c r="AT660" s="68"/>
      <c r="AU660" s="68"/>
      <c r="AV660" s="68"/>
      <c r="AW660" s="68"/>
      <c r="AX660" s="68"/>
      <c r="AY660" s="68"/>
      <c r="AZ660" s="68"/>
      <c r="BB660" s="68"/>
      <c r="BC660" s="68"/>
      <c r="BJ660" s="68"/>
      <c r="BT660">
        <v>1</v>
      </c>
      <c r="BV660">
        <v>1</v>
      </c>
      <c r="BX660" s="68"/>
      <c r="BY660" s="68">
        <v>1</v>
      </c>
      <c r="BZ660" s="68" t="s">
        <v>1057</v>
      </c>
      <c r="CA660" s="68" t="s">
        <v>1057</v>
      </c>
      <c r="CB660" s="68" t="s">
        <v>1057</v>
      </c>
      <c r="CC660" s="68" t="e">
        <f t="shared" si="134"/>
        <v>#DIV/0!</v>
      </c>
      <c r="CD660" s="68" t="str">
        <f t="shared" si="135"/>
        <v>NA</v>
      </c>
    </row>
    <row r="661" spans="1:82" ht="15.75" customHeight="1" thickBot="1" x14ac:dyDescent="0.3">
      <c r="A661" s="6">
        <v>660</v>
      </c>
      <c r="B661" s="7" t="s">
        <v>211</v>
      </c>
      <c r="C661" s="7" t="s">
        <v>311</v>
      </c>
      <c r="D661" s="7" t="s">
        <v>17</v>
      </c>
      <c r="E661" s="50">
        <v>-180.563693435787</v>
      </c>
      <c r="F661" s="50">
        <v>32.214222833562602</v>
      </c>
      <c r="G661" s="50">
        <v>52.660142750779301</v>
      </c>
      <c r="H661" s="50">
        <v>0</v>
      </c>
      <c r="I661" s="8" t="s">
        <v>1057</v>
      </c>
      <c r="J661" s="50">
        <v>8.8174493670281002</v>
      </c>
      <c r="K661" s="248" t="str">
        <f>IFERROR(VLOOKUP(C661,Schedule!$T$3:$U$34,2,0),"FA")</f>
        <v>FA</v>
      </c>
      <c r="L661" s="7" t="str">
        <f>D661&amp;COUNTIF(D$2:$D661,D661)</f>
        <v>WR150</v>
      </c>
      <c r="M661" s="50">
        <f t="array" ref="M661">IFERROR(F661-AVERAGE(VLOOKUP(D661,$D662:$F$885,3,0),INDEX($F662:$F$885,SMALL(IF(D661=$D662:$D$885,ROW($D662:$D$885)-ROW(D661)),2))),0)</f>
        <v>1.2761773914147021</v>
      </c>
      <c r="N661" s="50">
        <f>IFERROR(IF(VLOOKUP($B661,Input!$AC$2:$AC$162,1,0)=$B661,0),F661)</f>
        <v>32.214222833562602</v>
      </c>
      <c r="O661" s="50">
        <f>IFERROR(IF(VLOOKUP($B661,Input!$AC$2:$AC$162,1,0)=$B661,0,G661),G661)</f>
        <v>52.660142750779301</v>
      </c>
      <c r="P661" s="50">
        <f>IF(N661=0,0,F661-AVERAGE(INDEX(F:F,MATCH(VLOOKUP(D661,Input!$A$14:$L$22,10,0),L:L,0)),INDEX(F:F,MATCH(VLOOKUP(D661,Input!$A$14:$L$22,11,0),L:L,0)),INDEX(F:F,MATCH(VLOOKUP(D661,Input!$A$14:$L$22,12,0),L:L,0)))+(0.01-ROW()*0.01))</f>
        <v>-187.16369343578643</v>
      </c>
      <c r="Q661" s="106">
        <f t="shared" si="130"/>
        <v>-6.4570153033585112E-2</v>
      </c>
      <c r="R661" s="8">
        <f>IF(VLOOKUP($D661,$X$14:$Y$19,2,0)&lt;=0,1,IF(Q661&lt;0,1,ROUNDUP(IF(Q661*('Draft Center'!$L$28+'Draft Center'!$L$78-'Draft Center'!$L$82)&lt;1,1,Q661*('Draft Center'!$L$28+'Draft Center'!$L$78-'Draft Center'!$L$82)),0)))</f>
        <v>1</v>
      </c>
      <c r="S661" s="8">
        <f>IF(A661&lt;Input!$B$10+0.1,IF(ROUNDUP(R661*Input!$C$10,0)=0,1,ROUNDUP(R661*Input!$C$10,0)),IF(A661&gt;Input!$B$11,IF(ROUNDUP(R661*Input!$C$11,0)=0,1,ROUNDUP(R661*Input!$C$11,0)),IF(ROUNDUP(R661,0)=0,1,ROUNDUP(R661,0))))</f>
        <v>1</v>
      </c>
      <c r="T661" s="8">
        <f t="shared" si="131"/>
        <v>1</v>
      </c>
      <c r="U661" s="8">
        <f>IFERROR(VLOOKUP($B661,Input!$AC$2:$AE$161,3,0),0)</f>
        <v>0</v>
      </c>
      <c r="V661" s="256">
        <f t="shared" si="132"/>
        <v>0</v>
      </c>
      <c r="W661" s="263">
        <f t="shared" si="133"/>
        <v>0</v>
      </c>
      <c r="X661" s="68"/>
      <c r="Y661" s="68"/>
      <c r="Z661" s="68"/>
      <c r="AA661" s="68"/>
      <c r="AB661" s="68"/>
      <c r="AC661" s="68"/>
      <c r="AD661" s="68"/>
      <c r="AE661" s="68"/>
      <c r="AF661" s="68"/>
      <c r="AG661" s="68"/>
      <c r="AH661" s="68"/>
      <c r="AI661" s="68"/>
      <c r="AJ661" s="68">
        <v>1</v>
      </c>
      <c r="AL661" s="68">
        <v>1</v>
      </c>
      <c r="AM661" s="68"/>
      <c r="AN661" s="68"/>
      <c r="AO661" s="68"/>
      <c r="AQ661" s="68"/>
      <c r="AR661" s="68"/>
      <c r="AS661" s="68"/>
      <c r="AT661" s="68"/>
      <c r="AU661" s="68"/>
      <c r="AV661" s="68"/>
      <c r="AW661" s="68"/>
      <c r="AX661" s="68"/>
      <c r="AY661" s="68"/>
      <c r="AZ661" s="68"/>
      <c r="BB661" s="68"/>
      <c r="BC661" s="68"/>
      <c r="BJ661" s="68"/>
      <c r="BT661">
        <v>1</v>
      </c>
      <c r="BV661">
        <v>1</v>
      </c>
      <c r="BX661" s="68"/>
      <c r="BY661" s="68">
        <v>1</v>
      </c>
      <c r="BZ661" s="68" t="s">
        <v>1057</v>
      </c>
      <c r="CA661" s="68" t="s">
        <v>1057</v>
      </c>
      <c r="CB661" s="68" t="s">
        <v>1057</v>
      </c>
      <c r="CC661" s="68" t="e">
        <f t="shared" si="134"/>
        <v>#DIV/0!</v>
      </c>
      <c r="CD661" s="68" t="str">
        <f t="shared" si="135"/>
        <v>NA</v>
      </c>
    </row>
    <row r="662" spans="1:82" ht="15.75" customHeight="1" thickBot="1" x14ac:dyDescent="0.3">
      <c r="A662" s="9">
        <v>661</v>
      </c>
      <c r="B662" s="10" t="s">
        <v>323</v>
      </c>
      <c r="C662" s="10" t="s">
        <v>16</v>
      </c>
      <c r="D662" s="10" t="s">
        <v>17</v>
      </c>
      <c r="E662" s="51">
        <v>-181.519109335671</v>
      </c>
      <c r="F662" s="51">
        <v>31.2588069336785</v>
      </c>
      <c r="G662" s="51">
        <v>54.073488372093003</v>
      </c>
      <c r="H662" s="51">
        <v>-0.128478057889823</v>
      </c>
      <c r="I662" s="11">
        <v>0</v>
      </c>
      <c r="J662" s="51">
        <v>11.474149314322</v>
      </c>
      <c r="K662" s="249">
        <f>IFERROR(VLOOKUP(C662,Schedule!$T$3:$U$34,2,0),"FA")</f>
        <v>9</v>
      </c>
      <c r="L662" s="10" t="str">
        <f>D662&amp;COUNTIF(D$2:$D662,D662)</f>
        <v>WR151</v>
      </c>
      <c r="M662" s="51">
        <f t="array" ref="M662">IFERROR(F662-AVERAGE(VLOOKUP(D662,$D663:$F$885,3,0),INDEX($F663:$F$885,SMALL(IF(D662=$D663:$D$885,ROW($D663:$D$885)-ROW(D662)),2))),0)</f>
        <v>1.4528205155630509</v>
      </c>
      <c r="N662" s="51">
        <f>IFERROR(IF(VLOOKUP($B662,Input!$AC$2:$AC$162,1,0)=$B662,0),F662)</f>
        <v>31.2588069336785</v>
      </c>
      <c r="O662" s="51">
        <f>IFERROR(IF(VLOOKUP($B662,Input!$AC$2:$AC$162,1,0)=$B662,0,G662),G662)</f>
        <v>54.073488372093003</v>
      </c>
      <c r="P662" s="51">
        <f>IF(N662=0,0,F662-AVERAGE(INDEX(F:F,MATCH(VLOOKUP(D662,Input!$A$14:$L$22,10,0),L:L,0)),INDEX(F:F,MATCH(VLOOKUP(D662,Input!$A$14:$L$22,11,0),L:L,0)),INDEX(F:F,MATCH(VLOOKUP(D662,Input!$A$14:$L$22,12,0),L:L,0)))+(0.01-ROW()*0.01))</f>
        <v>-188.12910933567053</v>
      </c>
      <c r="Q662" s="107">
        <f t="shared" si="130"/>
        <v>-6.4903214704105955E-2</v>
      </c>
      <c r="R662" s="11">
        <f>IF(VLOOKUP($D662,$X$14:$Y$19,2,0)&lt;=0,1,IF(Q662&lt;0,1,ROUNDUP(IF(Q662*('Draft Center'!$L$28+'Draft Center'!$L$78-'Draft Center'!$L$82)&lt;1,1,Q662*('Draft Center'!$L$28+'Draft Center'!$L$78-'Draft Center'!$L$82)),0)))</f>
        <v>1</v>
      </c>
      <c r="S662" s="11">
        <f>IF(A662&lt;Input!$B$10+0.1,IF(ROUNDUP(R662*Input!$C$10,0)=0,1,ROUNDUP(R662*Input!$C$10,0)),IF(A662&gt;Input!$B$11,IF(ROUNDUP(R662*Input!$C$11,0)=0,1,ROUNDUP(R662*Input!$C$11,0)),IF(ROUNDUP(R662,0)=0,1,ROUNDUP(R662,0))))</f>
        <v>1</v>
      </c>
      <c r="T662" s="11">
        <f t="shared" si="131"/>
        <v>1</v>
      </c>
      <c r="U662" s="11">
        <f>IFERROR(VLOOKUP($B662,Input!$AC$2:$AE$161,3,0),0)</f>
        <v>0</v>
      </c>
      <c r="V662" s="257">
        <f t="shared" si="132"/>
        <v>0</v>
      </c>
      <c r="W662" s="264">
        <f t="shared" si="133"/>
        <v>1.0066200000000001</v>
      </c>
      <c r="X662" s="68"/>
      <c r="Y662" s="68"/>
      <c r="Z662" s="68"/>
      <c r="AA662" s="68"/>
      <c r="AB662" s="68"/>
      <c r="AC662" s="68"/>
      <c r="AD662" s="68"/>
      <c r="AE662" s="68"/>
      <c r="AF662" s="68"/>
      <c r="AG662" s="68"/>
      <c r="AH662" s="68"/>
      <c r="AI662" s="68"/>
      <c r="AJ662" s="68">
        <v>1</v>
      </c>
      <c r="AL662" s="68">
        <v>1</v>
      </c>
      <c r="AM662" s="68"/>
      <c r="AN662" s="68"/>
      <c r="AO662" s="68"/>
      <c r="AQ662" s="68"/>
      <c r="AR662" s="68"/>
      <c r="AS662" s="68"/>
      <c r="AT662" s="68"/>
      <c r="AU662" s="68"/>
      <c r="AV662" s="68"/>
      <c r="AW662" s="68"/>
      <c r="AX662" s="68"/>
      <c r="AY662" s="68"/>
      <c r="AZ662" s="68"/>
      <c r="BB662" s="68"/>
      <c r="BC662" s="68"/>
      <c r="BJ662" s="68"/>
      <c r="BT662">
        <v>1</v>
      </c>
      <c r="BV662">
        <v>1</v>
      </c>
      <c r="BX662" s="68"/>
      <c r="BY662" s="68">
        <v>1</v>
      </c>
      <c r="BZ662" s="68">
        <v>0</v>
      </c>
      <c r="CA662" s="68">
        <v>0</v>
      </c>
      <c r="CB662" s="68">
        <v>0</v>
      </c>
      <c r="CC662" s="68">
        <f t="shared" si="134"/>
        <v>0</v>
      </c>
      <c r="CD662" s="68">
        <f t="shared" si="135"/>
        <v>0</v>
      </c>
    </row>
    <row r="663" spans="1:82" ht="15.75" customHeight="1" thickBot="1" x14ac:dyDescent="0.3">
      <c r="A663" s="6">
        <v>662</v>
      </c>
      <c r="B663" s="7" t="s">
        <v>1032</v>
      </c>
      <c r="C663" s="7" t="s">
        <v>83</v>
      </c>
      <c r="D663" s="7" t="s">
        <v>17</v>
      </c>
      <c r="E663" s="50">
        <v>-182.16063231873201</v>
      </c>
      <c r="F663" s="50">
        <v>30.617283950617299</v>
      </c>
      <c r="G663" s="50">
        <v>44.132175720164597</v>
      </c>
      <c r="H663" s="50">
        <v>0</v>
      </c>
      <c r="I663" s="8" t="s">
        <v>1057</v>
      </c>
      <c r="J663" s="50">
        <v>11.156505034540499</v>
      </c>
      <c r="K663" s="248">
        <f>IFERROR(VLOOKUP(C663,Schedule!$T$3:$U$34,2,0),"FA")</f>
        <v>5</v>
      </c>
      <c r="L663" s="7" t="str">
        <f>D663&amp;COUNTIF(D$2:$D663,D663)</f>
        <v>WR152</v>
      </c>
      <c r="M663" s="50">
        <f t="array" ref="M663">IFERROR(F663-AVERAGE(VLOOKUP(D663,$D664:$F$885,3,0),INDEX($F664:$F$885,SMALL(IF(D663=$D664:$D$885,ROW($D664:$D$885)-ROW(D663)),2))),0)</f>
        <v>2.0760373369421501</v>
      </c>
      <c r="N663" s="50">
        <f>IFERROR(IF(VLOOKUP($B663,Input!$AC$2:$AC$162,1,0)=$B663,0),F663)</f>
        <v>30.617283950617299</v>
      </c>
      <c r="O663" s="50">
        <f>IFERROR(IF(VLOOKUP($B663,Input!$AC$2:$AC$162,1,0)=$B663,0,G663),G663)</f>
        <v>44.132175720164597</v>
      </c>
      <c r="P663" s="50">
        <f>IF(N663=0,0,F663-AVERAGE(INDEX(F:F,MATCH(VLOOKUP(D663,Input!$A$14:$L$22,10,0),L:L,0)),INDEX(F:F,MATCH(VLOOKUP(D663,Input!$A$14:$L$22,11,0),L:L,0)),INDEX(F:F,MATCH(VLOOKUP(D663,Input!$A$14:$L$22,12,0),L:L,0)))+(0.01-ROW()*0.01))</f>
        <v>-188.78063231873173</v>
      </c>
      <c r="Q663" s="106">
        <f t="shared" si="130"/>
        <v>-6.512798553411521E-2</v>
      </c>
      <c r="R663" s="8">
        <f>IF(VLOOKUP($D663,$X$14:$Y$19,2,0)&lt;=0,1,IF(Q663&lt;0,1,ROUNDUP(IF(Q663*('Draft Center'!$L$28+'Draft Center'!$L$78-'Draft Center'!$L$82)&lt;1,1,Q663*('Draft Center'!$L$28+'Draft Center'!$L$78-'Draft Center'!$L$82)),0)))</f>
        <v>1</v>
      </c>
      <c r="S663" s="8">
        <f>IF(A663&lt;Input!$B$10+0.1,IF(ROUNDUP(R663*Input!$C$10,0)=0,1,ROUNDUP(R663*Input!$C$10,0)),IF(A663&gt;Input!$B$11,IF(ROUNDUP(R663*Input!$C$11,0)=0,1,ROUNDUP(R663*Input!$C$11,0)),IF(ROUNDUP(R663,0)=0,1,ROUNDUP(R663,0))))</f>
        <v>1</v>
      </c>
      <c r="T663" s="8">
        <f t="shared" si="131"/>
        <v>1</v>
      </c>
      <c r="U663" s="8">
        <f>IFERROR(VLOOKUP($B663,Input!$AC$2:$AE$161,3,0),0)</f>
        <v>0</v>
      </c>
      <c r="V663" s="256">
        <f t="shared" si="132"/>
        <v>0</v>
      </c>
      <c r="W663" s="263">
        <f t="shared" si="133"/>
        <v>0</v>
      </c>
      <c r="X663" s="68"/>
      <c r="Y663" s="68"/>
      <c r="Z663" s="68"/>
      <c r="AA663" s="68"/>
      <c r="AB663" s="68"/>
      <c r="AC663" s="68"/>
      <c r="AD663" s="68"/>
      <c r="AE663" s="68"/>
      <c r="AF663" s="68"/>
      <c r="AG663" s="68"/>
      <c r="AH663" s="68"/>
      <c r="AI663" s="68"/>
      <c r="AJ663" s="68">
        <v>1</v>
      </c>
      <c r="AL663" s="68">
        <v>1</v>
      </c>
      <c r="AM663" s="68"/>
      <c r="AN663" s="68"/>
      <c r="AO663" s="68"/>
      <c r="AQ663" s="68"/>
      <c r="AR663" s="68"/>
      <c r="AS663" s="68"/>
      <c r="AT663" s="68"/>
      <c r="AU663" s="68"/>
      <c r="AV663" s="68"/>
      <c r="AW663" s="68"/>
      <c r="AX663" s="68"/>
      <c r="AY663" s="68"/>
      <c r="AZ663" s="68"/>
      <c r="BB663" s="68"/>
      <c r="BC663" s="68"/>
      <c r="BJ663" s="68"/>
      <c r="BT663">
        <v>1</v>
      </c>
      <c r="BV663">
        <v>1</v>
      </c>
      <c r="BX663" s="68"/>
      <c r="BY663" s="68">
        <v>1</v>
      </c>
      <c r="BZ663" s="68" t="s">
        <v>1057</v>
      </c>
      <c r="CA663" s="68" t="s">
        <v>1057</v>
      </c>
      <c r="CB663" s="68" t="s">
        <v>1057</v>
      </c>
      <c r="CC663" s="68" t="e">
        <f t="shared" si="134"/>
        <v>#DIV/0!</v>
      </c>
      <c r="CD663" s="68" t="str">
        <f t="shared" si="135"/>
        <v>NA</v>
      </c>
    </row>
    <row r="664" spans="1:82" ht="15.75" customHeight="1" thickBot="1" x14ac:dyDescent="0.3">
      <c r="A664" s="9">
        <v>663</v>
      </c>
      <c r="B664" s="10" t="s">
        <v>233</v>
      </c>
      <c r="C664" s="10" t="s">
        <v>21</v>
      </c>
      <c r="D664" s="10" t="s">
        <v>17</v>
      </c>
      <c r="E664" s="51">
        <v>-183.78322738373501</v>
      </c>
      <c r="F664" s="51">
        <v>28.994688885613598</v>
      </c>
      <c r="G664" s="51">
        <v>50.890516100095297</v>
      </c>
      <c r="H664" s="51">
        <v>-9.9134352341759796E-2</v>
      </c>
      <c r="I664" s="11">
        <v>0</v>
      </c>
      <c r="J664" s="51">
        <v>5.8749637327312296</v>
      </c>
      <c r="K664" s="249">
        <f>IFERROR(VLOOKUP(C664,Schedule!$T$3:$U$34,2,0),"FA")</f>
        <v>5</v>
      </c>
      <c r="L664" s="10" t="str">
        <f>D664&amp;COUNTIF(D$2:$D664,D664)</f>
        <v>WR153</v>
      </c>
      <c r="M664" s="51">
        <f t="array" ref="M664">IFERROR(F664-AVERAGE(VLOOKUP(D664,$D665:$F$885,3,0),INDEX($F665:$F$885,SMALL(IF(D664=$D665:$D$885,ROW($D665:$D$885)-ROW(D664)),2))),0)</f>
        <v>2.1406629183215991</v>
      </c>
      <c r="N664" s="51">
        <f>IFERROR(IF(VLOOKUP($B664,Input!$AC$2:$AC$162,1,0)=$B664,0),F664)</f>
        <v>28.994688885613598</v>
      </c>
      <c r="O664" s="51">
        <f>IFERROR(IF(VLOOKUP($B664,Input!$AC$2:$AC$162,1,0)=$B664,0,G664),G664)</f>
        <v>50.890516100095297</v>
      </c>
      <c r="P664" s="51">
        <f>IF(N664=0,0,F664-AVERAGE(INDEX(F:F,MATCH(VLOOKUP(D664,Input!$A$14:$L$22,10,0),L:L,0)),INDEX(F:F,MATCH(VLOOKUP(D664,Input!$A$14:$L$22,11,0),L:L,0)),INDEX(F:F,MATCH(VLOOKUP(D664,Input!$A$14:$L$22,12,0),L:L,0)))+(0.01-ROW()*0.01))</f>
        <v>-190.41322738373543</v>
      </c>
      <c r="Q664" s="107">
        <f t="shared" si="130"/>
        <v>-6.5691219306937346E-2</v>
      </c>
      <c r="R664" s="11">
        <f>IF(VLOOKUP($D664,$X$14:$Y$19,2,0)&lt;=0,1,IF(Q664&lt;0,1,ROUNDUP(IF(Q664*('Draft Center'!$L$28+'Draft Center'!$L$78-'Draft Center'!$L$82)&lt;1,1,Q664*('Draft Center'!$L$28+'Draft Center'!$L$78-'Draft Center'!$L$82)),0)))</f>
        <v>1</v>
      </c>
      <c r="S664" s="11">
        <f>IF(A664&lt;Input!$B$10+0.1,IF(ROUNDUP(R664*Input!$C$10,0)=0,1,ROUNDUP(R664*Input!$C$10,0)),IF(A664&gt;Input!$B$11,IF(ROUNDUP(R664*Input!$C$11,0)=0,1,ROUNDUP(R664*Input!$C$11,0)),IF(ROUNDUP(R664,0)=0,1,ROUNDUP(R664,0))))</f>
        <v>1</v>
      </c>
      <c r="T664" s="11">
        <f t="shared" si="131"/>
        <v>1</v>
      </c>
      <c r="U664" s="11">
        <f>IFERROR(VLOOKUP($B664,Input!$AC$2:$AE$161,3,0),0)</f>
        <v>0</v>
      </c>
      <c r="V664" s="257">
        <f t="shared" si="132"/>
        <v>0</v>
      </c>
      <c r="W664" s="264">
        <f t="shared" si="133"/>
        <v>1.00664</v>
      </c>
      <c r="X664" s="68"/>
      <c r="Y664" s="68"/>
      <c r="Z664" s="68"/>
      <c r="AA664" s="68"/>
      <c r="AB664" s="68"/>
      <c r="AC664" s="68"/>
      <c r="AD664" s="68"/>
      <c r="AE664" s="68"/>
      <c r="AF664" s="68"/>
      <c r="AG664" s="68"/>
      <c r="AH664" s="68"/>
      <c r="AI664" s="68"/>
      <c r="AJ664" s="68">
        <v>1</v>
      </c>
      <c r="AL664" s="68">
        <v>1</v>
      </c>
      <c r="AM664" s="68"/>
      <c r="AN664" s="68"/>
      <c r="AO664" s="68"/>
      <c r="AQ664" s="68"/>
      <c r="AR664" s="68"/>
      <c r="AS664" s="68"/>
      <c r="AT664" s="68"/>
      <c r="AU664" s="68"/>
      <c r="AV664" s="68"/>
      <c r="AW664" s="68"/>
      <c r="AX664" s="68"/>
      <c r="AY664" s="68"/>
      <c r="AZ664" s="68"/>
      <c r="BB664" s="68"/>
      <c r="BC664" s="68"/>
      <c r="BJ664" s="68"/>
      <c r="BT664">
        <v>1</v>
      </c>
      <c r="BV664">
        <v>1</v>
      </c>
      <c r="BX664" s="68"/>
      <c r="BY664" s="68">
        <v>1</v>
      </c>
      <c r="BZ664" s="68">
        <v>0</v>
      </c>
      <c r="CA664" s="68">
        <v>0</v>
      </c>
      <c r="CB664" s="68">
        <v>0</v>
      </c>
      <c r="CC664" s="68">
        <f t="shared" si="134"/>
        <v>0</v>
      </c>
      <c r="CD664" s="68">
        <f t="shared" si="135"/>
        <v>0</v>
      </c>
    </row>
    <row r="665" spans="1:82" ht="15.75" customHeight="1" thickBot="1" x14ac:dyDescent="0.3">
      <c r="A665" s="6">
        <v>664</v>
      </c>
      <c r="B665" s="7" t="s">
        <v>314</v>
      </c>
      <c r="C665" s="7" t="s">
        <v>93</v>
      </c>
      <c r="D665" s="7" t="s">
        <v>17</v>
      </c>
      <c r="E665" s="50">
        <v>-184.69011192761201</v>
      </c>
      <c r="F665" s="50">
        <v>28.0878043417367</v>
      </c>
      <c r="G665" s="50">
        <v>66.645930232558101</v>
      </c>
      <c r="H665" s="50">
        <v>-0.19271708683473401</v>
      </c>
      <c r="I665" s="8" t="s">
        <v>1057</v>
      </c>
      <c r="J665" s="50">
        <v>11.395873810711</v>
      </c>
      <c r="K665" s="248">
        <f>IFERROR(VLOOKUP(C665,Schedule!$T$3:$U$34,2,0),"FA")</f>
        <v>11</v>
      </c>
      <c r="L665" s="7" t="str">
        <f>D665&amp;COUNTIF(D$2:$D665,D665)</f>
        <v>WR154</v>
      </c>
      <c r="M665" s="50">
        <f t="array" ref="M665">IFERROR(F665-AVERAGE(VLOOKUP(D665,$D666:$F$885,3,0),INDEX($F666:$F$885,SMALL(IF(D665=$D666:$D$885,ROW($D666:$D$885)-ROW(D665)),2))),0)</f>
        <v>2.8296406553543001</v>
      </c>
      <c r="N665" s="50">
        <f>IFERROR(IF(VLOOKUP($B665,Input!$AC$2:$AC$162,1,0)=$B665,0),F665)</f>
        <v>28.0878043417367</v>
      </c>
      <c r="O665" s="50">
        <f>IFERROR(IF(VLOOKUP($B665,Input!$AC$2:$AC$162,1,0)=$B665,0,G665),G665)</f>
        <v>66.645930232558101</v>
      </c>
      <c r="P665" s="50">
        <f>IF(N665=0,0,F665-AVERAGE(INDEX(F:F,MATCH(VLOOKUP(D665,Input!$A$14:$L$22,10,0),L:L,0)),INDEX(F:F,MATCH(VLOOKUP(D665,Input!$A$14:$L$22,11,0),L:L,0)),INDEX(F:F,MATCH(VLOOKUP(D665,Input!$A$14:$L$22,12,0),L:L,0)))+(0.01-ROW()*0.01))</f>
        <v>-191.33011192761234</v>
      </c>
      <c r="Q665" s="106">
        <f t="shared" si="130"/>
        <v>-6.6007538002221977E-2</v>
      </c>
      <c r="R665" s="8">
        <f>IF(VLOOKUP($D665,$X$14:$Y$19,2,0)&lt;=0,1,IF(Q665&lt;0,1,ROUNDUP(IF(Q665*('Draft Center'!$L$28+'Draft Center'!$L$78-'Draft Center'!$L$82)&lt;1,1,Q665*('Draft Center'!$L$28+'Draft Center'!$L$78-'Draft Center'!$L$82)),0)))</f>
        <v>1</v>
      </c>
      <c r="S665" s="8">
        <f>IF(A665&lt;Input!$B$10+0.1,IF(ROUNDUP(R665*Input!$C$10,0)=0,1,ROUNDUP(R665*Input!$C$10,0)),IF(A665&gt;Input!$B$11,IF(ROUNDUP(R665*Input!$C$11,0)=0,1,ROUNDUP(R665*Input!$C$11,0)),IF(ROUNDUP(R665,0)=0,1,ROUNDUP(R665,0))))</f>
        <v>1</v>
      </c>
      <c r="T665" s="8">
        <f t="shared" si="131"/>
        <v>1</v>
      </c>
      <c r="U665" s="8">
        <f>IFERROR(VLOOKUP($B665,Input!$AC$2:$AE$161,3,0),0)</f>
        <v>0</v>
      </c>
      <c r="V665" s="256">
        <f t="shared" si="132"/>
        <v>0</v>
      </c>
      <c r="W665" s="263">
        <f t="shared" si="133"/>
        <v>0</v>
      </c>
      <c r="X665" s="68"/>
      <c r="Y665" s="68"/>
      <c r="Z665" s="68"/>
      <c r="AA665" s="68"/>
      <c r="AB665" s="68"/>
      <c r="AC665" s="68"/>
      <c r="AD665" s="68"/>
      <c r="AE665" s="68"/>
      <c r="AF665" s="68"/>
      <c r="AG665" s="68"/>
      <c r="AH665" s="68"/>
      <c r="AI665" s="68"/>
      <c r="AJ665" s="68">
        <v>1</v>
      </c>
      <c r="AL665" s="68">
        <v>1</v>
      </c>
      <c r="AM665" s="68"/>
      <c r="AN665" s="68"/>
      <c r="AO665" s="68"/>
      <c r="AQ665" s="68"/>
      <c r="AR665" s="68"/>
      <c r="AS665" s="68"/>
      <c r="AT665" s="68"/>
      <c r="AU665" s="68"/>
      <c r="AV665" s="68"/>
      <c r="AW665" s="68"/>
      <c r="AX665" s="68"/>
      <c r="AY665" s="68"/>
      <c r="AZ665" s="68"/>
      <c r="BB665" s="68"/>
      <c r="BC665" s="68"/>
      <c r="BJ665" s="68"/>
      <c r="BT665">
        <v>1</v>
      </c>
      <c r="BV665">
        <v>1</v>
      </c>
      <c r="BX665" s="68"/>
      <c r="BY665" s="68">
        <v>1</v>
      </c>
      <c r="BZ665" s="68" t="s">
        <v>1057</v>
      </c>
      <c r="CA665" s="68" t="s">
        <v>1057</v>
      </c>
      <c r="CB665" s="68" t="s">
        <v>1057</v>
      </c>
      <c r="CC665" s="68" t="e">
        <f t="shared" si="134"/>
        <v>#DIV/0!</v>
      </c>
      <c r="CD665" s="68" t="str">
        <f t="shared" si="135"/>
        <v>NA</v>
      </c>
    </row>
    <row r="666" spans="1:82" ht="15.75" customHeight="1" thickBot="1" x14ac:dyDescent="0.3">
      <c r="A666" s="9">
        <v>665</v>
      </c>
      <c r="B666" s="10" t="s">
        <v>145</v>
      </c>
      <c r="C666" s="10" t="s">
        <v>311</v>
      </c>
      <c r="D666" s="10" t="s">
        <v>17</v>
      </c>
      <c r="E666" s="51">
        <v>-187.157668676502</v>
      </c>
      <c r="F666" s="51">
        <v>25.620247592847299</v>
      </c>
      <c r="G666" s="51">
        <v>42.560075918377599</v>
      </c>
      <c r="H666" s="51">
        <v>0</v>
      </c>
      <c r="I666" s="11" t="s">
        <v>1057</v>
      </c>
      <c r="J666" s="51">
        <v>7.3518709739320602</v>
      </c>
      <c r="K666" s="249" t="str">
        <f>IFERROR(VLOOKUP(C666,Schedule!$T$3:$U$34,2,0),"FA")</f>
        <v>FA</v>
      </c>
      <c r="L666" s="10" t="str">
        <f>D666&amp;COUNTIF(D$2:$D666,D666)</f>
        <v>WR155</v>
      </c>
      <c r="M666" s="51">
        <f t="array" ref="M666">IFERROR(F666-AVERAGE(VLOOKUP(D666,$D667:$F$885,3,0),INDEX($F667:$F$885,SMALL(IF(D666=$D667:$D$885,ROW($D667:$D$885)-ROW(D666)),2))),0)</f>
        <v>0.95525455162805173</v>
      </c>
      <c r="N666" s="51">
        <f>IFERROR(IF(VLOOKUP($B666,Input!$AC$2:$AC$162,1,0)=$B666,0),F666)</f>
        <v>25.620247592847299</v>
      </c>
      <c r="O666" s="51">
        <f>IFERROR(IF(VLOOKUP($B666,Input!$AC$2:$AC$162,1,0)=$B666,0,G666),G666)</f>
        <v>42.560075918377599</v>
      </c>
      <c r="P666" s="51">
        <f>IF(N666=0,0,F666-AVERAGE(INDEX(F:F,MATCH(VLOOKUP(D666,Input!$A$14:$L$22,10,0),L:L,0)),INDEX(F:F,MATCH(VLOOKUP(D666,Input!$A$14:$L$22,11,0),L:L,0)),INDEX(F:F,MATCH(VLOOKUP(D666,Input!$A$14:$L$22,12,0),L:L,0)))+(0.01-ROW()*0.01))</f>
        <v>-193.80766867650172</v>
      </c>
      <c r="Q666" s="107">
        <f t="shared" si="130"/>
        <v>-6.6862277591340349E-2</v>
      </c>
      <c r="R666" s="11">
        <f>IF(VLOOKUP($D666,$X$14:$Y$19,2,0)&lt;=0,1,IF(Q666&lt;0,1,ROUNDUP(IF(Q666*('Draft Center'!$L$28+'Draft Center'!$L$78-'Draft Center'!$L$82)&lt;1,1,Q666*('Draft Center'!$L$28+'Draft Center'!$L$78-'Draft Center'!$L$82)),0)))</f>
        <v>1</v>
      </c>
      <c r="S666" s="11">
        <f>IF(A666&lt;Input!$B$10+0.1,IF(ROUNDUP(R666*Input!$C$10,0)=0,1,ROUNDUP(R666*Input!$C$10,0)),IF(A666&gt;Input!$B$11,IF(ROUNDUP(R666*Input!$C$11,0)=0,1,ROUNDUP(R666*Input!$C$11,0)),IF(ROUNDUP(R666,0)=0,1,ROUNDUP(R666,0))))</f>
        <v>1</v>
      </c>
      <c r="T666" s="11">
        <f t="shared" si="131"/>
        <v>1</v>
      </c>
      <c r="U666" s="11">
        <f>IFERROR(VLOOKUP($B666,Input!$AC$2:$AE$161,3,0),0)</f>
        <v>0</v>
      </c>
      <c r="V666" s="257">
        <f t="shared" si="132"/>
        <v>0</v>
      </c>
      <c r="W666" s="264">
        <f t="shared" si="133"/>
        <v>0</v>
      </c>
      <c r="X666" s="68"/>
      <c r="Y666" s="68"/>
      <c r="Z666" s="68"/>
      <c r="AA666" s="68"/>
      <c r="AB666" s="68"/>
      <c r="AC666" s="68"/>
      <c r="AD666" s="68"/>
      <c r="AE666" s="68"/>
      <c r="AF666" s="68"/>
      <c r="AG666" s="68"/>
      <c r="AH666" s="68"/>
      <c r="AI666" s="68"/>
      <c r="AJ666" s="68">
        <v>1</v>
      </c>
      <c r="AL666" s="68">
        <v>1</v>
      </c>
      <c r="AM666" s="68"/>
      <c r="AN666" s="68"/>
      <c r="AO666" s="68"/>
      <c r="AQ666" s="68"/>
      <c r="AR666" s="68"/>
      <c r="AS666" s="68"/>
      <c r="AT666" s="68"/>
      <c r="AU666" s="68"/>
      <c r="AV666" s="68"/>
      <c r="AW666" s="68"/>
      <c r="AX666" s="68"/>
      <c r="AY666" s="68"/>
      <c r="AZ666" s="68"/>
      <c r="BB666" s="68"/>
      <c r="BC666" s="68"/>
      <c r="BJ666" s="68"/>
      <c r="BT666">
        <v>1</v>
      </c>
      <c r="BV666">
        <v>1</v>
      </c>
      <c r="BX666" s="68"/>
      <c r="BY666" s="68">
        <v>1</v>
      </c>
      <c r="BZ666" s="68" t="s">
        <v>1057</v>
      </c>
      <c r="CA666" s="68" t="s">
        <v>1057</v>
      </c>
      <c r="CB666" s="68" t="s">
        <v>1057</v>
      </c>
      <c r="CC666" s="68" t="e">
        <f t="shared" si="134"/>
        <v>#DIV/0!</v>
      </c>
      <c r="CD666" s="68" t="str">
        <f t="shared" si="135"/>
        <v>NA</v>
      </c>
    </row>
    <row r="667" spans="1:82" ht="15.75" customHeight="1" thickBot="1" x14ac:dyDescent="0.3">
      <c r="A667" s="6">
        <v>666</v>
      </c>
      <c r="B667" s="7" t="s">
        <v>525</v>
      </c>
      <c r="C667" s="7" t="s">
        <v>311</v>
      </c>
      <c r="D667" s="7" t="s">
        <v>17</v>
      </c>
      <c r="E667" s="50">
        <v>-187.881836489432</v>
      </c>
      <c r="F667" s="50">
        <v>24.8960797799175</v>
      </c>
      <c r="G667" s="50">
        <v>40.642052042451702</v>
      </c>
      <c r="H667" s="50">
        <v>0</v>
      </c>
      <c r="I667" s="8" t="s">
        <v>1057</v>
      </c>
      <c r="J667" s="50">
        <v>5.6309971918475901</v>
      </c>
      <c r="K667" s="248" t="str">
        <f>IFERROR(VLOOKUP(C667,Schedule!$T$3:$U$34,2,0),"FA")</f>
        <v>FA</v>
      </c>
      <c r="L667" s="7" t="str">
        <f>D667&amp;COUNTIF(D$2:$D667,D667)</f>
        <v>WR156</v>
      </c>
      <c r="M667" s="50">
        <f t="array" ref="M667">IFERROR(F667-AVERAGE(VLOOKUP(D667,$D668:$F$885,3,0),INDEX($F668:$F$885,SMALL(IF(D667=$D668:$D$885,ROW($D668:$D$885)-ROW(D667)),2))),0)</f>
        <v>0.4769979770625028</v>
      </c>
      <c r="N667" s="50">
        <f>IFERROR(IF(VLOOKUP($B667,Input!$AC$2:$AC$162,1,0)=$B667,0),F667)</f>
        <v>24.8960797799175</v>
      </c>
      <c r="O667" s="50">
        <f>IFERROR(IF(VLOOKUP($B667,Input!$AC$2:$AC$162,1,0)=$B667,0,G667),G667)</f>
        <v>40.642052042451702</v>
      </c>
      <c r="P667" s="50">
        <f>IF(N667=0,0,F667-AVERAGE(INDEX(F:F,MATCH(VLOOKUP(D667,Input!$A$14:$L$22,10,0),L:L,0)),INDEX(F:F,MATCH(VLOOKUP(D667,Input!$A$14:$L$22,11,0),L:L,0)),INDEX(F:F,MATCH(VLOOKUP(D667,Input!$A$14:$L$22,12,0),L:L,0)))+(0.01-ROW()*0.01))</f>
        <v>-194.54183648943152</v>
      </c>
      <c r="Q667" s="106">
        <f t="shared" si="130"/>
        <v>-6.7115560304258567E-2</v>
      </c>
      <c r="R667" s="8">
        <f>IF(VLOOKUP($D667,$X$14:$Y$19,2,0)&lt;=0,1,IF(Q667&lt;0,1,ROUNDUP(IF(Q667*('Draft Center'!$L$28+'Draft Center'!$L$78-'Draft Center'!$L$82)&lt;1,1,Q667*('Draft Center'!$L$28+'Draft Center'!$L$78-'Draft Center'!$L$82)),0)))</f>
        <v>1</v>
      </c>
      <c r="S667" s="8">
        <f>IF(A667&lt;Input!$B$10+0.1,IF(ROUNDUP(R667*Input!$C$10,0)=0,1,ROUNDUP(R667*Input!$C$10,0)),IF(A667&gt;Input!$B$11,IF(ROUNDUP(R667*Input!$C$11,0)=0,1,ROUNDUP(R667*Input!$C$11,0)),IF(ROUNDUP(R667,0)=0,1,ROUNDUP(R667,0))))</f>
        <v>1</v>
      </c>
      <c r="T667" s="8">
        <f t="shared" si="131"/>
        <v>1</v>
      </c>
      <c r="U667" s="8">
        <f>IFERROR(VLOOKUP($B667,Input!$AC$2:$AE$161,3,0),0)</f>
        <v>0</v>
      </c>
      <c r="V667" s="256">
        <f t="shared" si="132"/>
        <v>0</v>
      </c>
      <c r="W667" s="263">
        <f t="shared" si="133"/>
        <v>0</v>
      </c>
      <c r="X667" s="68"/>
      <c r="Y667" s="68"/>
      <c r="Z667" s="68"/>
      <c r="AA667" s="68"/>
      <c r="AB667" s="68"/>
      <c r="AC667" s="68"/>
      <c r="AD667" s="68"/>
      <c r="AE667" s="68"/>
      <c r="AF667" s="68"/>
      <c r="AG667" s="68"/>
      <c r="AH667" s="68"/>
      <c r="AI667" s="68"/>
      <c r="AJ667" s="68">
        <v>1</v>
      </c>
      <c r="AL667" s="68">
        <v>1</v>
      </c>
      <c r="AM667" s="68"/>
      <c r="AN667" s="68"/>
      <c r="AO667" s="68"/>
      <c r="AQ667" s="68"/>
      <c r="AR667" s="68"/>
      <c r="AS667" s="68"/>
      <c r="AT667" s="68"/>
      <c r="AU667" s="68"/>
      <c r="AV667" s="68"/>
      <c r="AW667" s="68"/>
      <c r="AX667" s="68"/>
      <c r="AY667" s="68"/>
      <c r="AZ667" s="68"/>
      <c r="BB667" s="68"/>
      <c r="BC667" s="68"/>
      <c r="BJ667" s="68"/>
      <c r="BT667">
        <v>1</v>
      </c>
      <c r="BV667">
        <v>1</v>
      </c>
      <c r="BX667" s="68"/>
      <c r="BY667" s="68">
        <v>1</v>
      </c>
      <c r="BZ667" s="68" t="s">
        <v>1057</v>
      </c>
      <c r="CA667" s="68" t="s">
        <v>1057</v>
      </c>
      <c r="CB667" s="68" t="s">
        <v>1057</v>
      </c>
      <c r="CC667" s="68" t="e">
        <f t="shared" si="134"/>
        <v>#DIV/0!</v>
      </c>
      <c r="CD667" s="68" t="str">
        <f t="shared" si="135"/>
        <v>NA</v>
      </c>
    </row>
    <row r="668" spans="1:82" ht="15.75" customHeight="1" thickBot="1" x14ac:dyDescent="0.3">
      <c r="A668" s="9">
        <v>667</v>
      </c>
      <c r="B668" s="10" t="s">
        <v>1012</v>
      </c>
      <c r="C668" s="10" t="s">
        <v>93</v>
      </c>
      <c r="D668" s="10" t="s">
        <v>17</v>
      </c>
      <c r="E668" s="51">
        <v>-188.344009966828</v>
      </c>
      <c r="F668" s="51">
        <v>24.433906302520999</v>
      </c>
      <c r="G668" s="51">
        <v>29.781882499999998</v>
      </c>
      <c r="H668" s="51">
        <v>10.187785714285701</v>
      </c>
      <c r="I668" s="11" t="s">
        <v>1057</v>
      </c>
      <c r="J668" s="51">
        <v>5.4515605116595403</v>
      </c>
      <c r="K668" s="249">
        <f>IFERROR(VLOOKUP(C668,Schedule!$T$3:$U$34,2,0),"FA")</f>
        <v>11</v>
      </c>
      <c r="L668" s="10" t="str">
        <f>D668&amp;COUNTIF(D$2:$D668,D668)</f>
        <v>WR157</v>
      </c>
      <c r="M668" s="51">
        <f t="array" ref="M668">IFERROR(F668-AVERAGE(VLOOKUP(D668,$D669:$F$885,3,0),INDEX($F669:$F$885,SMALL(IF(D668=$D669:$D$885,ROW($D669:$D$885)-ROW(D668)),2))),0)</f>
        <v>8.9415022541800226E-2</v>
      </c>
      <c r="N668" s="51">
        <f>IFERROR(IF(VLOOKUP($B668,Input!$AC$2:$AC$162,1,0)=$B668,0),F668)</f>
        <v>24.433906302520999</v>
      </c>
      <c r="O668" s="51">
        <f>IFERROR(IF(VLOOKUP($B668,Input!$AC$2:$AC$162,1,0)=$B668,0,G668),G668)</f>
        <v>29.781882499999998</v>
      </c>
      <c r="P668" s="51">
        <f>IF(N668=0,0,F668-AVERAGE(INDEX(F:F,MATCH(VLOOKUP(D668,Input!$A$14:$L$22,10,0),L:L,0)),INDEX(F:F,MATCH(VLOOKUP(D668,Input!$A$14:$L$22,11,0),L:L,0)),INDEX(F:F,MATCH(VLOOKUP(D668,Input!$A$14:$L$22,12,0),L:L,0)))+(0.01-ROW()*0.01))</f>
        <v>-195.01400996682801</v>
      </c>
      <c r="Q668" s="107">
        <f t="shared" si="130"/>
        <v>-6.7278456820854357E-2</v>
      </c>
      <c r="R668" s="11">
        <f>IF(VLOOKUP($D668,$X$14:$Y$19,2,0)&lt;=0,1,IF(Q668&lt;0,1,ROUNDUP(IF(Q668*('Draft Center'!$L$28+'Draft Center'!$L$78-'Draft Center'!$L$82)&lt;1,1,Q668*('Draft Center'!$L$28+'Draft Center'!$L$78-'Draft Center'!$L$82)),0)))</f>
        <v>1</v>
      </c>
      <c r="S668" s="11">
        <f>IF(A668&lt;Input!$B$10+0.1,IF(ROUNDUP(R668*Input!$C$10,0)=0,1,ROUNDUP(R668*Input!$C$10,0)),IF(A668&gt;Input!$B$11,IF(ROUNDUP(R668*Input!$C$11,0)=0,1,ROUNDUP(R668*Input!$C$11,0)),IF(ROUNDUP(R668,0)=0,1,ROUNDUP(R668,0))))</f>
        <v>1</v>
      </c>
      <c r="T668" s="11">
        <f t="shared" si="131"/>
        <v>1</v>
      </c>
      <c r="U668" s="11">
        <f>IFERROR(VLOOKUP($B668,Input!$AC$2:$AE$161,3,0),0)</f>
        <v>0</v>
      </c>
      <c r="V668" s="257">
        <f t="shared" si="132"/>
        <v>0</v>
      </c>
      <c r="W668" s="264">
        <f t="shared" si="133"/>
        <v>0</v>
      </c>
      <c r="X668" s="68"/>
      <c r="Y668" s="68"/>
      <c r="Z668" s="68"/>
      <c r="AA668" s="68"/>
      <c r="AB668" s="68"/>
      <c r="AC668" s="68"/>
      <c r="AD668" s="68"/>
      <c r="AE668" s="68"/>
      <c r="AF668" s="68"/>
      <c r="AG668" s="68"/>
      <c r="AH668" s="68"/>
      <c r="AI668" s="68"/>
      <c r="AJ668" s="68">
        <v>1</v>
      </c>
      <c r="AL668" s="68">
        <v>1</v>
      </c>
      <c r="AM668" s="68"/>
      <c r="AN668" s="68"/>
      <c r="AO668" s="68"/>
      <c r="AQ668" s="68"/>
      <c r="AR668" s="68"/>
      <c r="AS668" s="68"/>
      <c r="AT668" s="68"/>
      <c r="AU668" s="68"/>
      <c r="AV668" s="68"/>
      <c r="AW668" s="68"/>
      <c r="AX668" s="68"/>
      <c r="AY668" s="68"/>
      <c r="AZ668" s="68"/>
      <c r="BB668" s="68"/>
      <c r="BC668" s="68"/>
      <c r="BJ668" s="68"/>
      <c r="BT668">
        <v>1</v>
      </c>
      <c r="BV668">
        <v>1</v>
      </c>
      <c r="BX668" s="68"/>
      <c r="BY668" s="68">
        <v>1</v>
      </c>
      <c r="BZ668" s="68" t="s">
        <v>1057</v>
      </c>
      <c r="CA668" s="68" t="s">
        <v>1057</v>
      </c>
      <c r="CB668" s="68" t="s">
        <v>1057</v>
      </c>
      <c r="CC668" s="68" t="e">
        <f t="shared" si="134"/>
        <v>#DIV/0!</v>
      </c>
      <c r="CD668" s="68" t="str">
        <f t="shared" si="135"/>
        <v>NA</v>
      </c>
    </row>
    <row r="669" spans="1:82" ht="15.75" customHeight="1" thickBot="1" x14ac:dyDescent="0.3">
      <c r="A669" s="6">
        <v>668</v>
      </c>
      <c r="B669" s="7" t="s">
        <v>518</v>
      </c>
      <c r="C669" s="7" t="s">
        <v>31</v>
      </c>
      <c r="D669" s="7" t="s">
        <v>17</v>
      </c>
      <c r="E669" s="50">
        <v>-188.37365896616001</v>
      </c>
      <c r="F669" s="50">
        <v>24.404257303188999</v>
      </c>
      <c r="G669" s="50">
        <v>48.286789885508199</v>
      </c>
      <c r="H669" s="50">
        <v>0</v>
      </c>
      <c r="I669" s="8" t="s">
        <v>1057</v>
      </c>
      <c r="J669" s="50">
        <v>4.8084668276708404</v>
      </c>
      <c r="K669" s="248">
        <f>IFERROR(VLOOKUP(C669,Schedule!$T$3:$U$34,2,0),"FA")</f>
        <v>9</v>
      </c>
      <c r="L669" s="7" t="str">
        <f>D669&amp;COUNTIF(D$2:$D669,D669)</f>
        <v>WR158</v>
      </c>
      <c r="M669" s="50">
        <f t="array" ref="M669">IFERROR(F669-AVERAGE(VLOOKUP(D669,$D670:$F$885,3,0),INDEX($F670:$F$885,SMALL(IF(D669=$D670:$D$885,ROW($D670:$D$885)-ROW(D669)),2))),0)</f>
        <v>0.20117863968700078</v>
      </c>
      <c r="N669" s="50">
        <f>IFERROR(IF(VLOOKUP($B669,Input!$AC$2:$AC$162,1,0)=$B669,0),F669)</f>
        <v>24.404257303188999</v>
      </c>
      <c r="O669" s="50">
        <f>IFERROR(IF(VLOOKUP($B669,Input!$AC$2:$AC$162,1,0)=$B669,0,G669),G669)</f>
        <v>48.286789885508199</v>
      </c>
      <c r="P669" s="50">
        <f>IF(N669=0,0,F669-AVERAGE(INDEX(F:F,MATCH(VLOOKUP(D669,Input!$A$14:$L$22,10,0),L:L,0)),INDEX(F:F,MATCH(VLOOKUP(D669,Input!$A$14:$L$22,11,0),L:L,0)),INDEX(F:F,MATCH(VLOOKUP(D669,Input!$A$14:$L$22,12,0),L:L,0)))+(0.01-ROW()*0.01))</f>
        <v>-195.05365896616001</v>
      </c>
      <c r="Q669" s="106">
        <f t="shared" si="130"/>
        <v>-6.7292135445738796E-2</v>
      </c>
      <c r="R669" s="8">
        <f>IF(VLOOKUP($D669,$X$14:$Y$19,2,0)&lt;=0,1,IF(Q669&lt;0,1,ROUNDUP(IF(Q669*('Draft Center'!$L$28+'Draft Center'!$L$78-'Draft Center'!$L$82)&lt;1,1,Q669*('Draft Center'!$L$28+'Draft Center'!$L$78-'Draft Center'!$L$82)),0)))</f>
        <v>1</v>
      </c>
      <c r="S669" s="8">
        <f>IF(A669&lt;Input!$B$10+0.1,IF(ROUNDUP(R669*Input!$C$10,0)=0,1,ROUNDUP(R669*Input!$C$10,0)),IF(A669&gt;Input!$B$11,IF(ROUNDUP(R669*Input!$C$11,0)=0,1,ROUNDUP(R669*Input!$C$11,0)),IF(ROUNDUP(R669,0)=0,1,ROUNDUP(R669,0))))</f>
        <v>1</v>
      </c>
      <c r="T669" s="8">
        <f t="shared" si="131"/>
        <v>1</v>
      </c>
      <c r="U669" s="8">
        <f>IFERROR(VLOOKUP($B669,Input!$AC$2:$AE$161,3,0),0)</f>
        <v>0</v>
      </c>
      <c r="V669" s="256">
        <f t="shared" si="132"/>
        <v>0</v>
      </c>
      <c r="W669" s="263">
        <f t="shared" si="133"/>
        <v>0</v>
      </c>
      <c r="X669" s="68"/>
      <c r="Y669" s="68"/>
      <c r="Z669" s="68"/>
      <c r="AA669" s="68"/>
      <c r="AB669" s="68"/>
      <c r="AC669" s="68"/>
      <c r="AD669" s="68"/>
      <c r="AE669" s="68"/>
      <c r="AF669" s="68"/>
      <c r="AG669" s="68"/>
      <c r="AH669" s="68"/>
      <c r="AI669" s="68"/>
      <c r="AJ669" s="68">
        <v>1</v>
      </c>
      <c r="AL669" s="68">
        <v>1</v>
      </c>
      <c r="AM669" s="68"/>
      <c r="AN669" s="68"/>
      <c r="AO669" s="68"/>
      <c r="AQ669" s="68"/>
      <c r="AR669" s="68"/>
      <c r="AS669" s="68"/>
      <c r="AT669" s="68"/>
      <c r="AU669" s="68"/>
      <c r="AV669" s="68"/>
      <c r="AW669" s="68"/>
      <c r="AX669" s="68"/>
      <c r="AY669" s="68"/>
      <c r="AZ669" s="68"/>
      <c r="BB669" s="68"/>
      <c r="BC669" s="68"/>
      <c r="BJ669" s="68"/>
      <c r="BT669">
        <v>1</v>
      </c>
      <c r="BV669">
        <v>1</v>
      </c>
      <c r="BX669" s="68"/>
      <c r="BY669" s="68">
        <v>1</v>
      </c>
      <c r="BZ669" s="68" t="s">
        <v>1057</v>
      </c>
      <c r="CA669" s="68" t="s">
        <v>1057</v>
      </c>
      <c r="CB669" s="68" t="s">
        <v>1057</v>
      </c>
      <c r="CC669" s="68" t="e">
        <f t="shared" si="134"/>
        <v>#DIV/0!</v>
      </c>
      <c r="CD669" s="68" t="str">
        <f t="shared" si="135"/>
        <v>NA</v>
      </c>
    </row>
    <row r="670" spans="1:82" ht="15.75" customHeight="1" thickBot="1" x14ac:dyDescent="0.3">
      <c r="A670" s="9">
        <v>669</v>
      </c>
      <c r="B670" s="10" t="s">
        <v>160</v>
      </c>
      <c r="C670" s="10" t="s">
        <v>31</v>
      </c>
      <c r="D670" s="10" t="s">
        <v>17</v>
      </c>
      <c r="E670" s="51">
        <v>-188.49319101258001</v>
      </c>
      <c r="F670" s="51">
        <v>24.284725256769399</v>
      </c>
      <c r="G670" s="51">
        <v>52.868348623853201</v>
      </c>
      <c r="H670" s="51">
        <v>-6.4239028944911306E-2</v>
      </c>
      <c r="I670" s="11" t="s">
        <v>1057</v>
      </c>
      <c r="J670" s="51">
        <v>7.9145178106630203</v>
      </c>
      <c r="K670" s="249">
        <f>IFERROR(VLOOKUP(C670,Schedule!$T$3:$U$34,2,0),"FA")</f>
        <v>9</v>
      </c>
      <c r="L670" s="10" t="str">
        <f>D670&amp;COUNTIF(D$2:$D670,D670)</f>
        <v>WR159</v>
      </c>
      <c r="M670" s="51">
        <f t="array" ref="M670">IFERROR(F670-AVERAGE(VLOOKUP(D670,$D671:$F$885,3,0),INDEX($F671:$F$885,SMALL(IF(D670=$D671:$D$885,ROW($D671:$D$885)-ROW(D670)),2))),0)</f>
        <v>0.64391650616359897</v>
      </c>
      <c r="N670" s="51">
        <f>IFERROR(IF(VLOOKUP($B670,Input!$AC$2:$AC$162,1,0)=$B670,0),F670)</f>
        <v>24.284725256769399</v>
      </c>
      <c r="O670" s="51">
        <f>IFERROR(IF(VLOOKUP($B670,Input!$AC$2:$AC$162,1,0)=$B670,0,G670),G670)</f>
        <v>52.868348623853201</v>
      </c>
      <c r="P670" s="51">
        <f>IF(N670=0,0,F670-AVERAGE(INDEX(F:F,MATCH(VLOOKUP(D670,Input!$A$14:$L$22,10,0),L:L,0)),INDEX(F:F,MATCH(VLOOKUP(D670,Input!$A$14:$L$22,11,0),L:L,0)),INDEX(F:F,MATCH(VLOOKUP(D670,Input!$A$14:$L$22,12,0),L:L,0)))+(0.01-ROW()*0.01))</f>
        <v>-195.18319101257961</v>
      </c>
      <c r="Q670" s="107">
        <f t="shared" si="130"/>
        <v>-6.7336823087377679E-2</v>
      </c>
      <c r="R670" s="11">
        <f>IF(VLOOKUP($D670,$X$14:$Y$19,2,0)&lt;=0,1,IF(Q670&lt;0,1,ROUNDUP(IF(Q670*('Draft Center'!$L$28+'Draft Center'!$L$78-'Draft Center'!$L$82)&lt;1,1,Q670*('Draft Center'!$L$28+'Draft Center'!$L$78-'Draft Center'!$L$82)),0)))</f>
        <v>1</v>
      </c>
      <c r="S670" s="11">
        <f>IF(A670&lt;Input!$B$10+0.1,IF(ROUNDUP(R670*Input!$C$10,0)=0,1,ROUNDUP(R670*Input!$C$10,0)),IF(A670&gt;Input!$B$11,IF(ROUNDUP(R670*Input!$C$11,0)=0,1,ROUNDUP(R670*Input!$C$11,0)),IF(ROUNDUP(R670,0)=0,1,ROUNDUP(R670,0))))</f>
        <v>1</v>
      </c>
      <c r="T670" s="11">
        <f t="shared" si="131"/>
        <v>1</v>
      </c>
      <c r="U670" s="11">
        <f>IFERROR(VLOOKUP($B670,Input!$AC$2:$AE$161,3,0),0)</f>
        <v>0</v>
      </c>
      <c r="V670" s="257">
        <f t="shared" si="132"/>
        <v>0</v>
      </c>
      <c r="W670" s="264">
        <f t="shared" si="133"/>
        <v>0</v>
      </c>
      <c r="X670" s="68"/>
      <c r="Y670" s="68"/>
      <c r="Z670" s="68"/>
      <c r="AA670" s="68"/>
      <c r="AB670" s="68"/>
      <c r="AC670" s="68"/>
      <c r="AD670" s="68"/>
      <c r="AE670" s="68"/>
      <c r="AF670" s="68"/>
      <c r="AG670" s="68"/>
      <c r="AH670" s="68"/>
      <c r="AI670" s="68"/>
      <c r="AJ670" s="68">
        <v>1</v>
      </c>
      <c r="AL670" s="68">
        <v>1</v>
      </c>
      <c r="AM670" s="68"/>
      <c r="AN670" s="68"/>
      <c r="AO670" s="68"/>
      <c r="AQ670" s="68"/>
      <c r="AR670" s="68"/>
      <c r="AS670" s="68"/>
      <c r="AT670" s="68"/>
      <c r="AU670" s="68"/>
      <c r="AV670" s="68"/>
      <c r="AW670" s="68"/>
      <c r="AX670" s="68"/>
      <c r="AY670" s="68"/>
      <c r="AZ670" s="68"/>
      <c r="BB670" s="68"/>
      <c r="BC670" s="68"/>
      <c r="BJ670" s="68"/>
      <c r="BT670">
        <v>1</v>
      </c>
      <c r="BV670">
        <v>1</v>
      </c>
      <c r="BX670" s="68"/>
      <c r="BY670" s="68">
        <v>1</v>
      </c>
      <c r="BZ670" s="68" t="s">
        <v>1057</v>
      </c>
      <c r="CA670" s="68" t="s">
        <v>1057</v>
      </c>
      <c r="CB670" s="68" t="s">
        <v>1057</v>
      </c>
      <c r="CC670" s="68" t="e">
        <f t="shared" si="134"/>
        <v>#DIV/0!</v>
      </c>
      <c r="CD670" s="68" t="str">
        <f t="shared" si="135"/>
        <v>NA</v>
      </c>
    </row>
    <row r="671" spans="1:82" ht="15.75" customHeight="1" thickBot="1" x14ac:dyDescent="0.3">
      <c r="A671" s="6">
        <v>670</v>
      </c>
      <c r="B671" s="7" t="s">
        <v>468</v>
      </c>
      <c r="C671" s="7" t="s">
        <v>83</v>
      </c>
      <c r="D671" s="7" t="s">
        <v>17</v>
      </c>
      <c r="E671" s="50">
        <v>-188.656484199114</v>
      </c>
      <c r="F671" s="50">
        <v>24.121432070234601</v>
      </c>
      <c r="G671" s="50">
        <v>40.415350399778198</v>
      </c>
      <c r="H671" s="50">
        <v>0</v>
      </c>
      <c r="I671" s="8">
        <v>0</v>
      </c>
      <c r="J671" s="50">
        <v>5.3263013772103998</v>
      </c>
      <c r="K671" s="248">
        <f>IFERROR(VLOOKUP(C671,Schedule!$T$3:$U$34,2,0),"FA")</f>
        <v>5</v>
      </c>
      <c r="L671" s="7" t="str">
        <f>D671&amp;COUNTIF(D$2:$D671,D671)</f>
        <v>WR160</v>
      </c>
      <c r="M671" s="50">
        <f t="array" ref="M671">IFERROR(F671-AVERAGE(VLOOKUP(D671,$D672:$F$885,3,0),INDEX($F672:$F$885,SMALL(IF(D671=$D672:$D$885,ROW($D672:$D$885)-ROW(D671)),2))),0)</f>
        <v>0.99209789816345406</v>
      </c>
      <c r="N671" s="50">
        <f>IFERROR(IF(VLOOKUP($B671,Input!$AC$2:$AC$162,1,0)=$B671,0),F671)</f>
        <v>24.121432070234601</v>
      </c>
      <c r="O671" s="50">
        <f>IFERROR(IF(VLOOKUP($B671,Input!$AC$2:$AC$162,1,0)=$B671,0,G671),G671)</f>
        <v>40.415350399778198</v>
      </c>
      <c r="P671" s="50">
        <f>IF(N671=0,0,F671-AVERAGE(INDEX(F:F,MATCH(VLOOKUP(D671,Input!$A$14:$L$22,10,0),L:L,0)),INDEX(F:F,MATCH(VLOOKUP(D671,Input!$A$14:$L$22,11,0),L:L,0)),INDEX(F:F,MATCH(VLOOKUP(D671,Input!$A$14:$L$22,12,0),L:L,0)))+(0.01-ROW()*0.01))</f>
        <v>-195.35648419911442</v>
      </c>
      <c r="Q671" s="106">
        <f t="shared" si="130"/>
        <v>-6.7396608013443313E-2</v>
      </c>
      <c r="R671" s="8">
        <f>IF(VLOOKUP($D671,$X$14:$Y$19,2,0)&lt;=0,1,IF(Q671&lt;0,1,ROUNDUP(IF(Q671*('Draft Center'!$L$28+'Draft Center'!$L$78-'Draft Center'!$L$82)&lt;1,1,Q671*('Draft Center'!$L$28+'Draft Center'!$L$78-'Draft Center'!$L$82)),0)))</f>
        <v>1</v>
      </c>
      <c r="S671" s="8">
        <f>IF(A671&lt;Input!$B$10+0.1,IF(ROUNDUP(R671*Input!$C$10,0)=0,1,ROUNDUP(R671*Input!$C$10,0)),IF(A671&gt;Input!$B$11,IF(ROUNDUP(R671*Input!$C$11,0)=0,1,ROUNDUP(R671*Input!$C$11,0)),IF(ROUNDUP(R671,0)=0,1,ROUNDUP(R671,0))))</f>
        <v>1</v>
      </c>
      <c r="T671" s="8">
        <f t="shared" si="131"/>
        <v>1</v>
      </c>
      <c r="U671" s="8">
        <f>IFERROR(VLOOKUP($B671,Input!$AC$2:$AE$161,3,0),0)</f>
        <v>0</v>
      </c>
      <c r="V671" s="256">
        <f t="shared" si="132"/>
        <v>0</v>
      </c>
      <c r="W671" s="263">
        <f t="shared" si="133"/>
        <v>1.00671</v>
      </c>
      <c r="X671" s="68"/>
      <c r="Y671" s="68"/>
      <c r="Z671" s="68"/>
      <c r="AA671" s="68"/>
      <c r="AB671" s="68"/>
      <c r="AC671" s="68"/>
      <c r="AD671" s="68"/>
      <c r="AE671" s="68"/>
      <c r="AF671" s="68"/>
      <c r="AG671" s="68"/>
      <c r="AH671" s="68"/>
      <c r="AI671" s="68"/>
      <c r="AJ671" s="68">
        <v>1</v>
      </c>
      <c r="AL671" s="68">
        <v>1</v>
      </c>
      <c r="AM671" s="68"/>
      <c r="AN671" s="68"/>
      <c r="AO671" s="68"/>
      <c r="AQ671" s="68"/>
      <c r="AR671" s="68"/>
      <c r="AS671" s="68"/>
      <c r="AT671" s="68"/>
      <c r="AU671" s="68"/>
      <c r="AV671" s="68"/>
      <c r="AW671" s="68"/>
      <c r="AX671" s="68"/>
      <c r="AY671" s="68"/>
      <c r="AZ671" s="68"/>
      <c r="BB671" s="68"/>
      <c r="BC671" s="68"/>
      <c r="BJ671" s="68"/>
      <c r="BT671">
        <v>1</v>
      </c>
      <c r="BV671">
        <v>1</v>
      </c>
      <c r="BX671" s="68"/>
      <c r="BY671" s="68">
        <v>1</v>
      </c>
      <c r="BZ671" s="68">
        <v>0</v>
      </c>
      <c r="CA671" s="68">
        <v>0</v>
      </c>
      <c r="CB671" s="68">
        <v>0</v>
      </c>
      <c r="CC671" s="68">
        <f t="shared" si="134"/>
        <v>0</v>
      </c>
      <c r="CD671" s="68">
        <f t="shared" si="135"/>
        <v>0</v>
      </c>
    </row>
    <row r="672" spans="1:82" ht="15.75" customHeight="1" thickBot="1" x14ac:dyDescent="0.3">
      <c r="A672" s="9">
        <v>671</v>
      </c>
      <c r="B672" s="10" t="s">
        <v>811</v>
      </c>
      <c r="C672" s="10" t="s">
        <v>21</v>
      </c>
      <c r="D672" s="10" t="s">
        <v>53</v>
      </c>
      <c r="E672" s="51">
        <v>-189.18378032077001</v>
      </c>
      <c r="F672" s="51">
        <v>83.163863312065402</v>
      </c>
      <c r="G672" s="51">
        <v>146.77386371099999</v>
      </c>
      <c r="H672" s="51">
        <v>6.0579999999999998</v>
      </c>
      <c r="I672" s="11">
        <v>0</v>
      </c>
      <c r="J672" s="51">
        <v>8.3054695812495005</v>
      </c>
      <c r="K672" s="249">
        <f>IFERROR(VLOOKUP(C672,Schedule!$T$3:$U$34,2,0),"FA")</f>
        <v>5</v>
      </c>
      <c r="L672" s="10" t="str">
        <f>D672&amp;COUNTIF(D$2:$D672,D672)</f>
        <v>QB34</v>
      </c>
      <c r="M672" s="51">
        <f t="array" ref="M672">IFERROR(F672-AVERAGE(VLOOKUP(D672,$D673:$F$885,3,0),INDEX($F673:$F$885,SMALL(IF(D672=$D673:$D$885,ROW($D673:$D$885)-ROW(D672)),2))),0)</f>
        <v>29.384481593166399</v>
      </c>
      <c r="N672" s="51">
        <f>IFERROR(IF(VLOOKUP($B672,Input!$AC$2:$AC$162,1,0)=$B672,0),F672)</f>
        <v>83.163863312065402</v>
      </c>
      <c r="O672" s="51">
        <f>IFERROR(IF(VLOOKUP($B672,Input!$AC$2:$AC$162,1,0)=$B672,0,G672),G672)</f>
        <v>146.77386371099999</v>
      </c>
      <c r="P672" s="51">
        <f>IF(N672=0,0,F672-AVERAGE(INDEX(F:F,MATCH(VLOOKUP(D672,Input!$A$14:$L$22,10,0),L:L,0)),INDEX(F:F,MATCH(VLOOKUP(D672,Input!$A$14:$L$22,11,0),L:L,0)),INDEX(F:F,MATCH(VLOOKUP(D672,Input!$A$14:$L$22,12,0),L:L,0)))+(0.01-ROW()*0.01))</f>
        <v>-195.89378032077022</v>
      </c>
      <c r="Q672" s="107">
        <f t="shared" si="130"/>
        <v>-6.7581971382603204E-2</v>
      </c>
      <c r="R672" s="11">
        <f>IF(VLOOKUP($D672,$X$14:$Y$19,2,0)&lt;=0,1,IF(Q672&lt;0,1,ROUNDUP(IF(Q672*('Draft Center'!$L$28+'Draft Center'!$L$78-'Draft Center'!$L$82)&lt;1,1,Q672*('Draft Center'!$L$28+'Draft Center'!$L$78-'Draft Center'!$L$82)),0)))</f>
        <v>1</v>
      </c>
      <c r="S672" s="11">
        <f>IF(A672&lt;Input!$B$10+0.1,IF(ROUNDUP(R672*Input!$C$10,0)=0,1,ROUNDUP(R672*Input!$C$10,0)),IF(A672&gt;Input!$B$11,IF(ROUNDUP(R672*Input!$C$11,0)=0,1,ROUNDUP(R672*Input!$C$11,0)),IF(ROUNDUP(R672,0)=0,1,ROUNDUP(R672,0))))</f>
        <v>1</v>
      </c>
      <c r="T672" s="11">
        <f t="shared" si="131"/>
        <v>1</v>
      </c>
      <c r="U672" s="11">
        <f>IFERROR(VLOOKUP($B672,Input!$AC$2:$AE$161,3,0),0)</f>
        <v>0</v>
      </c>
      <c r="V672" s="257">
        <f t="shared" si="132"/>
        <v>0</v>
      </c>
      <c r="W672" s="264">
        <f t="shared" si="133"/>
        <v>1.0067200000000001</v>
      </c>
      <c r="X672" s="68"/>
      <c r="Y672" s="68"/>
      <c r="Z672" s="68"/>
      <c r="AA672" s="68"/>
      <c r="AB672" s="68"/>
      <c r="AC672" s="68"/>
      <c r="AD672" s="68"/>
      <c r="AE672" s="68"/>
      <c r="AF672" s="68"/>
      <c r="AG672" s="68"/>
      <c r="AH672" s="68"/>
      <c r="AI672" s="68"/>
      <c r="AJ672" s="68">
        <v>1</v>
      </c>
      <c r="AL672" s="68">
        <v>1</v>
      </c>
      <c r="AM672" s="68"/>
      <c r="AN672" s="68"/>
      <c r="AO672" s="68"/>
      <c r="AQ672" s="68"/>
      <c r="AR672" s="68"/>
      <c r="AS672" s="68"/>
      <c r="AT672" s="68"/>
      <c r="AU672" s="68"/>
      <c r="AV672" s="68"/>
      <c r="AW672" s="68"/>
      <c r="AX672" s="68"/>
      <c r="AY672" s="68"/>
      <c r="AZ672" s="68"/>
      <c r="BB672" s="68"/>
      <c r="BC672" s="68"/>
      <c r="BJ672" s="68"/>
      <c r="BT672">
        <v>1</v>
      </c>
      <c r="BV672">
        <v>1</v>
      </c>
      <c r="BX672" s="68"/>
      <c r="BY672" s="68">
        <v>1</v>
      </c>
      <c r="BZ672" s="68">
        <v>0</v>
      </c>
      <c r="CA672" s="68">
        <v>0</v>
      </c>
      <c r="CB672" s="68">
        <v>0</v>
      </c>
      <c r="CC672" s="68">
        <f t="shared" si="134"/>
        <v>0</v>
      </c>
      <c r="CD672" s="68">
        <f t="shared" si="135"/>
        <v>0</v>
      </c>
    </row>
    <row r="673" spans="1:82" ht="15.75" customHeight="1" thickBot="1" x14ac:dyDescent="0.3">
      <c r="A673" s="6">
        <v>672</v>
      </c>
      <c r="B673" s="7" t="s">
        <v>1029</v>
      </c>
      <c r="C673" s="7" t="s">
        <v>21</v>
      </c>
      <c r="D673" s="7" t="s">
        <v>17</v>
      </c>
      <c r="E673" s="50">
        <v>-189.61773083837201</v>
      </c>
      <c r="F673" s="50">
        <v>23.160185430976998</v>
      </c>
      <c r="G673" s="50">
        <v>35.532993175965998</v>
      </c>
      <c r="H673" s="50">
        <v>8.5489606336860504</v>
      </c>
      <c r="I673" s="8" t="s">
        <v>1057</v>
      </c>
      <c r="J673" s="50">
        <v>4.5221390666622101</v>
      </c>
      <c r="K673" s="248">
        <f>IFERROR(VLOOKUP(C673,Schedule!$T$3:$U$34,2,0),"FA")</f>
        <v>5</v>
      </c>
      <c r="L673" s="7" t="str">
        <f>D673&amp;COUNTIF(D$2:$D673,D673)</f>
        <v>WR161</v>
      </c>
      <c r="M673" s="50">
        <f t="array" ref="M673">IFERROR(F673-AVERAGE(VLOOKUP(D673,$D674:$F$885,3,0),INDEX($F674:$F$885,SMALL(IF(D673=$D674:$D$885,ROW($D674:$D$885)-ROW(D673)),2))),0)</f>
        <v>0.33051324044285124</v>
      </c>
      <c r="N673" s="50">
        <f>IFERROR(IF(VLOOKUP($B673,Input!$AC$2:$AC$162,1,0)=$B673,0),F673)</f>
        <v>23.160185430976998</v>
      </c>
      <c r="O673" s="50">
        <f>IFERROR(IF(VLOOKUP($B673,Input!$AC$2:$AC$162,1,0)=$B673,0,G673),G673)</f>
        <v>35.532993175965998</v>
      </c>
      <c r="P673" s="50">
        <f>IF(N673=0,0,F673-AVERAGE(INDEX(F:F,MATCH(VLOOKUP(D673,Input!$A$14:$L$22,10,0),L:L,0)),INDEX(F:F,MATCH(VLOOKUP(D673,Input!$A$14:$L$22,11,0),L:L,0)),INDEX(F:F,MATCH(VLOOKUP(D673,Input!$A$14:$L$22,12,0),L:L,0)))+(0.01-ROW()*0.01))</f>
        <v>-196.33773083837201</v>
      </c>
      <c r="Q673" s="106">
        <f t="shared" si="130"/>
        <v>-6.7735131177297694E-2</v>
      </c>
      <c r="R673" s="8">
        <f>IF(VLOOKUP($D673,$X$14:$Y$19,2,0)&lt;=0,1,IF(Q673&lt;0,1,ROUNDUP(IF(Q673*('Draft Center'!$L$28+'Draft Center'!$L$78-'Draft Center'!$L$82)&lt;1,1,Q673*('Draft Center'!$L$28+'Draft Center'!$L$78-'Draft Center'!$L$82)),0)))</f>
        <v>1</v>
      </c>
      <c r="S673" s="8">
        <f>IF(A673&lt;Input!$B$10+0.1,IF(ROUNDUP(R673*Input!$C$10,0)=0,1,ROUNDUP(R673*Input!$C$10,0)),IF(A673&gt;Input!$B$11,IF(ROUNDUP(R673*Input!$C$11,0)=0,1,ROUNDUP(R673*Input!$C$11,0)),IF(ROUNDUP(R673,0)=0,1,ROUNDUP(R673,0))))</f>
        <v>1</v>
      </c>
      <c r="T673" s="8">
        <f t="shared" si="131"/>
        <v>1</v>
      </c>
      <c r="U673" s="8">
        <f>IFERROR(VLOOKUP($B673,Input!$AC$2:$AE$161,3,0),0)</f>
        <v>0</v>
      </c>
      <c r="V673" s="256">
        <f t="shared" si="132"/>
        <v>0</v>
      </c>
      <c r="W673" s="263">
        <f t="shared" si="133"/>
        <v>0</v>
      </c>
      <c r="X673" s="68"/>
      <c r="Y673" s="68"/>
      <c r="Z673" s="68"/>
      <c r="AA673" s="68"/>
      <c r="AB673" s="68"/>
      <c r="AC673" s="68"/>
      <c r="AD673" s="68"/>
      <c r="AE673" s="68"/>
      <c r="AF673" s="68"/>
      <c r="AG673" s="68"/>
      <c r="AH673" s="68"/>
      <c r="AI673" s="68"/>
      <c r="AJ673" s="68">
        <v>1</v>
      </c>
      <c r="AL673" s="68">
        <v>1</v>
      </c>
      <c r="AM673" s="68"/>
      <c r="AN673" s="68"/>
      <c r="AO673" s="68"/>
      <c r="AQ673" s="68"/>
      <c r="AR673" s="68"/>
      <c r="AS673" s="68"/>
      <c r="AT673" s="68"/>
      <c r="AU673" s="68"/>
      <c r="AV673" s="68"/>
      <c r="AW673" s="68"/>
      <c r="AX673" s="68"/>
      <c r="AY673" s="68"/>
      <c r="AZ673" s="68"/>
      <c r="BB673" s="68"/>
      <c r="BC673" s="68"/>
      <c r="BJ673" s="68"/>
      <c r="BT673">
        <v>1</v>
      </c>
      <c r="BV673">
        <v>1</v>
      </c>
      <c r="BX673" s="68"/>
      <c r="BY673" s="68">
        <v>1</v>
      </c>
      <c r="BZ673" s="68" t="s">
        <v>1057</v>
      </c>
      <c r="CA673" s="68" t="s">
        <v>1057</v>
      </c>
      <c r="CB673" s="68" t="s">
        <v>1057</v>
      </c>
      <c r="CC673" s="68" t="e">
        <f t="shared" si="134"/>
        <v>#DIV/0!</v>
      </c>
      <c r="CD673" s="68" t="str">
        <f t="shared" si="135"/>
        <v>NA</v>
      </c>
    </row>
    <row r="674" spans="1:82" ht="15.75" customHeight="1" thickBot="1" x14ac:dyDescent="0.3">
      <c r="A674" s="9">
        <v>673</v>
      </c>
      <c r="B674" s="10" t="s">
        <v>284</v>
      </c>
      <c r="C674" s="10" t="s">
        <v>50</v>
      </c>
      <c r="D674" s="10" t="s">
        <v>17</v>
      </c>
      <c r="E674" s="51">
        <v>-189.67943335618401</v>
      </c>
      <c r="F674" s="51">
        <v>23.098482913165299</v>
      </c>
      <c r="G674" s="51">
        <v>47.964639534883702</v>
      </c>
      <c r="H674" s="51">
        <v>-0.19271708683473401</v>
      </c>
      <c r="I674" s="11" t="s">
        <v>1057</v>
      </c>
      <c r="J674" s="51">
        <v>6.7023653291667404</v>
      </c>
      <c r="K674" s="249">
        <f>IFERROR(VLOOKUP(C674,Schedule!$T$3:$U$34,2,0),"FA")</f>
        <v>6</v>
      </c>
      <c r="L674" s="10" t="str">
        <f>D674&amp;COUNTIF(D$2:$D674,D674)</f>
        <v>WR162</v>
      </c>
      <c r="M674" s="51">
        <f t="array" ref="M674">IFERROR(F674-AVERAGE(VLOOKUP(D674,$D675:$F$885,3,0),INDEX($F675:$F$885,SMALL(IF(D674=$D675:$D$885,ROW($D675:$D$885)-ROW(D674)),2))),0)</f>
        <v>1.4234178994197997</v>
      </c>
      <c r="N674" s="51">
        <f>IFERROR(IF(VLOOKUP($B674,Input!$AC$2:$AC$162,1,0)=$B674,0),F674)</f>
        <v>23.098482913165299</v>
      </c>
      <c r="O674" s="51">
        <f>IFERROR(IF(VLOOKUP($B674,Input!$AC$2:$AC$162,1,0)=$B674,0,G674),G674)</f>
        <v>47.964639534883702</v>
      </c>
      <c r="P674" s="51">
        <f>IF(N674=0,0,F674-AVERAGE(INDEX(F:F,MATCH(VLOOKUP(D674,Input!$A$14:$L$22,10,0),L:L,0)),INDEX(F:F,MATCH(VLOOKUP(D674,Input!$A$14:$L$22,11,0),L:L,0)),INDEX(F:F,MATCH(VLOOKUP(D674,Input!$A$14:$L$22,12,0),L:L,0)))+(0.01-ROW()*0.01))</f>
        <v>-196.40943335618371</v>
      </c>
      <c r="Q674" s="107">
        <f t="shared" si="130"/>
        <v>-6.7759868039789575E-2</v>
      </c>
      <c r="R674" s="11">
        <f>IF(VLOOKUP($D674,$X$14:$Y$19,2,0)&lt;=0,1,IF(Q674&lt;0,1,ROUNDUP(IF(Q674*('Draft Center'!$L$28+'Draft Center'!$L$78-'Draft Center'!$L$82)&lt;1,1,Q674*('Draft Center'!$L$28+'Draft Center'!$L$78-'Draft Center'!$L$82)),0)))</f>
        <v>1</v>
      </c>
      <c r="S674" s="11">
        <f>IF(A674&lt;Input!$B$10+0.1,IF(ROUNDUP(R674*Input!$C$10,0)=0,1,ROUNDUP(R674*Input!$C$10,0)),IF(A674&gt;Input!$B$11,IF(ROUNDUP(R674*Input!$C$11,0)=0,1,ROUNDUP(R674*Input!$C$11,0)),IF(ROUNDUP(R674,0)=0,1,ROUNDUP(R674,0))))</f>
        <v>1</v>
      </c>
      <c r="T674" s="11">
        <f t="shared" si="131"/>
        <v>1</v>
      </c>
      <c r="U674" s="11">
        <f>IFERROR(VLOOKUP($B674,Input!$AC$2:$AE$161,3,0),0)</f>
        <v>0</v>
      </c>
      <c r="V674" s="257">
        <f t="shared" si="132"/>
        <v>0</v>
      </c>
      <c r="W674" s="264">
        <f t="shared" si="133"/>
        <v>0</v>
      </c>
      <c r="X674" s="68"/>
      <c r="Y674" s="68"/>
      <c r="Z674" s="68"/>
      <c r="AA674" s="68"/>
      <c r="AB674" s="68"/>
      <c r="AC674" s="68"/>
      <c r="AD674" s="68"/>
      <c r="AE674" s="68"/>
      <c r="AF674" s="68"/>
      <c r="AG674" s="68"/>
      <c r="AH674" s="68"/>
      <c r="AI674" s="68"/>
      <c r="AJ674" s="68">
        <v>1</v>
      </c>
      <c r="AL674" s="68">
        <v>1</v>
      </c>
      <c r="AM674" s="68"/>
      <c r="AN674" s="68"/>
      <c r="AO674" s="68"/>
      <c r="AQ674" s="68"/>
      <c r="AR674" s="68"/>
      <c r="AS674" s="68"/>
      <c r="AT674" s="68"/>
      <c r="AU674" s="68"/>
      <c r="AV674" s="68"/>
      <c r="AW674" s="68"/>
      <c r="AX674" s="68"/>
      <c r="AY674" s="68"/>
      <c r="AZ674" s="68"/>
      <c r="BB674" s="68"/>
      <c r="BC674" s="68"/>
      <c r="BJ674" s="68"/>
      <c r="BT674">
        <v>1</v>
      </c>
      <c r="BV674">
        <v>1</v>
      </c>
      <c r="BX674" s="68"/>
      <c r="BY674" s="68">
        <v>1</v>
      </c>
      <c r="BZ674" s="68" t="s">
        <v>1057</v>
      </c>
      <c r="CA674" s="68" t="s">
        <v>1057</v>
      </c>
      <c r="CB674" s="68" t="s">
        <v>1057</v>
      </c>
      <c r="CC674" s="68" t="e">
        <f t="shared" si="134"/>
        <v>#DIV/0!</v>
      </c>
      <c r="CD674" s="68" t="str">
        <f t="shared" si="135"/>
        <v>NA</v>
      </c>
    </row>
    <row r="675" spans="1:82" ht="15.75" customHeight="1" thickBot="1" x14ac:dyDescent="0.3">
      <c r="A675" s="6">
        <v>674</v>
      </c>
      <c r="B675" s="7" t="s">
        <v>1010</v>
      </c>
      <c r="C675" s="7" t="s">
        <v>80</v>
      </c>
      <c r="D675" s="7" t="s">
        <v>17</v>
      </c>
      <c r="E675" s="50">
        <v>-190.21705480144601</v>
      </c>
      <c r="F675" s="50">
        <v>22.560861467902999</v>
      </c>
      <c r="G675" s="50">
        <v>29.930179560087598</v>
      </c>
      <c r="H675" s="50">
        <v>9.0443616029822902</v>
      </c>
      <c r="I675" s="8" t="s">
        <v>1057</v>
      </c>
      <c r="J675" s="50">
        <v>7.15956667945406</v>
      </c>
      <c r="K675" s="248">
        <f>IFERROR(VLOOKUP(C675,Schedule!$T$3:$U$34,2,0),"FA")</f>
        <v>11</v>
      </c>
      <c r="L675" s="7" t="str">
        <f>D675&amp;COUNTIF(D$2:$D675,D675)</f>
        <v>WR163</v>
      </c>
      <c r="M675" s="50">
        <f t="array" ref="M675">IFERROR(F675-AVERAGE(VLOOKUP(D675,$D676:$F$885,3,0),INDEX($F676:$F$885,SMALL(IF(D675=$D676:$D$885,ROW($D676:$D$885)-ROW(D675)),2))),0)</f>
        <v>2.0150475913502994</v>
      </c>
      <c r="N675" s="50">
        <f>IFERROR(IF(VLOOKUP($B675,Input!$AC$2:$AC$162,1,0)=$B675,0),F675)</f>
        <v>22.560861467902999</v>
      </c>
      <c r="O675" s="50">
        <f>IFERROR(IF(VLOOKUP($B675,Input!$AC$2:$AC$162,1,0)=$B675,0,G675),G675)</f>
        <v>29.930179560087598</v>
      </c>
      <c r="P675" s="50">
        <f>IF(N675=0,0,F675-AVERAGE(INDEX(F:F,MATCH(VLOOKUP(D675,Input!$A$14:$L$22,10,0),L:L,0)),INDEX(F:F,MATCH(VLOOKUP(D675,Input!$A$14:$L$22,11,0),L:L,0)),INDEX(F:F,MATCH(VLOOKUP(D675,Input!$A$14:$L$22,12,0),L:L,0)))+(0.01-ROW()*0.01))</f>
        <v>-196.95705480144602</v>
      </c>
      <c r="Q675" s="106">
        <f t="shared" si="130"/>
        <v>-6.7948793572706528E-2</v>
      </c>
      <c r="R675" s="8">
        <f>IF(VLOOKUP($D675,$X$14:$Y$19,2,0)&lt;=0,1,IF(Q675&lt;0,1,ROUNDUP(IF(Q675*('Draft Center'!$L$28+'Draft Center'!$L$78-'Draft Center'!$L$82)&lt;1,1,Q675*('Draft Center'!$L$28+'Draft Center'!$L$78-'Draft Center'!$L$82)),0)))</f>
        <v>1</v>
      </c>
      <c r="S675" s="8">
        <f>IF(A675&lt;Input!$B$10+0.1,IF(ROUNDUP(R675*Input!$C$10,0)=0,1,ROUNDUP(R675*Input!$C$10,0)),IF(A675&gt;Input!$B$11,IF(ROUNDUP(R675*Input!$C$11,0)=0,1,ROUNDUP(R675*Input!$C$11,0)),IF(ROUNDUP(R675,0)=0,1,ROUNDUP(R675,0))))</f>
        <v>1</v>
      </c>
      <c r="T675" s="8">
        <f t="shared" si="131"/>
        <v>1</v>
      </c>
      <c r="U675" s="8">
        <f>IFERROR(VLOOKUP($B675,Input!$AC$2:$AE$161,3,0),0)</f>
        <v>0</v>
      </c>
      <c r="V675" s="256">
        <f t="shared" si="132"/>
        <v>0</v>
      </c>
      <c r="W675" s="263">
        <f t="shared" si="133"/>
        <v>0</v>
      </c>
      <c r="X675" s="68"/>
      <c r="Y675" s="68"/>
      <c r="Z675" s="68"/>
      <c r="AA675" s="68"/>
      <c r="AB675" s="68"/>
      <c r="AC675" s="68"/>
      <c r="AD675" s="68"/>
      <c r="AE675" s="68"/>
      <c r="AF675" s="68"/>
      <c r="AG675" s="68"/>
      <c r="AH675" s="68"/>
      <c r="AI675" s="68"/>
      <c r="AJ675" s="68">
        <v>1</v>
      </c>
      <c r="AL675" s="68">
        <v>1</v>
      </c>
      <c r="AM675" s="68"/>
      <c r="AN675" s="68"/>
      <c r="AO675" s="68"/>
      <c r="AQ675" s="68"/>
      <c r="AR675" s="68"/>
      <c r="AS675" s="68"/>
      <c r="AT675" s="68"/>
      <c r="AU675" s="68"/>
      <c r="AV675" s="68"/>
      <c r="AW675" s="68"/>
      <c r="AX675" s="68"/>
      <c r="AY675" s="68"/>
      <c r="AZ675" s="68"/>
      <c r="BB675" s="68"/>
      <c r="BC675" s="68"/>
      <c r="BJ675" s="68"/>
      <c r="BT675">
        <v>1</v>
      </c>
      <c r="BV675">
        <v>1</v>
      </c>
      <c r="BX675" s="68"/>
      <c r="BY675" s="68">
        <v>1</v>
      </c>
      <c r="BZ675" s="68" t="s">
        <v>1057</v>
      </c>
      <c r="CA675" s="68" t="s">
        <v>1057</v>
      </c>
      <c r="CB675" s="68" t="s">
        <v>1057</v>
      </c>
      <c r="CC675" s="68" t="e">
        <f t="shared" si="134"/>
        <v>#DIV/0!</v>
      </c>
      <c r="CD675" s="68" t="str">
        <f t="shared" si="135"/>
        <v>NA</v>
      </c>
    </row>
    <row r="676" spans="1:82" ht="15.75" customHeight="1" thickBot="1" x14ac:dyDescent="0.3">
      <c r="A676" s="9">
        <v>675</v>
      </c>
      <c r="B676" s="10" t="s">
        <v>795</v>
      </c>
      <c r="C676" s="10" t="s">
        <v>25</v>
      </c>
      <c r="D676" s="10" t="s">
        <v>17</v>
      </c>
      <c r="E676" s="51">
        <v>-191.98864770976101</v>
      </c>
      <c r="F676" s="51">
        <v>20.789268559587999</v>
      </c>
      <c r="G676" s="51">
        <v>37.4406305945421</v>
      </c>
      <c r="H676" s="51">
        <v>0</v>
      </c>
      <c r="I676" s="11" t="s">
        <v>1057</v>
      </c>
      <c r="J676" s="51">
        <v>5.3552619164023501</v>
      </c>
      <c r="K676" s="249">
        <f>IFERROR(VLOOKUP(C676,Schedule!$T$3:$U$34,2,0),"FA")</f>
        <v>10</v>
      </c>
      <c r="L676" s="10" t="str">
        <f>D676&amp;COUNTIF(D$2:$D676,D676)</f>
        <v>WR164</v>
      </c>
      <c r="M676" s="51">
        <f t="array" ref="M676">IFERROR(F676-AVERAGE(VLOOKUP(D676,$D677:$F$885,3,0),INDEX($F677:$F$885,SMALL(IF(D676=$D677:$D$885,ROW($D677:$D$885)-ROW(D676)),2))),0)</f>
        <v>0.71241680919419892</v>
      </c>
      <c r="N676" s="51">
        <f>IFERROR(IF(VLOOKUP($B676,Input!$AC$2:$AC$162,1,0)=$B676,0),F676)</f>
        <v>20.789268559587999</v>
      </c>
      <c r="O676" s="51">
        <f>IFERROR(IF(VLOOKUP($B676,Input!$AC$2:$AC$162,1,0)=$B676,0,G676),G676)</f>
        <v>37.4406305945421</v>
      </c>
      <c r="P676" s="51">
        <f>IF(N676=0,0,F676-AVERAGE(INDEX(F:F,MATCH(VLOOKUP(D676,Input!$A$14:$L$22,10,0),L:L,0)),INDEX(F:F,MATCH(VLOOKUP(D676,Input!$A$14:$L$22,11,0),L:L,0)),INDEX(F:F,MATCH(VLOOKUP(D676,Input!$A$14:$L$22,12,0),L:L,0)))+(0.01-ROW()*0.01))</f>
        <v>-198.73864770976101</v>
      </c>
      <c r="Q676" s="107">
        <f t="shared" si="130"/>
        <v>-6.8563430549684737E-2</v>
      </c>
      <c r="R676" s="11">
        <f>IF(VLOOKUP($D676,$X$14:$Y$19,2,0)&lt;=0,1,IF(Q676&lt;0,1,ROUNDUP(IF(Q676*('Draft Center'!$L$28+'Draft Center'!$L$78-'Draft Center'!$L$82)&lt;1,1,Q676*('Draft Center'!$L$28+'Draft Center'!$L$78-'Draft Center'!$L$82)),0)))</f>
        <v>1</v>
      </c>
      <c r="S676" s="11">
        <f>IF(A676&lt;Input!$B$10+0.1,IF(ROUNDUP(R676*Input!$C$10,0)=0,1,ROUNDUP(R676*Input!$C$10,0)),IF(A676&gt;Input!$B$11,IF(ROUNDUP(R676*Input!$C$11,0)=0,1,ROUNDUP(R676*Input!$C$11,0)),IF(ROUNDUP(R676,0)=0,1,ROUNDUP(R676,0))))</f>
        <v>1</v>
      </c>
      <c r="T676" s="11">
        <f t="shared" si="131"/>
        <v>1</v>
      </c>
      <c r="U676" s="11">
        <f>IFERROR(VLOOKUP($B676,Input!$AC$2:$AE$161,3,0),0)</f>
        <v>0</v>
      </c>
      <c r="V676" s="257">
        <f t="shared" si="132"/>
        <v>0</v>
      </c>
      <c r="W676" s="264">
        <f t="shared" si="133"/>
        <v>0</v>
      </c>
      <c r="X676" s="68"/>
      <c r="Y676" s="68"/>
      <c r="Z676" s="68"/>
      <c r="AA676" s="68"/>
      <c r="AB676" s="68"/>
      <c r="AC676" s="68"/>
      <c r="AD676" s="68"/>
      <c r="AE676" s="68"/>
      <c r="AF676" s="68"/>
      <c r="AG676" s="68"/>
      <c r="AH676" s="68"/>
      <c r="AI676" s="68"/>
      <c r="AJ676" s="68">
        <v>1</v>
      </c>
      <c r="AL676" s="68">
        <v>1</v>
      </c>
      <c r="AM676" s="68"/>
      <c r="AN676" s="68"/>
      <c r="AO676" s="68"/>
      <c r="AQ676" s="68"/>
      <c r="AR676" s="68"/>
      <c r="AS676" s="68"/>
      <c r="AT676" s="68"/>
      <c r="AU676" s="68"/>
      <c r="AV676" s="68"/>
      <c r="AW676" s="68"/>
      <c r="AX676" s="68"/>
      <c r="AY676" s="68"/>
      <c r="AZ676" s="68"/>
      <c r="BB676" s="68"/>
      <c r="BC676" s="68"/>
      <c r="BJ676" s="68"/>
      <c r="BT676">
        <v>1</v>
      </c>
      <c r="BV676">
        <v>1</v>
      </c>
      <c r="BX676" s="68"/>
      <c r="BY676" s="68">
        <v>1</v>
      </c>
      <c r="BZ676" s="68" t="s">
        <v>1057</v>
      </c>
      <c r="CA676" s="68" t="s">
        <v>1057</v>
      </c>
      <c r="CB676" s="68" t="s">
        <v>1057</v>
      </c>
      <c r="CC676" s="68" t="e">
        <f t="shared" si="134"/>
        <v>#DIV/0!</v>
      </c>
      <c r="CD676" s="68" t="str">
        <f t="shared" si="135"/>
        <v>NA</v>
      </c>
    </row>
    <row r="677" spans="1:82" ht="15.75" customHeight="1" thickBot="1" x14ac:dyDescent="0.3">
      <c r="A677" s="6">
        <v>676</v>
      </c>
      <c r="B677" s="7" t="s">
        <v>528</v>
      </c>
      <c r="C677" s="7" t="s">
        <v>36</v>
      </c>
      <c r="D677" s="7" t="s">
        <v>17</v>
      </c>
      <c r="E677" s="50">
        <v>-192.475557075832</v>
      </c>
      <c r="F677" s="50">
        <v>20.3023591935174</v>
      </c>
      <c r="G677" s="50">
        <v>35.332783597028403</v>
      </c>
      <c r="H677" s="50">
        <v>0</v>
      </c>
      <c r="I677" s="8" t="s">
        <v>1057</v>
      </c>
      <c r="J677" s="50">
        <v>4.8224278054947902</v>
      </c>
      <c r="K677" s="248">
        <f>IFERROR(VLOOKUP(C677,Schedule!$T$3:$U$34,2,0),"FA")</f>
        <v>7</v>
      </c>
      <c r="L677" s="7" t="str">
        <f>D677&amp;COUNTIF(D$2:$D677,D677)</f>
        <v>WR165</v>
      </c>
      <c r="M677" s="50">
        <f t="array" ref="M677">IFERROR(F677-AVERAGE(VLOOKUP(D677,$D678:$F$885,3,0),INDEX($F678:$F$885,SMALL(IF(D677=$D678:$D$885,ROW($D678:$D$885)-ROW(D677)),2))),0)</f>
        <v>0.48893732390110145</v>
      </c>
      <c r="N677" s="50">
        <f>IFERROR(IF(VLOOKUP($B677,Input!$AC$2:$AC$162,1,0)=$B677,0),F677)</f>
        <v>20.3023591935174</v>
      </c>
      <c r="O677" s="50">
        <f>IFERROR(IF(VLOOKUP($B677,Input!$AC$2:$AC$162,1,0)=$B677,0,G677),G677)</f>
        <v>35.332783597028403</v>
      </c>
      <c r="P677" s="50">
        <f>IF(N677=0,0,F677-AVERAGE(INDEX(F:F,MATCH(VLOOKUP(D677,Input!$A$14:$L$22,10,0),L:L,0)),INDEX(F:F,MATCH(VLOOKUP(D677,Input!$A$14:$L$22,11,0),L:L,0)),INDEX(F:F,MATCH(VLOOKUP(D677,Input!$A$14:$L$22,12,0),L:L,0)))+(0.01-ROW()*0.01))</f>
        <v>-199.23555707583162</v>
      </c>
      <c r="Q677" s="106">
        <f t="shared" si="130"/>
        <v>-6.8734860773260714E-2</v>
      </c>
      <c r="R677" s="8">
        <f>IF(VLOOKUP($D677,$X$14:$Y$19,2,0)&lt;=0,1,IF(Q677&lt;0,1,ROUNDUP(IF(Q677*('Draft Center'!$L$28+'Draft Center'!$L$78-'Draft Center'!$L$82)&lt;1,1,Q677*('Draft Center'!$L$28+'Draft Center'!$L$78-'Draft Center'!$L$82)),0)))</f>
        <v>1</v>
      </c>
      <c r="S677" s="8">
        <f>IF(A677&lt;Input!$B$10+0.1,IF(ROUNDUP(R677*Input!$C$10,0)=0,1,ROUNDUP(R677*Input!$C$10,0)),IF(A677&gt;Input!$B$11,IF(ROUNDUP(R677*Input!$C$11,0)=0,1,ROUNDUP(R677*Input!$C$11,0)),IF(ROUNDUP(R677,0)=0,1,ROUNDUP(R677,0))))</f>
        <v>1</v>
      </c>
      <c r="T677" s="8">
        <f t="shared" si="131"/>
        <v>1</v>
      </c>
      <c r="U677" s="8">
        <f>IFERROR(VLOOKUP($B677,Input!$AC$2:$AE$161,3,0),0)</f>
        <v>0</v>
      </c>
      <c r="V677" s="256">
        <f t="shared" si="132"/>
        <v>0</v>
      </c>
      <c r="W677" s="263">
        <f t="shared" si="133"/>
        <v>0</v>
      </c>
      <c r="X677" s="68"/>
      <c r="Y677" s="68"/>
      <c r="Z677" s="68"/>
      <c r="AA677" s="68"/>
      <c r="AB677" s="68"/>
      <c r="AC677" s="68"/>
      <c r="AD677" s="68"/>
      <c r="AE677" s="68"/>
      <c r="AF677" s="68"/>
      <c r="AG677" s="68"/>
      <c r="AH677" s="68"/>
      <c r="AI677" s="68"/>
      <c r="AJ677" s="68">
        <v>1</v>
      </c>
      <c r="AL677" s="68">
        <v>1</v>
      </c>
      <c r="AM677" s="68"/>
      <c r="AN677" s="68"/>
      <c r="AO677" s="68"/>
      <c r="AQ677" s="68"/>
      <c r="AR677" s="68"/>
      <c r="AS677" s="68"/>
      <c r="AT677" s="68"/>
      <c r="AU677" s="68"/>
      <c r="AV677" s="68"/>
      <c r="AW677" s="68"/>
      <c r="AX677" s="68"/>
      <c r="AY677" s="68"/>
      <c r="AZ677" s="68"/>
      <c r="BB677" s="68"/>
      <c r="BC677" s="68"/>
      <c r="BJ677" s="68"/>
      <c r="BT677">
        <v>1</v>
      </c>
      <c r="BV677">
        <v>1</v>
      </c>
      <c r="BX677" s="68"/>
      <c r="BY677" s="68">
        <v>1</v>
      </c>
      <c r="BZ677" s="68" t="s">
        <v>1057</v>
      </c>
      <c r="CA677" s="68" t="s">
        <v>1057</v>
      </c>
      <c r="CB677" s="68" t="s">
        <v>1057</v>
      </c>
      <c r="CC677" s="68" t="e">
        <f t="shared" si="134"/>
        <v>#DIV/0!</v>
      </c>
      <c r="CD677" s="68" t="str">
        <f t="shared" si="135"/>
        <v>NA</v>
      </c>
    </row>
    <row r="678" spans="1:82" ht="15.75" customHeight="1" thickBot="1" x14ac:dyDescent="0.3">
      <c r="A678" s="9">
        <v>677</v>
      </c>
      <c r="B678" s="10" t="s">
        <v>1036</v>
      </c>
      <c r="C678" s="10" t="s">
        <v>29</v>
      </c>
      <c r="D678" s="10" t="s">
        <v>17</v>
      </c>
      <c r="E678" s="51">
        <v>-192.92657196207901</v>
      </c>
      <c r="F678" s="51">
        <v>19.8513443072702</v>
      </c>
      <c r="G678" s="51">
        <v>22.023865000000001</v>
      </c>
      <c r="H678" s="51">
        <v>7.8249657064471903</v>
      </c>
      <c r="I678" s="11">
        <v>0</v>
      </c>
      <c r="J678" s="51">
        <v>3.5807321459077301</v>
      </c>
      <c r="K678" s="249">
        <f>IFERROR(VLOOKUP(C678,Schedule!$T$3:$U$34,2,0),"FA")</f>
        <v>8</v>
      </c>
      <c r="L678" s="10" t="str">
        <f>D678&amp;COUNTIF(D$2:$D678,D678)</f>
        <v>WR166</v>
      </c>
      <c r="M678" s="51">
        <f t="array" ref="M678">IFERROR(F678-AVERAGE(VLOOKUP(D678,$D679:$F$885,3,0),INDEX($F679:$F$885,SMALL(IF(D678=$D679:$D$885,ROW($D679:$D$885)-ROW(D678)),2))),0)</f>
        <v>0.54100856337089809</v>
      </c>
      <c r="N678" s="51">
        <f>IFERROR(IF(VLOOKUP($B678,Input!$AC$2:$AC$162,1,0)=$B678,0),F678)</f>
        <v>19.8513443072702</v>
      </c>
      <c r="O678" s="51">
        <f>IFERROR(IF(VLOOKUP($B678,Input!$AC$2:$AC$162,1,0)=$B678,0,G678),G678)</f>
        <v>22.023865000000001</v>
      </c>
      <c r="P678" s="51">
        <f>IF(N678=0,0,F678-AVERAGE(INDEX(F:F,MATCH(VLOOKUP(D678,Input!$A$14:$L$22,10,0),L:L,0)),INDEX(F:F,MATCH(VLOOKUP(D678,Input!$A$14:$L$22,11,0),L:L,0)),INDEX(F:F,MATCH(VLOOKUP(D678,Input!$A$14:$L$22,12,0),L:L,0)))+(0.01-ROW()*0.01))</f>
        <v>-199.69657196207882</v>
      </c>
      <c r="Q678" s="107">
        <f t="shared" si="130"/>
        <v>-6.8893907654679273E-2</v>
      </c>
      <c r="R678" s="11">
        <f>IF(VLOOKUP($D678,$X$14:$Y$19,2,0)&lt;=0,1,IF(Q678&lt;0,1,ROUNDUP(IF(Q678*('Draft Center'!$L$28+'Draft Center'!$L$78-'Draft Center'!$L$82)&lt;1,1,Q678*('Draft Center'!$L$28+'Draft Center'!$L$78-'Draft Center'!$L$82)),0)))</f>
        <v>1</v>
      </c>
      <c r="S678" s="11">
        <f>IF(A678&lt;Input!$B$10+0.1,IF(ROUNDUP(R678*Input!$C$10,0)=0,1,ROUNDUP(R678*Input!$C$10,0)),IF(A678&gt;Input!$B$11,IF(ROUNDUP(R678*Input!$C$11,0)=0,1,ROUNDUP(R678*Input!$C$11,0)),IF(ROUNDUP(R678,0)=0,1,ROUNDUP(R678,0))))</f>
        <v>1</v>
      </c>
      <c r="T678" s="11">
        <f t="shared" si="131"/>
        <v>1</v>
      </c>
      <c r="U678" s="11">
        <f>IFERROR(VLOOKUP($B678,Input!$AC$2:$AE$161,3,0),0)</f>
        <v>0</v>
      </c>
      <c r="V678" s="257">
        <f t="shared" si="132"/>
        <v>0</v>
      </c>
      <c r="W678" s="264">
        <f t="shared" si="133"/>
        <v>1.00678</v>
      </c>
      <c r="X678" s="68"/>
      <c r="Y678" s="68"/>
      <c r="Z678" s="68"/>
      <c r="AA678" s="68"/>
      <c r="AB678" s="68"/>
      <c r="AC678" s="68"/>
      <c r="AD678" s="68"/>
      <c r="AE678" s="68"/>
      <c r="AF678" s="68"/>
      <c r="AG678" s="68"/>
      <c r="AH678" s="68"/>
      <c r="AI678" s="68"/>
      <c r="AJ678" s="68">
        <v>1</v>
      </c>
      <c r="AL678" s="68">
        <v>1</v>
      </c>
      <c r="AM678" s="68"/>
      <c r="AN678" s="68"/>
      <c r="AO678" s="68"/>
      <c r="AQ678" s="68"/>
      <c r="AR678" s="68"/>
      <c r="AS678" s="68"/>
      <c r="AT678" s="68"/>
      <c r="AU678" s="68"/>
      <c r="AV678" s="68"/>
      <c r="AW678" s="68"/>
      <c r="AX678" s="68"/>
      <c r="AY678" s="68"/>
      <c r="AZ678" s="68"/>
      <c r="BB678" s="68"/>
      <c r="BC678" s="68"/>
      <c r="BJ678" s="68"/>
      <c r="BT678">
        <v>1</v>
      </c>
      <c r="BV678">
        <v>1</v>
      </c>
      <c r="BX678" s="68"/>
      <c r="BY678" s="68">
        <v>1</v>
      </c>
      <c r="BZ678" s="68">
        <v>0</v>
      </c>
      <c r="CA678" s="68">
        <v>0</v>
      </c>
      <c r="CB678" s="68">
        <v>0</v>
      </c>
      <c r="CC678" s="68">
        <f t="shared" si="134"/>
        <v>0</v>
      </c>
      <c r="CD678" s="68">
        <f t="shared" si="135"/>
        <v>0</v>
      </c>
    </row>
    <row r="679" spans="1:82" ht="15.75" customHeight="1" thickBot="1" x14ac:dyDescent="0.3">
      <c r="A679" s="6">
        <v>678</v>
      </c>
      <c r="B679" s="7" t="s">
        <v>1023</v>
      </c>
      <c r="C679" s="7" t="s">
        <v>45</v>
      </c>
      <c r="D679" s="7" t="s">
        <v>17</v>
      </c>
      <c r="E679" s="50">
        <v>-193.00241683738699</v>
      </c>
      <c r="F679" s="50">
        <v>19.775499431962398</v>
      </c>
      <c r="G679" s="50">
        <v>32.545643388278798</v>
      </c>
      <c r="H679" s="50">
        <v>4.0049997123560299</v>
      </c>
      <c r="I679" s="8">
        <v>0</v>
      </c>
      <c r="J679" s="50">
        <v>6.7325996894186702</v>
      </c>
      <c r="K679" s="248">
        <f>IFERROR(VLOOKUP(C679,Schedule!$T$3:$U$34,2,0),"FA")</f>
        <v>6</v>
      </c>
      <c r="L679" s="7" t="str">
        <f>D679&amp;COUNTIF(D$2:$D679,D679)</f>
        <v>WR167</v>
      </c>
      <c r="M679" s="50">
        <f t="array" ref="M679">IFERROR(F679-AVERAGE(VLOOKUP(D679,$D680:$F$885,3,0),INDEX($F680:$F$885,SMALL(IF(D679=$D680:$D$885,ROW($D680:$D$885)-ROW(D679)),2))),0)</f>
        <v>0.97106335623624673</v>
      </c>
      <c r="N679" s="50">
        <f>IFERROR(IF(VLOOKUP($B679,Input!$AC$2:$AC$162,1,0)=$B679,0),F679)</f>
        <v>19.775499431962398</v>
      </c>
      <c r="O679" s="50">
        <f>IFERROR(IF(VLOOKUP($B679,Input!$AC$2:$AC$162,1,0)=$B679,0,G679),G679)</f>
        <v>32.545643388278798</v>
      </c>
      <c r="P679" s="50">
        <f>IF(N679=0,0,F679-AVERAGE(INDEX(F:F,MATCH(VLOOKUP(D679,Input!$A$14:$L$22,10,0),L:L,0)),INDEX(F:F,MATCH(VLOOKUP(D679,Input!$A$14:$L$22,11,0),L:L,0)),INDEX(F:F,MATCH(VLOOKUP(D679,Input!$A$14:$L$22,12,0),L:L,0)))+(0.01-ROW()*0.01))</f>
        <v>-199.78241683738662</v>
      </c>
      <c r="Q679" s="106">
        <f t="shared" si="130"/>
        <v>-6.8923523530675421E-2</v>
      </c>
      <c r="R679" s="8">
        <f>IF(VLOOKUP($D679,$X$14:$Y$19,2,0)&lt;=0,1,IF(Q679&lt;0,1,ROUNDUP(IF(Q679*('Draft Center'!$L$28+'Draft Center'!$L$78-'Draft Center'!$L$82)&lt;1,1,Q679*('Draft Center'!$L$28+'Draft Center'!$L$78-'Draft Center'!$L$82)),0)))</f>
        <v>1</v>
      </c>
      <c r="S679" s="8">
        <f>IF(A679&lt;Input!$B$10+0.1,IF(ROUNDUP(R679*Input!$C$10,0)=0,1,ROUNDUP(R679*Input!$C$10,0)),IF(A679&gt;Input!$B$11,IF(ROUNDUP(R679*Input!$C$11,0)=0,1,ROUNDUP(R679*Input!$C$11,0)),IF(ROUNDUP(R679,0)=0,1,ROUNDUP(R679,0))))</f>
        <v>1</v>
      </c>
      <c r="T679" s="8">
        <f t="shared" si="131"/>
        <v>1</v>
      </c>
      <c r="U679" s="8">
        <f>IFERROR(VLOOKUP($B679,Input!$AC$2:$AE$161,3,0),0)</f>
        <v>0</v>
      </c>
      <c r="V679" s="256">
        <f t="shared" si="132"/>
        <v>0</v>
      </c>
      <c r="W679" s="263">
        <f t="shared" si="133"/>
        <v>1.0067900000000001</v>
      </c>
      <c r="X679" s="68"/>
      <c r="Y679" s="68"/>
      <c r="Z679" s="68"/>
      <c r="AA679" s="68"/>
      <c r="AB679" s="68"/>
      <c r="AC679" s="68"/>
      <c r="AD679" s="68"/>
      <c r="AE679" s="68"/>
      <c r="AF679" s="68"/>
      <c r="AG679" s="68"/>
      <c r="AH679" s="68"/>
      <c r="AI679" s="68"/>
      <c r="AJ679" s="68">
        <v>1</v>
      </c>
      <c r="AL679" s="68">
        <v>1</v>
      </c>
      <c r="AM679" s="68"/>
      <c r="AN679" s="68"/>
      <c r="AO679" s="68"/>
      <c r="AQ679" s="68"/>
      <c r="AR679" s="68"/>
      <c r="AS679" s="68"/>
      <c r="AT679" s="68"/>
      <c r="AU679" s="68"/>
      <c r="AV679" s="68"/>
      <c r="AW679" s="68"/>
      <c r="AX679" s="68"/>
      <c r="AY679" s="68"/>
      <c r="AZ679" s="68"/>
      <c r="BB679" s="68"/>
      <c r="BC679" s="68"/>
      <c r="BJ679" s="68"/>
      <c r="BT679">
        <v>1</v>
      </c>
      <c r="BV679">
        <v>1</v>
      </c>
      <c r="BX679" s="68"/>
      <c r="BY679" s="68">
        <v>1</v>
      </c>
      <c r="BZ679" s="68">
        <v>0</v>
      </c>
      <c r="CA679" s="68">
        <v>0</v>
      </c>
      <c r="CB679" s="68">
        <v>0</v>
      </c>
      <c r="CC679" s="68">
        <f t="shared" si="134"/>
        <v>0</v>
      </c>
      <c r="CD679" s="68">
        <f t="shared" si="135"/>
        <v>0</v>
      </c>
    </row>
    <row r="680" spans="1:82" ht="15.75" customHeight="1" thickBot="1" x14ac:dyDescent="0.3">
      <c r="A680" s="9">
        <v>679</v>
      </c>
      <c r="B680" s="10" t="s">
        <v>1015</v>
      </c>
      <c r="C680" s="10" t="s">
        <v>47</v>
      </c>
      <c r="D680" s="10" t="s">
        <v>17</v>
      </c>
      <c r="E680" s="51">
        <v>-193.93274421351299</v>
      </c>
      <c r="F680" s="51">
        <v>18.845172055836201</v>
      </c>
      <c r="G680" s="51">
        <v>25.881540713305899</v>
      </c>
      <c r="H680" s="51">
        <v>7.4111835973904903</v>
      </c>
      <c r="I680" s="11">
        <v>0</v>
      </c>
      <c r="J680" s="51">
        <v>6.9165027705381696</v>
      </c>
      <c r="K680" s="249">
        <f>IFERROR(VLOOKUP(C680,Schedule!$T$3:$U$34,2,0),"FA")</f>
        <v>10</v>
      </c>
      <c r="L680" s="10" t="str">
        <f>D680&amp;COUNTIF(D$2:$D680,D680)</f>
        <v>WR168</v>
      </c>
      <c r="M680" s="51">
        <f t="array" ref="M680">IFERROR(F680-AVERAGE(VLOOKUP(D680,$D681:$F$885,3,0),INDEX($F681:$F$885,SMALL(IF(D680=$D681:$D$885,ROW($D681:$D$885)-ROW(D680)),2))),0)</f>
        <v>9.9408558785349044E-2</v>
      </c>
      <c r="N680" s="51">
        <f>IFERROR(IF(VLOOKUP($B680,Input!$AC$2:$AC$162,1,0)=$B680,0),F680)</f>
        <v>18.845172055836201</v>
      </c>
      <c r="O680" s="51">
        <f>IFERROR(IF(VLOOKUP($B680,Input!$AC$2:$AC$162,1,0)=$B680,0,G680),G680)</f>
        <v>25.881540713305899</v>
      </c>
      <c r="P680" s="51">
        <f>IF(N680=0,0,F680-AVERAGE(INDEX(F:F,MATCH(VLOOKUP(D680,Input!$A$14:$L$22,10,0),L:L,0)),INDEX(F:F,MATCH(VLOOKUP(D680,Input!$A$14:$L$22,11,0),L:L,0)),INDEX(F:F,MATCH(VLOOKUP(D680,Input!$A$14:$L$22,12,0),L:L,0)))+(0.01-ROW()*0.01))</f>
        <v>-200.72274421351281</v>
      </c>
      <c r="Q680" s="107">
        <f t="shared" si="130"/>
        <v>-6.9247929837601446E-2</v>
      </c>
      <c r="R680" s="11">
        <f>IF(VLOOKUP($D680,$X$14:$Y$19,2,0)&lt;=0,1,IF(Q680&lt;0,1,ROUNDUP(IF(Q680*('Draft Center'!$L$28+'Draft Center'!$L$78-'Draft Center'!$L$82)&lt;1,1,Q680*('Draft Center'!$L$28+'Draft Center'!$L$78-'Draft Center'!$L$82)),0)))</f>
        <v>1</v>
      </c>
      <c r="S680" s="11">
        <f>IF(A680&lt;Input!$B$10+0.1,IF(ROUNDUP(R680*Input!$C$10,0)=0,1,ROUNDUP(R680*Input!$C$10,0)),IF(A680&gt;Input!$B$11,IF(ROUNDUP(R680*Input!$C$11,0)=0,1,ROUNDUP(R680*Input!$C$11,0)),IF(ROUNDUP(R680,0)=0,1,ROUNDUP(R680,0))))</f>
        <v>1</v>
      </c>
      <c r="T680" s="11">
        <f t="shared" si="131"/>
        <v>1</v>
      </c>
      <c r="U680" s="11">
        <f>IFERROR(VLOOKUP($B680,Input!$AC$2:$AE$161,3,0),0)</f>
        <v>0</v>
      </c>
      <c r="V680" s="257">
        <f t="shared" si="132"/>
        <v>0</v>
      </c>
      <c r="W680" s="264">
        <f t="shared" si="133"/>
        <v>1.0067999999999999</v>
      </c>
      <c r="X680" s="68"/>
      <c r="Y680" s="68"/>
      <c r="Z680" s="68"/>
      <c r="AA680" s="68"/>
      <c r="AB680" s="68"/>
      <c r="AC680" s="68"/>
      <c r="AD680" s="68"/>
      <c r="AE680" s="68"/>
      <c r="AF680" s="68"/>
      <c r="AG680" s="68"/>
      <c r="AH680" s="68"/>
      <c r="AI680" s="68"/>
      <c r="AJ680" s="68">
        <v>1</v>
      </c>
      <c r="AL680" s="68">
        <v>1</v>
      </c>
      <c r="AM680" s="68"/>
      <c r="AN680" s="68"/>
      <c r="AO680" s="68"/>
      <c r="AQ680" s="68"/>
      <c r="AR680" s="68"/>
      <c r="AS680" s="68"/>
      <c r="AT680" s="68"/>
      <c r="AU680" s="68"/>
      <c r="AV680" s="68"/>
      <c r="AW680" s="68"/>
      <c r="AX680" s="68"/>
      <c r="AY680" s="68"/>
      <c r="AZ680" s="68"/>
      <c r="BB680" s="68"/>
      <c r="BC680" s="68"/>
      <c r="BJ680" s="68"/>
      <c r="BT680">
        <v>1</v>
      </c>
      <c r="BV680">
        <v>1</v>
      </c>
      <c r="BX680" s="68"/>
      <c r="BY680" s="68">
        <v>1</v>
      </c>
      <c r="BZ680" s="68">
        <v>0</v>
      </c>
      <c r="CA680" s="68">
        <v>0</v>
      </c>
      <c r="CB680" s="68">
        <v>0</v>
      </c>
      <c r="CC680" s="68">
        <f t="shared" si="134"/>
        <v>0</v>
      </c>
      <c r="CD680" s="68">
        <f t="shared" si="135"/>
        <v>0</v>
      </c>
    </row>
    <row r="681" spans="1:82" ht="15.75" customHeight="1" thickBot="1" x14ac:dyDescent="0.3">
      <c r="A681" s="6">
        <v>680</v>
      </c>
      <c r="B681" s="7" t="s">
        <v>808</v>
      </c>
      <c r="C681" s="7" t="s">
        <v>68</v>
      </c>
      <c r="D681" s="7" t="s">
        <v>17</v>
      </c>
      <c r="E681" s="50">
        <v>-194.01421617373299</v>
      </c>
      <c r="F681" s="50">
        <v>18.763700095616102</v>
      </c>
      <c r="G681" s="50">
        <v>44.4459166612464</v>
      </c>
      <c r="H681" s="50">
        <v>-0.83449825592788596</v>
      </c>
      <c r="I681" s="8" t="s">
        <v>1057</v>
      </c>
      <c r="J681" s="50">
        <v>7.9156416125635696</v>
      </c>
      <c r="K681" s="248">
        <f>IFERROR(VLOOKUP(C681,Schedule!$T$3:$U$34,2,0),"FA")</f>
        <v>8</v>
      </c>
      <c r="L681" s="7" t="str">
        <f>D681&amp;COUNTIF(D$2:$D681,D681)</f>
        <v>WR169</v>
      </c>
      <c r="M681" s="50">
        <f t="array" ref="M681">IFERROR(F681-AVERAGE(VLOOKUP(D681,$D682:$F$885,3,0),INDEX($F682:$F$885,SMALL(IF(D681=$D682:$D$885,ROW($D682:$D$885)-ROW(D681)),2))),0)</f>
        <v>0.27775592908330182</v>
      </c>
      <c r="N681" s="50">
        <f>IFERROR(IF(VLOOKUP($B681,Input!$AC$2:$AC$162,1,0)=$B681,0),F681)</f>
        <v>18.763700095616102</v>
      </c>
      <c r="O681" s="50">
        <f>IFERROR(IF(VLOOKUP($B681,Input!$AC$2:$AC$162,1,0)=$B681,0,G681),G681)</f>
        <v>44.4459166612464</v>
      </c>
      <c r="P681" s="50">
        <f>IF(N681=0,0,F681-AVERAGE(INDEX(F:F,MATCH(VLOOKUP(D681,Input!$A$14:$L$22,10,0),L:L,0)),INDEX(F:F,MATCH(VLOOKUP(D681,Input!$A$14:$L$22,11,0),L:L,0)),INDEX(F:F,MATCH(VLOOKUP(D681,Input!$A$14:$L$22,12,0),L:L,0)))+(0.01-ROW()*0.01))</f>
        <v>-200.81421617373292</v>
      </c>
      <c r="Q681" s="106">
        <f t="shared" si="130"/>
        <v>-6.9279487018170327E-2</v>
      </c>
      <c r="R681" s="8">
        <f>IF(VLOOKUP($D681,$X$14:$Y$19,2,0)&lt;=0,1,IF(Q681&lt;0,1,ROUNDUP(IF(Q681*('Draft Center'!$L$28+'Draft Center'!$L$78-'Draft Center'!$L$82)&lt;1,1,Q681*('Draft Center'!$L$28+'Draft Center'!$L$78-'Draft Center'!$L$82)),0)))</f>
        <v>1</v>
      </c>
      <c r="S681" s="8">
        <f>IF(A681&lt;Input!$B$10+0.1,IF(ROUNDUP(R681*Input!$C$10,0)=0,1,ROUNDUP(R681*Input!$C$10,0)),IF(A681&gt;Input!$B$11,IF(ROUNDUP(R681*Input!$C$11,0)=0,1,ROUNDUP(R681*Input!$C$11,0)),IF(ROUNDUP(R681,0)=0,1,ROUNDUP(R681,0))))</f>
        <v>1</v>
      </c>
      <c r="T681" s="8">
        <f t="shared" si="131"/>
        <v>1</v>
      </c>
      <c r="U681" s="8">
        <f>IFERROR(VLOOKUP($B681,Input!$AC$2:$AE$161,3,0),0)</f>
        <v>0</v>
      </c>
      <c r="V681" s="256">
        <f t="shared" si="132"/>
        <v>0</v>
      </c>
      <c r="W681" s="263">
        <f t="shared" si="133"/>
        <v>0</v>
      </c>
      <c r="X681" s="68"/>
      <c r="Y681" s="68"/>
      <c r="Z681" s="68"/>
      <c r="AA681" s="68"/>
      <c r="AB681" s="68"/>
      <c r="AC681" s="68"/>
      <c r="AD681" s="68"/>
      <c r="AE681" s="68"/>
      <c r="AF681" s="68"/>
      <c r="AG681" s="68"/>
      <c r="AH681" s="68"/>
      <c r="AI681" s="68"/>
      <c r="AJ681" s="68">
        <v>1</v>
      </c>
      <c r="AL681" s="68">
        <v>1</v>
      </c>
      <c r="AM681" s="68"/>
      <c r="AN681" s="68"/>
      <c r="AO681" s="68"/>
      <c r="AQ681" s="68"/>
      <c r="AR681" s="68"/>
      <c r="AS681" s="68"/>
      <c r="AT681" s="68"/>
      <c r="AU681" s="68"/>
      <c r="AV681" s="68"/>
      <c r="AW681" s="68"/>
      <c r="AX681" s="68"/>
      <c r="AY681" s="68"/>
      <c r="AZ681" s="68"/>
      <c r="BB681" s="68"/>
      <c r="BC681" s="68"/>
      <c r="BJ681" s="68"/>
      <c r="BT681">
        <v>1</v>
      </c>
      <c r="BV681">
        <v>1</v>
      </c>
      <c r="BX681" s="68"/>
      <c r="BY681" s="68">
        <v>1</v>
      </c>
      <c r="BZ681" s="68" t="s">
        <v>1057</v>
      </c>
      <c r="CA681" s="68" t="s">
        <v>1057</v>
      </c>
      <c r="CB681" s="68" t="s">
        <v>1057</v>
      </c>
      <c r="CC681" s="68" t="e">
        <f t="shared" si="134"/>
        <v>#DIV/0!</v>
      </c>
      <c r="CD681" s="68" t="str">
        <f t="shared" si="135"/>
        <v>NA</v>
      </c>
    </row>
    <row r="682" spans="1:82" ht="15.75" customHeight="1" thickBot="1" x14ac:dyDescent="0.3">
      <c r="A682" s="9">
        <v>681</v>
      </c>
      <c r="B682" s="10" t="s">
        <v>516</v>
      </c>
      <c r="C682" s="10" t="s">
        <v>31</v>
      </c>
      <c r="D682" s="10" t="s">
        <v>17</v>
      </c>
      <c r="E682" s="51">
        <v>-194.05008937086299</v>
      </c>
      <c r="F682" s="51">
        <v>18.727826898485599</v>
      </c>
      <c r="G682" s="51">
        <v>37.899605561744799</v>
      </c>
      <c r="H682" s="51">
        <v>-0.99441504997060604</v>
      </c>
      <c r="I682" s="11" t="s">
        <v>1057</v>
      </c>
      <c r="J682" s="51">
        <v>5.1350327187159497</v>
      </c>
      <c r="K682" s="249">
        <f>IFERROR(VLOOKUP(C682,Schedule!$T$3:$U$34,2,0),"FA")</f>
        <v>9</v>
      </c>
      <c r="L682" s="10" t="str">
        <f>D682&amp;COUNTIF(D$2:$D682,D682)</f>
        <v>WR170</v>
      </c>
      <c r="M682" s="51">
        <f t="array" ref="M682">IFERROR(F682-AVERAGE(VLOOKUP(D682,$D683:$F$885,3,0),INDEX($F683:$F$885,SMALL(IF(D682=$D683:$D$885,ROW($D683:$D$885)-ROW(D682)),2))),0)</f>
        <v>0.65902198764719699</v>
      </c>
      <c r="N682" s="51">
        <f>IFERROR(IF(VLOOKUP($B682,Input!$AC$2:$AC$162,1,0)=$B682,0),F682)</f>
        <v>18.727826898485599</v>
      </c>
      <c r="O682" s="51">
        <f>IFERROR(IF(VLOOKUP($B682,Input!$AC$2:$AC$162,1,0)=$B682,0,G682),G682)</f>
        <v>37.899605561744799</v>
      </c>
      <c r="P682" s="51">
        <f>IF(N682=0,0,F682-AVERAGE(INDEX(F:F,MATCH(VLOOKUP(D682,Input!$A$14:$L$22,10,0),L:L,0)),INDEX(F:F,MATCH(VLOOKUP(D682,Input!$A$14:$L$22,11,0),L:L,0)),INDEX(F:F,MATCH(VLOOKUP(D682,Input!$A$14:$L$22,12,0),L:L,0)))+(0.01-ROW()*0.01))</f>
        <v>-200.86008937086342</v>
      </c>
      <c r="Q682" s="107">
        <f t="shared" si="130"/>
        <v>-6.9295312947358217E-2</v>
      </c>
      <c r="R682" s="11">
        <f>IF(VLOOKUP($D682,$X$14:$Y$19,2,0)&lt;=0,1,IF(Q682&lt;0,1,ROUNDUP(IF(Q682*('Draft Center'!$L$28+'Draft Center'!$L$78-'Draft Center'!$L$82)&lt;1,1,Q682*('Draft Center'!$L$28+'Draft Center'!$L$78-'Draft Center'!$L$82)),0)))</f>
        <v>1</v>
      </c>
      <c r="S682" s="11">
        <f>IF(A682&lt;Input!$B$10+0.1,IF(ROUNDUP(R682*Input!$C$10,0)=0,1,ROUNDUP(R682*Input!$C$10,0)),IF(A682&gt;Input!$B$11,IF(ROUNDUP(R682*Input!$C$11,0)=0,1,ROUNDUP(R682*Input!$C$11,0)),IF(ROUNDUP(R682,0)=0,1,ROUNDUP(R682,0))))</f>
        <v>1</v>
      </c>
      <c r="T682" s="11">
        <f t="shared" si="131"/>
        <v>1</v>
      </c>
      <c r="U682" s="11">
        <f>IFERROR(VLOOKUP($B682,Input!$AC$2:$AE$161,3,0),0)</f>
        <v>0</v>
      </c>
      <c r="V682" s="257">
        <f t="shared" si="132"/>
        <v>0</v>
      </c>
      <c r="W682" s="264">
        <f t="shared" si="133"/>
        <v>0</v>
      </c>
      <c r="X682" s="68"/>
      <c r="Y682" s="68"/>
      <c r="Z682" s="68"/>
      <c r="AA682" s="68"/>
      <c r="AB682" s="68"/>
      <c r="AC682" s="68"/>
      <c r="AD682" s="68"/>
      <c r="AE682" s="68"/>
      <c r="AF682" s="68"/>
      <c r="AG682" s="68"/>
      <c r="AH682" s="68"/>
      <c r="AI682" s="68"/>
      <c r="AJ682" s="68">
        <v>1</v>
      </c>
      <c r="AL682" s="68">
        <v>1</v>
      </c>
      <c r="AM682" s="68"/>
      <c r="AN682" s="68"/>
      <c r="AO682" s="68"/>
      <c r="AQ682" s="68"/>
      <c r="AR682" s="68"/>
      <c r="AS682" s="68"/>
      <c r="AT682" s="68"/>
      <c r="AU682" s="68"/>
      <c r="AV682" s="68"/>
      <c r="AW682" s="68"/>
      <c r="AX682" s="68"/>
      <c r="AY682" s="68"/>
      <c r="AZ682" s="68"/>
      <c r="BB682" s="68"/>
      <c r="BC682" s="68"/>
      <c r="BJ682" s="68"/>
      <c r="BT682">
        <v>1</v>
      </c>
      <c r="BV682">
        <v>1</v>
      </c>
      <c r="BX682" s="68"/>
      <c r="BY682" s="68">
        <v>1</v>
      </c>
      <c r="BZ682" s="68" t="s">
        <v>1057</v>
      </c>
      <c r="CA682" s="68" t="s">
        <v>1057</v>
      </c>
      <c r="CB682" s="68" t="s">
        <v>1057</v>
      </c>
      <c r="CC682" s="68" t="e">
        <f t="shared" si="134"/>
        <v>#DIV/0!</v>
      </c>
      <c r="CD682" s="68" t="str">
        <f t="shared" si="135"/>
        <v>NA</v>
      </c>
    </row>
    <row r="683" spans="1:82" ht="15.75" customHeight="1" thickBot="1" x14ac:dyDescent="0.3">
      <c r="A683" s="6">
        <v>682</v>
      </c>
      <c r="B683" s="7" t="s">
        <v>1025</v>
      </c>
      <c r="C683" s="7" t="s">
        <v>35</v>
      </c>
      <c r="D683" s="7" t="s">
        <v>17</v>
      </c>
      <c r="E683" s="50">
        <v>-194.53385483476899</v>
      </c>
      <c r="F683" s="50">
        <v>18.244061434580001</v>
      </c>
      <c r="G683" s="50">
        <v>32.042529286261399</v>
      </c>
      <c r="H683" s="50">
        <v>-0.51584362139917705</v>
      </c>
      <c r="I683" s="8">
        <v>0</v>
      </c>
      <c r="J683" s="50">
        <v>7.5292839477720399</v>
      </c>
      <c r="K683" s="248">
        <f>IFERROR(VLOOKUP(C683,Schedule!$T$3:$U$34,2,0),"FA")</f>
        <v>6</v>
      </c>
      <c r="L683" s="7" t="str">
        <f>D683&amp;COUNTIF(D$2:$D683,D683)</f>
        <v>WR171</v>
      </c>
      <c r="M683" s="50">
        <f t="array" ref="M683">IFERROR(F683-AVERAGE(VLOOKUP(D683,$D684:$F$885,3,0),INDEX($F684:$F$885,SMALL(IF(D683=$D684:$D$885,ROW($D684:$D$885)-ROW(D683)),2))),0)</f>
        <v>0.36728724103160104</v>
      </c>
      <c r="N683" s="50">
        <f>IFERROR(IF(VLOOKUP($B683,Input!$AC$2:$AC$162,1,0)=$B683,0),F683)</f>
        <v>18.244061434580001</v>
      </c>
      <c r="O683" s="50">
        <f>IFERROR(IF(VLOOKUP($B683,Input!$AC$2:$AC$162,1,0)=$B683,0,G683),G683)</f>
        <v>32.042529286261399</v>
      </c>
      <c r="P683" s="50">
        <f>IF(N683=0,0,F683-AVERAGE(INDEX(F:F,MATCH(VLOOKUP(D683,Input!$A$14:$L$22,10,0),L:L,0)),INDEX(F:F,MATCH(VLOOKUP(D683,Input!$A$14:$L$22,11,0),L:L,0)),INDEX(F:F,MATCH(VLOOKUP(D683,Input!$A$14:$L$22,12,0),L:L,0)))+(0.01-ROW()*0.01))</f>
        <v>-201.35385483476901</v>
      </c>
      <c r="Q683" s="106">
        <f t="shared" si="130"/>
        <v>-6.9465658546880277E-2</v>
      </c>
      <c r="R683" s="8">
        <f>IF(VLOOKUP($D683,$X$14:$Y$19,2,0)&lt;=0,1,IF(Q683&lt;0,1,ROUNDUP(IF(Q683*('Draft Center'!$L$28+'Draft Center'!$L$78-'Draft Center'!$L$82)&lt;1,1,Q683*('Draft Center'!$L$28+'Draft Center'!$L$78-'Draft Center'!$L$82)),0)))</f>
        <v>1</v>
      </c>
      <c r="S683" s="8">
        <f>IF(A683&lt;Input!$B$10+0.1,IF(ROUNDUP(R683*Input!$C$10,0)=0,1,ROUNDUP(R683*Input!$C$10,0)),IF(A683&gt;Input!$B$11,IF(ROUNDUP(R683*Input!$C$11,0)=0,1,ROUNDUP(R683*Input!$C$11,0)),IF(ROUNDUP(R683,0)=0,1,ROUNDUP(R683,0))))</f>
        <v>1</v>
      </c>
      <c r="T683" s="8">
        <f t="shared" si="131"/>
        <v>1</v>
      </c>
      <c r="U683" s="8">
        <f>IFERROR(VLOOKUP($B683,Input!$AC$2:$AE$161,3,0),0)</f>
        <v>0</v>
      </c>
      <c r="V683" s="256">
        <f t="shared" si="132"/>
        <v>0</v>
      </c>
      <c r="W683" s="263">
        <f t="shared" si="133"/>
        <v>1.0068299999999999</v>
      </c>
      <c r="X683" s="68"/>
      <c r="Y683" s="68"/>
      <c r="Z683" s="68"/>
      <c r="AA683" s="68"/>
      <c r="AB683" s="68"/>
      <c r="AC683" s="68"/>
      <c r="AD683" s="68"/>
      <c r="AE683" s="68"/>
      <c r="AF683" s="68"/>
      <c r="AG683" s="68"/>
      <c r="AH683" s="68"/>
      <c r="AI683" s="68"/>
      <c r="AJ683" s="68">
        <v>1</v>
      </c>
      <c r="AL683" s="68">
        <v>1</v>
      </c>
      <c r="AM683" s="68"/>
      <c r="AN683" s="68"/>
      <c r="AO683" s="68"/>
      <c r="AQ683" s="68"/>
      <c r="AR683" s="68"/>
      <c r="AS683" s="68"/>
      <c r="AT683" s="68"/>
      <c r="AU683" s="68"/>
      <c r="AV683" s="68"/>
      <c r="AW683" s="68"/>
      <c r="AX683" s="68"/>
      <c r="AY683" s="68"/>
      <c r="AZ683" s="68"/>
      <c r="BB683" s="68"/>
      <c r="BC683" s="68"/>
      <c r="BJ683" s="68"/>
      <c r="BT683">
        <v>1</v>
      </c>
      <c r="BV683">
        <v>1</v>
      </c>
      <c r="BX683" s="68"/>
      <c r="BY683" s="68">
        <v>1</v>
      </c>
      <c r="BZ683" s="68">
        <v>0</v>
      </c>
      <c r="CA683" s="68">
        <v>0</v>
      </c>
      <c r="CB683" s="68">
        <v>0</v>
      </c>
      <c r="CC683" s="68">
        <f t="shared" si="134"/>
        <v>0</v>
      </c>
      <c r="CD683" s="68">
        <f t="shared" si="135"/>
        <v>0</v>
      </c>
    </row>
    <row r="684" spans="1:82" ht="15.75" customHeight="1" thickBot="1" x14ac:dyDescent="0.3">
      <c r="A684" s="9">
        <v>683</v>
      </c>
      <c r="B684" s="10" t="s">
        <v>788</v>
      </c>
      <c r="C684" s="10" t="s">
        <v>311</v>
      </c>
      <c r="D684" s="10" t="s">
        <v>17</v>
      </c>
      <c r="E684" s="51">
        <v>-194.88436788225201</v>
      </c>
      <c r="F684" s="51">
        <v>17.8935483870968</v>
      </c>
      <c r="G684" s="51">
        <v>29.2247177419355</v>
      </c>
      <c r="H684" s="51">
        <v>0</v>
      </c>
      <c r="I684" s="11" t="s">
        <v>1057</v>
      </c>
      <c r="J684" s="51">
        <v>5.65053328166504</v>
      </c>
      <c r="K684" s="249" t="str">
        <f>IFERROR(VLOOKUP(C684,Schedule!$T$3:$U$34,2,0),"FA")</f>
        <v>FA</v>
      </c>
      <c r="L684" s="10" t="str">
        <f>D684&amp;COUNTIF(D$2:$D684,D684)</f>
        <v>WR172</v>
      </c>
      <c r="M684" s="51">
        <f t="array" ref="M684">IFERROR(F684-AVERAGE(VLOOKUP(D684,$D685:$F$885,3,0),INDEX($F685:$F$885,SMALL(IF(D684=$D685:$D$885,ROW($D685:$D$885)-ROW(D684)),2))),0)</f>
        <v>0.1406236833348018</v>
      </c>
      <c r="N684" s="51">
        <f>IFERROR(IF(VLOOKUP($B684,Input!$AC$2:$AC$162,1,0)=$B684,0),F684)</f>
        <v>17.8935483870968</v>
      </c>
      <c r="O684" s="51">
        <f>IFERROR(IF(VLOOKUP($B684,Input!$AC$2:$AC$162,1,0)=$B684,0,G684),G684)</f>
        <v>29.2247177419355</v>
      </c>
      <c r="P684" s="51">
        <f>IF(N684=0,0,F684-AVERAGE(INDEX(F:F,MATCH(VLOOKUP(D684,Input!$A$14:$L$22,10,0),L:L,0)),INDEX(F:F,MATCH(VLOOKUP(D684,Input!$A$14:$L$22,11,0),L:L,0)),INDEX(F:F,MATCH(VLOOKUP(D684,Input!$A$14:$L$22,12,0),L:L,0)))+(0.01-ROW()*0.01))</f>
        <v>-201.71436788225222</v>
      </c>
      <c r="Q684" s="107">
        <f t="shared" si="130"/>
        <v>-6.9590033003374865E-2</v>
      </c>
      <c r="R684" s="11">
        <f>IF(VLOOKUP($D684,$X$14:$Y$19,2,0)&lt;=0,1,IF(Q684&lt;0,1,ROUNDUP(IF(Q684*('Draft Center'!$L$28+'Draft Center'!$L$78-'Draft Center'!$L$82)&lt;1,1,Q684*('Draft Center'!$L$28+'Draft Center'!$L$78-'Draft Center'!$L$82)),0)))</f>
        <v>1</v>
      </c>
      <c r="S684" s="11">
        <f>IF(A684&lt;Input!$B$10+0.1,IF(ROUNDUP(R684*Input!$C$10,0)=0,1,ROUNDUP(R684*Input!$C$10,0)),IF(A684&gt;Input!$B$11,IF(ROUNDUP(R684*Input!$C$11,0)=0,1,ROUNDUP(R684*Input!$C$11,0)),IF(ROUNDUP(R684,0)=0,1,ROUNDUP(R684,0))))</f>
        <v>1</v>
      </c>
      <c r="T684" s="11">
        <f t="shared" si="131"/>
        <v>1</v>
      </c>
      <c r="U684" s="11">
        <f>IFERROR(VLOOKUP($B684,Input!$AC$2:$AE$161,3,0),0)</f>
        <v>0</v>
      </c>
      <c r="V684" s="257">
        <f t="shared" si="132"/>
        <v>0</v>
      </c>
      <c r="W684" s="264">
        <f t="shared" si="133"/>
        <v>0</v>
      </c>
      <c r="X684" s="68"/>
      <c r="Y684" s="68"/>
      <c r="Z684" s="68"/>
      <c r="AA684" s="68"/>
      <c r="AB684" s="68"/>
      <c r="AC684" s="68"/>
      <c r="AD684" s="68"/>
      <c r="AE684" s="68"/>
      <c r="AF684" s="68"/>
      <c r="AG684" s="68"/>
      <c r="AH684" s="68"/>
      <c r="AI684" s="68"/>
      <c r="AJ684" s="68">
        <v>1</v>
      </c>
      <c r="AL684" s="68">
        <v>1</v>
      </c>
      <c r="AM684" s="68"/>
      <c r="AN684" s="68"/>
      <c r="AO684" s="68"/>
      <c r="AQ684" s="68"/>
      <c r="AR684" s="68"/>
      <c r="AS684" s="68"/>
      <c r="AT684" s="68"/>
      <c r="AU684" s="68"/>
      <c r="AV684" s="68"/>
      <c r="AW684" s="68"/>
      <c r="AX684" s="68"/>
      <c r="AY684" s="68"/>
      <c r="AZ684" s="68"/>
      <c r="BB684" s="68"/>
      <c r="BC684" s="68"/>
      <c r="BJ684" s="68"/>
      <c r="BT684">
        <v>1</v>
      </c>
      <c r="BV684">
        <v>1</v>
      </c>
      <c r="BX684" s="68"/>
      <c r="BY684" s="68">
        <v>1</v>
      </c>
      <c r="BZ684" s="68" t="s">
        <v>1057</v>
      </c>
      <c r="CA684" s="68" t="s">
        <v>1057</v>
      </c>
      <c r="CB684" s="68" t="s">
        <v>1057</v>
      </c>
      <c r="CC684" s="68" t="e">
        <f t="shared" si="134"/>
        <v>#DIV/0!</v>
      </c>
      <c r="CD684" s="68" t="str">
        <f t="shared" si="135"/>
        <v>NA</v>
      </c>
    </row>
    <row r="685" spans="1:82" ht="15.75" customHeight="1" thickBot="1" x14ac:dyDescent="0.3">
      <c r="A685" s="6">
        <v>684</v>
      </c>
      <c r="B685" s="7" t="s">
        <v>1217</v>
      </c>
      <c r="C685" s="7" t="s">
        <v>311</v>
      </c>
      <c r="D685" s="7" t="s">
        <v>17</v>
      </c>
      <c r="E685" s="50">
        <v>-194.91791626934901</v>
      </c>
      <c r="F685" s="50">
        <v>17.86</v>
      </c>
      <c r="G685" s="50">
        <v>17.86</v>
      </c>
      <c r="H685" s="50">
        <v>17.86</v>
      </c>
      <c r="I685" s="8" t="s">
        <v>1057</v>
      </c>
      <c r="J685" s="50" t="s">
        <v>1057</v>
      </c>
      <c r="K685" s="248" t="str">
        <f>IFERROR(VLOOKUP(C685,Schedule!$T$3:$U$34,2,0),"FA")</f>
        <v>FA</v>
      </c>
      <c r="L685" s="7" t="str">
        <f>D685&amp;COUNTIF(D$2:$D685,D685)</f>
        <v>WR173</v>
      </c>
      <c r="M685" s="50">
        <f t="array" ref="M685">IFERROR(F685-AVERAGE(VLOOKUP(D685,$D686:$F$885,3,0),INDEX($F686:$F$885,SMALL(IF(D685=$D686:$D$885,ROW($D686:$D$885)-ROW(D685)),2))),0)</f>
        <v>0.47829151245419865</v>
      </c>
      <c r="N685" s="50">
        <f>IFERROR(IF(VLOOKUP($B685,Input!$AC$2:$AC$162,1,0)=$B685,0),F685)</f>
        <v>17.86</v>
      </c>
      <c r="O685" s="50">
        <f>IFERROR(IF(VLOOKUP($B685,Input!$AC$2:$AC$162,1,0)=$B685,0,G685),G685)</f>
        <v>17.86</v>
      </c>
      <c r="P685" s="50">
        <f>IF(N685=0,0,F685-AVERAGE(INDEX(F:F,MATCH(VLOOKUP(D685,Input!$A$14:$L$22,10,0),L:L,0)),INDEX(F:F,MATCH(VLOOKUP(D685,Input!$A$14:$L$22,11,0),L:L,0)),INDEX(F:F,MATCH(VLOOKUP(D685,Input!$A$14:$L$22,12,0),L:L,0)))+(0.01-ROW()*0.01))</f>
        <v>-201.75791626934901</v>
      </c>
      <c r="Q685" s="106">
        <f t="shared" si="130"/>
        <v>-6.9605056889512101E-2</v>
      </c>
      <c r="R685" s="8">
        <f>IF(VLOOKUP($D685,$X$14:$Y$19,2,0)&lt;=0,1,IF(Q685&lt;0,1,ROUNDUP(IF(Q685*('Draft Center'!$L$28+'Draft Center'!$L$78-'Draft Center'!$L$82)&lt;1,1,Q685*('Draft Center'!$L$28+'Draft Center'!$L$78-'Draft Center'!$L$82)),0)))</f>
        <v>1</v>
      </c>
      <c r="S685" s="8">
        <f>IF(A685&lt;Input!$B$10+0.1,IF(ROUNDUP(R685*Input!$C$10,0)=0,1,ROUNDUP(R685*Input!$C$10,0)),IF(A685&gt;Input!$B$11,IF(ROUNDUP(R685*Input!$C$11,0)=0,1,ROUNDUP(R685*Input!$C$11,0)),IF(ROUNDUP(R685,0)=0,1,ROUNDUP(R685,0))))</f>
        <v>1</v>
      </c>
      <c r="T685" s="8">
        <f t="shared" si="131"/>
        <v>1</v>
      </c>
      <c r="U685" s="8">
        <f>IFERROR(VLOOKUP($B685,Input!$AC$2:$AE$161,3,0),0)</f>
        <v>0</v>
      </c>
      <c r="V685" s="256">
        <f t="shared" si="132"/>
        <v>0</v>
      </c>
      <c r="W685" s="263">
        <f t="shared" si="133"/>
        <v>0</v>
      </c>
      <c r="X685" s="68"/>
      <c r="Y685" s="68"/>
      <c r="Z685" s="68"/>
      <c r="AA685" s="68"/>
      <c r="AB685" s="68"/>
      <c r="AC685" s="68"/>
      <c r="AD685" s="68"/>
      <c r="AE685" s="68"/>
      <c r="AF685" s="68"/>
      <c r="AG685" s="68"/>
      <c r="AH685" s="68"/>
      <c r="AI685" s="68"/>
      <c r="AJ685" s="68">
        <v>1</v>
      </c>
      <c r="AL685" s="68">
        <v>1</v>
      </c>
      <c r="AM685" s="68"/>
      <c r="AN685" s="68"/>
      <c r="AO685" s="68"/>
      <c r="AQ685" s="68"/>
      <c r="AR685" s="68"/>
      <c r="AS685" s="68"/>
      <c r="AT685" s="68"/>
      <c r="AU685" s="68"/>
      <c r="AV685" s="68"/>
      <c r="AW685" s="68"/>
      <c r="AX685" s="68"/>
      <c r="AY685" s="68"/>
      <c r="AZ685" s="68"/>
      <c r="BB685" s="68"/>
      <c r="BC685" s="68"/>
      <c r="BJ685" s="68"/>
      <c r="BT685">
        <v>1</v>
      </c>
      <c r="BV685">
        <v>1</v>
      </c>
      <c r="BX685" s="68"/>
      <c r="BY685" s="68">
        <v>1</v>
      </c>
      <c r="BZ685" s="68" t="s">
        <v>1057</v>
      </c>
      <c r="CA685" s="68" t="s">
        <v>1057</v>
      </c>
      <c r="CB685" s="68" t="s">
        <v>1057</v>
      </c>
      <c r="CC685" s="68" t="e">
        <f t="shared" si="134"/>
        <v>#DIV/0!</v>
      </c>
      <c r="CD685" s="68" t="str">
        <f t="shared" si="135"/>
        <v>NA</v>
      </c>
    </row>
    <row r="686" spans="1:82" ht="15.75" customHeight="1" thickBot="1" x14ac:dyDescent="0.3">
      <c r="A686" s="9">
        <v>685</v>
      </c>
      <c r="B686" s="10" t="s">
        <v>834</v>
      </c>
      <c r="C686" s="10" t="s">
        <v>29</v>
      </c>
      <c r="D686" s="10" t="s">
        <v>17</v>
      </c>
      <c r="E686" s="51">
        <v>-195.132066861825</v>
      </c>
      <c r="F686" s="51">
        <v>17.645849407524</v>
      </c>
      <c r="G686" s="51">
        <v>35.915406931402302</v>
      </c>
      <c r="H686" s="51">
        <v>-0.294869684499314</v>
      </c>
      <c r="I686" s="11">
        <v>0</v>
      </c>
      <c r="J686" s="51">
        <v>5.2491059369073296</v>
      </c>
      <c r="K686" s="249">
        <f>IFERROR(VLOOKUP(C686,Schedule!$T$3:$U$34,2,0),"FA")</f>
        <v>8</v>
      </c>
      <c r="L686" s="10" t="str">
        <f>D686&amp;COUNTIF(D$2:$D686,D686)</f>
        <v>WR174</v>
      </c>
      <c r="M686" s="51">
        <f t="array" ref="M686">IFERROR(F686-AVERAGE(VLOOKUP(D686,$D687:$F$885,3,0),INDEX($F687:$F$885,SMALL(IF(D686=$D687:$D$885,ROW($D687:$D$885)-ROW(D686)),2))),0)</f>
        <v>0.56572449581724982</v>
      </c>
      <c r="N686" s="51">
        <f>IFERROR(IF(VLOOKUP($B686,Input!$AC$2:$AC$162,1,0)=$B686,0),F686)</f>
        <v>17.645849407524</v>
      </c>
      <c r="O686" s="51">
        <f>IFERROR(IF(VLOOKUP($B686,Input!$AC$2:$AC$162,1,0)=$B686,0,G686),G686)</f>
        <v>35.915406931402302</v>
      </c>
      <c r="P686" s="51">
        <f>IF(N686=0,0,F686-AVERAGE(INDEX(F:F,MATCH(VLOOKUP(D686,Input!$A$14:$L$22,10,0),L:L,0)),INDEX(F:F,MATCH(VLOOKUP(D686,Input!$A$14:$L$22,11,0),L:L,0)),INDEX(F:F,MATCH(VLOOKUP(D686,Input!$A$14:$L$22,12,0),L:L,0)))+(0.01-ROW()*0.01))</f>
        <v>-201.98206686182502</v>
      </c>
      <c r="Q686" s="107">
        <f t="shared" si="130"/>
        <v>-6.9682387261621431E-2</v>
      </c>
      <c r="R686" s="11">
        <f>IF(VLOOKUP($D686,$X$14:$Y$19,2,0)&lt;=0,1,IF(Q686&lt;0,1,ROUNDUP(IF(Q686*('Draft Center'!$L$28+'Draft Center'!$L$78-'Draft Center'!$L$82)&lt;1,1,Q686*('Draft Center'!$L$28+'Draft Center'!$L$78-'Draft Center'!$L$82)),0)))</f>
        <v>1</v>
      </c>
      <c r="S686" s="11">
        <f>IF(A686&lt;Input!$B$10+0.1,IF(ROUNDUP(R686*Input!$C$10,0)=0,1,ROUNDUP(R686*Input!$C$10,0)),IF(A686&gt;Input!$B$11,IF(ROUNDUP(R686*Input!$C$11,0)=0,1,ROUNDUP(R686*Input!$C$11,0)),IF(ROUNDUP(R686,0)=0,1,ROUNDUP(R686,0))))</f>
        <v>1</v>
      </c>
      <c r="T686" s="11">
        <f t="shared" si="131"/>
        <v>1</v>
      </c>
      <c r="U686" s="11">
        <f>IFERROR(VLOOKUP($B686,Input!$AC$2:$AE$161,3,0),0)</f>
        <v>0</v>
      </c>
      <c r="V686" s="257">
        <f t="shared" si="132"/>
        <v>0</v>
      </c>
      <c r="W686" s="264">
        <f t="shared" si="133"/>
        <v>1.0068600000000001</v>
      </c>
      <c r="X686" s="68"/>
      <c r="Y686" s="68"/>
      <c r="Z686" s="68"/>
      <c r="AA686" s="68"/>
      <c r="AB686" s="68"/>
      <c r="AC686" s="68"/>
      <c r="AD686" s="68"/>
      <c r="AE686" s="68"/>
      <c r="AF686" s="68"/>
      <c r="AG686" s="68"/>
      <c r="AH686" s="68"/>
      <c r="AI686" s="68"/>
      <c r="AJ686" s="68">
        <v>1</v>
      </c>
      <c r="AL686" s="68">
        <v>1</v>
      </c>
      <c r="AM686" s="68"/>
      <c r="AN686" s="68"/>
      <c r="AO686" s="68"/>
      <c r="AQ686" s="68"/>
      <c r="AR686" s="68"/>
      <c r="AS686" s="68"/>
      <c r="AT686" s="68"/>
      <c r="AU686" s="68"/>
      <c r="AV686" s="68"/>
      <c r="AW686" s="68"/>
      <c r="AX686" s="68"/>
      <c r="AY686" s="68"/>
      <c r="AZ686" s="68"/>
      <c r="BB686" s="68"/>
      <c r="BC686" s="68"/>
      <c r="BJ686" s="68"/>
      <c r="BT686">
        <v>1</v>
      </c>
      <c r="BV686">
        <v>1</v>
      </c>
      <c r="BX686" s="68"/>
      <c r="BY686" s="68">
        <v>1</v>
      </c>
      <c r="BZ686" s="68">
        <v>0</v>
      </c>
      <c r="CA686" s="68">
        <v>0</v>
      </c>
      <c r="CB686" s="68">
        <v>0</v>
      </c>
      <c r="CC686" s="68">
        <f t="shared" si="134"/>
        <v>0</v>
      </c>
      <c r="CD686" s="68">
        <f t="shared" si="135"/>
        <v>0</v>
      </c>
    </row>
    <row r="687" spans="1:82" ht="15.75" customHeight="1" thickBot="1" x14ac:dyDescent="0.3">
      <c r="A687" s="6">
        <v>686</v>
      </c>
      <c r="B687" s="7" t="s">
        <v>1014</v>
      </c>
      <c r="C687" s="7" t="s">
        <v>47</v>
      </c>
      <c r="D687" s="7" t="s">
        <v>17</v>
      </c>
      <c r="E687" s="50">
        <v>-195.660348701782</v>
      </c>
      <c r="F687" s="50">
        <v>17.117567567567601</v>
      </c>
      <c r="G687" s="50">
        <v>22.39715</v>
      </c>
      <c r="H687" s="50">
        <v>6.4719478098788397</v>
      </c>
      <c r="I687" s="8">
        <v>0</v>
      </c>
      <c r="J687" s="50">
        <v>5.4648042758599704</v>
      </c>
      <c r="K687" s="248">
        <f>IFERROR(VLOOKUP(C687,Schedule!$T$3:$U$34,2,0),"FA")</f>
        <v>10</v>
      </c>
      <c r="L687" s="7" t="str">
        <f>D687&amp;COUNTIF(D$2:$D687,D687)</f>
        <v>WR175</v>
      </c>
      <c r="M687" s="50">
        <f t="array" ref="M687">IFERROR(F687-AVERAGE(VLOOKUP(D687,$D688:$F$885,3,0),INDEX($F688:$F$885,SMALL(IF(D687=$D688:$D$885,ROW($D688:$D$885)-ROW(D687)),2))),0)</f>
        <v>0.15244261207205057</v>
      </c>
      <c r="N687" s="50">
        <f>IFERROR(IF(VLOOKUP($B687,Input!$AC$2:$AC$162,1,0)=$B687,0),F687)</f>
        <v>17.117567567567601</v>
      </c>
      <c r="O687" s="50">
        <f>IFERROR(IF(VLOOKUP($B687,Input!$AC$2:$AC$162,1,0)=$B687,0,G687),G687)</f>
        <v>22.39715</v>
      </c>
      <c r="P687" s="50">
        <f>IF(N687=0,0,F687-AVERAGE(INDEX(F:F,MATCH(VLOOKUP(D687,Input!$A$14:$L$22,10,0),L:L,0)),INDEX(F:F,MATCH(VLOOKUP(D687,Input!$A$14:$L$22,11,0),L:L,0)),INDEX(F:F,MATCH(VLOOKUP(D687,Input!$A$14:$L$22,12,0),L:L,0)))+(0.01-ROW()*0.01))</f>
        <v>-202.52034870178144</v>
      </c>
      <c r="Q687" s="106">
        <f t="shared" si="130"/>
        <v>-6.9868090696636784E-2</v>
      </c>
      <c r="R687" s="8">
        <f>IF(VLOOKUP($D687,$X$14:$Y$19,2,0)&lt;=0,1,IF(Q687&lt;0,1,ROUNDUP(IF(Q687*('Draft Center'!$L$28+'Draft Center'!$L$78-'Draft Center'!$L$82)&lt;1,1,Q687*('Draft Center'!$L$28+'Draft Center'!$L$78-'Draft Center'!$L$82)),0)))</f>
        <v>1</v>
      </c>
      <c r="S687" s="8">
        <f>IF(A687&lt;Input!$B$10+0.1,IF(ROUNDUP(R687*Input!$C$10,0)=0,1,ROUNDUP(R687*Input!$C$10,0)),IF(A687&gt;Input!$B$11,IF(ROUNDUP(R687*Input!$C$11,0)=0,1,ROUNDUP(R687*Input!$C$11,0)),IF(ROUNDUP(R687,0)=0,1,ROUNDUP(R687,0))))</f>
        <v>1</v>
      </c>
      <c r="T687" s="8">
        <f t="shared" si="131"/>
        <v>1</v>
      </c>
      <c r="U687" s="8">
        <f>IFERROR(VLOOKUP($B687,Input!$AC$2:$AE$161,3,0),0)</f>
        <v>0</v>
      </c>
      <c r="V687" s="256">
        <f t="shared" si="132"/>
        <v>0</v>
      </c>
      <c r="W687" s="263">
        <f t="shared" si="133"/>
        <v>1.0068699999999999</v>
      </c>
      <c r="X687" s="68"/>
      <c r="Y687" s="68"/>
      <c r="Z687" s="68"/>
      <c r="AA687" s="68"/>
      <c r="AB687" s="68"/>
      <c r="AC687" s="68"/>
      <c r="AD687" s="68"/>
      <c r="AE687" s="68"/>
      <c r="AF687" s="68"/>
      <c r="AG687" s="68"/>
      <c r="AH687" s="68"/>
      <c r="AI687" s="68"/>
      <c r="AJ687" s="68">
        <v>1</v>
      </c>
      <c r="AL687" s="68">
        <v>1</v>
      </c>
      <c r="AM687" s="68"/>
      <c r="AN687" s="68"/>
      <c r="AO687" s="68"/>
      <c r="AQ687" s="68"/>
      <c r="AR687" s="68"/>
      <c r="AS687" s="68"/>
      <c r="AT687" s="68"/>
      <c r="AU687" s="68"/>
      <c r="AV687" s="68"/>
      <c r="AW687" s="68"/>
      <c r="AX687" s="68"/>
      <c r="AY687" s="68"/>
      <c r="AZ687" s="68"/>
      <c r="BB687" s="68"/>
      <c r="BC687" s="68"/>
      <c r="BJ687" s="68"/>
      <c r="BT687">
        <v>1</v>
      </c>
      <c r="BV687">
        <v>1</v>
      </c>
      <c r="BX687" s="68"/>
      <c r="BY687" s="68">
        <v>1</v>
      </c>
      <c r="BZ687" s="68">
        <v>0</v>
      </c>
      <c r="CA687" s="68">
        <v>0</v>
      </c>
      <c r="CB687" s="68">
        <v>0</v>
      </c>
      <c r="CC687" s="68">
        <f t="shared" si="134"/>
        <v>0</v>
      </c>
      <c r="CD687" s="68">
        <f t="shared" si="135"/>
        <v>0</v>
      </c>
    </row>
    <row r="688" spans="1:82" ht="15.75" customHeight="1" thickBot="1" x14ac:dyDescent="0.3">
      <c r="A688" s="9">
        <v>687</v>
      </c>
      <c r="B688" s="10" t="s">
        <v>389</v>
      </c>
      <c r="C688" s="10" t="s">
        <v>311</v>
      </c>
      <c r="D688" s="10" t="s">
        <v>17</v>
      </c>
      <c r="E688" s="51">
        <v>-195.735234013503</v>
      </c>
      <c r="F688" s="51">
        <v>17.0426822558459</v>
      </c>
      <c r="G688" s="51">
        <v>28.3556964526835</v>
      </c>
      <c r="H688" s="51">
        <v>0</v>
      </c>
      <c r="I688" s="11" t="s">
        <v>1057</v>
      </c>
      <c r="J688" s="51">
        <v>5.5379487419796503</v>
      </c>
      <c r="K688" s="249" t="str">
        <f>IFERROR(VLOOKUP(C688,Schedule!$T$3:$U$34,2,0),"FA")</f>
        <v>FA</v>
      </c>
      <c r="L688" s="10" t="str">
        <f>D688&amp;COUNTIF(D$2:$D688,D688)</f>
        <v>WR176</v>
      </c>
      <c r="M688" s="51">
        <f t="array" ref="M688">IFERROR(F688-AVERAGE(VLOOKUP(D688,$D689:$F$885,3,0),INDEX($F689:$F$885,SMALL(IF(D688=$D689:$D$885,ROW($D689:$D$885)-ROW(D688)),2))),0)</f>
        <v>0.17884773765655027</v>
      </c>
      <c r="N688" s="51">
        <f>IFERROR(IF(VLOOKUP($B688,Input!$AC$2:$AC$162,1,0)=$B688,0),F688)</f>
        <v>17.0426822558459</v>
      </c>
      <c r="O688" s="51">
        <f>IFERROR(IF(VLOOKUP($B688,Input!$AC$2:$AC$162,1,0)=$B688,0,G688),G688)</f>
        <v>28.3556964526835</v>
      </c>
      <c r="P688" s="51">
        <f>IF(N688=0,0,F688-AVERAGE(INDEX(F:F,MATCH(VLOOKUP(D688,Input!$A$14:$L$22,10,0),L:L,0)),INDEX(F:F,MATCH(VLOOKUP(D688,Input!$A$14:$L$22,11,0),L:L,0)),INDEX(F:F,MATCH(VLOOKUP(D688,Input!$A$14:$L$22,12,0),L:L,0)))+(0.01-ROW()*0.01))</f>
        <v>-202.60523401350312</v>
      </c>
      <c r="Q688" s="107">
        <f t="shared" si="130"/>
        <v>-6.9897375529969344E-2</v>
      </c>
      <c r="R688" s="11">
        <f>IF(VLOOKUP($D688,$X$14:$Y$19,2,0)&lt;=0,1,IF(Q688&lt;0,1,ROUNDUP(IF(Q688*('Draft Center'!$L$28+'Draft Center'!$L$78-'Draft Center'!$L$82)&lt;1,1,Q688*('Draft Center'!$L$28+'Draft Center'!$L$78-'Draft Center'!$L$82)),0)))</f>
        <v>1</v>
      </c>
      <c r="S688" s="11">
        <f>IF(A688&lt;Input!$B$10+0.1,IF(ROUNDUP(R688*Input!$C$10,0)=0,1,ROUNDUP(R688*Input!$C$10,0)),IF(A688&gt;Input!$B$11,IF(ROUNDUP(R688*Input!$C$11,0)=0,1,ROUNDUP(R688*Input!$C$11,0)),IF(ROUNDUP(R688,0)=0,1,ROUNDUP(R688,0))))</f>
        <v>1</v>
      </c>
      <c r="T688" s="11">
        <f t="shared" si="131"/>
        <v>1</v>
      </c>
      <c r="U688" s="11">
        <f>IFERROR(VLOOKUP($B688,Input!$AC$2:$AE$161,3,0),0)</f>
        <v>0</v>
      </c>
      <c r="V688" s="257">
        <f t="shared" si="132"/>
        <v>0</v>
      </c>
      <c r="W688" s="264">
        <f t="shared" si="133"/>
        <v>0</v>
      </c>
      <c r="X688" s="68"/>
      <c r="Y688" s="68"/>
      <c r="Z688" s="68"/>
      <c r="AA688" s="68"/>
      <c r="AB688" s="68"/>
      <c r="AC688" s="68"/>
      <c r="AD688" s="68"/>
      <c r="AE688" s="68"/>
      <c r="AF688" s="68"/>
      <c r="AG688" s="68"/>
      <c r="AH688" s="68"/>
      <c r="AI688" s="68"/>
      <c r="AJ688" s="68">
        <v>1</v>
      </c>
      <c r="AL688" s="68">
        <v>1</v>
      </c>
      <c r="AM688" s="68"/>
      <c r="AN688" s="68"/>
      <c r="AO688" s="68"/>
      <c r="AQ688" s="68"/>
      <c r="AR688" s="68"/>
      <c r="AS688" s="68"/>
      <c r="AT688" s="68"/>
      <c r="AU688" s="68"/>
      <c r="AV688" s="68"/>
      <c r="AW688" s="68"/>
      <c r="AX688" s="68"/>
      <c r="AY688" s="68"/>
      <c r="AZ688" s="68"/>
      <c r="BB688" s="68"/>
      <c r="BC688" s="68"/>
      <c r="BJ688" s="68"/>
      <c r="BT688">
        <v>1</v>
      </c>
      <c r="BV688">
        <v>1</v>
      </c>
      <c r="BX688" s="68"/>
      <c r="BY688" s="68">
        <v>1</v>
      </c>
      <c r="BZ688" s="68" t="s">
        <v>1057</v>
      </c>
      <c r="CA688" s="68" t="s">
        <v>1057</v>
      </c>
      <c r="CB688" s="68" t="s">
        <v>1057</v>
      </c>
      <c r="CC688" s="68" t="e">
        <f t="shared" si="134"/>
        <v>#DIV/0!</v>
      </c>
      <c r="CD688" s="68" t="str">
        <f t="shared" si="135"/>
        <v>NA</v>
      </c>
    </row>
    <row r="689" spans="1:82" ht="15.75" customHeight="1" thickBot="1" x14ac:dyDescent="0.3">
      <c r="A689" s="6">
        <v>688</v>
      </c>
      <c r="B689" s="7" t="s">
        <v>895</v>
      </c>
      <c r="C689" s="7" t="s">
        <v>93</v>
      </c>
      <c r="D689" s="7" t="s">
        <v>17</v>
      </c>
      <c r="E689" s="50">
        <v>-195.89034861420399</v>
      </c>
      <c r="F689" s="50">
        <v>16.887567655145201</v>
      </c>
      <c r="G689" s="50">
        <v>34.868207742331698</v>
      </c>
      <c r="H689" s="50">
        <v>0</v>
      </c>
      <c r="I689" s="8" t="s">
        <v>1057</v>
      </c>
      <c r="J689" s="50">
        <v>5.3800001456639803</v>
      </c>
      <c r="K689" s="248">
        <f>IFERROR(VLOOKUP(C689,Schedule!$T$3:$U$34,2,0),"FA")</f>
        <v>11</v>
      </c>
      <c r="L689" s="7" t="str">
        <f>D689&amp;COUNTIF(D$2:$D689,D689)</f>
        <v>WR177</v>
      </c>
      <c r="M689" s="50">
        <f t="array" ref="M689">IFERROR(F689-AVERAGE(VLOOKUP(D689,$D690:$F$885,3,0),INDEX($F690:$F$885,SMALL(IF(D689=$D690:$D$885,ROW($D690:$D$885)-ROW(D689)),2))),0)</f>
        <v>0.1215953689301017</v>
      </c>
      <c r="N689" s="50">
        <f>IFERROR(IF(VLOOKUP($B689,Input!$AC$2:$AC$162,1,0)=$B689,0),F689)</f>
        <v>16.887567655145201</v>
      </c>
      <c r="O689" s="50">
        <f>IFERROR(IF(VLOOKUP($B689,Input!$AC$2:$AC$162,1,0)=$B689,0,G689),G689)</f>
        <v>34.868207742331698</v>
      </c>
      <c r="P689" s="50">
        <f>IF(N689=0,0,F689-AVERAGE(INDEX(F:F,MATCH(VLOOKUP(D689,Input!$A$14:$L$22,10,0),L:L,0)),INDEX(F:F,MATCH(VLOOKUP(D689,Input!$A$14:$L$22,11,0),L:L,0)),INDEX(F:F,MATCH(VLOOKUP(D689,Input!$A$14:$L$22,12,0),L:L,0)))+(0.01-ROW()*0.01))</f>
        <v>-202.77034861420381</v>
      </c>
      <c r="Q689" s="106">
        <f t="shared" si="130"/>
        <v>-6.9954338901655422E-2</v>
      </c>
      <c r="R689" s="8">
        <f>IF(VLOOKUP($D689,$X$14:$Y$19,2,0)&lt;=0,1,IF(Q689&lt;0,1,ROUNDUP(IF(Q689*('Draft Center'!$L$28+'Draft Center'!$L$78-'Draft Center'!$L$82)&lt;1,1,Q689*('Draft Center'!$L$28+'Draft Center'!$L$78-'Draft Center'!$L$82)),0)))</f>
        <v>1</v>
      </c>
      <c r="S689" s="8">
        <f>IF(A689&lt;Input!$B$10+0.1,IF(ROUNDUP(R689*Input!$C$10,0)=0,1,ROUNDUP(R689*Input!$C$10,0)),IF(A689&gt;Input!$B$11,IF(ROUNDUP(R689*Input!$C$11,0)=0,1,ROUNDUP(R689*Input!$C$11,0)),IF(ROUNDUP(R689,0)=0,1,ROUNDUP(R689,0))))</f>
        <v>1</v>
      </c>
      <c r="T689" s="8">
        <f t="shared" si="131"/>
        <v>1</v>
      </c>
      <c r="U689" s="8">
        <f>IFERROR(VLOOKUP($B689,Input!$AC$2:$AE$161,3,0),0)</f>
        <v>0</v>
      </c>
      <c r="V689" s="256">
        <f t="shared" si="132"/>
        <v>0</v>
      </c>
      <c r="W689" s="263">
        <f t="shared" si="133"/>
        <v>0</v>
      </c>
      <c r="X689" s="68"/>
      <c r="Y689" s="68"/>
      <c r="Z689" s="68"/>
      <c r="AA689" s="68"/>
      <c r="AB689" s="68"/>
      <c r="AC689" s="68"/>
      <c r="AD689" s="68"/>
      <c r="AE689" s="68"/>
      <c r="AF689" s="68"/>
      <c r="AG689" s="68"/>
      <c r="AH689" s="68"/>
      <c r="AI689" s="68"/>
      <c r="AJ689" s="68">
        <v>1</v>
      </c>
      <c r="AL689" s="68">
        <v>1</v>
      </c>
      <c r="AM689" s="68"/>
      <c r="AN689" s="68"/>
      <c r="AO689" s="68"/>
      <c r="AQ689" s="68"/>
      <c r="AR689" s="68"/>
      <c r="AS689" s="68"/>
      <c r="AT689" s="68"/>
      <c r="AU689" s="68"/>
      <c r="AV689" s="68"/>
      <c r="AW689" s="68"/>
      <c r="AX689" s="68"/>
      <c r="AY689" s="68"/>
      <c r="AZ689" s="68"/>
      <c r="BB689" s="68"/>
      <c r="BC689" s="68"/>
      <c r="BJ689" s="68"/>
      <c r="BT689">
        <v>1</v>
      </c>
      <c r="BV689">
        <v>1</v>
      </c>
      <c r="BX689" s="68"/>
      <c r="BY689" s="68">
        <v>1</v>
      </c>
      <c r="BZ689" s="68" t="s">
        <v>1057</v>
      </c>
      <c r="CA689" s="68" t="s">
        <v>1057</v>
      </c>
      <c r="CB689" s="68" t="s">
        <v>1057</v>
      </c>
      <c r="CC689" s="68" t="e">
        <f t="shared" si="134"/>
        <v>#DIV/0!</v>
      </c>
      <c r="CD689" s="68" t="str">
        <f t="shared" si="135"/>
        <v>NA</v>
      </c>
    </row>
    <row r="690" spans="1:82" ht="15.75" customHeight="1" thickBot="1" x14ac:dyDescent="0.3">
      <c r="A690" s="9">
        <v>689</v>
      </c>
      <c r="B690" s="10" t="s">
        <v>285</v>
      </c>
      <c r="C690" s="10" t="s">
        <v>29</v>
      </c>
      <c r="D690" s="10" t="s">
        <v>17</v>
      </c>
      <c r="E690" s="51">
        <v>-195.93781488811601</v>
      </c>
      <c r="F690" s="51">
        <v>16.840101381233499</v>
      </c>
      <c r="G690" s="51">
        <v>29.110569243612201</v>
      </c>
      <c r="H690" s="51">
        <v>-0.116812541642171</v>
      </c>
      <c r="I690" s="11" t="s">
        <v>1057</v>
      </c>
      <c r="J690" s="51">
        <v>5.4036699564695896</v>
      </c>
      <c r="K690" s="249">
        <f>IFERROR(VLOOKUP(C690,Schedule!$T$3:$U$34,2,0),"FA")</f>
        <v>8</v>
      </c>
      <c r="L690" s="10" t="str">
        <f>D690&amp;COUNTIF(D$2:$D690,D690)</f>
        <v>WR178</v>
      </c>
      <c r="M690" s="51">
        <f t="array" ref="M690">IFERROR(F690-AVERAGE(VLOOKUP(D690,$D691:$F$885,3,0),INDEX($F691:$F$885,SMALL(IF(D690=$D691:$D$885,ROW($D691:$D$885)-ROW(D690)),2))),0)</f>
        <v>0.21352806212079756</v>
      </c>
      <c r="N690" s="51">
        <f>IFERROR(IF(VLOOKUP($B690,Input!$AC$2:$AC$162,1,0)=$B690,0),F690)</f>
        <v>16.840101381233499</v>
      </c>
      <c r="O690" s="51">
        <f>IFERROR(IF(VLOOKUP($B690,Input!$AC$2:$AC$162,1,0)=$B690,0,G690),G690)</f>
        <v>29.110569243612201</v>
      </c>
      <c r="P690" s="51">
        <f>IF(N690=0,0,F690-AVERAGE(INDEX(F:F,MATCH(VLOOKUP(D690,Input!$A$14:$L$22,10,0),L:L,0)),INDEX(F:F,MATCH(VLOOKUP(D690,Input!$A$14:$L$22,11,0),L:L,0)),INDEX(F:F,MATCH(VLOOKUP(D690,Input!$A$14:$L$22,12,0),L:L,0)))+(0.01-ROW()*0.01))</f>
        <v>-202.82781488811554</v>
      </c>
      <c r="Q690" s="107">
        <f t="shared" si="130"/>
        <v>-6.9974164360496471E-2</v>
      </c>
      <c r="R690" s="11">
        <f>IF(VLOOKUP($D690,$X$14:$Y$19,2,0)&lt;=0,1,IF(Q690&lt;0,1,ROUNDUP(IF(Q690*('Draft Center'!$L$28+'Draft Center'!$L$78-'Draft Center'!$L$82)&lt;1,1,Q690*('Draft Center'!$L$28+'Draft Center'!$L$78-'Draft Center'!$L$82)),0)))</f>
        <v>1</v>
      </c>
      <c r="S690" s="11">
        <f>IF(A690&lt;Input!$B$10+0.1,IF(ROUNDUP(R690*Input!$C$10,0)=0,1,ROUNDUP(R690*Input!$C$10,0)),IF(A690&gt;Input!$B$11,IF(ROUNDUP(R690*Input!$C$11,0)=0,1,ROUNDUP(R690*Input!$C$11,0)),IF(ROUNDUP(R690,0)=0,1,ROUNDUP(R690,0))))</f>
        <v>1</v>
      </c>
      <c r="T690" s="11">
        <f t="shared" si="131"/>
        <v>1</v>
      </c>
      <c r="U690" s="11">
        <f>IFERROR(VLOOKUP($B690,Input!$AC$2:$AE$161,3,0),0)</f>
        <v>0</v>
      </c>
      <c r="V690" s="257">
        <f t="shared" si="132"/>
        <v>0</v>
      </c>
      <c r="W690" s="264">
        <f t="shared" si="133"/>
        <v>0</v>
      </c>
      <c r="X690" s="68"/>
      <c r="Y690" s="68"/>
      <c r="Z690" s="68"/>
      <c r="AA690" s="68"/>
      <c r="AB690" s="68"/>
      <c r="AC690" s="68"/>
      <c r="AD690" s="68"/>
      <c r="AE690" s="68"/>
      <c r="AF690" s="68"/>
      <c r="AG690" s="68"/>
      <c r="AH690" s="68"/>
      <c r="AI690" s="68"/>
      <c r="AJ690" s="68">
        <v>1</v>
      </c>
      <c r="AL690" s="68">
        <v>1</v>
      </c>
      <c r="AM690" s="68"/>
      <c r="AN690" s="68"/>
      <c r="AO690" s="68"/>
      <c r="AQ690" s="68"/>
      <c r="AR690" s="68"/>
      <c r="AS690" s="68"/>
      <c r="AT690" s="68"/>
      <c r="AU690" s="68"/>
      <c r="AV690" s="68"/>
      <c r="AW690" s="68"/>
      <c r="AX690" s="68"/>
      <c r="AY690" s="68"/>
      <c r="AZ690" s="68"/>
      <c r="BB690" s="68"/>
      <c r="BC690" s="68"/>
      <c r="BJ690" s="68"/>
      <c r="BT690">
        <v>1</v>
      </c>
      <c r="BV690">
        <v>1</v>
      </c>
      <c r="BX690" s="68"/>
      <c r="BY690" s="68">
        <v>1</v>
      </c>
      <c r="BZ690" s="68" t="s">
        <v>1057</v>
      </c>
      <c r="CA690" s="68" t="s">
        <v>1057</v>
      </c>
      <c r="CB690" s="68" t="s">
        <v>1057</v>
      </c>
      <c r="CC690" s="68" t="e">
        <f t="shared" si="134"/>
        <v>#DIV/0!</v>
      </c>
      <c r="CD690" s="68" t="str">
        <f t="shared" si="135"/>
        <v>NA</v>
      </c>
    </row>
    <row r="691" spans="1:82" ht="15.75" customHeight="1" thickBot="1" x14ac:dyDescent="0.3">
      <c r="A691" s="6">
        <v>690</v>
      </c>
      <c r="B691" s="7" t="s">
        <v>793</v>
      </c>
      <c r="C691" s="7" t="s">
        <v>927</v>
      </c>
      <c r="D691" s="7" t="s">
        <v>17</v>
      </c>
      <c r="E691" s="50">
        <v>-196.086073078152</v>
      </c>
      <c r="F691" s="50">
        <v>16.6918431911967</v>
      </c>
      <c r="G691" s="50">
        <v>28.437655136731301</v>
      </c>
      <c r="H691" s="50">
        <v>0</v>
      </c>
      <c r="I691" s="8" t="s">
        <v>1057</v>
      </c>
      <c r="J691" s="50">
        <v>5.4172091916309899</v>
      </c>
      <c r="K691" s="248">
        <f>IFERROR(VLOOKUP(C691,Schedule!$T$3:$U$34,2,0),"FA")</f>
        <v>9</v>
      </c>
      <c r="L691" s="7" t="str">
        <f>D691&amp;COUNTIF(D$2:$D691,D691)</f>
        <v>WR179</v>
      </c>
      <c r="M691" s="50">
        <f t="array" ref="M691">IFERROR(F691-AVERAGE(VLOOKUP(D691,$D692:$F$885,3,0),INDEX($F692:$F$885,SMALL(IF(D691=$D692:$D$885,ROW($D692:$D$885)-ROW(D691)),2))),0)</f>
        <v>0.25771604555199801</v>
      </c>
      <c r="N691" s="50">
        <f>IFERROR(IF(VLOOKUP($B691,Input!$AC$2:$AC$162,1,0)=$B691,0),F691)</f>
        <v>16.6918431911967</v>
      </c>
      <c r="O691" s="50">
        <f>IFERROR(IF(VLOOKUP($B691,Input!$AC$2:$AC$162,1,0)=$B691,0,G691),G691)</f>
        <v>28.437655136731301</v>
      </c>
      <c r="P691" s="50">
        <f>IF(N691=0,0,F691-AVERAGE(INDEX(F:F,MATCH(VLOOKUP(D691,Input!$A$14:$L$22,10,0),L:L,0)),INDEX(F:F,MATCH(VLOOKUP(D691,Input!$A$14:$L$22,11,0),L:L,0)),INDEX(F:F,MATCH(VLOOKUP(D691,Input!$A$14:$L$22,12,0),L:L,0)))+(0.01-ROW()*0.01))</f>
        <v>-202.98607307815232</v>
      </c>
      <c r="Q691" s="106">
        <f t="shared" si="130"/>
        <v>-7.0028762318903398E-2</v>
      </c>
      <c r="R691" s="8">
        <f>IF(VLOOKUP($D691,$X$14:$Y$19,2,0)&lt;=0,1,IF(Q691&lt;0,1,ROUNDUP(IF(Q691*('Draft Center'!$L$28+'Draft Center'!$L$78-'Draft Center'!$L$82)&lt;1,1,Q691*('Draft Center'!$L$28+'Draft Center'!$L$78-'Draft Center'!$L$82)),0)))</f>
        <v>1</v>
      </c>
      <c r="S691" s="8">
        <f>IF(A691&lt;Input!$B$10+0.1,IF(ROUNDUP(R691*Input!$C$10,0)=0,1,ROUNDUP(R691*Input!$C$10,0)),IF(A691&gt;Input!$B$11,IF(ROUNDUP(R691*Input!$C$11,0)=0,1,ROUNDUP(R691*Input!$C$11,0)),IF(ROUNDUP(R691,0)=0,1,ROUNDUP(R691,0))))</f>
        <v>1</v>
      </c>
      <c r="T691" s="8">
        <f t="shared" si="131"/>
        <v>1</v>
      </c>
      <c r="U691" s="8">
        <f>IFERROR(VLOOKUP($B691,Input!$AC$2:$AE$161,3,0),0)</f>
        <v>0</v>
      </c>
      <c r="V691" s="256">
        <f t="shared" si="132"/>
        <v>0</v>
      </c>
      <c r="W691" s="263">
        <f t="shared" si="133"/>
        <v>0</v>
      </c>
      <c r="X691" s="68"/>
      <c r="Y691" s="68"/>
      <c r="Z691" s="68"/>
      <c r="AA691" s="68"/>
      <c r="AB691" s="68"/>
      <c r="AC691" s="68"/>
      <c r="AD691" s="68"/>
      <c r="AE691" s="68"/>
      <c r="AF691" s="68"/>
      <c r="AG691" s="68"/>
      <c r="AH691" s="68"/>
      <c r="AI691" s="68"/>
      <c r="AJ691" s="68">
        <v>1</v>
      </c>
      <c r="AL691" s="68">
        <v>1</v>
      </c>
      <c r="AM691" s="68"/>
      <c r="AN691" s="68"/>
      <c r="AO691" s="68"/>
      <c r="AQ691" s="68"/>
      <c r="AR691" s="68"/>
      <c r="AS691" s="68"/>
      <c r="AT691" s="68"/>
      <c r="AU691" s="68"/>
      <c r="AV691" s="68"/>
      <c r="AW691" s="68"/>
      <c r="AX691" s="68"/>
      <c r="AY691" s="68"/>
      <c r="AZ691" s="68"/>
      <c r="BB691" s="68"/>
      <c r="BC691" s="68"/>
      <c r="BJ691" s="68"/>
      <c r="BT691">
        <v>1</v>
      </c>
      <c r="BV691">
        <v>1</v>
      </c>
      <c r="BX691" s="68"/>
      <c r="BY691" s="68">
        <v>1</v>
      </c>
      <c r="BZ691" s="68" t="s">
        <v>1057</v>
      </c>
      <c r="CA691" s="68" t="s">
        <v>1057</v>
      </c>
      <c r="CB691" s="68" t="s">
        <v>1057</v>
      </c>
      <c r="CC691" s="68" t="e">
        <f t="shared" si="134"/>
        <v>#DIV/0!</v>
      </c>
      <c r="CD691" s="68" t="str">
        <f t="shared" si="135"/>
        <v>NA</v>
      </c>
    </row>
    <row r="692" spans="1:82" ht="15.75" customHeight="1" thickBot="1" x14ac:dyDescent="0.3">
      <c r="A692" s="9">
        <v>691</v>
      </c>
      <c r="B692" s="10" t="s">
        <v>495</v>
      </c>
      <c r="C692" s="10" t="s">
        <v>85</v>
      </c>
      <c r="D692" s="10" t="s">
        <v>17</v>
      </c>
      <c r="E692" s="51">
        <v>-196.21661282232</v>
      </c>
      <c r="F692" s="51">
        <v>16.561303447028699</v>
      </c>
      <c r="G692" s="51">
        <v>29.8175417857098</v>
      </c>
      <c r="H692" s="51">
        <v>0</v>
      </c>
      <c r="I692" s="11">
        <v>0</v>
      </c>
      <c r="J692" s="51">
        <v>6.0146045994133797</v>
      </c>
      <c r="K692" s="249">
        <f>IFERROR(VLOOKUP(C692,Schedule!$T$3:$U$34,2,0),"FA")</f>
        <v>11</v>
      </c>
      <c r="L692" s="10" t="str">
        <f>D692&amp;COUNTIF(D$2:$D692,D692)</f>
        <v>WR180</v>
      </c>
      <c r="M692" s="51">
        <f t="array" ref="M692">IFERROR(F692-AVERAGE(VLOOKUP(D692,$D693:$F$885,3,0),INDEX($F693:$F$885,SMALL(IF(D692=$D693:$D$885,ROW($D693:$D$885)-ROW(D692)),2))),0)</f>
        <v>0.29485659505739648</v>
      </c>
      <c r="N692" s="51">
        <f>IFERROR(IF(VLOOKUP($B692,Input!$AC$2:$AC$162,1,0)=$B692,0),F692)</f>
        <v>16.561303447028699</v>
      </c>
      <c r="O692" s="51">
        <f>IFERROR(IF(VLOOKUP($B692,Input!$AC$2:$AC$162,1,0)=$B692,0,G692),G692)</f>
        <v>29.8175417857098</v>
      </c>
      <c r="P692" s="51">
        <f>IF(N692=0,0,F692-AVERAGE(INDEX(F:F,MATCH(VLOOKUP(D692,Input!$A$14:$L$22,10,0),L:L,0)),INDEX(F:F,MATCH(VLOOKUP(D692,Input!$A$14:$L$22,11,0),L:L,0)),INDEX(F:F,MATCH(VLOOKUP(D692,Input!$A$14:$L$22,12,0),L:L,0)))+(0.01-ROW()*0.01))</f>
        <v>-203.12661282232031</v>
      </c>
      <c r="Q692" s="107">
        <f t="shared" si="130"/>
        <v>-7.0077247538561344E-2</v>
      </c>
      <c r="R692" s="11">
        <f>IF(VLOOKUP($D692,$X$14:$Y$19,2,0)&lt;=0,1,IF(Q692&lt;0,1,ROUNDUP(IF(Q692*('Draft Center'!$L$28+'Draft Center'!$L$78-'Draft Center'!$L$82)&lt;1,1,Q692*('Draft Center'!$L$28+'Draft Center'!$L$78-'Draft Center'!$L$82)),0)))</f>
        <v>1</v>
      </c>
      <c r="S692" s="11">
        <f>IF(A692&lt;Input!$B$10+0.1,IF(ROUNDUP(R692*Input!$C$10,0)=0,1,ROUNDUP(R692*Input!$C$10,0)),IF(A692&gt;Input!$B$11,IF(ROUNDUP(R692*Input!$C$11,0)=0,1,ROUNDUP(R692*Input!$C$11,0)),IF(ROUNDUP(R692,0)=0,1,ROUNDUP(R692,0))))</f>
        <v>1</v>
      </c>
      <c r="T692" s="11">
        <f t="shared" si="131"/>
        <v>1</v>
      </c>
      <c r="U692" s="11">
        <f>IFERROR(VLOOKUP($B692,Input!$AC$2:$AE$161,3,0),0)</f>
        <v>0</v>
      </c>
      <c r="V692" s="257">
        <f t="shared" si="132"/>
        <v>0</v>
      </c>
      <c r="W692" s="264">
        <f t="shared" si="133"/>
        <v>1.00692</v>
      </c>
      <c r="X692" s="68"/>
      <c r="Y692" s="68"/>
      <c r="Z692" s="68"/>
      <c r="AA692" s="68"/>
      <c r="AB692" s="68"/>
      <c r="AC692" s="68"/>
      <c r="AD692" s="68"/>
      <c r="AE692" s="68"/>
      <c r="AF692" s="68"/>
      <c r="AG692" s="68"/>
      <c r="AH692" s="68"/>
      <c r="AI692" s="68"/>
      <c r="AJ692" s="68">
        <v>1</v>
      </c>
      <c r="AL692" s="68">
        <v>1</v>
      </c>
      <c r="AM692" s="68"/>
      <c r="AN692" s="68"/>
      <c r="AO692" s="68"/>
      <c r="AQ692" s="68"/>
      <c r="AR692" s="68"/>
      <c r="AS692" s="68"/>
      <c r="AT692" s="68"/>
      <c r="AU692" s="68"/>
      <c r="AV692" s="68"/>
      <c r="AW692" s="68"/>
      <c r="AX692" s="68"/>
      <c r="AY692" s="68"/>
      <c r="AZ692" s="68"/>
      <c r="BB692" s="68"/>
      <c r="BC692" s="68"/>
      <c r="BJ692" s="68"/>
      <c r="BT692">
        <v>1</v>
      </c>
      <c r="BV692">
        <v>1</v>
      </c>
      <c r="BX692" s="68"/>
      <c r="BY692" s="68">
        <v>1</v>
      </c>
      <c r="BZ692" s="68">
        <v>0</v>
      </c>
      <c r="CA692" s="68">
        <v>0</v>
      </c>
      <c r="CB692" s="68">
        <v>0</v>
      </c>
      <c r="CC692" s="68">
        <f t="shared" si="134"/>
        <v>0</v>
      </c>
      <c r="CD692" s="68">
        <f t="shared" si="135"/>
        <v>0</v>
      </c>
    </row>
    <row r="693" spans="1:82" ht="15.75" customHeight="1" thickBot="1" x14ac:dyDescent="0.3">
      <c r="A693" s="6">
        <v>692</v>
      </c>
      <c r="B693" s="7" t="s">
        <v>801</v>
      </c>
      <c r="C693" s="7" t="s">
        <v>925</v>
      </c>
      <c r="D693" s="7" t="s">
        <v>17</v>
      </c>
      <c r="E693" s="50">
        <v>-196.470965425088</v>
      </c>
      <c r="F693" s="50">
        <v>16.306950844260701</v>
      </c>
      <c r="G693" s="50">
        <v>39.466323509827198</v>
      </c>
      <c r="H693" s="50">
        <v>-0.15834073762314499</v>
      </c>
      <c r="I693" s="8">
        <v>0</v>
      </c>
      <c r="J693" s="50">
        <v>6.1295190467496603</v>
      </c>
      <c r="K693" s="248">
        <f>IFERROR(VLOOKUP(C693,Schedule!$T$3:$U$34,2,0),"FA")</f>
        <v>8</v>
      </c>
      <c r="L693" s="7" t="str">
        <f>D693&amp;COUNTIF(D$2:$D693,D693)</f>
        <v>WR181</v>
      </c>
      <c r="M693" s="50">
        <f t="array" ref="M693">IFERROR(F693-AVERAGE(VLOOKUP(D693,$D694:$F$885,3,0),INDEX($F694:$F$885,SMALL(IF(D693=$D694:$D$885,ROW($D694:$D$885)-ROW(D693)),2))),0)</f>
        <v>0.48494703506525028</v>
      </c>
      <c r="N693" s="50">
        <f>IFERROR(IF(VLOOKUP($B693,Input!$AC$2:$AC$162,1,0)=$B693,0),F693)</f>
        <v>16.306950844260701</v>
      </c>
      <c r="O693" s="50">
        <f>IFERROR(IF(VLOOKUP($B693,Input!$AC$2:$AC$162,1,0)=$B693,0,G693),G693)</f>
        <v>39.466323509827198</v>
      </c>
      <c r="P693" s="50">
        <f>IF(N693=0,0,F693-AVERAGE(INDEX(F:F,MATCH(VLOOKUP(D693,Input!$A$14:$L$22,10,0),L:L,0)),INDEX(F:F,MATCH(VLOOKUP(D693,Input!$A$14:$L$22,11,0),L:L,0)),INDEX(F:F,MATCH(VLOOKUP(D693,Input!$A$14:$L$22,12,0),L:L,0)))+(0.01-ROW()*0.01))</f>
        <v>-203.3909654250883</v>
      </c>
      <c r="Q693" s="106">
        <f t="shared" si="130"/>
        <v>-7.0168447320432564E-2</v>
      </c>
      <c r="R693" s="8">
        <f>IF(VLOOKUP($D693,$X$14:$Y$19,2,0)&lt;=0,1,IF(Q693&lt;0,1,ROUNDUP(IF(Q693*('Draft Center'!$L$28+'Draft Center'!$L$78-'Draft Center'!$L$82)&lt;1,1,Q693*('Draft Center'!$L$28+'Draft Center'!$L$78-'Draft Center'!$L$82)),0)))</f>
        <v>1</v>
      </c>
      <c r="S693" s="8">
        <f>IF(A693&lt;Input!$B$10+0.1,IF(ROUNDUP(R693*Input!$C$10,0)=0,1,ROUNDUP(R693*Input!$C$10,0)),IF(A693&gt;Input!$B$11,IF(ROUNDUP(R693*Input!$C$11,0)=0,1,ROUNDUP(R693*Input!$C$11,0)),IF(ROUNDUP(R693,0)=0,1,ROUNDUP(R693,0))))</f>
        <v>1</v>
      </c>
      <c r="T693" s="8">
        <f t="shared" si="131"/>
        <v>1</v>
      </c>
      <c r="U693" s="8">
        <f>IFERROR(VLOOKUP($B693,Input!$AC$2:$AE$161,3,0),0)</f>
        <v>0</v>
      </c>
      <c r="V693" s="256">
        <f t="shared" si="132"/>
        <v>0</v>
      </c>
      <c r="W693" s="263">
        <f t="shared" si="133"/>
        <v>1.0069300000000001</v>
      </c>
      <c r="X693" s="68"/>
      <c r="Y693" s="68"/>
      <c r="Z693" s="68"/>
      <c r="AA693" s="68"/>
      <c r="AB693" s="68"/>
      <c r="AC693" s="68"/>
      <c r="AD693" s="68"/>
      <c r="AE693" s="68"/>
      <c r="AF693" s="68"/>
      <c r="AG693" s="68"/>
      <c r="AH693" s="68"/>
      <c r="AI693" s="68"/>
      <c r="AJ693" s="68">
        <v>1</v>
      </c>
      <c r="AL693" s="68">
        <v>1</v>
      </c>
      <c r="AM693" s="68"/>
      <c r="AN693" s="68"/>
      <c r="AO693" s="68"/>
      <c r="AQ693" s="68"/>
      <c r="AR693" s="68"/>
      <c r="AS693" s="68"/>
      <c r="AT693" s="68"/>
      <c r="AU693" s="68"/>
      <c r="AV693" s="68"/>
      <c r="AW693" s="68"/>
      <c r="AX693" s="68"/>
      <c r="AY693" s="68"/>
      <c r="AZ693" s="68"/>
      <c r="BB693" s="68"/>
      <c r="BC693" s="68"/>
      <c r="BJ693" s="68"/>
      <c r="BT693">
        <v>1</v>
      </c>
      <c r="BV693">
        <v>1</v>
      </c>
      <c r="BX693" s="68"/>
      <c r="BY693" s="68">
        <v>1</v>
      </c>
      <c r="BZ693" s="68">
        <v>0</v>
      </c>
      <c r="CA693" s="68">
        <v>0</v>
      </c>
      <c r="CB693" s="68">
        <v>0</v>
      </c>
      <c r="CC693" s="68">
        <f t="shared" si="134"/>
        <v>0</v>
      </c>
      <c r="CD693" s="68">
        <f t="shared" si="135"/>
        <v>0</v>
      </c>
    </row>
    <row r="694" spans="1:82" ht="15.75" customHeight="1" thickBot="1" x14ac:dyDescent="0.3">
      <c r="A694" s="9">
        <v>693</v>
      </c>
      <c r="B694" s="10" t="s">
        <v>1030</v>
      </c>
      <c r="C694" s="10" t="s">
        <v>25</v>
      </c>
      <c r="D694" s="10" t="s">
        <v>17</v>
      </c>
      <c r="E694" s="51">
        <v>-196.551973409667</v>
      </c>
      <c r="F694" s="51">
        <v>16.225942859681901</v>
      </c>
      <c r="G694" s="51">
        <v>20.870576344086</v>
      </c>
      <c r="H694" s="51">
        <v>6.31088154269972</v>
      </c>
      <c r="I694" s="11" t="s">
        <v>1057</v>
      </c>
      <c r="J694" s="51">
        <v>5.5894704254809602</v>
      </c>
      <c r="K694" s="249">
        <f>IFERROR(VLOOKUP(C694,Schedule!$T$3:$U$34,2,0),"FA")</f>
        <v>10</v>
      </c>
      <c r="L694" s="10" t="str">
        <f>D694&amp;COUNTIF(D$2:$D694,D694)</f>
        <v>WR182</v>
      </c>
      <c r="M694" s="51">
        <f t="array" ref="M694">IFERROR(F694-AVERAGE(VLOOKUP(D694,$D695:$F$885,3,0),INDEX($F695:$F$885,SMALL(IF(D694=$D695:$D$885,ROW($D695:$D$885)-ROW(D694)),2))),0)</f>
        <v>0.83826456626090007</v>
      </c>
      <c r="N694" s="51">
        <f>IFERROR(IF(VLOOKUP($B694,Input!$AC$2:$AC$162,1,0)=$B694,0),F694)</f>
        <v>16.225942859681901</v>
      </c>
      <c r="O694" s="51">
        <f>IFERROR(IF(VLOOKUP($B694,Input!$AC$2:$AC$162,1,0)=$B694,0,G694),G694)</f>
        <v>20.870576344086</v>
      </c>
      <c r="P694" s="51">
        <f>IF(N694=0,0,F694-AVERAGE(INDEX(F:F,MATCH(VLOOKUP(D694,Input!$A$14:$L$22,10,0),L:L,0)),INDEX(F:F,MATCH(VLOOKUP(D694,Input!$A$14:$L$22,11,0),L:L,0)),INDEX(F:F,MATCH(VLOOKUP(D694,Input!$A$14:$L$22,12,0),L:L,0)))+(0.01-ROW()*0.01))</f>
        <v>-203.48197340966712</v>
      </c>
      <c r="Q694" s="107">
        <f t="shared" si="130"/>
        <v>-7.0199844432680458E-2</v>
      </c>
      <c r="R694" s="11">
        <f>IF(VLOOKUP($D694,$X$14:$Y$19,2,0)&lt;=0,1,IF(Q694&lt;0,1,ROUNDUP(IF(Q694*('Draft Center'!$L$28+'Draft Center'!$L$78-'Draft Center'!$L$82)&lt;1,1,Q694*('Draft Center'!$L$28+'Draft Center'!$L$78-'Draft Center'!$L$82)),0)))</f>
        <v>1</v>
      </c>
      <c r="S694" s="11">
        <f>IF(A694&lt;Input!$B$10+0.1,IF(ROUNDUP(R694*Input!$C$10,0)=0,1,ROUNDUP(R694*Input!$C$10,0)),IF(A694&gt;Input!$B$11,IF(ROUNDUP(R694*Input!$C$11,0)=0,1,ROUNDUP(R694*Input!$C$11,0)),IF(ROUNDUP(R694,0)=0,1,ROUNDUP(R694,0))))</f>
        <v>1</v>
      </c>
      <c r="T694" s="11">
        <f t="shared" si="131"/>
        <v>1</v>
      </c>
      <c r="U694" s="11">
        <f>IFERROR(VLOOKUP($B694,Input!$AC$2:$AE$161,3,0),0)</f>
        <v>0</v>
      </c>
      <c r="V694" s="257">
        <f t="shared" si="132"/>
        <v>0</v>
      </c>
      <c r="W694" s="264">
        <f t="shared" si="133"/>
        <v>0</v>
      </c>
      <c r="X694" s="68"/>
      <c r="Y694" s="68"/>
      <c r="Z694" s="68"/>
      <c r="AA694" s="68"/>
      <c r="AB694" s="68"/>
      <c r="AC694" s="68"/>
      <c r="AD694" s="68"/>
      <c r="AE694" s="68"/>
      <c r="AF694" s="68"/>
      <c r="AG694" s="68"/>
      <c r="AH694" s="68"/>
      <c r="AI694" s="68"/>
      <c r="AJ694" s="68">
        <v>1</v>
      </c>
      <c r="AL694" s="68">
        <v>1</v>
      </c>
      <c r="AM694" s="68"/>
      <c r="AN694" s="68"/>
      <c r="AO694" s="68"/>
      <c r="AQ694" s="68"/>
      <c r="AR694" s="68"/>
      <c r="AS694" s="68"/>
      <c r="AT694" s="68"/>
      <c r="AU694" s="68"/>
      <c r="AV694" s="68"/>
      <c r="AW694" s="68"/>
      <c r="AX694" s="68"/>
      <c r="AY694" s="68"/>
      <c r="AZ694" s="68"/>
      <c r="BB694" s="68"/>
      <c r="BC694" s="68"/>
      <c r="BJ694" s="68"/>
      <c r="BT694">
        <v>1</v>
      </c>
      <c r="BV694">
        <v>1</v>
      </c>
      <c r="BX694" s="68"/>
      <c r="BY694" s="68">
        <v>1</v>
      </c>
      <c r="BZ694" s="68" t="s">
        <v>1057</v>
      </c>
      <c r="CA694" s="68" t="s">
        <v>1057</v>
      </c>
      <c r="CB694" s="68" t="s">
        <v>1057</v>
      </c>
      <c r="CC694" s="68" t="e">
        <f t="shared" si="134"/>
        <v>#DIV/0!</v>
      </c>
      <c r="CD694" s="68" t="str">
        <f t="shared" si="135"/>
        <v>NA</v>
      </c>
    </row>
    <row r="695" spans="1:82" ht="15.75" customHeight="1" thickBot="1" x14ac:dyDescent="0.3">
      <c r="A695" s="6">
        <v>694</v>
      </c>
      <c r="B695" s="7" t="s">
        <v>461</v>
      </c>
      <c r="C695" s="7" t="s">
        <v>50</v>
      </c>
      <c r="D695" s="7" t="s">
        <v>17</v>
      </c>
      <c r="E695" s="50">
        <v>-197.35985151064</v>
      </c>
      <c r="F695" s="50">
        <v>15.418064758709001</v>
      </c>
      <c r="G695" s="50">
        <v>28.274362986481801</v>
      </c>
      <c r="H695" s="50">
        <v>0</v>
      </c>
      <c r="I695" s="8" t="s">
        <v>1057</v>
      </c>
      <c r="J695" s="50">
        <v>6.3159732328265799</v>
      </c>
      <c r="K695" s="248">
        <f>IFERROR(VLOOKUP(C695,Schedule!$T$3:$U$34,2,0),"FA")</f>
        <v>6</v>
      </c>
      <c r="L695" s="7" t="str">
        <f>D695&amp;COUNTIF(D$2:$D695,D695)</f>
        <v>WR183</v>
      </c>
      <c r="M695" s="50">
        <f t="array" ref="M695">IFERROR(F695-AVERAGE(VLOOKUP(D695,$D696:$F$885,3,0),INDEX($F696:$F$885,SMALL(IF(D695=$D696:$D$885,ROW($D696:$D$885)-ROW(D695)),2))),0)</f>
        <v>0.11793259612795026</v>
      </c>
      <c r="N695" s="50">
        <f>IFERROR(IF(VLOOKUP($B695,Input!$AC$2:$AC$162,1,0)=$B695,0),F695)</f>
        <v>15.418064758709001</v>
      </c>
      <c r="O695" s="50">
        <f>IFERROR(IF(VLOOKUP($B695,Input!$AC$2:$AC$162,1,0)=$B695,0,G695),G695)</f>
        <v>28.274362986481801</v>
      </c>
      <c r="P695" s="50">
        <f>IF(N695=0,0,F695-AVERAGE(INDEX(F:F,MATCH(VLOOKUP(D695,Input!$A$14:$L$22,10,0),L:L,0)),INDEX(F:F,MATCH(VLOOKUP(D695,Input!$A$14:$L$22,11,0),L:L,0)),INDEX(F:F,MATCH(VLOOKUP(D695,Input!$A$14:$L$22,12,0),L:L,0)))+(0.01-ROW()*0.01))</f>
        <v>-204.29985151064002</v>
      </c>
      <c r="Q695" s="106">
        <f t="shared" si="130"/>
        <v>-7.0482006604056693E-2</v>
      </c>
      <c r="R695" s="8">
        <f>IF(VLOOKUP($D695,$X$14:$Y$19,2,0)&lt;=0,1,IF(Q695&lt;0,1,ROUNDUP(IF(Q695*('Draft Center'!$L$28+'Draft Center'!$L$78-'Draft Center'!$L$82)&lt;1,1,Q695*('Draft Center'!$L$28+'Draft Center'!$L$78-'Draft Center'!$L$82)),0)))</f>
        <v>1</v>
      </c>
      <c r="S695" s="8">
        <f>IF(A695&lt;Input!$B$10+0.1,IF(ROUNDUP(R695*Input!$C$10,0)=0,1,ROUNDUP(R695*Input!$C$10,0)),IF(A695&gt;Input!$B$11,IF(ROUNDUP(R695*Input!$C$11,0)=0,1,ROUNDUP(R695*Input!$C$11,0)),IF(ROUNDUP(R695,0)=0,1,ROUNDUP(R695,0))))</f>
        <v>1</v>
      </c>
      <c r="T695" s="8">
        <f t="shared" si="131"/>
        <v>1</v>
      </c>
      <c r="U695" s="8">
        <f>IFERROR(VLOOKUP($B695,Input!$AC$2:$AE$161,3,0),0)</f>
        <v>0</v>
      </c>
      <c r="V695" s="256">
        <f t="shared" si="132"/>
        <v>0</v>
      </c>
      <c r="W695" s="263">
        <f t="shared" si="133"/>
        <v>0</v>
      </c>
      <c r="X695" s="68"/>
      <c r="Y695" s="68"/>
      <c r="Z695" s="68"/>
      <c r="AA695" s="68"/>
      <c r="AB695" s="68"/>
      <c r="AC695" s="68"/>
      <c r="AD695" s="68"/>
      <c r="AE695" s="68"/>
      <c r="AF695" s="68"/>
      <c r="AG695" s="68"/>
      <c r="AH695" s="68"/>
      <c r="AI695" s="68"/>
      <c r="AJ695" s="68">
        <v>1</v>
      </c>
      <c r="AL695" s="68">
        <v>1</v>
      </c>
      <c r="AM695" s="68"/>
      <c r="AN695" s="68"/>
      <c r="AO695" s="68"/>
      <c r="AQ695" s="68"/>
      <c r="AR695" s="68"/>
      <c r="AS695" s="68"/>
      <c r="AT695" s="68"/>
      <c r="AU695" s="68"/>
      <c r="AV695" s="68"/>
      <c r="AW695" s="68"/>
      <c r="AX695" s="68"/>
      <c r="AY695" s="68"/>
      <c r="AZ695" s="68"/>
      <c r="BB695" s="68"/>
      <c r="BC695" s="68"/>
      <c r="BJ695" s="68"/>
      <c r="BT695">
        <v>1</v>
      </c>
      <c r="BV695">
        <v>1</v>
      </c>
      <c r="BX695" s="68"/>
      <c r="BY695" s="68">
        <v>1</v>
      </c>
      <c r="BZ695" s="68" t="s">
        <v>1057</v>
      </c>
      <c r="CA695" s="68" t="s">
        <v>1057</v>
      </c>
      <c r="CB695" s="68" t="s">
        <v>1057</v>
      </c>
      <c r="CC695" s="68" t="e">
        <f t="shared" si="134"/>
        <v>#DIV/0!</v>
      </c>
      <c r="CD695" s="68" t="str">
        <f t="shared" si="135"/>
        <v>NA</v>
      </c>
    </row>
    <row r="696" spans="1:82" ht="15.75" customHeight="1" thickBot="1" x14ac:dyDescent="0.3">
      <c r="A696" s="9">
        <v>695</v>
      </c>
      <c r="B696" s="10" t="s">
        <v>428</v>
      </c>
      <c r="C696" s="10" t="s">
        <v>48</v>
      </c>
      <c r="D696" s="10" t="s">
        <v>17</v>
      </c>
      <c r="E696" s="51">
        <v>-197.42062444121601</v>
      </c>
      <c r="F696" s="51">
        <v>15.357291828133</v>
      </c>
      <c r="G696" s="51">
        <v>38.274677784564901</v>
      </c>
      <c r="H696" s="51">
        <v>-9.4748020326723997E-2</v>
      </c>
      <c r="I696" s="11" t="s">
        <v>1057</v>
      </c>
      <c r="J696" s="51">
        <v>4.8441726222729198</v>
      </c>
      <c r="K696" s="249">
        <f>IFERROR(VLOOKUP(C696,Schedule!$T$3:$U$34,2,0),"FA")</f>
        <v>10</v>
      </c>
      <c r="L696" s="10" t="str">
        <f>D696&amp;COUNTIF(D$2:$D696,D696)</f>
        <v>WR184</v>
      </c>
      <c r="M696" s="51">
        <f t="array" ref="M696">IFERROR(F696-AVERAGE(VLOOKUP(D696,$D697:$F$885,3,0),INDEX($F697:$F$885,SMALL(IF(D696=$D697:$D$885,ROW($D697:$D$885)-ROW(D696)),2))),0)</f>
        <v>0.14378466723835004</v>
      </c>
      <c r="N696" s="51">
        <f>IFERROR(IF(VLOOKUP($B696,Input!$AC$2:$AC$162,1,0)=$B696,0),F696)</f>
        <v>15.357291828133</v>
      </c>
      <c r="O696" s="51">
        <f>IFERROR(IF(VLOOKUP($B696,Input!$AC$2:$AC$162,1,0)=$B696,0,G696),G696)</f>
        <v>38.274677784564901</v>
      </c>
      <c r="P696" s="51">
        <f>IF(N696=0,0,F696-AVERAGE(INDEX(F:F,MATCH(VLOOKUP(D696,Input!$A$14:$L$22,10,0),L:L,0)),INDEX(F:F,MATCH(VLOOKUP(D696,Input!$A$14:$L$22,11,0),L:L,0)),INDEX(F:F,MATCH(VLOOKUP(D696,Input!$A$14:$L$22,12,0),L:L,0)))+(0.01-ROW()*0.01))</f>
        <v>-204.37062444121602</v>
      </c>
      <c r="Q696" s="107">
        <f t="shared" si="130"/>
        <v>-7.050642276551429E-2</v>
      </c>
      <c r="R696" s="11">
        <f>IF(VLOOKUP($D696,$X$14:$Y$19,2,0)&lt;=0,1,IF(Q696&lt;0,1,ROUNDUP(IF(Q696*('Draft Center'!$L$28+'Draft Center'!$L$78-'Draft Center'!$L$82)&lt;1,1,Q696*('Draft Center'!$L$28+'Draft Center'!$L$78-'Draft Center'!$L$82)),0)))</f>
        <v>1</v>
      </c>
      <c r="S696" s="11">
        <f>IF(A696&lt;Input!$B$10+0.1,IF(ROUNDUP(R696*Input!$C$10,0)=0,1,ROUNDUP(R696*Input!$C$10,0)),IF(A696&gt;Input!$B$11,IF(ROUNDUP(R696*Input!$C$11,0)=0,1,ROUNDUP(R696*Input!$C$11,0)),IF(ROUNDUP(R696,0)=0,1,ROUNDUP(R696,0))))</f>
        <v>1</v>
      </c>
      <c r="T696" s="11">
        <f t="shared" si="131"/>
        <v>1</v>
      </c>
      <c r="U696" s="11">
        <f>IFERROR(VLOOKUP($B696,Input!$AC$2:$AE$161,3,0),0)</f>
        <v>0</v>
      </c>
      <c r="V696" s="257">
        <f t="shared" si="132"/>
        <v>0</v>
      </c>
      <c r="W696" s="264">
        <f t="shared" si="133"/>
        <v>0</v>
      </c>
      <c r="X696" s="68"/>
      <c r="Y696" s="68"/>
      <c r="Z696" s="68"/>
      <c r="AA696" s="68"/>
      <c r="AB696" s="68"/>
      <c r="AC696" s="68"/>
      <c r="AD696" s="68"/>
      <c r="AE696" s="68"/>
      <c r="AF696" s="68"/>
      <c r="AG696" s="68"/>
      <c r="AH696" s="68"/>
      <c r="AI696" s="68"/>
      <c r="AJ696" s="68">
        <v>1</v>
      </c>
      <c r="AL696" s="68">
        <v>1</v>
      </c>
      <c r="AM696" s="68"/>
      <c r="AN696" s="68"/>
      <c r="AO696" s="68"/>
      <c r="AQ696" s="68"/>
      <c r="AR696" s="68"/>
      <c r="AS696" s="68"/>
      <c r="AT696" s="68"/>
      <c r="AU696" s="68"/>
      <c r="AV696" s="68"/>
      <c r="AW696" s="68"/>
      <c r="AX696" s="68"/>
      <c r="AY696" s="68"/>
      <c r="AZ696" s="68"/>
      <c r="BB696" s="68"/>
      <c r="BC696" s="68"/>
      <c r="BJ696" s="68"/>
      <c r="BT696">
        <v>1</v>
      </c>
      <c r="BV696">
        <v>1</v>
      </c>
      <c r="BX696" s="68"/>
      <c r="BY696" s="68">
        <v>1</v>
      </c>
      <c r="BZ696" s="68" t="s">
        <v>1057</v>
      </c>
      <c r="CA696" s="68" t="s">
        <v>1057</v>
      </c>
      <c r="CB696" s="68" t="s">
        <v>1057</v>
      </c>
      <c r="CC696" s="68" t="e">
        <f t="shared" si="134"/>
        <v>#DIV/0!</v>
      </c>
      <c r="CD696" s="68" t="str">
        <f t="shared" si="135"/>
        <v>NA</v>
      </c>
    </row>
    <row r="697" spans="1:82" ht="15.75" customHeight="1" thickBot="1" x14ac:dyDescent="0.3">
      <c r="A697" s="6">
        <v>696</v>
      </c>
      <c r="B697" s="7" t="s">
        <v>359</v>
      </c>
      <c r="C697" s="7" t="s">
        <v>57</v>
      </c>
      <c r="D697" s="7" t="s">
        <v>17</v>
      </c>
      <c r="E697" s="50">
        <v>-197.53494377231999</v>
      </c>
      <c r="F697" s="50">
        <v>15.242972497029101</v>
      </c>
      <c r="G697" s="50">
        <v>31.576120039268801</v>
      </c>
      <c r="H697" s="50">
        <v>-6.4239028944911306E-2</v>
      </c>
      <c r="I697" s="8" t="s">
        <v>1057</v>
      </c>
      <c r="J697" s="50">
        <v>4.4448284690632098</v>
      </c>
      <c r="K697" s="248">
        <f>IFERROR(VLOOKUP(C697,Schedule!$T$3:$U$34,2,0),"FA")</f>
        <v>11</v>
      </c>
      <c r="L697" s="7" t="str">
        <f>D697&amp;COUNTIF(D$2:$D697,D697)</f>
        <v>WR185</v>
      </c>
      <c r="M697" s="50">
        <f t="array" ref="M697">IFERROR(F697-AVERAGE(VLOOKUP(D697,$D698:$F$885,3,0),INDEX($F698:$F$885,SMALL(IF(D697=$D698:$D$885,ROW($D698:$D$885)-ROW(D697)),2))),0)</f>
        <v>0.32572333356674932</v>
      </c>
      <c r="N697" s="50">
        <f>IFERROR(IF(VLOOKUP($B697,Input!$AC$2:$AC$162,1,0)=$B697,0),F697)</f>
        <v>15.242972497029101</v>
      </c>
      <c r="O697" s="50">
        <f>IFERROR(IF(VLOOKUP($B697,Input!$AC$2:$AC$162,1,0)=$B697,0,G697),G697)</f>
        <v>31.576120039268801</v>
      </c>
      <c r="P697" s="50">
        <f>IF(N697=0,0,F697-AVERAGE(INDEX(F:F,MATCH(VLOOKUP(D697,Input!$A$14:$L$22,10,0),L:L,0)),INDEX(F:F,MATCH(VLOOKUP(D697,Input!$A$14:$L$22,11,0),L:L,0)),INDEX(F:F,MATCH(VLOOKUP(D697,Input!$A$14:$L$22,12,0),L:L,0)))+(0.01-ROW()*0.01))</f>
        <v>-204.49494377231994</v>
      </c>
      <c r="Q697" s="106">
        <f t="shared" si="130"/>
        <v>-7.0549312057166177E-2</v>
      </c>
      <c r="R697" s="8">
        <f>IF(VLOOKUP($D697,$X$14:$Y$19,2,0)&lt;=0,1,IF(Q697&lt;0,1,ROUNDUP(IF(Q697*('Draft Center'!$L$28+'Draft Center'!$L$78-'Draft Center'!$L$82)&lt;1,1,Q697*('Draft Center'!$L$28+'Draft Center'!$L$78-'Draft Center'!$L$82)),0)))</f>
        <v>1</v>
      </c>
      <c r="S697" s="8">
        <f>IF(A697&lt;Input!$B$10+0.1,IF(ROUNDUP(R697*Input!$C$10,0)=0,1,ROUNDUP(R697*Input!$C$10,0)),IF(A697&gt;Input!$B$11,IF(ROUNDUP(R697*Input!$C$11,0)=0,1,ROUNDUP(R697*Input!$C$11,0)),IF(ROUNDUP(R697,0)=0,1,ROUNDUP(R697,0))))</f>
        <v>1</v>
      </c>
      <c r="T697" s="8">
        <f t="shared" si="131"/>
        <v>1</v>
      </c>
      <c r="U697" s="8">
        <f>IFERROR(VLOOKUP($B697,Input!$AC$2:$AE$161,3,0),0)</f>
        <v>0</v>
      </c>
      <c r="V697" s="256">
        <f t="shared" si="132"/>
        <v>0</v>
      </c>
      <c r="W697" s="263">
        <f t="shared" si="133"/>
        <v>0</v>
      </c>
      <c r="X697" s="68"/>
      <c r="Y697" s="68"/>
      <c r="Z697" s="68"/>
      <c r="AA697" s="68"/>
      <c r="AB697" s="68"/>
      <c r="AC697" s="68"/>
      <c r="AD697" s="68"/>
      <c r="AE697" s="68"/>
      <c r="AF697" s="68"/>
      <c r="AG697" s="68"/>
      <c r="AH697" s="68"/>
      <c r="AI697" s="68"/>
      <c r="AJ697" s="68">
        <v>1</v>
      </c>
      <c r="AL697" s="68">
        <v>1</v>
      </c>
      <c r="AM697" s="68"/>
      <c r="AN697" s="68"/>
      <c r="AO697" s="68"/>
      <c r="AQ697" s="68"/>
      <c r="AR697" s="68"/>
      <c r="AS697" s="68"/>
      <c r="AT697" s="68"/>
      <c r="AU697" s="68"/>
      <c r="AV697" s="68"/>
      <c r="AW697" s="68"/>
      <c r="AX697" s="68"/>
      <c r="AY697" s="68"/>
      <c r="AZ697" s="68"/>
      <c r="BB697" s="68"/>
      <c r="BC697" s="68"/>
      <c r="BJ697" s="68"/>
      <c r="BT697">
        <v>1</v>
      </c>
      <c r="BV697">
        <v>1</v>
      </c>
      <c r="BX697" s="68"/>
      <c r="BY697" s="68">
        <v>1</v>
      </c>
      <c r="BZ697" s="68" t="s">
        <v>1057</v>
      </c>
      <c r="CA697" s="68" t="s">
        <v>1057</v>
      </c>
      <c r="CB697" s="68" t="s">
        <v>1057</v>
      </c>
      <c r="CC697" s="68" t="e">
        <f t="shared" si="134"/>
        <v>#DIV/0!</v>
      </c>
      <c r="CD697" s="68" t="str">
        <f t="shared" si="135"/>
        <v>NA</v>
      </c>
    </row>
    <row r="698" spans="1:82" ht="15.75" customHeight="1" thickBot="1" x14ac:dyDescent="0.3">
      <c r="A698" s="9">
        <v>697</v>
      </c>
      <c r="B698" s="10" t="s">
        <v>1013</v>
      </c>
      <c r="C698" s="10" t="s">
        <v>75</v>
      </c>
      <c r="D698" s="10" t="s">
        <v>17</v>
      </c>
      <c r="E698" s="51">
        <v>-197.59387444458901</v>
      </c>
      <c r="F698" s="51">
        <v>15.1840418247602</v>
      </c>
      <c r="G698" s="51">
        <v>32.903123934659099</v>
      </c>
      <c r="H698" s="51">
        <v>-2.0944911297852502</v>
      </c>
      <c r="I698" s="11" t="s">
        <v>1057</v>
      </c>
      <c r="J698" s="51">
        <v>6.7072520120169896</v>
      </c>
      <c r="K698" s="249">
        <f>IFERROR(VLOOKUP(C698,Schedule!$T$3:$U$34,2,0),"FA")</f>
        <v>10</v>
      </c>
      <c r="L698" s="10" t="str">
        <f>D698&amp;COUNTIF(D$2:$D698,D698)</f>
        <v>WR186</v>
      </c>
      <c r="M698" s="51">
        <f t="array" ref="M698">IFERROR(F698-AVERAGE(VLOOKUP(D698,$D699:$F$885,3,0),INDEX($F699:$F$885,SMALL(IF(D698=$D699:$D$885,ROW($D699:$D$885)-ROW(D698)),2))),0)</f>
        <v>0.75552370404760083</v>
      </c>
      <c r="N698" s="51">
        <f>IFERROR(IF(VLOOKUP($B698,Input!$AC$2:$AC$162,1,0)=$B698,0),F698)</f>
        <v>15.1840418247602</v>
      </c>
      <c r="O698" s="51">
        <f>IFERROR(IF(VLOOKUP($B698,Input!$AC$2:$AC$162,1,0)=$B698,0,G698),G698)</f>
        <v>32.903123934659099</v>
      </c>
      <c r="P698" s="51">
        <f>IF(N698=0,0,F698-AVERAGE(INDEX(F:F,MATCH(VLOOKUP(D698,Input!$A$14:$L$22,10,0),L:L,0)),INDEX(F:F,MATCH(VLOOKUP(D698,Input!$A$14:$L$22,11,0),L:L,0)),INDEX(F:F,MATCH(VLOOKUP(D698,Input!$A$14:$L$22,12,0),L:L,0)))+(0.01-ROW()*0.01))</f>
        <v>-204.56387444458883</v>
      </c>
      <c r="Q698" s="107">
        <f t="shared" si="130"/>
        <v>-7.0573092652512451E-2</v>
      </c>
      <c r="R698" s="11">
        <f>IF(VLOOKUP($D698,$X$14:$Y$19,2,0)&lt;=0,1,IF(Q698&lt;0,1,ROUNDUP(IF(Q698*('Draft Center'!$L$28+'Draft Center'!$L$78-'Draft Center'!$L$82)&lt;1,1,Q698*('Draft Center'!$L$28+'Draft Center'!$L$78-'Draft Center'!$L$82)),0)))</f>
        <v>1</v>
      </c>
      <c r="S698" s="11">
        <f>IF(A698&lt;Input!$B$10+0.1,IF(ROUNDUP(R698*Input!$C$10,0)=0,1,ROUNDUP(R698*Input!$C$10,0)),IF(A698&gt;Input!$B$11,IF(ROUNDUP(R698*Input!$C$11,0)=0,1,ROUNDUP(R698*Input!$C$11,0)),IF(ROUNDUP(R698,0)=0,1,ROUNDUP(R698,0))))</f>
        <v>1</v>
      </c>
      <c r="T698" s="11">
        <f t="shared" si="131"/>
        <v>1</v>
      </c>
      <c r="U698" s="11">
        <f>IFERROR(VLOOKUP($B698,Input!$AC$2:$AE$161,3,0),0)</f>
        <v>0</v>
      </c>
      <c r="V698" s="257">
        <f t="shared" si="132"/>
        <v>0</v>
      </c>
      <c r="W698" s="264">
        <f t="shared" si="133"/>
        <v>0</v>
      </c>
      <c r="X698" s="68"/>
      <c r="Y698" s="68"/>
      <c r="Z698" s="68"/>
      <c r="AA698" s="68"/>
      <c r="AB698" s="68"/>
      <c r="AC698" s="68"/>
      <c r="AD698" s="68"/>
      <c r="AE698" s="68"/>
      <c r="AF698" s="68"/>
      <c r="AG698" s="68"/>
      <c r="AH698" s="68"/>
      <c r="AI698" s="68"/>
      <c r="AJ698" s="68">
        <v>1</v>
      </c>
      <c r="AL698" s="68">
        <v>1</v>
      </c>
      <c r="AM698" s="68"/>
      <c r="AN698" s="68"/>
      <c r="AO698" s="68"/>
      <c r="AQ698" s="68"/>
      <c r="AR698" s="68"/>
      <c r="AS698" s="68"/>
      <c r="AT698" s="68"/>
      <c r="AU698" s="68"/>
      <c r="AV698" s="68"/>
      <c r="AW698" s="68"/>
      <c r="AX698" s="68"/>
      <c r="AY698" s="68"/>
      <c r="AZ698" s="68"/>
      <c r="BB698" s="68"/>
      <c r="BC698" s="68"/>
      <c r="BJ698" s="68"/>
      <c r="BT698">
        <v>1</v>
      </c>
      <c r="BV698">
        <v>1</v>
      </c>
      <c r="BX698" s="68"/>
      <c r="BY698" s="68">
        <v>1</v>
      </c>
      <c r="BZ698" s="68" t="s">
        <v>1057</v>
      </c>
      <c r="CA698" s="68" t="s">
        <v>1057</v>
      </c>
      <c r="CB698" s="68" t="s">
        <v>1057</v>
      </c>
      <c r="CC698" s="68" t="e">
        <f t="shared" si="134"/>
        <v>#DIV/0!</v>
      </c>
      <c r="CD698" s="68" t="str">
        <f t="shared" si="135"/>
        <v>NA</v>
      </c>
    </row>
    <row r="699" spans="1:82" ht="15.75" customHeight="1" thickBot="1" x14ac:dyDescent="0.3">
      <c r="A699" s="6">
        <v>698</v>
      </c>
      <c r="B699" s="7" t="s">
        <v>511</v>
      </c>
      <c r="C699" s="7" t="s">
        <v>50</v>
      </c>
      <c r="D699" s="7" t="s">
        <v>17</v>
      </c>
      <c r="E699" s="50">
        <v>-198.127459767185</v>
      </c>
      <c r="F699" s="50">
        <v>14.6504565021645</v>
      </c>
      <c r="G699" s="50">
        <v>30.901301878489701</v>
      </c>
      <c r="H699" s="50">
        <v>-0.25558898687046799</v>
      </c>
      <c r="I699" s="8" t="s">
        <v>1057</v>
      </c>
      <c r="J699" s="50">
        <v>7.9015093153407303</v>
      </c>
      <c r="K699" s="248">
        <f>IFERROR(VLOOKUP(C699,Schedule!$T$3:$U$34,2,0),"FA")</f>
        <v>6</v>
      </c>
      <c r="L699" s="7" t="str">
        <f>D699&amp;COUNTIF(D$2:$D699,D699)</f>
        <v>WR187</v>
      </c>
      <c r="M699" s="50">
        <f t="array" ref="M699">IFERROR(F699-AVERAGE(VLOOKUP(D699,$D700:$F$885,3,0),INDEX($F700:$F$885,SMALL(IF(D699=$D700:$D$885,ROW($D700:$D$885)-ROW(D699)),2))),0)</f>
        <v>0.79598765526140092</v>
      </c>
      <c r="N699" s="50">
        <f>IFERROR(IF(VLOOKUP($B699,Input!$AC$2:$AC$162,1,0)=$B699,0),F699)</f>
        <v>14.6504565021645</v>
      </c>
      <c r="O699" s="50">
        <f>IFERROR(IF(VLOOKUP($B699,Input!$AC$2:$AC$162,1,0)=$B699,0,G699),G699)</f>
        <v>30.901301878489701</v>
      </c>
      <c r="P699" s="50">
        <f>IF(N699=0,0,F699-AVERAGE(INDEX(F:F,MATCH(VLOOKUP(D699,Input!$A$14:$L$22,10,0),L:L,0)),INDEX(F:F,MATCH(VLOOKUP(D699,Input!$A$14:$L$22,11,0),L:L,0)),INDEX(F:F,MATCH(VLOOKUP(D699,Input!$A$14:$L$22,12,0),L:L,0)))+(0.01-ROW()*0.01))</f>
        <v>-205.10745976718451</v>
      </c>
      <c r="Q699" s="106">
        <f t="shared" si="130"/>
        <v>-7.0760625751600692E-2</v>
      </c>
      <c r="R699" s="8">
        <f>IF(VLOOKUP($D699,$X$14:$Y$19,2,0)&lt;=0,1,IF(Q699&lt;0,1,ROUNDUP(IF(Q699*('Draft Center'!$L$28+'Draft Center'!$L$78-'Draft Center'!$L$82)&lt;1,1,Q699*('Draft Center'!$L$28+'Draft Center'!$L$78-'Draft Center'!$L$82)),0)))</f>
        <v>1</v>
      </c>
      <c r="S699" s="8">
        <f>IF(A699&lt;Input!$B$10+0.1,IF(ROUNDUP(R699*Input!$C$10,0)=0,1,ROUNDUP(R699*Input!$C$10,0)),IF(A699&gt;Input!$B$11,IF(ROUNDUP(R699*Input!$C$11,0)=0,1,ROUNDUP(R699*Input!$C$11,0)),IF(ROUNDUP(R699,0)=0,1,ROUNDUP(R699,0))))</f>
        <v>1</v>
      </c>
      <c r="T699" s="8">
        <f t="shared" si="131"/>
        <v>1</v>
      </c>
      <c r="U699" s="8">
        <f>IFERROR(VLOOKUP($B699,Input!$AC$2:$AE$161,3,0),0)</f>
        <v>0</v>
      </c>
      <c r="V699" s="256">
        <f t="shared" si="132"/>
        <v>0</v>
      </c>
      <c r="W699" s="263">
        <f t="shared" si="133"/>
        <v>0</v>
      </c>
      <c r="X699" s="68"/>
      <c r="Y699" s="68"/>
      <c r="Z699" s="68"/>
      <c r="AA699" s="68"/>
      <c r="AB699" s="68"/>
      <c r="AC699" s="68"/>
      <c r="AD699" s="68"/>
      <c r="AE699" s="68"/>
      <c r="AF699" s="68"/>
      <c r="AG699" s="68"/>
      <c r="AH699" s="68"/>
      <c r="AI699" s="68"/>
      <c r="AJ699" s="68">
        <v>1</v>
      </c>
      <c r="AL699" s="68">
        <v>1</v>
      </c>
      <c r="AM699" s="68"/>
      <c r="AN699" s="68"/>
      <c r="AO699" s="68"/>
      <c r="AQ699" s="68"/>
      <c r="AR699" s="68"/>
      <c r="AS699" s="68"/>
      <c r="AT699" s="68"/>
      <c r="AU699" s="68"/>
      <c r="AV699" s="68"/>
      <c r="AW699" s="68"/>
      <c r="AX699" s="68"/>
      <c r="AY699" s="68"/>
      <c r="AZ699" s="68"/>
      <c r="BB699" s="68"/>
      <c r="BC699" s="68"/>
      <c r="BJ699" s="68"/>
      <c r="BT699">
        <v>1</v>
      </c>
      <c r="BV699">
        <v>1</v>
      </c>
      <c r="BX699" s="68"/>
      <c r="BY699" s="68">
        <v>1</v>
      </c>
      <c r="BZ699" s="68" t="s">
        <v>1057</v>
      </c>
      <c r="CA699" s="68" t="s">
        <v>1057</v>
      </c>
      <c r="CB699" s="68" t="s">
        <v>1057</v>
      </c>
      <c r="CC699" s="68" t="e">
        <f t="shared" si="134"/>
        <v>#DIV/0!</v>
      </c>
      <c r="CD699" s="68" t="str">
        <f t="shared" si="135"/>
        <v>NA</v>
      </c>
    </row>
    <row r="700" spans="1:82" ht="15.75" customHeight="1" thickBot="1" x14ac:dyDescent="0.3">
      <c r="A700" s="9">
        <v>699</v>
      </c>
      <c r="B700" s="10" t="s">
        <v>430</v>
      </c>
      <c r="C700" s="10" t="s">
        <v>95</v>
      </c>
      <c r="D700" s="10" t="s">
        <v>17</v>
      </c>
      <c r="E700" s="51">
        <v>-198.57133653008799</v>
      </c>
      <c r="F700" s="51">
        <v>14.2065797392607</v>
      </c>
      <c r="G700" s="51">
        <v>20.0529533402201</v>
      </c>
      <c r="H700" s="51">
        <v>0</v>
      </c>
      <c r="I700" s="11" t="s">
        <v>1057</v>
      </c>
      <c r="J700" s="51">
        <v>3.32142223262775</v>
      </c>
      <c r="K700" s="249">
        <f>IFERROR(VLOOKUP(C700,Schedule!$T$3:$U$34,2,0),"FA")</f>
        <v>8</v>
      </c>
      <c r="L700" s="10" t="str">
        <f>D700&amp;COUNTIF(D$2:$D700,D700)</f>
        <v>WR188</v>
      </c>
      <c r="M700" s="51">
        <f t="array" ref="M700">IFERROR(F700-AVERAGE(VLOOKUP(D700,$D701:$F$885,3,0),INDEX($F701:$F$885,SMALL(IF(D700=$D701:$D$885,ROW($D701:$D$885)-ROW(D700)),2))),0)</f>
        <v>0.76380511804855011</v>
      </c>
      <c r="N700" s="51">
        <f>IFERROR(IF(VLOOKUP($B700,Input!$AC$2:$AC$162,1,0)=$B700,0),F700)</f>
        <v>14.2065797392607</v>
      </c>
      <c r="O700" s="51">
        <f>IFERROR(IF(VLOOKUP($B700,Input!$AC$2:$AC$162,1,0)=$B700,0,G700),G700)</f>
        <v>20.0529533402201</v>
      </c>
      <c r="P700" s="51">
        <f>IF(N700=0,0,F700-AVERAGE(INDEX(F:F,MATCH(VLOOKUP(D700,Input!$A$14:$L$22,10,0),L:L,0)),INDEX(F:F,MATCH(VLOOKUP(D700,Input!$A$14:$L$22,11,0),L:L,0)),INDEX(F:F,MATCH(VLOOKUP(D700,Input!$A$14:$L$22,12,0),L:L,0)))+(0.01-ROW()*0.01))</f>
        <v>-205.56133653008834</v>
      </c>
      <c r="Q700" s="107">
        <f t="shared" si="130"/>
        <v>-7.0917210030854314E-2</v>
      </c>
      <c r="R700" s="11">
        <f>IF(VLOOKUP($D700,$X$14:$Y$19,2,0)&lt;=0,1,IF(Q700&lt;0,1,ROUNDUP(IF(Q700*('Draft Center'!$L$28+'Draft Center'!$L$78-'Draft Center'!$L$82)&lt;1,1,Q700*('Draft Center'!$L$28+'Draft Center'!$L$78-'Draft Center'!$L$82)),0)))</f>
        <v>1</v>
      </c>
      <c r="S700" s="11">
        <f>IF(A700&lt;Input!$B$10+0.1,IF(ROUNDUP(R700*Input!$C$10,0)=0,1,ROUNDUP(R700*Input!$C$10,0)),IF(A700&gt;Input!$B$11,IF(ROUNDUP(R700*Input!$C$11,0)=0,1,ROUNDUP(R700*Input!$C$11,0)),IF(ROUNDUP(R700,0)=0,1,ROUNDUP(R700,0))))</f>
        <v>1</v>
      </c>
      <c r="T700" s="11">
        <f t="shared" si="131"/>
        <v>1</v>
      </c>
      <c r="U700" s="11">
        <f>IFERROR(VLOOKUP($B700,Input!$AC$2:$AE$161,3,0),0)</f>
        <v>0</v>
      </c>
      <c r="V700" s="257">
        <f t="shared" si="132"/>
        <v>0</v>
      </c>
      <c r="W700" s="264">
        <f t="shared" si="133"/>
        <v>0</v>
      </c>
      <c r="X700" s="68"/>
      <c r="Y700" s="68"/>
      <c r="Z700" s="68"/>
      <c r="AA700" s="68"/>
      <c r="AB700" s="68"/>
      <c r="AC700" s="68"/>
      <c r="AD700" s="68"/>
      <c r="AE700" s="68"/>
      <c r="AF700" s="68"/>
      <c r="AG700" s="68"/>
      <c r="AH700" s="68"/>
      <c r="AI700" s="68"/>
      <c r="AJ700" s="68">
        <v>1</v>
      </c>
      <c r="AL700" s="68">
        <v>1</v>
      </c>
      <c r="AM700" s="68"/>
      <c r="AN700" s="68"/>
      <c r="AO700" s="68"/>
      <c r="AQ700" s="68"/>
      <c r="AR700" s="68"/>
      <c r="AS700" s="68"/>
      <c r="AT700" s="68"/>
      <c r="AU700" s="68"/>
      <c r="AV700" s="68"/>
      <c r="AW700" s="68"/>
      <c r="AX700" s="68"/>
      <c r="AY700" s="68"/>
      <c r="AZ700" s="68"/>
      <c r="BB700" s="68"/>
      <c r="BC700" s="68"/>
      <c r="BJ700" s="68"/>
      <c r="BT700">
        <v>1</v>
      </c>
      <c r="BV700">
        <v>1</v>
      </c>
      <c r="BX700" s="68"/>
      <c r="BY700" s="68">
        <v>1</v>
      </c>
      <c r="BZ700" s="68" t="s">
        <v>1057</v>
      </c>
      <c r="CA700" s="68" t="s">
        <v>1057</v>
      </c>
      <c r="CB700" s="68" t="s">
        <v>1057</v>
      </c>
      <c r="CC700" s="68" t="e">
        <f t="shared" si="134"/>
        <v>#DIV/0!</v>
      </c>
      <c r="CD700" s="68" t="str">
        <f t="shared" si="135"/>
        <v>NA</v>
      </c>
    </row>
    <row r="701" spans="1:82" ht="15.75" customHeight="1" thickBot="1" x14ac:dyDescent="0.3">
      <c r="A701" s="6">
        <v>700</v>
      </c>
      <c r="B701" s="7" t="s">
        <v>1009</v>
      </c>
      <c r="C701" s="7" t="s">
        <v>36</v>
      </c>
      <c r="D701" s="7" t="s">
        <v>17</v>
      </c>
      <c r="E701" s="50">
        <v>-199.27555831480399</v>
      </c>
      <c r="F701" s="50">
        <v>13.5023579545455</v>
      </c>
      <c r="G701" s="50">
        <v>22.7328287461774</v>
      </c>
      <c r="H701" s="50">
        <v>0</v>
      </c>
      <c r="I701" s="8" t="s">
        <v>1057</v>
      </c>
      <c r="J701" s="50">
        <v>4.2031200899419003</v>
      </c>
      <c r="K701" s="248">
        <f>IFERROR(VLOOKUP(C701,Schedule!$T$3:$U$34,2,0),"FA")</f>
        <v>7</v>
      </c>
      <c r="L701" s="7" t="str">
        <f>D701&amp;COUNTIF(D$2:$D701,D701)</f>
        <v>WR189</v>
      </c>
      <c r="M701" s="50">
        <f t="array" ref="M701">IFERROR(F701-AVERAGE(VLOOKUP(D701,$D702:$F$885,3,0),INDEX($F702:$F$885,SMALL(IF(D701=$D702:$D$885,ROW($D702:$D$885)-ROW(D701)),2))),0)</f>
        <v>0.31894534632039928</v>
      </c>
      <c r="N701" s="50">
        <f>IFERROR(IF(VLOOKUP($B701,Input!$AC$2:$AC$162,1,0)=$B701,0),F701)</f>
        <v>13.5023579545455</v>
      </c>
      <c r="O701" s="50">
        <f>IFERROR(IF(VLOOKUP($B701,Input!$AC$2:$AC$162,1,0)=$B701,0,G701),G701)</f>
        <v>22.7328287461774</v>
      </c>
      <c r="P701" s="50">
        <f>IF(N701=0,0,F701-AVERAGE(INDEX(F:F,MATCH(VLOOKUP(D701,Input!$A$14:$L$22,10,0),L:L,0)),INDEX(F:F,MATCH(VLOOKUP(D701,Input!$A$14:$L$22,11,0),L:L,0)),INDEX(F:F,MATCH(VLOOKUP(D701,Input!$A$14:$L$22,12,0),L:L,0)))+(0.01-ROW()*0.01))</f>
        <v>-206.27555831480353</v>
      </c>
      <c r="Q701" s="106">
        <f t="shared" si="130"/>
        <v>-7.1163611504838922E-2</v>
      </c>
      <c r="R701" s="8">
        <f>IF(VLOOKUP($D701,$X$14:$Y$19,2,0)&lt;=0,1,IF(Q701&lt;0,1,ROUNDUP(IF(Q701*('Draft Center'!$L$28+'Draft Center'!$L$78-'Draft Center'!$L$82)&lt;1,1,Q701*('Draft Center'!$L$28+'Draft Center'!$L$78-'Draft Center'!$L$82)),0)))</f>
        <v>1</v>
      </c>
      <c r="S701" s="8">
        <f>IF(A701&lt;Input!$B$10+0.1,IF(ROUNDUP(R701*Input!$C$10,0)=0,1,ROUNDUP(R701*Input!$C$10,0)),IF(A701&gt;Input!$B$11,IF(ROUNDUP(R701*Input!$C$11,0)=0,1,ROUNDUP(R701*Input!$C$11,0)),IF(ROUNDUP(R701,0)=0,1,ROUNDUP(R701,0))))</f>
        <v>1</v>
      </c>
      <c r="T701" s="8">
        <f t="shared" si="131"/>
        <v>1</v>
      </c>
      <c r="U701" s="8">
        <f>IFERROR(VLOOKUP($B701,Input!$AC$2:$AE$161,3,0),0)</f>
        <v>0</v>
      </c>
      <c r="V701" s="256">
        <f t="shared" si="132"/>
        <v>0</v>
      </c>
      <c r="W701" s="263">
        <f t="shared" si="133"/>
        <v>0</v>
      </c>
      <c r="X701" s="68"/>
      <c r="Y701" s="68"/>
      <c r="Z701" s="68"/>
      <c r="AA701" s="68"/>
      <c r="AB701" s="68"/>
      <c r="AC701" s="68"/>
      <c r="AD701" s="68"/>
      <c r="AE701" s="68"/>
      <c r="AF701" s="68"/>
      <c r="AG701" s="68"/>
      <c r="AH701" s="68"/>
      <c r="AI701" s="68"/>
      <c r="AJ701" s="68">
        <v>1</v>
      </c>
      <c r="AL701" s="68">
        <v>1</v>
      </c>
      <c r="AM701" s="68"/>
      <c r="AN701" s="68"/>
      <c r="AO701" s="68"/>
      <c r="AQ701" s="68"/>
      <c r="AR701" s="68"/>
      <c r="AS701" s="68"/>
      <c r="AT701" s="68"/>
      <c r="AU701" s="68"/>
      <c r="AV701" s="68"/>
      <c r="AW701" s="68"/>
      <c r="AX701" s="68"/>
      <c r="AY701" s="68"/>
      <c r="AZ701" s="68"/>
      <c r="BB701" s="68"/>
      <c r="BC701" s="68"/>
      <c r="BJ701" s="68"/>
      <c r="BT701">
        <v>1</v>
      </c>
      <c r="BV701">
        <v>1</v>
      </c>
      <c r="BX701" s="68"/>
      <c r="BY701" s="68">
        <v>1</v>
      </c>
      <c r="BZ701" s="68" t="s">
        <v>1057</v>
      </c>
      <c r="CA701" s="68" t="s">
        <v>1057</v>
      </c>
      <c r="CB701" s="68" t="s">
        <v>1057</v>
      </c>
      <c r="CC701" s="68" t="e">
        <f t="shared" si="134"/>
        <v>#DIV/0!</v>
      </c>
      <c r="CD701" s="68" t="str">
        <f t="shared" si="135"/>
        <v>NA</v>
      </c>
    </row>
    <row r="702" spans="1:82" ht="15.75" customHeight="1" thickBot="1" x14ac:dyDescent="0.3">
      <c r="A702" s="9">
        <v>701</v>
      </c>
      <c r="B702" s="10" t="s">
        <v>499</v>
      </c>
      <c r="C702" s="10" t="s">
        <v>27</v>
      </c>
      <c r="D702" s="10" t="s">
        <v>17</v>
      </c>
      <c r="E702" s="51">
        <v>-199.39472498147001</v>
      </c>
      <c r="F702" s="51">
        <v>13.3831912878788</v>
      </c>
      <c r="G702" s="51">
        <v>22.634571865443402</v>
      </c>
      <c r="H702" s="51">
        <v>0</v>
      </c>
      <c r="I702" s="11" t="s">
        <v>1057</v>
      </c>
      <c r="J702" s="51">
        <v>4.2774296571477599</v>
      </c>
      <c r="K702" s="249">
        <f>IFERROR(VLOOKUP(C702,Schedule!$T$3:$U$34,2,0),"FA")</f>
        <v>8</v>
      </c>
      <c r="L702" s="10" t="str">
        <f>D702&amp;COUNTIF(D$2:$D702,D702)</f>
        <v>WR190</v>
      </c>
      <c r="M702" s="51">
        <f t="array" ref="M702">IFERROR(F702-AVERAGE(VLOOKUP(D702,$D703:$F$885,3,0),INDEX($F703:$F$885,SMALL(IF(D702=$D703:$D$885,ROW($D703:$D$885)-ROW(D702)),2))),0)</f>
        <v>0.43456818222399995</v>
      </c>
      <c r="N702" s="51">
        <f>IFERROR(IF(VLOOKUP($B702,Input!$AC$2:$AC$162,1,0)=$B702,0),F702)</f>
        <v>13.3831912878788</v>
      </c>
      <c r="O702" s="51">
        <f>IFERROR(IF(VLOOKUP($B702,Input!$AC$2:$AC$162,1,0)=$B702,0,G702),G702)</f>
        <v>22.634571865443402</v>
      </c>
      <c r="P702" s="51">
        <f>IF(N702=0,0,F702-AVERAGE(INDEX(F:F,MATCH(VLOOKUP(D702,Input!$A$14:$L$22,10,0),L:L,0)),INDEX(F:F,MATCH(VLOOKUP(D702,Input!$A$14:$L$22,11,0),L:L,0)),INDEX(F:F,MATCH(VLOOKUP(D702,Input!$A$14:$L$22,12,0),L:L,0)))+(0.01-ROW()*0.01))</f>
        <v>-206.40472498147022</v>
      </c>
      <c r="Q702" s="107">
        <f t="shared" si="130"/>
        <v>-7.1208173093042282E-2</v>
      </c>
      <c r="R702" s="11">
        <f>IF(VLOOKUP($D702,$X$14:$Y$19,2,0)&lt;=0,1,IF(Q702&lt;0,1,ROUNDUP(IF(Q702*('Draft Center'!$L$28+'Draft Center'!$L$78-'Draft Center'!$L$82)&lt;1,1,Q702*('Draft Center'!$L$28+'Draft Center'!$L$78-'Draft Center'!$L$82)),0)))</f>
        <v>1</v>
      </c>
      <c r="S702" s="11">
        <f>IF(A702&lt;Input!$B$10+0.1,IF(ROUNDUP(R702*Input!$C$10,0)=0,1,ROUNDUP(R702*Input!$C$10,0)),IF(A702&gt;Input!$B$11,IF(ROUNDUP(R702*Input!$C$11,0)=0,1,ROUNDUP(R702*Input!$C$11,0)),IF(ROUNDUP(R702,0)=0,1,ROUNDUP(R702,0))))</f>
        <v>1</v>
      </c>
      <c r="T702" s="11">
        <f t="shared" si="131"/>
        <v>1</v>
      </c>
      <c r="U702" s="11">
        <f>IFERROR(VLOOKUP($B702,Input!$AC$2:$AE$161,3,0),0)</f>
        <v>0</v>
      </c>
      <c r="V702" s="257">
        <f t="shared" si="132"/>
        <v>0</v>
      </c>
      <c r="W702" s="264">
        <f t="shared" si="133"/>
        <v>0</v>
      </c>
      <c r="X702" s="68"/>
      <c r="Y702" s="68"/>
      <c r="Z702" s="68"/>
      <c r="AA702" s="68"/>
      <c r="AB702" s="68"/>
      <c r="AC702" s="68"/>
      <c r="AD702" s="68"/>
      <c r="AE702" s="68"/>
      <c r="AF702" s="68"/>
      <c r="AG702" s="68"/>
      <c r="AH702" s="68"/>
      <c r="AI702" s="68"/>
      <c r="AJ702" s="68">
        <v>1</v>
      </c>
      <c r="AL702" s="68">
        <v>1</v>
      </c>
      <c r="AM702" s="68"/>
      <c r="AN702" s="68"/>
      <c r="AO702" s="68"/>
      <c r="AQ702" s="68"/>
      <c r="AR702" s="68"/>
      <c r="AS702" s="68"/>
      <c r="AT702" s="68"/>
      <c r="AU702" s="68"/>
      <c r="AV702" s="68"/>
      <c r="AW702" s="68"/>
      <c r="AX702" s="68"/>
      <c r="AY702" s="68"/>
      <c r="AZ702" s="68"/>
      <c r="BB702" s="68"/>
      <c r="BC702" s="68"/>
      <c r="BJ702" s="68"/>
      <c r="BT702">
        <v>1</v>
      </c>
      <c r="BV702">
        <v>1</v>
      </c>
      <c r="BX702" s="68"/>
      <c r="BY702" s="68">
        <v>1</v>
      </c>
      <c r="BZ702" s="68" t="s">
        <v>1057</v>
      </c>
      <c r="CA702" s="68" t="s">
        <v>1057</v>
      </c>
      <c r="CB702" s="68" t="s">
        <v>1057</v>
      </c>
      <c r="CC702" s="68" t="e">
        <f t="shared" si="134"/>
        <v>#DIV/0!</v>
      </c>
      <c r="CD702" s="68" t="str">
        <f t="shared" si="135"/>
        <v>NA</v>
      </c>
    </row>
    <row r="703" spans="1:82" ht="15.75" customHeight="1" thickBot="1" x14ac:dyDescent="0.3">
      <c r="A703" s="6">
        <v>702</v>
      </c>
      <c r="B703" s="7" t="s">
        <v>1031</v>
      </c>
      <c r="C703" s="7" t="s">
        <v>33</v>
      </c>
      <c r="D703" s="7" t="s">
        <v>17</v>
      </c>
      <c r="E703" s="50">
        <v>-199.79428234077801</v>
      </c>
      <c r="F703" s="50">
        <v>12.9836339285714</v>
      </c>
      <c r="G703" s="50">
        <v>21.955042578124999</v>
      </c>
      <c r="H703" s="50">
        <v>2.2799999999999998</v>
      </c>
      <c r="I703" s="8">
        <v>0</v>
      </c>
      <c r="J703" s="50">
        <v>2.8841259970194399</v>
      </c>
      <c r="K703" s="248">
        <f>IFERROR(VLOOKUP(C703,Schedule!$T$3:$U$34,2,0),"FA")</f>
        <v>9</v>
      </c>
      <c r="L703" s="7" t="str">
        <f>D703&amp;COUNTIF(D$2:$D703,D703)</f>
        <v>WR191</v>
      </c>
      <c r="M703" s="50">
        <f t="array" ref="M703">IFERROR(F703-AVERAGE(VLOOKUP(D703,$D704:$F$885,3,0),INDEX($F704:$F$885,SMALL(IF(D703=$D704:$D$885,ROW($D704:$D$885)-ROW(D703)),2))),0)</f>
        <v>0.12980388036424984</v>
      </c>
      <c r="N703" s="50">
        <f>IFERROR(IF(VLOOKUP($B703,Input!$AC$2:$AC$162,1,0)=$B703,0),F703)</f>
        <v>12.9836339285714</v>
      </c>
      <c r="O703" s="50">
        <f>IFERROR(IF(VLOOKUP($B703,Input!$AC$2:$AC$162,1,0)=$B703,0,G703),G703)</f>
        <v>21.955042578124999</v>
      </c>
      <c r="P703" s="50">
        <f>IF(N703=0,0,F703-AVERAGE(INDEX(F:F,MATCH(VLOOKUP(D703,Input!$A$14:$L$22,10,0),L:L,0)),INDEX(F:F,MATCH(VLOOKUP(D703,Input!$A$14:$L$22,11,0),L:L,0)),INDEX(F:F,MATCH(VLOOKUP(D703,Input!$A$14:$L$22,12,0),L:L,0)))+(0.01-ROW()*0.01))</f>
        <v>-206.81428234077762</v>
      </c>
      <c r="Q703" s="106">
        <f t="shared" si="130"/>
        <v>-7.1349467490908938E-2</v>
      </c>
      <c r="R703" s="8">
        <f>IF(VLOOKUP($D703,$X$14:$Y$19,2,0)&lt;=0,1,IF(Q703&lt;0,1,ROUNDUP(IF(Q703*('Draft Center'!$L$28+'Draft Center'!$L$78-'Draft Center'!$L$82)&lt;1,1,Q703*('Draft Center'!$L$28+'Draft Center'!$L$78-'Draft Center'!$L$82)),0)))</f>
        <v>1</v>
      </c>
      <c r="S703" s="8">
        <f>IF(A703&lt;Input!$B$10+0.1,IF(ROUNDUP(R703*Input!$C$10,0)=0,1,ROUNDUP(R703*Input!$C$10,0)),IF(A703&gt;Input!$B$11,IF(ROUNDUP(R703*Input!$C$11,0)=0,1,ROUNDUP(R703*Input!$C$11,0)),IF(ROUNDUP(R703,0)=0,1,ROUNDUP(R703,0))))</f>
        <v>1</v>
      </c>
      <c r="T703" s="8">
        <f t="shared" si="131"/>
        <v>1</v>
      </c>
      <c r="U703" s="8">
        <f>IFERROR(VLOOKUP($B703,Input!$AC$2:$AE$161,3,0),0)</f>
        <v>0</v>
      </c>
      <c r="V703" s="256">
        <f t="shared" si="132"/>
        <v>0</v>
      </c>
      <c r="W703" s="263">
        <f t="shared" si="133"/>
        <v>1.0070300000000001</v>
      </c>
      <c r="X703" s="68"/>
      <c r="Y703" s="68"/>
      <c r="Z703" s="68"/>
      <c r="AA703" s="68"/>
      <c r="AB703" s="68"/>
      <c r="AC703" s="68"/>
      <c r="AD703" s="68"/>
      <c r="AE703" s="68"/>
      <c r="AF703" s="68"/>
      <c r="AG703" s="68"/>
      <c r="AH703" s="68"/>
      <c r="AI703" s="68"/>
      <c r="AJ703" s="68">
        <v>1</v>
      </c>
      <c r="AL703" s="68">
        <v>1</v>
      </c>
      <c r="AM703" s="68"/>
      <c r="AN703" s="68"/>
      <c r="AO703" s="68"/>
      <c r="AQ703" s="68"/>
      <c r="AR703" s="68"/>
      <c r="AS703" s="68"/>
      <c r="AT703" s="68"/>
      <c r="AU703" s="68"/>
      <c r="AV703" s="68"/>
      <c r="AW703" s="68"/>
      <c r="AX703" s="68"/>
      <c r="AY703" s="68"/>
      <c r="AZ703" s="68"/>
      <c r="BB703" s="68"/>
      <c r="BC703" s="68"/>
      <c r="BJ703" s="68"/>
      <c r="BT703">
        <v>1</v>
      </c>
      <c r="BV703">
        <v>1</v>
      </c>
      <c r="BX703" s="68"/>
      <c r="BY703" s="68">
        <v>1</v>
      </c>
      <c r="BZ703" s="68">
        <v>0</v>
      </c>
      <c r="CA703" s="68">
        <v>0</v>
      </c>
      <c r="CB703" s="68">
        <v>0</v>
      </c>
      <c r="CC703" s="68">
        <f t="shared" si="134"/>
        <v>0</v>
      </c>
      <c r="CD703" s="68">
        <f t="shared" si="135"/>
        <v>0</v>
      </c>
    </row>
    <row r="704" spans="1:82" ht="15.75" customHeight="1" thickBot="1" x14ac:dyDescent="0.3">
      <c r="A704" s="9">
        <v>703</v>
      </c>
      <c r="B704" s="10" t="s">
        <v>259</v>
      </c>
      <c r="C704" s="10" t="s">
        <v>25</v>
      </c>
      <c r="D704" s="10" t="s">
        <v>17</v>
      </c>
      <c r="E704" s="51">
        <v>-199.86430398661099</v>
      </c>
      <c r="F704" s="51">
        <v>12.9136122827382</v>
      </c>
      <c r="G704" s="51">
        <v>20.821512375882499</v>
      </c>
      <c r="H704" s="51">
        <v>0</v>
      </c>
      <c r="I704" s="11">
        <v>0</v>
      </c>
      <c r="J704" s="51">
        <v>3.6197963365181498</v>
      </c>
      <c r="K704" s="249">
        <f>IFERROR(VLOOKUP(C704,Schedule!$T$3:$U$34,2,0),"FA")</f>
        <v>10</v>
      </c>
      <c r="L704" s="10" t="str">
        <f>D704&amp;COUNTIF(D$2:$D704,D704)</f>
        <v>WR192</v>
      </c>
      <c r="M704" s="51">
        <f t="array" ref="M704">IFERROR(F704-AVERAGE(VLOOKUP(D704,$D705:$F$885,3,0),INDEX($F705:$F$885,SMALL(IF(D704=$D705:$D$885,ROW($D705:$D$885)-ROW(D704)),2))),0)</f>
        <v>0.45717136629794908</v>
      </c>
      <c r="N704" s="51">
        <f>IFERROR(IF(VLOOKUP($B704,Input!$AC$2:$AC$162,1,0)=$B704,0),F704)</f>
        <v>12.9136122827382</v>
      </c>
      <c r="O704" s="51">
        <f>IFERROR(IF(VLOOKUP($B704,Input!$AC$2:$AC$162,1,0)=$B704,0,G704),G704)</f>
        <v>20.821512375882499</v>
      </c>
      <c r="P704" s="51">
        <f>IF(N704=0,0,F704-AVERAGE(INDEX(F:F,MATCH(VLOOKUP(D704,Input!$A$14:$L$22,10,0),L:L,0)),INDEX(F:F,MATCH(VLOOKUP(D704,Input!$A$14:$L$22,11,0),L:L,0)),INDEX(F:F,MATCH(VLOOKUP(D704,Input!$A$14:$L$22,12,0),L:L,0)))+(0.01-ROW()*0.01))</f>
        <v>-206.89430398661082</v>
      </c>
      <c r="Q704" s="107">
        <f t="shared" si="130"/>
        <v>-7.1377074393842929E-2</v>
      </c>
      <c r="R704" s="11">
        <f>IF(VLOOKUP($D704,$X$14:$Y$19,2,0)&lt;=0,1,IF(Q704&lt;0,1,ROUNDUP(IF(Q704*('Draft Center'!$L$28+'Draft Center'!$L$78-'Draft Center'!$L$82)&lt;1,1,Q704*('Draft Center'!$L$28+'Draft Center'!$L$78-'Draft Center'!$L$82)),0)))</f>
        <v>1</v>
      </c>
      <c r="S704" s="11">
        <f>IF(A704&lt;Input!$B$10+0.1,IF(ROUNDUP(R704*Input!$C$10,0)=0,1,ROUNDUP(R704*Input!$C$10,0)),IF(A704&gt;Input!$B$11,IF(ROUNDUP(R704*Input!$C$11,0)=0,1,ROUNDUP(R704*Input!$C$11,0)),IF(ROUNDUP(R704,0)=0,1,ROUNDUP(R704,0))))</f>
        <v>1</v>
      </c>
      <c r="T704" s="11">
        <f t="shared" si="131"/>
        <v>1</v>
      </c>
      <c r="U704" s="11">
        <f>IFERROR(VLOOKUP($B704,Input!$AC$2:$AE$161,3,0),0)</f>
        <v>0</v>
      </c>
      <c r="V704" s="257">
        <f t="shared" si="132"/>
        <v>0</v>
      </c>
      <c r="W704" s="264">
        <f t="shared" si="133"/>
        <v>1.0070399999999999</v>
      </c>
      <c r="X704" s="68"/>
      <c r="Y704" s="68"/>
      <c r="Z704" s="68"/>
      <c r="AA704" s="68"/>
      <c r="AB704" s="68"/>
      <c r="AC704" s="68"/>
      <c r="AD704" s="68"/>
      <c r="AE704" s="68"/>
      <c r="AF704" s="68"/>
      <c r="AG704" s="68"/>
      <c r="AH704" s="68"/>
      <c r="AI704" s="68"/>
      <c r="AJ704" s="68">
        <v>1</v>
      </c>
      <c r="AL704" s="68">
        <v>1</v>
      </c>
      <c r="AM704" s="68"/>
      <c r="AN704" s="68"/>
      <c r="AO704" s="68"/>
      <c r="AQ704" s="68"/>
      <c r="AR704" s="68"/>
      <c r="AS704" s="68"/>
      <c r="AT704" s="68"/>
      <c r="AU704" s="68"/>
      <c r="AV704" s="68"/>
      <c r="AW704" s="68"/>
      <c r="AX704" s="68"/>
      <c r="AY704" s="68"/>
      <c r="AZ704" s="68"/>
      <c r="BB704" s="68"/>
      <c r="BC704" s="68"/>
      <c r="BJ704" s="68"/>
      <c r="BT704">
        <v>1</v>
      </c>
      <c r="BV704">
        <v>1</v>
      </c>
      <c r="BX704" s="68"/>
      <c r="BY704" s="68">
        <v>1</v>
      </c>
      <c r="BZ704" s="68">
        <v>0</v>
      </c>
      <c r="CA704" s="68">
        <v>0</v>
      </c>
      <c r="CB704" s="68">
        <v>0</v>
      </c>
      <c r="CC704" s="68">
        <f t="shared" si="134"/>
        <v>0</v>
      </c>
      <c r="CD704" s="68">
        <f t="shared" si="135"/>
        <v>0</v>
      </c>
    </row>
    <row r="705" spans="1:82" ht="15.75" customHeight="1" thickBot="1" x14ac:dyDescent="0.3">
      <c r="A705" s="6">
        <v>704</v>
      </c>
      <c r="B705" s="7" t="s">
        <v>488</v>
      </c>
      <c r="C705" s="7" t="s">
        <v>27</v>
      </c>
      <c r="D705" s="7" t="s">
        <v>17</v>
      </c>
      <c r="E705" s="50">
        <v>-199.98386845567299</v>
      </c>
      <c r="F705" s="50">
        <v>12.7940478136761</v>
      </c>
      <c r="G705" s="50">
        <v>19.399540583872199</v>
      </c>
      <c r="H705" s="50">
        <v>4.3841756809719801</v>
      </c>
      <c r="I705" s="8" t="s">
        <v>1057</v>
      </c>
      <c r="J705" s="50">
        <v>4.2371618900452397</v>
      </c>
      <c r="K705" s="248">
        <f>IFERROR(VLOOKUP(C705,Schedule!$T$3:$U$34,2,0),"FA")</f>
        <v>8</v>
      </c>
      <c r="L705" s="7" t="str">
        <f>D705&amp;COUNTIF(D$2:$D705,D705)</f>
        <v>WR193</v>
      </c>
      <c r="M705" s="50">
        <f t="array" ref="M705">IFERROR(F705-AVERAGE(VLOOKUP(D705,$D706:$F$885,3,0),INDEX($F706:$F$885,SMALL(IF(D705=$D706:$D$885,ROW($D706:$D$885)-ROW(D705)),2))),0)</f>
        <v>0.80673471819789988</v>
      </c>
      <c r="N705" s="50">
        <f>IFERROR(IF(VLOOKUP($B705,Input!$AC$2:$AC$162,1,0)=$B705,0),F705)</f>
        <v>12.7940478136761</v>
      </c>
      <c r="O705" s="50">
        <f>IFERROR(IF(VLOOKUP($B705,Input!$AC$2:$AC$162,1,0)=$B705,0,G705),G705)</f>
        <v>19.399540583872199</v>
      </c>
      <c r="P705" s="50">
        <f>IF(N705=0,0,F705-AVERAGE(INDEX(F:F,MATCH(VLOOKUP(D705,Input!$A$14:$L$22,10,0),L:L,0)),INDEX(F:F,MATCH(VLOOKUP(D705,Input!$A$14:$L$22,11,0),L:L,0)),INDEX(F:F,MATCH(VLOOKUP(D705,Input!$A$14:$L$22,12,0),L:L,0)))+(0.01-ROW()*0.01))</f>
        <v>-207.02386845567293</v>
      </c>
      <c r="Q705" s="106">
        <f t="shared" si="130"/>
        <v>-7.1421773221064605E-2</v>
      </c>
      <c r="R705" s="8">
        <f>IF(VLOOKUP($D705,$X$14:$Y$19,2,0)&lt;=0,1,IF(Q705&lt;0,1,ROUNDUP(IF(Q705*('Draft Center'!$L$28+'Draft Center'!$L$78-'Draft Center'!$L$82)&lt;1,1,Q705*('Draft Center'!$L$28+'Draft Center'!$L$78-'Draft Center'!$L$82)),0)))</f>
        <v>1</v>
      </c>
      <c r="S705" s="8">
        <f>IF(A705&lt;Input!$B$10+0.1,IF(ROUNDUP(R705*Input!$C$10,0)=0,1,ROUNDUP(R705*Input!$C$10,0)),IF(A705&gt;Input!$B$11,IF(ROUNDUP(R705*Input!$C$11,0)=0,1,ROUNDUP(R705*Input!$C$11,0)),IF(ROUNDUP(R705,0)=0,1,ROUNDUP(R705,0))))</f>
        <v>1</v>
      </c>
      <c r="T705" s="8">
        <f t="shared" si="131"/>
        <v>1</v>
      </c>
      <c r="U705" s="8">
        <f>IFERROR(VLOOKUP($B705,Input!$AC$2:$AE$161,3,0),0)</f>
        <v>0</v>
      </c>
      <c r="V705" s="256">
        <f t="shared" si="132"/>
        <v>0</v>
      </c>
      <c r="W705" s="263">
        <f t="shared" si="133"/>
        <v>0</v>
      </c>
      <c r="X705" s="68"/>
      <c r="Y705" s="68"/>
      <c r="Z705" s="68"/>
      <c r="AA705" s="68"/>
      <c r="AB705" s="68"/>
      <c r="AC705" s="68"/>
      <c r="AD705" s="68"/>
      <c r="AE705" s="68"/>
      <c r="AF705" s="68"/>
      <c r="AG705" s="68"/>
      <c r="AH705" s="68"/>
      <c r="AI705" s="68"/>
      <c r="AJ705" s="68">
        <v>1</v>
      </c>
      <c r="AL705" s="68">
        <v>1</v>
      </c>
      <c r="AM705" s="68"/>
      <c r="AN705" s="68"/>
      <c r="AO705" s="68"/>
      <c r="AQ705" s="68"/>
      <c r="AR705" s="68"/>
      <c r="AS705" s="68"/>
      <c r="AT705" s="68"/>
      <c r="AU705" s="68"/>
      <c r="AV705" s="68"/>
      <c r="AW705" s="68"/>
      <c r="AX705" s="68"/>
      <c r="AY705" s="68"/>
      <c r="AZ705" s="68"/>
      <c r="BB705" s="68"/>
      <c r="BC705" s="68"/>
      <c r="BJ705" s="68"/>
      <c r="BT705">
        <v>1</v>
      </c>
      <c r="BV705">
        <v>1</v>
      </c>
      <c r="BX705" s="68"/>
      <c r="BY705" s="68">
        <v>1</v>
      </c>
      <c r="BZ705" s="68" t="s">
        <v>1057</v>
      </c>
      <c r="CA705" s="68" t="s">
        <v>1057</v>
      </c>
      <c r="CB705" s="68" t="s">
        <v>1057</v>
      </c>
      <c r="CC705" s="68" t="e">
        <f t="shared" si="134"/>
        <v>#DIV/0!</v>
      </c>
      <c r="CD705" s="68" t="str">
        <f t="shared" si="135"/>
        <v>NA</v>
      </c>
    </row>
    <row r="706" spans="1:82" ht="15.75" customHeight="1" thickBot="1" x14ac:dyDescent="0.3">
      <c r="A706" s="9">
        <v>705</v>
      </c>
      <c r="B706" s="10" t="s">
        <v>1035</v>
      </c>
      <c r="C706" s="10" t="s">
        <v>29</v>
      </c>
      <c r="D706" s="10" t="s">
        <v>17</v>
      </c>
      <c r="E706" s="51">
        <v>-200.65908225014499</v>
      </c>
      <c r="F706" s="51">
        <v>12.1188340192044</v>
      </c>
      <c r="G706" s="51">
        <v>17.8308325</v>
      </c>
      <c r="H706" s="51">
        <v>0.47</v>
      </c>
      <c r="I706" s="11">
        <v>0</v>
      </c>
      <c r="J706" s="51">
        <v>6.7911940467497498</v>
      </c>
      <c r="K706" s="249">
        <f>IFERROR(VLOOKUP(C706,Schedule!$T$3:$U$34,2,0),"FA")</f>
        <v>8</v>
      </c>
      <c r="L706" s="10" t="str">
        <f>D706&amp;COUNTIF(D$2:$D706,D706)</f>
        <v>WR194</v>
      </c>
      <c r="M706" s="51">
        <f t="array" ref="M706">IFERROR(F706-AVERAGE(VLOOKUP(D706,$D707:$F$885,3,0),INDEX($F707:$F$885,SMALL(IF(D706=$D707:$D$885,ROW($D707:$D$885)-ROW(D706)),2))),0)</f>
        <v>0.38833244780084897</v>
      </c>
      <c r="N706" s="51">
        <f>IFERROR(IF(VLOOKUP($B706,Input!$AC$2:$AC$162,1,0)=$B706,0),F706)</f>
        <v>12.1188340192044</v>
      </c>
      <c r="O706" s="51">
        <f>IFERROR(IF(VLOOKUP($B706,Input!$AC$2:$AC$162,1,0)=$B706,0,G706),G706)</f>
        <v>17.8308325</v>
      </c>
      <c r="P706" s="51">
        <f>IF(N706=0,0,F706-AVERAGE(INDEX(F:F,MATCH(VLOOKUP(D706,Input!$A$14:$L$22,10,0),L:L,0)),INDEX(F:F,MATCH(VLOOKUP(D706,Input!$A$14:$L$22,11,0),L:L,0)),INDEX(F:F,MATCH(VLOOKUP(D706,Input!$A$14:$L$22,12,0),L:L,0)))+(0.01-ROW()*0.01))</f>
        <v>-207.70908225014463</v>
      </c>
      <c r="Q706" s="107">
        <f t="shared" ref="Q706:Q769" si="136">IFERROR(P706/SUMIF(P:P,"&gt;0",P:P),0)</f>
        <v>-7.1658167143184653E-2</v>
      </c>
      <c r="R706" s="11">
        <f>IF(VLOOKUP($D706,$X$14:$Y$19,2,0)&lt;=0,1,IF(Q706&lt;0,1,ROUNDUP(IF(Q706*('Draft Center'!$L$28+'Draft Center'!$L$78-'Draft Center'!$L$82)&lt;1,1,Q706*('Draft Center'!$L$28+'Draft Center'!$L$78-'Draft Center'!$L$82)),0)))</f>
        <v>1</v>
      </c>
      <c r="S706" s="11">
        <f>IF(A706&lt;Input!$B$10+0.1,IF(ROUNDUP(R706*Input!$C$10,0)=0,1,ROUNDUP(R706*Input!$C$10,0)),IF(A706&gt;Input!$B$11,IF(ROUNDUP(R706*Input!$C$11,0)=0,1,ROUNDUP(R706*Input!$C$11,0)),IF(ROUNDUP(R706,0)=0,1,ROUNDUP(R706,0))))</f>
        <v>1</v>
      </c>
      <c r="T706" s="11">
        <f t="shared" ref="T706:T769" si="137">IF(U706&gt;0,0,IF(AA706=1,R706,IF(AL706=0,1,AL706)))</f>
        <v>1</v>
      </c>
      <c r="U706" s="11">
        <f>IFERROR(VLOOKUP($B706,Input!$AC$2:$AE$161,3,0),0)</f>
        <v>0</v>
      </c>
      <c r="V706" s="257">
        <f t="shared" si="132"/>
        <v>0</v>
      </c>
      <c r="W706" s="264">
        <f t="shared" si="133"/>
        <v>1.0070600000000001</v>
      </c>
      <c r="X706" s="68"/>
      <c r="Y706" s="68"/>
      <c r="Z706" s="68"/>
      <c r="AA706" s="68"/>
      <c r="AB706" s="68"/>
      <c r="AC706" s="68"/>
      <c r="AD706" s="68"/>
      <c r="AE706" s="68"/>
      <c r="AF706" s="68"/>
      <c r="AG706" s="68"/>
      <c r="AH706" s="68"/>
      <c r="AI706" s="68"/>
      <c r="AJ706" s="68">
        <v>1</v>
      </c>
      <c r="AL706" s="68">
        <v>1</v>
      </c>
      <c r="AM706" s="68"/>
      <c r="AN706" s="68"/>
      <c r="AO706" s="68"/>
      <c r="AQ706" s="68"/>
      <c r="AR706" s="68"/>
      <c r="AS706" s="68"/>
      <c r="AT706" s="68"/>
      <c r="AU706" s="68"/>
      <c r="AV706" s="68"/>
      <c r="AW706" s="68"/>
      <c r="AX706" s="68"/>
      <c r="AY706" s="68"/>
      <c r="AZ706" s="68"/>
      <c r="BB706" s="68"/>
      <c r="BC706" s="68"/>
      <c r="BJ706" s="68"/>
      <c r="BT706">
        <v>1</v>
      </c>
      <c r="BV706">
        <v>1</v>
      </c>
      <c r="BX706" s="68"/>
      <c r="BY706" s="68">
        <v>1</v>
      </c>
      <c r="BZ706" s="68">
        <v>0</v>
      </c>
      <c r="CA706" s="68">
        <v>0</v>
      </c>
      <c r="CB706" s="68">
        <v>0</v>
      </c>
      <c r="CC706" s="68">
        <f t="shared" si="134"/>
        <v>0</v>
      </c>
      <c r="CD706" s="68">
        <f t="shared" si="135"/>
        <v>0</v>
      </c>
    </row>
    <row r="707" spans="1:82" ht="15.75" customHeight="1" thickBot="1" x14ac:dyDescent="0.3">
      <c r="A707" s="6">
        <v>706</v>
      </c>
      <c r="B707" s="7" t="s">
        <v>1021</v>
      </c>
      <c r="C707" s="7" t="s">
        <v>47</v>
      </c>
      <c r="D707" s="7" t="s">
        <v>17</v>
      </c>
      <c r="E707" s="50">
        <v>-200.92212409759699</v>
      </c>
      <c r="F707" s="50">
        <v>11.855792171752</v>
      </c>
      <c r="G707" s="50">
        <v>23.281628469592501</v>
      </c>
      <c r="H707" s="50">
        <v>-0.14501254164217101</v>
      </c>
      <c r="I707" s="8">
        <v>0</v>
      </c>
      <c r="J707" s="50">
        <v>4.3338421256620299</v>
      </c>
      <c r="K707" s="248">
        <f>IFERROR(VLOOKUP(C707,Schedule!$T$3:$U$34,2,0),"FA")</f>
        <v>10</v>
      </c>
      <c r="L707" s="7" t="str">
        <f>D707&amp;COUNTIF(D$2:$D707,D707)</f>
        <v>WR195</v>
      </c>
      <c r="M707" s="50">
        <f t="array" ref="M707">IFERROR(F707-AVERAGE(VLOOKUP(D707,$D708:$F$885,3,0),INDEX($F708:$F$885,SMALL(IF(D707=$D708:$D$885,ROW($D708:$D$885)-ROW(D707)),2))),0)</f>
        <v>0.29513277033884933</v>
      </c>
      <c r="N707" s="50">
        <f>IFERROR(IF(VLOOKUP($B707,Input!$AC$2:$AC$162,1,0)=$B707,0),F707)</f>
        <v>11.855792171752</v>
      </c>
      <c r="O707" s="50">
        <f>IFERROR(IF(VLOOKUP($B707,Input!$AC$2:$AC$162,1,0)=$B707,0,G707),G707)</f>
        <v>23.281628469592501</v>
      </c>
      <c r="P707" s="50">
        <f>IF(N707=0,0,F707-AVERAGE(INDEX(F:F,MATCH(VLOOKUP(D707,Input!$A$14:$L$22,10,0),L:L,0)),INDEX(F:F,MATCH(VLOOKUP(D707,Input!$A$14:$L$22,11,0),L:L,0)),INDEX(F:F,MATCH(VLOOKUP(D707,Input!$A$14:$L$22,12,0),L:L,0)))+(0.01-ROW()*0.01))</f>
        <v>-207.98212409759702</v>
      </c>
      <c r="Q707" s="106">
        <f t="shared" si="136"/>
        <v>-7.1752364653134004E-2</v>
      </c>
      <c r="R707" s="8">
        <f>IF(VLOOKUP($D707,$X$14:$Y$19,2,0)&lt;=0,1,IF(Q707&lt;0,1,ROUNDUP(IF(Q707*('Draft Center'!$L$28+'Draft Center'!$L$78-'Draft Center'!$L$82)&lt;1,1,Q707*('Draft Center'!$L$28+'Draft Center'!$L$78-'Draft Center'!$L$82)),0)))</f>
        <v>1</v>
      </c>
      <c r="S707" s="8">
        <f>IF(A707&lt;Input!$B$10+0.1,IF(ROUNDUP(R707*Input!$C$10,0)=0,1,ROUNDUP(R707*Input!$C$10,0)),IF(A707&gt;Input!$B$11,IF(ROUNDUP(R707*Input!$C$11,0)=0,1,ROUNDUP(R707*Input!$C$11,0)),IF(ROUNDUP(R707,0)=0,1,ROUNDUP(R707,0))))</f>
        <v>1</v>
      </c>
      <c r="T707" s="8">
        <f t="shared" si="137"/>
        <v>1</v>
      </c>
      <c r="U707" s="8">
        <f>IFERROR(VLOOKUP($B707,Input!$AC$2:$AE$161,3,0),0)</f>
        <v>0</v>
      </c>
      <c r="V707" s="256">
        <f t="shared" ref="V707:V770" si="138">IF(R707=0,0,IFERROR(((R707-CD707)/CD707)+(ROW()*0.00001),0))</f>
        <v>0</v>
      </c>
      <c r="W707" s="263">
        <f t="shared" ref="W707:W770" si="139">IF(R707=0,0,IFERROR(((R707-CD707))+(ROW()*0.00001),0))</f>
        <v>1.0070699999999999</v>
      </c>
      <c r="X707" s="68"/>
      <c r="Y707" s="68"/>
      <c r="Z707" s="68"/>
      <c r="AA707" s="68"/>
      <c r="AB707" s="68"/>
      <c r="AC707" s="68"/>
      <c r="AD707" s="68"/>
      <c r="AE707" s="68"/>
      <c r="AF707" s="68"/>
      <c r="AG707" s="68"/>
      <c r="AH707" s="68"/>
      <c r="AI707" s="68"/>
      <c r="AJ707" s="68">
        <v>1</v>
      </c>
      <c r="AL707" s="68">
        <v>1</v>
      </c>
      <c r="AM707" s="68"/>
      <c r="AN707" s="68"/>
      <c r="AO707" s="68"/>
      <c r="AQ707" s="68"/>
      <c r="AR707" s="68"/>
      <c r="AS707" s="68"/>
      <c r="AT707" s="68"/>
      <c r="AU707" s="68"/>
      <c r="AV707" s="68"/>
      <c r="AW707" s="68"/>
      <c r="AX707" s="68"/>
      <c r="AY707" s="68"/>
      <c r="AZ707" s="68"/>
      <c r="BB707" s="68"/>
      <c r="BC707" s="68"/>
      <c r="BJ707" s="68"/>
      <c r="BT707">
        <v>1</v>
      </c>
      <c r="BV707">
        <v>1</v>
      </c>
      <c r="BX707" s="68"/>
      <c r="BY707" s="68">
        <v>1</v>
      </c>
      <c r="BZ707" s="68">
        <v>0</v>
      </c>
      <c r="CA707" s="68">
        <v>0</v>
      </c>
      <c r="CB707" s="68">
        <v>0</v>
      </c>
      <c r="CC707" s="68">
        <f t="shared" ref="CC707:CC770" si="140">AVERAGE(BZ707:CB707)</f>
        <v>0</v>
      </c>
      <c r="CD707" s="68">
        <f t="shared" ref="CD707:CD770" si="141">IFERROR(HLOOKUP($CD$1,$BZ$1:$CC$930,ROW(),0),"")</f>
        <v>0</v>
      </c>
    </row>
    <row r="708" spans="1:82" ht="15.75" customHeight="1" thickBot="1" x14ac:dyDescent="0.3">
      <c r="A708" s="9">
        <v>707</v>
      </c>
      <c r="B708" s="10" t="s">
        <v>787</v>
      </c>
      <c r="C708" s="10" t="s">
        <v>23</v>
      </c>
      <c r="D708" s="10" t="s">
        <v>17</v>
      </c>
      <c r="E708" s="51">
        <v>-201.17270529829401</v>
      </c>
      <c r="F708" s="51">
        <v>11.605210971055101</v>
      </c>
      <c r="G708" s="51">
        <v>24.912018348623899</v>
      </c>
      <c r="H708" s="51">
        <v>-6.4239028944911306E-2</v>
      </c>
      <c r="I708" s="11" t="s">
        <v>1057</v>
      </c>
      <c r="J708" s="51">
        <v>4.5495116739662098</v>
      </c>
      <c r="K708" s="249">
        <f>IFERROR(VLOOKUP(C708,Schedule!$T$3:$U$34,2,0),"FA")</f>
        <v>5</v>
      </c>
      <c r="L708" s="10" t="str">
        <f>D708&amp;COUNTIF(D$2:$D708,D708)</f>
        <v>WR196</v>
      </c>
      <c r="M708" s="51">
        <f t="array" ref="M708">IFERROR(F708-AVERAGE(VLOOKUP(D708,$D709:$F$885,3,0),INDEX($F709:$F$885,SMALL(IF(D708=$D709:$D$885,ROW($D709:$D$885)-ROW(D708)),2))),0)</f>
        <v>0.13637623291880097</v>
      </c>
      <c r="N708" s="51">
        <f>IFERROR(IF(VLOOKUP($B708,Input!$AC$2:$AC$162,1,0)=$B708,0),F708)</f>
        <v>11.605210971055101</v>
      </c>
      <c r="O708" s="51">
        <f>IFERROR(IF(VLOOKUP($B708,Input!$AC$2:$AC$162,1,0)=$B708,0,G708),G708)</f>
        <v>24.912018348623899</v>
      </c>
      <c r="P708" s="51">
        <f>IF(N708=0,0,F708-AVERAGE(INDEX(F:F,MATCH(VLOOKUP(D708,Input!$A$14:$L$22,10,0),L:L,0)),INDEX(F:F,MATCH(VLOOKUP(D708,Input!$A$14:$L$22,11,0),L:L,0)),INDEX(F:F,MATCH(VLOOKUP(D708,Input!$A$14:$L$22,12,0),L:L,0)))+(0.01-ROW()*0.01))</f>
        <v>-208.24270529829391</v>
      </c>
      <c r="Q708" s="107">
        <f t="shared" si="136"/>
        <v>-7.1842263327913283E-2</v>
      </c>
      <c r="R708" s="11">
        <f>IF(VLOOKUP($D708,$X$14:$Y$19,2,0)&lt;=0,1,IF(Q708&lt;0,1,ROUNDUP(IF(Q708*('Draft Center'!$L$28+'Draft Center'!$L$78-'Draft Center'!$L$82)&lt;1,1,Q708*('Draft Center'!$L$28+'Draft Center'!$L$78-'Draft Center'!$L$82)),0)))</f>
        <v>1</v>
      </c>
      <c r="S708" s="11">
        <f>IF(A708&lt;Input!$B$10+0.1,IF(ROUNDUP(R708*Input!$C$10,0)=0,1,ROUNDUP(R708*Input!$C$10,0)),IF(A708&gt;Input!$B$11,IF(ROUNDUP(R708*Input!$C$11,0)=0,1,ROUNDUP(R708*Input!$C$11,0)),IF(ROUNDUP(R708,0)=0,1,ROUNDUP(R708,0))))</f>
        <v>1</v>
      </c>
      <c r="T708" s="11">
        <f t="shared" si="137"/>
        <v>1</v>
      </c>
      <c r="U708" s="11">
        <f>IFERROR(VLOOKUP($B708,Input!$AC$2:$AE$161,3,0),0)</f>
        <v>0</v>
      </c>
      <c r="V708" s="257">
        <f t="shared" si="138"/>
        <v>0</v>
      </c>
      <c r="W708" s="264">
        <f t="shared" si="139"/>
        <v>0</v>
      </c>
      <c r="X708" s="68"/>
      <c r="Y708" s="68"/>
      <c r="Z708" s="68"/>
      <c r="AA708" s="68"/>
      <c r="AB708" s="68"/>
      <c r="AC708" s="68"/>
      <c r="AD708" s="68"/>
      <c r="AE708" s="68"/>
      <c r="AF708" s="68"/>
      <c r="AG708" s="68"/>
      <c r="AH708" s="68"/>
      <c r="AI708" s="68"/>
      <c r="AJ708" s="68">
        <v>1</v>
      </c>
      <c r="AL708" s="68">
        <v>1</v>
      </c>
      <c r="AM708" s="68"/>
      <c r="AN708" s="68"/>
      <c r="AO708" s="68"/>
      <c r="AQ708" s="68"/>
      <c r="AR708" s="68"/>
      <c r="AS708" s="68"/>
      <c r="AT708" s="68"/>
      <c r="AU708" s="68"/>
      <c r="AV708" s="68"/>
      <c r="AW708" s="68"/>
      <c r="AX708" s="68"/>
      <c r="AY708" s="68"/>
      <c r="AZ708" s="68"/>
      <c r="BB708" s="68"/>
      <c r="BC708" s="68"/>
      <c r="BJ708" s="68"/>
      <c r="BT708">
        <v>1</v>
      </c>
      <c r="BV708">
        <v>1</v>
      </c>
      <c r="BX708" s="68"/>
      <c r="BY708" s="68">
        <v>1</v>
      </c>
      <c r="BZ708" s="68" t="s">
        <v>1057</v>
      </c>
      <c r="CA708" s="68" t="s">
        <v>1057</v>
      </c>
      <c r="CB708" s="68" t="s">
        <v>1057</v>
      </c>
      <c r="CC708" s="68" t="e">
        <f t="shared" si="140"/>
        <v>#DIV/0!</v>
      </c>
      <c r="CD708" s="68" t="str">
        <f t="shared" si="141"/>
        <v>NA</v>
      </c>
    </row>
    <row r="709" spans="1:82" ht="15.75" customHeight="1" thickBot="1" x14ac:dyDescent="0.3">
      <c r="A709" s="6">
        <v>708</v>
      </c>
      <c r="B709" s="7" t="s">
        <v>522</v>
      </c>
      <c r="C709" s="7" t="s">
        <v>50</v>
      </c>
      <c r="D709" s="7" t="s">
        <v>17</v>
      </c>
      <c r="E709" s="50">
        <v>-201.261808437578</v>
      </c>
      <c r="F709" s="50">
        <v>11.516107831771199</v>
      </c>
      <c r="G709" s="50">
        <v>23.894918462350301</v>
      </c>
      <c r="H709" s="50">
        <v>-0.102712541642171</v>
      </c>
      <c r="I709" s="8" t="s">
        <v>1057</v>
      </c>
      <c r="J709" s="50">
        <v>3.2997988641210201</v>
      </c>
      <c r="K709" s="248">
        <f>IFERROR(VLOOKUP(C709,Schedule!$T$3:$U$34,2,0),"FA")</f>
        <v>6</v>
      </c>
      <c r="L709" s="7" t="str">
        <f>D709&amp;COUNTIF(D$2:$D709,D709)</f>
        <v>WR197</v>
      </c>
      <c r="M709" s="50">
        <f t="array" ref="M709">IFERROR(F709-AVERAGE(VLOOKUP(D709,$D710:$F$885,3,0),INDEX($F710:$F$885,SMALL(IF(D709=$D710:$D$885,ROW($D710:$D$885)-ROW(D709)),2))),0)</f>
        <v>0.20159914372364973</v>
      </c>
      <c r="N709" s="50">
        <f>IFERROR(IF(VLOOKUP($B709,Input!$AC$2:$AC$162,1,0)=$B709,0),F709)</f>
        <v>11.516107831771199</v>
      </c>
      <c r="O709" s="50">
        <f>IFERROR(IF(VLOOKUP($B709,Input!$AC$2:$AC$162,1,0)=$B709,0,G709),G709)</f>
        <v>23.894918462350301</v>
      </c>
      <c r="P709" s="50">
        <f>IF(N709=0,0,F709-AVERAGE(INDEX(F:F,MATCH(VLOOKUP(D709,Input!$A$14:$L$22,10,0),L:L,0)),INDEX(F:F,MATCH(VLOOKUP(D709,Input!$A$14:$L$22,11,0),L:L,0)),INDEX(F:F,MATCH(VLOOKUP(D709,Input!$A$14:$L$22,12,0),L:L,0)))+(0.01-ROW()*0.01))</f>
        <v>-208.34180843757784</v>
      </c>
      <c r="Q709" s="106">
        <f t="shared" si="136"/>
        <v>-7.1876453211390162E-2</v>
      </c>
      <c r="R709" s="8">
        <f>IF(VLOOKUP($D709,$X$14:$Y$19,2,0)&lt;=0,1,IF(Q709&lt;0,1,ROUNDUP(IF(Q709*('Draft Center'!$L$28+'Draft Center'!$L$78-'Draft Center'!$L$82)&lt;1,1,Q709*('Draft Center'!$L$28+'Draft Center'!$L$78-'Draft Center'!$L$82)),0)))</f>
        <v>1</v>
      </c>
      <c r="S709" s="8">
        <f>IF(A709&lt;Input!$B$10+0.1,IF(ROUNDUP(R709*Input!$C$10,0)=0,1,ROUNDUP(R709*Input!$C$10,0)),IF(A709&gt;Input!$B$11,IF(ROUNDUP(R709*Input!$C$11,0)=0,1,ROUNDUP(R709*Input!$C$11,0)),IF(ROUNDUP(R709,0)=0,1,ROUNDUP(R709,0))))</f>
        <v>1</v>
      </c>
      <c r="T709" s="8">
        <f t="shared" si="137"/>
        <v>1</v>
      </c>
      <c r="U709" s="8">
        <f>IFERROR(VLOOKUP($B709,Input!$AC$2:$AE$161,3,0),0)</f>
        <v>0</v>
      </c>
      <c r="V709" s="256">
        <f t="shared" si="138"/>
        <v>0</v>
      </c>
      <c r="W709" s="263">
        <f t="shared" si="139"/>
        <v>0</v>
      </c>
      <c r="X709" s="68"/>
      <c r="Y709" s="68"/>
      <c r="Z709" s="68"/>
      <c r="AA709" s="68"/>
      <c r="AB709" s="68"/>
      <c r="AC709" s="68"/>
      <c r="AD709" s="68"/>
      <c r="AE709" s="68"/>
      <c r="AF709" s="68"/>
      <c r="AG709" s="68"/>
      <c r="AH709" s="68"/>
      <c r="AI709" s="68"/>
      <c r="AJ709" s="68">
        <v>1</v>
      </c>
      <c r="AL709" s="68">
        <v>1</v>
      </c>
      <c r="AM709" s="68"/>
      <c r="AN709" s="68"/>
      <c r="AO709" s="68"/>
      <c r="AQ709" s="68"/>
      <c r="AR709" s="68"/>
      <c r="AS709" s="68"/>
      <c r="AT709" s="68"/>
      <c r="AU709" s="68"/>
      <c r="AV709" s="68"/>
      <c r="AW709" s="68"/>
      <c r="AX709" s="68"/>
      <c r="AY709" s="68"/>
      <c r="AZ709" s="68"/>
      <c r="BB709" s="68"/>
      <c r="BC709" s="68"/>
      <c r="BJ709" s="68"/>
      <c r="BT709">
        <v>1</v>
      </c>
      <c r="BV709">
        <v>1</v>
      </c>
      <c r="BX709" s="68"/>
      <c r="BY709" s="68">
        <v>1</v>
      </c>
      <c r="BZ709" s="68" t="s">
        <v>1057</v>
      </c>
      <c r="CA709" s="68" t="s">
        <v>1057</v>
      </c>
      <c r="CB709" s="68" t="s">
        <v>1057</v>
      </c>
      <c r="CC709" s="68" t="e">
        <f t="shared" si="140"/>
        <v>#DIV/0!</v>
      </c>
      <c r="CD709" s="68" t="str">
        <f t="shared" si="141"/>
        <v>NA</v>
      </c>
    </row>
    <row r="710" spans="1:82" ht="15.75" customHeight="1" thickBot="1" x14ac:dyDescent="0.3">
      <c r="A710" s="9">
        <v>709</v>
      </c>
      <c r="B710" s="10" t="s">
        <v>367</v>
      </c>
      <c r="C710" s="10" t="s">
        <v>48</v>
      </c>
      <c r="D710" s="10" t="s">
        <v>17</v>
      </c>
      <c r="E710" s="51">
        <v>-201.356354624848</v>
      </c>
      <c r="F710" s="51">
        <v>11.4215616445014</v>
      </c>
      <c r="G710" s="51">
        <v>25.976035602256001</v>
      </c>
      <c r="H710" s="51">
        <v>-0.34337861641102402</v>
      </c>
      <c r="I710" s="11" t="s">
        <v>1057</v>
      </c>
      <c r="J710" s="51">
        <v>4.7137725634954197</v>
      </c>
      <c r="K710" s="249">
        <f>IFERROR(VLOOKUP(C710,Schedule!$T$3:$U$34,2,0),"FA")</f>
        <v>10</v>
      </c>
      <c r="L710" s="10" t="str">
        <f>D710&amp;COUNTIF(D$2:$D710,D710)</f>
        <v>WR198</v>
      </c>
      <c r="M710" s="51">
        <f t="array" ref="M710">IFERROR(F710-AVERAGE(VLOOKUP(D710,$D711:$F$885,3,0),INDEX($F711:$F$885,SMALL(IF(D710=$D711:$D$885,ROW($D711:$D$885)-ROW(D710)),2))),0)</f>
        <v>0.52290922452075073</v>
      </c>
      <c r="N710" s="51">
        <f>IFERROR(IF(VLOOKUP($B710,Input!$AC$2:$AC$162,1,0)=$B710,0),F710)</f>
        <v>11.4215616445014</v>
      </c>
      <c r="O710" s="51">
        <f>IFERROR(IF(VLOOKUP($B710,Input!$AC$2:$AC$162,1,0)=$B710,0,G710),G710)</f>
        <v>25.976035602256001</v>
      </c>
      <c r="P710" s="51">
        <f>IF(N710=0,0,F710-AVERAGE(INDEX(F:F,MATCH(VLOOKUP(D710,Input!$A$14:$L$22,10,0),L:L,0)),INDEX(F:F,MATCH(VLOOKUP(D710,Input!$A$14:$L$22,11,0),L:L,0)),INDEX(F:F,MATCH(VLOOKUP(D710,Input!$A$14:$L$22,12,0),L:L,0)))+(0.01-ROW()*0.01))</f>
        <v>-208.44635462484763</v>
      </c>
      <c r="Q710" s="107">
        <f t="shared" si="136"/>
        <v>-7.1912520907999308E-2</v>
      </c>
      <c r="R710" s="11">
        <f>IF(VLOOKUP($D710,$X$14:$Y$19,2,0)&lt;=0,1,IF(Q710&lt;0,1,ROUNDUP(IF(Q710*('Draft Center'!$L$28+'Draft Center'!$L$78-'Draft Center'!$L$82)&lt;1,1,Q710*('Draft Center'!$L$28+'Draft Center'!$L$78-'Draft Center'!$L$82)),0)))</f>
        <v>1</v>
      </c>
      <c r="S710" s="11">
        <f>IF(A710&lt;Input!$B$10+0.1,IF(ROUNDUP(R710*Input!$C$10,0)=0,1,ROUNDUP(R710*Input!$C$10,0)),IF(A710&gt;Input!$B$11,IF(ROUNDUP(R710*Input!$C$11,0)=0,1,ROUNDUP(R710*Input!$C$11,0)),IF(ROUNDUP(R710,0)=0,1,ROUNDUP(R710,0))))</f>
        <v>1</v>
      </c>
      <c r="T710" s="11">
        <f t="shared" si="137"/>
        <v>1</v>
      </c>
      <c r="U710" s="11">
        <f>IFERROR(VLOOKUP($B710,Input!$AC$2:$AE$161,3,0),0)</f>
        <v>0</v>
      </c>
      <c r="V710" s="257">
        <f t="shared" si="138"/>
        <v>0</v>
      </c>
      <c r="W710" s="264">
        <f t="shared" si="139"/>
        <v>0</v>
      </c>
      <c r="X710" s="68"/>
      <c r="Y710" s="68"/>
      <c r="Z710" s="68"/>
      <c r="AA710" s="68"/>
      <c r="AB710" s="68"/>
      <c r="AC710" s="68"/>
      <c r="AD710" s="68"/>
      <c r="AE710" s="68"/>
      <c r="AF710" s="68"/>
      <c r="AG710" s="68"/>
      <c r="AH710" s="68"/>
      <c r="AI710" s="68"/>
      <c r="AJ710" s="68">
        <v>1</v>
      </c>
      <c r="AL710" s="68">
        <v>1</v>
      </c>
      <c r="AM710" s="68"/>
      <c r="AN710" s="68"/>
      <c r="AO710" s="68"/>
      <c r="AQ710" s="68"/>
      <c r="AR710" s="68"/>
      <c r="AS710" s="68"/>
      <c r="AT710" s="68"/>
      <c r="AU710" s="68"/>
      <c r="AV710" s="68"/>
      <c r="AW710" s="68"/>
      <c r="AX710" s="68"/>
      <c r="AY710" s="68"/>
      <c r="AZ710" s="68"/>
      <c r="BB710" s="68"/>
      <c r="BC710" s="68"/>
      <c r="BJ710" s="68"/>
      <c r="BT710">
        <v>1</v>
      </c>
      <c r="BV710">
        <v>1</v>
      </c>
      <c r="BX710" s="68"/>
      <c r="BY710" s="68">
        <v>1</v>
      </c>
      <c r="BZ710" s="68" t="s">
        <v>1057</v>
      </c>
      <c r="CA710" s="68" t="s">
        <v>1057</v>
      </c>
      <c r="CB710" s="68" t="s">
        <v>1057</v>
      </c>
      <c r="CC710" s="68" t="e">
        <f t="shared" si="140"/>
        <v>#DIV/0!</v>
      </c>
      <c r="CD710" s="68" t="str">
        <f t="shared" si="141"/>
        <v>NA</v>
      </c>
    </row>
    <row r="711" spans="1:82" ht="15.75" customHeight="1" thickBot="1" x14ac:dyDescent="0.3">
      <c r="A711" s="6">
        <v>710</v>
      </c>
      <c r="B711" s="7" t="s">
        <v>1026</v>
      </c>
      <c r="C711" s="7" t="s">
        <v>33</v>
      </c>
      <c r="D711" s="7" t="s">
        <v>17</v>
      </c>
      <c r="E711" s="50">
        <v>-201.570460537755</v>
      </c>
      <c r="F711" s="50">
        <v>11.207455731593701</v>
      </c>
      <c r="G711" s="50">
        <v>16.9465</v>
      </c>
      <c r="H711" s="50">
        <v>0</v>
      </c>
      <c r="I711" s="8" t="s">
        <v>1057</v>
      </c>
      <c r="J711" s="50">
        <v>3.5173172241733801</v>
      </c>
      <c r="K711" s="248">
        <f>IFERROR(VLOOKUP(C711,Schedule!$T$3:$U$34,2,0),"FA")</f>
        <v>9</v>
      </c>
      <c r="L711" s="7" t="str">
        <f>D711&amp;COUNTIF(D$2:$D711,D711)</f>
        <v>WR199</v>
      </c>
      <c r="M711" s="50">
        <f t="array" ref="M711">IFERROR(F711-AVERAGE(VLOOKUP(D711,$D712:$F$885,3,0),INDEX($F712:$F$885,SMALL(IF(D711=$D712:$D$885,ROW($D712:$D$885)-ROW(D711)),2))),0)</f>
        <v>0.64898248056490004</v>
      </c>
      <c r="N711" s="50">
        <f>IFERROR(IF(VLOOKUP($B711,Input!$AC$2:$AC$162,1,0)=$B711,0),F711)</f>
        <v>11.207455731593701</v>
      </c>
      <c r="O711" s="50">
        <f>IFERROR(IF(VLOOKUP($B711,Input!$AC$2:$AC$162,1,0)=$B711,0,G711),G711)</f>
        <v>16.9465</v>
      </c>
      <c r="P711" s="50">
        <f>IF(N711=0,0,F711-AVERAGE(INDEX(F:F,MATCH(VLOOKUP(D711,Input!$A$14:$L$22,10,0),L:L,0)),INDEX(F:F,MATCH(VLOOKUP(D711,Input!$A$14:$L$22,11,0),L:L,0)),INDEX(F:F,MATCH(VLOOKUP(D711,Input!$A$14:$L$22,12,0),L:L,0)))+(0.01-ROW()*0.01))</f>
        <v>-208.6704605377553</v>
      </c>
      <c r="Q711" s="106">
        <f t="shared" si="136"/>
        <v>-7.1989835865972948E-2</v>
      </c>
      <c r="R711" s="8">
        <f>IF(VLOOKUP($D711,$X$14:$Y$19,2,0)&lt;=0,1,IF(Q711&lt;0,1,ROUNDUP(IF(Q711*('Draft Center'!$L$28+'Draft Center'!$L$78-'Draft Center'!$L$82)&lt;1,1,Q711*('Draft Center'!$L$28+'Draft Center'!$L$78-'Draft Center'!$L$82)),0)))</f>
        <v>1</v>
      </c>
      <c r="S711" s="8">
        <f>IF(A711&lt;Input!$B$10+0.1,IF(ROUNDUP(R711*Input!$C$10,0)=0,1,ROUNDUP(R711*Input!$C$10,0)),IF(A711&gt;Input!$B$11,IF(ROUNDUP(R711*Input!$C$11,0)=0,1,ROUNDUP(R711*Input!$C$11,0)),IF(ROUNDUP(R711,0)=0,1,ROUNDUP(R711,0))))</f>
        <v>1</v>
      </c>
      <c r="T711" s="8">
        <f t="shared" si="137"/>
        <v>1</v>
      </c>
      <c r="U711" s="8">
        <f>IFERROR(VLOOKUP($B711,Input!$AC$2:$AE$161,3,0),0)</f>
        <v>0</v>
      </c>
      <c r="V711" s="256">
        <f t="shared" si="138"/>
        <v>0</v>
      </c>
      <c r="W711" s="263">
        <f t="shared" si="139"/>
        <v>0</v>
      </c>
      <c r="X711" s="68"/>
      <c r="Y711" s="68"/>
      <c r="Z711" s="68"/>
      <c r="AA711" s="68"/>
      <c r="AB711" s="68"/>
      <c r="AC711" s="68"/>
      <c r="AD711" s="68"/>
      <c r="AE711" s="68"/>
      <c r="AF711" s="68"/>
      <c r="AG711" s="68"/>
      <c r="AH711" s="68"/>
      <c r="AI711" s="68"/>
      <c r="AJ711" s="68">
        <v>1</v>
      </c>
      <c r="AL711" s="68">
        <v>1</v>
      </c>
      <c r="AM711" s="68"/>
      <c r="AN711" s="68"/>
      <c r="AO711" s="68"/>
      <c r="AQ711" s="68"/>
      <c r="AR711" s="68"/>
      <c r="AS711" s="68"/>
      <c r="AT711" s="68"/>
      <c r="AU711" s="68"/>
      <c r="AV711" s="68"/>
      <c r="AW711" s="68"/>
      <c r="AX711" s="68"/>
      <c r="AY711" s="68"/>
      <c r="AZ711" s="68"/>
      <c r="BB711" s="68"/>
      <c r="BC711" s="68"/>
      <c r="BJ711" s="68"/>
      <c r="BT711">
        <v>1</v>
      </c>
      <c r="BV711">
        <v>1</v>
      </c>
      <c r="BX711" s="68"/>
      <c r="BY711" s="68">
        <v>1</v>
      </c>
      <c r="BZ711" s="68" t="s">
        <v>1057</v>
      </c>
      <c r="CA711" s="68" t="s">
        <v>1057</v>
      </c>
      <c r="CB711" s="68" t="s">
        <v>1057</v>
      </c>
      <c r="CC711" s="68" t="e">
        <f t="shared" si="140"/>
        <v>#DIV/0!</v>
      </c>
      <c r="CD711" s="68" t="str">
        <f t="shared" si="141"/>
        <v>NA</v>
      </c>
    </row>
    <row r="712" spans="1:82" ht="15.75" customHeight="1" thickBot="1" x14ac:dyDescent="0.3">
      <c r="A712" s="9">
        <v>711</v>
      </c>
      <c r="B712" s="10" t="s">
        <v>1027</v>
      </c>
      <c r="C712" s="10" t="s">
        <v>64</v>
      </c>
      <c r="D712" s="10" t="s">
        <v>17</v>
      </c>
      <c r="E712" s="51">
        <v>-202.18806716098101</v>
      </c>
      <c r="F712" s="51">
        <v>10.5898491083676</v>
      </c>
      <c r="G712" s="51">
        <v>15.4432707133059</v>
      </c>
      <c r="H712" s="51">
        <v>0</v>
      </c>
      <c r="I712" s="11">
        <v>0</v>
      </c>
      <c r="J712" s="51">
        <v>6.2177787795846102</v>
      </c>
      <c r="K712" s="249">
        <f>IFERROR(VLOOKUP(C712,Schedule!$T$3:$U$34,2,0),"FA")</f>
        <v>11</v>
      </c>
      <c r="L712" s="10" t="str">
        <f>D712&amp;COUNTIF(D$2:$D712,D712)</f>
        <v>WR200</v>
      </c>
      <c r="M712" s="51">
        <f t="array" ref="M712">IFERROR(F712-AVERAGE(VLOOKUP(D712,$D713:$F$885,3,0),INDEX($F713:$F$885,SMALL(IF(D712=$D713:$D$885,ROW($D713:$D$885)-ROW(D712)),2))),0)</f>
        <v>0.2956675121494019</v>
      </c>
      <c r="N712" s="51">
        <f>IFERROR(IF(VLOOKUP($B712,Input!$AC$2:$AC$162,1,0)=$B712,0),F712)</f>
        <v>10.5898491083676</v>
      </c>
      <c r="O712" s="51">
        <f>IFERROR(IF(VLOOKUP($B712,Input!$AC$2:$AC$162,1,0)=$B712,0,G712),G712)</f>
        <v>15.4432707133059</v>
      </c>
      <c r="P712" s="51">
        <f>IF(N712=0,0,F712-AVERAGE(INDEX(F:F,MATCH(VLOOKUP(D712,Input!$A$14:$L$22,10,0),L:L,0)),INDEX(F:F,MATCH(VLOOKUP(D712,Input!$A$14:$L$22,11,0),L:L,0)),INDEX(F:F,MATCH(VLOOKUP(D712,Input!$A$14:$L$22,12,0),L:L,0)))+(0.01-ROW()*0.01))</f>
        <v>-209.29806716098145</v>
      </c>
      <c r="Q712" s="107">
        <f t="shared" si="136"/>
        <v>-7.2206355720666388E-2</v>
      </c>
      <c r="R712" s="11">
        <f>IF(VLOOKUP($D712,$X$14:$Y$19,2,0)&lt;=0,1,IF(Q712&lt;0,1,ROUNDUP(IF(Q712*('Draft Center'!$L$28+'Draft Center'!$L$78-'Draft Center'!$L$82)&lt;1,1,Q712*('Draft Center'!$L$28+'Draft Center'!$L$78-'Draft Center'!$L$82)),0)))</f>
        <v>1</v>
      </c>
      <c r="S712" s="11">
        <f>IF(A712&lt;Input!$B$10+0.1,IF(ROUNDUP(R712*Input!$C$10,0)=0,1,ROUNDUP(R712*Input!$C$10,0)),IF(A712&gt;Input!$B$11,IF(ROUNDUP(R712*Input!$C$11,0)=0,1,ROUNDUP(R712*Input!$C$11,0)),IF(ROUNDUP(R712,0)=0,1,ROUNDUP(R712,0))))</f>
        <v>1</v>
      </c>
      <c r="T712" s="11">
        <f t="shared" si="137"/>
        <v>1</v>
      </c>
      <c r="U712" s="11">
        <f>IFERROR(VLOOKUP($B712,Input!$AC$2:$AE$161,3,0),0)</f>
        <v>0</v>
      </c>
      <c r="V712" s="257">
        <f t="shared" si="138"/>
        <v>0</v>
      </c>
      <c r="W712" s="264">
        <f t="shared" si="139"/>
        <v>1.00712</v>
      </c>
      <c r="X712" s="68"/>
      <c r="Y712" s="68"/>
      <c r="Z712" s="68"/>
      <c r="AA712" s="68"/>
      <c r="AB712" s="68"/>
      <c r="AC712" s="68"/>
      <c r="AD712" s="68"/>
      <c r="AE712" s="68"/>
      <c r="AF712" s="68"/>
      <c r="AG712" s="68"/>
      <c r="AH712" s="68"/>
      <c r="AI712" s="68"/>
      <c r="AJ712" s="68">
        <v>1</v>
      </c>
      <c r="AL712" s="68">
        <v>1</v>
      </c>
      <c r="AM712" s="68"/>
      <c r="AN712" s="68"/>
      <c r="AO712" s="68"/>
      <c r="AQ712" s="68"/>
      <c r="AR712" s="68"/>
      <c r="AS712" s="68"/>
      <c r="AT712" s="68"/>
      <c r="AU712" s="68"/>
      <c r="AV712" s="68"/>
      <c r="AW712" s="68"/>
      <c r="AX712" s="68"/>
      <c r="AY712" s="68"/>
      <c r="AZ712" s="68"/>
      <c r="BB712" s="68"/>
      <c r="BC712" s="68"/>
      <c r="BJ712" s="68"/>
      <c r="BT712">
        <v>1</v>
      </c>
      <c r="BV712">
        <v>1</v>
      </c>
      <c r="BX712" s="68"/>
      <c r="BY712" s="68">
        <v>1</v>
      </c>
      <c r="BZ712" s="68">
        <v>0</v>
      </c>
      <c r="CA712" s="68">
        <v>0</v>
      </c>
      <c r="CB712" s="68">
        <v>0</v>
      </c>
      <c r="CC712" s="68">
        <f t="shared" si="140"/>
        <v>0</v>
      </c>
      <c r="CD712" s="68">
        <f t="shared" si="141"/>
        <v>0</v>
      </c>
    </row>
    <row r="713" spans="1:82" ht="15.75" customHeight="1" thickBot="1" x14ac:dyDescent="0.3">
      <c r="A713" s="6">
        <v>712</v>
      </c>
      <c r="B713" s="7" t="s">
        <v>1127</v>
      </c>
      <c r="C713" s="7" t="s">
        <v>52</v>
      </c>
      <c r="D713" s="7" t="s">
        <v>17</v>
      </c>
      <c r="E713" s="50">
        <v>-202.25081887565901</v>
      </c>
      <c r="F713" s="50">
        <v>10.527097393689999</v>
      </c>
      <c r="G713" s="50">
        <v>18.157412158054701</v>
      </c>
      <c r="H713" s="50">
        <v>0</v>
      </c>
      <c r="I713" s="8" t="s">
        <v>1057</v>
      </c>
      <c r="J713" s="50">
        <v>4.9344840526621701</v>
      </c>
      <c r="K713" s="248">
        <f>IFERROR(VLOOKUP(C713,Schedule!$T$3:$U$34,2,0),"FA")</f>
        <v>11</v>
      </c>
      <c r="L713" s="7" t="str">
        <f>D713&amp;COUNTIF(D$2:$D713,D713)</f>
        <v>WR201</v>
      </c>
      <c r="M713" s="50">
        <f t="array" ref="M713">IFERROR(F713-AVERAGE(VLOOKUP(D713,$D714:$F$885,3,0),INDEX($F714:$F$885,SMALL(IF(D713=$D714:$D$885,ROW($D714:$D$885)-ROW(D713)),2))),0)</f>
        <v>0.50606668910418051</v>
      </c>
      <c r="N713" s="50">
        <f>IFERROR(IF(VLOOKUP($B713,Input!$AC$2:$AC$162,1,0)=$B713,0),F713)</f>
        <v>10.527097393689999</v>
      </c>
      <c r="O713" s="50">
        <f>IFERROR(IF(VLOOKUP($B713,Input!$AC$2:$AC$162,1,0)=$B713,0,G713),G713)</f>
        <v>18.157412158054701</v>
      </c>
      <c r="P713" s="50">
        <f>IF(N713=0,0,F713-AVERAGE(INDEX(F:F,MATCH(VLOOKUP(D713,Input!$A$14:$L$22,10,0),L:L,0)),INDEX(F:F,MATCH(VLOOKUP(D713,Input!$A$14:$L$22,11,0),L:L,0)),INDEX(F:F,MATCH(VLOOKUP(D713,Input!$A$14:$L$22,12,0),L:L,0)))+(0.01-ROW()*0.01))</f>
        <v>-209.37081887565904</v>
      </c>
      <c r="Q713" s="106">
        <f t="shared" si="136"/>
        <v>-7.2231454548670651E-2</v>
      </c>
      <c r="R713" s="8">
        <f>IF(VLOOKUP($D713,$X$14:$Y$19,2,0)&lt;=0,1,IF(Q713&lt;0,1,ROUNDUP(IF(Q713*('Draft Center'!$L$28+'Draft Center'!$L$78-'Draft Center'!$L$82)&lt;1,1,Q713*('Draft Center'!$L$28+'Draft Center'!$L$78-'Draft Center'!$L$82)),0)))</f>
        <v>1</v>
      </c>
      <c r="S713" s="8">
        <f>IF(A713&lt;Input!$B$10+0.1,IF(ROUNDUP(R713*Input!$C$10,0)=0,1,ROUNDUP(R713*Input!$C$10,0)),IF(A713&gt;Input!$B$11,IF(ROUNDUP(R713*Input!$C$11,0)=0,1,ROUNDUP(R713*Input!$C$11,0)),IF(ROUNDUP(R713,0)=0,1,ROUNDUP(R713,0))))</f>
        <v>1</v>
      </c>
      <c r="T713" s="8">
        <f t="shared" si="137"/>
        <v>1</v>
      </c>
      <c r="U713" s="8">
        <f>IFERROR(VLOOKUP($B713,Input!$AC$2:$AE$161,3,0),0)</f>
        <v>0</v>
      </c>
      <c r="V713" s="256">
        <f t="shared" si="138"/>
        <v>0</v>
      </c>
      <c r="W713" s="263">
        <f t="shared" si="139"/>
        <v>0</v>
      </c>
      <c r="X713" s="68"/>
      <c r="Y713" s="68"/>
      <c r="Z713" s="68"/>
      <c r="AA713" s="68"/>
      <c r="AB713" s="68"/>
      <c r="AC713" s="68"/>
      <c r="AD713" s="68"/>
      <c r="AE713" s="68"/>
      <c r="AF713" s="68"/>
      <c r="AG713" s="68"/>
      <c r="AH713" s="68"/>
      <c r="AI713" s="68"/>
      <c r="AJ713" s="68">
        <v>1</v>
      </c>
      <c r="AL713" s="68">
        <v>1</v>
      </c>
      <c r="AM713" s="68"/>
      <c r="AN713" s="68"/>
      <c r="AO713" s="68"/>
      <c r="AQ713" s="68"/>
      <c r="AR713" s="68"/>
      <c r="AS713" s="68"/>
      <c r="AT713" s="68"/>
      <c r="AU713" s="68"/>
      <c r="AV713" s="68"/>
      <c r="AW713" s="68"/>
      <c r="AX713" s="68"/>
      <c r="AY713" s="68"/>
      <c r="AZ713" s="68"/>
      <c r="BB713" s="68"/>
      <c r="BC713" s="68"/>
      <c r="BJ713" s="68"/>
      <c r="BT713">
        <v>1</v>
      </c>
      <c r="BV713">
        <v>1</v>
      </c>
      <c r="BX713" s="68"/>
      <c r="BY713" s="68">
        <v>1</v>
      </c>
      <c r="BZ713" s="68" t="s">
        <v>1057</v>
      </c>
      <c r="CA713" s="68" t="s">
        <v>1057</v>
      </c>
      <c r="CB713" s="68" t="s">
        <v>1057</v>
      </c>
      <c r="CC713" s="68" t="e">
        <f t="shared" si="140"/>
        <v>#DIV/0!</v>
      </c>
      <c r="CD713" s="68" t="str">
        <f t="shared" si="141"/>
        <v>NA</v>
      </c>
    </row>
    <row r="714" spans="1:82" ht="15.75" customHeight="1" thickBot="1" x14ac:dyDescent="0.3">
      <c r="A714" s="9">
        <v>713</v>
      </c>
      <c r="B714" s="10" t="s">
        <v>1020</v>
      </c>
      <c r="C714" s="10" t="s">
        <v>83</v>
      </c>
      <c r="D714" s="10" t="s">
        <v>17</v>
      </c>
      <c r="E714" s="51">
        <v>-202.71665047060301</v>
      </c>
      <c r="F714" s="51">
        <v>10.061265798746399</v>
      </c>
      <c r="G714" s="51">
        <v>17.1880306754305</v>
      </c>
      <c r="H714" s="51">
        <v>0</v>
      </c>
      <c r="I714" s="11" t="s">
        <v>1057</v>
      </c>
      <c r="J714" s="51">
        <v>3.53168848018321</v>
      </c>
      <c r="K714" s="249">
        <f>IFERROR(VLOOKUP(C714,Schedule!$T$3:$U$34,2,0),"FA")</f>
        <v>5</v>
      </c>
      <c r="L714" s="10" t="str">
        <f>D714&amp;COUNTIF(D$2:$D714,D714)</f>
        <v>WR202</v>
      </c>
      <c r="M714" s="51">
        <f t="array" ref="M714">IFERROR(F714-AVERAGE(VLOOKUP(D714,$D715:$F$885,3,0),INDEX($F715:$F$885,SMALL(IF(D714=$D715:$D$885,ROW($D715:$D$885)-ROW(D714)),2))),0)</f>
        <v>0.16910828053936022</v>
      </c>
      <c r="N714" s="51">
        <f>IFERROR(IF(VLOOKUP($B714,Input!$AC$2:$AC$162,1,0)=$B714,0),F714)</f>
        <v>10.061265798746399</v>
      </c>
      <c r="O714" s="51">
        <f>IFERROR(IF(VLOOKUP($B714,Input!$AC$2:$AC$162,1,0)=$B714,0,G714),G714)</f>
        <v>17.1880306754305</v>
      </c>
      <c r="P714" s="51">
        <f>IF(N714=0,0,F714-AVERAGE(INDEX(F:F,MATCH(VLOOKUP(D714,Input!$A$14:$L$22,10,0),L:L,0)),INDEX(F:F,MATCH(VLOOKUP(D714,Input!$A$14:$L$22,11,0),L:L,0)),INDEX(F:F,MATCH(VLOOKUP(D714,Input!$A$14:$L$22,12,0),L:L,0)))+(0.01-ROW()*0.01))</f>
        <v>-209.84665047060261</v>
      </c>
      <c r="Q714" s="107">
        <f t="shared" si="136"/>
        <v>-7.2395613089997271E-2</v>
      </c>
      <c r="R714" s="11">
        <f>IF(VLOOKUP($D714,$X$14:$Y$19,2,0)&lt;=0,1,IF(Q714&lt;0,1,ROUNDUP(IF(Q714*('Draft Center'!$L$28+'Draft Center'!$L$78-'Draft Center'!$L$82)&lt;1,1,Q714*('Draft Center'!$L$28+'Draft Center'!$L$78-'Draft Center'!$L$82)),0)))</f>
        <v>1</v>
      </c>
      <c r="S714" s="11">
        <f>IF(A714&lt;Input!$B$10+0.1,IF(ROUNDUP(R714*Input!$C$10,0)=0,1,ROUNDUP(R714*Input!$C$10,0)),IF(A714&gt;Input!$B$11,IF(ROUNDUP(R714*Input!$C$11,0)=0,1,ROUNDUP(R714*Input!$C$11,0)),IF(ROUNDUP(R714,0)=0,1,ROUNDUP(R714,0))))</f>
        <v>1</v>
      </c>
      <c r="T714" s="11">
        <f t="shared" si="137"/>
        <v>1</v>
      </c>
      <c r="U714" s="11">
        <f>IFERROR(VLOOKUP($B714,Input!$AC$2:$AE$161,3,0),0)</f>
        <v>0</v>
      </c>
      <c r="V714" s="257">
        <f t="shared" si="138"/>
        <v>0</v>
      </c>
      <c r="W714" s="264">
        <f t="shared" si="139"/>
        <v>0</v>
      </c>
      <c r="X714" s="68"/>
      <c r="Y714" s="68"/>
      <c r="Z714" s="68"/>
      <c r="AA714" s="68"/>
      <c r="AB714" s="68"/>
      <c r="AC714" s="68"/>
      <c r="AD714" s="68"/>
      <c r="AE714" s="68"/>
      <c r="AF714" s="68"/>
      <c r="AG714" s="68"/>
      <c r="AH714" s="68"/>
      <c r="AI714" s="68"/>
      <c r="AJ714" s="68">
        <v>1</v>
      </c>
      <c r="AL714" s="68">
        <v>1</v>
      </c>
      <c r="AM714" s="68"/>
      <c r="AN714" s="68"/>
      <c r="AO714" s="68"/>
      <c r="AQ714" s="68"/>
      <c r="AR714" s="68"/>
      <c r="AS714" s="68"/>
      <c r="AT714" s="68"/>
      <c r="AU714" s="68"/>
      <c r="AV714" s="68"/>
      <c r="AW714" s="68"/>
      <c r="AX714" s="68"/>
      <c r="AY714" s="68"/>
      <c r="AZ714" s="68"/>
      <c r="BB714" s="68"/>
      <c r="BC714" s="68"/>
      <c r="BJ714" s="68"/>
      <c r="BT714">
        <v>1</v>
      </c>
      <c r="BV714">
        <v>1</v>
      </c>
      <c r="BX714" s="68"/>
      <c r="BY714" s="68">
        <v>1</v>
      </c>
      <c r="BZ714" s="68" t="s">
        <v>1057</v>
      </c>
      <c r="CA714" s="68" t="s">
        <v>1057</v>
      </c>
      <c r="CB714" s="68" t="s">
        <v>1057</v>
      </c>
      <c r="CC714" s="68" t="e">
        <f t="shared" si="140"/>
        <v>#DIV/0!</v>
      </c>
      <c r="CD714" s="68" t="str">
        <f t="shared" si="141"/>
        <v>NA</v>
      </c>
    </row>
    <row r="715" spans="1:82" ht="15.75" customHeight="1" thickBot="1" x14ac:dyDescent="0.3">
      <c r="A715" s="6">
        <v>714</v>
      </c>
      <c r="B715" s="7" t="s">
        <v>1040</v>
      </c>
      <c r="C715" s="7" t="s">
        <v>38</v>
      </c>
      <c r="D715" s="7" t="s">
        <v>17</v>
      </c>
      <c r="E715" s="50">
        <v>-202.797120658924</v>
      </c>
      <c r="F715" s="50">
        <v>9.9807956104252398</v>
      </c>
      <c r="G715" s="50">
        <v>12.0668385459534</v>
      </c>
      <c r="H715" s="50">
        <v>4</v>
      </c>
      <c r="I715" s="8" t="s">
        <v>1057</v>
      </c>
      <c r="J715" s="50">
        <v>3.1105884459928599</v>
      </c>
      <c r="K715" s="248">
        <f>IFERROR(VLOOKUP(C715,Schedule!$T$3:$U$34,2,0),"FA")</f>
        <v>6</v>
      </c>
      <c r="L715" s="7" t="str">
        <f>D715&amp;COUNTIF(D$2:$D715,D715)</f>
        <v>WR203</v>
      </c>
      <c r="M715" s="50">
        <f t="array" ref="M715">IFERROR(F715-AVERAGE(VLOOKUP(D715,$D716:$F$885,3,0),INDEX($F716:$F$885,SMALL(IF(D715=$D716:$D$885,ROW($D716:$D$885)-ROW(D715)),2))),0)</f>
        <v>0.24556974430289991</v>
      </c>
      <c r="N715" s="50">
        <f>IFERROR(IF(VLOOKUP($B715,Input!$AC$2:$AC$162,1,0)=$B715,0),F715)</f>
        <v>9.9807956104252398</v>
      </c>
      <c r="O715" s="50">
        <f>IFERROR(IF(VLOOKUP($B715,Input!$AC$2:$AC$162,1,0)=$B715,0,G715),G715)</f>
        <v>12.0668385459534</v>
      </c>
      <c r="P715" s="50">
        <f>IF(N715=0,0,F715-AVERAGE(INDEX(F:F,MATCH(VLOOKUP(D715,Input!$A$14:$L$22,10,0),L:L,0)),INDEX(F:F,MATCH(VLOOKUP(D715,Input!$A$14:$L$22,11,0),L:L,0)),INDEX(F:F,MATCH(VLOOKUP(D715,Input!$A$14:$L$22,12,0),L:L,0)))+(0.01-ROW()*0.01))</f>
        <v>-209.93712065892379</v>
      </c>
      <c r="Q715" s="106">
        <f t="shared" si="136"/>
        <v>-7.2426824666332615E-2</v>
      </c>
      <c r="R715" s="8">
        <f>IF(VLOOKUP($D715,$X$14:$Y$19,2,0)&lt;=0,1,IF(Q715&lt;0,1,ROUNDUP(IF(Q715*('Draft Center'!$L$28+'Draft Center'!$L$78-'Draft Center'!$L$82)&lt;1,1,Q715*('Draft Center'!$L$28+'Draft Center'!$L$78-'Draft Center'!$L$82)),0)))</f>
        <v>1</v>
      </c>
      <c r="S715" s="8">
        <f>IF(A715&lt;Input!$B$10+0.1,IF(ROUNDUP(R715*Input!$C$10,0)=0,1,ROUNDUP(R715*Input!$C$10,0)),IF(A715&gt;Input!$B$11,IF(ROUNDUP(R715*Input!$C$11,0)=0,1,ROUNDUP(R715*Input!$C$11,0)),IF(ROUNDUP(R715,0)=0,1,ROUNDUP(R715,0))))</f>
        <v>1</v>
      </c>
      <c r="T715" s="8">
        <f t="shared" si="137"/>
        <v>1</v>
      </c>
      <c r="U715" s="8">
        <f>IFERROR(VLOOKUP($B715,Input!$AC$2:$AE$161,3,0),0)</f>
        <v>0</v>
      </c>
      <c r="V715" s="256">
        <f t="shared" si="138"/>
        <v>0</v>
      </c>
      <c r="W715" s="263">
        <f t="shared" si="139"/>
        <v>0</v>
      </c>
      <c r="X715" s="68"/>
      <c r="Y715" s="68"/>
      <c r="Z715" s="68"/>
      <c r="AA715" s="68"/>
      <c r="AB715" s="68"/>
      <c r="AC715" s="68"/>
      <c r="AD715" s="68"/>
      <c r="AE715" s="68"/>
      <c r="AF715" s="68"/>
      <c r="AG715" s="68"/>
      <c r="AH715" s="68"/>
      <c r="AI715" s="68"/>
      <c r="AJ715" s="68">
        <v>1</v>
      </c>
      <c r="AL715" s="68">
        <v>1</v>
      </c>
      <c r="AM715" s="68"/>
      <c r="AN715" s="68"/>
      <c r="AO715" s="68"/>
      <c r="AQ715" s="68"/>
      <c r="AR715" s="68"/>
      <c r="AS715" s="68"/>
      <c r="AT715" s="68"/>
      <c r="AU715" s="68"/>
      <c r="AV715" s="68"/>
      <c r="AW715" s="68"/>
      <c r="AX715" s="68"/>
      <c r="AY715" s="68"/>
      <c r="AZ715" s="68"/>
      <c r="BB715" s="68"/>
      <c r="BC715" s="68"/>
      <c r="BJ715" s="68"/>
      <c r="BT715">
        <v>1</v>
      </c>
      <c r="BV715">
        <v>1</v>
      </c>
      <c r="BX715" s="68"/>
      <c r="BY715" s="68">
        <v>1</v>
      </c>
      <c r="BZ715" s="68" t="s">
        <v>1057</v>
      </c>
      <c r="CA715" s="68" t="s">
        <v>1057</v>
      </c>
      <c r="CB715" s="68" t="s">
        <v>1057</v>
      </c>
      <c r="CC715" s="68" t="e">
        <f t="shared" si="140"/>
        <v>#DIV/0!</v>
      </c>
      <c r="CD715" s="68" t="str">
        <f t="shared" si="141"/>
        <v>NA</v>
      </c>
    </row>
    <row r="716" spans="1:82" ht="15.75" customHeight="1" thickBot="1" x14ac:dyDescent="0.3">
      <c r="A716" s="9">
        <v>715</v>
      </c>
      <c r="B716" s="10" t="s">
        <v>1028</v>
      </c>
      <c r="C716" s="10" t="s">
        <v>35</v>
      </c>
      <c r="D716" s="10" t="s">
        <v>17</v>
      </c>
      <c r="E716" s="51">
        <v>-202.97439684336001</v>
      </c>
      <c r="F716" s="51">
        <v>9.8035194259888403</v>
      </c>
      <c r="G716" s="51">
        <v>14.653879999999999</v>
      </c>
      <c r="H716" s="51">
        <v>-9.2473118279569902E-2</v>
      </c>
      <c r="I716" s="11" t="s">
        <v>1057</v>
      </c>
      <c r="J716" s="51">
        <v>6.5406422186263704</v>
      </c>
      <c r="K716" s="249">
        <f>IFERROR(VLOOKUP(C716,Schedule!$T$3:$U$34,2,0),"FA")</f>
        <v>6</v>
      </c>
      <c r="L716" s="10" t="str">
        <f>D716&amp;COUNTIF(D$2:$D716,D716)</f>
        <v>WR204</v>
      </c>
      <c r="M716" s="51">
        <f t="array" ref="M716">IFERROR(F716-AVERAGE(VLOOKUP(D716,$D717:$F$885,3,0),INDEX($F717:$F$885,SMALL(IF(D716=$D717:$D$885,ROW($D717:$D$885)-ROW(D716)),2))),0)</f>
        <v>0.26110290096974076</v>
      </c>
      <c r="N716" s="51">
        <f>IFERROR(IF(VLOOKUP($B716,Input!$AC$2:$AC$162,1,0)=$B716,0),F716)</f>
        <v>9.8035194259888403</v>
      </c>
      <c r="O716" s="51">
        <f>IFERROR(IF(VLOOKUP($B716,Input!$AC$2:$AC$162,1,0)=$B716,0,G716),G716)</f>
        <v>14.653879999999999</v>
      </c>
      <c r="P716" s="51">
        <f>IF(N716=0,0,F716-AVERAGE(INDEX(F:F,MATCH(VLOOKUP(D716,Input!$A$14:$L$22,10,0),L:L,0)),INDEX(F:F,MATCH(VLOOKUP(D716,Input!$A$14:$L$22,11,0),L:L,0)),INDEX(F:F,MATCH(VLOOKUP(D716,Input!$A$14:$L$22,12,0),L:L,0)))+(0.01-ROW()*0.01))</f>
        <v>-210.12439684336019</v>
      </c>
      <c r="Q716" s="107">
        <f t="shared" si="136"/>
        <v>-7.2491433627967325E-2</v>
      </c>
      <c r="R716" s="11">
        <f>IF(VLOOKUP($D716,$X$14:$Y$19,2,0)&lt;=0,1,IF(Q716&lt;0,1,ROUNDUP(IF(Q716*('Draft Center'!$L$28+'Draft Center'!$L$78-'Draft Center'!$L$82)&lt;1,1,Q716*('Draft Center'!$L$28+'Draft Center'!$L$78-'Draft Center'!$L$82)),0)))</f>
        <v>1</v>
      </c>
      <c r="S716" s="11">
        <f>IF(A716&lt;Input!$B$10+0.1,IF(ROUNDUP(R716*Input!$C$10,0)=0,1,ROUNDUP(R716*Input!$C$10,0)),IF(A716&gt;Input!$B$11,IF(ROUNDUP(R716*Input!$C$11,0)=0,1,ROUNDUP(R716*Input!$C$11,0)),IF(ROUNDUP(R716,0)=0,1,ROUNDUP(R716,0))))</f>
        <v>1</v>
      </c>
      <c r="T716" s="11">
        <f t="shared" si="137"/>
        <v>1</v>
      </c>
      <c r="U716" s="11">
        <f>IFERROR(VLOOKUP($B716,Input!$AC$2:$AE$161,3,0),0)</f>
        <v>0</v>
      </c>
      <c r="V716" s="257">
        <f t="shared" si="138"/>
        <v>0</v>
      </c>
      <c r="W716" s="264">
        <f t="shared" si="139"/>
        <v>0</v>
      </c>
      <c r="X716" s="68"/>
      <c r="Y716" s="68"/>
      <c r="Z716" s="68"/>
      <c r="AA716" s="68"/>
      <c r="AB716" s="68"/>
      <c r="AC716" s="68"/>
      <c r="AD716" s="68"/>
      <c r="AE716" s="68"/>
      <c r="AF716" s="68"/>
      <c r="AG716" s="68"/>
      <c r="AH716" s="68"/>
      <c r="AI716" s="68"/>
      <c r="AJ716" s="68">
        <v>1</v>
      </c>
      <c r="AL716" s="68">
        <v>1</v>
      </c>
      <c r="AM716" s="68"/>
      <c r="AN716" s="68"/>
      <c r="AO716" s="68"/>
      <c r="AQ716" s="68"/>
      <c r="AR716" s="68"/>
      <c r="AS716" s="68"/>
      <c r="AT716" s="68"/>
      <c r="AU716" s="68"/>
      <c r="AV716" s="68"/>
      <c r="AW716" s="68"/>
      <c r="AX716" s="68"/>
      <c r="AY716" s="68"/>
      <c r="AZ716" s="68"/>
      <c r="BB716" s="68"/>
      <c r="BC716" s="68"/>
      <c r="BJ716" s="68"/>
      <c r="BT716">
        <v>1</v>
      </c>
      <c r="BV716">
        <v>1</v>
      </c>
      <c r="BX716" s="68"/>
      <c r="BY716" s="68">
        <v>1</v>
      </c>
      <c r="BZ716" s="68" t="s">
        <v>1057</v>
      </c>
      <c r="CA716" s="68" t="s">
        <v>1057</v>
      </c>
      <c r="CB716" s="68" t="s">
        <v>1057</v>
      </c>
      <c r="CC716" s="68" t="e">
        <f t="shared" si="140"/>
        <v>#DIV/0!</v>
      </c>
      <c r="CD716" s="68" t="str">
        <f t="shared" si="141"/>
        <v>NA</v>
      </c>
    </row>
    <row r="717" spans="1:82" ht="15.75" customHeight="1" thickBot="1" x14ac:dyDescent="0.3">
      <c r="A717" s="6">
        <v>716</v>
      </c>
      <c r="B717" s="7" t="s">
        <v>502</v>
      </c>
      <c r="C717" s="7" t="s">
        <v>36</v>
      </c>
      <c r="D717" s="7" t="s">
        <v>17</v>
      </c>
      <c r="E717" s="50">
        <v>-203.11098396309299</v>
      </c>
      <c r="F717" s="50">
        <v>9.6669323062558394</v>
      </c>
      <c r="G717" s="50">
        <v>20.670930232558099</v>
      </c>
      <c r="H717" s="50">
        <v>-0.80971055088702104</v>
      </c>
      <c r="I717" s="8">
        <v>0</v>
      </c>
      <c r="J717" s="50">
        <v>4.1388604121038499</v>
      </c>
      <c r="K717" s="248">
        <f>IFERROR(VLOOKUP(C717,Schedule!$T$3:$U$34,2,0),"FA")</f>
        <v>7</v>
      </c>
      <c r="L717" s="7" t="str">
        <f>D717&amp;COUNTIF(D$2:$D717,D717)</f>
        <v>WR205</v>
      </c>
      <c r="M717" s="50">
        <f t="array" ref="M717">IFERROR(F717-AVERAGE(VLOOKUP(D717,$D718:$F$885,3,0),INDEX($F718:$F$885,SMALL(IF(D717=$D718:$D$885,ROW($D718:$D$885)-ROW(D717)),2))),0)</f>
        <v>0.44081216312283011</v>
      </c>
      <c r="N717" s="50">
        <f>IFERROR(IF(VLOOKUP($B717,Input!$AC$2:$AC$162,1,0)=$B717,0),F717)</f>
        <v>9.6669323062558394</v>
      </c>
      <c r="O717" s="50">
        <f>IFERROR(IF(VLOOKUP($B717,Input!$AC$2:$AC$162,1,0)=$B717,0,G717),G717)</f>
        <v>20.670930232558099</v>
      </c>
      <c r="P717" s="50">
        <f>IF(N717=0,0,F717-AVERAGE(INDEX(F:F,MATCH(VLOOKUP(D717,Input!$A$14:$L$22,10,0),L:L,0)),INDEX(F:F,MATCH(VLOOKUP(D717,Input!$A$14:$L$22,11,0),L:L,0)),INDEX(F:F,MATCH(VLOOKUP(D717,Input!$A$14:$L$22,12,0),L:L,0)))+(0.01-ROW()*0.01))</f>
        <v>-210.27098396309319</v>
      </c>
      <c r="Q717" s="106">
        <f t="shared" si="136"/>
        <v>-7.2542005149506358E-2</v>
      </c>
      <c r="R717" s="8">
        <f>IF(VLOOKUP($D717,$X$14:$Y$19,2,0)&lt;=0,1,IF(Q717&lt;0,1,ROUNDUP(IF(Q717*('Draft Center'!$L$28+'Draft Center'!$L$78-'Draft Center'!$L$82)&lt;1,1,Q717*('Draft Center'!$L$28+'Draft Center'!$L$78-'Draft Center'!$L$82)),0)))</f>
        <v>1</v>
      </c>
      <c r="S717" s="8">
        <f>IF(A717&lt;Input!$B$10+0.1,IF(ROUNDUP(R717*Input!$C$10,0)=0,1,ROUNDUP(R717*Input!$C$10,0)),IF(A717&gt;Input!$B$11,IF(ROUNDUP(R717*Input!$C$11,0)=0,1,ROUNDUP(R717*Input!$C$11,0)),IF(ROUNDUP(R717,0)=0,1,ROUNDUP(R717,0))))</f>
        <v>1</v>
      </c>
      <c r="T717" s="8">
        <f t="shared" si="137"/>
        <v>1</v>
      </c>
      <c r="U717" s="8">
        <f>IFERROR(VLOOKUP($B717,Input!$AC$2:$AE$161,3,0),0)</f>
        <v>0</v>
      </c>
      <c r="V717" s="256">
        <f t="shared" si="138"/>
        <v>0</v>
      </c>
      <c r="W717" s="263">
        <f t="shared" si="139"/>
        <v>1.0071699999999999</v>
      </c>
      <c r="X717" s="68"/>
      <c r="Y717" s="68"/>
      <c r="Z717" s="68"/>
      <c r="AA717" s="68"/>
      <c r="AB717" s="68"/>
      <c r="AC717" s="68"/>
      <c r="AD717" s="68"/>
      <c r="AE717" s="68"/>
      <c r="AF717" s="68"/>
      <c r="AG717" s="68"/>
      <c r="AH717" s="68"/>
      <c r="AI717" s="68"/>
      <c r="AJ717" s="68">
        <v>1</v>
      </c>
      <c r="AL717" s="68">
        <v>1</v>
      </c>
      <c r="AM717" s="68"/>
      <c r="AN717" s="68"/>
      <c r="AO717" s="68"/>
      <c r="AQ717" s="68"/>
      <c r="AR717" s="68"/>
      <c r="AS717" s="68"/>
      <c r="AT717" s="68"/>
      <c r="AU717" s="68"/>
      <c r="AV717" s="68"/>
      <c r="AW717" s="68"/>
      <c r="AX717" s="68"/>
      <c r="AY717" s="68"/>
      <c r="AZ717" s="68"/>
      <c r="BB717" s="68"/>
      <c r="BC717" s="68"/>
      <c r="BJ717" s="68"/>
      <c r="BT717">
        <v>1</v>
      </c>
      <c r="BV717">
        <v>1</v>
      </c>
      <c r="BX717" s="68"/>
      <c r="BY717" s="68">
        <v>1</v>
      </c>
      <c r="BZ717" s="68">
        <v>0</v>
      </c>
      <c r="CA717" s="68">
        <v>0</v>
      </c>
      <c r="CB717" s="68">
        <v>0</v>
      </c>
      <c r="CC717" s="68">
        <f t="shared" si="140"/>
        <v>0</v>
      </c>
      <c r="CD717" s="68">
        <f t="shared" si="141"/>
        <v>0</v>
      </c>
    </row>
    <row r="718" spans="1:82" ht="15.75" customHeight="1" thickBot="1" x14ac:dyDescent="0.3">
      <c r="A718" s="9">
        <v>717</v>
      </c>
      <c r="B718" s="10" t="s">
        <v>1018</v>
      </c>
      <c r="C718" s="10" t="s">
        <v>38</v>
      </c>
      <c r="D718" s="10" t="s">
        <v>17</v>
      </c>
      <c r="E718" s="51">
        <v>-203.36001552556701</v>
      </c>
      <c r="F718" s="51">
        <v>9.4179007437823596</v>
      </c>
      <c r="G718" s="51">
        <v>19.6491263956792</v>
      </c>
      <c r="H718" s="51">
        <v>-6.4239028944911306E-2</v>
      </c>
      <c r="I718" s="11">
        <v>0</v>
      </c>
      <c r="J718" s="51">
        <v>3.8384401251935998</v>
      </c>
      <c r="K718" s="249">
        <f>IFERROR(VLOOKUP(C718,Schedule!$T$3:$U$34,2,0),"FA")</f>
        <v>6</v>
      </c>
      <c r="L718" s="10" t="str">
        <f>D718&amp;COUNTIF(D$2:$D718,D718)</f>
        <v>WR206</v>
      </c>
      <c r="M718" s="51">
        <f t="array" ref="M718">IFERROR(F718-AVERAGE(VLOOKUP(D718,$D719:$F$885,3,0),INDEX($F719:$F$885,SMALL(IF(D718=$D719:$D$885,ROW($D719:$D$885)-ROW(D718)),2))),0)</f>
        <v>0.59223684359665363</v>
      </c>
      <c r="N718" s="51">
        <f>IFERROR(IF(VLOOKUP($B718,Input!$AC$2:$AC$162,1,0)=$B718,0),F718)</f>
        <v>9.4179007437823596</v>
      </c>
      <c r="O718" s="51">
        <f>IFERROR(IF(VLOOKUP($B718,Input!$AC$2:$AC$162,1,0)=$B718,0,G718),G718)</f>
        <v>19.6491263956792</v>
      </c>
      <c r="P718" s="51">
        <f>IF(N718=0,0,F718-AVERAGE(INDEX(F:F,MATCH(VLOOKUP(D718,Input!$A$14:$L$22,10,0),L:L,0)),INDEX(F:F,MATCH(VLOOKUP(D718,Input!$A$14:$L$22,11,0),L:L,0)),INDEX(F:F,MATCH(VLOOKUP(D718,Input!$A$14:$L$22,12,0),L:L,0)))+(0.01-ROW()*0.01))</f>
        <v>-210.53001552556665</v>
      </c>
      <c r="Q718" s="107">
        <f t="shared" si="136"/>
        <v>-7.2631369210037572E-2</v>
      </c>
      <c r="R718" s="11">
        <f>IF(VLOOKUP($D718,$X$14:$Y$19,2,0)&lt;=0,1,IF(Q718&lt;0,1,ROUNDUP(IF(Q718*('Draft Center'!$L$28+'Draft Center'!$L$78-'Draft Center'!$L$82)&lt;1,1,Q718*('Draft Center'!$L$28+'Draft Center'!$L$78-'Draft Center'!$L$82)),0)))</f>
        <v>1</v>
      </c>
      <c r="S718" s="11">
        <f>IF(A718&lt;Input!$B$10+0.1,IF(ROUNDUP(R718*Input!$C$10,0)=0,1,ROUNDUP(R718*Input!$C$10,0)),IF(A718&gt;Input!$B$11,IF(ROUNDUP(R718*Input!$C$11,0)=0,1,ROUNDUP(R718*Input!$C$11,0)),IF(ROUNDUP(R718,0)=0,1,ROUNDUP(R718,0))))</f>
        <v>1</v>
      </c>
      <c r="T718" s="11">
        <f t="shared" si="137"/>
        <v>1</v>
      </c>
      <c r="U718" s="11">
        <f>IFERROR(VLOOKUP($B718,Input!$AC$2:$AE$161,3,0),0)</f>
        <v>0</v>
      </c>
      <c r="V718" s="257">
        <f t="shared" si="138"/>
        <v>0</v>
      </c>
      <c r="W718" s="264">
        <f t="shared" si="139"/>
        <v>1.00718</v>
      </c>
      <c r="X718" s="68"/>
      <c r="Y718" s="68"/>
      <c r="Z718" s="68"/>
      <c r="AA718" s="68"/>
      <c r="AB718" s="68"/>
      <c r="AC718" s="68"/>
      <c r="AD718" s="68"/>
      <c r="AE718" s="68"/>
      <c r="AF718" s="68"/>
      <c r="AG718" s="68"/>
      <c r="AH718" s="68"/>
      <c r="AI718" s="68"/>
      <c r="AJ718" s="68">
        <v>1</v>
      </c>
      <c r="AL718" s="68">
        <v>1</v>
      </c>
      <c r="AM718" s="68"/>
      <c r="AN718" s="68"/>
      <c r="AO718" s="68"/>
      <c r="AQ718" s="68"/>
      <c r="AR718" s="68"/>
      <c r="AS718" s="68"/>
      <c r="AT718" s="68"/>
      <c r="AU718" s="68"/>
      <c r="AV718" s="68"/>
      <c r="AW718" s="68"/>
      <c r="AX718" s="68"/>
      <c r="AY718" s="68"/>
      <c r="AZ718" s="68"/>
      <c r="BB718" s="68"/>
      <c r="BC718" s="68"/>
      <c r="BJ718" s="68"/>
      <c r="BT718">
        <v>1</v>
      </c>
      <c r="BV718">
        <v>1</v>
      </c>
      <c r="BX718" s="68"/>
      <c r="BY718" s="68">
        <v>1</v>
      </c>
      <c r="BZ718" s="68">
        <v>0</v>
      </c>
      <c r="CA718" s="68">
        <v>0</v>
      </c>
      <c r="CB718" s="68">
        <v>0</v>
      </c>
      <c r="CC718" s="68">
        <f t="shared" si="140"/>
        <v>0</v>
      </c>
      <c r="CD718" s="68">
        <f t="shared" si="141"/>
        <v>0</v>
      </c>
    </row>
    <row r="719" spans="1:82" ht="15.75" customHeight="1" thickBot="1" x14ac:dyDescent="0.3">
      <c r="A719" s="6">
        <v>718</v>
      </c>
      <c r="B719" s="7" t="s">
        <v>530</v>
      </c>
      <c r="C719" s="7" t="s">
        <v>57</v>
      </c>
      <c r="D719" s="7" t="s">
        <v>17</v>
      </c>
      <c r="E719" s="50">
        <v>-203.743576726865</v>
      </c>
      <c r="F719" s="50">
        <v>9.0343395424836608</v>
      </c>
      <c r="G719" s="50">
        <v>18.8616773255814</v>
      </c>
      <c r="H719" s="50">
        <v>-6.4239028944911306E-2</v>
      </c>
      <c r="I719" s="8">
        <v>0</v>
      </c>
      <c r="J719" s="50">
        <v>3.73643423124979</v>
      </c>
      <c r="K719" s="248">
        <f>IFERROR(VLOOKUP(C719,Schedule!$T$3:$U$34,2,0),"FA")</f>
        <v>11</v>
      </c>
      <c r="L719" s="7" t="str">
        <f>D719&amp;COUNTIF(D$2:$D719,D719)</f>
        <v>WR207</v>
      </c>
      <c r="M719" s="50">
        <f t="array" ref="M719">IFERROR(F719-AVERAGE(VLOOKUP(D719,$D720:$F$885,3,0),INDEX($F720:$F$885,SMALL(IF(D719=$D720:$D$885,ROW($D720:$D$885)-ROW(D719)),2))),0)</f>
        <v>0.84582540341837564</v>
      </c>
      <c r="N719" s="50">
        <f>IFERROR(IF(VLOOKUP($B719,Input!$AC$2:$AC$162,1,0)=$B719,0),F719)</f>
        <v>9.0343395424836608</v>
      </c>
      <c r="O719" s="50">
        <f>IFERROR(IF(VLOOKUP($B719,Input!$AC$2:$AC$162,1,0)=$B719,0,G719),G719)</f>
        <v>18.8616773255814</v>
      </c>
      <c r="P719" s="50">
        <f>IF(N719=0,0,F719-AVERAGE(INDEX(F:F,MATCH(VLOOKUP(D719,Input!$A$14:$L$22,10,0),L:L,0)),INDEX(F:F,MATCH(VLOOKUP(D719,Input!$A$14:$L$22,11,0),L:L,0)),INDEX(F:F,MATCH(VLOOKUP(D719,Input!$A$14:$L$22,12,0),L:L,0)))+(0.01-ROW()*0.01))</f>
        <v>-210.92357672686538</v>
      </c>
      <c r="Q719" s="106">
        <f t="shared" si="136"/>
        <v>-7.2767145046309253E-2</v>
      </c>
      <c r="R719" s="8">
        <f>IF(VLOOKUP($D719,$X$14:$Y$19,2,0)&lt;=0,1,IF(Q719&lt;0,1,ROUNDUP(IF(Q719*('Draft Center'!$L$28+'Draft Center'!$L$78-'Draft Center'!$L$82)&lt;1,1,Q719*('Draft Center'!$L$28+'Draft Center'!$L$78-'Draft Center'!$L$82)),0)))</f>
        <v>1</v>
      </c>
      <c r="S719" s="8">
        <f>IF(A719&lt;Input!$B$10+0.1,IF(ROUNDUP(R719*Input!$C$10,0)=0,1,ROUNDUP(R719*Input!$C$10,0)),IF(A719&gt;Input!$B$11,IF(ROUNDUP(R719*Input!$C$11,0)=0,1,ROUNDUP(R719*Input!$C$11,0)),IF(ROUNDUP(R719,0)=0,1,ROUNDUP(R719,0))))</f>
        <v>1</v>
      </c>
      <c r="T719" s="8">
        <f t="shared" si="137"/>
        <v>1</v>
      </c>
      <c r="U719" s="8">
        <f>IFERROR(VLOOKUP($B719,Input!$AC$2:$AE$161,3,0),0)</f>
        <v>0</v>
      </c>
      <c r="V719" s="256">
        <f t="shared" si="138"/>
        <v>0</v>
      </c>
      <c r="W719" s="263">
        <f t="shared" si="139"/>
        <v>1.00719</v>
      </c>
      <c r="X719" s="68"/>
      <c r="Y719" s="68"/>
      <c r="Z719" s="68"/>
      <c r="AA719" s="68"/>
      <c r="AB719" s="68"/>
      <c r="AC719" s="68"/>
      <c r="AD719" s="68"/>
      <c r="AE719" s="68"/>
      <c r="AF719" s="68"/>
      <c r="AG719" s="68"/>
      <c r="AH719" s="68"/>
      <c r="AI719" s="68"/>
      <c r="AJ719" s="68">
        <v>1</v>
      </c>
      <c r="AL719" s="68">
        <v>1</v>
      </c>
      <c r="AM719" s="68"/>
      <c r="AN719" s="68"/>
      <c r="AO719" s="68"/>
      <c r="AQ719" s="68"/>
      <c r="AR719" s="68"/>
      <c r="AS719" s="68"/>
      <c r="AT719" s="68"/>
      <c r="AU719" s="68"/>
      <c r="AV719" s="68"/>
      <c r="AW719" s="68"/>
      <c r="AX719" s="68"/>
      <c r="AY719" s="68"/>
      <c r="AZ719" s="68"/>
      <c r="BB719" s="68"/>
      <c r="BC719" s="68"/>
      <c r="BJ719" s="68"/>
      <c r="BT719">
        <v>1</v>
      </c>
      <c r="BV719">
        <v>1</v>
      </c>
      <c r="BX719" s="68"/>
      <c r="BY719" s="68">
        <v>1</v>
      </c>
      <c r="BZ719" s="68">
        <v>0</v>
      </c>
      <c r="CA719" s="68">
        <v>0</v>
      </c>
      <c r="CB719" s="68">
        <v>0</v>
      </c>
      <c r="CC719" s="68">
        <f t="shared" si="140"/>
        <v>0</v>
      </c>
      <c r="CD719" s="68">
        <f t="shared" si="141"/>
        <v>0</v>
      </c>
    </row>
    <row r="720" spans="1:82" ht="15.75" customHeight="1" thickBot="1" x14ac:dyDescent="0.3">
      <c r="A720" s="9">
        <v>719</v>
      </c>
      <c r="B720" s="10" t="s">
        <v>1019</v>
      </c>
      <c r="C720" s="10" t="s">
        <v>61</v>
      </c>
      <c r="D720" s="10" t="s">
        <v>17</v>
      </c>
      <c r="E720" s="51">
        <v>-204.16092801146101</v>
      </c>
      <c r="F720" s="51">
        <v>8.6169882578877495</v>
      </c>
      <c r="G720" s="51">
        <v>12.613777736292</v>
      </c>
      <c r="H720" s="51">
        <v>0</v>
      </c>
      <c r="I720" s="11" t="s">
        <v>1057</v>
      </c>
      <c r="J720" s="51">
        <v>5.3915993848633104</v>
      </c>
      <c r="K720" s="249">
        <f>IFERROR(VLOOKUP(C720,Schedule!$T$3:$U$34,2,0),"FA")</f>
        <v>5</v>
      </c>
      <c r="L720" s="10" t="str">
        <f>D720&amp;COUNTIF(D$2:$D720,D720)</f>
        <v>WR208</v>
      </c>
      <c r="M720" s="51">
        <f t="array" ref="M720">IFERROR(F720-AVERAGE(VLOOKUP(D720,$D721:$F$885,3,0),INDEX($F721:$F$885,SMALL(IF(D720=$D721:$D$885,ROW($D721:$D$885)-ROW(D720)),2))),0)</f>
        <v>1.0258007835912402</v>
      </c>
      <c r="N720" s="51">
        <f>IFERROR(IF(VLOOKUP($B720,Input!$AC$2:$AC$162,1,0)=$B720,0),F720)</f>
        <v>8.6169882578877495</v>
      </c>
      <c r="O720" s="51">
        <f>IFERROR(IF(VLOOKUP($B720,Input!$AC$2:$AC$162,1,0)=$B720,0,G720),G720)</f>
        <v>12.613777736292</v>
      </c>
      <c r="P720" s="51">
        <f>IF(N720=0,0,F720-AVERAGE(INDEX(F:F,MATCH(VLOOKUP(D720,Input!$A$14:$L$22,10,0),L:L,0)),INDEX(F:F,MATCH(VLOOKUP(D720,Input!$A$14:$L$22,11,0),L:L,0)),INDEX(F:F,MATCH(VLOOKUP(D720,Input!$A$14:$L$22,12,0),L:L,0)))+(0.01-ROW()*0.01))</f>
        <v>-211.35092801146126</v>
      </c>
      <c r="Q720" s="107">
        <f t="shared" si="136"/>
        <v>-7.2914578222791862E-2</v>
      </c>
      <c r="R720" s="11">
        <f>IF(VLOOKUP($D720,$X$14:$Y$19,2,0)&lt;=0,1,IF(Q720&lt;0,1,ROUNDUP(IF(Q720*('Draft Center'!$L$28+'Draft Center'!$L$78-'Draft Center'!$L$82)&lt;1,1,Q720*('Draft Center'!$L$28+'Draft Center'!$L$78-'Draft Center'!$L$82)),0)))</f>
        <v>1</v>
      </c>
      <c r="S720" s="11">
        <f>IF(A720&lt;Input!$B$10+0.1,IF(ROUNDUP(R720*Input!$C$10,0)=0,1,ROUNDUP(R720*Input!$C$10,0)),IF(A720&gt;Input!$B$11,IF(ROUNDUP(R720*Input!$C$11,0)=0,1,ROUNDUP(R720*Input!$C$11,0)),IF(ROUNDUP(R720,0)=0,1,ROUNDUP(R720,0))))</f>
        <v>1</v>
      </c>
      <c r="T720" s="11">
        <f t="shared" si="137"/>
        <v>1</v>
      </c>
      <c r="U720" s="11">
        <f>IFERROR(VLOOKUP($B720,Input!$AC$2:$AE$161,3,0),0)</f>
        <v>0</v>
      </c>
      <c r="V720" s="257">
        <f t="shared" si="138"/>
        <v>0</v>
      </c>
      <c r="W720" s="264">
        <f t="shared" si="139"/>
        <v>0</v>
      </c>
      <c r="X720" s="68"/>
      <c r="Y720" s="68"/>
      <c r="Z720" s="68"/>
      <c r="AA720" s="68"/>
      <c r="AB720" s="68"/>
      <c r="AC720" s="68"/>
      <c r="AD720" s="68"/>
      <c r="AE720" s="68"/>
      <c r="AF720" s="68"/>
      <c r="AG720" s="68"/>
      <c r="AH720" s="68"/>
      <c r="AI720" s="68"/>
      <c r="AJ720" s="68">
        <v>1</v>
      </c>
      <c r="AL720" s="68">
        <v>1</v>
      </c>
      <c r="AM720" s="68"/>
      <c r="AN720" s="68"/>
      <c r="AO720" s="68"/>
      <c r="AQ720" s="68"/>
      <c r="AR720" s="68"/>
      <c r="AS720" s="68"/>
      <c r="AT720" s="68"/>
      <c r="AU720" s="68"/>
      <c r="AV720" s="68"/>
      <c r="AW720" s="68"/>
      <c r="AX720" s="68"/>
      <c r="AY720" s="68"/>
      <c r="AZ720" s="68"/>
      <c r="BB720" s="68"/>
      <c r="BC720" s="68"/>
      <c r="BJ720" s="68"/>
      <c r="BT720">
        <v>1</v>
      </c>
      <c r="BV720">
        <v>1</v>
      </c>
      <c r="BX720" s="68"/>
      <c r="BY720" s="68">
        <v>1</v>
      </c>
      <c r="BZ720" s="68" t="s">
        <v>1057</v>
      </c>
      <c r="CA720" s="68" t="s">
        <v>1057</v>
      </c>
      <c r="CB720" s="68" t="s">
        <v>1057</v>
      </c>
      <c r="CC720" s="68" t="e">
        <f t="shared" si="140"/>
        <v>#DIV/0!</v>
      </c>
      <c r="CD720" s="68" t="str">
        <f t="shared" si="141"/>
        <v>NA</v>
      </c>
    </row>
    <row r="721" spans="1:82" ht="15.75" customHeight="1" thickBot="1" x14ac:dyDescent="0.3">
      <c r="A721" s="6">
        <v>720</v>
      </c>
      <c r="B721" s="7" t="s">
        <v>1024</v>
      </c>
      <c r="C721" s="7" t="s">
        <v>45</v>
      </c>
      <c r="D721" s="7" t="s">
        <v>17</v>
      </c>
      <c r="E721" s="50">
        <v>-205.017876249106</v>
      </c>
      <c r="F721" s="50">
        <v>7.7600400202428199</v>
      </c>
      <c r="G721" s="50">
        <v>13.0136433189447</v>
      </c>
      <c r="H721" s="50">
        <v>-0.33733860474230798</v>
      </c>
      <c r="I721" s="8" t="s">
        <v>1057</v>
      </c>
      <c r="J721" s="50">
        <v>2.3436100108663198</v>
      </c>
      <c r="K721" s="248">
        <f>IFERROR(VLOOKUP(C721,Schedule!$T$3:$U$34,2,0),"FA")</f>
        <v>6</v>
      </c>
      <c r="L721" s="7" t="str">
        <f>D721&amp;COUNTIF(D$2:$D721,D721)</f>
        <v>WR209</v>
      </c>
      <c r="M721" s="50">
        <f t="array" ref="M721">IFERROR(F721-AVERAGE(VLOOKUP(D721,$D722:$F$885,3,0),INDEX($F722:$F$885,SMALL(IF(D721=$D722:$D$885,ROW($D722:$D$885)-ROW(D721)),2))),0)</f>
        <v>0.52735403754920007</v>
      </c>
      <c r="N721" s="50">
        <f>IFERROR(IF(VLOOKUP($B721,Input!$AC$2:$AC$162,1,0)=$B721,0),F721)</f>
        <v>7.7600400202428199</v>
      </c>
      <c r="O721" s="50">
        <f>IFERROR(IF(VLOOKUP($B721,Input!$AC$2:$AC$162,1,0)=$B721,0,G721),G721)</f>
        <v>13.0136433189447</v>
      </c>
      <c r="P721" s="50">
        <f>IF(N721=0,0,F721-AVERAGE(INDEX(F:F,MATCH(VLOOKUP(D721,Input!$A$14:$L$22,10,0),L:L,0)),INDEX(F:F,MATCH(VLOOKUP(D721,Input!$A$14:$L$22,11,0),L:L,0)),INDEX(F:F,MATCH(VLOOKUP(D721,Input!$A$14:$L$22,12,0),L:L,0)))+(0.01-ROW()*0.01))</f>
        <v>-212.21787624910618</v>
      </c>
      <c r="Q721" s="106">
        <f t="shared" si="136"/>
        <v>-7.3213669244930377E-2</v>
      </c>
      <c r="R721" s="8">
        <f>IF(VLOOKUP($D721,$X$14:$Y$19,2,0)&lt;=0,1,IF(Q721&lt;0,1,ROUNDUP(IF(Q721*('Draft Center'!$L$28+'Draft Center'!$L$78-'Draft Center'!$L$82)&lt;1,1,Q721*('Draft Center'!$L$28+'Draft Center'!$L$78-'Draft Center'!$L$82)),0)))</f>
        <v>1</v>
      </c>
      <c r="S721" s="8">
        <f>IF(A721&lt;Input!$B$10+0.1,IF(ROUNDUP(R721*Input!$C$10,0)=0,1,ROUNDUP(R721*Input!$C$10,0)),IF(A721&gt;Input!$B$11,IF(ROUNDUP(R721*Input!$C$11,0)=0,1,ROUNDUP(R721*Input!$C$11,0)),IF(ROUNDUP(R721,0)=0,1,ROUNDUP(R721,0))))</f>
        <v>1</v>
      </c>
      <c r="T721" s="8">
        <f t="shared" si="137"/>
        <v>1</v>
      </c>
      <c r="U721" s="8">
        <f>IFERROR(VLOOKUP($B721,Input!$AC$2:$AE$161,3,0),0)</f>
        <v>0</v>
      </c>
      <c r="V721" s="256">
        <f t="shared" si="138"/>
        <v>0</v>
      </c>
      <c r="W721" s="263">
        <f t="shared" si="139"/>
        <v>0</v>
      </c>
      <c r="X721" s="68"/>
      <c r="Y721" s="68"/>
      <c r="Z721" s="68"/>
      <c r="AA721" s="68"/>
      <c r="AB721" s="68"/>
      <c r="AC721" s="68"/>
      <c r="AD721" s="68"/>
      <c r="AE721" s="68"/>
      <c r="AF721" s="68"/>
      <c r="AG721" s="68"/>
      <c r="AH721" s="68"/>
      <c r="AI721" s="68"/>
      <c r="AJ721" s="68">
        <v>1</v>
      </c>
      <c r="AL721" s="68">
        <v>1</v>
      </c>
      <c r="AM721" s="68"/>
      <c r="AN721" s="68"/>
      <c r="AO721" s="68"/>
      <c r="AQ721" s="68"/>
      <c r="AR721" s="68"/>
      <c r="AS721" s="68"/>
      <c r="AT721" s="68"/>
      <c r="AU721" s="68"/>
      <c r="AV721" s="68"/>
      <c r="AW721" s="68"/>
      <c r="AX721" s="68"/>
      <c r="AY721" s="68"/>
      <c r="AZ721" s="68"/>
      <c r="BB721" s="68"/>
      <c r="BC721" s="68"/>
      <c r="BJ721" s="68"/>
      <c r="BT721">
        <v>1</v>
      </c>
      <c r="BV721">
        <v>1</v>
      </c>
      <c r="BX721" s="68"/>
      <c r="BY721" s="68">
        <v>1</v>
      </c>
      <c r="BZ721" s="68" t="s">
        <v>1057</v>
      </c>
      <c r="CA721" s="68" t="s">
        <v>1057</v>
      </c>
      <c r="CB721" s="68" t="s">
        <v>1057</v>
      </c>
      <c r="CC721" s="68" t="e">
        <f t="shared" si="140"/>
        <v>#DIV/0!</v>
      </c>
      <c r="CD721" s="68" t="str">
        <f t="shared" si="141"/>
        <v>NA</v>
      </c>
    </row>
    <row r="722" spans="1:82" ht="15.75" customHeight="1" thickBot="1" x14ac:dyDescent="0.3">
      <c r="A722" s="9">
        <v>721</v>
      </c>
      <c r="B722" s="10" t="s">
        <v>370</v>
      </c>
      <c r="C722" s="10" t="s">
        <v>61</v>
      </c>
      <c r="D722" s="10" t="s">
        <v>17</v>
      </c>
      <c r="E722" s="51">
        <v>-205.35558134099901</v>
      </c>
      <c r="F722" s="51">
        <v>7.4223349283501996</v>
      </c>
      <c r="G722" s="51">
        <v>17.0351846349798</v>
      </c>
      <c r="H722" s="51">
        <v>-0.32119514472455601</v>
      </c>
      <c r="I722" s="11" t="s">
        <v>1057</v>
      </c>
      <c r="J722" s="51">
        <v>3.8025685929688802</v>
      </c>
      <c r="K722" s="249">
        <f>IFERROR(VLOOKUP(C722,Schedule!$T$3:$U$34,2,0),"FA")</f>
        <v>5</v>
      </c>
      <c r="L722" s="10" t="str">
        <f>D722&amp;COUNTIF(D$2:$D722,D722)</f>
        <v>WR210</v>
      </c>
      <c r="M722" s="51">
        <f t="array" ref="M722">IFERROR(F722-AVERAGE(VLOOKUP(D722,$D723:$F$885,3,0),INDEX($F723:$F$885,SMALL(IF(D722=$D723:$D$885,ROW($D723:$D$885)-ROW(D722)),2))),0)</f>
        <v>0.5486658721972697</v>
      </c>
      <c r="N722" s="51">
        <f>IFERROR(IF(VLOOKUP($B722,Input!$AC$2:$AC$162,1,0)=$B722,0),F722)</f>
        <v>7.4223349283501996</v>
      </c>
      <c r="O722" s="51">
        <f>IFERROR(IF(VLOOKUP($B722,Input!$AC$2:$AC$162,1,0)=$B722,0,G722),G722)</f>
        <v>17.0351846349798</v>
      </c>
      <c r="P722" s="51">
        <f>IF(N722=0,0,F722-AVERAGE(INDEX(F:F,MATCH(VLOOKUP(D722,Input!$A$14:$L$22,10,0),L:L,0)),INDEX(F:F,MATCH(VLOOKUP(D722,Input!$A$14:$L$22,11,0),L:L,0)),INDEX(F:F,MATCH(VLOOKUP(D722,Input!$A$14:$L$22,12,0),L:L,0)))+(0.01-ROW()*0.01))</f>
        <v>-212.56558134099882</v>
      </c>
      <c r="Q722" s="107">
        <f t="shared" si="136"/>
        <v>-7.3333625047158485E-2</v>
      </c>
      <c r="R722" s="11">
        <f>IF(VLOOKUP($D722,$X$14:$Y$19,2,0)&lt;=0,1,IF(Q722&lt;0,1,ROUNDUP(IF(Q722*('Draft Center'!$L$28+'Draft Center'!$L$78-'Draft Center'!$L$82)&lt;1,1,Q722*('Draft Center'!$L$28+'Draft Center'!$L$78-'Draft Center'!$L$82)),0)))</f>
        <v>1</v>
      </c>
      <c r="S722" s="11">
        <f>IF(A722&lt;Input!$B$10+0.1,IF(ROUNDUP(R722*Input!$C$10,0)=0,1,ROUNDUP(R722*Input!$C$10,0)),IF(A722&gt;Input!$B$11,IF(ROUNDUP(R722*Input!$C$11,0)=0,1,ROUNDUP(R722*Input!$C$11,0)),IF(ROUNDUP(R722,0)=0,1,ROUNDUP(R722,0))))</f>
        <v>1</v>
      </c>
      <c r="T722" s="11">
        <f t="shared" si="137"/>
        <v>1</v>
      </c>
      <c r="U722" s="11">
        <f>IFERROR(VLOOKUP($B722,Input!$AC$2:$AE$161,3,0),0)</f>
        <v>0</v>
      </c>
      <c r="V722" s="257">
        <f t="shared" si="138"/>
        <v>0</v>
      </c>
      <c r="W722" s="264">
        <f t="shared" si="139"/>
        <v>0</v>
      </c>
      <c r="X722" s="68"/>
      <c r="Y722" s="68"/>
      <c r="Z722" s="68"/>
      <c r="AA722" s="68"/>
      <c r="AB722" s="68"/>
      <c r="AC722" s="68"/>
      <c r="AD722" s="68"/>
      <c r="AE722" s="68"/>
      <c r="AF722" s="68"/>
      <c r="AG722" s="68"/>
      <c r="AH722" s="68"/>
      <c r="AI722" s="68"/>
      <c r="AJ722" s="68">
        <v>1</v>
      </c>
      <c r="AL722" s="68">
        <v>1</v>
      </c>
      <c r="AM722" s="68"/>
      <c r="AN722" s="68"/>
      <c r="AO722" s="68"/>
      <c r="AQ722" s="68"/>
      <c r="AR722" s="68"/>
      <c r="AS722" s="68"/>
      <c r="AT722" s="68"/>
      <c r="AU722" s="68"/>
      <c r="AV722" s="68"/>
      <c r="AW722" s="68"/>
      <c r="AX722" s="68"/>
      <c r="AY722" s="68"/>
      <c r="AZ722" s="68"/>
      <c r="BB722" s="68"/>
      <c r="BC722" s="68"/>
      <c r="BJ722" s="68"/>
      <c r="BT722">
        <v>1</v>
      </c>
      <c r="BV722">
        <v>1</v>
      </c>
      <c r="BX722" s="68"/>
      <c r="BY722" s="68">
        <v>1</v>
      </c>
      <c r="BZ722" s="68" t="s">
        <v>1057</v>
      </c>
      <c r="CA722" s="68" t="s">
        <v>1057</v>
      </c>
      <c r="CB722" s="68" t="s">
        <v>1057</v>
      </c>
      <c r="CC722" s="68" t="e">
        <f t="shared" si="140"/>
        <v>#DIV/0!</v>
      </c>
      <c r="CD722" s="68" t="str">
        <f t="shared" si="141"/>
        <v>NA</v>
      </c>
    </row>
    <row r="723" spans="1:82" ht="15.75" customHeight="1" thickBot="1" x14ac:dyDescent="0.3">
      <c r="A723" s="6">
        <v>722</v>
      </c>
      <c r="B723" s="7" t="s">
        <v>807</v>
      </c>
      <c r="C723" s="7" t="s">
        <v>925</v>
      </c>
      <c r="D723" s="7" t="s">
        <v>17</v>
      </c>
      <c r="E723" s="50">
        <v>-205.73487923231201</v>
      </c>
      <c r="F723" s="50">
        <v>7.0430370370370401</v>
      </c>
      <c r="G723" s="50">
        <v>12.148013981762899</v>
      </c>
      <c r="H723" s="50">
        <v>0</v>
      </c>
      <c r="I723" s="8" t="s">
        <v>1057</v>
      </c>
      <c r="J723" s="50">
        <v>6.9852787865508699</v>
      </c>
      <c r="K723" s="248">
        <f>IFERROR(VLOOKUP(C723,Schedule!$T$3:$U$34,2,0),"FA")</f>
        <v>8</v>
      </c>
      <c r="L723" s="7" t="str">
        <f>D723&amp;COUNTIF(D$2:$D723,D723)</f>
        <v>WR211</v>
      </c>
      <c r="M723" s="50">
        <f t="array" ref="M723">IFERROR(F723-AVERAGE(VLOOKUP(D723,$D724:$F$885,3,0),INDEX($F724:$F$885,SMALL(IF(D723=$D724:$D$885,ROW($D724:$D$885)-ROW(D723)),2))),0)</f>
        <v>0.45516768915256023</v>
      </c>
      <c r="N723" s="50">
        <f>IFERROR(IF(VLOOKUP($B723,Input!$AC$2:$AC$162,1,0)=$B723,0),F723)</f>
        <v>7.0430370370370401</v>
      </c>
      <c r="O723" s="50">
        <f>IFERROR(IF(VLOOKUP($B723,Input!$AC$2:$AC$162,1,0)=$B723,0,G723),G723)</f>
        <v>12.148013981762899</v>
      </c>
      <c r="P723" s="50">
        <f>IF(N723=0,0,F723-AVERAGE(INDEX(F:F,MATCH(VLOOKUP(D723,Input!$A$14:$L$22,10,0),L:L,0)),INDEX(F:F,MATCH(VLOOKUP(D723,Input!$A$14:$L$22,11,0),L:L,0)),INDEX(F:F,MATCH(VLOOKUP(D723,Input!$A$14:$L$22,12,0),L:L,0)))+(0.01-ROW()*0.01))</f>
        <v>-212.95487923231198</v>
      </c>
      <c r="Q723" s="106">
        <f t="shared" si="136"/>
        <v>-7.3467930071580145E-2</v>
      </c>
      <c r="R723" s="8">
        <f>IF(VLOOKUP($D723,$X$14:$Y$19,2,0)&lt;=0,1,IF(Q723&lt;0,1,ROUNDUP(IF(Q723*('Draft Center'!$L$28+'Draft Center'!$L$78-'Draft Center'!$L$82)&lt;1,1,Q723*('Draft Center'!$L$28+'Draft Center'!$L$78-'Draft Center'!$L$82)),0)))</f>
        <v>1</v>
      </c>
      <c r="S723" s="8">
        <f>IF(A723&lt;Input!$B$10+0.1,IF(ROUNDUP(R723*Input!$C$10,0)=0,1,ROUNDUP(R723*Input!$C$10,0)),IF(A723&gt;Input!$B$11,IF(ROUNDUP(R723*Input!$C$11,0)=0,1,ROUNDUP(R723*Input!$C$11,0)),IF(ROUNDUP(R723,0)=0,1,ROUNDUP(R723,0))))</f>
        <v>1</v>
      </c>
      <c r="T723" s="8">
        <f t="shared" si="137"/>
        <v>1</v>
      </c>
      <c r="U723" s="8">
        <f>IFERROR(VLOOKUP($B723,Input!$AC$2:$AE$161,3,0),0)</f>
        <v>0</v>
      </c>
      <c r="V723" s="256">
        <f t="shared" si="138"/>
        <v>0</v>
      </c>
      <c r="W723" s="263">
        <f t="shared" si="139"/>
        <v>0</v>
      </c>
      <c r="X723" s="68"/>
      <c r="Y723" s="68"/>
      <c r="Z723" s="68"/>
      <c r="AA723" s="68"/>
      <c r="AB723" s="68"/>
      <c r="AC723" s="68"/>
      <c r="AD723" s="68"/>
      <c r="AE723" s="68"/>
      <c r="AF723" s="68"/>
      <c r="AG723" s="68"/>
      <c r="AH723" s="68"/>
      <c r="AI723" s="68"/>
      <c r="AJ723" s="68">
        <v>1</v>
      </c>
      <c r="AL723" s="68">
        <v>1</v>
      </c>
      <c r="AM723" s="68"/>
      <c r="AN723" s="68"/>
      <c r="AO723" s="68"/>
      <c r="AQ723" s="68"/>
      <c r="AR723" s="68"/>
      <c r="AS723" s="68"/>
      <c r="AT723" s="68"/>
      <c r="AU723" s="68"/>
      <c r="AV723" s="68"/>
      <c r="AW723" s="68"/>
      <c r="AX723" s="68"/>
      <c r="AY723" s="68"/>
      <c r="AZ723" s="68"/>
      <c r="BB723" s="68"/>
      <c r="BC723" s="68"/>
      <c r="BJ723" s="68"/>
      <c r="BT723">
        <v>1</v>
      </c>
      <c r="BV723">
        <v>1</v>
      </c>
      <c r="BX723" s="68"/>
      <c r="BY723" s="68">
        <v>1</v>
      </c>
      <c r="BZ723" s="68" t="s">
        <v>1057</v>
      </c>
      <c r="CA723" s="68" t="s">
        <v>1057</v>
      </c>
      <c r="CB723" s="68" t="s">
        <v>1057</v>
      </c>
      <c r="CC723" s="68" t="e">
        <f t="shared" si="140"/>
        <v>#DIV/0!</v>
      </c>
      <c r="CD723" s="68" t="str">
        <f t="shared" si="141"/>
        <v>NA</v>
      </c>
    </row>
    <row r="724" spans="1:82" ht="15.75" customHeight="1" thickBot="1" x14ac:dyDescent="0.3">
      <c r="A724" s="9">
        <v>723</v>
      </c>
      <c r="B724" s="10" t="s">
        <v>514</v>
      </c>
      <c r="C724" s="10" t="s">
        <v>311</v>
      </c>
      <c r="D724" s="10" t="s">
        <v>17</v>
      </c>
      <c r="E724" s="51">
        <v>-206.07361519407999</v>
      </c>
      <c r="F724" s="51">
        <v>6.7043010752688197</v>
      </c>
      <c r="G724" s="51">
        <v>10.8425028132033</v>
      </c>
      <c r="H724" s="51">
        <v>0</v>
      </c>
      <c r="I724" s="11" t="s">
        <v>1057</v>
      </c>
      <c r="J724" s="51">
        <v>3.3428493231755598</v>
      </c>
      <c r="K724" s="249" t="str">
        <f>IFERROR(VLOOKUP(C724,Schedule!$T$3:$U$34,2,0),"FA")</f>
        <v>FA</v>
      </c>
      <c r="L724" s="10" t="str">
        <f>D724&amp;COUNTIF(D$2:$D724,D724)</f>
        <v>WR212</v>
      </c>
      <c r="M724" s="51">
        <f t="array" ref="M724">IFERROR(F724-AVERAGE(VLOOKUP(D724,$D725:$F$885,3,0),INDEX($F725:$F$885,SMALL(IF(D724=$D725:$D$885,ROW($D725:$D$885)-ROW(D724)),2))),0)</f>
        <v>0.24987149174859979</v>
      </c>
      <c r="N724" s="51">
        <f>IFERROR(IF(VLOOKUP($B724,Input!$AC$2:$AC$162,1,0)=$B724,0),F724)</f>
        <v>6.7043010752688197</v>
      </c>
      <c r="O724" s="51">
        <f>IFERROR(IF(VLOOKUP($B724,Input!$AC$2:$AC$162,1,0)=$B724,0,G724),G724)</f>
        <v>10.8425028132033</v>
      </c>
      <c r="P724" s="51">
        <f>IF(N724=0,0,F724-AVERAGE(INDEX(F:F,MATCH(VLOOKUP(D724,Input!$A$14:$L$22,10,0),L:L,0)),INDEX(F:F,MATCH(VLOOKUP(D724,Input!$A$14:$L$22,11,0),L:L,0)),INDEX(F:F,MATCH(VLOOKUP(D724,Input!$A$14:$L$22,12,0),L:L,0)))+(0.01-ROW()*0.01))</f>
        <v>-213.30361519408018</v>
      </c>
      <c r="Q724" s="107">
        <f t="shared" si="136"/>
        <v>-7.3588241516638342E-2</v>
      </c>
      <c r="R724" s="11">
        <f>IF(VLOOKUP($D724,$X$14:$Y$19,2,0)&lt;=0,1,IF(Q724&lt;0,1,ROUNDUP(IF(Q724*('Draft Center'!$L$28+'Draft Center'!$L$78-'Draft Center'!$L$82)&lt;1,1,Q724*('Draft Center'!$L$28+'Draft Center'!$L$78-'Draft Center'!$L$82)),0)))</f>
        <v>1</v>
      </c>
      <c r="S724" s="11">
        <f>IF(A724&lt;Input!$B$10+0.1,IF(ROUNDUP(R724*Input!$C$10,0)=0,1,ROUNDUP(R724*Input!$C$10,0)),IF(A724&gt;Input!$B$11,IF(ROUNDUP(R724*Input!$C$11,0)=0,1,ROUNDUP(R724*Input!$C$11,0)),IF(ROUNDUP(R724,0)=0,1,ROUNDUP(R724,0))))</f>
        <v>1</v>
      </c>
      <c r="T724" s="11">
        <f t="shared" si="137"/>
        <v>1</v>
      </c>
      <c r="U724" s="11">
        <f>IFERROR(VLOOKUP($B724,Input!$AC$2:$AE$161,3,0),0)</f>
        <v>0</v>
      </c>
      <c r="V724" s="257">
        <f t="shared" si="138"/>
        <v>0</v>
      </c>
      <c r="W724" s="264">
        <f t="shared" si="139"/>
        <v>0</v>
      </c>
      <c r="X724" s="68"/>
      <c r="Y724" s="68"/>
      <c r="Z724" s="68"/>
      <c r="AA724" s="68"/>
      <c r="AB724" s="68"/>
      <c r="AC724" s="68"/>
      <c r="AD724" s="68"/>
      <c r="AE724" s="68"/>
      <c r="AF724" s="68"/>
      <c r="AG724" s="68"/>
      <c r="AH724" s="68"/>
      <c r="AI724" s="68"/>
      <c r="AJ724" s="68">
        <v>1</v>
      </c>
      <c r="AL724" s="68">
        <v>1</v>
      </c>
      <c r="AM724" s="68"/>
      <c r="AN724" s="68"/>
      <c r="AO724" s="68"/>
      <c r="AQ724" s="68"/>
      <c r="AR724" s="68"/>
      <c r="AS724" s="68"/>
      <c r="AT724" s="68"/>
      <c r="AU724" s="68"/>
      <c r="AV724" s="68"/>
      <c r="AW724" s="68"/>
      <c r="AX724" s="68"/>
      <c r="AY724" s="68"/>
      <c r="AZ724" s="68"/>
      <c r="BB724" s="68"/>
      <c r="BC724" s="68"/>
      <c r="BJ724" s="68"/>
      <c r="BT724">
        <v>1</v>
      </c>
      <c r="BV724">
        <v>1</v>
      </c>
      <c r="BX724" s="68"/>
      <c r="BY724" s="68">
        <v>1</v>
      </c>
      <c r="BZ724" s="68" t="s">
        <v>1057</v>
      </c>
      <c r="CA724" s="68" t="s">
        <v>1057</v>
      </c>
      <c r="CB724" s="68" t="s">
        <v>1057</v>
      </c>
      <c r="CC724" s="68" t="e">
        <f t="shared" si="140"/>
        <v>#DIV/0!</v>
      </c>
      <c r="CD724" s="68" t="str">
        <f t="shared" si="141"/>
        <v>NA</v>
      </c>
    </row>
    <row r="725" spans="1:82" ht="15.75" customHeight="1" thickBot="1" x14ac:dyDescent="0.3">
      <c r="A725" s="6">
        <v>724</v>
      </c>
      <c r="B725" s="7" t="s">
        <v>493</v>
      </c>
      <c r="C725" s="7" t="s">
        <v>80</v>
      </c>
      <c r="D725" s="7" t="s">
        <v>17</v>
      </c>
      <c r="E725" s="50">
        <v>-206.30647864884901</v>
      </c>
      <c r="F725" s="50">
        <v>6.47143762050014</v>
      </c>
      <c r="G725" s="50">
        <v>14.927489906926001</v>
      </c>
      <c r="H725" s="50">
        <v>-9.1953017832647505E-2</v>
      </c>
      <c r="I725" s="8" t="s">
        <v>1057</v>
      </c>
      <c r="J725" s="50">
        <v>5.6871469124268197</v>
      </c>
      <c r="K725" s="248">
        <f>IFERROR(VLOOKUP(C725,Schedule!$T$3:$U$34,2,0),"FA")</f>
        <v>11</v>
      </c>
      <c r="L725" s="7" t="str">
        <f>D725&amp;COUNTIF(D$2:$D725,D725)</f>
        <v>WR213</v>
      </c>
      <c r="M725" s="50">
        <f t="array" ref="M725">IFERROR(F725-AVERAGE(VLOOKUP(D725,$D726:$F$885,3,0),INDEX($F726:$F$885,SMALL(IF(D725=$D726:$D$885,ROW($D726:$D$885)-ROW(D725)),2))),0)</f>
        <v>0.4740177902738747</v>
      </c>
      <c r="N725" s="50">
        <f>IFERROR(IF(VLOOKUP($B725,Input!$AC$2:$AC$162,1,0)=$B725,0),F725)</f>
        <v>6.47143762050014</v>
      </c>
      <c r="O725" s="50">
        <f>IFERROR(IF(VLOOKUP($B725,Input!$AC$2:$AC$162,1,0)=$B725,0,G725),G725)</f>
        <v>14.927489906926001</v>
      </c>
      <c r="P725" s="50">
        <f>IF(N725=0,0,F725-AVERAGE(INDEX(F:F,MATCH(VLOOKUP(D725,Input!$A$14:$L$22,10,0),L:L,0)),INDEX(F:F,MATCH(VLOOKUP(D725,Input!$A$14:$L$22,11,0),L:L,0)),INDEX(F:F,MATCH(VLOOKUP(D725,Input!$A$14:$L$22,12,0),L:L,0)))+(0.01-ROW()*0.01))</f>
        <v>-213.5464786488489</v>
      </c>
      <c r="Q725" s="106">
        <f t="shared" si="136"/>
        <v>-7.367202769414323E-2</v>
      </c>
      <c r="R725" s="8">
        <f>IF(VLOOKUP($D725,$X$14:$Y$19,2,0)&lt;=0,1,IF(Q725&lt;0,1,ROUNDUP(IF(Q725*('Draft Center'!$L$28+'Draft Center'!$L$78-'Draft Center'!$L$82)&lt;1,1,Q725*('Draft Center'!$L$28+'Draft Center'!$L$78-'Draft Center'!$L$82)),0)))</f>
        <v>1</v>
      </c>
      <c r="S725" s="8">
        <f>IF(A725&lt;Input!$B$10+0.1,IF(ROUNDUP(R725*Input!$C$10,0)=0,1,ROUNDUP(R725*Input!$C$10,0)),IF(A725&gt;Input!$B$11,IF(ROUNDUP(R725*Input!$C$11,0)=0,1,ROUNDUP(R725*Input!$C$11,0)),IF(ROUNDUP(R725,0)=0,1,ROUNDUP(R725,0))))</f>
        <v>1</v>
      </c>
      <c r="T725" s="8">
        <f t="shared" si="137"/>
        <v>1</v>
      </c>
      <c r="U725" s="8">
        <f>IFERROR(VLOOKUP($B725,Input!$AC$2:$AE$161,3,0),0)</f>
        <v>0</v>
      </c>
      <c r="V725" s="256">
        <f t="shared" si="138"/>
        <v>0</v>
      </c>
      <c r="W725" s="263">
        <f t="shared" si="139"/>
        <v>0</v>
      </c>
      <c r="X725" s="68"/>
      <c r="Y725" s="68"/>
      <c r="Z725" s="68"/>
      <c r="AA725" s="68"/>
      <c r="AB725" s="68"/>
      <c r="AC725" s="68"/>
      <c r="AD725" s="68"/>
      <c r="AE725" s="68"/>
      <c r="AF725" s="68"/>
      <c r="AG725" s="68"/>
      <c r="AH725" s="68"/>
      <c r="AI725" s="68"/>
      <c r="AJ725" s="68">
        <v>1</v>
      </c>
      <c r="AL725" s="68">
        <v>1</v>
      </c>
      <c r="AM725" s="68"/>
      <c r="AN725" s="68"/>
      <c r="AO725" s="68"/>
      <c r="AQ725" s="68"/>
      <c r="AR725" s="68"/>
      <c r="AS725" s="68"/>
      <c r="AT725" s="68"/>
      <c r="AU725" s="68"/>
      <c r="AV725" s="68"/>
      <c r="AW725" s="68"/>
      <c r="AX725" s="68"/>
      <c r="AY725" s="68"/>
      <c r="AZ725" s="68"/>
      <c r="BB725" s="68"/>
      <c r="BC725" s="68"/>
      <c r="BJ725" s="68"/>
      <c r="BT725">
        <v>1</v>
      </c>
      <c r="BV725">
        <v>1</v>
      </c>
      <c r="BX725" s="68"/>
      <c r="BY725" s="68">
        <v>1</v>
      </c>
      <c r="BZ725" s="68" t="s">
        <v>1057</v>
      </c>
      <c r="CA725" s="68" t="s">
        <v>1057</v>
      </c>
      <c r="CB725" s="68" t="s">
        <v>1057</v>
      </c>
      <c r="CC725" s="68" t="e">
        <f t="shared" si="140"/>
        <v>#DIV/0!</v>
      </c>
      <c r="CD725" s="68" t="str">
        <f t="shared" si="141"/>
        <v>NA</v>
      </c>
    </row>
    <row r="726" spans="1:82" ht="15.75" customHeight="1" thickBot="1" x14ac:dyDescent="0.3">
      <c r="A726" s="9">
        <v>725</v>
      </c>
      <c r="B726" s="10" t="s">
        <v>512</v>
      </c>
      <c r="C726" s="10" t="s">
        <v>143</v>
      </c>
      <c r="D726" s="10" t="s">
        <v>17</v>
      </c>
      <c r="E726" s="51">
        <v>-206.34049472280901</v>
      </c>
      <c r="F726" s="51">
        <v>6.4374215465402997</v>
      </c>
      <c r="G726" s="51">
        <v>14.1077446728774</v>
      </c>
      <c r="H726" s="51">
        <v>-0.282679563343676</v>
      </c>
      <c r="I726" s="11" t="s">
        <v>1057</v>
      </c>
      <c r="J726" s="51">
        <v>5.2111224314898097</v>
      </c>
      <c r="K726" s="249">
        <f>IFERROR(VLOOKUP(C726,Schedule!$T$3:$U$34,2,0),"FA")</f>
        <v>9</v>
      </c>
      <c r="L726" s="10" t="str">
        <f>D726&amp;COUNTIF(D$2:$D726,D726)</f>
        <v>WR214</v>
      </c>
      <c r="M726" s="51">
        <f t="array" ref="M726">IFERROR(F726-AVERAGE(VLOOKUP(D726,$D727:$F$885,3,0),INDEX($F727:$F$885,SMALL(IF(D726=$D727:$D$885,ROW($D727:$D$885)-ROW(D726)),2))),0)</f>
        <v>1.2796369814892401</v>
      </c>
      <c r="N726" s="51">
        <f>IFERROR(IF(VLOOKUP($B726,Input!$AC$2:$AC$162,1,0)=$B726,0),F726)</f>
        <v>6.4374215465402997</v>
      </c>
      <c r="O726" s="51">
        <f>IFERROR(IF(VLOOKUP($B726,Input!$AC$2:$AC$162,1,0)=$B726,0,G726),G726)</f>
        <v>14.1077446728774</v>
      </c>
      <c r="P726" s="51">
        <f>IF(N726=0,0,F726-AVERAGE(INDEX(F:F,MATCH(VLOOKUP(D726,Input!$A$14:$L$22,10,0),L:L,0)),INDEX(F:F,MATCH(VLOOKUP(D726,Input!$A$14:$L$22,11,0),L:L,0)),INDEX(F:F,MATCH(VLOOKUP(D726,Input!$A$14:$L$22,12,0),L:L,0)))+(0.01-ROW()*0.01))</f>
        <v>-213.59049472280873</v>
      </c>
      <c r="Q726" s="107">
        <f t="shared" si="136"/>
        <v>-7.3687212928946783E-2</v>
      </c>
      <c r="R726" s="11">
        <f>IF(VLOOKUP($D726,$X$14:$Y$19,2,0)&lt;=0,1,IF(Q726&lt;0,1,ROUNDUP(IF(Q726*('Draft Center'!$L$28+'Draft Center'!$L$78-'Draft Center'!$L$82)&lt;1,1,Q726*('Draft Center'!$L$28+'Draft Center'!$L$78-'Draft Center'!$L$82)),0)))</f>
        <v>1</v>
      </c>
      <c r="S726" s="11">
        <f>IF(A726&lt;Input!$B$10+0.1,IF(ROUNDUP(R726*Input!$C$10,0)=0,1,ROUNDUP(R726*Input!$C$10,0)),IF(A726&gt;Input!$B$11,IF(ROUNDUP(R726*Input!$C$11,0)=0,1,ROUNDUP(R726*Input!$C$11,0)),IF(ROUNDUP(R726,0)=0,1,ROUNDUP(R726,0))))</f>
        <v>1</v>
      </c>
      <c r="T726" s="11">
        <f t="shared" si="137"/>
        <v>1</v>
      </c>
      <c r="U726" s="11">
        <f>IFERROR(VLOOKUP($B726,Input!$AC$2:$AE$161,3,0),0)</f>
        <v>0</v>
      </c>
      <c r="V726" s="257">
        <f t="shared" si="138"/>
        <v>0</v>
      </c>
      <c r="W726" s="264">
        <f t="shared" si="139"/>
        <v>0</v>
      </c>
      <c r="X726" s="68"/>
      <c r="Y726" s="68"/>
      <c r="Z726" s="68"/>
      <c r="AA726" s="68"/>
      <c r="AB726" s="68"/>
      <c r="AC726" s="68"/>
      <c r="AD726" s="68"/>
      <c r="AE726" s="68"/>
      <c r="AF726" s="68"/>
      <c r="AG726" s="68"/>
      <c r="AH726" s="68"/>
      <c r="AI726" s="68"/>
      <c r="AJ726" s="68">
        <v>1</v>
      </c>
      <c r="AL726" s="68">
        <v>1</v>
      </c>
      <c r="AM726" s="68"/>
      <c r="AN726" s="68"/>
      <c r="AO726" s="68"/>
      <c r="AQ726" s="68"/>
      <c r="AR726" s="68"/>
      <c r="AS726" s="68"/>
      <c r="AT726" s="68"/>
      <c r="AU726" s="68"/>
      <c r="AV726" s="68"/>
      <c r="AW726" s="68"/>
      <c r="AX726" s="68"/>
      <c r="AY726" s="68"/>
      <c r="AZ726" s="68"/>
      <c r="BB726" s="68"/>
      <c r="BC726" s="68"/>
      <c r="BJ726" s="68"/>
      <c r="BT726">
        <v>1</v>
      </c>
      <c r="BV726">
        <v>1</v>
      </c>
      <c r="BX726" s="68"/>
      <c r="BY726" s="68">
        <v>1</v>
      </c>
      <c r="BZ726" s="68" t="s">
        <v>1057</v>
      </c>
      <c r="CA726" s="68" t="s">
        <v>1057</v>
      </c>
      <c r="CB726" s="68" t="s">
        <v>1057</v>
      </c>
      <c r="CC726" s="68" t="e">
        <f t="shared" si="140"/>
        <v>#DIV/0!</v>
      </c>
      <c r="CD726" s="68" t="str">
        <f t="shared" si="141"/>
        <v>NA</v>
      </c>
    </row>
    <row r="727" spans="1:82" ht="15.75" customHeight="1" thickBot="1" x14ac:dyDescent="0.3">
      <c r="A727" s="6">
        <v>726</v>
      </c>
      <c r="B727" s="7" t="s">
        <v>513</v>
      </c>
      <c r="C727" s="7" t="s">
        <v>95</v>
      </c>
      <c r="D727" s="7" t="s">
        <v>17</v>
      </c>
      <c r="E727" s="50">
        <v>-207.22049815543701</v>
      </c>
      <c r="F727" s="50">
        <v>5.5574181139122301</v>
      </c>
      <c r="G727" s="50">
        <v>11.6486850152905</v>
      </c>
      <c r="H727" s="50">
        <v>-6.4239028944911306E-2</v>
      </c>
      <c r="I727" s="8" t="s">
        <v>1057</v>
      </c>
      <c r="J727" s="50">
        <v>4.5570338957062599</v>
      </c>
      <c r="K727" s="248">
        <f>IFERROR(VLOOKUP(C727,Schedule!$T$3:$U$34,2,0),"FA")</f>
        <v>8</v>
      </c>
      <c r="L727" s="7" t="str">
        <f>D727&amp;COUNTIF(D$2:$D727,D727)</f>
        <v>WR215</v>
      </c>
      <c r="M727" s="50">
        <f t="array" ref="M727">IFERROR(F727-AVERAGE(VLOOKUP(D727,$D728:$F$885,3,0),INDEX($F728:$F$885,SMALL(IF(D727=$D728:$D$885,ROW($D728:$D$885)-ROW(D727)),2))),0)</f>
        <v>0.84334260581728504</v>
      </c>
      <c r="N727" s="50">
        <f>IFERROR(IF(VLOOKUP($B727,Input!$AC$2:$AC$162,1,0)=$B727,0),F727)</f>
        <v>5.5574181139122301</v>
      </c>
      <c r="O727" s="50">
        <f>IFERROR(IF(VLOOKUP($B727,Input!$AC$2:$AC$162,1,0)=$B727,0,G727),G727)</f>
        <v>11.6486850152905</v>
      </c>
      <c r="P727" s="50">
        <f>IF(N727=0,0,F727-AVERAGE(INDEX(F:F,MATCH(VLOOKUP(D727,Input!$A$14:$L$22,10,0),L:L,0)),INDEX(F:F,MATCH(VLOOKUP(D727,Input!$A$14:$L$22,11,0),L:L,0)),INDEX(F:F,MATCH(VLOOKUP(D727,Input!$A$14:$L$22,12,0),L:L,0)))+(0.01-ROW()*0.01))</f>
        <v>-214.48049815543678</v>
      </c>
      <c r="Q727" s="106">
        <f t="shared" si="136"/>
        <v>-7.399425783060623E-2</v>
      </c>
      <c r="R727" s="8">
        <f>IF(VLOOKUP($D727,$X$14:$Y$19,2,0)&lt;=0,1,IF(Q727&lt;0,1,ROUNDUP(IF(Q727*('Draft Center'!$L$28+'Draft Center'!$L$78-'Draft Center'!$L$82)&lt;1,1,Q727*('Draft Center'!$L$28+'Draft Center'!$L$78-'Draft Center'!$L$82)),0)))</f>
        <v>1</v>
      </c>
      <c r="S727" s="8">
        <f>IF(A727&lt;Input!$B$10+0.1,IF(ROUNDUP(R727*Input!$C$10,0)=0,1,ROUNDUP(R727*Input!$C$10,0)),IF(A727&gt;Input!$B$11,IF(ROUNDUP(R727*Input!$C$11,0)=0,1,ROUNDUP(R727*Input!$C$11,0)),IF(ROUNDUP(R727,0)=0,1,ROUNDUP(R727,0))))</f>
        <v>1</v>
      </c>
      <c r="T727" s="8">
        <f t="shared" si="137"/>
        <v>1</v>
      </c>
      <c r="U727" s="8">
        <f>IFERROR(VLOOKUP($B727,Input!$AC$2:$AE$161,3,0),0)</f>
        <v>0</v>
      </c>
      <c r="V727" s="256">
        <f t="shared" si="138"/>
        <v>0</v>
      </c>
      <c r="W727" s="263">
        <f t="shared" si="139"/>
        <v>0</v>
      </c>
      <c r="X727" s="68"/>
      <c r="Y727" s="68"/>
      <c r="Z727" s="68"/>
      <c r="AA727" s="68"/>
      <c r="AB727" s="68"/>
      <c r="AC727" s="68"/>
      <c r="AD727" s="68"/>
      <c r="AE727" s="68"/>
      <c r="AF727" s="68"/>
      <c r="AG727" s="68"/>
      <c r="AH727" s="68"/>
      <c r="AI727" s="68"/>
      <c r="AJ727" s="68">
        <v>1</v>
      </c>
      <c r="AL727" s="68">
        <v>1</v>
      </c>
      <c r="AM727" s="68"/>
      <c r="AN727" s="68"/>
      <c r="AO727" s="68"/>
      <c r="AQ727" s="68"/>
      <c r="AR727" s="68"/>
      <c r="AS727" s="68"/>
      <c r="AT727" s="68"/>
      <c r="AU727" s="68"/>
      <c r="AV727" s="68"/>
      <c r="AW727" s="68"/>
      <c r="AX727" s="68"/>
      <c r="AY727" s="68"/>
      <c r="AZ727" s="68"/>
      <c r="BB727" s="68"/>
      <c r="BC727" s="68"/>
      <c r="BJ727" s="68"/>
      <c r="BT727">
        <v>1</v>
      </c>
      <c r="BV727">
        <v>1</v>
      </c>
      <c r="BX727" s="68"/>
      <c r="BY727" s="68">
        <v>1</v>
      </c>
      <c r="BZ727" s="68" t="s">
        <v>1057</v>
      </c>
      <c r="CA727" s="68" t="s">
        <v>1057</v>
      </c>
      <c r="CB727" s="68" t="s">
        <v>1057</v>
      </c>
      <c r="CC727" s="68" t="e">
        <f t="shared" si="140"/>
        <v>#DIV/0!</v>
      </c>
      <c r="CD727" s="68" t="str">
        <f t="shared" si="141"/>
        <v>NA</v>
      </c>
    </row>
    <row r="728" spans="1:82" ht="15.75" customHeight="1" thickBot="1" x14ac:dyDescent="0.3">
      <c r="A728" s="9">
        <v>727</v>
      </c>
      <c r="B728" s="10" t="s">
        <v>827</v>
      </c>
      <c r="C728" s="10" t="s">
        <v>93</v>
      </c>
      <c r="D728" s="10" t="s">
        <v>17</v>
      </c>
      <c r="E728" s="51">
        <v>-208.01976525315899</v>
      </c>
      <c r="F728" s="51">
        <v>4.7581510161898901</v>
      </c>
      <c r="G728" s="51">
        <v>10.481179843394701</v>
      </c>
      <c r="H728" s="51">
        <v>-0.650096957226587</v>
      </c>
      <c r="I728" s="11">
        <v>0</v>
      </c>
      <c r="J728" s="51">
        <v>3.7433680234114499</v>
      </c>
      <c r="K728" s="249">
        <f>IFERROR(VLOOKUP(C728,Schedule!$T$3:$U$34,2,0),"FA")</f>
        <v>11</v>
      </c>
      <c r="L728" s="10" t="str">
        <f>D728&amp;COUNTIF(D$2:$D728,D728)</f>
        <v>WR216</v>
      </c>
      <c r="M728" s="51">
        <f t="array" ref="M728">IFERROR(F728-AVERAGE(VLOOKUP(D728,$D729:$F$885,3,0),INDEX($F729:$F$885,SMALL(IF(D728=$D729:$D$885,ROW($D729:$D$885)-ROW(D728)),2))),0)</f>
        <v>0.1765161485830351</v>
      </c>
      <c r="N728" s="51">
        <f>IFERROR(IF(VLOOKUP($B728,Input!$AC$2:$AC$162,1,0)=$B728,0),F728)</f>
        <v>4.7581510161898901</v>
      </c>
      <c r="O728" s="51">
        <f>IFERROR(IF(VLOOKUP($B728,Input!$AC$2:$AC$162,1,0)=$B728,0,G728),G728)</f>
        <v>10.481179843394701</v>
      </c>
      <c r="P728" s="51">
        <f>IF(N728=0,0,F728-AVERAGE(INDEX(F:F,MATCH(VLOOKUP(D728,Input!$A$14:$L$22,10,0),L:L,0)),INDEX(F:F,MATCH(VLOOKUP(D728,Input!$A$14:$L$22,11,0),L:L,0)),INDEX(F:F,MATCH(VLOOKUP(D728,Input!$A$14:$L$22,12,0),L:L,0)))+(0.01-ROW()*0.01))</f>
        <v>-215.28976525315915</v>
      </c>
      <c r="Q728" s="107">
        <f t="shared" si="136"/>
        <v>-7.427344926664671E-2</v>
      </c>
      <c r="R728" s="11">
        <f>IF(VLOOKUP($D728,$X$14:$Y$19,2,0)&lt;=0,1,IF(Q728&lt;0,1,ROUNDUP(IF(Q728*('Draft Center'!$L$28+'Draft Center'!$L$78-'Draft Center'!$L$82)&lt;1,1,Q728*('Draft Center'!$L$28+'Draft Center'!$L$78-'Draft Center'!$L$82)),0)))</f>
        <v>1</v>
      </c>
      <c r="S728" s="11">
        <f>IF(A728&lt;Input!$B$10+0.1,IF(ROUNDUP(R728*Input!$C$10,0)=0,1,ROUNDUP(R728*Input!$C$10,0)),IF(A728&gt;Input!$B$11,IF(ROUNDUP(R728*Input!$C$11,0)=0,1,ROUNDUP(R728*Input!$C$11,0)),IF(ROUNDUP(R728,0)=0,1,ROUNDUP(R728,0))))</f>
        <v>1</v>
      </c>
      <c r="T728" s="11">
        <f t="shared" si="137"/>
        <v>1</v>
      </c>
      <c r="U728" s="11">
        <f>IFERROR(VLOOKUP($B728,Input!$AC$2:$AE$161,3,0),0)</f>
        <v>0</v>
      </c>
      <c r="V728" s="257">
        <f t="shared" si="138"/>
        <v>0</v>
      </c>
      <c r="W728" s="264">
        <f t="shared" si="139"/>
        <v>1.00728</v>
      </c>
      <c r="X728" s="68"/>
      <c r="Y728" s="68"/>
      <c r="Z728" s="68"/>
      <c r="AA728" s="68"/>
      <c r="AB728" s="68"/>
      <c r="AC728" s="68"/>
      <c r="AD728" s="68"/>
      <c r="AE728" s="68"/>
      <c r="AF728" s="68"/>
      <c r="AG728" s="68"/>
      <c r="AH728" s="68"/>
      <c r="AI728" s="68"/>
      <c r="AJ728" s="68">
        <v>1</v>
      </c>
      <c r="AL728" s="68">
        <v>1</v>
      </c>
      <c r="AM728" s="68"/>
      <c r="AN728" s="68"/>
      <c r="AO728" s="68"/>
      <c r="AQ728" s="68"/>
      <c r="AR728" s="68"/>
      <c r="AS728" s="68"/>
      <c r="AT728" s="68"/>
      <c r="AU728" s="68"/>
      <c r="AV728" s="68"/>
      <c r="AW728" s="68"/>
      <c r="AX728" s="68"/>
      <c r="AY728" s="68"/>
      <c r="AZ728" s="68"/>
      <c r="BB728" s="68"/>
      <c r="BC728" s="68"/>
      <c r="BJ728" s="68"/>
      <c r="BT728">
        <v>1</v>
      </c>
      <c r="BV728">
        <v>1</v>
      </c>
      <c r="BX728" s="68"/>
      <c r="BY728" s="68">
        <v>1</v>
      </c>
      <c r="BZ728" s="68">
        <v>0</v>
      </c>
      <c r="CA728" s="68">
        <v>0</v>
      </c>
      <c r="CB728" s="68">
        <v>0</v>
      </c>
      <c r="CC728" s="68">
        <f t="shared" si="140"/>
        <v>0</v>
      </c>
      <c r="CD728" s="68">
        <f t="shared" si="141"/>
        <v>0</v>
      </c>
    </row>
    <row r="729" spans="1:82" ht="15.75" customHeight="1" thickBot="1" x14ac:dyDescent="0.3">
      <c r="A729" s="6">
        <v>728</v>
      </c>
      <c r="B729" s="7" t="s">
        <v>1039</v>
      </c>
      <c r="C729" s="7" t="s">
        <v>75</v>
      </c>
      <c r="D729" s="7" t="s">
        <v>17</v>
      </c>
      <c r="E729" s="50">
        <v>-208.107916269349</v>
      </c>
      <c r="F729" s="50">
        <v>4.67</v>
      </c>
      <c r="G729" s="50">
        <v>4.67</v>
      </c>
      <c r="H729" s="50">
        <v>4.67</v>
      </c>
      <c r="I729" s="8" t="s">
        <v>1057</v>
      </c>
      <c r="J729" s="50">
        <v>4.75010771961629</v>
      </c>
      <c r="K729" s="248">
        <f>IFERROR(VLOOKUP(C729,Schedule!$T$3:$U$34,2,0),"FA")</f>
        <v>10</v>
      </c>
      <c r="L729" s="7" t="str">
        <f>D729&amp;COUNTIF(D$2:$D729,D729)</f>
        <v>WR217</v>
      </c>
      <c r="M729" s="50">
        <f t="array" ref="M729">IFERROR(F729-AVERAGE(VLOOKUP(D729,$D730:$F$885,3,0),INDEX($F730:$F$885,SMALL(IF(D729=$D730:$D$885,ROW($D730:$D$885)-ROW(D729)),2))),0)</f>
        <v>0.20606511600606936</v>
      </c>
      <c r="N729" s="50">
        <f>IFERROR(IF(VLOOKUP($B729,Input!$AC$2:$AC$162,1,0)=$B729,0),F729)</f>
        <v>4.67</v>
      </c>
      <c r="O729" s="50">
        <f>IFERROR(IF(VLOOKUP($B729,Input!$AC$2:$AC$162,1,0)=$B729,0,G729),G729)</f>
        <v>4.67</v>
      </c>
      <c r="P729" s="50">
        <f>IF(N729=0,0,F729-AVERAGE(INDEX(F:F,MATCH(VLOOKUP(D729,Input!$A$14:$L$22,10,0),L:L,0)),INDEX(F:F,MATCH(VLOOKUP(D729,Input!$A$14:$L$22,11,0),L:L,0)),INDEX(F:F,MATCH(VLOOKUP(D729,Input!$A$14:$L$22,12,0),L:L,0)))+(0.01-ROW()*0.01))</f>
        <v>-215.38791626934903</v>
      </c>
      <c r="Q729" s="106">
        <f t="shared" si="136"/>
        <v>-7.430731067437725E-2</v>
      </c>
      <c r="R729" s="8">
        <f>IF(VLOOKUP($D729,$X$14:$Y$19,2,0)&lt;=0,1,IF(Q729&lt;0,1,ROUNDUP(IF(Q729*('Draft Center'!$L$28+'Draft Center'!$L$78-'Draft Center'!$L$82)&lt;1,1,Q729*('Draft Center'!$L$28+'Draft Center'!$L$78-'Draft Center'!$L$82)),0)))</f>
        <v>1</v>
      </c>
      <c r="S729" s="8">
        <f>IF(A729&lt;Input!$B$10+0.1,IF(ROUNDUP(R729*Input!$C$10,0)=0,1,ROUNDUP(R729*Input!$C$10,0)),IF(A729&gt;Input!$B$11,IF(ROUNDUP(R729*Input!$C$11,0)=0,1,ROUNDUP(R729*Input!$C$11,0)),IF(ROUNDUP(R729,0)=0,1,ROUNDUP(R729,0))))</f>
        <v>1</v>
      </c>
      <c r="T729" s="8">
        <f t="shared" si="137"/>
        <v>1</v>
      </c>
      <c r="U729" s="8">
        <f>IFERROR(VLOOKUP($B729,Input!$AC$2:$AE$161,3,0),0)</f>
        <v>0</v>
      </c>
      <c r="V729" s="256">
        <f t="shared" si="138"/>
        <v>0</v>
      </c>
      <c r="W729" s="263">
        <f t="shared" si="139"/>
        <v>0</v>
      </c>
      <c r="X729" s="68"/>
      <c r="Y729" s="68"/>
      <c r="Z729" s="68"/>
      <c r="AA729" s="68"/>
      <c r="AB729" s="68"/>
      <c r="AC729" s="68"/>
      <c r="AD729" s="68"/>
      <c r="AE729" s="68"/>
      <c r="AF729" s="68"/>
      <c r="AG729" s="68"/>
      <c r="AH729" s="68"/>
      <c r="AI729" s="68"/>
      <c r="AJ729" s="68">
        <v>1</v>
      </c>
      <c r="AL729" s="68">
        <v>1</v>
      </c>
      <c r="AM729" s="68"/>
      <c r="AN729" s="68"/>
      <c r="AO729" s="68"/>
      <c r="AQ729" s="68"/>
      <c r="AR729" s="68"/>
      <c r="AS729" s="68"/>
      <c r="AT729" s="68"/>
      <c r="AU729" s="68"/>
      <c r="AV729" s="68"/>
      <c r="AW729" s="68"/>
      <c r="AX729" s="68"/>
      <c r="AY729" s="68"/>
      <c r="AZ729" s="68"/>
      <c r="BB729" s="68"/>
      <c r="BC729" s="68"/>
      <c r="BJ729" s="68"/>
      <c r="BT729">
        <v>1</v>
      </c>
      <c r="BV729">
        <v>1</v>
      </c>
      <c r="BX729" s="68"/>
      <c r="BY729" s="68">
        <v>1</v>
      </c>
      <c r="BZ729" s="68" t="s">
        <v>1057</v>
      </c>
      <c r="CA729" s="68" t="s">
        <v>1057</v>
      </c>
      <c r="CB729" s="68" t="s">
        <v>1057</v>
      </c>
      <c r="CC729" s="68" t="e">
        <f t="shared" si="140"/>
        <v>#DIV/0!</v>
      </c>
      <c r="CD729" s="68" t="str">
        <f t="shared" si="141"/>
        <v>NA</v>
      </c>
    </row>
    <row r="730" spans="1:82" ht="15.75" customHeight="1" thickBot="1" x14ac:dyDescent="0.3">
      <c r="A730" s="9">
        <v>729</v>
      </c>
      <c r="B730" s="10" t="s">
        <v>496</v>
      </c>
      <c r="C730" s="10" t="s">
        <v>117</v>
      </c>
      <c r="D730" s="10" t="s">
        <v>17</v>
      </c>
      <c r="E730" s="51">
        <v>-208.28464653413499</v>
      </c>
      <c r="F730" s="51">
        <v>4.4932697352137101</v>
      </c>
      <c r="G730" s="51">
        <v>10.5822653737031</v>
      </c>
      <c r="H730" s="51">
        <v>-0.129980437086919</v>
      </c>
      <c r="I730" s="11">
        <v>0</v>
      </c>
      <c r="J730" s="51">
        <v>2.5434640295758402</v>
      </c>
      <c r="K730" s="249">
        <f>IFERROR(VLOOKUP(C730,Schedule!$T$3:$U$34,2,0),"FA")</f>
        <v>8</v>
      </c>
      <c r="L730" s="10" t="str">
        <f>D730&amp;COUNTIF(D$2:$D730,D730)</f>
        <v>WR218</v>
      </c>
      <c r="M730" s="51">
        <f t="array" ref="M730">IFERROR(F730-AVERAGE(VLOOKUP(D730,$D731:$F$885,3,0),INDEX($F731:$F$885,SMALL(IF(D730=$D731:$D$885,ROW($D731:$D$885)-ROW(D730)),2))),0)</f>
        <v>5.9032393896664814E-2</v>
      </c>
      <c r="N730" s="51">
        <f>IFERROR(IF(VLOOKUP($B730,Input!$AC$2:$AC$162,1,0)=$B730,0),F730)</f>
        <v>4.4932697352137101</v>
      </c>
      <c r="O730" s="51">
        <f>IFERROR(IF(VLOOKUP($B730,Input!$AC$2:$AC$162,1,0)=$B730,0,G730),G730)</f>
        <v>10.5822653737031</v>
      </c>
      <c r="P730" s="51">
        <f>IF(N730=0,0,F730-AVERAGE(INDEX(F:F,MATCH(VLOOKUP(D730,Input!$A$14:$L$22,10,0),L:L,0)),INDEX(F:F,MATCH(VLOOKUP(D730,Input!$A$14:$L$22,11,0),L:L,0)),INDEX(F:F,MATCH(VLOOKUP(D730,Input!$A$14:$L$22,12,0),L:L,0)))+(0.01-ROW()*0.01))</f>
        <v>-215.5746465341353</v>
      </c>
      <c r="Q730" s="107">
        <f t="shared" si="136"/>
        <v>-7.4371731297586355E-2</v>
      </c>
      <c r="R730" s="11">
        <f>IF(VLOOKUP($D730,$X$14:$Y$19,2,0)&lt;=0,1,IF(Q730&lt;0,1,ROUNDUP(IF(Q730*('Draft Center'!$L$28+'Draft Center'!$L$78-'Draft Center'!$L$82)&lt;1,1,Q730*('Draft Center'!$L$28+'Draft Center'!$L$78-'Draft Center'!$L$82)),0)))</f>
        <v>1</v>
      </c>
      <c r="S730" s="11">
        <f>IF(A730&lt;Input!$B$10+0.1,IF(ROUNDUP(R730*Input!$C$10,0)=0,1,ROUNDUP(R730*Input!$C$10,0)),IF(A730&gt;Input!$B$11,IF(ROUNDUP(R730*Input!$C$11,0)=0,1,ROUNDUP(R730*Input!$C$11,0)),IF(ROUNDUP(R730,0)=0,1,ROUNDUP(R730,0))))</f>
        <v>1</v>
      </c>
      <c r="T730" s="11">
        <f t="shared" si="137"/>
        <v>1</v>
      </c>
      <c r="U730" s="11">
        <f>IFERROR(VLOOKUP($B730,Input!$AC$2:$AE$161,3,0),0)</f>
        <v>0</v>
      </c>
      <c r="V730" s="257">
        <f t="shared" si="138"/>
        <v>0</v>
      </c>
      <c r="W730" s="264">
        <f t="shared" si="139"/>
        <v>1.0073000000000001</v>
      </c>
      <c r="X730" s="68"/>
      <c r="Y730" s="68"/>
      <c r="Z730" s="68"/>
      <c r="AA730" s="68"/>
      <c r="AB730" s="68"/>
      <c r="AC730" s="68"/>
      <c r="AD730" s="68"/>
      <c r="AE730" s="68"/>
      <c r="AF730" s="68"/>
      <c r="AG730" s="68"/>
      <c r="AH730" s="68"/>
      <c r="AI730" s="68"/>
      <c r="AJ730" s="68">
        <v>1</v>
      </c>
      <c r="AL730" s="68">
        <v>1</v>
      </c>
      <c r="AM730" s="68"/>
      <c r="AN730" s="68"/>
      <c r="AO730" s="68"/>
      <c r="AQ730" s="68"/>
      <c r="AR730" s="68"/>
      <c r="AS730" s="68"/>
      <c r="AT730" s="68"/>
      <c r="AU730" s="68"/>
      <c r="AV730" s="68"/>
      <c r="AW730" s="68"/>
      <c r="AX730" s="68"/>
      <c r="AY730" s="68"/>
      <c r="AZ730" s="68"/>
      <c r="BB730" s="68"/>
      <c r="BC730" s="68"/>
      <c r="BJ730" s="68"/>
      <c r="BT730">
        <v>1</v>
      </c>
      <c r="BV730">
        <v>1</v>
      </c>
      <c r="BX730" s="68"/>
      <c r="BY730" s="68">
        <v>1</v>
      </c>
      <c r="BZ730" s="68">
        <v>0</v>
      </c>
      <c r="CA730" s="68">
        <v>0</v>
      </c>
      <c r="CB730" s="68">
        <v>0</v>
      </c>
      <c r="CC730" s="68">
        <f t="shared" si="140"/>
        <v>0</v>
      </c>
      <c r="CD730" s="68">
        <f t="shared" si="141"/>
        <v>0</v>
      </c>
    </row>
    <row r="731" spans="1:82" ht="15.75" customHeight="1" thickBot="1" x14ac:dyDescent="0.3">
      <c r="A731" s="6">
        <v>730</v>
      </c>
      <c r="B731" s="7" t="s">
        <v>1034</v>
      </c>
      <c r="C731" s="7" t="s">
        <v>47</v>
      </c>
      <c r="D731" s="7" t="s">
        <v>17</v>
      </c>
      <c r="E731" s="50">
        <v>-208.34331623657499</v>
      </c>
      <c r="F731" s="50">
        <v>4.4346000327741502</v>
      </c>
      <c r="G731" s="50">
        <v>10.4680738670714</v>
      </c>
      <c r="H731" s="50">
        <v>-4.8976649208130697E-2</v>
      </c>
      <c r="I731" s="8" t="s">
        <v>1057</v>
      </c>
      <c r="J731" s="50">
        <v>4.8754314364848899</v>
      </c>
      <c r="K731" s="248">
        <f>IFERROR(VLOOKUP(C731,Schedule!$T$3:$U$34,2,0),"FA")</f>
        <v>10</v>
      </c>
      <c r="L731" s="7" t="str">
        <f>D731&amp;COUNTIF(D$2:$D731,D731)</f>
        <v>WR219</v>
      </c>
      <c r="M731" s="50">
        <f t="array" ref="M731">IFERROR(F731-AVERAGE(VLOOKUP(D731,$D732:$F$885,3,0),INDEX($F732:$F$885,SMALL(IF(D731=$D732:$D$885,ROW($D732:$D$885)-ROW(D731)),2))),0)</f>
        <v>3.5753880217890277E-2</v>
      </c>
      <c r="N731" s="50">
        <f>IFERROR(IF(VLOOKUP($B731,Input!$AC$2:$AC$162,1,0)=$B731,0),F731)</f>
        <v>4.4346000327741502</v>
      </c>
      <c r="O731" s="50">
        <f>IFERROR(IF(VLOOKUP($B731,Input!$AC$2:$AC$162,1,0)=$B731,0,G731),G731)</f>
        <v>10.4680738670714</v>
      </c>
      <c r="P731" s="50">
        <f>IF(N731=0,0,F731-AVERAGE(INDEX(F:F,MATCH(VLOOKUP(D731,Input!$A$14:$L$22,10,0),L:L,0)),INDEX(F:F,MATCH(VLOOKUP(D731,Input!$A$14:$L$22,11,0),L:L,0)),INDEX(F:F,MATCH(VLOOKUP(D731,Input!$A$14:$L$22,12,0),L:L,0)))+(0.01-ROW()*0.01))</f>
        <v>-215.64331623657489</v>
      </c>
      <c r="Q731" s="106">
        <f t="shared" si="136"/>
        <v>-7.4395421860183719E-2</v>
      </c>
      <c r="R731" s="8">
        <f>IF(VLOOKUP($D731,$X$14:$Y$19,2,0)&lt;=0,1,IF(Q731&lt;0,1,ROUNDUP(IF(Q731*('Draft Center'!$L$28+'Draft Center'!$L$78-'Draft Center'!$L$82)&lt;1,1,Q731*('Draft Center'!$L$28+'Draft Center'!$L$78-'Draft Center'!$L$82)),0)))</f>
        <v>1</v>
      </c>
      <c r="S731" s="8">
        <f>IF(A731&lt;Input!$B$10+0.1,IF(ROUNDUP(R731*Input!$C$10,0)=0,1,ROUNDUP(R731*Input!$C$10,0)),IF(A731&gt;Input!$B$11,IF(ROUNDUP(R731*Input!$C$11,0)=0,1,ROUNDUP(R731*Input!$C$11,0)),IF(ROUNDUP(R731,0)=0,1,ROUNDUP(R731,0))))</f>
        <v>1</v>
      </c>
      <c r="T731" s="8">
        <f t="shared" si="137"/>
        <v>1</v>
      </c>
      <c r="U731" s="8">
        <f>IFERROR(VLOOKUP($B731,Input!$AC$2:$AE$161,3,0),0)</f>
        <v>0</v>
      </c>
      <c r="V731" s="256">
        <f t="shared" si="138"/>
        <v>0</v>
      </c>
      <c r="W731" s="263">
        <f t="shared" si="139"/>
        <v>0</v>
      </c>
      <c r="X731" s="68"/>
      <c r="Y731" s="68"/>
      <c r="Z731" s="68"/>
      <c r="AA731" s="68"/>
      <c r="AB731" s="68"/>
      <c r="AC731" s="68"/>
      <c r="AD731" s="68"/>
      <c r="AE731" s="68"/>
      <c r="AF731" s="68"/>
      <c r="AG731" s="68"/>
      <c r="AH731" s="68"/>
      <c r="AI731" s="68"/>
      <c r="AJ731" s="68">
        <v>1</v>
      </c>
      <c r="AL731" s="68">
        <v>1</v>
      </c>
      <c r="AM731" s="68"/>
      <c r="AN731" s="68"/>
      <c r="AO731" s="68"/>
      <c r="AQ731" s="68"/>
      <c r="AR731" s="68"/>
      <c r="AS731" s="68"/>
      <c r="AT731" s="68"/>
      <c r="AU731" s="68"/>
      <c r="AV731" s="68"/>
      <c r="AW731" s="68"/>
      <c r="AX731" s="68"/>
      <c r="AY731" s="68"/>
      <c r="AZ731" s="68"/>
      <c r="BB731" s="68"/>
      <c r="BC731" s="68"/>
      <c r="BJ731" s="68"/>
      <c r="BT731">
        <v>1</v>
      </c>
      <c r="BV731">
        <v>1</v>
      </c>
      <c r="BX731" s="68"/>
      <c r="BY731" s="68">
        <v>1</v>
      </c>
      <c r="BZ731" s="68" t="s">
        <v>1057</v>
      </c>
      <c r="CA731" s="68" t="s">
        <v>1057</v>
      </c>
      <c r="CB731" s="68" t="s">
        <v>1057</v>
      </c>
      <c r="CC731" s="68" t="e">
        <f t="shared" si="140"/>
        <v>#DIV/0!</v>
      </c>
      <c r="CD731" s="68" t="str">
        <f t="shared" si="141"/>
        <v>NA</v>
      </c>
    </row>
    <row r="732" spans="1:82" ht="15.75" customHeight="1" thickBot="1" x14ac:dyDescent="0.3">
      <c r="A732" s="9">
        <v>731</v>
      </c>
      <c r="B732" s="10" t="s">
        <v>892</v>
      </c>
      <c r="C732" s="10" t="s">
        <v>80</v>
      </c>
      <c r="D732" s="10" t="s">
        <v>17</v>
      </c>
      <c r="E732" s="51">
        <v>-208.34404161948899</v>
      </c>
      <c r="F732" s="51">
        <v>4.4338746498599404</v>
      </c>
      <c r="G732" s="51">
        <v>9.4073547400611606</v>
      </c>
      <c r="H732" s="51">
        <v>-0.68123249299719901</v>
      </c>
      <c r="I732" s="11" t="s">
        <v>1057</v>
      </c>
      <c r="J732" s="51">
        <v>3.9249102659115702</v>
      </c>
      <c r="K732" s="249">
        <f>IFERROR(VLOOKUP(C732,Schedule!$T$3:$U$34,2,0),"FA")</f>
        <v>11</v>
      </c>
      <c r="L732" s="10" t="str">
        <f>D732&amp;COUNTIF(D$2:$D732,D732)</f>
        <v>WR220</v>
      </c>
      <c r="M732" s="51">
        <f t="array" ref="M732">IFERROR(F732-AVERAGE(VLOOKUP(D732,$D733:$F$885,3,0),INDEX($F733:$F$885,SMALL(IF(D732=$D733:$D$885,ROW($D733:$D$885)-ROW(D732)),2))),0)</f>
        <v>8.6416579809410088E-2</v>
      </c>
      <c r="N732" s="51">
        <f>IFERROR(IF(VLOOKUP($B732,Input!$AC$2:$AC$162,1,0)=$B732,0),F732)</f>
        <v>4.4338746498599404</v>
      </c>
      <c r="O732" s="51">
        <f>IFERROR(IF(VLOOKUP($B732,Input!$AC$2:$AC$162,1,0)=$B732,0,G732),G732)</f>
        <v>9.4073547400611606</v>
      </c>
      <c r="P732" s="51">
        <f>IF(N732=0,0,F732-AVERAGE(INDEX(F:F,MATCH(VLOOKUP(D732,Input!$A$14:$L$22,10,0),L:L,0)),INDEX(F:F,MATCH(VLOOKUP(D732,Input!$A$14:$L$22,11,0),L:L,0)),INDEX(F:F,MATCH(VLOOKUP(D732,Input!$A$14:$L$22,12,0),L:L,0)))+(0.01-ROW()*0.01))</f>
        <v>-215.65404161948908</v>
      </c>
      <c r="Q732" s="107">
        <f t="shared" si="136"/>
        <v>-7.4399122041577878E-2</v>
      </c>
      <c r="R732" s="11">
        <f>IF(VLOOKUP($D732,$X$14:$Y$19,2,0)&lt;=0,1,IF(Q732&lt;0,1,ROUNDUP(IF(Q732*('Draft Center'!$L$28+'Draft Center'!$L$78-'Draft Center'!$L$82)&lt;1,1,Q732*('Draft Center'!$L$28+'Draft Center'!$L$78-'Draft Center'!$L$82)),0)))</f>
        <v>1</v>
      </c>
      <c r="S732" s="11">
        <f>IF(A732&lt;Input!$B$10+0.1,IF(ROUNDUP(R732*Input!$C$10,0)=0,1,ROUNDUP(R732*Input!$C$10,0)),IF(A732&gt;Input!$B$11,IF(ROUNDUP(R732*Input!$C$11,0)=0,1,ROUNDUP(R732*Input!$C$11,0)),IF(ROUNDUP(R732,0)=0,1,ROUNDUP(R732,0))))</f>
        <v>1</v>
      </c>
      <c r="T732" s="11">
        <f t="shared" si="137"/>
        <v>1</v>
      </c>
      <c r="U732" s="11">
        <f>IFERROR(VLOOKUP($B732,Input!$AC$2:$AE$161,3,0),0)</f>
        <v>0</v>
      </c>
      <c r="V732" s="257">
        <f t="shared" si="138"/>
        <v>0</v>
      </c>
      <c r="W732" s="264">
        <f t="shared" si="139"/>
        <v>0</v>
      </c>
      <c r="X732" s="68"/>
      <c r="Y732" s="68"/>
      <c r="Z732" s="68"/>
      <c r="AA732" s="68"/>
      <c r="AB732" s="68"/>
      <c r="AC732" s="68"/>
      <c r="AD732" s="68"/>
      <c r="AE732" s="68"/>
      <c r="AF732" s="68"/>
      <c r="AG732" s="68"/>
      <c r="AH732" s="68"/>
      <c r="AI732" s="68"/>
      <c r="AJ732" s="68">
        <v>1</v>
      </c>
      <c r="AL732" s="68">
        <v>1</v>
      </c>
      <c r="AM732" s="68"/>
      <c r="AN732" s="68"/>
      <c r="AO732" s="68"/>
      <c r="AQ732" s="68"/>
      <c r="AR732" s="68"/>
      <c r="AS732" s="68"/>
      <c r="AT732" s="68"/>
      <c r="AU732" s="68"/>
      <c r="AV732" s="68"/>
      <c r="AW732" s="68"/>
      <c r="AX732" s="68"/>
      <c r="AY732" s="68"/>
      <c r="AZ732" s="68"/>
      <c r="BB732" s="68"/>
      <c r="BC732" s="68"/>
      <c r="BJ732" s="68"/>
      <c r="BT732">
        <v>1</v>
      </c>
      <c r="BV732">
        <v>1</v>
      </c>
      <c r="BX732" s="68"/>
      <c r="BY732" s="68">
        <v>1</v>
      </c>
      <c r="BZ732" s="68" t="s">
        <v>1057</v>
      </c>
      <c r="CA732" s="68" t="s">
        <v>1057</v>
      </c>
      <c r="CB732" s="68" t="s">
        <v>1057</v>
      </c>
      <c r="CC732" s="68" t="e">
        <f t="shared" si="140"/>
        <v>#DIV/0!</v>
      </c>
      <c r="CD732" s="68" t="str">
        <f t="shared" si="141"/>
        <v>NA</v>
      </c>
    </row>
    <row r="733" spans="1:82" ht="15.75" customHeight="1" thickBot="1" x14ac:dyDescent="0.3">
      <c r="A733" s="6">
        <v>732</v>
      </c>
      <c r="B733" s="7" t="s">
        <v>383</v>
      </c>
      <c r="C733" s="7" t="s">
        <v>68</v>
      </c>
      <c r="D733" s="7" t="s">
        <v>17</v>
      </c>
      <c r="E733" s="50">
        <v>-208.41409861409699</v>
      </c>
      <c r="F733" s="50">
        <v>4.3638176552525803</v>
      </c>
      <c r="G733" s="50">
        <v>9.4267151162790697</v>
      </c>
      <c r="H733" s="50">
        <v>-9.2473118279569902E-2</v>
      </c>
      <c r="I733" s="8" t="s">
        <v>1057</v>
      </c>
      <c r="J733" s="50">
        <v>3.3710314507510399</v>
      </c>
      <c r="K733" s="248">
        <f>IFERROR(VLOOKUP(C733,Schedule!$T$3:$U$34,2,0),"FA")</f>
        <v>8</v>
      </c>
      <c r="L733" s="7" t="str">
        <f>D733&amp;COUNTIF(D$2:$D733,D733)</f>
        <v>WR221</v>
      </c>
      <c r="M733" s="50">
        <f t="array" ref="M733">IFERROR(F733-AVERAGE(VLOOKUP(D733,$D734:$F$885,3,0),INDEX($F734:$F$885,SMALL(IF(D733=$D734:$D$885,ROW($D734:$D$885)-ROW(D733)),2))),0)</f>
        <v>0.1606279915394202</v>
      </c>
      <c r="N733" s="50">
        <f>IFERROR(IF(VLOOKUP($B733,Input!$AC$2:$AC$162,1,0)=$B733,0),F733)</f>
        <v>4.3638176552525803</v>
      </c>
      <c r="O733" s="50">
        <f>IFERROR(IF(VLOOKUP($B733,Input!$AC$2:$AC$162,1,0)=$B733,0,G733),G733)</f>
        <v>9.4267151162790697</v>
      </c>
      <c r="P733" s="50">
        <f>IF(N733=0,0,F733-AVERAGE(INDEX(F:F,MATCH(VLOOKUP(D733,Input!$A$14:$L$22,10,0),L:L,0)),INDEX(F:F,MATCH(VLOOKUP(D733,Input!$A$14:$L$22,11,0),L:L,0)),INDEX(F:F,MATCH(VLOOKUP(D733,Input!$A$14:$L$22,12,0),L:L,0)))+(0.01-ROW()*0.01))</f>
        <v>-215.73409861409644</v>
      </c>
      <c r="Q733" s="106">
        <f t="shared" si="136"/>
        <v>-7.4426741139589428E-2</v>
      </c>
      <c r="R733" s="8">
        <f>IF(VLOOKUP($D733,$X$14:$Y$19,2,0)&lt;=0,1,IF(Q733&lt;0,1,ROUNDUP(IF(Q733*('Draft Center'!$L$28+'Draft Center'!$L$78-'Draft Center'!$L$82)&lt;1,1,Q733*('Draft Center'!$L$28+'Draft Center'!$L$78-'Draft Center'!$L$82)),0)))</f>
        <v>1</v>
      </c>
      <c r="S733" s="8">
        <f>IF(A733&lt;Input!$B$10+0.1,IF(ROUNDUP(R733*Input!$C$10,0)=0,1,ROUNDUP(R733*Input!$C$10,0)),IF(A733&gt;Input!$B$11,IF(ROUNDUP(R733*Input!$C$11,0)=0,1,ROUNDUP(R733*Input!$C$11,0)),IF(ROUNDUP(R733,0)=0,1,ROUNDUP(R733,0))))</f>
        <v>1</v>
      </c>
      <c r="T733" s="8">
        <f t="shared" si="137"/>
        <v>1</v>
      </c>
      <c r="U733" s="8">
        <f>IFERROR(VLOOKUP($B733,Input!$AC$2:$AE$161,3,0),0)</f>
        <v>0</v>
      </c>
      <c r="V733" s="256">
        <f t="shared" si="138"/>
        <v>0</v>
      </c>
      <c r="W733" s="263">
        <f t="shared" si="139"/>
        <v>0</v>
      </c>
      <c r="X733" s="68"/>
      <c r="Y733" s="68"/>
      <c r="Z733" s="68"/>
      <c r="AA733" s="68"/>
      <c r="AB733" s="68"/>
      <c r="AC733" s="68"/>
      <c r="AD733" s="68"/>
      <c r="AE733" s="68"/>
      <c r="AF733" s="68"/>
      <c r="AG733" s="68"/>
      <c r="AH733" s="68"/>
      <c r="AI733" s="68"/>
      <c r="AJ733" s="68">
        <v>1</v>
      </c>
      <c r="AL733" s="68">
        <v>1</v>
      </c>
      <c r="AM733" s="68"/>
      <c r="AN733" s="68"/>
      <c r="AO733" s="68"/>
      <c r="AQ733" s="68"/>
      <c r="AR733" s="68"/>
      <c r="AS733" s="68"/>
      <c r="AT733" s="68"/>
      <c r="AU733" s="68"/>
      <c r="AV733" s="68"/>
      <c r="AW733" s="68"/>
      <c r="AX733" s="68"/>
      <c r="AY733" s="68"/>
      <c r="AZ733" s="68"/>
      <c r="BB733" s="68"/>
      <c r="BC733" s="68"/>
      <c r="BJ733" s="68"/>
      <c r="BT733">
        <v>1</v>
      </c>
      <c r="BV733">
        <v>1</v>
      </c>
      <c r="BX733" s="68"/>
      <c r="BY733" s="68">
        <v>1</v>
      </c>
      <c r="BZ733" s="68" t="s">
        <v>1057</v>
      </c>
      <c r="CA733" s="68" t="s">
        <v>1057</v>
      </c>
      <c r="CB733" s="68" t="s">
        <v>1057</v>
      </c>
      <c r="CC733" s="68" t="e">
        <f t="shared" si="140"/>
        <v>#DIV/0!</v>
      </c>
      <c r="CD733" s="68" t="str">
        <f t="shared" si="141"/>
        <v>NA</v>
      </c>
    </row>
    <row r="734" spans="1:82" ht="15.75" customHeight="1" thickBot="1" x14ac:dyDescent="0.3">
      <c r="A734" s="9">
        <v>733</v>
      </c>
      <c r="B734" s="10" t="s">
        <v>794</v>
      </c>
      <c r="C734" s="10" t="s">
        <v>57</v>
      </c>
      <c r="D734" s="10" t="s">
        <v>17</v>
      </c>
      <c r="E734" s="51">
        <v>-208.44681778450101</v>
      </c>
      <c r="F734" s="51">
        <v>4.3310984848484804</v>
      </c>
      <c r="G734" s="51">
        <v>7.3806116207951096</v>
      </c>
      <c r="H734" s="51">
        <v>0</v>
      </c>
      <c r="I734" s="11" t="s">
        <v>1057</v>
      </c>
      <c r="J734" s="51">
        <v>4.2500644627315802</v>
      </c>
      <c r="K734" s="249">
        <f>IFERROR(VLOOKUP(C734,Schedule!$T$3:$U$34,2,0),"FA")</f>
        <v>11</v>
      </c>
      <c r="L734" s="10" t="str">
        <f>D734&amp;COUNTIF(D$2:$D734,D734)</f>
        <v>WR222</v>
      </c>
      <c r="M734" s="51">
        <f t="array" ref="M734">IFERROR(F734-AVERAGE(VLOOKUP(D734,$D735:$F$885,3,0),INDEX($F735:$F$885,SMALL(IF(D734=$D735:$D$885,ROW($D735:$D$885)-ROW(D734)),2))),0)</f>
        <v>0.65409113685450038</v>
      </c>
      <c r="N734" s="51">
        <f>IFERROR(IF(VLOOKUP($B734,Input!$AC$2:$AC$162,1,0)=$B734,0),F734)</f>
        <v>4.3310984848484804</v>
      </c>
      <c r="O734" s="51">
        <f>IFERROR(IF(VLOOKUP($B734,Input!$AC$2:$AC$162,1,0)=$B734,0,G734),G734)</f>
        <v>7.3806116207951096</v>
      </c>
      <c r="P734" s="51">
        <f>IF(N734=0,0,F734-AVERAGE(INDEX(F:F,MATCH(VLOOKUP(D734,Input!$A$14:$L$22,10,0),L:L,0)),INDEX(F:F,MATCH(VLOOKUP(D734,Input!$A$14:$L$22,11,0),L:L,0)),INDEX(F:F,MATCH(VLOOKUP(D734,Input!$A$14:$L$22,12,0),L:L,0)))+(0.01-ROW()*0.01))</f>
        <v>-215.77681778450057</v>
      </c>
      <c r="Q734" s="107">
        <f t="shared" si="136"/>
        <v>-7.4441478951821211E-2</v>
      </c>
      <c r="R734" s="11">
        <f>IF(VLOOKUP($D734,$X$14:$Y$19,2,0)&lt;=0,1,IF(Q734&lt;0,1,ROUNDUP(IF(Q734*('Draft Center'!$L$28+'Draft Center'!$L$78-'Draft Center'!$L$82)&lt;1,1,Q734*('Draft Center'!$L$28+'Draft Center'!$L$78-'Draft Center'!$L$82)),0)))</f>
        <v>1</v>
      </c>
      <c r="S734" s="11">
        <f>IF(A734&lt;Input!$B$10+0.1,IF(ROUNDUP(R734*Input!$C$10,0)=0,1,ROUNDUP(R734*Input!$C$10,0)),IF(A734&gt;Input!$B$11,IF(ROUNDUP(R734*Input!$C$11,0)=0,1,ROUNDUP(R734*Input!$C$11,0)),IF(ROUNDUP(R734,0)=0,1,ROUNDUP(R734,0))))</f>
        <v>1</v>
      </c>
      <c r="T734" s="11">
        <f t="shared" si="137"/>
        <v>1</v>
      </c>
      <c r="U734" s="11">
        <f>IFERROR(VLOOKUP($B734,Input!$AC$2:$AE$161,3,0),0)</f>
        <v>0</v>
      </c>
      <c r="V734" s="257">
        <f t="shared" si="138"/>
        <v>0</v>
      </c>
      <c r="W734" s="264">
        <f t="shared" si="139"/>
        <v>0</v>
      </c>
      <c r="X734" s="68"/>
      <c r="Y734" s="68"/>
      <c r="Z734" s="68"/>
      <c r="AA734" s="68"/>
      <c r="AB734" s="68"/>
      <c r="AC734" s="68"/>
      <c r="AD734" s="68"/>
      <c r="AE734" s="68"/>
      <c r="AF734" s="68"/>
      <c r="AG734" s="68"/>
      <c r="AH734" s="68"/>
      <c r="AI734" s="68"/>
      <c r="AJ734" s="68">
        <v>1</v>
      </c>
      <c r="AL734" s="68">
        <v>1</v>
      </c>
      <c r="AM734" s="68"/>
      <c r="AN734" s="68"/>
      <c r="AO734" s="68"/>
      <c r="AQ734" s="68"/>
      <c r="AR734" s="68"/>
      <c r="AS734" s="68"/>
      <c r="AT734" s="68"/>
      <c r="AU734" s="68"/>
      <c r="AV734" s="68"/>
      <c r="AW734" s="68"/>
      <c r="AX734" s="68"/>
      <c r="AY734" s="68"/>
      <c r="AZ734" s="68"/>
      <c r="BB734" s="68"/>
      <c r="BC734" s="68"/>
      <c r="BJ734" s="68"/>
      <c r="BT734">
        <v>1</v>
      </c>
      <c r="BV734">
        <v>1</v>
      </c>
      <c r="BX734" s="68"/>
      <c r="BY734" s="68">
        <v>1</v>
      </c>
      <c r="BZ734" s="68" t="s">
        <v>1057</v>
      </c>
      <c r="CA734" s="68" t="s">
        <v>1057</v>
      </c>
      <c r="CB734" s="68" t="s">
        <v>1057</v>
      </c>
      <c r="CC734" s="68" t="e">
        <f t="shared" si="140"/>
        <v>#DIV/0!</v>
      </c>
      <c r="CD734" s="68" t="str">
        <f t="shared" si="141"/>
        <v>NA</v>
      </c>
    </row>
    <row r="735" spans="1:82" ht="15.75" customHeight="1" thickBot="1" x14ac:dyDescent="0.3">
      <c r="A735" s="6">
        <v>734</v>
      </c>
      <c r="B735" s="7" t="s">
        <v>886</v>
      </c>
      <c r="C735" s="7" t="s">
        <v>31</v>
      </c>
      <c r="D735" s="7" t="s">
        <v>17</v>
      </c>
      <c r="E735" s="50">
        <v>-208.702635426771</v>
      </c>
      <c r="F735" s="50">
        <v>4.0752808425778397</v>
      </c>
      <c r="G735" s="50">
        <v>8.2365642948481792</v>
      </c>
      <c r="H735" s="50">
        <v>-9.2473118279569902E-2</v>
      </c>
      <c r="I735" s="8" t="s">
        <v>1057</v>
      </c>
      <c r="J735" s="50">
        <v>3.0832762380936298</v>
      </c>
      <c r="K735" s="248">
        <f>IFERROR(VLOOKUP(C735,Schedule!$T$3:$U$34,2,0),"FA")</f>
        <v>9</v>
      </c>
      <c r="L735" s="7" t="str">
        <f>D735&amp;COUNTIF(D$2:$D735,D735)</f>
        <v>WR223</v>
      </c>
      <c r="M735" s="50">
        <f t="array" ref="M735">IFERROR(F735-AVERAGE(VLOOKUP(D735,$D736:$F$885,3,0),INDEX($F736:$F$885,SMALL(IF(D735=$D736:$D$885,ROW($D736:$D$885)-ROW(D735)),2))),0)</f>
        <v>1.0327050744093649</v>
      </c>
      <c r="N735" s="50">
        <f>IFERROR(IF(VLOOKUP($B735,Input!$AC$2:$AC$162,1,0)=$B735,0),F735)</f>
        <v>4.0752808425778397</v>
      </c>
      <c r="O735" s="50">
        <f>IFERROR(IF(VLOOKUP($B735,Input!$AC$2:$AC$162,1,0)=$B735,0,G735),G735)</f>
        <v>8.2365642948481792</v>
      </c>
      <c r="P735" s="50">
        <f>IF(N735=0,0,F735-AVERAGE(INDEX(F:F,MATCH(VLOOKUP(D735,Input!$A$14:$L$22,10,0),L:L,0)),INDEX(F:F,MATCH(VLOOKUP(D735,Input!$A$14:$L$22,11,0),L:L,0)),INDEX(F:F,MATCH(VLOOKUP(D735,Input!$A$14:$L$22,12,0),L:L,0)))+(0.01-ROW()*0.01))</f>
        <v>-216.04263542677117</v>
      </c>
      <c r="Q735" s="106">
        <f t="shared" si="136"/>
        <v>-7.4533184161979016E-2</v>
      </c>
      <c r="R735" s="8">
        <f>IF(VLOOKUP($D735,$X$14:$Y$19,2,0)&lt;=0,1,IF(Q735&lt;0,1,ROUNDUP(IF(Q735*('Draft Center'!$L$28+'Draft Center'!$L$78-'Draft Center'!$L$82)&lt;1,1,Q735*('Draft Center'!$L$28+'Draft Center'!$L$78-'Draft Center'!$L$82)),0)))</f>
        <v>1</v>
      </c>
      <c r="S735" s="8">
        <f>IF(A735&lt;Input!$B$10+0.1,IF(ROUNDUP(R735*Input!$C$10,0)=0,1,ROUNDUP(R735*Input!$C$10,0)),IF(A735&gt;Input!$B$11,IF(ROUNDUP(R735*Input!$C$11,0)=0,1,ROUNDUP(R735*Input!$C$11,0)),IF(ROUNDUP(R735,0)=0,1,ROUNDUP(R735,0))))</f>
        <v>1</v>
      </c>
      <c r="T735" s="8">
        <f t="shared" si="137"/>
        <v>1</v>
      </c>
      <c r="U735" s="8">
        <f>IFERROR(VLOOKUP($B735,Input!$AC$2:$AE$161,3,0),0)</f>
        <v>0</v>
      </c>
      <c r="V735" s="256">
        <f t="shared" si="138"/>
        <v>0</v>
      </c>
      <c r="W735" s="263">
        <f t="shared" si="139"/>
        <v>0</v>
      </c>
      <c r="X735" s="68"/>
      <c r="Y735" s="68"/>
      <c r="Z735" s="68"/>
      <c r="AA735" s="68"/>
      <c r="AB735" s="68"/>
      <c r="AC735" s="68"/>
      <c r="AD735" s="68"/>
      <c r="AE735" s="68"/>
      <c r="AF735" s="68"/>
      <c r="AG735" s="68"/>
      <c r="AH735" s="68"/>
      <c r="AI735" s="68"/>
      <c r="AJ735" s="68">
        <v>1</v>
      </c>
      <c r="AL735" s="68">
        <v>1</v>
      </c>
      <c r="AM735" s="68"/>
      <c r="AN735" s="68"/>
      <c r="AO735" s="68"/>
      <c r="AQ735" s="68"/>
      <c r="AR735" s="68"/>
      <c r="AS735" s="68"/>
      <c r="AT735" s="68"/>
      <c r="AU735" s="68"/>
      <c r="AV735" s="68"/>
      <c r="AW735" s="68"/>
      <c r="AX735" s="68"/>
      <c r="AY735" s="68"/>
      <c r="AZ735" s="68"/>
      <c r="BB735" s="68"/>
      <c r="BC735" s="68"/>
      <c r="BJ735" s="68"/>
      <c r="BT735">
        <v>1</v>
      </c>
      <c r="BV735">
        <v>1</v>
      </c>
      <c r="BX735" s="68"/>
      <c r="BY735" s="68">
        <v>1</v>
      </c>
      <c r="BZ735" s="68" t="s">
        <v>1057</v>
      </c>
      <c r="CA735" s="68" t="s">
        <v>1057</v>
      </c>
      <c r="CB735" s="68" t="s">
        <v>1057</v>
      </c>
      <c r="CC735" s="68" t="e">
        <f t="shared" si="140"/>
        <v>#DIV/0!</v>
      </c>
      <c r="CD735" s="68" t="str">
        <f t="shared" si="141"/>
        <v>NA</v>
      </c>
    </row>
    <row r="736" spans="1:82" ht="15.75" customHeight="1" thickBot="1" x14ac:dyDescent="0.3">
      <c r="A736" s="9">
        <v>735</v>
      </c>
      <c r="B736" s="10" t="s">
        <v>517</v>
      </c>
      <c r="C736" s="10" t="s">
        <v>311</v>
      </c>
      <c r="D736" s="10" t="s">
        <v>17</v>
      </c>
      <c r="E736" s="51">
        <v>-209.499182415939</v>
      </c>
      <c r="F736" s="51">
        <v>3.2787338534101198</v>
      </c>
      <c r="G736" s="51">
        <v>5.59094829721196</v>
      </c>
      <c r="H736" s="51">
        <v>0</v>
      </c>
      <c r="I736" s="11" t="s">
        <v>1057</v>
      </c>
      <c r="J736" s="51">
        <v>2.5327732463058599</v>
      </c>
      <c r="K736" s="249" t="str">
        <f>IFERROR(VLOOKUP(C736,Schedule!$T$3:$U$34,2,0),"FA")</f>
        <v>FA</v>
      </c>
      <c r="L736" s="10" t="str">
        <f>D736&amp;COUNTIF(D$2:$D736,D736)</f>
        <v>WR224</v>
      </c>
      <c r="M736" s="51">
        <f t="array" ref="M736">IFERROR(F736-AVERAGE(VLOOKUP(D736,$D737:$F$885,3,0),INDEX($F737:$F$885,SMALL(IF(D736=$D737:$D$885,ROW($D737:$D$885)-ROW(D736)),2))),0)</f>
        <v>0.48867832205123474</v>
      </c>
      <c r="N736" s="51">
        <f>IFERROR(IF(VLOOKUP($B736,Input!$AC$2:$AC$162,1,0)=$B736,0),F736)</f>
        <v>3.2787338534101198</v>
      </c>
      <c r="O736" s="51">
        <f>IFERROR(IF(VLOOKUP($B736,Input!$AC$2:$AC$162,1,0)=$B736,0,G736),G736)</f>
        <v>5.59094829721196</v>
      </c>
      <c r="P736" s="51">
        <f>IF(N736=0,0,F736-AVERAGE(INDEX(F:F,MATCH(VLOOKUP(D736,Input!$A$14:$L$22,10,0),L:L,0)),INDEX(F:F,MATCH(VLOOKUP(D736,Input!$A$14:$L$22,11,0),L:L,0)),INDEX(F:F,MATCH(VLOOKUP(D736,Input!$A$14:$L$22,12,0),L:L,0)))+(0.01-ROW()*0.01))</f>
        <v>-216.84918241593888</v>
      </c>
      <c r="Q736" s="107">
        <f t="shared" si="136"/>
        <v>-7.4811437179769583E-2</v>
      </c>
      <c r="R736" s="11">
        <f>IF(VLOOKUP($D736,$X$14:$Y$19,2,0)&lt;=0,1,IF(Q736&lt;0,1,ROUNDUP(IF(Q736*('Draft Center'!$L$28+'Draft Center'!$L$78-'Draft Center'!$L$82)&lt;1,1,Q736*('Draft Center'!$L$28+'Draft Center'!$L$78-'Draft Center'!$L$82)),0)))</f>
        <v>1</v>
      </c>
      <c r="S736" s="11">
        <f>IF(A736&lt;Input!$B$10+0.1,IF(ROUNDUP(R736*Input!$C$10,0)=0,1,ROUNDUP(R736*Input!$C$10,0)),IF(A736&gt;Input!$B$11,IF(ROUNDUP(R736*Input!$C$11,0)=0,1,ROUNDUP(R736*Input!$C$11,0)),IF(ROUNDUP(R736,0)=0,1,ROUNDUP(R736,0))))</f>
        <v>1</v>
      </c>
      <c r="T736" s="11">
        <f t="shared" si="137"/>
        <v>1</v>
      </c>
      <c r="U736" s="11">
        <f>IFERROR(VLOOKUP($B736,Input!$AC$2:$AE$161,3,0),0)</f>
        <v>0</v>
      </c>
      <c r="V736" s="257">
        <f t="shared" si="138"/>
        <v>0</v>
      </c>
      <c r="W736" s="264">
        <f t="shared" si="139"/>
        <v>0</v>
      </c>
      <c r="X736" s="68"/>
      <c r="Y736" s="68"/>
      <c r="Z736" s="68"/>
      <c r="AA736" s="68"/>
      <c r="AB736" s="68"/>
      <c r="AC736" s="68"/>
      <c r="AD736" s="68"/>
      <c r="AE736" s="68"/>
      <c r="AF736" s="68"/>
      <c r="AG736" s="68"/>
      <c r="AH736" s="68"/>
      <c r="AI736" s="68"/>
      <c r="AJ736" s="68">
        <v>1</v>
      </c>
      <c r="AL736" s="68">
        <v>1</v>
      </c>
      <c r="AM736" s="68"/>
      <c r="AN736" s="68"/>
      <c r="AO736" s="68"/>
      <c r="AQ736" s="68"/>
      <c r="AR736" s="68"/>
      <c r="AS736" s="68"/>
      <c r="AT736" s="68"/>
      <c r="AU736" s="68"/>
      <c r="AV736" s="68"/>
      <c r="AW736" s="68"/>
      <c r="AX736" s="68"/>
      <c r="AY736" s="68"/>
      <c r="AZ736" s="68"/>
      <c r="BB736" s="68"/>
      <c r="BC736" s="68"/>
      <c r="BJ736" s="68"/>
      <c r="BT736">
        <v>1</v>
      </c>
      <c r="BV736">
        <v>1</v>
      </c>
      <c r="BX736" s="68"/>
      <c r="BY736" s="68">
        <v>1</v>
      </c>
      <c r="BZ736" s="68" t="s">
        <v>1057</v>
      </c>
      <c r="CA736" s="68" t="s">
        <v>1057</v>
      </c>
      <c r="CB736" s="68" t="s">
        <v>1057</v>
      </c>
      <c r="CC736" s="68" t="e">
        <f t="shared" si="140"/>
        <v>#DIV/0!</v>
      </c>
      <c r="CD736" s="68" t="str">
        <f t="shared" si="141"/>
        <v>NA</v>
      </c>
    </row>
    <row r="737" spans="1:82" ht="15.75" customHeight="1" thickBot="1" x14ac:dyDescent="0.3">
      <c r="A737" s="6">
        <v>736</v>
      </c>
      <c r="B737" s="7" t="s">
        <v>803</v>
      </c>
      <c r="C737" s="7" t="s">
        <v>38</v>
      </c>
      <c r="D737" s="7" t="s">
        <v>17</v>
      </c>
      <c r="E737" s="50">
        <v>-209.971498586422</v>
      </c>
      <c r="F737" s="50">
        <v>2.8064176829268299</v>
      </c>
      <c r="G737" s="50">
        <v>4.5005565749235501</v>
      </c>
      <c r="H737" s="50">
        <v>0</v>
      </c>
      <c r="I737" s="8">
        <v>0</v>
      </c>
      <c r="J737" s="50">
        <v>2.6661956671302902</v>
      </c>
      <c r="K737" s="248">
        <f>IFERROR(VLOOKUP(C737,Schedule!$T$3:$U$34,2,0),"FA")</f>
        <v>6</v>
      </c>
      <c r="L737" s="7" t="str">
        <f>D737&amp;COUNTIF(D$2:$D737,D737)</f>
        <v>WR225</v>
      </c>
      <c r="M737" s="50">
        <f t="array" ref="M737">IFERROR(F737-AVERAGE(VLOOKUP(D737,$D738:$F$885,3,0),INDEX($F738:$F$885,SMALL(IF(D737=$D738:$D$885,ROW($D738:$D$885)-ROW(D737)),2))),0)</f>
        <v>0.12070691609893514</v>
      </c>
      <c r="N737" s="50">
        <f>IFERROR(IF(VLOOKUP($B737,Input!$AC$2:$AC$162,1,0)=$B737,0),F737)</f>
        <v>2.8064176829268299</v>
      </c>
      <c r="O737" s="50">
        <f>IFERROR(IF(VLOOKUP($B737,Input!$AC$2:$AC$162,1,0)=$B737,0,G737),G737)</f>
        <v>4.5005565749235501</v>
      </c>
      <c r="P737" s="50">
        <f>IF(N737=0,0,F737-AVERAGE(INDEX(F:F,MATCH(VLOOKUP(D737,Input!$A$14:$L$22,10,0),L:L,0)),INDEX(F:F,MATCH(VLOOKUP(D737,Input!$A$14:$L$22,11,0),L:L,0)),INDEX(F:F,MATCH(VLOOKUP(D737,Input!$A$14:$L$22,12,0),L:L,0)))+(0.01-ROW()*0.01))</f>
        <v>-217.33149858642221</v>
      </c>
      <c r="Q737" s="106">
        <f t="shared" si="136"/>
        <v>-7.4977832853882334E-2</v>
      </c>
      <c r="R737" s="8">
        <f>IF(VLOOKUP($D737,$X$14:$Y$19,2,0)&lt;=0,1,IF(Q737&lt;0,1,ROUNDUP(IF(Q737*('Draft Center'!$L$28+'Draft Center'!$L$78-'Draft Center'!$L$82)&lt;1,1,Q737*('Draft Center'!$L$28+'Draft Center'!$L$78-'Draft Center'!$L$82)),0)))</f>
        <v>1</v>
      </c>
      <c r="S737" s="8">
        <f>IF(A737&lt;Input!$B$10+0.1,IF(ROUNDUP(R737*Input!$C$10,0)=0,1,ROUNDUP(R737*Input!$C$10,0)),IF(A737&gt;Input!$B$11,IF(ROUNDUP(R737*Input!$C$11,0)=0,1,ROUNDUP(R737*Input!$C$11,0)),IF(ROUNDUP(R737,0)=0,1,ROUNDUP(R737,0))))</f>
        <v>1</v>
      </c>
      <c r="T737" s="8">
        <f t="shared" si="137"/>
        <v>1</v>
      </c>
      <c r="U737" s="8">
        <f>IFERROR(VLOOKUP($B737,Input!$AC$2:$AE$161,3,0),0)</f>
        <v>0</v>
      </c>
      <c r="V737" s="256">
        <f t="shared" si="138"/>
        <v>0</v>
      </c>
      <c r="W737" s="263">
        <f t="shared" si="139"/>
        <v>1.0073700000000001</v>
      </c>
      <c r="X737" s="68"/>
      <c r="Y737" s="68"/>
      <c r="Z737" s="68"/>
      <c r="AA737" s="68"/>
      <c r="AB737" s="68"/>
      <c r="AC737" s="68"/>
      <c r="AD737" s="68"/>
      <c r="AE737" s="68"/>
      <c r="AF737" s="68"/>
      <c r="AG737" s="68"/>
      <c r="AH737" s="68"/>
      <c r="AI737" s="68"/>
      <c r="AJ737" s="68">
        <v>1</v>
      </c>
      <c r="AL737" s="68">
        <v>1</v>
      </c>
      <c r="AM737" s="68"/>
      <c r="AN737" s="68"/>
      <c r="AO737" s="68"/>
      <c r="AQ737" s="68"/>
      <c r="AR737" s="68"/>
      <c r="AS737" s="68"/>
      <c r="AT737" s="68"/>
      <c r="AU737" s="68"/>
      <c r="AV737" s="68"/>
      <c r="AW737" s="68"/>
      <c r="AX737" s="68"/>
      <c r="AY737" s="68"/>
      <c r="AZ737" s="68"/>
      <c r="BB737" s="68"/>
      <c r="BC737" s="68"/>
      <c r="BJ737" s="68"/>
      <c r="BT737">
        <v>1</v>
      </c>
      <c r="BV737">
        <v>1</v>
      </c>
      <c r="BX737" s="68"/>
      <c r="BY737" s="68">
        <v>1</v>
      </c>
      <c r="BZ737" s="68">
        <v>0</v>
      </c>
      <c r="CA737" s="68">
        <v>0</v>
      </c>
      <c r="CB737" s="68">
        <v>0</v>
      </c>
      <c r="CC737" s="68">
        <f t="shared" si="140"/>
        <v>0</v>
      </c>
      <c r="CD737" s="68">
        <f t="shared" si="141"/>
        <v>0</v>
      </c>
    </row>
    <row r="738" spans="1:82" ht="15.75" customHeight="1" thickBot="1" x14ac:dyDescent="0.3">
      <c r="A738" s="9">
        <v>737</v>
      </c>
      <c r="B738" s="10" t="s">
        <v>402</v>
      </c>
      <c r="C738" s="10" t="s">
        <v>68</v>
      </c>
      <c r="D738" s="10" t="s">
        <v>17</v>
      </c>
      <c r="E738" s="51">
        <v>-210.00422288955801</v>
      </c>
      <c r="F738" s="51">
        <v>2.7736933797909402</v>
      </c>
      <c r="G738" s="51">
        <v>6.0884056889117701</v>
      </c>
      <c r="H738" s="51">
        <v>0</v>
      </c>
      <c r="I738" s="11" t="s">
        <v>1057</v>
      </c>
      <c r="J738" s="51">
        <v>2.7665259260569002</v>
      </c>
      <c r="K738" s="249">
        <f>IFERROR(VLOOKUP(C738,Schedule!$T$3:$U$34,2,0),"FA")</f>
        <v>8</v>
      </c>
      <c r="L738" s="10" t="str">
        <f>D738&amp;COUNTIF(D$2:$D738,D738)</f>
        <v>WR226</v>
      </c>
      <c r="M738" s="51">
        <f t="array" ref="M738">IFERROR(F738-AVERAGE(VLOOKUP(D738,$D739:$F$885,3,0),INDEX($F739:$F$885,SMALL(IF(D738=$D739:$D$885,ROW($D739:$D$885)-ROW(D738)),2))),0)</f>
        <v>0.31940790134336527</v>
      </c>
      <c r="N738" s="51">
        <f>IFERROR(IF(VLOOKUP($B738,Input!$AC$2:$AC$162,1,0)=$B738,0),F738)</f>
        <v>2.7736933797909402</v>
      </c>
      <c r="O738" s="51">
        <f>IFERROR(IF(VLOOKUP($B738,Input!$AC$2:$AC$162,1,0)=$B738,0,G738),G738)</f>
        <v>6.0884056889117701</v>
      </c>
      <c r="P738" s="51">
        <f>IF(N738=0,0,F738-AVERAGE(INDEX(F:F,MATCH(VLOOKUP(D738,Input!$A$14:$L$22,10,0),L:L,0)),INDEX(F:F,MATCH(VLOOKUP(D738,Input!$A$14:$L$22,11,0),L:L,0)),INDEX(F:F,MATCH(VLOOKUP(D738,Input!$A$14:$L$22,12,0),L:L,0)))+(0.01-ROW()*0.01))</f>
        <v>-217.3742228895581</v>
      </c>
      <c r="Q738" s="107">
        <f t="shared" si="136"/>
        <v>-7.4992572436870339E-2</v>
      </c>
      <c r="R738" s="11">
        <f>IF(VLOOKUP($D738,$X$14:$Y$19,2,0)&lt;=0,1,IF(Q738&lt;0,1,ROUNDUP(IF(Q738*('Draft Center'!$L$28+'Draft Center'!$L$78-'Draft Center'!$L$82)&lt;1,1,Q738*('Draft Center'!$L$28+'Draft Center'!$L$78-'Draft Center'!$L$82)),0)))</f>
        <v>1</v>
      </c>
      <c r="S738" s="11">
        <f>IF(A738&lt;Input!$B$10+0.1,IF(ROUNDUP(R738*Input!$C$10,0)=0,1,ROUNDUP(R738*Input!$C$10,0)),IF(A738&gt;Input!$B$11,IF(ROUNDUP(R738*Input!$C$11,0)=0,1,ROUNDUP(R738*Input!$C$11,0)),IF(ROUNDUP(R738,0)=0,1,ROUNDUP(R738,0))))</f>
        <v>1</v>
      </c>
      <c r="T738" s="11">
        <f t="shared" si="137"/>
        <v>1</v>
      </c>
      <c r="U738" s="11">
        <f>IFERROR(VLOOKUP($B738,Input!$AC$2:$AE$161,3,0),0)</f>
        <v>0</v>
      </c>
      <c r="V738" s="257">
        <f t="shared" si="138"/>
        <v>0</v>
      </c>
      <c r="W738" s="264">
        <f t="shared" si="139"/>
        <v>0</v>
      </c>
      <c r="X738" s="68"/>
      <c r="Y738" s="68"/>
      <c r="Z738" s="68"/>
      <c r="AA738" s="68"/>
      <c r="AB738" s="68"/>
      <c r="AC738" s="68"/>
      <c r="AD738" s="68"/>
      <c r="AE738" s="68"/>
      <c r="AF738" s="68"/>
      <c r="AG738" s="68"/>
      <c r="AH738" s="68"/>
      <c r="AI738" s="68"/>
      <c r="AJ738" s="68">
        <v>1</v>
      </c>
      <c r="AL738" s="68">
        <v>1</v>
      </c>
      <c r="AM738" s="68"/>
      <c r="AN738" s="68"/>
      <c r="AO738" s="68"/>
      <c r="AQ738" s="68"/>
      <c r="AR738" s="68"/>
      <c r="AS738" s="68"/>
      <c r="AT738" s="68"/>
      <c r="AU738" s="68"/>
      <c r="AV738" s="68"/>
      <c r="AW738" s="68"/>
      <c r="AX738" s="68"/>
      <c r="AY738" s="68"/>
      <c r="AZ738" s="68"/>
      <c r="BB738" s="68"/>
      <c r="BC738" s="68"/>
      <c r="BJ738" s="68"/>
      <c r="BT738">
        <v>1</v>
      </c>
      <c r="BV738">
        <v>1</v>
      </c>
      <c r="BX738" s="68"/>
      <c r="BY738" s="68">
        <v>1</v>
      </c>
      <c r="BZ738" s="68" t="s">
        <v>1057</v>
      </c>
      <c r="CA738" s="68" t="s">
        <v>1057</v>
      </c>
      <c r="CB738" s="68" t="s">
        <v>1057</v>
      </c>
      <c r="CC738" s="68" t="e">
        <f t="shared" si="140"/>
        <v>#DIV/0!</v>
      </c>
      <c r="CD738" s="68" t="str">
        <f t="shared" si="141"/>
        <v>NA</v>
      </c>
    </row>
    <row r="739" spans="1:82" ht="15.75" customHeight="1" thickBot="1" x14ac:dyDescent="0.3">
      <c r="A739" s="6">
        <v>738</v>
      </c>
      <c r="B739" s="7" t="s">
        <v>891</v>
      </c>
      <c r="C739" s="7" t="s">
        <v>64</v>
      </c>
      <c r="D739" s="7" t="s">
        <v>17</v>
      </c>
      <c r="E739" s="50">
        <v>-210.18018811548399</v>
      </c>
      <c r="F739" s="50">
        <v>2.5977281538648498</v>
      </c>
      <c r="G739" s="50">
        <v>4.82201814143699</v>
      </c>
      <c r="H739" s="50">
        <v>0</v>
      </c>
      <c r="I739" s="8">
        <v>0</v>
      </c>
      <c r="J739" s="50">
        <v>3.0353807863268498</v>
      </c>
      <c r="K739" s="248">
        <f>IFERROR(VLOOKUP(C739,Schedule!$T$3:$U$34,2,0),"FA")</f>
        <v>11</v>
      </c>
      <c r="L739" s="7" t="str">
        <f>D739&amp;COUNTIF(D$2:$D739,D739)</f>
        <v>WR227</v>
      </c>
      <c r="M739" s="50">
        <f t="array" ref="M739">IFERROR(F739-AVERAGE(VLOOKUP(D739,$D740:$F$885,3,0),INDEX($F740:$F$885,SMALL(IF(D739=$D740:$D$885,ROW($D740:$D$885)-ROW(D739)),2))),0)</f>
        <v>0.39851535249600989</v>
      </c>
      <c r="N739" s="50">
        <f>IFERROR(IF(VLOOKUP($B739,Input!$AC$2:$AC$162,1,0)=$B739,0),F739)</f>
        <v>2.5977281538648498</v>
      </c>
      <c r="O739" s="50">
        <f>IFERROR(IF(VLOOKUP($B739,Input!$AC$2:$AC$162,1,0)=$B739,0,G739),G739)</f>
        <v>4.82201814143699</v>
      </c>
      <c r="P739" s="50">
        <f>IF(N739=0,0,F739-AVERAGE(INDEX(F:F,MATCH(VLOOKUP(D739,Input!$A$14:$L$22,10,0),L:L,0)),INDEX(F:F,MATCH(VLOOKUP(D739,Input!$A$14:$L$22,11,0),L:L,0)),INDEX(F:F,MATCH(VLOOKUP(D739,Input!$A$14:$L$22,12,0),L:L,0)))+(0.01-ROW()*0.01))</f>
        <v>-217.56018811548415</v>
      </c>
      <c r="Q739" s="106">
        <f t="shared" si="136"/>
        <v>-7.5056729127073132E-2</v>
      </c>
      <c r="R739" s="8">
        <f>IF(VLOOKUP($D739,$X$14:$Y$19,2,0)&lt;=0,1,IF(Q739&lt;0,1,ROUNDUP(IF(Q739*('Draft Center'!$L$28+'Draft Center'!$L$78-'Draft Center'!$L$82)&lt;1,1,Q739*('Draft Center'!$L$28+'Draft Center'!$L$78-'Draft Center'!$L$82)),0)))</f>
        <v>1</v>
      </c>
      <c r="S739" s="8">
        <f>IF(A739&lt;Input!$B$10+0.1,IF(ROUNDUP(R739*Input!$C$10,0)=0,1,ROUNDUP(R739*Input!$C$10,0)),IF(A739&gt;Input!$B$11,IF(ROUNDUP(R739*Input!$C$11,0)=0,1,ROUNDUP(R739*Input!$C$11,0)),IF(ROUNDUP(R739,0)=0,1,ROUNDUP(R739,0))))</f>
        <v>1</v>
      </c>
      <c r="T739" s="8">
        <f t="shared" si="137"/>
        <v>1</v>
      </c>
      <c r="U739" s="8">
        <f>IFERROR(VLOOKUP($B739,Input!$AC$2:$AE$161,3,0),0)</f>
        <v>0</v>
      </c>
      <c r="V739" s="256">
        <f t="shared" si="138"/>
        <v>0</v>
      </c>
      <c r="W739" s="263">
        <f t="shared" si="139"/>
        <v>1.00739</v>
      </c>
      <c r="X739" s="68"/>
      <c r="Y739" s="68"/>
      <c r="Z739" s="68"/>
      <c r="AA739" s="68"/>
      <c r="AB739" s="68"/>
      <c r="AC739" s="68"/>
      <c r="AD739" s="68"/>
      <c r="AE739" s="68"/>
      <c r="AF739" s="68"/>
      <c r="AG739" s="68"/>
      <c r="AH739" s="68"/>
      <c r="AI739" s="68"/>
      <c r="AJ739" s="68">
        <v>1</v>
      </c>
      <c r="AL739" s="68">
        <v>1</v>
      </c>
      <c r="AM739" s="68"/>
      <c r="AN739" s="68"/>
      <c r="AO739" s="68"/>
      <c r="AQ739" s="68"/>
      <c r="AR739" s="68"/>
      <c r="AS739" s="68"/>
      <c r="AT739" s="68"/>
      <c r="AU739" s="68"/>
      <c r="AV739" s="68"/>
      <c r="AW739" s="68"/>
      <c r="AX739" s="68"/>
      <c r="AY739" s="68"/>
      <c r="AZ739" s="68"/>
      <c r="BB739" s="68"/>
      <c r="BC739" s="68"/>
      <c r="BJ739" s="68"/>
      <c r="BT739">
        <v>1</v>
      </c>
      <c r="BV739">
        <v>1</v>
      </c>
      <c r="BX739" s="68"/>
      <c r="BY739" s="68">
        <v>1</v>
      </c>
      <c r="BZ739" s="68">
        <v>0</v>
      </c>
      <c r="CA739" s="68">
        <v>0</v>
      </c>
      <c r="CB739" s="68">
        <v>0</v>
      </c>
      <c r="CC739" s="68">
        <f t="shared" si="140"/>
        <v>0</v>
      </c>
      <c r="CD739" s="68">
        <f t="shared" si="141"/>
        <v>0</v>
      </c>
    </row>
    <row r="740" spans="1:82" ht="15.75" customHeight="1" thickBot="1" x14ac:dyDescent="0.3">
      <c r="A740" s="9">
        <v>739</v>
      </c>
      <c r="B740" s="10" t="s">
        <v>504</v>
      </c>
      <c r="C740" s="10" t="s">
        <v>36</v>
      </c>
      <c r="D740" s="10" t="s">
        <v>17</v>
      </c>
      <c r="E740" s="51">
        <v>-210.46707346631899</v>
      </c>
      <c r="F740" s="51">
        <v>2.3108428030303001</v>
      </c>
      <c r="G740" s="51">
        <v>4.2896778115501499</v>
      </c>
      <c r="H740" s="51">
        <v>0</v>
      </c>
      <c r="I740" s="11">
        <v>0</v>
      </c>
      <c r="J740" s="51">
        <v>2.4684767971984698</v>
      </c>
      <c r="K740" s="249">
        <f>IFERROR(VLOOKUP(C740,Schedule!$T$3:$U$34,2,0),"FA")</f>
        <v>7</v>
      </c>
      <c r="L740" s="10" t="str">
        <f>D740&amp;COUNTIF(D$2:$D740,D740)</f>
        <v>WR228</v>
      </c>
      <c r="M740" s="51">
        <f t="array" ref="M740">IFERROR(F740-AVERAGE(VLOOKUP(D740,$D741:$F$885,3,0),INDEX($F741:$F$885,SMALL(IF(D740=$D741:$D$885,ROW($D741:$D$885)-ROW(D740)),2))),0)</f>
        <v>0.25261958499479009</v>
      </c>
      <c r="N740" s="51">
        <f>IFERROR(IF(VLOOKUP($B740,Input!$AC$2:$AC$162,1,0)=$B740,0),F740)</f>
        <v>2.3108428030303001</v>
      </c>
      <c r="O740" s="51">
        <f>IFERROR(IF(VLOOKUP($B740,Input!$AC$2:$AC$162,1,0)=$B740,0,G740),G740)</f>
        <v>4.2896778115501499</v>
      </c>
      <c r="P740" s="51">
        <f>IF(N740=0,0,F740-AVERAGE(INDEX(F:F,MATCH(VLOOKUP(D740,Input!$A$14:$L$22,10,0),L:L,0)),INDEX(F:F,MATCH(VLOOKUP(D740,Input!$A$14:$L$22,11,0),L:L,0)),INDEX(F:F,MATCH(VLOOKUP(D740,Input!$A$14:$L$22,12,0),L:L,0)))+(0.01-ROW()*0.01))</f>
        <v>-217.8570734663187</v>
      </c>
      <c r="Q740" s="107">
        <f t="shared" si="136"/>
        <v>-7.515915247737634E-2</v>
      </c>
      <c r="R740" s="11">
        <f>IF(VLOOKUP($D740,$X$14:$Y$19,2,0)&lt;=0,1,IF(Q740&lt;0,1,ROUNDUP(IF(Q740*('Draft Center'!$L$28+'Draft Center'!$L$78-'Draft Center'!$L$82)&lt;1,1,Q740*('Draft Center'!$L$28+'Draft Center'!$L$78-'Draft Center'!$L$82)),0)))</f>
        <v>1</v>
      </c>
      <c r="S740" s="11">
        <f>IF(A740&lt;Input!$B$10+0.1,IF(ROUNDUP(R740*Input!$C$10,0)=0,1,ROUNDUP(R740*Input!$C$10,0)),IF(A740&gt;Input!$B$11,IF(ROUNDUP(R740*Input!$C$11,0)=0,1,ROUNDUP(R740*Input!$C$11,0)),IF(ROUNDUP(R740,0)=0,1,ROUNDUP(R740,0))))</f>
        <v>1</v>
      </c>
      <c r="T740" s="11">
        <f t="shared" si="137"/>
        <v>1</v>
      </c>
      <c r="U740" s="11">
        <f>IFERROR(VLOOKUP($B740,Input!$AC$2:$AE$161,3,0),0)</f>
        <v>0</v>
      </c>
      <c r="V740" s="257">
        <f t="shared" si="138"/>
        <v>0</v>
      </c>
      <c r="W740" s="264">
        <f t="shared" si="139"/>
        <v>1.0074000000000001</v>
      </c>
      <c r="X740" s="68"/>
      <c r="Y740" s="68"/>
      <c r="Z740" s="68"/>
      <c r="AA740" s="68"/>
      <c r="AB740" s="68"/>
      <c r="AC740" s="68"/>
      <c r="AD740" s="68"/>
      <c r="AE740" s="68"/>
      <c r="AF740" s="68"/>
      <c r="AG740" s="68"/>
      <c r="AH740" s="68"/>
      <c r="AI740" s="68"/>
      <c r="AJ740" s="68">
        <v>1</v>
      </c>
      <c r="AL740" s="68">
        <v>1</v>
      </c>
      <c r="AM740" s="68"/>
      <c r="AN740" s="68"/>
      <c r="AO740" s="68"/>
      <c r="AQ740" s="68"/>
      <c r="AR740" s="68"/>
      <c r="AS740" s="68"/>
      <c r="AT740" s="68"/>
      <c r="AU740" s="68"/>
      <c r="AV740" s="68"/>
      <c r="AW740" s="68"/>
      <c r="AX740" s="68"/>
      <c r="AY740" s="68"/>
      <c r="AZ740" s="68"/>
      <c r="BB740" s="68"/>
      <c r="BC740" s="68"/>
      <c r="BJ740" s="68"/>
      <c r="BT740">
        <v>1</v>
      </c>
      <c r="BV740">
        <v>1</v>
      </c>
      <c r="BX740" s="68"/>
      <c r="BY740" s="68">
        <v>1</v>
      </c>
      <c r="BZ740" s="68">
        <v>0</v>
      </c>
      <c r="CA740" s="68">
        <v>0</v>
      </c>
      <c r="CB740" s="68">
        <v>0</v>
      </c>
      <c r="CC740" s="68">
        <f t="shared" si="140"/>
        <v>0</v>
      </c>
      <c r="CD740" s="68">
        <f t="shared" si="141"/>
        <v>0</v>
      </c>
    </row>
    <row r="741" spans="1:82" ht="15.75" customHeight="1" thickBot="1" x14ac:dyDescent="0.3">
      <c r="A741" s="6">
        <v>740</v>
      </c>
      <c r="B741" s="7" t="s">
        <v>521</v>
      </c>
      <c r="C741" s="7" t="s">
        <v>143</v>
      </c>
      <c r="D741" s="7" t="s">
        <v>17</v>
      </c>
      <c r="E741" s="50">
        <v>-210.69033346964201</v>
      </c>
      <c r="F741" s="50">
        <v>2.0875827997073801</v>
      </c>
      <c r="G741" s="50">
        <v>4.5413372093023296</v>
      </c>
      <c r="H741" s="50">
        <v>-9.2473118279569902E-2</v>
      </c>
      <c r="I741" s="8" t="s">
        <v>1057</v>
      </c>
      <c r="J741" s="50">
        <v>2.7178999021897701</v>
      </c>
      <c r="K741" s="248">
        <f>IFERROR(VLOOKUP(C741,Schedule!$T$3:$U$34,2,0),"FA")</f>
        <v>9</v>
      </c>
      <c r="L741" s="7" t="str">
        <f>D741&amp;COUNTIF(D$2:$D741,D741)</f>
        <v>WR229</v>
      </c>
      <c r="M741" s="50">
        <f t="array" ref="M741">IFERROR(F741-AVERAGE(VLOOKUP(D741,$D742:$F$885,3,0),INDEX($F742:$F$885,SMALL(IF(D741=$D742:$D$885,ROW($D742:$D$885)-ROW(D741)),2))),0)</f>
        <v>9.2600775198185215E-2</v>
      </c>
      <c r="N741" s="50">
        <f>IFERROR(IF(VLOOKUP($B741,Input!$AC$2:$AC$162,1,0)=$B741,0),F741)</f>
        <v>2.0875827997073801</v>
      </c>
      <c r="O741" s="50">
        <f>IFERROR(IF(VLOOKUP($B741,Input!$AC$2:$AC$162,1,0)=$B741,0,G741),G741)</f>
        <v>4.5413372093023296</v>
      </c>
      <c r="P741" s="50">
        <f>IF(N741=0,0,F741-AVERAGE(INDEX(F:F,MATCH(VLOOKUP(D741,Input!$A$14:$L$22,10,0),L:L,0)),INDEX(F:F,MATCH(VLOOKUP(D741,Input!$A$14:$L$22,11,0),L:L,0)),INDEX(F:F,MATCH(VLOOKUP(D741,Input!$A$14:$L$22,12,0),L:L,0)))+(0.01-ROW()*0.01))</f>
        <v>-218.09033346964165</v>
      </c>
      <c r="Q741" s="106">
        <f t="shared" si="136"/>
        <v>-7.5239625531923884E-2</v>
      </c>
      <c r="R741" s="8">
        <f>IF(VLOOKUP($D741,$X$14:$Y$19,2,0)&lt;=0,1,IF(Q741&lt;0,1,ROUNDUP(IF(Q741*('Draft Center'!$L$28+'Draft Center'!$L$78-'Draft Center'!$L$82)&lt;1,1,Q741*('Draft Center'!$L$28+'Draft Center'!$L$78-'Draft Center'!$L$82)),0)))</f>
        <v>1</v>
      </c>
      <c r="S741" s="8">
        <f>IF(A741&lt;Input!$B$10+0.1,IF(ROUNDUP(R741*Input!$C$10,0)=0,1,ROUNDUP(R741*Input!$C$10,0)),IF(A741&gt;Input!$B$11,IF(ROUNDUP(R741*Input!$C$11,0)=0,1,ROUNDUP(R741*Input!$C$11,0)),IF(ROUNDUP(R741,0)=0,1,ROUNDUP(R741,0))))</f>
        <v>1</v>
      </c>
      <c r="T741" s="8">
        <f t="shared" si="137"/>
        <v>1</v>
      </c>
      <c r="U741" s="8">
        <f>IFERROR(VLOOKUP($B741,Input!$AC$2:$AE$161,3,0),0)</f>
        <v>0</v>
      </c>
      <c r="V741" s="256">
        <f t="shared" si="138"/>
        <v>0</v>
      </c>
      <c r="W741" s="263">
        <f t="shared" si="139"/>
        <v>0</v>
      </c>
      <c r="X741" s="68"/>
      <c r="Y741" s="68"/>
      <c r="Z741" s="68"/>
      <c r="AA741" s="68"/>
      <c r="AB741" s="68"/>
      <c r="AC741" s="68"/>
      <c r="AD741" s="68"/>
      <c r="AE741" s="68"/>
      <c r="AF741" s="68"/>
      <c r="AG741" s="68"/>
      <c r="AH741" s="68"/>
      <c r="AI741" s="68"/>
      <c r="AJ741" s="68">
        <v>1</v>
      </c>
      <c r="AL741" s="68">
        <v>1</v>
      </c>
      <c r="AM741" s="68"/>
      <c r="AN741" s="68"/>
      <c r="AO741" s="68"/>
      <c r="AQ741" s="68"/>
      <c r="AR741" s="68"/>
      <c r="AS741" s="68"/>
      <c r="AT741" s="68"/>
      <c r="AU741" s="68"/>
      <c r="AV741" s="68"/>
      <c r="AW741" s="68"/>
      <c r="AX741" s="68"/>
      <c r="AY741" s="68"/>
      <c r="AZ741" s="68"/>
      <c r="BB741" s="68"/>
      <c r="BC741" s="68"/>
      <c r="BJ741" s="68"/>
      <c r="BT741">
        <v>1</v>
      </c>
      <c r="BV741">
        <v>1</v>
      </c>
      <c r="BX741" s="68"/>
      <c r="BY741" s="68">
        <v>1</v>
      </c>
      <c r="BZ741" s="68" t="s">
        <v>1057</v>
      </c>
      <c r="CA741" s="68" t="s">
        <v>1057</v>
      </c>
      <c r="CB741" s="68" t="s">
        <v>1057</v>
      </c>
      <c r="CC741" s="68" t="e">
        <f t="shared" si="140"/>
        <v>#DIV/0!</v>
      </c>
      <c r="CD741" s="68" t="str">
        <f t="shared" si="141"/>
        <v>NA</v>
      </c>
    </row>
    <row r="742" spans="1:82" ht="15.75" customHeight="1" thickBot="1" x14ac:dyDescent="0.3">
      <c r="A742" s="9">
        <v>741</v>
      </c>
      <c r="B742" s="10" t="s">
        <v>797</v>
      </c>
      <c r="C742" s="10" t="s">
        <v>52</v>
      </c>
      <c r="D742" s="10" t="s">
        <v>17</v>
      </c>
      <c r="E742" s="51">
        <v>-210.74905263298501</v>
      </c>
      <c r="F742" s="51">
        <v>2.0288636363636399</v>
      </c>
      <c r="G742" s="51">
        <v>3.5697872340425501</v>
      </c>
      <c r="H742" s="51">
        <v>0</v>
      </c>
      <c r="I742" s="11" t="s">
        <v>1057</v>
      </c>
      <c r="J742" s="51">
        <v>2.3661193376107001</v>
      </c>
      <c r="K742" s="249">
        <f>IFERROR(VLOOKUP(C742,Schedule!$T$3:$U$34,2,0),"FA")</f>
        <v>11</v>
      </c>
      <c r="L742" s="10" t="str">
        <f>D742&amp;COUNTIF(D$2:$D742,D742)</f>
        <v>WR230</v>
      </c>
      <c r="M742" s="51">
        <f t="array" ref="M742">IFERROR(F742-AVERAGE(VLOOKUP(D742,$D743:$F$885,3,0),INDEX($F743:$F$885,SMALL(IF(D742=$D743:$D$885,ROW($D743:$D$885)-ROW(D742)),2))),0)</f>
        <v>0.21435509670292996</v>
      </c>
      <c r="N742" s="51">
        <f>IFERROR(IF(VLOOKUP($B742,Input!$AC$2:$AC$162,1,0)=$B742,0),F742)</f>
        <v>2.0288636363636399</v>
      </c>
      <c r="O742" s="51">
        <f>IFERROR(IF(VLOOKUP($B742,Input!$AC$2:$AC$162,1,0)=$B742,0,G742),G742)</f>
        <v>3.5697872340425501</v>
      </c>
      <c r="P742" s="51">
        <f>IF(N742=0,0,F742-AVERAGE(INDEX(F:F,MATCH(VLOOKUP(D742,Input!$A$14:$L$22,10,0),L:L,0)),INDEX(F:F,MATCH(VLOOKUP(D742,Input!$A$14:$L$22,11,0),L:L,0)),INDEX(F:F,MATCH(VLOOKUP(D742,Input!$A$14:$L$22,12,0),L:L,0)))+(0.01-ROW()*0.01))</f>
        <v>-218.15905263298538</v>
      </c>
      <c r="Q742" s="107">
        <f t="shared" si="136"/>
        <v>-7.5263333158184037E-2</v>
      </c>
      <c r="R742" s="11">
        <f>IF(VLOOKUP($D742,$X$14:$Y$19,2,0)&lt;=0,1,IF(Q742&lt;0,1,ROUNDUP(IF(Q742*('Draft Center'!$L$28+'Draft Center'!$L$78-'Draft Center'!$L$82)&lt;1,1,Q742*('Draft Center'!$L$28+'Draft Center'!$L$78-'Draft Center'!$L$82)),0)))</f>
        <v>1</v>
      </c>
      <c r="S742" s="11">
        <f>IF(A742&lt;Input!$B$10+0.1,IF(ROUNDUP(R742*Input!$C$10,0)=0,1,ROUNDUP(R742*Input!$C$10,0)),IF(A742&gt;Input!$B$11,IF(ROUNDUP(R742*Input!$C$11,0)=0,1,ROUNDUP(R742*Input!$C$11,0)),IF(ROUNDUP(R742,0)=0,1,ROUNDUP(R742,0))))</f>
        <v>1</v>
      </c>
      <c r="T742" s="11">
        <f t="shared" si="137"/>
        <v>1</v>
      </c>
      <c r="U742" s="11">
        <f>IFERROR(VLOOKUP($B742,Input!$AC$2:$AE$161,3,0),0)</f>
        <v>0</v>
      </c>
      <c r="V742" s="257">
        <f t="shared" si="138"/>
        <v>0</v>
      </c>
      <c r="W742" s="264">
        <f t="shared" si="139"/>
        <v>0</v>
      </c>
      <c r="X742" s="68"/>
      <c r="Y742" s="68"/>
      <c r="Z742" s="68"/>
      <c r="AA742" s="68"/>
      <c r="AB742" s="68"/>
      <c r="AC742" s="68"/>
      <c r="AD742" s="68"/>
      <c r="AE742" s="68"/>
      <c r="AF742" s="68"/>
      <c r="AG742" s="68"/>
      <c r="AH742" s="68"/>
      <c r="AI742" s="68"/>
      <c r="AJ742" s="68">
        <v>1</v>
      </c>
      <c r="AL742" s="68">
        <v>1</v>
      </c>
      <c r="AM742" s="68"/>
      <c r="AN742" s="68"/>
      <c r="AO742" s="68"/>
      <c r="AQ742" s="68"/>
      <c r="AR742" s="68"/>
      <c r="AS742" s="68"/>
      <c r="AT742" s="68"/>
      <c r="AU742" s="68"/>
      <c r="AV742" s="68"/>
      <c r="AW742" s="68"/>
      <c r="AX742" s="68"/>
      <c r="AY742" s="68"/>
      <c r="AZ742" s="68"/>
      <c r="BB742" s="68"/>
      <c r="BC742" s="68"/>
      <c r="BJ742" s="68"/>
      <c r="BT742">
        <v>1</v>
      </c>
      <c r="BV742">
        <v>1</v>
      </c>
      <c r="BX742" s="68"/>
      <c r="BY742" s="68">
        <v>1</v>
      </c>
      <c r="BZ742" s="68" t="s">
        <v>1057</v>
      </c>
      <c r="CA742" s="68" t="s">
        <v>1057</v>
      </c>
      <c r="CB742" s="68" t="s">
        <v>1057</v>
      </c>
      <c r="CC742" s="68" t="e">
        <f t="shared" si="140"/>
        <v>#DIV/0!</v>
      </c>
      <c r="CD742" s="68" t="str">
        <f t="shared" si="141"/>
        <v>NA</v>
      </c>
    </row>
    <row r="743" spans="1:82" ht="15.75" customHeight="1" thickBot="1" x14ac:dyDescent="0.3">
      <c r="A743" s="6">
        <v>742</v>
      </c>
      <c r="B743" s="7" t="s">
        <v>1169</v>
      </c>
      <c r="C743" s="7" t="s">
        <v>80</v>
      </c>
      <c r="D743" s="7" t="s">
        <v>17</v>
      </c>
      <c r="E743" s="50">
        <v>-210.81681585669401</v>
      </c>
      <c r="F743" s="50">
        <v>1.96110041265475</v>
      </c>
      <c r="G743" s="50">
        <v>3.2134580467675402</v>
      </c>
      <c r="H743" s="50">
        <v>0</v>
      </c>
      <c r="I743" s="8" t="s">
        <v>1057</v>
      </c>
      <c r="J743" s="50">
        <v>2.36223624959616</v>
      </c>
      <c r="K743" s="248">
        <f>IFERROR(VLOOKUP(C743,Schedule!$T$3:$U$34,2,0),"FA")</f>
        <v>11</v>
      </c>
      <c r="L743" s="7" t="str">
        <f>D743&amp;COUNTIF(D$2:$D743,D743)</f>
        <v>WR231</v>
      </c>
      <c r="M743" s="50">
        <f t="array" ref="M743">IFERROR(F743-AVERAGE(VLOOKUP(D743,$D744:$F$885,3,0),INDEX($F744:$F$885,SMALL(IF(D743=$D744:$D$885,ROW($D744:$D$885)-ROW(D743)),2))),0)</f>
        <v>0.31076656350298482</v>
      </c>
      <c r="N743" s="50">
        <f>IFERROR(IF(VLOOKUP($B743,Input!$AC$2:$AC$162,1,0)=$B743,0),F743)</f>
        <v>1.96110041265475</v>
      </c>
      <c r="O743" s="50">
        <f>IFERROR(IF(VLOOKUP($B743,Input!$AC$2:$AC$162,1,0)=$B743,0,G743),G743)</f>
        <v>3.2134580467675402</v>
      </c>
      <c r="P743" s="50">
        <f>IF(N743=0,0,F743-AVERAGE(INDEX(F:F,MATCH(VLOOKUP(D743,Input!$A$14:$L$22,10,0),L:L,0)),INDEX(F:F,MATCH(VLOOKUP(D743,Input!$A$14:$L$22,11,0),L:L,0)),INDEX(F:F,MATCH(VLOOKUP(D743,Input!$A$14:$L$22,12,0),L:L,0)))+(0.01-ROW()*0.01))</f>
        <v>-218.23681585669425</v>
      </c>
      <c r="Q743" s="106">
        <f t="shared" si="136"/>
        <v>-7.5290160921427499E-2</v>
      </c>
      <c r="R743" s="8">
        <f>IF(VLOOKUP($D743,$X$14:$Y$19,2,0)&lt;=0,1,IF(Q743&lt;0,1,ROUNDUP(IF(Q743*('Draft Center'!$L$28+'Draft Center'!$L$78-'Draft Center'!$L$82)&lt;1,1,Q743*('Draft Center'!$L$28+'Draft Center'!$L$78-'Draft Center'!$L$82)),0)))</f>
        <v>1</v>
      </c>
      <c r="S743" s="8">
        <f>IF(A743&lt;Input!$B$10+0.1,IF(ROUNDUP(R743*Input!$C$10,0)=0,1,ROUNDUP(R743*Input!$C$10,0)),IF(A743&gt;Input!$B$11,IF(ROUNDUP(R743*Input!$C$11,0)=0,1,ROUNDUP(R743*Input!$C$11,0)),IF(ROUNDUP(R743,0)=0,1,ROUNDUP(R743,0))))</f>
        <v>1</v>
      </c>
      <c r="T743" s="8">
        <f t="shared" si="137"/>
        <v>1</v>
      </c>
      <c r="U743" s="8">
        <f>IFERROR(VLOOKUP($B743,Input!$AC$2:$AE$161,3,0),0)</f>
        <v>0</v>
      </c>
      <c r="V743" s="256">
        <f t="shared" si="138"/>
        <v>0</v>
      </c>
      <c r="W743" s="263">
        <f t="shared" si="139"/>
        <v>0</v>
      </c>
      <c r="X743" s="68"/>
      <c r="Y743" s="68"/>
      <c r="Z743" s="68"/>
      <c r="AA743" s="68"/>
      <c r="AB743" s="68"/>
      <c r="AC743" s="68"/>
      <c r="AD743" s="68"/>
      <c r="AE743" s="68"/>
      <c r="AF743" s="68"/>
      <c r="AG743" s="68"/>
      <c r="AH743" s="68"/>
      <c r="AI743" s="68"/>
      <c r="AJ743" s="68">
        <v>1</v>
      </c>
      <c r="AL743" s="68">
        <v>1</v>
      </c>
      <c r="AM743" s="68"/>
      <c r="AN743" s="68"/>
      <c r="AO743" s="68"/>
      <c r="AQ743" s="68"/>
      <c r="AR743" s="68"/>
      <c r="AS743" s="68"/>
      <c r="AT743" s="68"/>
      <c r="AU743" s="68"/>
      <c r="AV743" s="68"/>
      <c r="AW743" s="68"/>
      <c r="AX743" s="68"/>
      <c r="AY743" s="68"/>
      <c r="AZ743" s="68"/>
      <c r="BB743" s="68"/>
      <c r="BC743" s="68"/>
      <c r="BJ743" s="68"/>
      <c r="BT743">
        <v>1</v>
      </c>
      <c r="BV743">
        <v>1</v>
      </c>
      <c r="BX743" s="68"/>
      <c r="BY743" s="68">
        <v>1</v>
      </c>
      <c r="BZ743" s="68" t="s">
        <v>1057</v>
      </c>
      <c r="CA743" s="68" t="s">
        <v>1057</v>
      </c>
      <c r="CB743" s="68" t="s">
        <v>1057</v>
      </c>
      <c r="CC743" s="68" t="e">
        <f t="shared" si="140"/>
        <v>#DIV/0!</v>
      </c>
      <c r="CD743" s="68" t="str">
        <f t="shared" si="141"/>
        <v>NA</v>
      </c>
    </row>
    <row r="744" spans="1:82" ht="15.75" customHeight="1" thickBot="1" x14ac:dyDescent="0.3">
      <c r="A744" s="9">
        <v>743</v>
      </c>
      <c r="B744" s="10" t="s">
        <v>829</v>
      </c>
      <c r="C744" s="10" t="s">
        <v>143</v>
      </c>
      <c r="D744" s="10" t="s">
        <v>17</v>
      </c>
      <c r="E744" s="51">
        <v>-211.109999602682</v>
      </c>
      <c r="F744" s="51">
        <v>1.66791666666667</v>
      </c>
      <c r="G744" s="51">
        <v>2.9360486322188399</v>
      </c>
      <c r="H744" s="51">
        <v>0</v>
      </c>
      <c r="I744" s="11" t="s">
        <v>1057</v>
      </c>
      <c r="J744" s="51">
        <v>4.5233605545708704</v>
      </c>
      <c r="K744" s="249">
        <f>IFERROR(VLOOKUP(C744,Schedule!$T$3:$U$34,2,0),"FA")</f>
        <v>9</v>
      </c>
      <c r="L744" s="10" t="str">
        <f>D744&amp;COUNTIF(D$2:$D744,D744)</f>
        <v>WR232</v>
      </c>
      <c r="M744" s="51">
        <f t="array" ref="M744">IFERROR(F744-AVERAGE(VLOOKUP(D744,$D745:$F$885,3,0),INDEX($F745:$F$885,SMALL(IF(D744=$D745:$D$885,ROW($D745:$D$885)-ROW(D744)),2))),0)</f>
        <v>0.1332708515284049</v>
      </c>
      <c r="N744" s="51">
        <f>IFERROR(IF(VLOOKUP($B744,Input!$AC$2:$AC$162,1,0)=$B744,0),F744)</f>
        <v>1.66791666666667</v>
      </c>
      <c r="O744" s="51">
        <f>IFERROR(IF(VLOOKUP($B744,Input!$AC$2:$AC$162,1,0)=$B744,0,G744),G744)</f>
        <v>2.9360486322188399</v>
      </c>
      <c r="P744" s="51">
        <f>IF(N744=0,0,F744-AVERAGE(INDEX(F:F,MATCH(VLOOKUP(D744,Input!$A$14:$L$22,10,0),L:L,0)),INDEX(F:F,MATCH(VLOOKUP(D744,Input!$A$14:$L$22,11,0),L:L,0)),INDEX(F:F,MATCH(VLOOKUP(D744,Input!$A$14:$L$22,12,0),L:L,0)))+(0.01-ROW()*0.01))</f>
        <v>-218.53999960268237</v>
      </c>
      <c r="Q744" s="107">
        <f t="shared" si="136"/>
        <v>-7.5394757173597865E-2</v>
      </c>
      <c r="R744" s="11">
        <f>IF(VLOOKUP($D744,$X$14:$Y$19,2,0)&lt;=0,1,IF(Q744&lt;0,1,ROUNDUP(IF(Q744*('Draft Center'!$L$28+'Draft Center'!$L$78-'Draft Center'!$L$82)&lt;1,1,Q744*('Draft Center'!$L$28+'Draft Center'!$L$78-'Draft Center'!$L$82)),0)))</f>
        <v>1</v>
      </c>
      <c r="S744" s="11">
        <f>IF(A744&lt;Input!$B$10+0.1,IF(ROUNDUP(R744*Input!$C$10,0)=0,1,ROUNDUP(R744*Input!$C$10,0)),IF(A744&gt;Input!$B$11,IF(ROUNDUP(R744*Input!$C$11,0)=0,1,ROUNDUP(R744*Input!$C$11,0)),IF(ROUNDUP(R744,0)=0,1,ROUNDUP(R744,0))))</f>
        <v>1</v>
      </c>
      <c r="T744" s="11">
        <f t="shared" si="137"/>
        <v>1</v>
      </c>
      <c r="U744" s="11">
        <f>IFERROR(VLOOKUP($B744,Input!$AC$2:$AE$161,3,0),0)</f>
        <v>0</v>
      </c>
      <c r="V744" s="257">
        <f t="shared" si="138"/>
        <v>0</v>
      </c>
      <c r="W744" s="264">
        <f t="shared" si="139"/>
        <v>0</v>
      </c>
      <c r="X744" s="68"/>
      <c r="Y744" s="68"/>
      <c r="Z744" s="68"/>
      <c r="AA744" s="68"/>
      <c r="AB744" s="68"/>
      <c r="AC744" s="68"/>
      <c r="AD744" s="68"/>
      <c r="AE744" s="68"/>
      <c r="AF744" s="68"/>
      <c r="AG744" s="68"/>
      <c r="AH744" s="68"/>
      <c r="AI744" s="68"/>
      <c r="AJ744" s="68">
        <v>1</v>
      </c>
      <c r="AL744" s="68">
        <v>1</v>
      </c>
      <c r="AM744" s="68"/>
      <c r="AN744" s="68"/>
      <c r="AO744" s="68"/>
      <c r="AQ744" s="68"/>
      <c r="AR744" s="68"/>
      <c r="AS744" s="68"/>
      <c r="AT744" s="68"/>
      <c r="AU744" s="68"/>
      <c r="AV744" s="68"/>
      <c r="AW744" s="68"/>
      <c r="AX744" s="68"/>
      <c r="AY744" s="68"/>
      <c r="AZ744" s="68"/>
      <c r="BB744" s="68"/>
      <c r="BC744" s="68"/>
      <c r="BJ744" s="68"/>
      <c r="BT744">
        <v>1</v>
      </c>
      <c r="BV744">
        <v>1</v>
      </c>
      <c r="BX744" s="68"/>
      <c r="BY744" s="68">
        <v>1</v>
      </c>
      <c r="BZ744" s="68" t="s">
        <v>1057</v>
      </c>
      <c r="CA744" s="68" t="s">
        <v>1057</v>
      </c>
      <c r="CB744" s="68" t="s">
        <v>1057</v>
      </c>
      <c r="CC744" s="68" t="e">
        <f t="shared" si="140"/>
        <v>#DIV/0!</v>
      </c>
      <c r="CD744" s="68" t="str">
        <f t="shared" si="141"/>
        <v>NA</v>
      </c>
    </row>
    <row r="745" spans="1:82" ht="15.75" customHeight="1" thickBot="1" x14ac:dyDescent="0.3">
      <c r="A745" s="6">
        <v>744</v>
      </c>
      <c r="B745" s="7" t="s">
        <v>1022</v>
      </c>
      <c r="C745" s="7" t="s">
        <v>23</v>
      </c>
      <c r="D745" s="7" t="s">
        <v>17</v>
      </c>
      <c r="E745" s="50">
        <v>-211.14516523771201</v>
      </c>
      <c r="F745" s="50">
        <v>1.6327510316368601</v>
      </c>
      <c r="G745" s="50">
        <v>2.7627775071615202</v>
      </c>
      <c r="H745" s="50">
        <v>0</v>
      </c>
      <c r="I745" s="8" t="s">
        <v>1057</v>
      </c>
      <c r="J745" s="50">
        <v>2.2854295958012698</v>
      </c>
      <c r="K745" s="248">
        <f>IFERROR(VLOOKUP(C745,Schedule!$T$3:$U$34,2,0),"FA")</f>
        <v>5</v>
      </c>
      <c r="L745" s="7" t="str">
        <f>D745&amp;COUNTIF(D$2:$D745,D745)</f>
        <v>WR233</v>
      </c>
      <c r="M745" s="50">
        <f t="array" ref="M745">IFERROR(F745-AVERAGE(VLOOKUP(D745,$D746:$F$885,3,0),INDEX($F746:$F$885,SMALL(IF(D745=$D746:$D$885,ROW($D746:$D$885)-ROW(D745)),2))),0)</f>
        <v>0.24948073231702494</v>
      </c>
      <c r="N745" s="50">
        <f>IFERROR(IF(VLOOKUP($B745,Input!$AC$2:$AC$162,1,0)=$B745,0),F745)</f>
        <v>1.6327510316368601</v>
      </c>
      <c r="O745" s="50">
        <f>IFERROR(IF(VLOOKUP($B745,Input!$AC$2:$AC$162,1,0)=$B745,0,G745),G745)</f>
        <v>2.7627775071615202</v>
      </c>
      <c r="P745" s="50">
        <f>IF(N745=0,0,F745-AVERAGE(INDEX(F:F,MATCH(VLOOKUP(D745,Input!$A$14:$L$22,10,0),L:L,0)),INDEX(F:F,MATCH(VLOOKUP(D745,Input!$A$14:$L$22,11,0),L:L,0)),INDEX(F:F,MATCH(VLOOKUP(D745,Input!$A$14:$L$22,12,0),L:L,0)))+(0.01-ROW()*0.01))</f>
        <v>-218.58516523771215</v>
      </c>
      <c r="Q745" s="106">
        <f t="shared" si="136"/>
        <v>-7.5410338998855728E-2</v>
      </c>
      <c r="R745" s="8">
        <f>IF(VLOOKUP($D745,$X$14:$Y$19,2,0)&lt;=0,1,IF(Q745&lt;0,1,ROUNDUP(IF(Q745*('Draft Center'!$L$28+'Draft Center'!$L$78-'Draft Center'!$L$82)&lt;1,1,Q745*('Draft Center'!$L$28+'Draft Center'!$L$78-'Draft Center'!$L$82)),0)))</f>
        <v>1</v>
      </c>
      <c r="S745" s="8">
        <f>IF(A745&lt;Input!$B$10+0.1,IF(ROUNDUP(R745*Input!$C$10,0)=0,1,ROUNDUP(R745*Input!$C$10,0)),IF(A745&gt;Input!$B$11,IF(ROUNDUP(R745*Input!$C$11,0)=0,1,ROUNDUP(R745*Input!$C$11,0)),IF(ROUNDUP(R745,0)=0,1,ROUNDUP(R745,0))))</f>
        <v>1</v>
      </c>
      <c r="T745" s="8">
        <f t="shared" si="137"/>
        <v>1</v>
      </c>
      <c r="U745" s="8">
        <f>IFERROR(VLOOKUP($B745,Input!$AC$2:$AE$161,3,0),0)</f>
        <v>0</v>
      </c>
      <c r="V745" s="256">
        <f t="shared" si="138"/>
        <v>0</v>
      </c>
      <c r="W745" s="263">
        <f t="shared" si="139"/>
        <v>0</v>
      </c>
      <c r="X745" s="68"/>
      <c r="Y745" s="68"/>
      <c r="Z745" s="68"/>
      <c r="AA745" s="68"/>
      <c r="AB745" s="68"/>
      <c r="AC745" s="68"/>
      <c r="AD745" s="68"/>
      <c r="AE745" s="68"/>
      <c r="AF745" s="68"/>
      <c r="AG745" s="68"/>
      <c r="AH745" s="68"/>
      <c r="AI745" s="68"/>
      <c r="AJ745" s="68">
        <v>1</v>
      </c>
      <c r="AL745" s="68">
        <v>1</v>
      </c>
      <c r="AM745" s="68"/>
      <c r="AN745" s="68"/>
      <c r="AO745" s="68"/>
      <c r="AQ745" s="68"/>
      <c r="AR745" s="68"/>
      <c r="AS745" s="68"/>
      <c r="AT745" s="68"/>
      <c r="AU745" s="68"/>
      <c r="AV745" s="68"/>
      <c r="AW745" s="68"/>
      <c r="AX745" s="68"/>
      <c r="AY745" s="68"/>
      <c r="AZ745" s="68"/>
      <c r="BB745" s="68"/>
      <c r="BC745" s="68"/>
      <c r="BJ745" s="68"/>
      <c r="BT745">
        <v>1</v>
      </c>
      <c r="BV745">
        <v>1</v>
      </c>
      <c r="BX745" s="68"/>
      <c r="BY745" s="68">
        <v>1</v>
      </c>
      <c r="BZ745" s="68" t="s">
        <v>1057</v>
      </c>
      <c r="CA745" s="68" t="s">
        <v>1057</v>
      </c>
      <c r="CB745" s="68" t="s">
        <v>1057</v>
      </c>
      <c r="CC745" s="68" t="e">
        <f t="shared" si="140"/>
        <v>#DIV/0!</v>
      </c>
      <c r="CD745" s="68" t="str">
        <f t="shared" si="141"/>
        <v>NA</v>
      </c>
    </row>
    <row r="746" spans="1:82" ht="15.75" customHeight="1" thickBot="1" x14ac:dyDescent="0.3">
      <c r="A746" s="9">
        <v>745</v>
      </c>
      <c r="B746" s="10" t="s">
        <v>519</v>
      </c>
      <c r="C746" s="10" t="s">
        <v>927</v>
      </c>
      <c r="D746" s="10" t="s">
        <v>17</v>
      </c>
      <c r="E746" s="51">
        <v>-211.341375670709</v>
      </c>
      <c r="F746" s="51">
        <v>1.43654059863967</v>
      </c>
      <c r="G746" s="51">
        <v>3.2197787234042599</v>
      </c>
      <c r="H746" s="51">
        <v>-0.12636488340192001</v>
      </c>
      <c r="I746" s="11">
        <v>0</v>
      </c>
      <c r="J746" s="51">
        <v>2.4393888682583098</v>
      </c>
      <c r="K746" s="249">
        <f>IFERROR(VLOOKUP(C746,Schedule!$T$3:$U$34,2,0),"FA")</f>
        <v>9</v>
      </c>
      <c r="L746" s="10" t="str">
        <f>D746&amp;COUNTIF(D$2:$D746,D746)</f>
        <v>WR234</v>
      </c>
      <c r="M746" s="51">
        <f t="array" ref="M746">IFERROR(F746-AVERAGE(VLOOKUP(D746,$D747:$F$885,3,0),INDEX($F747:$F$885,SMALL(IF(D746=$D747:$D$885,ROW($D747:$D$885)-ROW(D746)),2))),0)</f>
        <v>0.3318819608132979</v>
      </c>
      <c r="N746" s="51">
        <f>IFERROR(IF(VLOOKUP($B746,Input!$AC$2:$AC$162,1,0)=$B746,0),F746)</f>
        <v>1.43654059863967</v>
      </c>
      <c r="O746" s="51">
        <f>IFERROR(IF(VLOOKUP($B746,Input!$AC$2:$AC$162,1,0)=$B746,0,G746),G746)</f>
        <v>3.2197787234042599</v>
      </c>
      <c r="P746" s="51">
        <f>IF(N746=0,0,F746-AVERAGE(INDEX(F:F,MATCH(VLOOKUP(D746,Input!$A$14:$L$22,10,0),L:L,0)),INDEX(F:F,MATCH(VLOOKUP(D746,Input!$A$14:$L$22,11,0),L:L,0)),INDEX(F:F,MATCH(VLOOKUP(D746,Input!$A$14:$L$22,12,0),L:L,0)))+(0.01-ROW()*0.01))</f>
        <v>-218.79137567070933</v>
      </c>
      <c r="Q746" s="107">
        <f t="shared" si="136"/>
        <v>-7.5481480142585711E-2</v>
      </c>
      <c r="R746" s="11">
        <f>IF(VLOOKUP($D746,$X$14:$Y$19,2,0)&lt;=0,1,IF(Q746&lt;0,1,ROUNDUP(IF(Q746*('Draft Center'!$L$28+'Draft Center'!$L$78-'Draft Center'!$L$82)&lt;1,1,Q746*('Draft Center'!$L$28+'Draft Center'!$L$78-'Draft Center'!$L$82)),0)))</f>
        <v>1</v>
      </c>
      <c r="S746" s="11">
        <f>IF(A746&lt;Input!$B$10+0.1,IF(ROUNDUP(R746*Input!$C$10,0)=0,1,ROUNDUP(R746*Input!$C$10,0)),IF(A746&gt;Input!$B$11,IF(ROUNDUP(R746*Input!$C$11,0)=0,1,ROUNDUP(R746*Input!$C$11,0)),IF(ROUNDUP(R746,0)=0,1,ROUNDUP(R746,0))))</f>
        <v>1</v>
      </c>
      <c r="T746" s="11">
        <f t="shared" si="137"/>
        <v>1</v>
      </c>
      <c r="U746" s="11">
        <f>IFERROR(VLOOKUP($B746,Input!$AC$2:$AE$161,3,0),0)</f>
        <v>0</v>
      </c>
      <c r="V746" s="257">
        <f t="shared" si="138"/>
        <v>0</v>
      </c>
      <c r="W746" s="264">
        <f t="shared" si="139"/>
        <v>1.00746</v>
      </c>
      <c r="X746" s="68"/>
      <c r="Y746" s="68"/>
      <c r="Z746" s="68"/>
      <c r="AA746" s="68"/>
      <c r="AB746" s="68"/>
      <c r="AC746" s="68"/>
      <c r="AD746" s="68"/>
      <c r="AE746" s="68"/>
      <c r="AF746" s="68"/>
      <c r="AG746" s="68"/>
      <c r="AH746" s="68"/>
      <c r="AI746" s="68"/>
      <c r="AJ746" s="68">
        <v>1</v>
      </c>
      <c r="AL746" s="68">
        <v>1</v>
      </c>
      <c r="AM746" s="68"/>
      <c r="AN746" s="68"/>
      <c r="AO746" s="68"/>
      <c r="AQ746" s="68"/>
      <c r="AR746" s="68"/>
      <c r="AS746" s="68"/>
      <c r="AT746" s="68"/>
      <c r="AU746" s="68"/>
      <c r="AV746" s="68"/>
      <c r="AW746" s="68"/>
      <c r="AX746" s="68"/>
      <c r="AY746" s="68"/>
      <c r="AZ746" s="68"/>
      <c r="BB746" s="68"/>
      <c r="BC746" s="68"/>
      <c r="BJ746" s="68"/>
      <c r="BT746">
        <v>1</v>
      </c>
      <c r="BV746">
        <v>1</v>
      </c>
      <c r="BX746" s="68"/>
      <c r="BY746" s="68">
        <v>1</v>
      </c>
      <c r="BZ746" s="68">
        <v>0</v>
      </c>
      <c r="CA746" s="68">
        <v>0</v>
      </c>
      <c r="CB746" s="68">
        <v>0</v>
      </c>
      <c r="CC746" s="68">
        <f t="shared" si="140"/>
        <v>0</v>
      </c>
      <c r="CD746" s="68">
        <f t="shared" si="141"/>
        <v>0</v>
      </c>
    </row>
    <row r="747" spans="1:82" ht="15.75" customHeight="1" thickBot="1" x14ac:dyDescent="0.3">
      <c r="A747" s="6">
        <v>746</v>
      </c>
      <c r="B747" s="7" t="s">
        <v>1218</v>
      </c>
      <c r="C747" s="7" t="s">
        <v>311</v>
      </c>
      <c r="D747" s="7" t="s">
        <v>17</v>
      </c>
      <c r="E747" s="50">
        <v>-211.44791626934901</v>
      </c>
      <c r="F747" s="50">
        <v>1.33</v>
      </c>
      <c r="G747" s="50">
        <v>1.33</v>
      </c>
      <c r="H747" s="50">
        <v>1.33</v>
      </c>
      <c r="I747" s="8" t="s">
        <v>1057</v>
      </c>
      <c r="J747" s="50" t="s">
        <v>1057</v>
      </c>
      <c r="K747" s="248" t="str">
        <f>IFERROR(VLOOKUP(C747,Schedule!$T$3:$U$34,2,0),"FA")</f>
        <v>FA</v>
      </c>
      <c r="L747" s="7" t="str">
        <f>D747&amp;COUNTIF(D$2:$D747,D747)</f>
        <v>WR235</v>
      </c>
      <c r="M747" s="50">
        <f t="array" ref="M747">IFERROR(F747-AVERAGE(VLOOKUP(D747,$D748:$F$885,3,0),INDEX($F748:$F$885,SMALL(IF(D747=$D748:$D$885,ROW($D748:$D$885)-ROW(D747)),2))),0)</f>
        <v>0.89034136217362803</v>
      </c>
      <c r="N747" s="50">
        <f>IFERROR(IF(VLOOKUP($B747,Input!$AC$2:$AC$162,1,0)=$B747,0),F747)</f>
        <v>1.33</v>
      </c>
      <c r="O747" s="50">
        <f>IFERROR(IF(VLOOKUP($B747,Input!$AC$2:$AC$162,1,0)=$B747,0,G747),G747)</f>
        <v>1.33</v>
      </c>
      <c r="P747" s="50">
        <f>IF(N747=0,0,F747-AVERAGE(INDEX(F:F,MATCH(VLOOKUP(D747,Input!$A$14:$L$22,10,0),L:L,0)),INDEX(F:F,MATCH(VLOOKUP(D747,Input!$A$14:$L$22,11,0),L:L,0)),INDEX(F:F,MATCH(VLOOKUP(D747,Input!$A$14:$L$22,12,0),L:L,0)))+(0.01-ROW()*0.01))</f>
        <v>-218.90791626934902</v>
      </c>
      <c r="Q747" s="106">
        <f t="shared" si="136"/>
        <v>-7.5521685826448068E-2</v>
      </c>
      <c r="R747" s="8">
        <f>IF(VLOOKUP($D747,$X$14:$Y$19,2,0)&lt;=0,1,IF(Q747&lt;0,1,ROUNDUP(IF(Q747*('Draft Center'!$L$28+'Draft Center'!$L$78-'Draft Center'!$L$82)&lt;1,1,Q747*('Draft Center'!$L$28+'Draft Center'!$L$78-'Draft Center'!$L$82)),0)))</f>
        <v>1</v>
      </c>
      <c r="S747" s="8">
        <f>IF(A747&lt;Input!$B$10+0.1,IF(ROUNDUP(R747*Input!$C$10,0)=0,1,ROUNDUP(R747*Input!$C$10,0)),IF(A747&gt;Input!$B$11,IF(ROUNDUP(R747*Input!$C$11,0)=0,1,ROUNDUP(R747*Input!$C$11,0)),IF(ROUNDUP(R747,0)=0,1,ROUNDUP(R747,0))))</f>
        <v>1</v>
      </c>
      <c r="T747" s="8">
        <f t="shared" si="137"/>
        <v>1</v>
      </c>
      <c r="U747" s="8">
        <f>IFERROR(VLOOKUP($B747,Input!$AC$2:$AE$161,3,0),0)</f>
        <v>0</v>
      </c>
      <c r="V747" s="256">
        <f t="shared" si="138"/>
        <v>0</v>
      </c>
      <c r="W747" s="263">
        <f t="shared" si="139"/>
        <v>0</v>
      </c>
      <c r="X747" s="68"/>
      <c r="Y747" s="68"/>
      <c r="Z747" s="68"/>
      <c r="AA747" s="68"/>
      <c r="AB747" s="68"/>
      <c r="AC747" s="68"/>
      <c r="AD747" s="68"/>
      <c r="AE747" s="68"/>
      <c r="AF747" s="68"/>
      <c r="AG747" s="68"/>
      <c r="AH747" s="68"/>
      <c r="AI747" s="68"/>
      <c r="AJ747" s="68">
        <v>1</v>
      </c>
      <c r="AL747" s="68">
        <v>1</v>
      </c>
      <c r="AM747" s="68"/>
      <c r="AN747" s="68"/>
      <c r="AO747" s="68"/>
      <c r="AQ747" s="68"/>
      <c r="AR747" s="68"/>
      <c r="AS747" s="68"/>
      <c r="AT747" s="68"/>
      <c r="AU747" s="68"/>
      <c r="AV747" s="68"/>
      <c r="AW747" s="68"/>
      <c r="AX747" s="68"/>
      <c r="AY747" s="68"/>
      <c r="AZ747" s="68"/>
      <c r="BB747" s="68"/>
      <c r="BC747" s="68"/>
      <c r="BJ747" s="68"/>
      <c r="BT747">
        <v>1</v>
      </c>
      <c r="BV747">
        <v>1</v>
      </c>
      <c r="BX747" s="68"/>
      <c r="BY747" s="68">
        <v>1</v>
      </c>
      <c r="BZ747" s="68" t="s">
        <v>1057</v>
      </c>
      <c r="CA747" s="68" t="s">
        <v>1057</v>
      </c>
      <c r="CB747" s="68" t="s">
        <v>1057</v>
      </c>
      <c r="CC747" s="68" t="e">
        <f t="shared" si="140"/>
        <v>#DIV/0!</v>
      </c>
      <c r="CD747" s="68" t="str">
        <f t="shared" si="141"/>
        <v>NA</v>
      </c>
    </row>
    <row r="748" spans="1:82" ht="15.75" customHeight="1" thickBot="1" x14ac:dyDescent="0.3">
      <c r="A748" s="9">
        <v>747</v>
      </c>
      <c r="B748" s="10" t="s">
        <v>1128</v>
      </c>
      <c r="C748" s="10" t="s">
        <v>117</v>
      </c>
      <c r="D748" s="10" t="s">
        <v>17</v>
      </c>
      <c r="E748" s="51">
        <v>-211.898598993696</v>
      </c>
      <c r="F748" s="51">
        <v>0.87931727565274398</v>
      </c>
      <c r="G748" s="51">
        <v>1.9857337386018199</v>
      </c>
      <c r="H748" s="51">
        <v>-9.9286694101508893E-2</v>
      </c>
      <c r="I748" s="11" t="s">
        <v>1057</v>
      </c>
      <c r="J748" s="51">
        <v>2.2507716572748202</v>
      </c>
      <c r="K748" s="249">
        <f>IFERROR(VLOOKUP(C748,Schedule!$T$3:$U$34,2,0),"FA")</f>
        <v>8</v>
      </c>
      <c r="L748" s="10" t="str">
        <f>D748&amp;COUNTIF(D$2:$D748,D748)</f>
        <v>WR236</v>
      </c>
      <c r="M748" s="51">
        <f t="array" ref="M748">IFERROR(F748-AVERAGE(VLOOKUP(D748,$D749:$F$885,3,0),INDEX($F749:$F$885,SMALL(IF(D748=$D749:$D$885,ROW($D749:$D$885)-ROW(D748)),2))),0)</f>
        <v>0.87931727565274398</v>
      </c>
      <c r="N748" s="51">
        <f>IFERROR(IF(VLOOKUP($B748,Input!$AC$2:$AC$162,1,0)=$B748,0),F748)</f>
        <v>0.87931727565274398</v>
      </c>
      <c r="O748" s="51">
        <f>IFERROR(IF(VLOOKUP($B748,Input!$AC$2:$AC$162,1,0)=$B748,0,G748),G748)</f>
        <v>1.9857337386018199</v>
      </c>
      <c r="P748" s="51">
        <f>IF(N748=0,0,F748-AVERAGE(INDEX(F:F,MATCH(VLOOKUP(D748,Input!$A$14:$L$22,10,0),L:L,0)),INDEX(F:F,MATCH(VLOOKUP(D748,Input!$A$14:$L$22,11,0),L:L,0)),INDEX(F:F,MATCH(VLOOKUP(D748,Input!$A$14:$L$22,12,0),L:L,0)))+(0.01-ROW()*0.01))</f>
        <v>-219.36859899369628</v>
      </c>
      <c r="Q748" s="107">
        <f t="shared" si="136"/>
        <v>-7.5680618114355905E-2</v>
      </c>
      <c r="R748" s="11">
        <f>IF(VLOOKUP($D748,$X$14:$Y$19,2,0)&lt;=0,1,IF(Q748&lt;0,1,ROUNDUP(IF(Q748*('Draft Center'!$L$28+'Draft Center'!$L$78-'Draft Center'!$L$82)&lt;1,1,Q748*('Draft Center'!$L$28+'Draft Center'!$L$78-'Draft Center'!$L$82)),0)))</f>
        <v>1</v>
      </c>
      <c r="S748" s="11">
        <f>IF(A748&lt;Input!$B$10+0.1,IF(ROUNDUP(R748*Input!$C$10,0)=0,1,ROUNDUP(R748*Input!$C$10,0)),IF(A748&gt;Input!$B$11,IF(ROUNDUP(R748*Input!$C$11,0)=0,1,ROUNDUP(R748*Input!$C$11,0)),IF(ROUNDUP(R748,0)=0,1,ROUNDUP(R748,0))))</f>
        <v>1</v>
      </c>
      <c r="T748" s="11">
        <f t="shared" si="137"/>
        <v>1</v>
      </c>
      <c r="U748" s="11">
        <f>IFERROR(VLOOKUP($B748,Input!$AC$2:$AE$161,3,0),0)</f>
        <v>0</v>
      </c>
      <c r="V748" s="257">
        <f t="shared" si="138"/>
        <v>0</v>
      </c>
      <c r="W748" s="264">
        <f t="shared" si="139"/>
        <v>0</v>
      </c>
      <c r="X748" s="68"/>
      <c r="Y748" s="68"/>
      <c r="Z748" s="68"/>
      <c r="AA748" s="68"/>
      <c r="AB748" s="68"/>
      <c r="AC748" s="68"/>
      <c r="AD748" s="68"/>
      <c r="AE748" s="68"/>
      <c r="AF748" s="68"/>
      <c r="AG748" s="68"/>
      <c r="AH748" s="68"/>
      <c r="AI748" s="68"/>
      <c r="AJ748" s="68">
        <v>1</v>
      </c>
      <c r="AL748" s="68">
        <v>1</v>
      </c>
      <c r="AM748" s="68"/>
      <c r="AN748" s="68"/>
      <c r="AO748" s="68"/>
      <c r="AQ748" s="68"/>
      <c r="AR748" s="68"/>
      <c r="AS748" s="68"/>
      <c r="AT748" s="68"/>
      <c r="AU748" s="68"/>
      <c r="AV748" s="68"/>
      <c r="AW748" s="68"/>
      <c r="AX748" s="68"/>
      <c r="AY748" s="68"/>
      <c r="AZ748" s="68"/>
      <c r="BB748" s="68"/>
      <c r="BC748" s="68"/>
      <c r="BJ748" s="68"/>
      <c r="BT748">
        <v>1</v>
      </c>
      <c r="BV748">
        <v>1</v>
      </c>
      <c r="BX748" s="68"/>
      <c r="BY748" s="68">
        <v>1</v>
      </c>
      <c r="BZ748" s="68" t="s">
        <v>1057</v>
      </c>
      <c r="CA748" s="68" t="s">
        <v>1057</v>
      </c>
      <c r="CB748" s="68" t="s">
        <v>1057</v>
      </c>
      <c r="CC748" s="68" t="e">
        <f t="shared" si="140"/>
        <v>#DIV/0!</v>
      </c>
      <c r="CD748" s="68" t="str">
        <f t="shared" si="141"/>
        <v>NA</v>
      </c>
    </row>
    <row r="749" spans="1:82" ht="15.75" customHeight="1" thickBot="1" x14ac:dyDescent="0.3">
      <c r="A749" s="6">
        <v>748</v>
      </c>
      <c r="B749" s="7" t="s">
        <v>1129</v>
      </c>
      <c r="C749" s="7" t="s">
        <v>68</v>
      </c>
      <c r="D749" s="7" t="s">
        <v>17</v>
      </c>
      <c r="E749" s="50">
        <v>-212.77791626934899</v>
      </c>
      <c r="F749" s="50">
        <v>0</v>
      </c>
      <c r="G749" s="50">
        <v>0</v>
      </c>
      <c r="H749" s="50">
        <v>0</v>
      </c>
      <c r="I749" s="8" t="s">
        <v>1057</v>
      </c>
      <c r="J749" s="50">
        <v>1.9445374612902999</v>
      </c>
      <c r="K749" s="248">
        <f>IFERROR(VLOOKUP(C749,Schedule!$T$3:$U$34,2,0),"FA")</f>
        <v>8</v>
      </c>
      <c r="L749" s="7" t="str">
        <f>D749&amp;COUNTIF(D$2:$D749,D749)</f>
        <v>WR237</v>
      </c>
      <c r="M749" s="50">
        <f t="array" ref="M749">IFERROR(F749-AVERAGE(VLOOKUP(D749,$D750:$F$885,3,0),INDEX($F750:$F$885,SMALL(IF(D749=$D750:$D$885,ROW($D750:$D$885)-ROW(D749)),2))),0)</f>
        <v>0</v>
      </c>
      <c r="N749" s="50">
        <f>IFERROR(IF(VLOOKUP($B749,Input!$AC$2:$AC$162,1,0)=$B749,0),F749)</f>
        <v>0</v>
      </c>
      <c r="O749" s="50">
        <f>IFERROR(IF(VLOOKUP($B749,Input!$AC$2:$AC$162,1,0)=$B749,0,G749),G749)</f>
        <v>0</v>
      </c>
      <c r="P749" s="50">
        <f>IF(N749=0,0,F749-AVERAGE(INDEX(F:F,MATCH(VLOOKUP(D749,Input!$A$14:$L$22,10,0),L:L,0)),INDEX(F:F,MATCH(VLOOKUP(D749,Input!$A$14:$L$22,11,0),L:L,0)),INDEX(F:F,MATCH(VLOOKUP(D749,Input!$A$14:$L$22,12,0),L:L,0)))+(0.01-ROW()*0.01))</f>
        <v>0</v>
      </c>
      <c r="Q749" s="106">
        <f t="shared" si="136"/>
        <v>0</v>
      </c>
      <c r="R749" s="8">
        <f>IF(VLOOKUP($D749,$X$14:$Y$19,2,0)&lt;=0,1,IF(Q749&lt;0,1,ROUNDUP(IF(Q749*('Draft Center'!$L$28+'Draft Center'!$L$78-'Draft Center'!$L$82)&lt;1,1,Q749*('Draft Center'!$L$28+'Draft Center'!$L$78-'Draft Center'!$L$82)),0)))</f>
        <v>1</v>
      </c>
      <c r="S749" s="8">
        <f>IF(A749&lt;Input!$B$10+0.1,IF(ROUNDUP(R749*Input!$C$10,0)=0,1,ROUNDUP(R749*Input!$C$10,0)),IF(A749&gt;Input!$B$11,IF(ROUNDUP(R749*Input!$C$11,0)=0,1,ROUNDUP(R749*Input!$C$11,0)),IF(ROUNDUP(R749,0)=0,1,ROUNDUP(R749,0))))</f>
        <v>1</v>
      </c>
      <c r="T749" s="8">
        <f t="shared" si="137"/>
        <v>1</v>
      </c>
      <c r="U749" s="8">
        <f>IFERROR(VLOOKUP($B749,Input!$AC$2:$AE$161,3,0),0)</f>
        <v>0</v>
      </c>
      <c r="V749" s="256">
        <f t="shared" si="138"/>
        <v>0</v>
      </c>
      <c r="W749" s="263">
        <f t="shared" si="139"/>
        <v>0</v>
      </c>
      <c r="X749" s="68"/>
      <c r="Y749" s="68"/>
      <c r="Z749" s="68"/>
      <c r="AA749" s="68"/>
      <c r="AB749" s="68"/>
      <c r="AC749" s="68"/>
      <c r="AD749" s="68"/>
      <c r="AE749" s="68"/>
      <c r="AF749" s="68"/>
      <c r="AG749" s="68"/>
      <c r="AH749" s="68"/>
      <c r="AI749" s="68"/>
      <c r="AJ749" s="68">
        <v>1</v>
      </c>
      <c r="AL749" s="68">
        <v>1</v>
      </c>
      <c r="AM749" s="68"/>
      <c r="AN749" s="68"/>
      <c r="AO749" s="68"/>
      <c r="AQ749" s="68"/>
      <c r="AR749" s="68"/>
      <c r="AS749" s="68"/>
      <c r="AT749" s="68"/>
      <c r="AU749" s="68"/>
      <c r="AV749" s="68"/>
      <c r="AW749" s="68"/>
      <c r="AX749" s="68"/>
      <c r="AY749" s="68"/>
      <c r="AZ749" s="68"/>
      <c r="BB749" s="68"/>
      <c r="BC749" s="68"/>
      <c r="BJ749" s="68"/>
      <c r="BT749">
        <v>1</v>
      </c>
      <c r="BV749">
        <v>1</v>
      </c>
      <c r="BX749" s="68"/>
      <c r="BY749" s="68">
        <v>1</v>
      </c>
      <c r="BZ749" s="68" t="s">
        <v>1057</v>
      </c>
      <c r="CA749" s="68" t="s">
        <v>1057</v>
      </c>
      <c r="CB749" s="68" t="s">
        <v>1057</v>
      </c>
      <c r="CC749" s="68" t="e">
        <f t="shared" si="140"/>
        <v>#DIV/0!</v>
      </c>
      <c r="CD749" s="68" t="str">
        <f t="shared" si="141"/>
        <v>NA</v>
      </c>
    </row>
    <row r="750" spans="1:82" ht="15.75" customHeight="1" thickBot="1" x14ac:dyDescent="0.3">
      <c r="A750" s="9">
        <v>749</v>
      </c>
      <c r="B750" s="10" t="s">
        <v>1130</v>
      </c>
      <c r="C750" s="10" t="s">
        <v>68</v>
      </c>
      <c r="D750" s="10" t="s">
        <v>17</v>
      </c>
      <c r="E750" s="51">
        <v>-212.77791626934899</v>
      </c>
      <c r="F750" s="51">
        <v>0</v>
      </c>
      <c r="G750" s="51">
        <v>0</v>
      </c>
      <c r="H750" s="51">
        <v>0</v>
      </c>
      <c r="I750" s="11" t="s">
        <v>1057</v>
      </c>
      <c r="J750" s="51" t="s">
        <v>1057</v>
      </c>
      <c r="K750" s="249">
        <f>IFERROR(VLOOKUP(C750,Schedule!$T$3:$U$34,2,0),"FA")</f>
        <v>8</v>
      </c>
      <c r="L750" s="10" t="str">
        <f>D750&amp;COUNTIF(D$2:$D750,D750)</f>
        <v>WR238</v>
      </c>
      <c r="M750" s="51">
        <f t="array" ref="M750">IFERROR(F750-AVERAGE(VLOOKUP(D750,$D751:$F$885,3,0),INDEX($F751:$F$885,SMALL(IF(D750=$D751:$D$885,ROW($D751:$D$885)-ROW(D750)),2))),0)</f>
        <v>0</v>
      </c>
      <c r="N750" s="51">
        <f>IFERROR(IF(VLOOKUP($B750,Input!$AC$2:$AC$162,1,0)=$B750,0),F750)</f>
        <v>0</v>
      </c>
      <c r="O750" s="51">
        <f>IFERROR(IF(VLOOKUP($B750,Input!$AC$2:$AC$162,1,0)=$B750,0,G750),G750)</f>
        <v>0</v>
      </c>
      <c r="P750" s="51">
        <f>IF(N750=0,0,F750-AVERAGE(INDEX(F:F,MATCH(VLOOKUP(D750,Input!$A$14:$L$22,10,0),L:L,0)),INDEX(F:F,MATCH(VLOOKUP(D750,Input!$A$14:$L$22,11,0),L:L,0)),INDEX(F:F,MATCH(VLOOKUP(D750,Input!$A$14:$L$22,12,0),L:L,0)))+(0.01-ROW()*0.01))</f>
        <v>0</v>
      </c>
      <c r="Q750" s="107">
        <f t="shared" si="136"/>
        <v>0</v>
      </c>
      <c r="R750" s="11">
        <f>IF(VLOOKUP($D750,$X$14:$Y$19,2,0)&lt;=0,1,IF(Q750&lt;0,1,ROUNDUP(IF(Q750*('Draft Center'!$L$28+'Draft Center'!$L$78-'Draft Center'!$L$82)&lt;1,1,Q750*('Draft Center'!$L$28+'Draft Center'!$L$78-'Draft Center'!$L$82)),0)))</f>
        <v>1</v>
      </c>
      <c r="S750" s="11">
        <f>IF(A750&lt;Input!$B$10+0.1,IF(ROUNDUP(R750*Input!$C$10,0)=0,1,ROUNDUP(R750*Input!$C$10,0)),IF(A750&gt;Input!$B$11,IF(ROUNDUP(R750*Input!$C$11,0)=0,1,ROUNDUP(R750*Input!$C$11,0)),IF(ROUNDUP(R750,0)=0,1,ROUNDUP(R750,0))))</f>
        <v>1</v>
      </c>
      <c r="T750" s="11">
        <f t="shared" si="137"/>
        <v>1</v>
      </c>
      <c r="U750" s="11">
        <f>IFERROR(VLOOKUP($B750,Input!$AC$2:$AE$161,3,0),0)</f>
        <v>0</v>
      </c>
      <c r="V750" s="257">
        <f t="shared" si="138"/>
        <v>0</v>
      </c>
      <c r="W750" s="264">
        <f t="shared" si="139"/>
        <v>0</v>
      </c>
      <c r="X750" s="68"/>
      <c r="Y750" s="68"/>
      <c r="Z750" s="68"/>
      <c r="AA750" s="68"/>
      <c r="AB750" s="68"/>
      <c r="AC750" s="68"/>
      <c r="AD750" s="68"/>
      <c r="AE750" s="68"/>
      <c r="AF750" s="68"/>
      <c r="AG750" s="68"/>
      <c r="AH750" s="68"/>
      <c r="AI750" s="68"/>
      <c r="AJ750" s="68">
        <v>1</v>
      </c>
      <c r="AL750" s="68">
        <v>1</v>
      </c>
      <c r="AM750" s="68"/>
      <c r="AN750" s="68"/>
      <c r="AO750" s="68"/>
      <c r="AQ750" s="68"/>
      <c r="AR750" s="68"/>
      <c r="AS750" s="68"/>
      <c r="AT750" s="68"/>
      <c r="AU750" s="68"/>
      <c r="AV750" s="68"/>
      <c r="AW750" s="68"/>
      <c r="AX750" s="68"/>
      <c r="AY750" s="68"/>
      <c r="AZ750" s="68"/>
      <c r="BB750" s="68"/>
      <c r="BC750" s="68"/>
      <c r="BJ750" s="68"/>
      <c r="BT750">
        <v>1</v>
      </c>
      <c r="BV750">
        <v>1</v>
      </c>
      <c r="BX750" s="68"/>
      <c r="BY750" s="68">
        <v>1</v>
      </c>
      <c r="BZ750" s="68" t="s">
        <v>1057</v>
      </c>
      <c r="CA750" s="68" t="s">
        <v>1057</v>
      </c>
      <c r="CB750" s="68" t="s">
        <v>1057</v>
      </c>
      <c r="CC750" s="68" t="e">
        <f t="shared" si="140"/>
        <v>#DIV/0!</v>
      </c>
      <c r="CD750" s="68" t="str">
        <f t="shared" si="141"/>
        <v>NA</v>
      </c>
    </row>
    <row r="751" spans="1:82" ht="15.75" customHeight="1" thickBot="1" x14ac:dyDescent="0.3">
      <c r="A751" s="6">
        <v>750</v>
      </c>
      <c r="B751" s="7" t="s">
        <v>1131</v>
      </c>
      <c r="C751" s="7" t="s">
        <v>48</v>
      </c>
      <c r="D751" s="7" t="s">
        <v>17</v>
      </c>
      <c r="E751" s="50">
        <v>-212.77791626934899</v>
      </c>
      <c r="F751" s="50">
        <v>0</v>
      </c>
      <c r="G751" s="50">
        <v>0</v>
      </c>
      <c r="H751" s="50">
        <v>0</v>
      </c>
      <c r="I751" s="8" t="s">
        <v>1057</v>
      </c>
      <c r="J751" s="50">
        <v>1.9445374612902999</v>
      </c>
      <c r="K751" s="248">
        <f>IFERROR(VLOOKUP(C751,Schedule!$T$3:$U$34,2,0),"FA")</f>
        <v>10</v>
      </c>
      <c r="L751" s="7" t="str">
        <f>D751&amp;COUNTIF(D$2:$D751,D751)</f>
        <v>WR239</v>
      </c>
      <c r="M751" s="50">
        <f t="array" ref="M751">IFERROR(F751-AVERAGE(VLOOKUP(D751,$D752:$F$885,3,0),INDEX($F752:$F$885,SMALL(IF(D751=$D752:$D$885,ROW($D752:$D$885)-ROW(D751)),2))),0)</f>
        <v>0</v>
      </c>
      <c r="N751" s="50">
        <f>IFERROR(IF(VLOOKUP($B751,Input!$AC$2:$AC$162,1,0)=$B751,0),F751)</f>
        <v>0</v>
      </c>
      <c r="O751" s="50">
        <f>IFERROR(IF(VLOOKUP($B751,Input!$AC$2:$AC$162,1,0)=$B751,0,G751),G751)</f>
        <v>0</v>
      </c>
      <c r="P751" s="50">
        <f>IF(N751=0,0,F751-AVERAGE(INDEX(F:F,MATCH(VLOOKUP(D751,Input!$A$14:$L$22,10,0),L:L,0)),INDEX(F:F,MATCH(VLOOKUP(D751,Input!$A$14:$L$22,11,0),L:L,0)),INDEX(F:F,MATCH(VLOOKUP(D751,Input!$A$14:$L$22,12,0),L:L,0)))+(0.01-ROW()*0.01))</f>
        <v>0</v>
      </c>
      <c r="Q751" s="106">
        <f t="shared" si="136"/>
        <v>0</v>
      </c>
      <c r="R751" s="8">
        <f>IF(VLOOKUP($D751,$X$14:$Y$19,2,0)&lt;=0,1,IF(Q751&lt;0,1,ROUNDUP(IF(Q751*('Draft Center'!$L$28+'Draft Center'!$L$78-'Draft Center'!$L$82)&lt;1,1,Q751*('Draft Center'!$L$28+'Draft Center'!$L$78-'Draft Center'!$L$82)),0)))</f>
        <v>1</v>
      </c>
      <c r="S751" s="8">
        <f>IF(A751&lt;Input!$B$10+0.1,IF(ROUNDUP(R751*Input!$C$10,0)=0,1,ROUNDUP(R751*Input!$C$10,0)),IF(A751&gt;Input!$B$11,IF(ROUNDUP(R751*Input!$C$11,0)=0,1,ROUNDUP(R751*Input!$C$11,0)),IF(ROUNDUP(R751,0)=0,1,ROUNDUP(R751,0))))</f>
        <v>1</v>
      </c>
      <c r="T751" s="8">
        <f t="shared" si="137"/>
        <v>1</v>
      </c>
      <c r="U751" s="8">
        <f>IFERROR(VLOOKUP($B751,Input!$AC$2:$AE$161,3,0),0)</f>
        <v>0</v>
      </c>
      <c r="V751" s="256">
        <f t="shared" si="138"/>
        <v>0</v>
      </c>
      <c r="W751" s="263">
        <f t="shared" si="139"/>
        <v>0</v>
      </c>
      <c r="X751" s="68"/>
      <c r="Y751" s="68"/>
      <c r="Z751" s="68"/>
      <c r="AA751" s="68"/>
      <c r="AB751" s="68"/>
      <c r="AC751" s="68"/>
      <c r="AD751" s="68"/>
      <c r="AE751" s="68"/>
      <c r="AF751" s="68"/>
      <c r="AG751" s="68"/>
      <c r="AH751" s="68"/>
      <c r="AI751" s="68"/>
      <c r="AJ751" s="68">
        <v>1</v>
      </c>
      <c r="AL751" s="68">
        <v>1</v>
      </c>
      <c r="AM751" s="68"/>
      <c r="AN751" s="68"/>
      <c r="AO751" s="68"/>
      <c r="AQ751" s="68"/>
      <c r="AR751" s="68"/>
      <c r="AS751" s="68"/>
      <c r="AT751" s="68"/>
      <c r="AU751" s="68"/>
      <c r="AV751" s="68"/>
      <c r="AW751" s="68"/>
      <c r="AX751" s="68"/>
      <c r="AY751" s="68"/>
      <c r="AZ751" s="68"/>
      <c r="BB751" s="68"/>
      <c r="BC751" s="68"/>
      <c r="BJ751" s="68"/>
      <c r="BT751">
        <v>1</v>
      </c>
      <c r="BV751">
        <v>1</v>
      </c>
      <c r="BX751" s="68"/>
      <c r="BY751" s="68">
        <v>1</v>
      </c>
      <c r="BZ751" s="68" t="s">
        <v>1057</v>
      </c>
      <c r="CA751" s="68" t="s">
        <v>1057</v>
      </c>
      <c r="CB751" s="68" t="s">
        <v>1057</v>
      </c>
      <c r="CC751" s="68" t="e">
        <f t="shared" si="140"/>
        <v>#DIV/0!</v>
      </c>
      <c r="CD751" s="68" t="str">
        <f t="shared" si="141"/>
        <v>NA</v>
      </c>
    </row>
    <row r="752" spans="1:82" ht="15.75" customHeight="1" thickBot="1" x14ac:dyDescent="0.3">
      <c r="A752" s="9">
        <v>751</v>
      </c>
      <c r="B752" s="10" t="s">
        <v>446</v>
      </c>
      <c r="C752" s="10" t="s">
        <v>48</v>
      </c>
      <c r="D752" s="10" t="s">
        <v>17</v>
      </c>
      <c r="E752" s="51">
        <v>-212.77791626934899</v>
      </c>
      <c r="F752" s="51">
        <v>0</v>
      </c>
      <c r="G752" s="51">
        <v>0</v>
      </c>
      <c r="H752" s="51">
        <v>0</v>
      </c>
      <c r="I752" s="11" t="s">
        <v>1057</v>
      </c>
      <c r="J752" s="51">
        <v>1.9445374612902999</v>
      </c>
      <c r="K752" s="249">
        <f>IFERROR(VLOOKUP(C752,Schedule!$T$3:$U$34,2,0),"FA")</f>
        <v>10</v>
      </c>
      <c r="L752" s="10" t="str">
        <f>D752&amp;COUNTIF(D$2:$D752,D752)</f>
        <v>WR240</v>
      </c>
      <c r="M752" s="51">
        <f t="array" ref="M752">IFERROR(F752-AVERAGE(VLOOKUP(D752,$D753:$F$885,3,0),INDEX($F753:$F$885,SMALL(IF(D752=$D753:$D$885,ROW($D753:$D$885)-ROW(D752)),2))),0)</f>
        <v>0</v>
      </c>
      <c r="N752" s="51">
        <f>IFERROR(IF(VLOOKUP($B752,Input!$AC$2:$AC$162,1,0)=$B752,0),F752)</f>
        <v>0</v>
      </c>
      <c r="O752" s="51">
        <f>IFERROR(IF(VLOOKUP($B752,Input!$AC$2:$AC$162,1,0)=$B752,0,G752),G752)</f>
        <v>0</v>
      </c>
      <c r="P752" s="51">
        <f>IF(N752=0,0,F752-AVERAGE(INDEX(F:F,MATCH(VLOOKUP(D752,Input!$A$14:$L$22,10,0),L:L,0)),INDEX(F:F,MATCH(VLOOKUP(D752,Input!$A$14:$L$22,11,0),L:L,0)),INDEX(F:F,MATCH(VLOOKUP(D752,Input!$A$14:$L$22,12,0),L:L,0)))+(0.01-ROW()*0.01))</f>
        <v>0</v>
      </c>
      <c r="Q752" s="107">
        <f t="shared" si="136"/>
        <v>0</v>
      </c>
      <c r="R752" s="11">
        <f>IF(VLOOKUP($D752,$X$14:$Y$19,2,0)&lt;=0,1,IF(Q752&lt;0,1,ROUNDUP(IF(Q752*('Draft Center'!$L$28+'Draft Center'!$L$78-'Draft Center'!$L$82)&lt;1,1,Q752*('Draft Center'!$L$28+'Draft Center'!$L$78-'Draft Center'!$L$82)),0)))</f>
        <v>1</v>
      </c>
      <c r="S752" s="11">
        <f>IF(A752&lt;Input!$B$10+0.1,IF(ROUNDUP(R752*Input!$C$10,0)=0,1,ROUNDUP(R752*Input!$C$10,0)),IF(A752&gt;Input!$B$11,IF(ROUNDUP(R752*Input!$C$11,0)=0,1,ROUNDUP(R752*Input!$C$11,0)),IF(ROUNDUP(R752,0)=0,1,ROUNDUP(R752,0))))</f>
        <v>1</v>
      </c>
      <c r="T752" s="11">
        <f t="shared" si="137"/>
        <v>1</v>
      </c>
      <c r="U752" s="11">
        <f>IFERROR(VLOOKUP($B752,Input!$AC$2:$AE$161,3,0),0)</f>
        <v>0</v>
      </c>
      <c r="V752" s="257">
        <f t="shared" si="138"/>
        <v>0</v>
      </c>
      <c r="W752" s="264">
        <f t="shared" si="139"/>
        <v>0</v>
      </c>
      <c r="X752" s="68"/>
      <c r="Y752" s="68"/>
      <c r="Z752" s="68"/>
      <c r="AA752" s="68"/>
      <c r="AB752" s="68"/>
      <c r="AC752" s="68"/>
      <c r="AD752" s="68"/>
      <c r="AE752" s="68"/>
      <c r="AF752" s="68"/>
      <c r="AG752" s="68"/>
      <c r="AH752" s="68"/>
      <c r="AI752" s="68"/>
      <c r="AJ752" s="68">
        <v>1</v>
      </c>
      <c r="AL752" s="68">
        <v>1</v>
      </c>
      <c r="AM752" s="68"/>
      <c r="AN752" s="68"/>
      <c r="AO752" s="68"/>
      <c r="AQ752" s="68"/>
      <c r="AR752" s="68"/>
      <c r="AS752" s="68"/>
      <c r="AT752" s="68"/>
      <c r="AU752" s="68"/>
      <c r="AV752" s="68"/>
      <c r="AW752" s="68"/>
      <c r="AX752" s="68"/>
      <c r="AY752" s="68"/>
      <c r="AZ752" s="68"/>
      <c r="BB752" s="68"/>
      <c r="BC752" s="68"/>
      <c r="BJ752" s="68"/>
      <c r="BT752">
        <v>1</v>
      </c>
      <c r="BV752">
        <v>1</v>
      </c>
      <c r="BX752" s="68"/>
      <c r="BY752" s="68">
        <v>1</v>
      </c>
      <c r="BZ752" s="68" t="s">
        <v>1057</v>
      </c>
      <c r="CA752" s="68" t="s">
        <v>1057</v>
      </c>
      <c r="CB752" s="68" t="s">
        <v>1057</v>
      </c>
      <c r="CC752" s="68" t="e">
        <f t="shared" si="140"/>
        <v>#DIV/0!</v>
      </c>
      <c r="CD752" s="68" t="str">
        <f t="shared" si="141"/>
        <v>NA</v>
      </c>
    </row>
    <row r="753" spans="1:82" ht="15.75" customHeight="1" thickBot="1" x14ac:dyDescent="0.3">
      <c r="A753" s="6">
        <v>752</v>
      </c>
      <c r="B753" s="7" t="s">
        <v>1132</v>
      </c>
      <c r="C753" s="7" t="s">
        <v>48</v>
      </c>
      <c r="D753" s="7" t="s">
        <v>17</v>
      </c>
      <c r="E753" s="50">
        <v>-212.77791626934899</v>
      </c>
      <c r="F753" s="50">
        <v>0</v>
      </c>
      <c r="G753" s="50">
        <v>0</v>
      </c>
      <c r="H753" s="50">
        <v>0</v>
      </c>
      <c r="I753" s="8" t="s">
        <v>1057</v>
      </c>
      <c r="J753" s="50" t="s">
        <v>1057</v>
      </c>
      <c r="K753" s="248">
        <f>IFERROR(VLOOKUP(C753,Schedule!$T$3:$U$34,2,0),"FA")</f>
        <v>10</v>
      </c>
      <c r="L753" s="7" t="str">
        <f>D753&amp;COUNTIF(D$2:$D753,D753)</f>
        <v>WR241</v>
      </c>
      <c r="M753" s="50">
        <f t="array" ref="M753">IFERROR(F753-AVERAGE(VLOOKUP(D753,$D754:$F$885,3,0),INDEX($F754:$F$885,SMALL(IF(D753=$D754:$D$885,ROW($D754:$D$885)-ROW(D753)),2))),0)</f>
        <v>0</v>
      </c>
      <c r="N753" s="50">
        <f>IFERROR(IF(VLOOKUP($B753,Input!$AC$2:$AC$162,1,0)=$B753,0),F753)</f>
        <v>0</v>
      </c>
      <c r="O753" s="50">
        <f>IFERROR(IF(VLOOKUP($B753,Input!$AC$2:$AC$162,1,0)=$B753,0,G753),G753)</f>
        <v>0</v>
      </c>
      <c r="P753" s="50">
        <f>IF(N753=0,0,F753-AVERAGE(INDEX(F:F,MATCH(VLOOKUP(D753,Input!$A$14:$L$22,10,0),L:L,0)),INDEX(F:F,MATCH(VLOOKUP(D753,Input!$A$14:$L$22,11,0),L:L,0)),INDEX(F:F,MATCH(VLOOKUP(D753,Input!$A$14:$L$22,12,0),L:L,0)))+(0.01-ROW()*0.01))</f>
        <v>0</v>
      </c>
      <c r="Q753" s="106">
        <f t="shared" si="136"/>
        <v>0</v>
      </c>
      <c r="R753" s="8">
        <f>IF(VLOOKUP($D753,$X$14:$Y$19,2,0)&lt;=0,1,IF(Q753&lt;0,1,ROUNDUP(IF(Q753*('Draft Center'!$L$28+'Draft Center'!$L$78-'Draft Center'!$L$82)&lt;1,1,Q753*('Draft Center'!$L$28+'Draft Center'!$L$78-'Draft Center'!$L$82)),0)))</f>
        <v>1</v>
      </c>
      <c r="S753" s="8">
        <f>IF(A753&lt;Input!$B$10+0.1,IF(ROUNDUP(R753*Input!$C$10,0)=0,1,ROUNDUP(R753*Input!$C$10,0)),IF(A753&gt;Input!$B$11,IF(ROUNDUP(R753*Input!$C$11,0)=0,1,ROUNDUP(R753*Input!$C$11,0)),IF(ROUNDUP(R753,0)=0,1,ROUNDUP(R753,0))))</f>
        <v>1</v>
      </c>
      <c r="T753" s="8">
        <f t="shared" si="137"/>
        <v>1</v>
      </c>
      <c r="U753" s="8">
        <f>IFERROR(VLOOKUP($B753,Input!$AC$2:$AE$161,3,0),0)</f>
        <v>0</v>
      </c>
      <c r="V753" s="256">
        <f t="shared" si="138"/>
        <v>0</v>
      </c>
      <c r="W753" s="263">
        <f t="shared" si="139"/>
        <v>0</v>
      </c>
      <c r="X753" s="68"/>
      <c r="Y753" s="68"/>
      <c r="Z753" s="68"/>
      <c r="AA753" s="68"/>
      <c r="AB753" s="68"/>
      <c r="AC753" s="68"/>
      <c r="AD753" s="68"/>
      <c r="AE753" s="68"/>
      <c r="AF753" s="68"/>
      <c r="AG753" s="68"/>
      <c r="AH753" s="68"/>
      <c r="AI753" s="68"/>
      <c r="AJ753" s="68">
        <v>1</v>
      </c>
      <c r="AL753" s="68">
        <v>1</v>
      </c>
      <c r="AM753" s="68"/>
      <c r="AN753" s="68"/>
      <c r="AO753" s="68"/>
      <c r="AQ753" s="68"/>
      <c r="AR753" s="68"/>
      <c r="AS753" s="68"/>
      <c r="AT753" s="68"/>
      <c r="AU753" s="68"/>
      <c r="AV753" s="68"/>
      <c r="AW753" s="68"/>
      <c r="AX753" s="68"/>
      <c r="AY753" s="68"/>
      <c r="AZ753" s="68"/>
      <c r="BB753" s="68"/>
      <c r="BC753" s="68"/>
      <c r="BJ753" s="68"/>
      <c r="BT753">
        <v>1</v>
      </c>
      <c r="BV753">
        <v>1</v>
      </c>
      <c r="BX753" s="68"/>
      <c r="BY753" s="68">
        <v>1</v>
      </c>
      <c r="BZ753" s="68" t="s">
        <v>1057</v>
      </c>
      <c r="CA753" s="68" t="s">
        <v>1057</v>
      </c>
      <c r="CB753" s="68" t="s">
        <v>1057</v>
      </c>
      <c r="CC753" s="68" t="e">
        <f t="shared" si="140"/>
        <v>#DIV/0!</v>
      </c>
      <c r="CD753" s="68" t="str">
        <f t="shared" si="141"/>
        <v>NA</v>
      </c>
    </row>
    <row r="754" spans="1:82" ht="15.75" customHeight="1" thickBot="1" x14ac:dyDescent="0.3">
      <c r="A754" s="9">
        <v>753</v>
      </c>
      <c r="B754" s="10" t="s">
        <v>507</v>
      </c>
      <c r="C754" s="10" t="s">
        <v>50</v>
      </c>
      <c r="D754" s="10" t="s">
        <v>17</v>
      </c>
      <c r="E754" s="51">
        <v>-212.77791626934899</v>
      </c>
      <c r="F754" s="51">
        <v>0</v>
      </c>
      <c r="G754" s="51">
        <v>0</v>
      </c>
      <c r="H754" s="51">
        <v>0</v>
      </c>
      <c r="I754" s="11" t="s">
        <v>1057</v>
      </c>
      <c r="J754" s="51">
        <v>1.9445374612902999</v>
      </c>
      <c r="K754" s="249">
        <f>IFERROR(VLOOKUP(C754,Schedule!$T$3:$U$34,2,0),"FA")</f>
        <v>6</v>
      </c>
      <c r="L754" s="10" t="str">
        <f>D754&amp;COUNTIF(D$2:$D754,D754)</f>
        <v>WR242</v>
      </c>
      <c r="M754" s="51">
        <f t="array" ref="M754">IFERROR(F754-AVERAGE(VLOOKUP(D754,$D755:$F$885,3,0),INDEX($F755:$F$885,SMALL(IF(D754=$D755:$D$885,ROW($D755:$D$885)-ROW(D754)),2))),0)</f>
        <v>0</v>
      </c>
      <c r="N754" s="51">
        <f>IFERROR(IF(VLOOKUP($B754,Input!$AC$2:$AC$162,1,0)=$B754,0),F754)</f>
        <v>0</v>
      </c>
      <c r="O754" s="51">
        <f>IFERROR(IF(VLOOKUP($B754,Input!$AC$2:$AC$162,1,0)=$B754,0,G754),G754)</f>
        <v>0</v>
      </c>
      <c r="P754" s="51">
        <f>IF(N754=0,0,F754-AVERAGE(INDEX(F:F,MATCH(VLOOKUP(D754,Input!$A$14:$L$22,10,0),L:L,0)),INDEX(F:F,MATCH(VLOOKUP(D754,Input!$A$14:$L$22,11,0),L:L,0)),INDEX(F:F,MATCH(VLOOKUP(D754,Input!$A$14:$L$22,12,0),L:L,0)))+(0.01-ROW()*0.01))</f>
        <v>0</v>
      </c>
      <c r="Q754" s="107">
        <f t="shared" si="136"/>
        <v>0</v>
      </c>
      <c r="R754" s="11">
        <f>IF(VLOOKUP($D754,$X$14:$Y$19,2,0)&lt;=0,1,IF(Q754&lt;0,1,ROUNDUP(IF(Q754*('Draft Center'!$L$28+'Draft Center'!$L$78-'Draft Center'!$L$82)&lt;1,1,Q754*('Draft Center'!$L$28+'Draft Center'!$L$78-'Draft Center'!$L$82)),0)))</f>
        <v>1</v>
      </c>
      <c r="S754" s="11">
        <f>IF(A754&lt;Input!$B$10+0.1,IF(ROUNDUP(R754*Input!$C$10,0)=0,1,ROUNDUP(R754*Input!$C$10,0)),IF(A754&gt;Input!$B$11,IF(ROUNDUP(R754*Input!$C$11,0)=0,1,ROUNDUP(R754*Input!$C$11,0)),IF(ROUNDUP(R754,0)=0,1,ROUNDUP(R754,0))))</f>
        <v>1</v>
      </c>
      <c r="T754" s="11">
        <f t="shared" si="137"/>
        <v>1</v>
      </c>
      <c r="U754" s="11">
        <f>IFERROR(VLOOKUP($B754,Input!$AC$2:$AE$161,3,0),0)</f>
        <v>0</v>
      </c>
      <c r="V754" s="257">
        <f t="shared" si="138"/>
        <v>0</v>
      </c>
      <c r="W754" s="264">
        <f t="shared" si="139"/>
        <v>0</v>
      </c>
      <c r="X754" s="68"/>
      <c r="Y754" s="68"/>
      <c r="Z754" s="68"/>
      <c r="AA754" s="68"/>
      <c r="AB754" s="68"/>
      <c r="AC754" s="68"/>
      <c r="AD754" s="68"/>
      <c r="AE754" s="68"/>
      <c r="AF754" s="68"/>
      <c r="AG754" s="68"/>
      <c r="AH754" s="68"/>
      <c r="AI754" s="68"/>
      <c r="AJ754" s="68">
        <v>1</v>
      </c>
      <c r="AL754" s="68">
        <v>1</v>
      </c>
      <c r="AM754" s="68"/>
      <c r="AN754" s="68"/>
      <c r="AO754" s="68"/>
      <c r="AQ754" s="68"/>
      <c r="AR754" s="68"/>
      <c r="AS754" s="68"/>
      <c r="AT754" s="68"/>
      <c r="AU754" s="68"/>
      <c r="AV754" s="68"/>
      <c r="AW754" s="68"/>
      <c r="AX754" s="68"/>
      <c r="AY754" s="68"/>
      <c r="AZ754" s="68"/>
      <c r="BB754" s="68"/>
      <c r="BC754" s="68"/>
      <c r="BJ754" s="68"/>
      <c r="BT754">
        <v>1</v>
      </c>
      <c r="BV754">
        <v>1</v>
      </c>
      <c r="BX754" s="68"/>
      <c r="BY754" s="68">
        <v>1</v>
      </c>
      <c r="BZ754" s="68" t="s">
        <v>1057</v>
      </c>
      <c r="CA754" s="68" t="s">
        <v>1057</v>
      </c>
      <c r="CB754" s="68" t="s">
        <v>1057</v>
      </c>
      <c r="CC754" s="68" t="e">
        <f t="shared" si="140"/>
        <v>#DIV/0!</v>
      </c>
      <c r="CD754" s="68" t="str">
        <f t="shared" si="141"/>
        <v>NA</v>
      </c>
    </row>
    <row r="755" spans="1:82" ht="15.75" customHeight="1" thickBot="1" x14ac:dyDescent="0.3">
      <c r="A755" s="6">
        <v>754</v>
      </c>
      <c r="B755" s="7" t="s">
        <v>505</v>
      </c>
      <c r="C755" s="7" t="s">
        <v>50</v>
      </c>
      <c r="D755" s="7" t="s">
        <v>17</v>
      </c>
      <c r="E755" s="50">
        <v>-212.77791626934899</v>
      </c>
      <c r="F755" s="50">
        <v>0</v>
      </c>
      <c r="G755" s="50">
        <v>0</v>
      </c>
      <c r="H755" s="50">
        <v>0</v>
      </c>
      <c r="I755" s="8" t="s">
        <v>1057</v>
      </c>
      <c r="J755" s="50">
        <v>1.9445374612902999</v>
      </c>
      <c r="K755" s="248">
        <f>IFERROR(VLOOKUP(C755,Schedule!$T$3:$U$34,2,0),"FA")</f>
        <v>6</v>
      </c>
      <c r="L755" s="7" t="str">
        <f>D755&amp;COUNTIF(D$2:$D755,D755)</f>
        <v>WR243</v>
      </c>
      <c r="M755" s="50">
        <f t="array" ref="M755">IFERROR(F755-AVERAGE(VLOOKUP(D755,$D756:$F$885,3,0),INDEX($F756:$F$885,SMALL(IF(D755=$D756:$D$885,ROW($D756:$D$885)-ROW(D755)),2))),0)</f>
        <v>0</v>
      </c>
      <c r="N755" s="50">
        <f>IFERROR(IF(VLOOKUP($B755,Input!$AC$2:$AC$162,1,0)=$B755,0),F755)</f>
        <v>0</v>
      </c>
      <c r="O755" s="50">
        <f>IFERROR(IF(VLOOKUP($B755,Input!$AC$2:$AC$162,1,0)=$B755,0,G755),G755)</f>
        <v>0</v>
      </c>
      <c r="P755" s="50">
        <f>IF(N755=0,0,F755-AVERAGE(INDEX(F:F,MATCH(VLOOKUP(D755,Input!$A$14:$L$22,10,0),L:L,0)),INDEX(F:F,MATCH(VLOOKUP(D755,Input!$A$14:$L$22,11,0),L:L,0)),INDEX(F:F,MATCH(VLOOKUP(D755,Input!$A$14:$L$22,12,0),L:L,0)))+(0.01-ROW()*0.01))</f>
        <v>0</v>
      </c>
      <c r="Q755" s="106">
        <f t="shared" si="136"/>
        <v>0</v>
      </c>
      <c r="R755" s="8">
        <f>IF(VLOOKUP($D755,$X$14:$Y$19,2,0)&lt;=0,1,IF(Q755&lt;0,1,ROUNDUP(IF(Q755*('Draft Center'!$L$28+'Draft Center'!$L$78-'Draft Center'!$L$82)&lt;1,1,Q755*('Draft Center'!$L$28+'Draft Center'!$L$78-'Draft Center'!$L$82)),0)))</f>
        <v>1</v>
      </c>
      <c r="S755" s="8">
        <f>IF(A755&lt;Input!$B$10+0.1,IF(ROUNDUP(R755*Input!$C$10,0)=0,1,ROUNDUP(R755*Input!$C$10,0)),IF(A755&gt;Input!$B$11,IF(ROUNDUP(R755*Input!$C$11,0)=0,1,ROUNDUP(R755*Input!$C$11,0)),IF(ROUNDUP(R755,0)=0,1,ROUNDUP(R755,0))))</f>
        <v>1</v>
      </c>
      <c r="T755" s="8">
        <f t="shared" si="137"/>
        <v>1</v>
      </c>
      <c r="U755" s="8">
        <f>IFERROR(VLOOKUP($B755,Input!$AC$2:$AE$161,3,0),0)</f>
        <v>0</v>
      </c>
      <c r="V755" s="256">
        <f t="shared" si="138"/>
        <v>0</v>
      </c>
      <c r="W755" s="263">
        <f t="shared" si="139"/>
        <v>0</v>
      </c>
      <c r="X755" s="68"/>
      <c r="Y755" s="68"/>
      <c r="Z755" s="68"/>
      <c r="AA755" s="68"/>
      <c r="AB755" s="68"/>
      <c r="AC755" s="68"/>
      <c r="AD755" s="68"/>
      <c r="AE755" s="68"/>
      <c r="AF755" s="68"/>
      <c r="AG755" s="68"/>
      <c r="AH755" s="68"/>
      <c r="AI755" s="68"/>
      <c r="AJ755" s="68">
        <v>1</v>
      </c>
      <c r="AL755" s="68">
        <v>1</v>
      </c>
      <c r="AM755" s="68"/>
      <c r="AN755" s="68"/>
      <c r="AO755" s="68"/>
      <c r="AQ755" s="68"/>
      <c r="AR755" s="68"/>
      <c r="AS755" s="68"/>
      <c r="AT755" s="68"/>
      <c r="AU755" s="68"/>
      <c r="AV755" s="68"/>
      <c r="AW755" s="68"/>
      <c r="AX755" s="68"/>
      <c r="AY755" s="68"/>
      <c r="AZ755" s="68"/>
      <c r="BB755" s="68"/>
      <c r="BC755" s="68"/>
      <c r="BJ755" s="68"/>
      <c r="BT755">
        <v>1</v>
      </c>
      <c r="BV755">
        <v>1</v>
      </c>
      <c r="BX755" s="68"/>
      <c r="BY755" s="68">
        <v>1</v>
      </c>
      <c r="BZ755" s="68" t="s">
        <v>1057</v>
      </c>
      <c r="CA755" s="68" t="s">
        <v>1057</v>
      </c>
      <c r="CB755" s="68" t="s">
        <v>1057</v>
      </c>
      <c r="CC755" s="68" t="e">
        <f t="shared" si="140"/>
        <v>#DIV/0!</v>
      </c>
      <c r="CD755" s="68" t="str">
        <f t="shared" si="141"/>
        <v>NA</v>
      </c>
    </row>
    <row r="756" spans="1:82" ht="15.75" customHeight="1" thickBot="1" x14ac:dyDescent="0.3">
      <c r="A756" s="9">
        <v>755</v>
      </c>
      <c r="B756" s="10" t="s">
        <v>896</v>
      </c>
      <c r="C756" s="10" t="s">
        <v>85</v>
      </c>
      <c r="D756" s="10" t="s">
        <v>17</v>
      </c>
      <c r="E756" s="51">
        <v>-212.77791626934899</v>
      </c>
      <c r="F756" s="51">
        <v>0</v>
      </c>
      <c r="G756" s="51">
        <v>0</v>
      </c>
      <c r="H756" s="51">
        <v>0</v>
      </c>
      <c r="I756" s="11">
        <v>0</v>
      </c>
      <c r="J756" s="51">
        <v>1.9445374612902999</v>
      </c>
      <c r="K756" s="249">
        <f>IFERROR(VLOOKUP(C756,Schedule!$T$3:$U$34,2,0),"FA")</f>
        <v>11</v>
      </c>
      <c r="L756" s="10" t="str">
        <f>D756&amp;COUNTIF(D$2:$D756,D756)</f>
        <v>WR244</v>
      </c>
      <c r="M756" s="51">
        <f t="array" ref="M756">IFERROR(F756-AVERAGE(VLOOKUP(D756,$D757:$F$885,3,0),INDEX($F757:$F$885,SMALL(IF(D756=$D757:$D$885,ROW($D757:$D$885)-ROW(D756)),2))),0)</f>
        <v>0</v>
      </c>
      <c r="N756" s="51">
        <f>IFERROR(IF(VLOOKUP($B756,Input!$AC$2:$AC$162,1,0)=$B756,0),F756)</f>
        <v>0</v>
      </c>
      <c r="O756" s="51">
        <f>IFERROR(IF(VLOOKUP($B756,Input!$AC$2:$AC$162,1,0)=$B756,0,G756),G756)</f>
        <v>0</v>
      </c>
      <c r="P756" s="51">
        <f>IF(N756=0,0,F756-AVERAGE(INDEX(F:F,MATCH(VLOOKUP(D756,Input!$A$14:$L$22,10,0),L:L,0)),INDEX(F:F,MATCH(VLOOKUP(D756,Input!$A$14:$L$22,11,0),L:L,0)),INDEX(F:F,MATCH(VLOOKUP(D756,Input!$A$14:$L$22,12,0),L:L,0)))+(0.01-ROW()*0.01))</f>
        <v>0</v>
      </c>
      <c r="Q756" s="107">
        <f t="shared" si="136"/>
        <v>0</v>
      </c>
      <c r="R756" s="11">
        <f>IF(VLOOKUP($D756,$X$14:$Y$19,2,0)&lt;=0,1,IF(Q756&lt;0,1,ROUNDUP(IF(Q756*('Draft Center'!$L$28+'Draft Center'!$L$78-'Draft Center'!$L$82)&lt;1,1,Q756*('Draft Center'!$L$28+'Draft Center'!$L$78-'Draft Center'!$L$82)),0)))</f>
        <v>1</v>
      </c>
      <c r="S756" s="11">
        <f>IF(A756&lt;Input!$B$10+0.1,IF(ROUNDUP(R756*Input!$C$10,0)=0,1,ROUNDUP(R756*Input!$C$10,0)),IF(A756&gt;Input!$B$11,IF(ROUNDUP(R756*Input!$C$11,0)=0,1,ROUNDUP(R756*Input!$C$11,0)),IF(ROUNDUP(R756,0)=0,1,ROUNDUP(R756,0))))</f>
        <v>1</v>
      </c>
      <c r="T756" s="11">
        <f t="shared" si="137"/>
        <v>1</v>
      </c>
      <c r="U756" s="11">
        <f>IFERROR(VLOOKUP($B756,Input!$AC$2:$AE$161,3,0),0)</f>
        <v>0</v>
      </c>
      <c r="V756" s="257">
        <f t="shared" si="138"/>
        <v>0</v>
      </c>
      <c r="W756" s="264">
        <f t="shared" si="139"/>
        <v>1.00756</v>
      </c>
      <c r="X756" s="68"/>
      <c r="Y756" s="68"/>
      <c r="Z756" s="68"/>
      <c r="AA756" s="68"/>
      <c r="AB756" s="68"/>
      <c r="AC756" s="68"/>
      <c r="AD756" s="68"/>
      <c r="AE756" s="68"/>
      <c r="AF756" s="68"/>
      <c r="AG756" s="68"/>
      <c r="AH756" s="68"/>
      <c r="AI756" s="68"/>
      <c r="AJ756" s="68">
        <v>1</v>
      </c>
      <c r="AL756" s="68">
        <v>1</v>
      </c>
      <c r="AM756" s="68"/>
      <c r="AN756" s="68"/>
      <c r="AO756" s="68"/>
      <c r="AQ756" s="68"/>
      <c r="AR756" s="68"/>
      <c r="AS756" s="68"/>
      <c r="AT756" s="68"/>
      <c r="AU756" s="68"/>
      <c r="AV756" s="68"/>
      <c r="AW756" s="68"/>
      <c r="AX756" s="68"/>
      <c r="AY756" s="68"/>
      <c r="AZ756" s="68"/>
      <c r="BB756" s="68"/>
      <c r="BC756" s="68"/>
      <c r="BJ756" s="68"/>
      <c r="BT756">
        <v>1</v>
      </c>
      <c r="BV756">
        <v>1</v>
      </c>
      <c r="BX756" s="68"/>
      <c r="BY756" s="68">
        <v>1</v>
      </c>
      <c r="BZ756" s="68">
        <v>0</v>
      </c>
      <c r="CA756" s="68">
        <v>0</v>
      </c>
      <c r="CB756" s="68">
        <v>0</v>
      </c>
      <c r="CC756" s="68">
        <f t="shared" si="140"/>
        <v>0</v>
      </c>
      <c r="CD756" s="68">
        <f t="shared" si="141"/>
        <v>0</v>
      </c>
    </row>
    <row r="757" spans="1:82" ht="15.75" customHeight="1" thickBot="1" x14ac:dyDescent="0.3">
      <c r="A757" s="6">
        <v>756</v>
      </c>
      <c r="B757" s="7" t="s">
        <v>1133</v>
      </c>
      <c r="C757" s="7" t="s">
        <v>85</v>
      </c>
      <c r="D757" s="7" t="s">
        <v>17</v>
      </c>
      <c r="E757" s="50">
        <v>-212.77791626934899</v>
      </c>
      <c r="F757" s="50">
        <v>0</v>
      </c>
      <c r="G757" s="50">
        <v>0</v>
      </c>
      <c r="H757" s="50">
        <v>0</v>
      </c>
      <c r="I757" s="8" t="s">
        <v>1057</v>
      </c>
      <c r="J757" s="50" t="s">
        <v>1057</v>
      </c>
      <c r="K757" s="248">
        <f>IFERROR(VLOOKUP(C757,Schedule!$T$3:$U$34,2,0),"FA")</f>
        <v>11</v>
      </c>
      <c r="L757" s="7" t="str">
        <f>D757&amp;COUNTIF(D$2:$D757,D757)</f>
        <v>WR245</v>
      </c>
      <c r="M757" s="50">
        <f t="array" ref="M757">IFERROR(F757-AVERAGE(VLOOKUP(D757,$D758:$F$885,3,0),INDEX($F758:$F$885,SMALL(IF(D757=$D758:$D$885,ROW($D758:$D$885)-ROW(D757)),2))),0)</f>
        <v>0</v>
      </c>
      <c r="N757" s="50">
        <f>IFERROR(IF(VLOOKUP($B757,Input!$AC$2:$AC$162,1,0)=$B757,0),F757)</f>
        <v>0</v>
      </c>
      <c r="O757" s="50">
        <f>IFERROR(IF(VLOOKUP($B757,Input!$AC$2:$AC$162,1,0)=$B757,0,G757),G757)</f>
        <v>0</v>
      </c>
      <c r="P757" s="50">
        <f>IF(N757=0,0,F757-AVERAGE(INDEX(F:F,MATCH(VLOOKUP(D757,Input!$A$14:$L$22,10,0),L:L,0)),INDEX(F:F,MATCH(VLOOKUP(D757,Input!$A$14:$L$22,11,0),L:L,0)),INDEX(F:F,MATCH(VLOOKUP(D757,Input!$A$14:$L$22,12,0),L:L,0)))+(0.01-ROW()*0.01))</f>
        <v>0</v>
      </c>
      <c r="Q757" s="106">
        <f t="shared" si="136"/>
        <v>0</v>
      </c>
      <c r="R757" s="8">
        <f>IF(VLOOKUP($D757,$X$14:$Y$19,2,0)&lt;=0,1,IF(Q757&lt;0,1,ROUNDUP(IF(Q757*('Draft Center'!$L$28+'Draft Center'!$L$78-'Draft Center'!$L$82)&lt;1,1,Q757*('Draft Center'!$L$28+'Draft Center'!$L$78-'Draft Center'!$L$82)),0)))</f>
        <v>1</v>
      </c>
      <c r="S757" s="8">
        <f>IF(A757&lt;Input!$B$10+0.1,IF(ROUNDUP(R757*Input!$C$10,0)=0,1,ROUNDUP(R757*Input!$C$10,0)),IF(A757&gt;Input!$B$11,IF(ROUNDUP(R757*Input!$C$11,0)=0,1,ROUNDUP(R757*Input!$C$11,0)),IF(ROUNDUP(R757,0)=0,1,ROUNDUP(R757,0))))</f>
        <v>1</v>
      </c>
      <c r="T757" s="8">
        <f t="shared" si="137"/>
        <v>1</v>
      </c>
      <c r="U757" s="8">
        <f>IFERROR(VLOOKUP($B757,Input!$AC$2:$AE$161,3,0),0)</f>
        <v>0</v>
      </c>
      <c r="V757" s="256">
        <f t="shared" si="138"/>
        <v>0</v>
      </c>
      <c r="W757" s="263">
        <f t="shared" si="139"/>
        <v>0</v>
      </c>
      <c r="X757" s="68"/>
      <c r="Y757" s="68"/>
      <c r="Z757" s="68"/>
      <c r="AA757" s="68"/>
      <c r="AB757" s="68"/>
      <c r="AC757" s="68"/>
      <c r="AD757" s="68"/>
      <c r="AE757" s="68"/>
      <c r="AF757" s="68"/>
      <c r="AG757" s="68"/>
      <c r="AH757" s="68"/>
      <c r="AI757" s="68"/>
      <c r="AJ757" s="68">
        <v>1</v>
      </c>
      <c r="AL757" s="68">
        <v>1</v>
      </c>
      <c r="AM757" s="68"/>
      <c r="AN757" s="68"/>
      <c r="AO757" s="68"/>
      <c r="AQ757" s="68"/>
      <c r="AR757" s="68"/>
      <c r="AS757" s="68"/>
      <c r="AT757" s="68"/>
      <c r="AU757" s="68"/>
      <c r="AV757" s="68"/>
      <c r="AW757" s="68"/>
      <c r="AX757" s="68"/>
      <c r="AY757" s="68"/>
      <c r="AZ757" s="68"/>
      <c r="BB757" s="68"/>
      <c r="BC757" s="68"/>
      <c r="BJ757" s="68"/>
      <c r="BT757">
        <v>1</v>
      </c>
      <c r="BV757">
        <v>1</v>
      </c>
      <c r="BX757" s="68"/>
      <c r="BY757" s="68">
        <v>1</v>
      </c>
      <c r="BZ757" s="68" t="s">
        <v>1057</v>
      </c>
      <c r="CA757" s="68" t="s">
        <v>1057</v>
      </c>
      <c r="CB757" s="68" t="s">
        <v>1057</v>
      </c>
      <c r="CC757" s="68" t="e">
        <f t="shared" si="140"/>
        <v>#DIV/0!</v>
      </c>
      <c r="CD757" s="68" t="str">
        <f t="shared" si="141"/>
        <v>NA</v>
      </c>
    </row>
    <row r="758" spans="1:82" ht="15.75" customHeight="1" thickBot="1" x14ac:dyDescent="0.3">
      <c r="A758" s="9">
        <v>757</v>
      </c>
      <c r="B758" s="10" t="s">
        <v>1134</v>
      </c>
      <c r="C758" s="10" t="s">
        <v>31</v>
      </c>
      <c r="D758" s="10" t="s">
        <v>17</v>
      </c>
      <c r="E758" s="51">
        <v>-212.77791626934899</v>
      </c>
      <c r="F758" s="51">
        <v>0</v>
      </c>
      <c r="G758" s="51">
        <v>0</v>
      </c>
      <c r="H758" s="51">
        <v>0</v>
      </c>
      <c r="I758" s="11" t="s">
        <v>1057</v>
      </c>
      <c r="J758" s="51" t="s">
        <v>1057</v>
      </c>
      <c r="K758" s="249">
        <f>IFERROR(VLOOKUP(C758,Schedule!$T$3:$U$34,2,0),"FA")</f>
        <v>9</v>
      </c>
      <c r="L758" s="10" t="str">
        <f>D758&amp;COUNTIF(D$2:$D758,D758)</f>
        <v>WR246</v>
      </c>
      <c r="M758" s="51">
        <f t="array" ref="M758">IFERROR(F758-AVERAGE(VLOOKUP(D758,$D759:$F$885,3,0),INDEX($F759:$F$885,SMALL(IF(D758=$D759:$D$885,ROW($D759:$D$885)-ROW(D758)),2))),0)</f>
        <v>0</v>
      </c>
      <c r="N758" s="51">
        <f>IFERROR(IF(VLOOKUP($B758,Input!$AC$2:$AC$162,1,0)=$B758,0),F758)</f>
        <v>0</v>
      </c>
      <c r="O758" s="51">
        <f>IFERROR(IF(VLOOKUP($B758,Input!$AC$2:$AC$162,1,0)=$B758,0,G758),G758)</f>
        <v>0</v>
      </c>
      <c r="P758" s="51">
        <f>IF(N758=0,0,F758-AVERAGE(INDEX(F:F,MATCH(VLOOKUP(D758,Input!$A$14:$L$22,10,0),L:L,0)),INDEX(F:F,MATCH(VLOOKUP(D758,Input!$A$14:$L$22,11,0),L:L,0)),INDEX(F:F,MATCH(VLOOKUP(D758,Input!$A$14:$L$22,12,0),L:L,0)))+(0.01-ROW()*0.01))</f>
        <v>0</v>
      </c>
      <c r="Q758" s="107">
        <f t="shared" si="136"/>
        <v>0</v>
      </c>
      <c r="R758" s="11">
        <f>IF(VLOOKUP($D758,$X$14:$Y$19,2,0)&lt;=0,1,IF(Q758&lt;0,1,ROUNDUP(IF(Q758*('Draft Center'!$L$28+'Draft Center'!$L$78-'Draft Center'!$L$82)&lt;1,1,Q758*('Draft Center'!$L$28+'Draft Center'!$L$78-'Draft Center'!$L$82)),0)))</f>
        <v>1</v>
      </c>
      <c r="S758" s="11">
        <f>IF(A758&lt;Input!$B$10+0.1,IF(ROUNDUP(R758*Input!$C$10,0)=0,1,ROUNDUP(R758*Input!$C$10,0)),IF(A758&gt;Input!$B$11,IF(ROUNDUP(R758*Input!$C$11,0)=0,1,ROUNDUP(R758*Input!$C$11,0)),IF(ROUNDUP(R758,0)=0,1,ROUNDUP(R758,0))))</f>
        <v>1</v>
      </c>
      <c r="T758" s="11">
        <f t="shared" si="137"/>
        <v>1</v>
      </c>
      <c r="U758" s="11">
        <f>IFERROR(VLOOKUP($B758,Input!$AC$2:$AE$161,3,0),0)</f>
        <v>0</v>
      </c>
      <c r="V758" s="257">
        <f t="shared" si="138"/>
        <v>0</v>
      </c>
      <c r="W758" s="264">
        <f t="shared" si="139"/>
        <v>0</v>
      </c>
      <c r="X758" s="68"/>
      <c r="Y758" s="68"/>
      <c r="Z758" s="68"/>
      <c r="AA758" s="68"/>
      <c r="AB758" s="68"/>
      <c r="AC758" s="68"/>
      <c r="AD758" s="68"/>
      <c r="AE758" s="68"/>
      <c r="AF758" s="68"/>
      <c r="AG758" s="68"/>
      <c r="AH758" s="68"/>
      <c r="AI758" s="68"/>
      <c r="AJ758" s="68">
        <v>1</v>
      </c>
      <c r="AL758" s="68">
        <v>1</v>
      </c>
      <c r="AM758" s="68"/>
      <c r="AN758" s="68"/>
      <c r="AO758" s="68"/>
      <c r="AQ758" s="68"/>
      <c r="AR758" s="68"/>
      <c r="AS758" s="68"/>
      <c r="AT758" s="68"/>
      <c r="AU758" s="68"/>
      <c r="AV758" s="68"/>
      <c r="AW758" s="68"/>
      <c r="AX758" s="68"/>
      <c r="AY758" s="68"/>
      <c r="AZ758" s="68"/>
      <c r="BB758" s="68"/>
      <c r="BC758" s="68"/>
      <c r="BJ758" s="68"/>
      <c r="BT758">
        <v>1</v>
      </c>
      <c r="BV758">
        <v>1</v>
      </c>
      <c r="BX758" s="68"/>
      <c r="BY758" s="68">
        <v>1</v>
      </c>
      <c r="BZ758" s="68" t="s">
        <v>1057</v>
      </c>
      <c r="CA758" s="68" t="s">
        <v>1057</v>
      </c>
      <c r="CB758" s="68" t="s">
        <v>1057</v>
      </c>
      <c r="CC758" s="68" t="e">
        <f t="shared" si="140"/>
        <v>#DIV/0!</v>
      </c>
      <c r="CD758" s="68" t="str">
        <f t="shared" si="141"/>
        <v>NA</v>
      </c>
    </row>
    <row r="759" spans="1:82" ht="15.75" customHeight="1" thickBot="1" x14ac:dyDescent="0.3">
      <c r="A759" s="6">
        <v>758</v>
      </c>
      <c r="B759" s="7" t="s">
        <v>1135</v>
      </c>
      <c r="C759" s="7" t="s">
        <v>143</v>
      </c>
      <c r="D759" s="7" t="s">
        <v>17</v>
      </c>
      <c r="E759" s="50">
        <v>-212.77791626934899</v>
      </c>
      <c r="F759" s="50">
        <v>0</v>
      </c>
      <c r="G759" s="50">
        <v>0</v>
      </c>
      <c r="H759" s="50">
        <v>0</v>
      </c>
      <c r="I759" s="8">
        <v>0</v>
      </c>
      <c r="J759" s="50">
        <v>1.9445374612902999</v>
      </c>
      <c r="K759" s="248">
        <f>IFERROR(VLOOKUP(C759,Schedule!$T$3:$U$34,2,0),"FA")</f>
        <v>9</v>
      </c>
      <c r="L759" s="7" t="str">
        <f>D759&amp;COUNTIF(D$2:$D759,D759)</f>
        <v>WR247</v>
      </c>
      <c r="M759" s="50">
        <f t="array" ref="M759">IFERROR(F759-AVERAGE(VLOOKUP(D759,$D760:$F$885,3,0),INDEX($F760:$F$885,SMALL(IF(D759=$D760:$D$885,ROW($D760:$D$885)-ROW(D759)),2))),0)</f>
        <v>0</v>
      </c>
      <c r="N759" s="50">
        <f>IFERROR(IF(VLOOKUP($B759,Input!$AC$2:$AC$162,1,0)=$B759,0),F759)</f>
        <v>0</v>
      </c>
      <c r="O759" s="50">
        <f>IFERROR(IF(VLOOKUP($B759,Input!$AC$2:$AC$162,1,0)=$B759,0,G759),G759)</f>
        <v>0</v>
      </c>
      <c r="P759" s="50">
        <f>IF(N759=0,0,F759-AVERAGE(INDEX(F:F,MATCH(VLOOKUP(D759,Input!$A$14:$L$22,10,0),L:L,0)),INDEX(F:F,MATCH(VLOOKUP(D759,Input!$A$14:$L$22,11,0),L:L,0)),INDEX(F:F,MATCH(VLOOKUP(D759,Input!$A$14:$L$22,12,0),L:L,0)))+(0.01-ROW()*0.01))</f>
        <v>0</v>
      </c>
      <c r="Q759" s="106">
        <f t="shared" si="136"/>
        <v>0</v>
      </c>
      <c r="R759" s="8">
        <f>IF(VLOOKUP($D759,$X$14:$Y$19,2,0)&lt;=0,1,IF(Q759&lt;0,1,ROUNDUP(IF(Q759*('Draft Center'!$L$28+'Draft Center'!$L$78-'Draft Center'!$L$82)&lt;1,1,Q759*('Draft Center'!$L$28+'Draft Center'!$L$78-'Draft Center'!$L$82)),0)))</f>
        <v>1</v>
      </c>
      <c r="S759" s="8">
        <f>IF(A759&lt;Input!$B$10+0.1,IF(ROUNDUP(R759*Input!$C$10,0)=0,1,ROUNDUP(R759*Input!$C$10,0)),IF(A759&gt;Input!$B$11,IF(ROUNDUP(R759*Input!$C$11,0)=0,1,ROUNDUP(R759*Input!$C$11,0)),IF(ROUNDUP(R759,0)=0,1,ROUNDUP(R759,0))))</f>
        <v>1</v>
      </c>
      <c r="T759" s="8">
        <f t="shared" si="137"/>
        <v>1</v>
      </c>
      <c r="U759" s="8">
        <f>IFERROR(VLOOKUP($B759,Input!$AC$2:$AE$161,3,0),0)</f>
        <v>0</v>
      </c>
      <c r="V759" s="256">
        <f t="shared" si="138"/>
        <v>0</v>
      </c>
      <c r="W759" s="263">
        <f t="shared" si="139"/>
        <v>1.00759</v>
      </c>
      <c r="X759" s="68"/>
      <c r="Y759" s="68"/>
      <c r="Z759" s="68"/>
      <c r="AA759" s="68"/>
      <c r="AB759" s="68"/>
      <c r="AC759" s="68"/>
      <c r="AD759" s="68"/>
      <c r="AE759" s="68"/>
      <c r="AF759" s="68"/>
      <c r="AG759" s="68"/>
      <c r="AH759" s="68"/>
      <c r="AI759" s="68"/>
      <c r="AJ759" s="68">
        <v>1</v>
      </c>
      <c r="AL759" s="68">
        <v>1</v>
      </c>
      <c r="AM759" s="68"/>
      <c r="AN759" s="68"/>
      <c r="AO759" s="68"/>
      <c r="AQ759" s="68"/>
      <c r="AR759" s="68"/>
      <c r="AS759" s="68"/>
      <c r="AT759" s="68"/>
      <c r="AU759" s="68"/>
      <c r="AV759" s="68"/>
      <c r="AW759" s="68"/>
      <c r="AX759" s="68"/>
      <c r="AY759" s="68"/>
      <c r="AZ759" s="68"/>
      <c r="BB759" s="68"/>
      <c r="BC759" s="68"/>
      <c r="BJ759" s="68"/>
      <c r="BT759">
        <v>1</v>
      </c>
      <c r="BV759">
        <v>1</v>
      </c>
      <c r="BX759" s="68"/>
      <c r="BY759" s="68">
        <v>1</v>
      </c>
      <c r="BZ759" s="68">
        <v>0</v>
      </c>
      <c r="CA759" s="68">
        <v>0</v>
      </c>
      <c r="CB759" s="68">
        <v>0</v>
      </c>
      <c r="CC759" s="68">
        <f t="shared" si="140"/>
        <v>0</v>
      </c>
      <c r="CD759" s="68">
        <f t="shared" si="141"/>
        <v>0</v>
      </c>
    </row>
    <row r="760" spans="1:82" ht="15.75" customHeight="1" thickBot="1" x14ac:dyDescent="0.3">
      <c r="A760" s="9">
        <v>759</v>
      </c>
      <c r="B760" s="10" t="s">
        <v>1136</v>
      </c>
      <c r="C760" s="10" t="s">
        <v>35</v>
      </c>
      <c r="D760" s="10" t="s">
        <v>17</v>
      </c>
      <c r="E760" s="51">
        <v>-212.77791626934899</v>
      </c>
      <c r="F760" s="51">
        <v>0</v>
      </c>
      <c r="G760" s="51">
        <v>0</v>
      </c>
      <c r="H760" s="51">
        <v>0</v>
      </c>
      <c r="I760" s="11" t="s">
        <v>1057</v>
      </c>
      <c r="J760" s="51" t="s">
        <v>1057</v>
      </c>
      <c r="K760" s="249">
        <f>IFERROR(VLOOKUP(C760,Schedule!$T$3:$U$34,2,0),"FA")</f>
        <v>6</v>
      </c>
      <c r="L760" s="10" t="str">
        <f>D760&amp;COUNTIF(D$2:$D760,D760)</f>
        <v>WR248</v>
      </c>
      <c r="M760" s="51">
        <f t="array" ref="M760">IFERROR(F760-AVERAGE(VLOOKUP(D760,$D761:$F$885,3,0),INDEX($F761:$F$885,SMALL(IF(D760=$D761:$D$885,ROW($D761:$D$885)-ROW(D760)),2))),0)</f>
        <v>0</v>
      </c>
      <c r="N760" s="51">
        <f>IFERROR(IF(VLOOKUP($B760,Input!$AC$2:$AC$162,1,0)=$B760,0),F760)</f>
        <v>0</v>
      </c>
      <c r="O760" s="51">
        <f>IFERROR(IF(VLOOKUP($B760,Input!$AC$2:$AC$162,1,0)=$B760,0,G760),G760)</f>
        <v>0</v>
      </c>
      <c r="P760" s="51">
        <f>IF(N760=0,0,F760-AVERAGE(INDEX(F:F,MATCH(VLOOKUP(D760,Input!$A$14:$L$22,10,0),L:L,0)),INDEX(F:F,MATCH(VLOOKUP(D760,Input!$A$14:$L$22,11,0),L:L,0)),INDEX(F:F,MATCH(VLOOKUP(D760,Input!$A$14:$L$22,12,0),L:L,0)))+(0.01-ROW()*0.01))</f>
        <v>0</v>
      </c>
      <c r="Q760" s="107">
        <f t="shared" si="136"/>
        <v>0</v>
      </c>
      <c r="R760" s="11">
        <f>IF(VLOOKUP($D760,$X$14:$Y$19,2,0)&lt;=0,1,IF(Q760&lt;0,1,ROUNDUP(IF(Q760*('Draft Center'!$L$28+'Draft Center'!$L$78-'Draft Center'!$L$82)&lt;1,1,Q760*('Draft Center'!$L$28+'Draft Center'!$L$78-'Draft Center'!$L$82)),0)))</f>
        <v>1</v>
      </c>
      <c r="S760" s="11">
        <f>IF(A760&lt;Input!$B$10+0.1,IF(ROUNDUP(R760*Input!$C$10,0)=0,1,ROUNDUP(R760*Input!$C$10,0)),IF(A760&gt;Input!$B$11,IF(ROUNDUP(R760*Input!$C$11,0)=0,1,ROUNDUP(R760*Input!$C$11,0)),IF(ROUNDUP(R760,0)=0,1,ROUNDUP(R760,0))))</f>
        <v>1</v>
      </c>
      <c r="T760" s="11">
        <f t="shared" si="137"/>
        <v>1</v>
      </c>
      <c r="U760" s="11">
        <f>IFERROR(VLOOKUP($B760,Input!$AC$2:$AE$161,3,0),0)</f>
        <v>0</v>
      </c>
      <c r="V760" s="257">
        <f t="shared" si="138"/>
        <v>0</v>
      </c>
      <c r="W760" s="264">
        <f t="shared" si="139"/>
        <v>0</v>
      </c>
      <c r="X760" s="68"/>
      <c r="Y760" s="68"/>
      <c r="Z760" s="68"/>
      <c r="AA760" s="68"/>
      <c r="AB760" s="68"/>
      <c r="AC760" s="68"/>
      <c r="AD760" s="68"/>
      <c r="AE760" s="68"/>
      <c r="AF760" s="68"/>
      <c r="AG760" s="68"/>
      <c r="AH760" s="68"/>
      <c r="AI760" s="68"/>
      <c r="AJ760" s="68">
        <v>1</v>
      </c>
      <c r="AL760" s="68">
        <v>1</v>
      </c>
      <c r="AM760" s="68"/>
      <c r="AN760" s="68"/>
      <c r="AO760" s="68"/>
      <c r="AQ760" s="68"/>
      <c r="AR760" s="68"/>
      <c r="AS760" s="68"/>
      <c r="AT760" s="68"/>
      <c r="AU760" s="68"/>
      <c r="AV760" s="68"/>
      <c r="AW760" s="68"/>
      <c r="AX760" s="68"/>
      <c r="AY760" s="68"/>
      <c r="AZ760" s="68"/>
      <c r="BB760" s="68"/>
      <c r="BC760" s="68"/>
      <c r="BJ760" s="68"/>
      <c r="BT760">
        <v>1</v>
      </c>
      <c r="BV760">
        <v>1</v>
      </c>
      <c r="BX760" s="68"/>
      <c r="BY760" s="68">
        <v>1</v>
      </c>
      <c r="BZ760" s="68" t="s">
        <v>1057</v>
      </c>
      <c r="CA760" s="68" t="s">
        <v>1057</v>
      </c>
      <c r="CB760" s="68" t="s">
        <v>1057</v>
      </c>
      <c r="CC760" s="68" t="e">
        <f t="shared" si="140"/>
        <v>#DIV/0!</v>
      </c>
      <c r="CD760" s="68" t="str">
        <f t="shared" si="141"/>
        <v>NA</v>
      </c>
    </row>
    <row r="761" spans="1:82" ht="15.75" customHeight="1" thickBot="1" x14ac:dyDescent="0.3">
      <c r="A761" s="6">
        <v>760</v>
      </c>
      <c r="B761" s="7" t="s">
        <v>334</v>
      </c>
      <c r="C761" s="7" t="s">
        <v>21</v>
      </c>
      <c r="D761" s="7" t="s">
        <v>17</v>
      </c>
      <c r="E761" s="50">
        <v>-212.77791626934899</v>
      </c>
      <c r="F761" s="50">
        <v>0</v>
      </c>
      <c r="G761" s="50">
        <v>0</v>
      </c>
      <c r="H761" s="50">
        <v>0</v>
      </c>
      <c r="I761" s="8" t="s">
        <v>1057</v>
      </c>
      <c r="J761" s="50">
        <v>1.9445374612902999</v>
      </c>
      <c r="K761" s="248">
        <f>IFERROR(VLOOKUP(C761,Schedule!$T$3:$U$34,2,0),"FA")</f>
        <v>5</v>
      </c>
      <c r="L761" s="7" t="str">
        <f>D761&amp;COUNTIF(D$2:$D761,D761)</f>
        <v>WR249</v>
      </c>
      <c r="M761" s="50">
        <f t="array" ref="M761">IFERROR(F761-AVERAGE(VLOOKUP(D761,$D762:$F$885,3,0),INDEX($F762:$F$885,SMALL(IF(D761=$D762:$D$885,ROW($D762:$D$885)-ROW(D761)),2))),0)</f>
        <v>0</v>
      </c>
      <c r="N761" s="50">
        <f>IFERROR(IF(VLOOKUP($B761,Input!$AC$2:$AC$162,1,0)=$B761,0),F761)</f>
        <v>0</v>
      </c>
      <c r="O761" s="50">
        <f>IFERROR(IF(VLOOKUP($B761,Input!$AC$2:$AC$162,1,0)=$B761,0,G761),G761)</f>
        <v>0</v>
      </c>
      <c r="P761" s="50">
        <f>IF(N761=0,0,F761-AVERAGE(INDEX(F:F,MATCH(VLOOKUP(D761,Input!$A$14:$L$22,10,0),L:L,0)),INDEX(F:F,MATCH(VLOOKUP(D761,Input!$A$14:$L$22,11,0),L:L,0)),INDEX(F:F,MATCH(VLOOKUP(D761,Input!$A$14:$L$22,12,0),L:L,0)))+(0.01-ROW()*0.01))</f>
        <v>0</v>
      </c>
      <c r="Q761" s="106">
        <f t="shared" si="136"/>
        <v>0</v>
      </c>
      <c r="R761" s="8">
        <f>IF(VLOOKUP($D761,$X$14:$Y$19,2,0)&lt;=0,1,IF(Q761&lt;0,1,ROUNDUP(IF(Q761*('Draft Center'!$L$28+'Draft Center'!$L$78-'Draft Center'!$L$82)&lt;1,1,Q761*('Draft Center'!$L$28+'Draft Center'!$L$78-'Draft Center'!$L$82)),0)))</f>
        <v>1</v>
      </c>
      <c r="S761" s="8">
        <f>IF(A761&lt;Input!$B$10+0.1,IF(ROUNDUP(R761*Input!$C$10,0)=0,1,ROUNDUP(R761*Input!$C$10,0)),IF(A761&gt;Input!$B$11,IF(ROUNDUP(R761*Input!$C$11,0)=0,1,ROUNDUP(R761*Input!$C$11,0)),IF(ROUNDUP(R761,0)=0,1,ROUNDUP(R761,0))))</f>
        <v>1</v>
      </c>
      <c r="T761" s="8">
        <f t="shared" si="137"/>
        <v>1</v>
      </c>
      <c r="U761" s="8">
        <f>IFERROR(VLOOKUP($B761,Input!$AC$2:$AE$161,3,0),0)</f>
        <v>0</v>
      </c>
      <c r="V761" s="256">
        <f t="shared" si="138"/>
        <v>0</v>
      </c>
      <c r="W761" s="263">
        <f t="shared" si="139"/>
        <v>0</v>
      </c>
      <c r="X761" s="68"/>
      <c r="Y761" s="68"/>
      <c r="Z761" s="68"/>
      <c r="AA761" s="68"/>
      <c r="AB761" s="68"/>
      <c r="AC761" s="68"/>
      <c r="AD761" s="68"/>
      <c r="AE761" s="68"/>
      <c r="AF761" s="68"/>
      <c r="AG761" s="68"/>
      <c r="AH761" s="68"/>
      <c r="AI761" s="68"/>
      <c r="AJ761" s="68">
        <v>1</v>
      </c>
      <c r="AL761" s="68">
        <v>1</v>
      </c>
      <c r="AM761" s="68"/>
      <c r="AN761" s="68"/>
      <c r="AO761" s="68"/>
      <c r="AQ761" s="68"/>
      <c r="AR761" s="68"/>
      <c r="AS761" s="68"/>
      <c r="AT761" s="68"/>
      <c r="AU761" s="68"/>
      <c r="AV761" s="68"/>
      <c r="AW761" s="68"/>
      <c r="AX761" s="68"/>
      <c r="AY761" s="68"/>
      <c r="AZ761" s="68"/>
      <c r="BB761" s="68"/>
      <c r="BC761" s="68"/>
      <c r="BJ761" s="68"/>
      <c r="BT761">
        <v>1</v>
      </c>
      <c r="BV761">
        <v>1</v>
      </c>
      <c r="BX761" s="68"/>
      <c r="BY761" s="68">
        <v>1</v>
      </c>
      <c r="BZ761" s="68" t="s">
        <v>1057</v>
      </c>
      <c r="CA761" s="68" t="s">
        <v>1057</v>
      </c>
      <c r="CB761" s="68" t="s">
        <v>1057</v>
      </c>
      <c r="CC761" s="68" t="e">
        <f t="shared" si="140"/>
        <v>#DIV/0!</v>
      </c>
      <c r="CD761" s="68" t="str">
        <f t="shared" si="141"/>
        <v>NA</v>
      </c>
    </row>
    <row r="762" spans="1:82" ht="15.75" customHeight="1" thickBot="1" x14ac:dyDescent="0.3">
      <c r="A762" s="9">
        <v>761</v>
      </c>
      <c r="B762" s="10" t="s">
        <v>1137</v>
      </c>
      <c r="C762" s="10" t="s">
        <v>36</v>
      </c>
      <c r="D762" s="10" t="s">
        <v>17</v>
      </c>
      <c r="E762" s="51">
        <v>-212.77791626934899</v>
      </c>
      <c r="F762" s="51">
        <v>0</v>
      </c>
      <c r="G762" s="51">
        <v>0</v>
      </c>
      <c r="H762" s="51">
        <v>0</v>
      </c>
      <c r="I762" s="11" t="s">
        <v>1057</v>
      </c>
      <c r="J762" s="51" t="s">
        <v>1057</v>
      </c>
      <c r="K762" s="249">
        <f>IFERROR(VLOOKUP(C762,Schedule!$T$3:$U$34,2,0),"FA")</f>
        <v>7</v>
      </c>
      <c r="L762" s="10" t="str">
        <f>D762&amp;COUNTIF(D$2:$D762,D762)</f>
        <v>WR250</v>
      </c>
      <c r="M762" s="51">
        <f t="array" ref="M762">IFERROR(F762-AVERAGE(VLOOKUP(D762,$D763:$F$885,3,0),INDEX($F763:$F$885,SMALL(IF(D762=$D763:$D$885,ROW($D763:$D$885)-ROW(D762)),2))),0)</f>
        <v>0</v>
      </c>
      <c r="N762" s="51">
        <f>IFERROR(IF(VLOOKUP($B762,Input!$AC$2:$AC$162,1,0)=$B762,0),F762)</f>
        <v>0</v>
      </c>
      <c r="O762" s="51">
        <f>IFERROR(IF(VLOOKUP($B762,Input!$AC$2:$AC$162,1,0)=$B762,0,G762),G762)</f>
        <v>0</v>
      </c>
      <c r="P762" s="51">
        <f>IF(N762=0,0,F762-AVERAGE(INDEX(F:F,MATCH(VLOOKUP(D762,Input!$A$14:$L$22,10,0),L:L,0)),INDEX(F:F,MATCH(VLOOKUP(D762,Input!$A$14:$L$22,11,0),L:L,0)),INDEX(F:F,MATCH(VLOOKUP(D762,Input!$A$14:$L$22,12,0),L:L,0)))+(0.01-ROW()*0.01))</f>
        <v>0</v>
      </c>
      <c r="Q762" s="107">
        <f t="shared" si="136"/>
        <v>0</v>
      </c>
      <c r="R762" s="11">
        <f>IF(VLOOKUP($D762,$X$14:$Y$19,2,0)&lt;=0,1,IF(Q762&lt;0,1,ROUNDUP(IF(Q762*('Draft Center'!$L$28+'Draft Center'!$L$78-'Draft Center'!$L$82)&lt;1,1,Q762*('Draft Center'!$L$28+'Draft Center'!$L$78-'Draft Center'!$L$82)),0)))</f>
        <v>1</v>
      </c>
      <c r="S762" s="11">
        <f>IF(A762&lt;Input!$B$10+0.1,IF(ROUNDUP(R762*Input!$C$10,0)=0,1,ROUNDUP(R762*Input!$C$10,0)),IF(A762&gt;Input!$B$11,IF(ROUNDUP(R762*Input!$C$11,0)=0,1,ROUNDUP(R762*Input!$C$11,0)),IF(ROUNDUP(R762,0)=0,1,ROUNDUP(R762,0))))</f>
        <v>1</v>
      </c>
      <c r="T762" s="11">
        <f t="shared" si="137"/>
        <v>1</v>
      </c>
      <c r="U762" s="11">
        <f>IFERROR(VLOOKUP($B762,Input!$AC$2:$AE$161,3,0),0)</f>
        <v>0</v>
      </c>
      <c r="V762" s="257">
        <f t="shared" si="138"/>
        <v>0</v>
      </c>
      <c r="W762" s="264">
        <f t="shared" si="139"/>
        <v>0</v>
      </c>
      <c r="X762" s="68"/>
      <c r="Y762" s="68"/>
      <c r="Z762" s="68"/>
      <c r="AA762" s="68"/>
      <c r="AB762" s="68"/>
      <c r="AC762" s="68"/>
      <c r="AD762" s="68"/>
      <c r="AE762" s="68"/>
      <c r="AF762" s="68"/>
      <c r="AG762" s="68"/>
      <c r="AH762" s="68"/>
      <c r="AI762" s="68"/>
      <c r="AJ762" s="68">
        <v>1</v>
      </c>
      <c r="AL762" s="68">
        <v>1</v>
      </c>
      <c r="AM762" s="68"/>
      <c r="AN762" s="68"/>
      <c r="AO762" s="68"/>
      <c r="AQ762" s="68"/>
      <c r="AR762" s="68"/>
      <c r="AS762" s="68"/>
      <c r="AT762" s="68"/>
      <c r="AU762" s="68"/>
      <c r="AV762" s="68"/>
      <c r="AW762" s="68"/>
      <c r="AX762" s="68"/>
      <c r="AY762" s="68"/>
      <c r="AZ762" s="68"/>
      <c r="BB762" s="68"/>
      <c r="BC762" s="68"/>
      <c r="BJ762" s="68"/>
      <c r="BT762">
        <v>1</v>
      </c>
      <c r="BV762">
        <v>1</v>
      </c>
      <c r="BX762" s="68"/>
      <c r="BY762" s="68">
        <v>1</v>
      </c>
      <c r="BZ762" s="68" t="s">
        <v>1057</v>
      </c>
      <c r="CA762" s="68" t="s">
        <v>1057</v>
      </c>
      <c r="CB762" s="68" t="s">
        <v>1057</v>
      </c>
      <c r="CC762" s="68" t="e">
        <f t="shared" si="140"/>
        <v>#DIV/0!</v>
      </c>
      <c r="CD762" s="68" t="str">
        <f t="shared" si="141"/>
        <v>NA</v>
      </c>
    </row>
    <row r="763" spans="1:82" ht="15.75" customHeight="1" thickBot="1" x14ac:dyDescent="0.3">
      <c r="A763" s="6">
        <v>762</v>
      </c>
      <c r="B763" s="7" t="s">
        <v>1138</v>
      </c>
      <c r="C763" s="7" t="s">
        <v>311</v>
      </c>
      <c r="D763" s="7" t="s">
        <v>17</v>
      </c>
      <c r="E763" s="50">
        <v>-212.77791626934899</v>
      </c>
      <c r="F763" s="50">
        <v>0</v>
      </c>
      <c r="G763" s="50">
        <v>0</v>
      </c>
      <c r="H763" s="50">
        <v>0</v>
      </c>
      <c r="I763" s="8" t="s">
        <v>1057</v>
      </c>
      <c r="J763" s="50" t="s">
        <v>1057</v>
      </c>
      <c r="K763" s="248" t="str">
        <f>IFERROR(VLOOKUP(C763,Schedule!$T$3:$U$34,2,0),"FA")</f>
        <v>FA</v>
      </c>
      <c r="L763" s="7" t="str">
        <f>D763&amp;COUNTIF(D$2:$D763,D763)</f>
        <v>WR251</v>
      </c>
      <c r="M763" s="50">
        <f t="array" ref="M763">IFERROR(F763-AVERAGE(VLOOKUP(D763,$D764:$F$885,3,0),INDEX($F764:$F$885,SMALL(IF(D763=$D764:$D$885,ROW($D764:$D$885)-ROW(D763)),2))),0)</f>
        <v>0</v>
      </c>
      <c r="N763" s="50">
        <f>IFERROR(IF(VLOOKUP($B763,Input!$AC$2:$AC$162,1,0)=$B763,0),F763)</f>
        <v>0</v>
      </c>
      <c r="O763" s="50">
        <f>IFERROR(IF(VLOOKUP($B763,Input!$AC$2:$AC$162,1,0)=$B763,0,G763),G763)</f>
        <v>0</v>
      </c>
      <c r="P763" s="50">
        <f>IF(N763=0,0,F763-AVERAGE(INDEX(F:F,MATCH(VLOOKUP(D763,Input!$A$14:$L$22,10,0),L:L,0)),INDEX(F:F,MATCH(VLOOKUP(D763,Input!$A$14:$L$22,11,0),L:L,0)),INDEX(F:F,MATCH(VLOOKUP(D763,Input!$A$14:$L$22,12,0),L:L,0)))+(0.01-ROW()*0.01))</f>
        <v>0</v>
      </c>
      <c r="Q763" s="106">
        <f t="shared" si="136"/>
        <v>0</v>
      </c>
      <c r="R763" s="8">
        <f>IF(VLOOKUP($D763,$X$14:$Y$19,2,0)&lt;=0,1,IF(Q763&lt;0,1,ROUNDUP(IF(Q763*('Draft Center'!$L$28+'Draft Center'!$L$78-'Draft Center'!$L$82)&lt;1,1,Q763*('Draft Center'!$L$28+'Draft Center'!$L$78-'Draft Center'!$L$82)),0)))</f>
        <v>1</v>
      </c>
      <c r="S763" s="8">
        <f>IF(A763&lt;Input!$B$10+0.1,IF(ROUNDUP(R763*Input!$C$10,0)=0,1,ROUNDUP(R763*Input!$C$10,0)),IF(A763&gt;Input!$B$11,IF(ROUNDUP(R763*Input!$C$11,0)=0,1,ROUNDUP(R763*Input!$C$11,0)),IF(ROUNDUP(R763,0)=0,1,ROUNDUP(R763,0))))</f>
        <v>1</v>
      </c>
      <c r="T763" s="8">
        <f t="shared" si="137"/>
        <v>1</v>
      </c>
      <c r="U763" s="8">
        <f>IFERROR(VLOOKUP($B763,Input!$AC$2:$AE$161,3,0),0)</f>
        <v>0</v>
      </c>
      <c r="V763" s="256">
        <f t="shared" si="138"/>
        <v>0</v>
      </c>
      <c r="W763" s="263">
        <f t="shared" si="139"/>
        <v>0</v>
      </c>
      <c r="X763" s="68"/>
      <c r="Y763" s="68"/>
      <c r="Z763" s="68"/>
      <c r="AA763" s="68"/>
      <c r="AB763" s="68"/>
      <c r="AC763" s="68"/>
      <c r="AD763" s="68"/>
      <c r="AE763" s="68"/>
      <c r="AF763" s="68"/>
      <c r="AG763" s="68"/>
      <c r="AH763" s="68"/>
      <c r="AI763" s="68"/>
      <c r="AJ763" s="68">
        <v>1</v>
      </c>
      <c r="AL763" s="68">
        <v>1</v>
      </c>
      <c r="AM763" s="68"/>
      <c r="AN763" s="68"/>
      <c r="AO763" s="68"/>
      <c r="AQ763" s="68"/>
      <c r="AR763" s="68"/>
      <c r="AS763" s="68"/>
      <c r="AT763" s="68"/>
      <c r="AU763" s="68"/>
      <c r="AV763" s="68"/>
      <c r="AW763" s="68"/>
      <c r="AX763" s="68"/>
      <c r="AY763" s="68"/>
      <c r="AZ763" s="68"/>
      <c r="BB763" s="68"/>
      <c r="BC763" s="68"/>
      <c r="BJ763" s="68"/>
      <c r="BT763">
        <v>1</v>
      </c>
      <c r="BV763">
        <v>1</v>
      </c>
      <c r="BX763" s="68"/>
      <c r="BY763" s="68">
        <v>1</v>
      </c>
      <c r="BZ763" s="68" t="s">
        <v>1057</v>
      </c>
      <c r="CA763" s="68" t="s">
        <v>1057</v>
      </c>
      <c r="CB763" s="68" t="s">
        <v>1057</v>
      </c>
      <c r="CC763" s="68" t="e">
        <f t="shared" si="140"/>
        <v>#DIV/0!</v>
      </c>
      <c r="CD763" s="68" t="str">
        <f t="shared" si="141"/>
        <v>NA</v>
      </c>
    </row>
    <row r="764" spans="1:82" ht="15.75" customHeight="1" thickBot="1" x14ac:dyDescent="0.3">
      <c r="A764" s="9">
        <v>763</v>
      </c>
      <c r="B764" s="10" t="s">
        <v>1139</v>
      </c>
      <c r="C764" s="10" t="s">
        <v>311</v>
      </c>
      <c r="D764" s="10" t="s">
        <v>17</v>
      </c>
      <c r="E764" s="51">
        <v>-212.77791626934899</v>
      </c>
      <c r="F764" s="51">
        <v>0</v>
      </c>
      <c r="G764" s="51">
        <v>0</v>
      </c>
      <c r="H764" s="51">
        <v>0</v>
      </c>
      <c r="I764" s="11" t="s">
        <v>1057</v>
      </c>
      <c r="J764" s="51" t="s">
        <v>1057</v>
      </c>
      <c r="K764" s="249" t="str">
        <f>IFERROR(VLOOKUP(C764,Schedule!$T$3:$U$34,2,0),"FA")</f>
        <v>FA</v>
      </c>
      <c r="L764" s="10" t="str">
        <f>D764&amp;COUNTIF(D$2:$D764,D764)</f>
        <v>WR252</v>
      </c>
      <c r="M764" s="51">
        <f t="array" ref="M764">IFERROR(F764-AVERAGE(VLOOKUP(D764,$D765:$F$885,3,0),INDEX($F765:$F$885,SMALL(IF(D764=$D765:$D$885,ROW($D765:$D$885)-ROW(D764)),2))),0)</f>
        <v>0</v>
      </c>
      <c r="N764" s="51">
        <f>IFERROR(IF(VLOOKUP($B764,Input!$AC$2:$AC$162,1,0)=$B764,0),F764)</f>
        <v>0</v>
      </c>
      <c r="O764" s="51">
        <f>IFERROR(IF(VLOOKUP($B764,Input!$AC$2:$AC$162,1,0)=$B764,0,G764),G764)</f>
        <v>0</v>
      </c>
      <c r="P764" s="51">
        <f>IF(N764=0,0,F764-AVERAGE(INDEX(F:F,MATCH(VLOOKUP(D764,Input!$A$14:$L$22,10,0),L:L,0)),INDEX(F:F,MATCH(VLOOKUP(D764,Input!$A$14:$L$22,11,0),L:L,0)),INDEX(F:F,MATCH(VLOOKUP(D764,Input!$A$14:$L$22,12,0),L:L,0)))+(0.01-ROW()*0.01))</f>
        <v>0</v>
      </c>
      <c r="Q764" s="107">
        <f t="shared" si="136"/>
        <v>0</v>
      </c>
      <c r="R764" s="11">
        <f>IF(VLOOKUP($D764,$X$14:$Y$19,2,0)&lt;=0,1,IF(Q764&lt;0,1,ROUNDUP(IF(Q764*('Draft Center'!$L$28+'Draft Center'!$L$78-'Draft Center'!$L$82)&lt;1,1,Q764*('Draft Center'!$L$28+'Draft Center'!$L$78-'Draft Center'!$L$82)),0)))</f>
        <v>1</v>
      </c>
      <c r="S764" s="11">
        <f>IF(A764&lt;Input!$B$10+0.1,IF(ROUNDUP(R764*Input!$C$10,0)=0,1,ROUNDUP(R764*Input!$C$10,0)),IF(A764&gt;Input!$B$11,IF(ROUNDUP(R764*Input!$C$11,0)=0,1,ROUNDUP(R764*Input!$C$11,0)),IF(ROUNDUP(R764,0)=0,1,ROUNDUP(R764,0))))</f>
        <v>1</v>
      </c>
      <c r="T764" s="11">
        <f t="shared" si="137"/>
        <v>1</v>
      </c>
      <c r="U764" s="11">
        <f>IFERROR(VLOOKUP($B764,Input!$AC$2:$AE$161,3,0),0)</f>
        <v>0</v>
      </c>
      <c r="V764" s="257">
        <f t="shared" si="138"/>
        <v>0</v>
      </c>
      <c r="W764" s="264">
        <f t="shared" si="139"/>
        <v>0</v>
      </c>
      <c r="X764" s="68"/>
      <c r="Y764" s="68"/>
      <c r="Z764" s="68"/>
      <c r="AA764" s="68"/>
      <c r="AB764" s="68"/>
      <c r="AC764" s="68"/>
      <c r="AD764" s="68"/>
      <c r="AE764" s="68"/>
      <c r="AF764" s="68"/>
      <c r="AG764" s="68"/>
      <c r="AH764" s="68"/>
      <c r="AI764" s="68"/>
      <c r="AJ764" s="68">
        <v>1</v>
      </c>
      <c r="AL764" s="68">
        <v>1</v>
      </c>
      <c r="AM764" s="68"/>
      <c r="AN764" s="68"/>
      <c r="AO764" s="68"/>
      <c r="AQ764" s="68"/>
      <c r="AR764" s="68"/>
      <c r="AS764" s="68"/>
      <c r="AT764" s="68"/>
      <c r="AU764" s="68"/>
      <c r="AV764" s="68"/>
      <c r="AW764" s="68"/>
      <c r="AX764" s="68"/>
      <c r="AY764" s="68"/>
      <c r="AZ764" s="68"/>
      <c r="BB764" s="68"/>
      <c r="BC764" s="68"/>
      <c r="BJ764" s="68"/>
      <c r="BT764">
        <v>1</v>
      </c>
      <c r="BV764">
        <v>1</v>
      </c>
      <c r="BX764" s="68"/>
      <c r="BY764" s="68">
        <v>1</v>
      </c>
      <c r="BZ764" s="68" t="s">
        <v>1057</v>
      </c>
      <c r="CA764" s="68" t="s">
        <v>1057</v>
      </c>
      <c r="CB764" s="68" t="s">
        <v>1057</v>
      </c>
      <c r="CC764" s="68" t="e">
        <f t="shared" si="140"/>
        <v>#DIV/0!</v>
      </c>
      <c r="CD764" s="68" t="str">
        <f t="shared" si="141"/>
        <v>NA</v>
      </c>
    </row>
    <row r="765" spans="1:82" ht="15.75" customHeight="1" thickBot="1" x14ac:dyDescent="0.3">
      <c r="A765" s="6">
        <v>764</v>
      </c>
      <c r="B765" s="7" t="s">
        <v>1140</v>
      </c>
      <c r="C765" s="7" t="s">
        <v>311</v>
      </c>
      <c r="D765" s="7" t="s">
        <v>17</v>
      </c>
      <c r="E765" s="50">
        <v>-212.77791626934899</v>
      </c>
      <c r="F765" s="50">
        <v>0</v>
      </c>
      <c r="G765" s="50">
        <v>0</v>
      </c>
      <c r="H765" s="50">
        <v>0</v>
      </c>
      <c r="I765" s="8" t="s">
        <v>1057</v>
      </c>
      <c r="J765" s="50">
        <v>6.9442694023037399</v>
      </c>
      <c r="K765" s="248" t="str">
        <f>IFERROR(VLOOKUP(C765,Schedule!$T$3:$U$34,2,0),"FA")</f>
        <v>FA</v>
      </c>
      <c r="L765" s="7" t="str">
        <f>D765&amp;COUNTIF(D$2:$D765,D765)</f>
        <v>WR253</v>
      </c>
      <c r="M765" s="50">
        <f t="array" ref="M765">IFERROR(F765-AVERAGE(VLOOKUP(D765,$D766:$F$885,3,0),INDEX($F766:$F$885,SMALL(IF(D765=$D766:$D$885,ROW($D766:$D$885)-ROW(D765)),2))),0)</f>
        <v>0</v>
      </c>
      <c r="N765" s="50">
        <f>IFERROR(IF(VLOOKUP($B765,Input!$AC$2:$AC$162,1,0)=$B765,0),F765)</f>
        <v>0</v>
      </c>
      <c r="O765" s="50">
        <f>IFERROR(IF(VLOOKUP($B765,Input!$AC$2:$AC$162,1,0)=$B765,0,G765),G765)</f>
        <v>0</v>
      </c>
      <c r="P765" s="50">
        <f>IF(N765=0,0,F765-AVERAGE(INDEX(F:F,MATCH(VLOOKUP(D765,Input!$A$14:$L$22,10,0),L:L,0)),INDEX(F:F,MATCH(VLOOKUP(D765,Input!$A$14:$L$22,11,0),L:L,0)),INDEX(F:F,MATCH(VLOOKUP(D765,Input!$A$14:$L$22,12,0),L:L,0)))+(0.01-ROW()*0.01))</f>
        <v>0</v>
      </c>
      <c r="Q765" s="106">
        <f t="shared" si="136"/>
        <v>0</v>
      </c>
      <c r="R765" s="8">
        <f>IF(VLOOKUP($D765,$X$14:$Y$19,2,0)&lt;=0,1,IF(Q765&lt;0,1,ROUNDUP(IF(Q765*('Draft Center'!$L$28+'Draft Center'!$L$78-'Draft Center'!$L$82)&lt;1,1,Q765*('Draft Center'!$L$28+'Draft Center'!$L$78-'Draft Center'!$L$82)),0)))</f>
        <v>1</v>
      </c>
      <c r="S765" s="8">
        <f>IF(A765&lt;Input!$B$10+0.1,IF(ROUNDUP(R765*Input!$C$10,0)=0,1,ROUNDUP(R765*Input!$C$10,0)),IF(A765&gt;Input!$B$11,IF(ROUNDUP(R765*Input!$C$11,0)=0,1,ROUNDUP(R765*Input!$C$11,0)),IF(ROUNDUP(R765,0)=0,1,ROUNDUP(R765,0))))</f>
        <v>1</v>
      </c>
      <c r="T765" s="8">
        <f t="shared" si="137"/>
        <v>1</v>
      </c>
      <c r="U765" s="8">
        <f>IFERROR(VLOOKUP($B765,Input!$AC$2:$AE$161,3,0),0)</f>
        <v>0</v>
      </c>
      <c r="V765" s="256">
        <f t="shared" si="138"/>
        <v>0</v>
      </c>
      <c r="W765" s="263">
        <f t="shared" si="139"/>
        <v>0</v>
      </c>
      <c r="X765" s="68"/>
      <c r="Y765" s="68"/>
      <c r="Z765" s="68"/>
      <c r="AA765" s="68"/>
      <c r="AB765" s="68"/>
      <c r="AC765" s="68"/>
      <c r="AD765" s="68"/>
      <c r="AE765" s="68"/>
      <c r="AF765" s="68"/>
      <c r="AG765" s="68"/>
      <c r="AH765" s="68"/>
      <c r="AI765" s="68"/>
      <c r="AJ765" s="68">
        <v>1</v>
      </c>
      <c r="AL765" s="68">
        <v>1</v>
      </c>
      <c r="AM765" s="68"/>
      <c r="AN765" s="68"/>
      <c r="AO765" s="68"/>
      <c r="AQ765" s="68"/>
      <c r="AR765" s="68"/>
      <c r="AS765" s="68"/>
      <c r="AT765" s="68"/>
      <c r="AU765" s="68"/>
      <c r="AV765" s="68"/>
      <c r="AW765" s="68"/>
      <c r="AX765" s="68"/>
      <c r="AY765" s="68"/>
      <c r="AZ765" s="68"/>
      <c r="BB765" s="68"/>
      <c r="BC765" s="68"/>
      <c r="BJ765" s="68"/>
      <c r="BT765">
        <v>1</v>
      </c>
      <c r="BV765">
        <v>1</v>
      </c>
      <c r="BX765" s="68"/>
      <c r="BY765" s="68">
        <v>1</v>
      </c>
      <c r="BZ765" s="68" t="s">
        <v>1057</v>
      </c>
      <c r="CA765" s="68" t="s">
        <v>1057</v>
      </c>
      <c r="CB765" s="68" t="s">
        <v>1057</v>
      </c>
      <c r="CC765" s="68" t="e">
        <f t="shared" si="140"/>
        <v>#DIV/0!</v>
      </c>
      <c r="CD765" s="68" t="str">
        <f t="shared" si="141"/>
        <v>NA</v>
      </c>
    </row>
    <row r="766" spans="1:82" ht="15.75" customHeight="1" thickBot="1" x14ac:dyDescent="0.3">
      <c r="A766" s="9">
        <v>765</v>
      </c>
      <c r="B766" s="10" t="s">
        <v>256</v>
      </c>
      <c r="C766" s="10" t="s">
        <v>311</v>
      </c>
      <c r="D766" s="10" t="s">
        <v>17</v>
      </c>
      <c r="E766" s="51">
        <v>-212.77791626934899</v>
      </c>
      <c r="F766" s="51">
        <v>0</v>
      </c>
      <c r="G766" s="51">
        <v>0</v>
      </c>
      <c r="H766" s="51">
        <v>0</v>
      </c>
      <c r="I766" s="11" t="s">
        <v>1057</v>
      </c>
      <c r="J766" s="51" t="s">
        <v>1057</v>
      </c>
      <c r="K766" s="249" t="str">
        <f>IFERROR(VLOOKUP(C766,Schedule!$T$3:$U$34,2,0),"FA")</f>
        <v>FA</v>
      </c>
      <c r="L766" s="10" t="str">
        <f>D766&amp;COUNTIF(D$2:$D766,D766)</f>
        <v>WR254</v>
      </c>
      <c r="M766" s="51">
        <f t="array" ref="M766">IFERROR(F766-AVERAGE(VLOOKUP(D766,$D767:$F$885,3,0),INDEX($F767:$F$885,SMALL(IF(D766=$D767:$D$885,ROW($D767:$D$885)-ROW(D766)),2))),0)</f>
        <v>0</v>
      </c>
      <c r="N766" s="51">
        <f>IFERROR(IF(VLOOKUP($B766,Input!$AC$2:$AC$162,1,0)=$B766,0),F766)</f>
        <v>0</v>
      </c>
      <c r="O766" s="51">
        <f>IFERROR(IF(VLOOKUP($B766,Input!$AC$2:$AC$162,1,0)=$B766,0,G766),G766)</f>
        <v>0</v>
      </c>
      <c r="P766" s="51">
        <f>IF(N766=0,0,F766-AVERAGE(INDEX(F:F,MATCH(VLOOKUP(D766,Input!$A$14:$L$22,10,0),L:L,0)),INDEX(F:F,MATCH(VLOOKUP(D766,Input!$A$14:$L$22,11,0),L:L,0)),INDEX(F:F,MATCH(VLOOKUP(D766,Input!$A$14:$L$22,12,0),L:L,0)))+(0.01-ROW()*0.01))</f>
        <v>0</v>
      </c>
      <c r="Q766" s="107">
        <f t="shared" si="136"/>
        <v>0</v>
      </c>
      <c r="R766" s="11">
        <f>IF(VLOOKUP($D766,$X$14:$Y$19,2,0)&lt;=0,1,IF(Q766&lt;0,1,ROUNDUP(IF(Q766*('Draft Center'!$L$28+'Draft Center'!$L$78-'Draft Center'!$L$82)&lt;1,1,Q766*('Draft Center'!$L$28+'Draft Center'!$L$78-'Draft Center'!$L$82)),0)))</f>
        <v>1</v>
      </c>
      <c r="S766" s="11">
        <f>IF(A766&lt;Input!$B$10+0.1,IF(ROUNDUP(R766*Input!$C$10,0)=0,1,ROUNDUP(R766*Input!$C$10,0)),IF(A766&gt;Input!$B$11,IF(ROUNDUP(R766*Input!$C$11,0)=0,1,ROUNDUP(R766*Input!$C$11,0)),IF(ROUNDUP(R766,0)=0,1,ROUNDUP(R766,0))))</f>
        <v>1</v>
      </c>
      <c r="T766" s="11">
        <f t="shared" si="137"/>
        <v>1</v>
      </c>
      <c r="U766" s="11">
        <f>IFERROR(VLOOKUP($B766,Input!$AC$2:$AE$161,3,0),0)</f>
        <v>0</v>
      </c>
      <c r="V766" s="257">
        <f t="shared" si="138"/>
        <v>0</v>
      </c>
      <c r="W766" s="264">
        <f t="shared" si="139"/>
        <v>0</v>
      </c>
      <c r="X766" s="68"/>
      <c r="Y766" s="68"/>
      <c r="Z766" s="68"/>
      <c r="AA766" s="68"/>
      <c r="AB766" s="68"/>
      <c r="AC766" s="68"/>
      <c r="AD766" s="68"/>
      <c r="AE766" s="68"/>
      <c r="AF766" s="68"/>
      <c r="AG766" s="68"/>
      <c r="AH766" s="68"/>
      <c r="AI766" s="68"/>
      <c r="AJ766" s="68">
        <v>1</v>
      </c>
      <c r="AL766" s="68">
        <v>1</v>
      </c>
      <c r="AM766" s="68"/>
      <c r="AN766" s="68"/>
      <c r="AO766" s="68"/>
      <c r="AQ766" s="68"/>
      <c r="AR766" s="68"/>
      <c r="AS766" s="68"/>
      <c r="AT766" s="68"/>
      <c r="AU766" s="68"/>
      <c r="AV766" s="68"/>
      <c r="AW766" s="68"/>
      <c r="AX766" s="68"/>
      <c r="AY766" s="68"/>
      <c r="AZ766" s="68"/>
      <c r="BB766" s="68"/>
      <c r="BC766" s="68"/>
      <c r="BJ766" s="68"/>
      <c r="BT766">
        <v>1</v>
      </c>
      <c r="BV766">
        <v>1</v>
      </c>
      <c r="BX766" s="68"/>
      <c r="BY766" s="68">
        <v>1</v>
      </c>
      <c r="BZ766" s="68" t="s">
        <v>1057</v>
      </c>
      <c r="CA766" s="68" t="s">
        <v>1057</v>
      </c>
      <c r="CB766" s="68" t="s">
        <v>1057</v>
      </c>
      <c r="CC766" s="68" t="e">
        <f t="shared" si="140"/>
        <v>#DIV/0!</v>
      </c>
      <c r="CD766" s="68" t="str">
        <f t="shared" si="141"/>
        <v>NA</v>
      </c>
    </row>
    <row r="767" spans="1:82" ht="15.75" customHeight="1" thickBot="1" x14ac:dyDescent="0.3">
      <c r="A767" s="6">
        <v>766</v>
      </c>
      <c r="B767" s="7" t="s">
        <v>398</v>
      </c>
      <c r="C767" s="7" t="s">
        <v>311</v>
      </c>
      <c r="D767" s="7" t="s">
        <v>17</v>
      </c>
      <c r="E767" s="50">
        <v>-212.77791626934899</v>
      </c>
      <c r="F767" s="50">
        <v>0</v>
      </c>
      <c r="G767" s="50">
        <v>0</v>
      </c>
      <c r="H767" s="50">
        <v>0</v>
      </c>
      <c r="I767" s="8">
        <v>0</v>
      </c>
      <c r="J767" s="50" t="s">
        <v>1057</v>
      </c>
      <c r="K767" s="248" t="str">
        <f>IFERROR(VLOOKUP(C767,Schedule!$T$3:$U$34,2,0),"FA")</f>
        <v>FA</v>
      </c>
      <c r="L767" s="7" t="str">
        <f>D767&amp;COUNTIF(D$2:$D767,D767)</f>
        <v>WR255</v>
      </c>
      <c r="M767" s="50">
        <f t="array" ref="M767">IFERROR(F767-AVERAGE(VLOOKUP(D767,$D768:$F$885,3,0),INDEX($F768:$F$885,SMALL(IF(D767=$D768:$D$885,ROW($D768:$D$885)-ROW(D767)),2))),0)</f>
        <v>0</v>
      </c>
      <c r="N767" s="50">
        <f>IFERROR(IF(VLOOKUP($B767,Input!$AC$2:$AC$162,1,0)=$B767,0),F767)</f>
        <v>0</v>
      </c>
      <c r="O767" s="50">
        <f>IFERROR(IF(VLOOKUP($B767,Input!$AC$2:$AC$162,1,0)=$B767,0,G767),G767)</f>
        <v>0</v>
      </c>
      <c r="P767" s="50">
        <f>IF(N767=0,0,F767-AVERAGE(INDEX(F:F,MATCH(VLOOKUP(D767,Input!$A$14:$L$22,10,0),L:L,0)),INDEX(F:F,MATCH(VLOOKUP(D767,Input!$A$14:$L$22,11,0),L:L,0)),INDEX(F:F,MATCH(VLOOKUP(D767,Input!$A$14:$L$22,12,0),L:L,0)))+(0.01-ROW()*0.01))</f>
        <v>0</v>
      </c>
      <c r="Q767" s="106">
        <f t="shared" si="136"/>
        <v>0</v>
      </c>
      <c r="R767" s="8">
        <f>IF(VLOOKUP($D767,$X$14:$Y$19,2,0)&lt;=0,1,IF(Q767&lt;0,1,ROUNDUP(IF(Q767*('Draft Center'!$L$28+'Draft Center'!$L$78-'Draft Center'!$L$82)&lt;1,1,Q767*('Draft Center'!$L$28+'Draft Center'!$L$78-'Draft Center'!$L$82)),0)))</f>
        <v>1</v>
      </c>
      <c r="S767" s="8">
        <f>IF(A767&lt;Input!$B$10+0.1,IF(ROUNDUP(R767*Input!$C$10,0)=0,1,ROUNDUP(R767*Input!$C$10,0)),IF(A767&gt;Input!$B$11,IF(ROUNDUP(R767*Input!$C$11,0)=0,1,ROUNDUP(R767*Input!$C$11,0)),IF(ROUNDUP(R767,0)=0,1,ROUNDUP(R767,0))))</f>
        <v>1</v>
      </c>
      <c r="T767" s="8">
        <f t="shared" si="137"/>
        <v>1</v>
      </c>
      <c r="U767" s="8">
        <f>IFERROR(VLOOKUP($B767,Input!$AC$2:$AE$161,3,0),0)</f>
        <v>0</v>
      </c>
      <c r="V767" s="256">
        <f t="shared" si="138"/>
        <v>0</v>
      </c>
      <c r="W767" s="263">
        <f t="shared" si="139"/>
        <v>1.0076700000000001</v>
      </c>
      <c r="X767" s="68"/>
      <c r="Y767" s="68"/>
      <c r="Z767" s="68"/>
      <c r="AA767" s="68"/>
      <c r="AB767" s="68"/>
      <c r="AC767" s="68"/>
      <c r="AD767" s="68"/>
      <c r="AE767" s="68"/>
      <c r="AF767" s="68"/>
      <c r="AG767" s="68"/>
      <c r="AH767" s="68"/>
      <c r="AI767" s="68"/>
      <c r="AJ767" s="68">
        <v>1</v>
      </c>
      <c r="AL767" s="68">
        <v>1</v>
      </c>
      <c r="AM767" s="68"/>
      <c r="AN767" s="68"/>
      <c r="AO767" s="68"/>
      <c r="AQ767" s="68"/>
      <c r="AR767" s="68"/>
      <c r="AS767" s="68"/>
      <c r="AT767" s="68"/>
      <c r="AU767" s="68"/>
      <c r="AV767" s="68"/>
      <c r="AW767" s="68"/>
      <c r="AX767" s="68"/>
      <c r="AY767" s="68"/>
      <c r="AZ767" s="68"/>
      <c r="BB767" s="68"/>
      <c r="BC767" s="68"/>
      <c r="BJ767" s="68"/>
      <c r="BT767">
        <v>1</v>
      </c>
      <c r="BV767">
        <v>1</v>
      </c>
      <c r="BX767" s="68"/>
      <c r="BY767" s="68">
        <v>1</v>
      </c>
      <c r="BZ767" s="68">
        <v>0</v>
      </c>
      <c r="CA767" s="68">
        <v>0</v>
      </c>
      <c r="CB767" s="68">
        <v>0</v>
      </c>
      <c r="CC767" s="68">
        <f t="shared" si="140"/>
        <v>0</v>
      </c>
      <c r="CD767" s="68">
        <f t="shared" si="141"/>
        <v>0</v>
      </c>
    </row>
    <row r="768" spans="1:82" ht="15.75" customHeight="1" thickBot="1" x14ac:dyDescent="0.3">
      <c r="A768" s="9">
        <v>767</v>
      </c>
      <c r="B768" s="10" t="s">
        <v>1141</v>
      </c>
      <c r="C768" s="10" t="s">
        <v>311</v>
      </c>
      <c r="D768" s="10" t="s">
        <v>17</v>
      </c>
      <c r="E768" s="51">
        <v>-212.77791626934899</v>
      </c>
      <c r="F768" s="51">
        <v>0</v>
      </c>
      <c r="G768" s="51">
        <v>0</v>
      </c>
      <c r="H768" s="51">
        <v>0</v>
      </c>
      <c r="I768" s="11" t="s">
        <v>1057</v>
      </c>
      <c r="J768" s="51" t="s">
        <v>1057</v>
      </c>
      <c r="K768" s="249" t="str">
        <f>IFERROR(VLOOKUP(C768,Schedule!$T$3:$U$34,2,0),"FA")</f>
        <v>FA</v>
      </c>
      <c r="L768" s="10" t="str">
        <f>D768&amp;COUNTIF(D$2:$D768,D768)</f>
        <v>WR256</v>
      </c>
      <c r="M768" s="51">
        <f t="array" ref="M768">IFERROR(F768-AVERAGE(VLOOKUP(D768,$D769:$F$885,3,0),INDEX($F769:$F$885,SMALL(IF(D768=$D769:$D$885,ROW($D769:$D$885)-ROW(D768)),2))),0)</f>
        <v>0</v>
      </c>
      <c r="N768" s="51">
        <f>IFERROR(IF(VLOOKUP($B768,Input!$AC$2:$AC$162,1,0)=$B768,0),F768)</f>
        <v>0</v>
      </c>
      <c r="O768" s="51">
        <f>IFERROR(IF(VLOOKUP($B768,Input!$AC$2:$AC$162,1,0)=$B768,0,G768),G768)</f>
        <v>0</v>
      </c>
      <c r="P768" s="51">
        <f>IF(N768=0,0,F768-AVERAGE(INDEX(F:F,MATCH(VLOOKUP(D768,Input!$A$14:$L$22,10,0),L:L,0)),INDEX(F:F,MATCH(VLOOKUP(D768,Input!$A$14:$L$22,11,0),L:L,0)),INDEX(F:F,MATCH(VLOOKUP(D768,Input!$A$14:$L$22,12,0),L:L,0)))+(0.01-ROW()*0.01))</f>
        <v>0</v>
      </c>
      <c r="Q768" s="107">
        <f t="shared" si="136"/>
        <v>0</v>
      </c>
      <c r="R768" s="11">
        <f>IF(VLOOKUP($D768,$X$14:$Y$19,2,0)&lt;=0,1,IF(Q768&lt;0,1,ROUNDUP(IF(Q768*('Draft Center'!$L$28+'Draft Center'!$L$78-'Draft Center'!$L$82)&lt;1,1,Q768*('Draft Center'!$L$28+'Draft Center'!$L$78-'Draft Center'!$L$82)),0)))</f>
        <v>1</v>
      </c>
      <c r="S768" s="11">
        <f>IF(A768&lt;Input!$B$10+0.1,IF(ROUNDUP(R768*Input!$C$10,0)=0,1,ROUNDUP(R768*Input!$C$10,0)),IF(A768&gt;Input!$B$11,IF(ROUNDUP(R768*Input!$C$11,0)=0,1,ROUNDUP(R768*Input!$C$11,0)),IF(ROUNDUP(R768,0)=0,1,ROUNDUP(R768,0))))</f>
        <v>1</v>
      </c>
      <c r="T768" s="11">
        <f t="shared" si="137"/>
        <v>1</v>
      </c>
      <c r="U768" s="11">
        <f>IFERROR(VLOOKUP($B768,Input!$AC$2:$AE$161,3,0),0)</f>
        <v>0</v>
      </c>
      <c r="V768" s="257">
        <f t="shared" si="138"/>
        <v>0</v>
      </c>
      <c r="W768" s="264">
        <f t="shared" si="139"/>
        <v>0</v>
      </c>
      <c r="X768" s="68"/>
      <c r="Y768" s="68"/>
      <c r="Z768" s="68"/>
      <c r="AA768" s="68"/>
      <c r="AB768" s="68"/>
      <c r="AC768" s="68"/>
      <c r="AD768" s="68"/>
      <c r="AE768" s="68"/>
      <c r="AF768" s="68"/>
      <c r="AG768" s="68"/>
      <c r="AH768" s="68"/>
      <c r="AI768" s="68"/>
      <c r="AJ768" s="68">
        <v>1</v>
      </c>
      <c r="AL768" s="68">
        <v>1</v>
      </c>
      <c r="AM768" s="68"/>
      <c r="AN768" s="68"/>
      <c r="AO768" s="68"/>
      <c r="AQ768" s="68"/>
      <c r="AR768" s="68"/>
      <c r="AS768" s="68"/>
      <c r="AT768" s="68"/>
      <c r="AU768" s="68"/>
      <c r="AV768" s="68"/>
      <c r="AW768" s="68"/>
      <c r="AX768" s="68"/>
      <c r="AY768" s="68"/>
      <c r="AZ768" s="68"/>
      <c r="BB768" s="68"/>
      <c r="BC768" s="68"/>
      <c r="BJ768" s="68"/>
      <c r="BT768">
        <v>1</v>
      </c>
      <c r="BV768">
        <v>1</v>
      </c>
      <c r="BX768" s="68"/>
      <c r="BY768" s="68">
        <v>1</v>
      </c>
      <c r="BZ768" s="68" t="s">
        <v>1057</v>
      </c>
      <c r="CA768" s="68" t="s">
        <v>1057</v>
      </c>
      <c r="CB768" s="68" t="s">
        <v>1057</v>
      </c>
      <c r="CC768" s="68" t="e">
        <f t="shared" si="140"/>
        <v>#DIV/0!</v>
      </c>
      <c r="CD768" s="68" t="str">
        <f t="shared" si="141"/>
        <v>NA</v>
      </c>
    </row>
    <row r="769" spans="1:82" ht="15.75" customHeight="1" thickBot="1" x14ac:dyDescent="0.3">
      <c r="A769" s="6">
        <v>768</v>
      </c>
      <c r="B769" s="7" t="s">
        <v>1142</v>
      </c>
      <c r="C769" s="7" t="s">
        <v>311</v>
      </c>
      <c r="D769" s="7" t="s">
        <v>17</v>
      </c>
      <c r="E769" s="50">
        <v>-212.77791626934899</v>
      </c>
      <c r="F769" s="50">
        <v>0</v>
      </c>
      <c r="G769" s="50">
        <v>0</v>
      </c>
      <c r="H769" s="50">
        <v>0</v>
      </c>
      <c r="I769" s="8" t="s">
        <v>1057</v>
      </c>
      <c r="J769" s="50" t="s">
        <v>1057</v>
      </c>
      <c r="K769" s="248" t="str">
        <f>IFERROR(VLOOKUP(C769,Schedule!$T$3:$U$34,2,0),"FA")</f>
        <v>FA</v>
      </c>
      <c r="L769" s="7" t="str">
        <f>D769&amp;COUNTIF(D$2:$D769,D769)</f>
        <v>WR257</v>
      </c>
      <c r="M769" s="50">
        <f t="array" ref="M769">IFERROR(F769-AVERAGE(VLOOKUP(D769,$D770:$F$885,3,0),INDEX($F770:$F$885,SMALL(IF(D769=$D770:$D$885,ROW($D770:$D$885)-ROW(D769)),2))),0)</f>
        <v>0</v>
      </c>
      <c r="N769" s="50">
        <f>IFERROR(IF(VLOOKUP($B769,Input!$AC$2:$AC$162,1,0)=$B769,0),F769)</f>
        <v>0</v>
      </c>
      <c r="O769" s="50">
        <f>IFERROR(IF(VLOOKUP($B769,Input!$AC$2:$AC$162,1,0)=$B769,0,G769),G769)</f>
        <v>0</v>
      </c>
      <c r="P769" s="50">
        <f>IF(N769=0,0,F769-AVERAGE(INDEX(F:F,MATCH(VLOOKUP(D769,Input!$A$14:$L$22,10,0),L:L,0)),INDEX(F:F,MATCH(VLOOKUP(D769,Input!$A$14:$L$22,11,0),L:L,0)),INDEX(F:F,MATCH(VLOOKUP(D769,Input!$A$14:$L$22,12,0),L:L,0)))+(0.01-ROW()*0.01))</f>
        <v>0</v>
      </c>
      <c r="Q769" s="106">
        <f t="shared" si="136"/>
        <v>0</v>
      </c>
      <c r="R769" s="8">
        <f>IF(VLOOKUP($D769,$X$14:$Y$19,2,0)&lt;=0,1,IF(Q769&lt;0,1,ROUNDUP(IF(Q769*('Draft Center'!$L$28+'Draft Center'!$L$78-'Draft Center'!$L$82)&lt;1,1,Q769*('Draft Center'!$L$28+'Draft Center'!$L$78-'Draft Center'!$L$82)),0)))</f>
        <v>1</v>
      </c>
      <c r="S769" s="8">
        <f>IF(A769&lt;Input!$B$10+0.1,IF(ROUNDUP(R769*Input!$C$10,0)=0,1,ROUNDUP(R769*Input!$C$10,0)),IF(A769&gt;Input!$B$11,IF(ROUNDUP(R769*Input!$C$11,0)=0,1,ROUNDUP(R769*Input!$C$11,0)),IF(ROUNDUP(R769,0)=0,1,ROUNDUP(R769,0))))</f>
        <v>1</v>
      </c>
      <c r="T769" s="8">
        <f t="shared" si="137"/>
        <v>1</v>
      </c>
      <c r="U769" s="8">
        <f>IFERROR(VLOOKUP($B769,Input!$AC$2:$AE$161,3,0),0)</f>
        <v>0</v>
      </c>
      <c r="V769" s="256">
        <f t="shared" si="138"/>
        <v>0</v>
      </c>
      <c r="W769" s="263">
        <f t="shared" si="139"/>
        <v>0</v>
      </c>
      <c r="X769" s="68"/>
      <c r="Y769" s="68"/>
      <c r="Z769" s="68"/>
      <c r="AA769" s="68"/>
      <c r="AB769" s="68"/>
      <c r="AC769" s="68"/>
      <c r="AD769" s="68"/>
      <c r="AE769" s="68"/>
      <c r="AF769" s="68"/>
      <c r="AG769" s="68"/>
      <c r="AH769" s="68"/>
      <c r="AI769" s="68"/>
      <c r="AJ769" s="68">
        <v>1</v>
      </c>
      <c r="AL769" s="68">
        <v>1</v>
      </c>
      <c r="AM769" s="68"/>
      <c r="AN769" s="68"/>
      <c r="AO769" s="68"/>
      <c r="AQ769" s="68"/>
      <c r="AR769" s="68"/>
      <c r="AS769" s="68"/>
      <c r="AT769" s="68"/>
      <c r="AU769" s="68"/>
      <c r="AV769" s="68"/>
      <c r="AW769" s="68"/>
      <c r="AX769" s="68"/>
      <c r="AY769" s="68"/>
      <c r="AZ769" s="68"/>
      <c r="BB769" s="68"/>
      <c r="BC769" s="68"/>
      <c r="BJ769" s="68"/>
      <c r="BT769">
        <v>1</v>
      </c>
      <c r="BV769">
        <v>1</v>
      </c>
      <c r="BX769" s="68"/>
      <c r="BY769" s="68">
        <v>1</v>
      </c>
      <c r="BZ769" s="68" t="s">
        <v>1057</v>
      </c>
      <c r="CA769" s="68" t="s">
        <v>1057</v>
      </c>
      <c r="CB769" s="68" t="s">
        <v>1057</v>
      </c>
      <c r="CC769" s="68" t="e">
        <f t="shared" si="140"/>
        <v>#DIV/0!</v>
      </c>
      <c r="CD769" s="68" t="str">
        <f t="shared" si="141"/>
        <v>NA</v>
      </c>
    </row>
    <row r="770" spans="1:82" ht="15.75" customHeight="1" thickBot="1" x14ac:dyDescent="0.3">
      <c r="A770" s="9">
        <v>769</v>
      </c>
      <c r="B770" s="10" t="s">
        <v>1143</v>
      </c>
      <c r="C770" s="10" t="s">
        <v>311</v>
      </c>
      <c r="D770" s="10" t="s">
        <v>17</v>
      </c>
      <c r="E770" s="51">
        <v>-212.77791626934899</v>
      </c>
      <c r="F770" s="51">
        <v>0</v>
      </c>
      <c r="G770" s="51">
        <v>0</v>
      </c>
      <c r="H770" s="51">
        <v>0</v>
      </c>
      <c r="I770" s="11" t="s">
        <v>1057</v>
      </c>
      <c r="J770" s="51" t="s">
        <v>1057</v>
      </c>
      <c r="K770" s="249" t="str">
        <f>IFERROR(VLOOKUP(C770,Schedule!$T$3:$U$34,2,0),"FA")</f>
        <v>FA</v>
      </c>
      <c r="L770" s="10" t="str">
        <f>D770&amp;COUNTIF(D$2:$D770,D770)</f>
        <v>WR258</v>
      </c>
      <c r="M770" s="51">
        <f t="array" ref="M770">IFERROR(F770-AVERAGE(VLOOKUP(D770,$D771:$F$885,3,0),INDEX($F771:$F$885,SMALL(IF(D770=$D771:$D$885,ROW($D771:$D$885)-ROW(D770)),2))),0)</f>
        <v>0</v>
      </c>
      <c r="N770" s="51">
        <f>IFERROR(IF(VLOOKUP($B770,Input!$AC$2:$AC$162,1,0)=$B770,0),F770)</f>
        <v>0</v>
      </c>
      <c r="O770" s="51">
        <f>IFERROR(IF(VLOOKUP($B770,Input!$AC$2:$AC$162,1,0)=$B770,0,G770),G770)</f>
        <v>0</v>
      </c>
      <c r="P770" s="51">
        <f>IF(N770=0,0,F770-AVERAGE(INDEX(F:F,MATCH(VLOOKUP(D770,Input!$A$14:$L$22,10,0),L:L,0)),INDEX(F:F,MATCH(VLOOKUP(D770,Input!$A$14:$L$22,11,0),L:L,0)),INDEX(F:F,MATCH(VLOOKUP(D770,Input!$A$14:$L$22,12,0),L:L,0)))+(0.01-ROW()*0.01))</f>
        <v>0</v>
      </c>
      <c r="Q770" s="107">
        <f t="shared" ref="Q770:Q833" si="142">IFERROR(P770/SUMIF(P:P,"&gt;0",P:P),0)</f>
        <v>0</v>
      </c>
      <c r="R770" s="11">
        <f>IF(VLOOKUP($D770,$X$14:$Y$19,2,0)&lt;=0,1,IF(Q770&lt;0,1,ROUNDUP(IF(Q770*('Draft Center'!$L$28+'Draft Center'!$L$78-'Draft Center'!$L$82)&lt;1,1,Q770*('Draft Center'!$L$28+'Draft Center'!$L$78-'Draft Center'!$L$82)),0)))</f>
        <v>1</v>
      </c>
      <c r="S770" s="11">
        <f>IF(A770&lt;Input!$B$10+0.1,IF(ROUNDUP(R770*Input!$C$10,0)=0,1,ROUNDUP(R770*Input!$C$10,0)),IF(A770&gt;Input!$B$11,IF(ROUNDUP(R770*Input!$C$11,0)=0,1,ROUNDUP(R770*Input!$C$11,0)),IF(ROUNDUP(R770,0)=0,1,ROUNDUP(R770,0))))</f>
        <v>1</v>
      </c>
      <c r="T770" s="11">
        <f t="shared" ref="T770:T833" si="143">IF(U770&gt;0,0,IF(AA770=1,R770,IF(AL770=0,1,AL770)))</f>
        <v>1</v>
      </c>
      <c r="U770" s="11">
        <f>IFERROR(VLOOKUP($B770,Input!$AC$2:$AE$161,3,0),0)</f>
        <v>0</v>
      </c>
      <c r="V770" s="257">
        <f t="shared" si="138"/>
        <v>0</v>
      </c>
      <c r="W770" s="264">
        <f t="shared" si="139"/>
        <v>0</v>
      </c>
      <c r="X770" s="68"/>
      <c r="Y770" s="68"/>
      <c r="Z770" s="68"/>
      <c r="AA770" s="68"/>
      <c r="AB770" s="68"/>
      <c r="AC770" s="68"/>
      <c r="AD770" s="68"/>
      <c r="AE770" s="68"/>
      <c r="AF770" s="68"/>
      <c r="AG770" s="68"/>
      <c r="AH770" s="68"/>
      <c r="AI770" s="68"/>
      <c r="AJ770" s="68">
        <v>1</v>
      </c>
      <c r="AL770" s="68">
        <v>1</v>
      </c>
      <c r="AM770" s="68"/>
      <c r="AN770" s="68"/>
      <c r="AO770" s="68"/>
      <c r="AQ770" s="68"/>
      <c r="AR770" s="68"/>
      <c r="AS770" s="68"/>
      <c r="AT770" s="68"/>
      <c r="AU770" s="68"/>
      <c r="AV770" s="68"/>
      <c r="AW770" s="68"/>
      <c r="AX770" s="68"/>
      <c r="AY770" s="68"/>
      <c r="AZ770" s="68"/>
      <c r="BB770" s="68"/>
      <c r="BC770" s="68"/>
      <c r="BJ770" s="68"/>
      <c r="BT770">
        <v>1</v>
      </c>
      <c r="BV770">
        <v>1</v>
      </c>
      <c r="BX770" s="68"/>
      <c r="BY770" s="68">
        <v>1</v>
      </c>
      <c r="BZ770" s="68" t="s">
        <v>1057</v>
      </c>
      <c r="CA770" s="68" t="s">
        <v>1057</v>
      </c>
      <c r="CB770" s="68" t="s">
        <v>1057</v>
      </c>
      <c r="CC770" s="68" t="e">
        <f t="shared" si="140"/>
        <v>#DIV/0!</v>
      </c>
      <c r="CD770" s="68" t="str">
        <f t="shared" si="141"/>
        <v>NA</v>
      </c>
    </row>
    <row r="771" spans="1:82" ht="15.75" customHeight="1" thickBot="1" x14ac:dyDescent="0.3">
      <c r="A771" s="6">
        <v>770</v>
      </c>
      <c r="B771" s="7" t="s">
        <v>1144</v>
      </c>
      <c r="C771" s="7" t="s">
        <v>311</v>
      </c>
      <c r="D771" s="7" t="s">
        <v>17</v>
      </c>
      <c r="E771" s="50">
        <v>-212.77791626934899</v>
      </c>
      <c r="F771" s="50">
        <v>0</v>
      </c>
      <c r="G771" s="50">
        <v>0</v>
      </c>
      <c r="H771" s="50">
        <v>0</v>
      </c>
      <c r="I771" s="8" t="s">
        <v>1057</v>
      </c>
      <c r="J771" s="50" t="s">
        <v>1057</v>
      </c>
      <c r="K771" s="248" t="str">
        <f>IFERROR(VLOOKUP(C771,Schedule!$T$3:$U$34,2,0),"FA")</f>
        <v>FA</v>
      </c>
      <c r="L771" s="7" t="str">
        <f>D771&amp;COUNTIF(D$2:$D771,D771)</f>
        <v>WR259</v>
      </c>
      <c r="M771" s="50">
        <f t="array" ref="M771">IFERROR(F771-AVERAGE(VLOOKUP(D771,$D772:$F$885,3,0),INDEX($F772:$F$885,SMALL(IF(D771=$D772:$D$885,ROW($D772:$D$885)-ROW(D771)),2))),0)</f>
        <v>0</v>
      </c>
      <c r="N771" s="50">
        <f>IFERROR(IF(VLOOKUP($B771,Input!$AC$2:$AC$162,1,0)=$B771,0),F771)</f>
        <v>0</v>
      </c>
      <c r="O771" s="50">
        <f>IFERROR(IF(VLOOKUP($B771,Input!$AC$2:$AC$162,1,0)=$B771,0,G771),G771)</f>
        <v>0</v>
      </c>
      <c r="P771" s="50">
        <f>IF(N771=0,0,F771-AVERAGE(INDEX(F:F,MATCH(VLOOKUP(D771,Input!$A$14:$L$22,10,0),L:L,0)),INDEX(F:F,MATCH(VLOOKUP(D771,Input!$A$14:$L$22,11,0),L:L,0)),INDEX(F:F,MATCH(VLOOKUP(D771,Input!$A$14:$L$22,12,0),L:L,0)))+(0.01-ROW()*0.01))</f>
        <v>0</v>
      </c>
      <c r="Q771" s="106">
        <f t="shared" si="142"/>
        <v>0</v>
      </c>
      <c r="R771" s="8">
        <f>IF(VLOOKUP($D771,$X$14:$Y$19,2,0)&lt;=0,1,IF(Q771&lt;0,1,ROUNDUP(IF(Q771*('Draft Center'!$L$28+'Draft Center'!$L$78-'Draft Center'!$L$82)&lt;1,1,Q771*('Draft Center'!$L$28+'Draft Center'!$L$78-'Draft Center'!$L$82)),0)))</f>
        <v>1</v>
      </c>
      <c r="S771" s="8">
        <f>IF(A771&lt;Input!$B$10+0.1,IF(ROUNDUP(R771*Input!$C$10,0)=0,1,ROUNDUP(R771*Input!$C$10,0)),IF(A771&gt;Input!$B$11,IF(ROUNDUP(R771*Input!$C$11,0)=0,1,ROUNDUP(R771*Input!$C$11,0)),IF(ROUNDUP(R771,0)=0,1,ROUNDUP(R771,0))))</f>
        <v>1</v>
      </c>
      <c r="T771" s="8">
        <f t="shared" si="143"/>
        <v>1</v>
      </c>
      <c r="U771" s="8">
        <f>IFERROR(VLOOKUP($B771,Input!$AC$2:$AE$161,3,0),0)</f>
        <v>0</v>
      </c>
      <c r="V771" s="256">
        <f t="shared" ref="V771:V834" si="144">IF(R771=0,0,IFERROR(((R771-CD771)/CD771)+(ROW()*0.00001),0))</f>
        <v>0</v>
      </c>
      <c r="W771" s="263">
        <f t="shared" ref="W771:W834" si="145">IF(R771=0,0,IFERROR(((R771-CD771))+(ROW()*0.00001),0))</f>
        <v>0</v>
      </c>
      <c r="X771" s="68"/>
      <c r="Y771" s="68"/>
      <c r="Z771" s="68"/>
      <c r="AA771" s="68"/>
      <c r="AB771" s="68"/>
      <c r="AC771" s="68"/>
      <c r="AD771" s="68"/>
      <c r="AE771" s="68"/>
      <c r="AF771" s="68"/>
      <c r="AG771" s="68"/>
      <c r="AH771" s="68"/>
      <c r="AI771" s="68"/>
      <c r="AJ771" s="68">
        <v>1</v>
      </c>
      <c r="AL771" s="68">
        <v>1</v>
      </c>
      <c r="AM771" s="68"/>
      <c r="AN771" s="68"/>
      <c r="AO771" s="68"/>
      <c r="AQ771" s="68"/>
      <c r="AR771" s="68"/>
      <c r="AS771" s="68"/>
      <c r="AT771" s="68"/>
      <c r="AU771" s="68"/>
      <c r="AV771" s="68"/>
      <c r="AW771" s="68"/>
      <c r="AX771" s="68"/>
      <c r="AY771" s="68"/>
      <c r="AZ771" s="68"/>
      <c r="BB771" s="68"/>
      <c r="BC771" s="68"/>
      <c r="BJ771" s="68"/>
      <c r="BT771">
        <v>1</v>
      </c>
      <c r="BV771">
        <v>1</v>
      </c>
      <c r="BX771" s="68"/>
      <c r="BY771" s="68">
        <v>1</v>
      </c>
      <c r="BZ771" s="68" t="s">
        <v>1057</v>
      </c>
      <c r="CA771" s="68" t="s">
        <v>1057</v>
      </c>
      <c r="CB771" s="68" t="s">
        <v>1057</v>
      </c>
      <c r="CC771" s="68" t="e">
        <f t="shared" ref="CC771:CC834" si="146">AVERAGE(BZ771:CB771)</f>
        <v>#DIV/0!</v>
      </c>
      <c r="CD771" s="68" t="str">
        <f t="shared" ref="CD771:CD834" si="147">IFERROR(HLOOKUP($CD$1,$BZ$1:$CC$930,ROW(),0),"")</f>
        <v>NA</v>
      </c>
    </row>
    <row r="772" spans="1:82" ht="15.75" customHeight="1" thickBot="1" x14ac:dyDescent="0.3">
      <c r="A772" s="9">
        <v>771</v>
      </c>
      <c r="B772" s="10" t="s">
        <v>1145</v>
      </c>
      <c r="C772" s="10" t="s">
        <v>311</v>
      </c>
      <c r="D772" s="10" t="s">
        <v>17</v>
      </c>
      <c r="E772" s="51">
        <v>-212.77791626934899</v>
      </c>
      <c r="F772" s="51">
        <v>0</v>
      </c>
      <c r="G772" s="51">
        <v>0</v>
      </c>
      <c r="H772" s="51">
        <v>0</v>
      </c>
      <c r="I772" s="11" t="s">
        <v>1057</v>
      </c>
      <c r="J772" s="51">
        <v>1.9445374612902999</v>
      </c>
      <c r="K772" s="249" t="str">
        <f>IFERROR(VLOOKUP(C772,Schedule!$T$3:$U$34,2,0),"FA")</f>
        <v>FA</v>
      </c>
      <c r="L772" s="10" t="str">
        <f>D772&amp;COUNTIF(D$2:$D772,D772)</f>
        <v>WR260</v>
      </c>
      <c r="M772" s="51">
        <f t="array" ref="M772">IFERROR(F772-AVERAGE(VLOOKUP(D772,$D773:$F$885,3,0),INDEX($F773:$F$885,SMALL(IF(D772=$D773:$D$885,ROW($D773:$D$885)-ROW(D772)),2))),0)</f>
        <v>0</v>
      </c>
      <c r="N772" s="51">
        <f>IFERROR(IF(VLOOKUP($B772,Input!$AC$2:$AC$162,1,0)=$B772,0),F772)</f>
        <v>0</v>
      </c>
      <c r="O772" s="51">
        <f>IFERROR(IF(VLOOKUP($B772,Input!$AC$2:$AC$162,1,0)=$B772,0,G772),G772)</f>
        <v>0</v>
      </c>
      <c r="P772" s="51">
        <f>IF(N772=0,0,F772-AVERAGE(INDEX(F:F,MATCH(VLOOKUP(D772,Input!$A$14:$L$22,10,0),L:L,0)),INDEX(F:F,MATCH(VLOOKUP(D772,Input!$A$14:$L$22,11,0),L:L,0)),INDEX(F:F,MATCH(VLOOKUP(D772,Input!$A$14:$L$22,12,0),L:L,0)))+(0.01-ROW()*0.01))</f>
        <v>0</v>
      </c>
      <c r="Q772" s="107">
        <f t="shared" si="142"/>
        <v>0</v>
      </c>
      <c r="R772" s="11">
        <f>IF(VLOOKUP($D772,$X$14:$Y$19,2,0)&lt;=0,1,IF(Q772&lt;0,1,ROUNDUP(IF(Q772*('Draft Center'!$L$28+'Draft Center'!$L$78-'Draft Center'!$L$82)&lt;1,1,Q772*('Draft Center'!$L$28+'Draft Center'!$L$78-'Draft Center'!$L$82)),0)))</f>
        <v>1</v>
      </c>
      <c r="S772" s="11">
        <f>IF(A772&lt;Input!$B$10+0.1,IF(ROUNDUP(R772*Input!$C$10,0)=0,1,ROUNDUP(R772*Input!$C$10,0)),IF(A772&gt;Input!$B$11,IF(ROUNDUP(R772*Input!$C$11,0)=0,1,ROUNDUP(R772*Input!$C$11,0)),IF(ROUNDUP(R772,0)=0,1,ROUNDUP(R772,0))))</f>
        <v>1</v>
      </c>
      <c r="T772" s="11">
        <f t="shared" si="143"/>
        <v>1</v>
      </c>
      <c r="U772" s="11">
        <f>IFERROR(VLOOKUP($B772,Input!$AC$2:$AE$161,3,0),0)</f>
        <v>0</v>
      </c>
      <c r="V772" s="257">
        <f t="shared" si="144"/>
        <v>0</v>
      </c>
      <c r="W772" s="264">
        <f t="shared" si="145"/>
        <v>0</v>
      </c>
      <c r="X772" s="68"/>
      <c r="Y772" s="68"/>
      <c r="Z772" s="68"/>
      <c r="AA772" s="68"/>
      <c r="AB772" s="68"/>
      <c r="AC772" s="68"/>
      <c r="AD772" s="68"/>
      <c r="AE772" s="68"/>
      <c r="AF772" s="68"/>
      <c r="AG772" s="68"/>
      <c r="AH772" s="68"/>
      <c r="AI772" s="68"/>
      <c r="AJ772" s="68">
        <v>1</v>
      </c>
      <c r="AL772" s="68">
        <v>1</v>
      </c>
      <c r="AM772" s="68"/>
      <c r="AN772" s="68"/>
      <c r="AO772" s="68"/>
      <c r="AQ772" s="68"/>
      <c r="AR772" s="68"/>
      <c r="AS772" s="68"/>
      <c r="AT772" s="68"/>
      <c r="AU772" s="68"/>
      <c r="AV772" s="68"/>
      <c r="AW772" s="68"/>
      <c r="AX772" s="68"/>
      <c r="AY772" s="68"/>
      <c r="AZ772" s="68"/>
      <c r="BB772" s="68"/>
      <c r="BC772" s="68"/>
      <c r="BJ772" s="68"/>
      <c r="BT772">
        <v>1</v>
      </c>
      <c r="BV772">
        <v>1</v>
      </c>
      <c r="BX772" s="68"/>
      <c r="BY772" s="68">
        <v>1</v>
      </c>
      <c r="BZ772" s="68" t="s">
        <v>1057</v>
      </c>
      <c r="CA772" s="68" t="s">
        <v>1057</v>
      </c>
      <c r="CB772" s="68" t="s">
        <v>1057</v>
      </c>
      <c r="CC772" s="68" t="e">
        <f t="shared" si="146"/>
        <v>#DIV/0!</v>
      </c>
      <c r="CD772" s="68" t="str">
        <f t="shared" si="147"/>
        <v>NA</v>
      </c>
    </row>
    <row r="773" spans="1:82" ht="15.75" customHeight="1" thickBot="1" x14ac:dyDescent="0.3">
      <c r="A773" s="6">
        <v>772</v>
      </c>
      <c r="B773" s="7" t="s">
        <v>1146</v>
      </c>
      <c r="C773" s="7" t="s">
        <v>311</v>
      </c>
      <c r="D773" s="7" t="s">
        <v>17</v>
      </c>
      <c r="E773" s="50">
        <v>-212.77791626934899</v>
      </c>
      <c r="F773" s="50">
        <v>0</v>
      </c>
      <c r="G773" s="50">
        <v>0</v>
      </c>
      <c r="H773" s="50">
        <v>0</v>
      </c>
      <c r="I773" s="8" t="s">
        <v>1057</v>
      </c>
      <c r="J773" s="50" t="s">
        <v>1057</v>
      </c>
      <c r="K773" s="248" t="str">
        <f>IFERROR(VLOOKUP(C773,Schedule!$T$3:$U$34,2,0),"FA")</f>
        <v>FA</v>
      </c>
      <c r="L773" s="7" t="str">
        <f>D773&amp;COUNTIF(D$2:$D773,D773)</f>
        <v>WR261</v>
      </c>
      <c r="M773" s="50">
        <f t="array" ref="M773">IFERROR(F773-AVERAGE(VLOOKUP(D773,$D774:$F$885,3,0),INDEX($F774:$F$885,SMALL(IF(D773=$D774:$D$885,ROW($D774:$D$885)-ROW(D773)),2))),0)</f>
        <v>0</v>
      </c>
      <c r="N773" s="50">
        <f>IFERROR(IF(VLOOKUP($B773,Input!$AC$2:$AC$162,1,0)=$B773,0),F773)</f>
        <v>0</v>
      </c>
      <c r="O773" s="50">
        <f>IFERROR(IF(VLOOKUP($B773,Input!$AC$2:$AC$162,1,0)=$B773,0,G773),G773)</f>
        <v>0</v>
      </c>
      <c r="P773" s="50">
        <f>IF(N773=0,0,F773-AVERAGE(INDEX(F:F,MATCH(VLOOKUP(D773,Input!$A$14:$L$22,10,0),L:L,0)),INDEX(F:F,MATCH(VLOOKUP(D773,Input!$A$14:$L$22,11,0),L:L,0)),INDEX(F:F,MATCH(VLOOKUP(D773,Input!$A$14:$L$22,12,0),L:L,0)))+(0.01-ROW()*0.01))</f>
        <v>0</v>
      </c>
      <c r="Q773" s="106">
        <f t="shared" si="142"/>
        <v>0</v>
      </c>
      <c r="R773" s="8">
        <f>IF(VLOOKUP($D773,$X$14:$Y$19,2,0)&lt;=0,1,IF(Q773&lt;0,1,ROUNDUP(IF(Q773*('Draft Center'!$L$28+'Draft Center'!$L$78-'Draft Center'!$L$82)&lt;1,1,Q773*('Draft Center'!$L$28+'Draft Center'!$L$78-'Draft Center'!$L$82)),0)))</f>
        <v>1</v>
      </c>
      <c r="S773" s="8">
        <f>IF(A773&lt;Input!$B$10+0.1,IF(ROUNDUP(R773*Input!$C$10,0)=0,1,ROUNDUP(R773*Input!$C$10,0)),IF(A773&gt;Input!$B$11,IF(ROUNDUP(R773*Input!$C$11,0)=0,1,ROUNDUP(R773*Input!$C$11,0)),IF(ROUNDUP(R773,0)=0,1,ROUNDUP(R773,0))))</f>
        <v>1</v>
      </c>
      <c r="T773" s="8">
        <f t="shared" si="143"/>
        <v>1</v>
      </c>
      <c r="U773" s="8">
        <f>IFERROR(VLOOKUP($B773,Input!$AC$2:$AE$161,3,0),0)</f>
        <v>0</v>
      </c>
      <c r="V773" s="256">
        <f t="shared" si="144"/>
        <v>0</v>
      </c>
      <c r="W773" s="263">
        <f t="shared" si="145"/>
        <v>0</v>
      </c>
      <c r="X773" s="68"/>
      <c r="Y773" s="68"/>
      <c r="Z773" s="68"/>
      <c r="AA773" s="68"/>
      <c r="AB773" s="68"/>
      <c r="AC773" s="68"/>
      <c r="AD773" s="68"/>
      <c r="AE773" s="68"/>
      <c r="AF773" s="68"/>
      <c r="AG773" s="68"/>
      <c r="AH773" s="68"/>
      <c r="AI773" s="68"/>
      <c r="AJ773" s="68">
        <v>1</v>
      </c>
      <c r="AL773" s="68">
        <v>1</v>
      </c>
      <c r="AM773" s="68"/>
      <c r="AN773" s="68"/>
      <c r="AO773" s="68"/>
      <c r="AQ773" s="68"/>
      <c r="AR773" s="68"/>
      <c r="AS773" s="68"/>
      <c r="AT773" s="68"/>
      <c r="AU773" s="68"/>
      <c r="AV773" s="68"/>
      <c r="AW773" s="68"/>
      <c r="AX773" s="68"/>
      <c r="AY773" s="68"/>
      <c r="AZ773" s="68"/>
      <c r="BB773" s="68"/>
      <c r="BC773" s="68"/>
      <c r="BJ773" s="68"/>
      <c r="BT773">
        <v>1</v>
      </c>
      <c r="BV773">
        <v>1</v>
      </c>
      <c r="BX773" s="68"/>
      <c r="BY773" s="68">
        <v>1</v>
      </c>
      <c r="BZ773" s="68" t="s">
        <v>1057</v>
      </c>
      <c r="CA773" s="68" t="s">
        <v>1057</v>
      </c>
      <c r="CB773" s="68" t="s">
        <v>1057</v>
      </c>
      <c r="CC773" s="68" t="e">
        <f t="shared" si="146"/>
        <v>#DIV/0!</v>
      </c>
      <c r="CD773" s="68" t="str">
        <f t="shared" si="147"/>
        <v>NA</v>
      </c>
    </row>
    <row r="774" spans="1:82" ht="15.75" customHeight="1" thickBot="1" x14ac:dyDescent="0.3">
      <c r="A774" s="9">
        <v>773</v>
      </c>
      <c r="B774" s="10" t="s">
        <v>1147</v>
      </c>
      <c r="C774" s="10" t="s">
        <v>311</v>
      </c>
      <c r="D774" s="10" t="s">
        <v>17</v>
      </c>
      <c r="E774" s="51">
        <v>-212.77791626934899</v>
      </c>
      <c r="F774" s="51">
        <v>0</v>
      </c>
      <c r="G774" s="51">
        <v>0</v>
      </c>
      <c r="H774" s="51">
        <v>0</v>
      </c>
      <c r="I774" s="11" t="s">
        <v>1057</v>
      </c>
      <c r="J774" s="51">
        <v>1.9445374612902999</v>
      </c>
      <c r="K774" s="249" t="str">
        <f>IFERROR(VLOOKUP(C774,Schedule!$T$3:$U$34,2,0),"FA")</f>
        <v>FA</v>
      </c>
      <c r="L774" s="10" t="str">
        <f>D774&amp;COUNTIF(D$2:$D774,D774)</f>
        <v>WR262</v>
      </c>
      <c r="M774" s="51">
        <f t="array" ref="M774">IFERROR(F774-AVERAGE(VLOOKUP(D774,$D775:$F$885,3,0),INDEX($F775:$F$885,SMALL(IF(D774=$D775:$D$885,ROW($D775:$D$885)-ROW(D774)),2))),0)</f>
        <v>0</v>
      </c>
      <c r="N774" s="51">
        <f>IFERROR(IF(VLOOKUP($B774,Input!$AC$2:$AC$162,1,0)=$B774,0),F774)</f>
        <v>0</v>
      </c>
      <c r="O774" s="51">
        <f>IFERROR(IF(VLOOKUP($B774,Input!$AC$2:$AC$162,1,0)=$B774,0,G774),G774)</f>
        <v>0</v>
      </c>
      <c r="P774" s="51">
        <f>IF(N774=0,0,F774-AVERAGE(INDEX(F:F,MATCH(VLOOKUP(D774,Input!$A$14:$L$22,10,0),L:L,0)),INDEX(F:F,MATCH(VLOOKUP(D774,Input!$A$14:$L$22,11,0),L:L,0)),INDEX(F:F,MATCH(VLOOKUP(D774,Input!$A$14:$L$22,12,0),L:L,0)))+(0.01-ROW()*0.01))</f>
        <v>0</v>
      </c>
      <c r="Q774" s="107">
        <f t="shared" si="142"/>
        <v>0</v>
      </c>
      <c r="R774" s="11">
        <f>IF(VLOOKUP($D774,$X$14:$Y$19,2,0)&lt;=0,1,IF(Q774&lt;0,1,ROUNDUP(IF(Q774*('Draft Center'!$L$28+'Draft Center'!$L$78-'Draft Center'!$L$82)&lt;1,1,Q774*('Draft Center'!$L$28+'Draft Center'!$L$78-'Draft Center'!$L$82)),0)))</f>
        <v>1</v>
      </c>
      <c r="S774" s="11">
        <f>IF(A774&lt;Input!$B$10+0.1,IF(ROUNDUP(R774*Input!$C$10,0)=0,1,ROUNDUP(R774*Input!$C$10,0)),IF(A774&gt;Input!$B$11,IF(ROUNDUP(R774*Input!$C$11,0)=0,1,ROUNDUP(R774*Input!$C$11,0)),IF(ROUNDUP(R774,0)=0,1,ROUNDUP(R774,0))))</f>
        <v>1</v>
      </c>
      <c r="T774" s="11">
        <f t="shared" si="143"/>
        <v>1</v>
      </c>
      <c r="U774" s="11">
        <f>IFERROR(VLOOKUP($B774,Input!$AC$2:$AE$161,3,0),0)</f>
        <v>0</v>
      </c>
      <c r="V774" s="257">
        <f t="shared" si="144"/>
        <v>0</v>
      </c>
      <c r="W774" s="264">
        <f t="shared" si="145"/>
        <v>0</v>
      </c>
      <c r="X774" s="68"/>
      <c r="Y774" s="68"/>
      <c r="Z774" s="68"/>
      <c r="AA774" s="68"/>
      <c r="AB774" s="68"/>
      <c r="AC774" s="68"/>
      <c r="AD774" s="68"/>
      <c r="AE774" s="68"/>
      <c r="AF774" s="68"/>
      <c r="AG774" s="68"/>
      <c r="AH774" s="68"/>
      <c r="AI774" s="68"/>
      <c r="AJ774" s="68">
        <v>1</v>
      </c>
      <c r="AL774" s="68">
        <v>1</v>
      </c>
      <c r="AM774" s="68"/>
      <c r="AN774" s="68"/>
      <c r="AO774" s="68"/>
      <c r="AQ774" s="68"/>
      <c r="AR774" s="68"/>
      <c r="AS774" s="68"/>
      <c r="AT774" s="68"/>
      <c r="AU774" s="68"/>
      <c r="AV774" s="68"/>
      <c r="AW774" s="68"/>
      <c r="AX774" s="68"/>
      <c r="AY774" s="68"/>
      <c r="AZ774" s="68"/>
      <c r="BB774" s="68"/>
      <c r="BC774" s="68"/>
      <c r="BJ774" s="68"/>
      <c r="BT774">
        <v>1</v>
      </c>
      <c r="BV774">
        <v>1</v>
      </c>
      <c r="BX774" s="68"/>
      <c r="BY774" s="68">
        <v>1</v>
      </c>
      <c r="BZ774" s="68" t="s">
        <v>1057</v>
      </c>
      <c r="CA774" s="68" t="s">
        <v>1057</v>
      </c>
      <c r="CB774" s="68" t="s">
        <v>1057</v>
      </c>
      <c r="CC774" s="68" t="e">
        <f t="shared" si="146"/>
        <v>#DIV/0!</v>
      </c>
      <c r="CD774" s="68" t="str">
        <f t="shared" si="147"/>
        <v>NA</v>
      </c>
    </row>
    <row r="775" spans="1:82" ht="15.75" customHeight="1" thickBot="1" x14ac:dyDescent="0.3">
      <c r="A775" s="6">
        <v>774</v>
      </c>
      <c r="B775" s="7" t="s">
        <v>1148</v>
      </c>
      <c r="C775" s="7" t="s">
        <v>311</v>
      </c>
      <c r="D775" s="7" t="s">
        <v>17</v>
      </c>
      <c r="E775" s="50">
        <v>-212.77791626934899</v>
      </c>
      <c r="F775" s="50">
        <v>0</v>
      </c>
      <c r="G775" s="50">
        <v>0</v>
      </c>
      <c r="H775" s="50">
        <v>0</v>
      </c>
      <c r="I775" s="8" t="s">
        <v>1057</v>
      </c>
      <c r="J775" s="50">
        <v>1.9445374612902999</v>
      </c>
      <c r="K775" s="248" t="str">
        <f>IFERROR(VLOOKUP(C775,Schedule!$T$3:$U$34,2,0),"FA")</f>
        <v>FA</v>
      </c>
      <c r="L775" s="7" t="str">
        <f>D775&amp;COUNTIF(D$2:$D775,D775)</f>
        <v>WR263</v>
      </c>
      <c r="M775" s="50">
        <f t="array" ref="M775">IFERROR(F775-AVERAGE(VLOOKUP(D775,$D776:$F$885,3,0),INDEX($F776:$F$885,SMALL(IF(D775=$D776:$D$885,ROW($D776:$D$885)-ROW(D775)),2))),0)</f>
        <v>0</v>
      </c>
      <c r="N775" s="50">
        <f>IFERROR(IF(VLOOKUP($B775,Input!$AC$2:$AC$162,1,0)=$B775,0),F775)</f>
        <v>0</v>
      </c>
      <c r="O775" s="50">
        <f>IFERROR(IF(VLOOKUP($B775,Input!$AC$2:$AC$162,1,0)=$B775,0,G775),G775)</f>
        <v>0</v>
      </c>
      <c r="P775" s="50">
        <f>IF(N775=0,0,F775-AVERAGE(INDEX(F:F,MATCH(VLOOKUP(D775,Input!$A$14:$L$22,10,0),L:L,0)),INDEX(F:F,MATCH(VLOOKUP(D775,Input!$A$14:$L$22,11,0),L:L,0)),INDEX(F:F,MATCH(VLOOKUP(D775,Input!$A$14:$L$22,12,0),L:L,0)))+(0.01-ROW()*0.01))</f>
        <v>0</v>
      </c>
      <c r="Q775" s="106">
        <f t="shared" si="142"/>
        <v>0</v>
      </c>
      <c r="R775" s="8">
        <f>IF(VLOOKUP($D775,$X$14:$Y$19,2,0)&lt;=0,1,IF(Q775&lt;0,1,ROUNDUP(IF(Q775*('Draft Center'!$L$28+'Draft Center'!$L$78-'Draft Center'!$L$82)&lt;1,1,Q775*('Draft Center'!$L$28+'Draft Center'!$L$78-'Draft Center'!$L$82)),0)))</f>
        <v>1</v>
      </c>
      <c r="S775" s="8">
        <f>IF(A775&lt;Input!$B$10+0.1,IF(ROUNDUP(R775*Input!$C$10,0)=0,1,ROUNDUP(R775*Input!$C$10,0)),IF(A775&gt;Input!$B$11,IF(ROUNDUP(R775*Input!$C$11,0)=0,1,ROUNDUP(R775*Input!$C$11,0)),IF(ROUNDUP(R775,0)=0,1,ROUNDUP(R775,0))))</f>
        <v>1</v>
      </c>
      <c r="T775" s="8">
        <f t="shared" si="143"/>
        <v>1</v>
      </c>
      <c r="U775" s="8">
        <f>IFERROR(VLOOKUP($B775,Input!$AC$2:$AE$161,3,0),0)</f>
        <v>0</v>
      </c>
      <c r="V775" s="256">
        <f t="shared" si="144"/>
        <v>0</v>
      </c>
      <c r="W775" s="263">
        <f t="shared" si="145"/>
        <v>0</v>
      </c>
      <c r="X775" s="68"/>
      <c r="Y775" s="68"/>
      <c r="Z775" s="68"/>
      <c r="AA775" s="68"/>
      <c r="AB775" s="68"/>
      <c r="AC775" s="68"/>
      <c r="AD775" s="68"/>
      <c r="AE775" s="68"/>
      <c r="AF775" s="68"/>
      <c r="AG775" s="68"/>
      <c r="AH775" s="68"/>
      <c r="AI775" s="68"/>
      <c r="AJ775" s="68">
        <v>1</v>
      </c>
      <c r="AL775" s="68">
        <v>1</v>
      </c>
      <c r="AM775" s="68"/>
      <c r="AN775" s="68"/>
      <c r="AO775" s="68"/>
      <c r="AQ775" s="68"/>
      <c r="AR775" s="68"/>
      <c r="AS775" s="68"/>
      <c r="AT775" s="68"/>
      <c r="AU775" s="68"/>
      <c r="AV775" s="68"/>
      <c r="AW775" s="68"/>
      <c r="AX775" s="68"/>
      <c r="AY775" s="68"/>
      <c r="AZ775" s="68"/>
      <c r="BB775" s="68"/>
      <c r="BC775" s="68"/>
      <c r="BJ775" s="68"/>
      <c r="BT775">
        <v>1</v>
      </c>
      <c r="BV775">
        <v>1</v>
      </c>
      <c r="BX775" s="68"/>
      <c r="BY775" s="68">
        <v>1</v>
      </c>
      <c r="BZ775" s="68" t="s">
        <v>1057</v>
      </c>
      <c r="CA775" s="68" t="s">
        <v>1057</v>
      </c>
      <c r="CB775" s="68" t="s">
        <v>1057</v>
      </c>
      <c r="CC775" s="68" t="e">
        <f t="shared" si="146"/>
        <v>#DIV/0!</v>
      </c>
      <c r="CD775" s="68" t="str">
        <f t="shared" si="147"/>
        <v>NA</v>
      </c>
    </row>
    <row r="776" spans="1:82" ht="15.75" customHeight="1" thickBot="1" x14ac:dyDescent="0.3">
      <c r="A776" s="9">
        <v>775</v>
      </c>
      <c r="B776" s="10" t="s">
        <v>1149</v>
      </c>
      <c r="C776" s="10" t="s">
        <v>311</v>
      </c>
      <c r="D776" s="10" t="s">
        <v>17</v>
      </c>
      <c r="E776" s="51">
        <v>-212.77791626934899</v>
      </c>
      <c r="F776" s="51">
        <v>0</v>
      </c>
      <c r="G776" s="51">
        <v>0</v>
      </c>
      <c r="H776" s="51">
        <v>0</v>
      </c>
      <c r="I776" s="11" t="s">
        <v>1057</v>
      </c>
      <c r="J776" s="51">
        <v>1.9445374612902999</v>
      </c>
      <c r="K776" s="249" t="str">
        <f>IFERROR(VLOOKUP(C776,Schedule!$T$3:$U$34,2,0),"FA")</f>
        <v>FA</v>
      </c>
      <c r="L776" s="10" t="str">
        <f>D776&amp;COUNTIF(D$2:$D776,D776)</f>
        <v>WR264</v>
      </c>
      <c r="M776" s="51">
        <f t="array" ref="M776">IFERROR(F776-AVERAGE(VLOOKUP(D776,$D777:$F$885,3,0),INDEX($F777:$F$885,SMALL(IF(D776=$D777:$D$885,ROW($D777:$D$885)-ROW(D776)),2))),0)</f>
        <v>0</v>
      </c>
      <c r="N776" s="51">
        <f>IFERROR(IF(VLOOKUP($B776,Input!$AC$2:$AC$162,1,0)=$B776,0),F776)</f>
        <v>0</v>
      </c>
      <c r="O776" s="51">
        <f>IFERROR(IF(VLOOKUP($B776,Input!$AC$2:$AC$162,1,0)=$B776,0,G776),G776)</f>
        <v>0</v>
      </c>
      <c r="P776" s="51">
        <f>IF(N776=0,0,F776-AVERAGE(INDEX(F:F,MATCH(VLOOKUP(D776,Input!$A$14:$L$22,10,0),L:L,0)),INDEX(F:F,MATCH(VLOOKUP(D776,Input!$A$14:$L$22,11,0),L:L,0)),INDEX(F:F,MATCH(VLOOKUP(D776,Input!$A$14:$L$22,12,0),L:L,0)))+(0.01-ROW()*0.01))</f>
        <v>0</v>
      </c>
      <c r="Q776" s="107">
        <f t="shared" si="142"/>
        <v>0</v>
      </c>
      <c r="R776" s="11">
        <f>IF(VLOOKUP($D776,$X$14:$Y$19,2,0)&lt;=0,1,IF(Q776&lt;0,1,ROUNDUP(IF(Q776*('Draft Center'!$L$28+'Draft Center'!$L$78-'Draft Center'!$L$82)&lt;1,1,Q776*('Draft Center'!$L$28+'Draft Center'!$L$78-'Draft Center'!$L$82)),0)))</f>
        <v>1</v>
      </c>
      <c r="S776" s="11">
        <f>IF(A776&lt;Input!$B$10+0.1,IF(ROUNDUP(R776*Input!$C$10,0)=0,1,ROUNDUP(R776*Input!$C$10,0)),IF(A776&gt;Input!$B$11,IF(ROUNDUP(R776*Input!$C$11,0)=0,1,ROUNDUP(R776*Input!$C$11,0)),IF(ROUNDUP(R776,0)=0,1,ROUNDUP(R776,0))))</f>
        <v>1</v>
      </c>
      <c r="T776" s="11">
        <f t="shared" si="143"/>
        <v>1</v>
      </c>
      <c r="U776" s="11">
        <f>IFERROR(VLOOKUP($B776,Input!$AC$2:$AE$161,3,0),0)</f>
        <v>0</v>
      </c>
      <c r="V776" s="257">
        <f t="shared" si="144"/>
        <v>0</v>
      </c>
      <c r="W776" s="264">
        <f t="shared" si="145"/>
        <v>0</v>
      </c>
      <c r="X776" s="68"/>
      <c r="Y776" s="68"/>
      <c r="Z776" s="68"/>
      <c r="AA776" s="68"/>
      <c r="AB776" s="68"/>
      <c r="AC776" s="68"/>
      <c r="AD776" s="68"/>
      <c r="AE776" s="68"/>
      <c r="AF776" s="68"/>
      <c r="AG776" s="68"/>
      <c r="AH776" s="68"/>
      <c r="AI776" s="68"/>
      <c r="AJ776" s="68">
        <v>1</v>
      </c>
      <c r="AL776" s="68">
        <v>1</v>
      </c>
      <c r="AM776" s="68"/>
      <c r="AN776" s="68"/>
      <c r="AO776" s="68"/>
      <c r="AQ776" s="68"/>
      <c r="AR776" s="68"/>
      <c r="AS776" s="68"/>
      <c r="AT776" s="68"/>
      <c r="AU776" s="68"/>
      <c r="AV776" s="68"/>
      <c r="AW776" s="68"/>
      <c r="AX776" s="68"/>
      <c r="AY776" s="68"/>
      <c r="AZ776" s="68"/>
      <c r="BB776" s="68"/>
      <c r="BC776" s="68"/>
      <c r="BJ776" s="68"/>
      <c r="BT776">
        <v>1</v>
      </c>
      <c r="BV776">
        <v>1</v>
      </c>
      <c r="BX776" s="68"/>
      <c r="BY776" s="68">
        <v>1</v>
      </c>
      <c r="BZ776" s="68" t="s">
        <v>1057</v>
      </c>
      <c r="CA776" s="68" t="s">
        <v>1057</v>
      </c>
      <c r="CB776" s="68" t="s">
        <v>1057</v>
      </c>
      <c r="CC776" s="68" t="e">
        <f t="shared" si="146"/>
        <v>#DIV/0!</v>
      </c>
      <c r="CD776" s="68" t="str">
        <f t="shared" si="147"/>
        <v>NA</v>
      </c>
    </row>
    <row r="777" spans="1:82" ht="15.75" customHeight="1" thickBot="1" x14ac:dyDescent="0.3">
      <c r="A777" s="6">
        <v>776</v>
      </c>
      <c r="B777" s="7" t="s">
        <v>1150</v>
      </c>
      <c r="C777" s="7" t="s">
        <v>311</v>
      </c>
      <c r="D777" s="7" t="s">
        <v>17</v>
      </c>
      <c r="E777" s="50">
        <v>-212.77791626934899</v>
      </c>
      <c r="F777" s="50">
        <v>0</v>
      </c>
      <c r="G777" s="50">
        <v>0</v>
      </c>
      <c r="H777" s="50">
        <v>0</v>
      </c>
      <c r="I777" s="8" t="s">
        <v>1057</v>
      </c>
      <c r="J777" s="50" t="s">
        <v>1057</v>
      </c>
      <c r="K777" s="248" t="str">
        <f>IFERROR(VLOOKUP(C777,Schedule!$T$3:$U$34,2,0),"FA")</f>
        <v>FA</v>
      </c>
      <c r="L777" s="7" t="str">
        <f>D777&amp;COUNTIF(D$2:$D777,D777)</f>
        <v>WR265</v>
      </c>
      <c r="M777" s="50">
        <f t="array" ref="M777">IFERROR(F777-AVERAGE(VLOOKUP(D777,$D778:$F$885,3,0),INDEX($F778:$F$885,SMALL(IF(D777=$D778:$D$885,ROW($D778:$D$885)-ROW(D777)),2))),0)</f>
        <v>0</v>
      </c>
      <c r="N777" s="50">
        <f>IFERROR(IF(VLOOKUP($B777,Input!$AC$2:$AC$162,1,0)=$B777,0),F777)</f>
        <v>0</v>
      </c>
      <c r="O777" s="50">
        <f>IFERROR(IF(VLOOKUP($B777,Input!$AC$2:$AC$162,1,0)=$B777,0,G777),G777)</f>
        <v>0</v>
      </c>
      <c r="P777" s="50">
        <f>IF(N777=0,0,F777-AVERAGE(INDEX(F:F,MATCH(VLOOKUP(D777,Input!$A$14:$L$22,10,0),L:L,0)),INDEX(F:F,MATCH(VLOOKUP(D777,Input!$A$14:$L$22,11,0),L:L,0)),INDEX(F:F,MATCH(VLOOKUP(D777,Input!$A$14:$L$22,12,0),L:L,0)))+(0.01-ROW()*0.01))</f>
        <v>0</v>
      </c>
      <c r="Q777" s="106">
        <f t="shared" si="142"/>
        <v>0</v>
      </c>
      <c r="R777" s="8">
        <f>IF(VLOOKUP($D777,$X$14:$Y$19,2,0)&lt;=0,1,IF(Q777&lt;0,1,ROUNDUP(IF(Q777*('Draft Center'!$L$28+'Draft Center'!$L$78-'Draft Center'!$L$82)&lt;1,1,Q777*('Draft Center'!$L$28+'Draft Center'!$L$78-'Draft Center'!$L$82)),0)))</f>
        <v>1</v>
      </c>
      <c r="S777" s="8">
        <f>IF(A777&lt;Input!$B$10+0.1,IF(ROUNDUP(R777*Input!$C$10,0)=0,1,ROUNDUP(R777*Input!$C$10,0)),IF(A777&gt;Input!$B$11,IF(ROUNDUP(R777*Input!$C$11,0)=0,1,ROUNDUP(R777*Input!$C$11,0)),IF(ROUNDUP(R777,0)=0,1,ROUNDUP(R777,0))))</f>
        <v>1</v>
      </c>
      <c r="T777" s="8">
        <f t="shared" si="143"/>
        <v>1</v>
      </c>
      <c r="U777" s="8">
        <f>IFERROR(VLOOKUP($B777,Input!$AC$2:$AE$161,3,0),0)</f>
        <v>0</v>
      </c>
      <c r="V777" s="256">
        <f t="shared" si="144"/>
        <v>0</v>
      </c>
      <c r="W777" s="263">
        <f t="shared" si="145"/>
        <v>0</v>
      </c>
      <c r="X777" s="68"/>
      <c r="Y777" s="68"/>
      <c r="Z777" s="68"/>
      <c r="AA777" s="68"/>
      <c r="AB777" s="68"/>
      <c r="AC777" s="68"/>
      <c r="AD777" s="68"/>
      <c r="AE777" s="68"/>
      <c r="AF777" s="68"/>
      <c r="AG777" s="68"/>
      <c r="AH777" s="68"/>
      <c r="AI777" s="68"/>
      <c r="AJ777" s="68">
        <v>1</v>
      </c>
      <c r="AL777" s="68">
        <v>1</v>
      </c>
      <c r="AM777" s="68"/>
      <c r="AN777" s="68"/>
      <c r="AO777" s="68"/>
      <c r="AQ777" s="68"/>
      <c r="AR777" s="68"/>
      <c r="AS777" s="68"/>
      <c r="AT777" s="68"/>
      <c r="AU777" s="68"/>
      <c r="AV777" s="68"/>
      <c r="AW777" s="68"/>
      <c r="AX777" s="68"/>
      <c r="AY777" s="68"/>
      <c r="AZ777" s="68"/>
      <c r="BB777" s="68"/>
      <c r="BC777" s="68"/>
      <c r="BJ777" s="68"/>
      <c r="BT777">
        <v>1</v>
      </c>
      <c r="BV777">
        <v>1</v>
      </c>
      <c r="BX777" s="68"/>
      <c r="BY777" s="68">
        <v>1</v>
      </c>
      <c r="BZ777" s="68" t="s">
        <v>1057</v>
      </c>
      <c r="CA777" s="68" t="s">
        <v>1057</v>
      </c>
      <c r="CB777" s="68" t="s">
        <v>1057</v>
      </c>
      <c r="CC777" s="68" t="e">
        <f t="shared" si="146"/>
        <v>#DIV/0!</v>
      </c>
      <c r="CD777" s="68" t="str">
        <f t="shared" si="147"/>
        <v>NA</v>
      </c>
    </row>
    <row r="778" spans="1:82" ht="15.75" customHeight="1" thickBot="1" x14ac:dyDescent="0.3">
      <c r="A778" s="9">
        <v>777</v>
      </c>
      <c r="B778" s="10" t="s">
        <v>1151</v>
      </c>
      <c r="C778" s="10" t="s">
        <v>311</v>
      </c>
      <c r="D778" s="10" t="s">
        <v>17</v>
      </c>
      <c r="E778" s="51">
        <v>-212.77791626934899</v>
      </c>
      <c r="F778" s="51">
        <v>0</v>
      </c>
      <c r="G778" s="51">
        <v>0</v>
      </c>
      <c r="H778" s="51">
        <v>0</v>
      </c>
      <c r="I778" s="11" t="s">
        <v>1057</v>
      </c>
      <c r="J778" s="51" t="s">
        <v>1057</v>
      </c>
      <c r="K778" s="249" t="str">
        <f>IFERROR(VLOOKUP(C778,Schedule!$T$3:$U$34,2,0),"FA")</f>
        <v>FA</v>
      </c>
      <c r="L778" s="10" t="str">
        <f>D778&amp;COUNTIF(D$2:$D778,D778)</f>
        <v>WR266</v>
      </c>
      <c r="M778" s="51">
        <f t="array" ref="M778">IFERROR(F778-AVERAGE(VLOOKUP(D778,$D779:$F$885,3,0),INDEX($F779:$F$885,SMALL(IF(D778=$D779:$D$885,ROW($D779:$D$885)-ROW(D778)),2))),0)</f>
        <v>0</v>
      </c>
      <c r="N778" s="51">
        <f>IFERROR(IF(VLOOKUP($B778,Input!$AC$2:$AC$162,1,0)=$B778,0),F778)</f>
        <v>0</v>
      </c>
      <c r="O778" s="51">
        <f>IFERROR(IF(VLOOKUP($B778,Input!$AC$2:$AC$162,1,0)=$B778,0,G778),G778)</f>
        <v>0</v>
      </c>
      <c r="P778" s="51">
        <f>IF(N778=0,0,F778-AVERAGE(INDEX(F:F,MATCH(VLOOKUP(D778,Input!$A$14:$L$22,10,0),L:L,0)),INDEX(F:F,MATCH(VLOOKUP(D778,Input!$A$14:$L$22,11,0),L:L,0)),INDEX(F:F,MATCH(VLOOKUP(D778,Input!$A$14:$L$22,12,0),L:L,0)))+(0.01-ROW()*0.01))</f>
        <v>0</v>
      </c>
      <c r="Q778" s="107">
        <f t="shared" si="142"/>
        <v>0</v>
      </c>
      <c r="R778" s="11">
        <f>IF(VLOOKUP($D778,$X$14:$Y$19,2,0)&lt;=0,1,IF(Q778&lt;0,1,ROUNDUP(IF(Q778*('Draft Center'!$L$28+'Draft Center'!$L$78-'Draft Center'!$L$82)&lt;1,1,Q778*('Draft Center'!$L$28+'Draft Center'!$L$78-'Draft Center'!$L$82)),0)))</f>
        <v>1</v>
      </c>
      <c r="S778" s="11">
        <f>IF(A778&lt;Input!$B$10+0.1,IF(ROUNDUP(R778*Input!$C$10,0)=0,1,ROUNDUP(R778*Input!$C$10,0)),IF(A778&gt;Input!$B$11,IF(ROUNDUP(R778*Input!$C$11,0)=0,1,ROUNDUP(R778*Input!$C$11,0)),IF(ROUNDUP(R778,0)=0,1,ROUNDUP(R778,0))))</f>
        <v>1</v>
      </c>
      <c r="T778" s="11">
        <f t="shared" si="143"/>
        <v>1</v>
      </c>
      <c r="U778" s="11">
        <f>IFERROR(VLOOKUP($B778,Input!$AC$2:$AE$161,3,0),0)</f>
        <v>0</v>
      </c>
      <c r="V778" s="257">
        <f t="shared" si="144"/>
        <v>0</v>
      </c>
      <c r="W778" s="264">
        <f t="shared" si="145"/>
        <v>0</v>
      </c>
      <c r="X778" s="68"/>
      <c r="Y778" s="68"/>
      <c r="Z778" s="68"/>
      <c r="AA778" s="68"/>
      <c r="AB778" s="68"/>
      <c r="AC778" s="68"/>
      <c r="AD778" s="68"/>
      <c r="AE778" s="68"/>
      <c r="AF778" s="68"/>
      <c r="AG778" s="68"/>
      <c r="AH778" s="68"/>
      <c r="AI778" s="68"/>
      <c r="AJ778" s="68">
        <v>1</v>
      </c>
      <c r="AL778" s="68">
        <v>1</v>
      </c>
      <c r="AM778" s="68"/>
      <c r="AN778" s="68"/>
      <c r="AO778" s="68"/>
      <c r="AQ778" s="68"/>
      <c r="AR778" s="68"/>
      <c r="AS778" s="68"/>
      <c r="AT778" s="68"/>
      <c r="AU778" s="68"/>
      <c r="AV778" s="68"/>
      <c r="AW778" s="68"/>
      <c r="AX778" s="68"/>
      <c r="AY778" s="68"/>
      <c r="AZ778" s="68"/>
      <c r="BB778" s="68"/>
      <c r="BC778" s="68"/>
      <c r="BJ778" s="68"/>
      <c r="BT778">
        <v>1</v>
      </c>
      <c r="BV778">
        <v>1</v>
      </c>
      <c r="BX778" s="68"/>
      <c r="BY778" s="68">
        <v>1</v>
      </c>
      <c r="BZ778" s="68" t="s">
        <v>1057</v>
      </c>
      <c r="CA778" s="68" t="s">
        <v>1057</v>
      </c>
      <c r="CB778" s="68" t="s">
        <v>1057</v>
      </c>
      <c r="CC778" s="68" t="e">
        <f t="shared" si="146"/>
        <v>#DIV/0!</v>
      </c>
      <c r="CD778" s="68" t="str">
        <f t="shared" si="147"/>
        <v>NA</v>
      </c>
    </row>
    <row r="779" spans="1:82" ht="15.75" customHeight="1" thickBot="1" x14ac:dyDescent="0.3">
      <c r="A779" s="6">
        <v>778</v>
      </c>
      <c r="B779" s="7" t="s">
        <v>492</v>
      </c>
      <c r="C779" s="7" t="s">
        <v>311</v>
      </c>
      <c r="D779" s="7" t="s">
        <v>17</v>
      </c>
      <c r="E779" s="50">
        <v>-212.77791626934899</v>
      </c>
      <c r="F779" s="50">
        <v>0</v>
      </c>
      <c r="G779" s="50">
        <v>0</v>
      </c>
      <c r="H779" s="50">
        <v>0</v>
      </c>
      <c r="I779" s="8" t="s">
        <v>1057</v>
      </c>
      <c r="J779" s="50">
        <v>4.9209868206378697</v>
      </c>
      <c r="K779" s="248" t="str">
        <f>IFERROR(VLOOKUP(C779,Schedule!$T$3:$U$34,2,0),"FA")</f>
        <v>FA</v>
      </c>
      <c r="L779" s="7" t="str">
        <f>D779&amp;COUNTIF(D$2:$D779,D779)</f>
        <v>WR267</v>
      </c>
      <c r="M779" s="50">
        <f t="array" ref="M779">IFERROR(F779-AVERAGE(VLOOKUP(D779,$D780:$F$885,3,0),INDEX($F780:$F$885,SMALL(IF(D779=$D780:$D$885,ROW($D780:$D$885)-ROW(D779)),2))),0)</f>
        <v>0</v>
      </c>
      <c r="N779" s="50">
        <f>IFERROR(IF(VLOOKUP($B779,Input!$AC$2:$AC$162,1,0)=$B779,0),F779)</f>
        <v>0</v>
      </c>
      <c r="O779" s="50">
        <f>IFERROR(IF(VLOOKUP($B779,Input!$AC$2:$AC$162,1,0)=$B779,0,G779),G779)</f>
        <v>0</v>
      </c>
      <c r="P779" s="50">
        <f>IF(N779=0,0,F779-AVERAGE(INDEX(F:F,MATCH(VLOOKUP(D779,Input!$A$14:$L$22,10,0),L:L,0)),INDEX(F:F,MATCH(VLOOKUP(D779,Input!$A$14:$L$22,11,0),L:L,0)),INDEX(F:F,MATCH(VLOOKUP(D779,Input!$A$14:$L$22,12,0),L:L,0)))+(0.01-ROW()*0.01))</f>
        <v>0</v>
      </c>
      <c r="Q779" s="106">
        <f t="shared" si="142"/>
        <v>0</v>
      </c>
      <c r="R779" s="8">
        <f>IF(VLOOKUP($D779,$X$14:$Y$19,2,0)&lt;=0,1,IF(Q779&lt;0,1,ROUNDUP(IF(Q779*('Draft Center'!$L$28+'Draft Center'!$L$78-'Draft Center'!$L$82)&lt;1,1,Q779*('Draft Center'!$L$28+'Draft Center'!$L$78-'Draft Center'!$L$82)),0)))</f>
        <v>1</v>
      </c>
      <c r="S779" s="8">
        <f>IF(A779&lt;Input!$B$10+0.1,IF(ROUNDUP(R779*Input!$C$10,0)=0,1,ROUNDUP(R779*Input!$C$10,0)),IF(A779&gt;Input!$B$11,IF(ROUNDUP(R779*Input!$C$11,0)=0,1,ROUNDUP(R779*Input!$C$11,0)),IF(ROUNDUP(R779,0)=0,1,ROUNDUP(R779,0))))</f>
        <v>1</v>
      </c>
      <c r="T779" s="8">
        <f t="shared" si="143"/>
        <v>1</v>
      </c>
      <c r="U779" s="8">
        <f>IFERROR(VLOOKUP($B779,Input!$AC$2:$AE$161,3,0),0)</f>
        <v>0</v>
      </c>
      <c r="V779" s="256">
        <f t="shared" si="144"/>
        <v>0</v>
      </c>
      <c r="W779" s="263">
        <f t="shared" si="145"/>
        <v>0</v>
      </c>
      <c r="X779" s="68"/>
      <c r="Y779" s="68"/>
      <c r="Z779" s="68"/>
      <c r="AA779" s="68"/>
      <c r="AB779" s="68"/>
      <c r="AC779" s="68"/>
      <c r="AD779" s="68"/>
      <c r="AE779" s="68"/>
      <c r="AF779" s="68"/>
      <c r="AG779" s="68"/>
      <c r="AH779" s="68"/>
      <c r="AI779" s="68"/>
      <c r="AJ779" s="68">
        <v>1</v>
      </c>
      <c r="AL779" s="68">
        <v>1</v>
      </c>
      <c r="AM779" s="68"/>
      <c r="AN779" s="68"/>
      <c r="AO779" s="68"/>
      <c r="AQ779" s="68"/>
      <c r="AR779" s="68"/>
      <c r="AS779" s="68"/>
      <c r="AT779" s="68"/>
      <c r="AU779" s="68"/>
      <c r="AV779" s="68"/>
      <c r="AW779" s="68"/>
      <c r="AX779" s="68"/>
      <c r="AY779" s="68"/>
      <c r="AZ779" s="68"/>
      <c r="BB779" s="68"/>
      <c r="BC779" s="68"/>
      <c r="BJ779" s="68"/>
      <c r="BT779">
        <v>1</v>
      </c>
      <c r="BV779">
        <v>1</v>
      </c>
      <c r="BX779" s="68"/>
      <c r="BY779" s="68">
        <v>1</v>
      </c>
      <c r="BZ779" s="68" t="s">
        <v>1057</v>
      </c>
      <c r="CA779" s="68" t="s">
        <v>1057</v>
      </c>
      <c r="CB779" s="68" t="s">
        <v>1057</v>
      </c>
      <c r="CC779" s="68" t="e">
        <f t="shared" si="146"/>
        <v>#DIV/0!</v>
      </c>
      <c r="CD779" s="68" t="str">
        <f t="shared" si="147"/>
        <v>NA</v>
      </c>
    </row>
    <row r="780" spans="1:82" ht="15.75" customHeight="1" thickBot="1" x14ac:dyDescent="0.3">
      <c r="A780" s="9">
        <v>779</v>
      </c>
      <c r="B780" s="10" t="s">
        <v>1152</v>
      </c>
      <c r="C780" s="10" t="s">
        <v>311</v>
      </c>
      <c r="D780" s="10" t="s">
        <v>17</v>
      </c>
      <c r="E780" s="51">
        <v>-212.77791626934899</v>
      </c>
      <c r="F780" s="51">
        <v>0</v>
      </c>
      <c r="G780" s="51">
        <v>0</v>
      </c>
      <c r="H780" s="51">
        <v>0</v>
      </c>
      <c r="I780" s="11" t="s">
        <v>1057</v>
      </c>
      <c r="J780" s="51" t="s">
        <v>1057</v>
      </c>
      <c r="K780" s="249" t="str">
        <f>IFERROR(VLOOKUP(C780,Schedule!$T$3:$U$34,2,0),"FA")</f>
        <v>FA</v>
      </c>
      <c r="L780" s="10" t="str">
        <f>D780&amp;COUNTIF(D$2:$D780,D780)</f>
        <v>WR268</v>
      </c>
      <c r="M780" s="51">
        <f t="array" ref="M780">IFERROR(F780-AVERAGE(VLOOKUP(D780,$D781:$F$885,3,0),INDEX($F781:$F$885,SMALL(IF(D780=$D781:$D$885,ROW($D781:$D$885)-ROW(D780)),2))),0)</f>
        <v>0</v>
      </c>
      <c r="N780" s="51">
        <f>IFERROR(IF(VLOOKUP($B780,Input!$AC$2:$AC$162,1,0)=$B780,0),F780)</f>
        <v>0</v>
      </c>
      <c r="O780" s="51">
        <f>IFERROR(IF(VLOOKUP($B780,Input!$AC$2:$AC$162,1,0)=$B780,0,G780),G780)</f>
        <v>0</v>
      </c>
      <c r="P780" s="51">
        <f>IF(N780=0,0,F780-AVERAGE(INDEX(F:F,MATCH(VLOOKUP(D780,Input!$A$14:$L$22,10,0),L:L,0)),INDEX(F:F,MATCH(VLOOKUP(D780,Input!$A$14:$L$22,11,0),L:L,0)),INDEX(F:F,MATCH(VLOOKUP(D780,Input!$A$14:$L$22,12,0),L:L,0)))+(0.01-ROW()*0.01))</f>
        <v>0</v>
      </c>
      <c r="Q780" s="107">
        <f t="shared" si="142"/>
        <v>0</v>
      </c>
      <c r="R780" s="11">
        <f>IF(VLOOKUP($D780,$X$14:$Y$19,2,0)&lt;=0,1,IF(Q780&lt;0,1,ROUNDUP(IF(Q780*('Draft Center'!$L$28+'Draft Center'!$L$78-'Draft Center'!$L$82)&lt;1,1,Q780*('Draft Center'!$L$28+'Draft Center'!$L$78-'Draft Center'!$L$82)),0)))</f>
        <v>1</v>
      </c>
      <c r="S780" s="11">
        <f>IF(A780&lt;Input!$B$10+0.1,IF(ROUNDUP(R780*Input!$C$10,0)=0,1,ROUNDUP(R780*Input!$C$10,0)),IF(A780&gt;Input!$B$11,IF(ROUNDUP(R780*Input!$C$11,0)=0,1,ROUNDUP(R780*Input!$C$11,0)),IF(ROUNDUP(R780,0)=0,1,ROUNDUP(R780,0))))</f>
        <v>1</v>
      </c>
      <c r="T780" s="11">
        <f t="shared" si="143"/>
        <v>1</v>
      </c>
      <c r="U780" s="11">
        <f>IFERROR(VLOOKUP($B780,Input!$AC$2:$AE$161,3,0),0)</f>
        <v>0</v>
      </c>
      <c r="V780" s="257">
        <f t="shared" si="144"/>
        <v>0</v>
      </c>
      <c r="W780" s="264">
        <f t="shared" si="145"/>
        <v>0</v>
      </c>
      <c r="X780" s="68"/>
      <c r="Y780" s="68"/>
      <c r="Z780" s="68"/>
      <c r="AA780" s="68"/>
      <c r="AB780" s="68"/>
      <c r="AC780" s="68"/>
      <c r="AD780" s="68"/>
      <c r="AE780" s="68"/>
      <c r="AF780" s="68"/>
      <c r="AG780" s="68"/>
      <c r="AH780" s="68"/>
      <c r="AI780" s="68"/>
      <c r="AJ780" s="68">
        <v>1</v>
      </c>
      <c r="AL780" s="68">
        <v>1</v>
      </c>
      <c r="AM780" s="68"/>
      <c r="AN780" s="68"/>
      <c r="AO780" s="68"/>
      <c r="AQ780" s="68"/>
      <c r="AR780" s="68"/>
      <c r="AS780" s="68"/>
      <c r="AT780" s="68"/>
      <c r="AU780" s="68"/>
      <c r="AV780" s="68"/>
      <c r="AW780" s="68"/>
      <c r="AX780" s="68"/>
      <c r="AY780" s="68"/>
      <c r="AZ780" s="68"/>
      <c r="BB780" s="68"/>
      <c r="BC780" s="68"/>
      <c r="BJ780" s="68"/>
      <c r="BT780">
        <v>1</v>
      </c>
      <c r="BV780">
        <v>1</v>
      </c>
      <c r="BX780" s="68"/>
      <c r="BY780" s="68">
        <v>1</v>
      </c>
      <c r="BZ780" s="68" t="s">
        <v>1057</v>
      </c>
      <c r="CA780" s="68" t="s">
        <v>1057</v>
      </c>
      <c r="CB780" s="68" t="s">
        <v>1057</v>
      </c>
      <c r="CC780" s="68" t="e">
        <f t="shared" si="146"/>
        <v>#DIV/0!</v>
      </c>
      <c r="CD780" s="68" t="str">
        <f t="shared" si="147"/>
        <v>NA</v>
      </c>
    </row>
    <row r="781" spans="1:82" ht="15.75" customHeight="1" thickBot="1" x14ac:dyDescent="0.3">
      <c r="A781" s="6">
        <v>780</v>
      </c>
      <c r="B781" s="7" t="s">
        <v>1153</v>
      </c>
      <c r="C781" s="7" t="s">
        <v>311</v>
      </c>
      <c r="D781" s="7" t="s">
        <v>17</v>
      </c>
      <c r="E781" s="50">
        <v>-212.77791626934899</v>
      </c>
      <c r="F781" s="50">
        <v>0</v>
      </c>
      <c r="G781" s="50">
        <v>0</v>
      </c>
      <c r="H781" s="50">
        <v>0</v>
      </c>
      <c r="I781" s="8" t="s">
        <v>1057</v>
      </c>
      <c r="J781" s="50">
        <v>1.9445374612902999</v>
      </c>
      <c r="K781" s="248" t="str">
        <f>IFERROR(VLOOKUP(C781,Schedule!$T$3:$U$34,2,0),"FA")</f>
        <v>FA</v>
      </c>
      <c r="L781" s="7" t="str">
        <f>D781&amp;COUNTIF(D$2:$D781,D781)</f>
        <v>WR269</v>
      </c>
      <c r="M781" s="50">
        <f t="array" ref="M781">IFERROR(F781-AVERAGE(VLOOKUP(D781,$D782:$F$885,3,0),INDEX($F782:$F$885,SMALL(IF(D781=$D782:$D$885,ROW($D782:$D$885)-ROW(D781)),2))),0)</f>
        <v>0</v>
      </c>
      <c r="N781" s="50">
        <f>IFERROR(IF(VLOOKUP($B781,Input!$AC$2:$AC$162,1,0)=$B781,0),F781)</f>
        <v>0</v>
      </c>
      <c r="O781" s="50">
        <f>IFERROR(IF(VLOOKUP($B781,Input!$AC$2:$AC$162,1,0)=$B781,0,G781),G781)</f>
        <v>0</v>
      </c>
      <c r="P781" s="50">
        <f>IF(N781=0,0,F781-AVERAGE(INDEX(F:F,MATCH(VLOOKUP(D781,Input!$A$14:$L$22,10,0),L:L,0)),INDEX(F:F,MATCH(VLOOKUP(D781,Input!$A$14:$L$22,11,0),L:L,0)),INDEX(F:F,MATCH(VLOOKUP(D781,Input!$A$14:$L$22,12,0),L:L,0)))+(0.01-ROW()*0.01))</f>
        <v>0</v>
      </c>
      <c r="Q781" s="106">
        <f t="shared" si="142"/>
        <v>0</v>
      </c>
      <c r="R781" s="8">
        <f>IF(VLOOKUP($D781,$X$14:$Y$19,2,0)&lt;=0,1,IF(Q781&lt;0,1,ROUNDUP(IF(Q781*('Draft Center'!$L$28+'Draft Center'!$L$78-'Draft Center'!$L$82)&lt;1,1,Q781*('Draft Center'!$L$28+'Draft Center'!$L$78-'Draft Center'!$L$82)),0)))</f>
        <v>1</v>
      </c>
      <c r="S781" s="8">
        <f>IF(A781&lt;Input!$B$10+0.1,IF(ROUNDUP(R781*Input!$C$10,0)=0,1,ROUNDUP(R781*Input!$C$10,0)),IF(A781&gt;Input!$B$11,IF(ROUNDUP(R781*Input!$C$11,0)=0,1,ROUNDUP(R781*Input!$C$11,0)),IF(ROUNDUP(R781,0)=0,1,ROUNDUP(R781,0))))</f>
        <v>1</v>
      </c>
      <c r="T781" s="8">
        <f t="shared" si="143"/>
        <v>1</v>
      </c>
      <c r="U781" s="8">
        <f>IFERROR(VLOOKUP($B781,Input!$AC$2:$AE$161,3,0),0)</f>
        <v>0</v>
      </c>
      <c r="V781" s="256">
        <f t="shared" si="144"/>
        <v>0</v>
      </c>
      <c r="W781" s="263">
        <f t="shared" si="145"/>
        <v>0</v>
      </c>
      <c r="X781" s="68"/>
      <c r="Y781" s="68"/>
      <c r="Z781" s="68"/>
      <c r="AA781" s="68"/>
      <c r="AB781" s="68"/>
      <c r="AC781" s="68"/>
      <c r="AD781" s="68"/>
      <c r="AE781" s="68"/>
      <c r="AF781" s="68"/>
      <c r="AG781" s="68"/>
      <c r="AH781" s="68"/>
      <c r="AI781" s="68"/>
      <c r="AJ781" s="68">
        <v>1</v>
      </c>
      <c r="AL781" s="68">
        <v>1</v>
      </c>
      <c r="AM781" s="68"/>
      <c r="AN781" s="68"/>
      <c r="AO781" s="68"/>
      <c r="AQ781" s="68"/>
      <c r="AR781" s="68"/>
      <c r="AS781" s="68"/>
      <c r="AT781" s="68"/>
      <c r="AU781" s="68"/>
      <c r="AV781" s="68"/>
      <c r="AW781" s="68"/>
      <c r="AX781" s="68"/>
      <c r="AY781" s="68"/>
      <c r="AZ781" s="68"/>
      <c r="BB781" s="68"/>
      <c r="BC781" s="68"/>
      <c r="BJ781" s="68"/>
      <c r="BT781">
        <v>1</v>
      </c>
      <c r="BV781">
        <v>1</v>
      </c>
      <c r="BX781" s="68"/>
      <c r="BY781" s="68">
        <v>1</v>
      </c>
      <c r="BZ781" s="68" t="s">
        <v>1057</v>
      </c>
      <c r="CA781" s="68" t="s">
        <v>1057</v>
      </c>
      <c r="CB781" s="68" t="s">
        <v>1057</v>
      </c>
      <c r="CC781" s="68" t="e">
        <f t="shared" si="146"/>
        <v>#DIV/0!</v>
      </c>
      <c r="CD781" s="68" t="str">
        <f t="shared" si="147"/>
        <v>NA</v>
      </c>
    </row>
    <row r="782" spans="1:82" ht="15.75" customHeight="1" thickBot="1" x14ac:dyDescent="0.3">
      <c r="A782" s="9">
        <v>781</v>
      </c>
      <c r="B782" s="10" t="s">
        <v>1154</v>
      </c>
      <c r="C782" s="10" t="s">
        <v>311</v>
      </c>
      <c r="D782" s="10" t="s">
        <v>17</v>
      </c>
      <c r="E782" s="51">
        <v>-212.77791626934899</v>
      </c>
      <c r="F782" s="51">
        <v>0</v>
      </c>
      <c r="G782" s="51">
        <v>0</v>
      </c>
      <c r="H782" s="51">
        <v>0</v>
      </c>
      <c r="I782" s="11" t="s">
        <v>1057</v>
      </c>
      <c r="J782" s="51" t="s">
        <v>1057</v>
      </c>
      <c r="K782" s="249" t="str">
        <f>IFERROR(VLOOKUP(C782,Schedule!$T$3:$U$34,2,0),"FA")</f>
        <v>FA</v>
      </c>
      <c r="L782" s="10" t="str">
        <f>D782&amp;COUNTIF(D$2:$D782,D782)</f>
        <v>WR270</v>
      </c>
      <c r="M782" s="51">
        <f t="array" ref="M782">IFERROR(F782-AVERAGE(VLOOKUP(D782,$D783:$F$885,3,0),INDEX($F783:$F$885,SMALL(IF(D782=$D783:$D$885,ROW($D783:$D$885)-ROW(D782)),2))),0)</f>
        <v>0</v>
      </c>
      <c r="N782" s="51">
        <f>IFERROR(IF(VLOOKUP($B782,Input!$AC$2:$AC$162,1,0)=$B782,0),F782)</f>
        <v>0</v>
      </c>
      <c r="O782" s="51">
        <f>IFERROR(IF(VLOOKUP($B782,Input!$AC$2:$AC$162,1,0)=$B782,0,G782),G782)</f>
        <v>0</v>
      </c>
      <c r="P782" s="51">
        <f>IF(N782=0,0,F782-AVERAGE(INDEX(F:F,MATCH(VLOOKUP(D782,Input!$A$14:$L$22,10,0),L:L,0)),INDEX(F:F,MATCH(VLOOKUP(D782,Input!$A$14:$L$22,11,0),L:L,0)),INDEX(F:F,MATCH(VLOOKUP(D782,Input!$A$14:$L$22,12,0),L:L,0)))+(0.01-ROW()*0.01))</f>
        <v>0</v>
      </c>
      <c r="Q782" s="107">
        <f t="shared" si="142"/>
        <v>0</v>
      </c>
      <c r="R782" s="11">
        <f>IF(VLOOKUP($D782,$X$14:$Y$19,2,0)&lt;=0,1,IF(Q782&lt;0,1,ROUNDUP(IF(Q782*('Draft Center'!$L$28+'Draft Center'!$L$78-'Draft Center'!$L$82)&lt;1,1,Q782*('Draft Center'!$L$28+'Draft Center'!$L$78-'Draft Center'!$L$82)),0)))</f>
        <v>1</v>
      </c>
      <c r="S782" s="11">
        <f>IF(A782&lt;Input!$B$10+0.1,IF(ROUNDUP(R782*Input!$C$10,0)=0,1,ROUNDUP(R782*Input!$C$10,0)),IF(A782&gt;Input!$B$11,IF(ROUNDUP(R782*Input!$C$11,0)=0,1,ROUNDUP(R782*Input!$C$11,0)),IF(ROUNDUP(R782,0)=0,1,ROUNDUP(R782,0))))</f>
        <v>1</v>
      </c>
      <c r="T782" s="11">
        <f t="shared" si="143"/>
        <v>1</v>
      </c>
      <c r="U782" s="11">
        <f>IFERROR(VLOOKUP($B782,Input!$AC$2:$AE$161,3,0),0)</f>
        <v>0</v>
      </c>
      <c r="V782" s="257">
        <f t="shared" si="144"/>
        <v>0</v>
      </c>
      <c r="W782" s="264">
        <f t="shared" si="145"/>
        <v>0</v>
      </c>
      <c r="X782" s="68"/>
      <c r="Y782" s="68"/>
      <c r="Z782" s="68"/>
      <c r="AA782" s="68"/>
      <c r="AB782" s="68"/>
      <c r="AC782" s="68"/>
      <c r="AD782" s="68"/>
      <c r="AE782" s="68"/>
      <c r="AF782" s="68"/>
      <c r="AG782" s="68"/>
      <c r="AH782" s="68"/>
      <c r="AI782" s="68"/>
      <c r="AJ782" s="68">
        <v>1</v>
      </c>
      <c r="AL782" s="68">
        <v>1</v>
      </c>
      <c r="AM782" s="68"/>
      <c r="AN782" s="68"/>
      <c r="AO782" s="68"/>
      <c r="AQ782" s="68"/>
      <c r="AR782" s="68"/>
      <c r="AS782" s="68"/>
      <c r="AT782" s="68"/>
      <c r="AU782" s="68"/>
      <c r="AV782" s="68"/>
      <c r="AW782" s="68"/>
      <c r="AX782" s="68"/>
      <c r="AY782" s="68"/>
      <c r="AZ782" s="68"/>
      <c r="BB782" s="68"/>
      <c r="BC782" s="68"/>
      <c r="BJ782" s="68"/>
      <c r="BT782">
        <v>1</v>
      </c>
      <c r="BV782">
        <v>1</v>
      </c>
      <c r="BX782" s="68"/>
      <c r="BY782" s="68">
        <v>1</v>
      </c>
      <c r="BZ782" s="68" t="s">
        <v>1057</v>
      </c>
      <c r="CA782" s="68" t="s">
        <v>1057</v>
      </c>
      <c r="CB782" s="68" t="s">
        <v>1057</v>
      </c>
      <c r="CC782" s="68" t="e">
        <f t="shared" si="146"/>
        <v>#DIV/0!</v>
      </c>
      <c r="CD782" s="68" t="str">
        <f t="shared" si="147"/>
        <v>NA</v>
      </c>
    </row>
    <row r="783" spans="1:82" ht="15.75" customHeight="1" thickBot="1" x14ac:dyDescent="0.3">
      <c r="A783" s="6">
        <v>782</v>
      </c>
      <c r="B783" s="7" t="s">
        <v>1155</v>
      </c>
      <c r="C783" s="7" t="s">
        <v>311</v>
      </c>
      <c r="D783" s="7" t="s">
        <v>17</v>
      </c>
      <c r="E783" s="50">
        <v>-212.77791626934899</v>
      </c>
      <c r="F783" s="50">
        <v>0</v>
      </c>
      <c r="G783" s="50">
        <v>0</v>
      </c>
      <c r="H783" s="50">
        <v>0</v>
      </c>
      <c r="I783" s="8" t="s">
        <v>1057</v>
      </c>
      <c r="J783" s="50">
        <v>1.9445374612902999</v>
      </c>
      <c r="K783" s="248" t="str">
        <f>IFERROR(VLOOKUP(C783,Schedule!$T$3:$U$34,2,0),"FA")</f>
        <v>FA</v>
      </c>
      <c r="L783" s="7" t="str">
        <f>D783&amp;COUNTIF(D$2:$D783,D783)</f>
        <v>WR271</v>
      </c>
      <c r="M783" s="50">
        <f t="array" ref="M783">IFERROR(F783-AVERAGE(VLOOKUP(D783,$D784:$F$885,3,0),INDEX($F784:$F$885,SMALL(IF(D783=$D784:$D$885,ROW($D784:$D$885)-ROW(D783)),2))),0)</f>
        <v>0</v>
      </c>
      <c r="N783" s="50">
        <f>IFERROR(IF(VLOOKUP($B783,Input!$AC$2:$AC$162,1,0)=$B783,0),F783)</f>
        <v>0</v>
      </c>
      <c r="O783" s="50">
        <f>IFERROR(IF(VLOOKUP($B783,Input!$AC$2:$AC$162,1,0)=$B783,0,G783),G783)</f>
        <v>0</v>
      </c>
      <c r="P783" s="50">
        <f>IF(N783=0,0,F783-AVERAGE(INDEX(F:F,MATCH(VLOOKUP(D783,Input!$A$14:$L$22,10,0),L:L,0)),INDEX(F:F,MATCH(VLOOKUP(D783,Input!$A$14:$L$22,11,0),L:L,0)),INDEX(F:F,MATCH(VLOOKUP(D783,Input!$A$14:$L$22,12,0),L:L,0)))+(0.01-ROW()*0.01))</f>
        <v>0</v>
      </c>
      <c r="Q783" s="106">
        <f t="shared" si="142"/>
        <v>0</v>
      </c>
      <c r="R783" s="8">
        <f>IF(VLOOKUP($D783,$X$14:$Y$19,2,0)&lt;=0,1,IF(Q783&lt;0,1,ROUNDUP(IF(Q783*('Draft Center'!$L$28+'Draft Center'!$L$78-'Draft Center'!$L$82)&lt;1,1,Q783*('Draft Center'!$L$28+'Draft Center'!$L$78-'Draft Center'!$L$82)),0)))</f>
        <v>1</v>
      </c>
      <c r="S783" s="8">
        <f>IF(A783&lt;Input!$B$10+0.1,IF(ROUNDUP(R783*Input!$C$10,0)=0,1,ROUNDUP(R783*Input!$C$10,0)),IF(A783&gt;Input!$B$11,IF(ROUNDUP(R783*Input!$C$11,0)=0,1,ROUNDUP(R783*Input!$C$11,0)),IF(ROUNDUP(R783,0)=0,1,ROUNDUP(R783,0))))</f>
        <v>1</v>
      </c>
      <c r="T783" s="8">
        <f t="shared" si="143"/>
        <v>1</v>
      </c>
      <c r="U783" s="8">
        <f>IFERROR(VLOOKUP($B783,Input!$AC$2:$AE$161,3,0),0)</f>
        <v>0</v>
      </c>
      <c r="V783" s="256">
        <f t="shared" si="144"/>
        <v>0</v>
      </c>
      <c r="W783" s="263">
        <f t="shared" si="145"/>
        <v>0</v>
      </c>
      <c r="X783" s="68"/>
      <c r="Y783" s="68"/>
      <c r="Z783" s="68"/>
      <c r="AA783" s="68"/>
      <c r="AB783" s="68"/>
      <c r="AC783" s="68"/>
      <c r="AD783" s="68"/>
      <c r="AE783" s="68"/>
      <c r="AF783" s="68"/>
      <c r="AG783" s="68"/>
      <c r="AH783" s="68"/>
      <c r="AI783" s="68"/>
      <c r="AJ783" s="68">
        <v>1</v>
      </c>
      <c r="AL783" s="68">
        <v>1</v>
      </c>
      <c r="AM783" s="68"/>
      <c r="AN783" s="68"/>
      <c r="AO783" s="68"/>
      <c r="AQ783" s="68"/>
      <c r="AR783" s="68"/>
      <c r="AS783" s="68"/>
      <c r="AT783" s="68"/>
      <c r="AU783" s="68"/>
      <c r="AV783" s="68"/>
      <c r="AW783" s="68"/>
      <c r="AX783" s="68"/>
      <c r="AY783" s="68"/>
      <c r="AZ783" s="68"/>
      <c r="BB783" s="68"/>
      <c r="BC783" s="68"/>
      <c r="BJ783" s="68"/>
      <c r="BT783">
        <v>1</v>
      </c>
      <c r="BV783">
        <v>1</v>
      </c>
      <c r="BX783" s="68"/>
      <c r="BY783" s="68">
        <v>1</v>
      </c>
      <c r="BZ783" s="68" t="s">
        <v>1057</v>
      </c>
      <c r="CA783" s="68" t="s">
        <v>1057</v>
      </c>
      <c r="CB783" s="68" t="s">
        <v>1057</v>
      </c>
      <c r="CC783" s="68" t="e">
        <f t="shared" si="146"/>
        <v>#DIV/0!</v>
      </c>
      <c r="CD783" s="68" t="str">
        <f t="shared" si="147"/>
        <v>NA</v>
      </c>
    </row>
    <row r="784" spans="1:82" ht="15.75" customHeight="1" thickBot="1" x14ac:dyDescent="0.3">
      <c r="A784" s="9">
        <v>783</v>
      </c>
      <c r="B784" s="10" t="s">
        <v>1155</v>
      </c>
      <c r="C784" s="10" t="s">
        <v>311</v>
      </c>
      <c r="D784" s="10" t="s">
        <v>17</v>
      </c>
      <c r="E784" s="51">
        <v>-212.77791626934899</v>
      </c>
      <c r="F784" s="51">
        <v>0</v>
      </c>
      <c r="G784" s="51">
        <v>0</v>
      </c>
      <c r="H784" s="51">
        <v>0</v>
      </c>
      <c r="I784" s="11" t="s">
        <v>1057</v>
      </c>
      <c r="J784" s="51">
        <v>1.9445374612902999</v>
      </c>
      <c r="K784" s="249" t="str">
        <f>IFERROR(VLOOKUP(C784,Schedule!$T$3:$U$34,2,0),"FA")</f>
        <v>FA</v>
      </c>
      <c r="L784" s="10" t="str">
        <f>D784&amp;COUNTIF(D$2:$D784,D784)</f>
        <v>WR272</v>
      </c>
      <c r="M784" s="51">
        <f t="array" ref="M784">IFERROR(F784-AVERAGE(VLOOKUP(D784,$D785:$F$885,3,0),INDEX($F785:$F$885,SMALL(IF(D784=$D785:$D$885,ROW($D785:$D$885)-ROW(D784)),2))),0)</f>
        <v>0</v>
      </c>
      <c r="N784" s="51">
        <f>IFERROR(IF(VLOOKUP($B784,Input!$AC$2:$AC$162,1,0)=$B784,0),F784)</f>
        <v>0</v>
      </c>
      <c r="O784" s="51">
        <f>IFERROR(IF(VLOOKUP($B784,Input!$AC$2:$AC$162,1,0)=$B784,0,G784),G784)</f>
        <v>0</v>
      </c>
      <c r="P784" s="51">
        <f>IF(N784=0,0,F784-AVERAGE(INDEX(F:F,MATCH(VLOOKUP(D784,Input!$A$14:$L$22,10,0),L:L,0)),INDEX(F:F,MATCH(VLOOKUP(D784,Input!$A$14:$L$22,11,0),L:L,0)),INDEX(F:F,MATCH(VLOOKUP(D784,Input!$A$14:$L$22,12,0),L:L,0)))+(0.01-ROW()*0.01))</f>
        <v>0</v>
      </c>
      <c r="Q784" s="107">
        <f t="shared" si="142"/>
        <v>0</v>
      </c>
      <c r="R784" s="11">
        <f>IF(VLOOKUP($D784,$X$14:$Y$19,2,0)&lt;=0,1,IF(Q784&lt;0,1,ROUNDUP(IF(Q784*('Draft Center'!$L$28+'Draft Center'!$L$78-'Draft Center'!$L$82)&lt;1,1,Q784*('Draft Center'!$L$28+'Draft Center'!$L$78-'Draft Center'!$L$82)),0)))</f>
        <v>1</v>
      </c>
      <c r="S784" s="11">
        <f>IF(A784&lt;Input!$B$10+0.1,IF(ROUNDUP(R784*Input!$C$10,0)=0,1,ROUNDUP(R784*Input!$C$10,0)),IF(A784&gt;Input!$B$11,IF(ROUNDUP(R784*Input!$C$11,0)=0,1,ROUNDUP(R784*Input!$C$11,0)),IF(ROUNDUP(R784,0)=0,1,ROUNDUP(R784,0))))</f>
        <v>1</v>
      </c>
      <c r="T784" s="11">
        <f t="shared" si="143"/>
        <v>1</v>
      </c>
      <c r="U784" s="11">
        <f>IFERROR(VLOOKUP($B784,Input!$AC$2:$AE$161,3,0),0)</f>
        <v>0</v>
      </c>
      <c r="V784" s="257">
        <f t="shared" si="144"/>
        <v>0</v>
      </c>
      <c r="W784" s="264">
        <f t="shared" si="145"/>
        <v>0</v>
      </c>
      <c r="X784" s="68"/>
      <c r="Y784" s="68"/>
      <c r="Z784" s="68"/>
      <c r="AA784" s="68"/>
      <c r="AB784" s="68"/>
      <c r="AC784" s="68"/>
      <c r="AD784" s="68"/>
      <c r="AE784" s="68"/>
      <c r="AF784" s="68"/>
      <c r="AG784" s="68"/>
      <c r="AH784" s="68"/>
      <c r="AI784" s="68"/>
      <c r="AJ784" s="68">
        <v>1</v>
      </c>
      <c r="AL784" s="68">
        <v>1</v>
      </c>
      <c r="AM784" s="68"/>
      <c r="AN784" s="68"/>
      <c r="AO784" s="68"/>
      <c r="AQ784" s="68"/>
      <c r="AR784" s="68"/>
      <c r="AS784" s="68"/>
      <c r="AT784" s="68"/>
      <c r="AU784" s="68"/>
      <c r="AV784" s="68"/>
      <c r="AW784" s="68"/>
      <c r="AX784" s="68"/>
      <c r="AY784" s="68"/>
      <c r="AZ784" s="68"/>
      <c r="BB784" s="68"/>
      <c r="BC784" s="68"/>
      <c r="BJ784" s="68"/>
      <c r="BT784">
        <v>1</v>
      </c>
      <c r="BV784">
        <v>1</v>
      </c>
      <c r="BX784" s="68"/>
      <c r="BY784" s="68">
        <v>1</v>
      </c>
      <c r="BZ784" s="68" t="s">
        <v>1057</v>
      </c>
      <c r="CA784" s="68" t="s">
        <v>1057</v>
      </c>
      <c r="CB784" s="68" t="s">
        <v>1057</v>
      </c>
      <c r="CC784" s="68" t="e">
        <f t="shared" si="146"/>
        <v>#DIV/0!</v>
      </c>
      <c r="CD784" s="68" t="str">
        <f t="shared" si="147"/>
        <v>NA</v>
      </c>
    </row>
    <row r="785" spans="1:82" ht="15.75" customHeight="1" thickBot="1" x14ac:dyDescent="0.3">
      <c r="A785" s="6">
        <v>784</v>
      </c>
      <c r="B785" s="7" t="s">
        <v>1156</v>
      </c>
      <c r="C785" s="7" t="s">
        <v>311</v>
      </c>
      <c r="D785" s="7" t="s">
        <v>17</v>
      </c>
      <c r="E785" s="50">
        <v>-212.77791626934899</v>
      </c>
      <c r="F785" s="50">
        <v>0</v>
      </c>
      <c r="G785" s="50">
        <v>0</v>
      </c>
      <c r="H785" s="50">
        <v>0</v>
      </c>
      <c r="I785" s="8" t="s">
        <v>1057</v>
      </c>
      <c r="J785" s="50" t="s">
        <v>1057</v>
      </c>
      <c r="K785" s="248" t="str">
        <f>IFERROR(VLOOKUP(C785,Schedule!$T$3:$U$34,2,0),"FA")</f>
        <v>FA</v>
      </c>
      <c r="L785" s="7" t="str">
        <f>D785&amp;COUNTIF(D$2:$D785,D785)</f>
        <v>WR273</v>
      </c>
      <c r="M785" s="50">
        <f t="array" ref="M785">IFERROR(F785-AVERAGE(VLOOKUP(D785,$D786:$F$885,3,0),INDEX($F786:$F$885,SMALL(IF(D785=$D786:$D$885,ROW($D786:$D$885)-ROW(D785)),2))),0)</f>
        <v>0</v>
      </c>
      <c r="N785" s="50">
        <f>IFERROR(IF(VLOOKUP($B785,Input!$AC$2:$AC$162,1,0)=$B785,0),F785)</f>
        <v>0</v>
      </c>
      <c r="O785" s="50">
        <f>IFERROR(IF(VLOOKUP($B785,Input!$AC$2:$AC$162,1,0)=$B785,0,G785),G785)</f>
        <v>0</v>
      </c>
      <c r="P785" s="50">
        <f>IF(N785=0,0,F785-AVERAGE(INDEX(F:F,MATCH(VLOOKUP(D785,Input!$A$14:$L$22,10,0),L:L,0)),INDEX(F:F,MATCH(VLOOKUP(D785,Input!$A$14:$L$22,11,0),L:L,0)),INDEX(F:F,MATCH(VLOOKUP(D785,Input!$A$14:$L$22,12,0),L:L,0)))+(0.01-ROW()*0.01))</f>
        <v>0</v>
      </c>
      <c r="Q785" s="106">
        <f t="shared" si="142"/>
        <v>0</v>
      </c>
      <c r="R785" s="8">
        <f>IF(VLOOKUP($D785,$X$14:$Y$19,2,0)&lt;=0,1,IF(Q785&lt;0,1,ROUNDUP(IF(Q785*('Draft Center'!$L$28+'Draft Center'!$L$78-'Draft Center'!$L$82)&lt;1,1,Q785*('Draft Center'!$L$28+'Draft Center'!$L$78-'Draft Center'!$L$82)),0)))</f>
        <v>1</v>
      </c>
      <c r="S785" s="8">
        <f>IF(A785&lt;Input!$B$10+0.1,IF(ROUNDUP(R785*Input!$C$10,0)=0,1,ROUNDUP(R785*Input!$C$10,0)),IF(A785&gt;Input!$B$11,IF(ROUNDUP(R785*Input!$C$11,0)=0,1,ROUNDUP(R785*Input!$C$11,0)),IF(ROUNDUP(R785,0)=0,1,ROUNDUP(R785,0))))</f>
        <v>1</v>
      </c>
      <c r="T785" s="8">
        <f t="shared" si="143"/>
        <v>1</v>
      </c>
      <c r="U785" s="8">
        <f>IFERROR(VLOOKUP($B785,Input!$AC$2:$AE$161,3,0),0)</f>
        <v>0</v>
      </c>
      <c r="V785" s="256">
        <f t="shared" si="144"/>
        <v>0</v>
      </c>
      <c r="W785" s="263">
        <f t="shared" si="145"/>
        <v>0</v>
      </c>
      <c r="X785" s="68"/>
      <c r="Y785" s="68"/>
      <c r="Z785" s="68"/>
      <c r="AA785" s="68"/>
      <c r="AB785" s="68"/>
      <c r="AC785" s="68"/>
      <c r="AD785" s="68"/>
      <c r="AE785" s="68"/>
      <c r="AF785" s="68"/>
      <c r="AG785" s="68"/>
      <c r="AH785" s="68"/>
      <c r="AI785" s="68"/>
      <c r="AJ785" s="68">
        <v>1</v>
      </c>
      <c r="AL785" s="68">
        <v>1</v>
      </c>
      <c r="AM785" s="68"/>
      <c r="AN785" s="68"/>
      <c r="AO785" s="68"/>
      <c r="AQ785" s="68"/>
      <c r="AR785" s="68"/>
      <c r="AS785" s="68"/>
      <c r="AT785" s="68"/>
      <c r="AU785" s="68"/>
      <c r="AV785" s="68"/>
      <c r="AW785" s="68"/>
      <c r="AX785" s="68"/>
      <c r="AY785" s="68"/>
      <c r="AZ785" s="68"/>
      <c r="BB785" s="68"/>
      <c r="BC785" s="68"/>
      <c r="BJ785" s="68"/>
      <c r="BT785">
        <v>1</v>
      </c>
      <c r="BV785">
        <v>1</v>
      </c>
      <c r="BX785" s="68"/>
      <c r="BY785" s="68">
        <v>1</v>
      </c>
      <c r="BZ785" s="68" t="s">
        <v>1057</v>
      </c>
      <c r="CA785" s="68" t="s">
        <v>1057</v>
      </c>
      <c r="CB785" s="68" t="s">
        <v>1057</v>
      </c>
      <c r="CC785" s="68" t="e">
        <f t="shared" si="146"/>
        <v>#DIV/0!</v>
      </c>
      <c r="CD785" s="68" t="str">
        <f t="shared" si="147"/>
        <v>NA</v>
      </c>
    </row>
    <row r="786" spans="1:82" ht="15.75" customHeight="1" thickBot="1" x14ac:dyDescent="0.3">
      <c r="A786" s="9">
        <v>785</v>
      </c>
      <c r="B786" s="10" t="s">
        <v>867</v>
      </c>
      <c r="C786" s="10" t="s">
        <v>311</v>
      </c>
      <c r="D786" s="10" t="s">
        <v>17</v>
      </c>
      <c r="E786" s="51">
        <v>-212.77791626934899</v>
      </c>
      <c r="F786" s="51">
        <v>0</v>
      </c>
      <c r="G786" s="51">
        <v>0</v>
      </c>
      <c r="H786" s="51">
        <v>0</v>
      </c>
      <c r="I786" s="11">
        <v>0</v>
      </c>
      <c r="J786" s="51">
        <v>1.9445374612902999</v>
      </c>
      <c r="K786" s="249" t="str">
        <f>IFERROR(VLOOKUP(C786,Schedule!$T$3:$U$34,2,0),"FA")</f>
        <v>FA</v>
      </c>
      <c r="L786" s="10" t="str">
        <f>D786&amp;COUNTIF(D$2:$D786,D786)</f>
        <v>WR274</v>
      </c>
      <c r="M786" s="51">
        <f t="array" ref="M786">IFERROR(F786-AVERAGE(VLOOKUP(D786,$D787:$F$885,3,0),INDEX($F787:$F$885,SMALL(IF(D786=$D787:$D$885,ROW($D787:$D$885)-ROW(D786)),2))),0)</f>
        <v>0</v>
      </c>
      <c r="N786" s="51">
        <f>IFERROR(IF(VLOOKUP($B786,Input!$AC$2:$AC$162,1,0)=$B786,0),F786)</f>
        <v>0</v>
      </c>
      <c r="O786" s="51">
        <f>IFERROR(IF(VLOOKUP($B786,Input!$AC$2:$AC$162,1,0)=$B786,0,G786),G786)</f>
        <v>0</v>
      </c>
      <c r="P786" s="51">
        <f>IF(N786=0,0,F786-AVERAGE(INDEX(F:F,MATCH(VLOOKUP(D786,Input!$A$14:$L$22,10,0),L:L,0)),INDEX(F:F,MATCH(VLOOKUP(D786,Input!$A$14:$L$22,11,0),L:L,0)),INDEX(F:F,MATCH(VLOOKUP(D786,Input!$A$14:$L$22,12,0),L:L,0)))+(0.01-ROW()*0.01))</f>
        <v>0</v>
      </c>
      <c r="Q786" s="107">
        <f t="shared" si="142"/>
        <v>0</v>
      </c>
      <c r="R786" s="11">
        <f>IF(VLOOKUP($D786,$X$14:$Y$19,2,0)&lt;=0,1,IF(Q786&lt;0,1,ROUNDUP(IF(Q786*('Draft Center'!$L$28+'Draft Center'!$L$78-'Draft Center'!$L$82)&lt;1,1,Q786*('Draft Center'!$L$28+'Draft Center'!$L$78-'Draft Center'!$L$82)),0)))</f>
        <v>1</v>
      </c>
      <c r="S786" s="11">
        <f>IF(A786&lt;Input!$B$10+0.1,IF(ROUNDUP(R786*Input!$C$10,0)=0,1,ROUNDUP(R786*Input!$C$10,0)),IF(A786&gt;Input!$B$11,IF(ROUNDUP(R786*Input!$C$11,0)=0,1,ROUNDUP(R786*Input!$C$11,0)),IF(ROUNDUP(R786,0)=0,1,ROUNDUP(R786,0))))</f>
        <v>1</v>
      </c>
      <c r="T786" s="11">
        <f t="shared" si="143"/>
        <v>1</v>
      </c>
      <c r="U786" s="11">
        <f>IFERROR(VLOOKUP($B786,Input!$AC$2:$AE$161,3,0),0)</f>
        <v>0</v>
      </c>
      <c r="V786" s="257">
        <f t="shared" si="144"/>
        <v>0</v>
      </c>
      <c r="W786" s="264">
        <f t="shared" si="145"/>
        <v>1.00786</v>
      </c>
      <c r="X786" s="68"/>
      <c r="Y786" s="68"/>
      <c r="Z786" s="68"/>
      <c r="AA786" s="68"/>
      <c r="AB786" s="68"/>
      <c r="AC786" s="68"/>
      <c r="AD786" s="68"/>
      <c r="AE786" s="68"/>
      <c r="AF786" s="68"/>
      <c r="AG786" s="68"/>
      <c r="AH786" s="68"/>
      <c r="AI786" s="68"/>
      <c r="AJ786" s="68">
        <v>1</v>
      </c>
      <c r="AL786" s="68">
        <v>1</v>
      </c>
      <c r="AM786" s="68"/>
      <c r="AN786" s="68"/>
      <c r="AO786" s="68"/>
      <c r="AQ786" s="68"/>
      <c r="AR786" s="68"/>
      <c r="AS786" s="68"/>
      <c r="AT786" s="68"/>
      <c r="AU786" s="68"/>
      <c r="AV786" s="68"/>
      <c r="AW786" s="68"/>
      <c r="AX786" s="68"/>
      <c r="AY786" s="68"/>
      <c r="AZ786" s="68"/>
      <c r="BB786" s="68"/>
      <c r="BC786" s="68"/>
      <c r="BJ786" s="68"/>
      <c r="BT786">
        <v>1</v>
      </c>
      <c r="BV786">
        <v>1</v>
      </c>
      <c r="BX786" s="68"/>
      <c r="BY786" s="68">
        <v>1</v>
      </c>
      <c r="BZ786" s="68">
        <v>0</v>
      </c>
      <c r="CA786" s="68">
        <v>0</v>
      </c>
      <c r="CB786" s="68">
        <v>0</v>
      </c>
      <c r="CC786" s="68">
        <f t="shared" si="146"/>
        <v>0</v>
      </c>
      <c r="CD786" s="68">
        <f t="shared" si="147"/>
        <v>0</v>
      </c>
    </row>
    <row r="787" spans="1:82" ht="15.75" customHeight="1" thickBot="1" x14ac:dyDescent="0.3">
      <c r="A787" s="6">
        <v>786</v>
      </c>
      <c r="B787" s="7" t="s">
        <v>883</v>
      </c>
      <c r="C787" s="7" t="s">
        <v>311</v>
      </c>
      <c r="D787" s="7" t="s">
        <v>17</v>
      </c>
      <c r="E787" s="50">
        <v>-212.77791626934899</v>
      </c>
      <c r="F787" s="50">
        <v>0</v>
      </c>
      <c r="G787" s="50">
        <v>0</v>
      </c>
      <c r="H787" s="50">
        <v>0</v>
      </c>
      <c r="I787" s="8" t="s">
        <v>1057</v>
      </c>
      <c r="J787" s="50">
        <v>1.9445374612902999</v>
      </c>
      <c r="K787" s="248" t="str">
        <f>IFERROR(VLOOKUP(C787,Schedule!$T$3:$U$34,2,0),"FA")</f>
        <v>FA</v>
      </c>
      <c r="L787" s="7" t="str">
        <f>D787&amp;COUNTIF(D$2:$D787,D787)</f>
        <v>WR275</v>
      </c>
      <c r="M787" s="50">
        <f t="array" ref="M787">IFERROR(F787-AVERAGE(VLOOKUP(D787,$D788:$F$885,3,0),INDEX($F788:$F$885,SMALL(IF(D787=$D788:$D$885,ROW($D788:$D$885)-ROW(D787)),2))),0)</f>
        <v>0</v>
      </c>
      <c r="N787" s="50">
        <f>IFERROR(IF(VLOOKUP($B787,Input!$AC$2:$AC$162,1,0)=$B787,0),F787)</f>
        <v>0</v>
      </c>
      <c r="O787" s="50">
        <f>IFERROR(IF(VLOOKUP($B787,Input!$AC$2:$AC$162,1,0)=$B787,0,G787),G787)</f>
        <v>0</v>
      </c>
      <c r="P787" s="50">
        <f>IF(N787=0,0,F787-AVERAGE(INDEX(F:F,MATCH(VLOOKUP(D787,Input!$A$14:$L$22,10,0),L:L,0)),INDEX(F:F,MATCH(VLOOKUP(D787,Input!$A$14:$L$22,11,0),L:L,0)),INDEX(F:F,MATCH(VLOOKUP(D787,Input!$A$14:$L$22,12,0),L:L,0)))+(0.01-ROW()*0.01))</f>
        <v>0</v>
      </c>
      <c r="Q787" s="106">
        <f t="shared" si="142"/>
        <v>0</v>
      </c>
      <c r="R787" s="8">
        <f>IF(VLOOKUP($D787,$X$14:$Y$19,2,0)&lt;=0,1,IF(Q787&lt;0,1,ROUNDUP(IF(Q787*('Draft Center'!$L$28+'Draft Center'!$L$78-'Draft Center'!$L$82)&lt;1,1,Q787*('Draft Center'!$L$28+'Draft Center'!$L$78-'Draft Center'!$L$82)),0)))</f>
        <v>1</v>
      </c>
      <c r="S787" s="8">
        <f>IF(A787&lt;Input!$B$10+0.1,IF(ROUNDUP(R787*Input!$C$10,0)=0,1,ROUNDUP(R787*Input!$C$10,0)),IF(A787&gt;Input!$B$11,IF(ROUNDUP(R787*Input!$C$11,0)=0,1,ROUNDUP(R787*Input!$C$11,0)),IF(ROUNDUP(R787,0)=0,1,ROUNDUP(R787,0))))</f>
        <v>1</v>
      </c>
      <c r="T787" s="8">
        <f t="shared" si="143"/>
        <v>1</v>
      </c>
      <c r="U787" s="8">
        <f>IFERROR(VLOOKUP($B787,Input!$AC$2:$AE$161,3,0),0)</f>
        <v>0</v>
      </c>
      <c r="V787" s="256">
        <f t="shared" si="144"/>
        <v>0</v>
      </c>
      <c r="W787" s="263">
        <f t="shared" si="145"/>
        <v>0</v>
      </c>
      <c r="X787" s="68"/>
      <c r="Y787" s="68"/>
      <c r="Z787" s="68"/>
      <c r="AA787" s="68"/>
      <c r="AB787" s="68"/>
      <c r="AC787" s="68"/>
      <c r="AD787" s="68"/>
      <c r="AE787" s="68"/>
      <c r="AF787" s="68"/>
      <c r="AG787" s="68"/>
      <c r="AH787" s="68"/>
      <c r="AI787" s="68"/>
      <c r="AJ787" s="68">
        <v>1</v>
      </c>
      <c r="AL787" s="68">
        <v>1</v>
      </c>
      <c r="AM787" s="68"/>
      <c r="AN787" s="68"/>
      <c r="AO787" s="68"/>
      <c r="AQ787" s="68"/>
      <c r="AR787" s="68"/>
      <c r="AS787" s="68"/>
      <c r="AT787" s="68"/>
      <c r="AU787" s="68"/>
      <c r="AV787" s="68"/>
      <c r="AW787" s="68"/>
      <c r="AX787" s="68"/>
      <c r="AY787" s="68"/>
      <c r="AZ787" s="68"/>
      <c r="BB787" s="68"/>
      <c r="BC787" s="68"/>
      <c r="BJ787" s="68"/>
      <c r="BT787">
        <v>1</v>
      </c>
      <c r="BV787">
        <v>1</v>
      </c>
      <c r="BX787" s="68"/>
      <c r="BY787" s="68">
        <v>1</v>
      </c>
      <c r="BZ787" s="68" t="s">
        <v>1057</v>
      </c>
      <c r="CA787" s="68" t="s">
        <v>1057</v>
      </c>
      <c r="CB787" s="68" t="s">
        <v>1057</v>
      </c>
      <c r="CC787" s="68" t="e">
        <f t="shared" si="146"/>
        <v>#DIV/0!</v>
      </c>
      <c r="CD787" s="68" t="str">
        <f t="shared" si="147"/>
        <v>NA</v>
      </c>
    </row>
    <row r="788" spans="1:82" ht="15.75" customHeight="1" thickBot="1" x14ac:dyDescent="0.3">
      <c r="A788" s="9">
        <v>787</v>
      </c>
      <c r="B788" s="10" t="s">
        <v>1157</v>
      </c>
      <c r="C788" s="10" t="s">
        <v>311</v>
      </c>
      <c r="D788" s="10" t="s">
        <v>17</v>
      </c>
      <c r="E788" s="51">
        <v>-212.77791626934899</v>
      </c>
      <c r="F788" s="51">
        <v>0</v>
      </c>
      <c r="G788" s="51">
        <v>0</v>
      </c>
      <c r="H788" s="51">
        <v>0</v>
      </c>
      <c r="I788" s="11" t="s">
        <v>1057</v>
      </c>
      <c r="J788" s="51" t="s">
        <v>1057</v>
      </c>
      <c r="K788" s="249" t="str">
        <f>IFERROR(VLOOKUP(C788,Schedule!$T$3:$U$34,2,0),"FA")</f>
        <v>FA</v>
      </c>
      <c r="L788" s="10" t="str">
        <f>D788&amp;COUNTIF(D$2:$D788,D788)</f>
        <v>WR276</v>
      </c>
      <c r="M788" s="51">
        <f t="array" ref="M788">IFERROR(F788-AVERAGE(VLOOKUP(D788,$D789:$F$885,3,0),INDEX($F789:$F$885,SMALL(IF(D788=$D789:$D$885,ROW($D789:$D$885)-ROW(D788)),2))),0)</f>
        <v>0</v>
      </c>
      <c r="N788" s="51">
        <f>IFERROR(IF(VLOOKUP($B788,Input!$AC$2:$AC$162,1,0)=$B788,0),F788)</f>
        <v>0</v>
      </c>
      <c r="O788" s="51">
        <f>IFERROR(IF(VLOOKUP($B788,Input!$AC$2:$AC$162,1,0)=$B788,0,G788),G788)</f>
        <v>0</v>
      </c>
      <c r="P788" s="51">
        <f>IF(N788=0,0,F788-AVERAGE(INDEX(F:F,MATCH(VLOOKUP(D788,Input!$A$14:$L$22,10,0),L:L,0)),INDEX(F:F,MATCH(VLOOKUP(D788,Input!$A$14:$L$22,11,0),L:L,0)),INDEX(F:F,MATCH(VLOOKUP(D788,Input!$A$14:$L$22,12,0),L:L,0)))+(0.01-ROW()*0.01))</f>
        <v>0</v>
      </c>
      <c r="Q788" s="107">
        <f t="shared" si="142"/>
        <v>0</v>
      </c>
      <c r="R788" s="11">
        <f>IF(VLOOKUP($D788,$X$14:$Y$19,2,0)&lt;=0,1,IF(Q788&lt;0,1,ROUNDUP(IF(Q788*('Draft Center'!$L$28+'Draft Center'!$L$78-'Draft Center'!$L$82)&lt;1,1,Q788*('Draft Center'!$L$28+'Draft Center'!$L$78-'Draft Center'!$L$82)),0)))</f>
        <v>1</v>
      </c>
      <c r="S788" s="11">
        <f>IF(A788&lt;Input!$B$10+0.1,IF(ROUNDUP(R788*Input!$C$10,0)=0,1,ROUNDUP(R788*Input!$C$10,0)),IF(A788&gt;Input!$B$11,IF(ROUNDUP(R788*Input!$C$11,0)=0,1,ROUNDUP(R788*Input!$C$11,0)),IF(ROUNDUP(R788,0)=0,1,ROUNDUP(R788,0))))</f>
        <v>1</v>
      </c>
      <c r="T788" s="11">
        <f t="shared" si="143"/>
        <v>1</v>
      </c>
      <c r="U788" s="11">
        <f>IFERROR(VLOOKUP($B788,Input!$AC$2:$AE$161,3,0),0)</f>
        <v>0</v>
      </c>
      <c r="V788" s="257">
        <f t="shared" si="144"/>
        <v>0</v>
      </c>
      <c r="W788" s="264">
        <f t="shared" si="145"/>
        <v>0</v>
      </c>
      <c r="X788" s="68"/>
      <c r="Y788" s="68"/>
      <c r="Z788" s="68"/>
      <c r="AA788" s="68"/>
      <c r="AB788" s="68"/>
      <c r="AC788" s="68"/>
      <c r="AD788" s="68"/>
      <c r="AE788" s="68"/>
      <c r="AF788" s="68"/>
      <c r="AG788" s="68"/>
      <c r="AH788" s="68"/>
      <c r="AI788" s="68"/>
      <c r="AJ788" s="68">
        <v>1</v>
      </c>
      <c r="AL788" s="68">
        <v>1</v>
      </c>
      <c r="AM788" s="68"/>
      <c r="AN788" s="68"/>
      <c r="AO788" s="68"/>
      <c r="AQ788" s="68"/>
      <c r="AR788" s="68"/>
      <c r="AS788" s="68"/>
      <c r="AT788" s="68"/>
      <c r="AU788" s="68"/>
      <c r="AV788" s="68"/>
      <c r="AW788" s="68"/>
      <c r="AX788" s="68"/>
      <c r="AY788" s="68"/>
      <c r="AZ788" s="68"/>
      <c r="BB788" s="68"/>
      <c r="BC788" s="68"/>
      <c r="BJ788" s="68"/>
      <c r="BT788">
        <v>1</v>
      </c>
      <c r="BV788">
        <v>1</v>
      </c>
      <c r="BX788" s="68"/>
      <c r="BY788" s="68">
        <v>1</v>
      </c>
      <c r="BZ788" s="68" t="s">
        <v>1057</v>
      </c>
      <c r="CA788" s="68" t="s">
        <v>1057</v>
      </c>
      <c r="CB788" s="68" t="s">
        <v>1057</v>
      </c>
      <c r="CC788" s="68" t="e">
        <f t="shared" si="146"/>
        <v>#DIV/0!</v>
      </c>
      <c r="CD788" s="68" t="str">
        <f t="shared" si="147"/>
        <v>NA</v>
      </c>
    </row>
    <row r="789" spans="1:82" ht="15.75" customHeight="1" thickBot="1" x14ac:dyDescent="0.3">
      <c r="A789" s="6">
        <v>788</v>
      </c>
      <c r="B789" s="7" t="s">
        <v>1158</v>
      </c>
      <c r="C789" s="7" t="s">
        <v>311</v>
      </c>
      <c r="D789" s="7" t="s">
        <v>17</v>
      </c>
      <c r="E789" s="50">
        <v>-212.77791626934899</v>
      </c>
      <c r="F789" s="50">
        <v>0</v>
      </c>
      <c r="G789" s="50">
        <v>0</v>
      </c>
      <c r="H789" s="50">
        <v>0</v>
      </c>
      <c r="I789" s="8" t="s">
        <v>1057</v>
      </c>
      <c r="J789" s="50" t="s">
        <v>1057</v>
      </c>
      <c r="K789" s="248" t="str">
        <f>IFERROR(VLOOKUP(C789,Schedule!$T$3:$U$34,2,0),"FA")</f>
        <v>FA</v>
      </c>
      <c r="L789" s="7" t="str">
        <f>D789&amp;COUNTIF(D$2:$D789,D789)</f>
        <v>WR277</v>
      </c>
      <c r="M789" s="50">
        <f t="array" ref="M789">IFERROR(F789-AVERAGE(VLOOKUP(D789,$D790:$F$885,3,0),INDEX($F790:$F$885,SMALL(IF(D789=$D790:$D$885,ROW($D790:$D$885)-ROW(D789)),2))),0)</f>
        <v>0</v>
      </c>
      <c r="N789" s="50">
        <f>IFERROR(IF(VLOOKUP($B789,Input!$AC$2:$AC$162,1,0)=$B789,0),F789)</f>
        <v>0</v>
      </c>
      <c r="O789" s="50">
        <f>IFERROR(IF(VLOOKUP($B789,Input!$AC$2:$AC$162,1,0)=$B789,0,G789),G789)</f>
        <v>0</v>
      </c>
      <c r="P789" s="50">
        <f>IF(N789=0,0,F789-AVERAGE(INDEX(F:F,MATCH(VLOOKUP(D789,Input!$A$14:$L$22,10,0),L:L,0)),INDEX(F:F,MATCH(VLOOKUP(D789,Input!$A$14:$L$22,11,0),L:L,0)),INDEX(F:F,MATCH(VLOOKUP(D789,Input!$A$14:$L$22,12,0),L:L,0)))+(0.01-ROW()*0.01))</f>
        <v>0</v>
      </c>
      <c r="Q789" s="106">
        <f t="shared" si="142"/>
        <v>0</v>
      </c>
      <c r="R789" s="8">
        <f>IF(VLOOKUP($D789,$X$14:$Y$19,2,0)&lt;=0,1,IF(Q789&lt;0,1,ROUNDUP(IF(Q789*('Draft Center'!$L$28+'Draft Center'!$L$78-'Draft Center'!$L$82)&lt;1,1,Q789*('Draft Center'!$L$28+'Draft Center'!$L$78-'Draft Center'!$L$82)),0)))</f>
        <v>1</v>
      </c>
      <c r="S789" s="8">
        <f>IF(A789&lt;Input!$B$10+0.1,IF(ROUNDUP(R789*Input!$C$10,0)=0,1,ROUNDUP(R789*Input!$C$10,0)),IF(A789&gt;Input!$B$11,IF(ROUNDUP(R789*Input!$C$11,0)=0,1,ROUNDUP(R789*Input!$C$11,0)),IF(ROUNDUP(R789,0)=0,1,ROUNDUP(R789,0))))</f>
        <v>1</v>
      </c>
      <c r="T789" s="8">
        <f t="shared" si="143"/>
        <v>1</v>
      </c>
      <c r="U789" s="8">
        <f>IFERROR(VLOOKUP($B789,Input!$AC$2:$AE$161,3,0),0)</f>
        <v>0</v>
      </c>
      <c r="V789" s="256">
        <f t="shared" si="144"/>
        <v>0</v>
      </c>
      <c r="W789" s="263">
        <f t="shared" si="145"/>
        <v>0</v>
      </c>
      <c r="X789" s="68"/>
      <c r="Y789" s="68"/>
      <c r="Z789" s="68"/>
      <c r="AA789" s="68"/>
      <c r="AB789" s="68"/>
      <c r="AC789" s="68"/>
      <c r="AD789" s="68"/>
      <c r="AE789" s="68"/>
      <c r="AF789" s="68"/>
      <c r="AG789" s="68"/>
      <c r="AH789" s="68"/>
      <c r="AI789" s="68"/>
      <c r="AJ789" s="68">
        <v>1</v>
      </c>
      <c r="AL789" s="68">
        <v>1</v>
      </c>
      <c r="AM789" s="68"/>
      <c r="AN789" s="68"/>
      <c r="AO789" s="68"/>
      <c r="AQ789" s="68"/>
      <c r="AR789" s="68"/>
      <c r="AS789" s="68"/>
      <c r="AT789" s="68"/>
      <c r="AU789" s="68"/>
      <c r="AV789" s="68"/>
      <c r="AW789" s="68"/>
      <c r="AX789" s="68"/>
      <c r="AY789" s="68"/>
      <c r="AZ789" s="68"/>
      <c r="BB789" s="68"/>
      <c r="BC789" s="68"/>
      <c r="BJ789" s="68"/>
      <c r="BT789">
        <v>1</v>
      </c>
      <c r="BV789">
        <v>1</v>
      </c>
      <c r="BX789" s="68"/>
      <c r="BY789" s="68">
        <v>1</v>
      </c>
      <c r="BZ789" s="68" t="s">
        <v>1057</v>
      </c>
      <c r="CA789" s="68" t="s">
        <v>1057</v>
      </c>
      <c r="CB789" s="68" t="s">
        <v>1057</v>
      </c>
      <c r="CC789" s="68" t="e">
        <f t="shared" si="146"/>
        <v>#DIV/0!</v>
      </c>
      <c r="CD789" s="68" t="str">
        <f t="shared" si="147"/>
        <v>NA</v>
      </c>
    </row>
    <row r="790" spans="1:82" ht="15.75" customHeight="1" thickBot="1" x14ac:dyDescent="0.3">
      <c r="A790" s="9">
        <v>789</v>
      </c>
      <c r="B790" s="10" t="s">
        <v>1159</v>
      </c>
      <c r="C790" s="10" t="s">
        <v>311</v>
      </c>
      <c r="D790" s="10" t="s">
        <v>17</v>
      </c>
      <c r="E790" s="51">
        <v>-212.77791626934899</v>
      </c>
      <c r="F790" s="51">
        <v>0</v>
      </c>
      <c r="G790" s="51">
        <v>0</v>
      </c>
      <c r="H790" s="51">
        <v>0</v>
      </c>
      <c r="I790" s="11" t="s">
        <v>1057</v>
      </c>
      <c r="J790" s="51">
        <v>1.9445374612902999</v>
      </c>
      <c r="K790" s="249" t="str">
        <f>IFERROR(VLOOKUP(C790,Schedule!$T$3:$U$34,2,0),"FA")</f>
        <v>FA</v>
      </c>
      <c r="L790" s="10" t="str">
        <f>D790&amp;COUNTIF(D$2:$D790,D790)</f>
        <v>WR278</v>
      </c>
      <c r="M790" s="51">
        <f t="array" ref="M790">IFERROR(F790-AVERAGE(VLOOKUP(D790,$D791:$F$885,3,0),INDEX($F791:$F$885,SMALL(IF(D790=$D791:$D$885,ROW($D791:$D$885)-ROW(D790)),2))),0)</f>
        <v>0</v>
      </c>
      <c r="N790" s="51">
        <f>IFERROR(IF(VLOOKUP($B790,Input!$AC$2:$AC$162,1,0)=$B790,0),F790)</f>
        <v>0</v>
      </c>
      <c r="O790" s="51">
        <f>IFERROR(IF(VLOOKUP($B790,Input!$AC$2:$AC$162,1,0)=$B790,0,G790),G790)</f>
        <v>0</v>
      </c>
      <c r="P790" s="51">
        <f>IF(N790=0,0,F790-AVERAGE(INDEX(F:F,MATCH(VLOOKUP(D790,Input!$A$14:$L$22,10,0),L:L,0)),INDEX(F:F,MATCH(VLOOKUP(D790,Input!$A$14:$L$22,11,0),L:L,0)),INDEX(F:F,MATCH(VLOOKUP(D790,Input!$A$14:$L$22,12,0),L:L,0)))+(0.01-ROW()*0.01))</f>
        <v>0</v>
      </c>
      <c r="Q790" s="107">
        <f t="shared" si="142"/>
        <v>0</v>
      </c>
      <c r="R790" s="11">
        <f>IF(VLOOKUP($D790,$X$14:$Y$19,2,0)&lt;=0,1,IF(Q790&lt;0,1,ROUNDUP(IF(Q790*('Draft Center'!$L$28+'Draft Center'!$L$78-'Draft Center'!$L$82)&lt;1,1,Q790*('Draft Center'!$L$28+'Draft Center'!$L$78-'Draft Center'!$L$82)),0)))</f>
        <v>1</v>
      </c>
      <c r="S790" s="11">
        <f>IF(A790&lt;Input!$B$10+0.1,IF(ROUNDUP(R790*Input!$C$10,0)=0,1,ROUNDUP(R790*Input!$C$10,0)),IF(A790&gt;Input!$B$11,IF(ROUNDUP(R790*Input!$C$11,0)=0,1,ROUNDUP(R790*Input!$C$11,0)),IF(ROUNDUP(R790,0)=0,1,ROUNDUP(R790,0))))</f>
        <v>1</v>
      </c>
      <c r="T790" s="11">
        <f t="shared" si="143"/>
        <v>1</v>
      </c>
      <c r="U790" s="11">
        <f>IFERROR(VLOOKUP($B790,Input!$AC$2:$AE$161,3,0),0)</f>
        <v>0</v>
      </c>
      <c r="V790" s="257">
        <f t="shared" si="144"/>
        <v>0</v>
      </c>
      <c r="W790" s="264">
        <f t="shared" si="145"/>
        <v>0</v>
      </c>
      <c r="X790" s="68"/>
      <c r="Y790" s="68"/>
      <c r="Z790" s="68"/>
      <c r="AA790" s="68"/>
      <c r="AB790" s="68"/>
      <c r="AC790" s="68"/>
      <c r="AD790" s="68"/>
      <c r="AE790" s="68"/>
      <c r="AF790" s="68"/>
      <c r="AG790" s="68"/>
      <c r="AH790" s="68"/>
      <c r="AI790" s="68"/>
      <c r="AJ790" s="68">
        <v>1</v>
      </c>
      <c r="AL790" s="68">
        <v>1</v>
      </c>
      <c r="AM790" s="68"/>
      <c r="AN790" s="68"/>
      <c r="AO790" s="68"/>
      <c r="AQ790" s="68"/>
      <c r="AR790" s="68"/>
      <c r="AS790" s="68"/>
      <c r="AT790" s="68"/>
      <c r="AU790" s="68"/>
      <c r="AV790" s="68"/>
      <c r="AW790" s="68"/>
      <c r="AX790" s="68"/>
      <c r="AY790" s="68"/>
      <c r="AZ790" s="68"/>
      <c r="BB790" s="68"/>
      <c r="BC790" s="68"/>
      <c r="BJ790" s="68"/>
      <c r="BT790">
        <v>1</v>
      </c>
      <c r="BV790">
        <v>1</v>
      </c>
      <c r="BX790" s="68"/>
      <c r="BY790" s="68">
        <v>1</v>
      </c>
      <c r="BZ790" s="68" t="s">
        <v>1057</v>
      </c>
      <c r="CA790" s="68" t="s">
        <v>1057</v>
      </c>
      <c r="CB790" s="68" t="s">
        <v>1057</v>
      </c>
      <c r="CC790" s="68" t="e">
        <f t="shared" si="146"/>
        <v>#DIV/0!</v>
      </c>
      <c r="CD790" s="68" t="str">
        <f t="shared" si="147"/>
        <v>NA</v>
      </c>
    </row>
    <row r="791" spans="1:82" ht="15.75" customHeight="1" thickBot="1" x14ac:dyDescent="0.3">
      <c r="A791" s="6">
        <v>790</v>
      </c>
      <c r="B791" s="7" t="s">
        <v>463</v>
      </c>
      <c r="C791" s="7" t="s">
        <v>66</v>
      </c>
      <c r="D791" s="7" t="s">
        <v>17</v>
      </c>
      <c r="E791" s="50">
        <v>-212.77791626934899</v>
      </c>
      <c r="F791" s="50">
        <v>0</v>
      </c>
      <c r="G791" s="50">
        <v>0</v>
      </c>
      <c r="H791" s="50">
        <v>0</v>
      </c>
      <c r="I791" s="8" t="s">
        <v>1057</v>
      </c>
      <c r="J791" s="50">
        <v>1.9445374612902999</v>
      </c>
      <c r="K791" s="248">
        <f>IFERROR(VLOOKUP(C791,Schedule!$T$3:$U$34,2,0),"FA")</f>
        <v>7</v>
      </c>
      <c r="L791" s="7" t="str">
        <f>D791&amp;COUNTIF(D$2:$D791,D791)</f>
        <v>WR279</v>
      </c>
      <c r="M791" s="50">
        <f t="array" ref="M791">IFERROR(F791-AVERAGE(VLOOKUP(D791,$D792:$F$885,3,0),INDEX($F792:$F$885,SMALL(IF(D791=$D792:$D$885,ROW($D792:$D$885)-ROW(D791)),2))),0)</f>
        <v>0</v>
      </c>
      <c r="N791" s="50">
        <f>IFERROR(IF(VLOOKUP($B791,Input!$AC$2:$AC$162,1,0)=$B791,0),F791)</f>
        <v>0</v>
      </c>
      <c r="O791" s="50">
        <f>IFERROR(IF(VLOOKUP($B791,Input!$AC$2:$AC$162,1,0)=$B791,0,G791),G791)</f>
        <v>0</v>
      </c>
      <c r="P791" s="50">
        <f>IF(N791=0,0,F791-AVERAGE(INDEX(F:F,MATCH(VLOOKUP(D791,Input!$A$14:$L$22,10,0),L:L,0)),INDEX(F:F,MATCH(VLOOKUP(D791,Input!$A$14:$L$22,11,0),L:L,0)),INDEX(F:F,MATCH(VLOOKUP(D791,Input!$A$14:$L$22,12,0),L:L,0)))+(0.01-ROW()*0.01))</f>
        <v>0</v>
      </c>
      <c r="Q791" s="106">
        <f t="shared" si="142"/>
        <v>0</v>
      </c>
      <c r="R791" s="8">
        <f>IF(VLOOKUP($D791,$X$14:$Y$19,2,0)&lt;=0,1,IF(Q791&lt;0,1,ROUNDUP(IF(Q791*('Draft Center'!$L$28+'Draft Center'!$L$78-'Draft Center'!$L$82)&lt;1,1,Q791*('Draft Center'!$L$28+'Draft Center'!$L$78-'Draft Center'!$L$82)),0)))</f>
        <v>1</v>
      </c>
      <c r="S791" s="8">
        <f>IF(A791&lt;Input!$B$10+0.1,IF(ROUNDUP(R791*Input!$C$10,0)=0,1,ROUNDUP(R791*Input!$C$10,0)),IF(A791&gt;Input!$B$11,IF(ROUNDUP(R791*Input!$C$11,0)=0,1,ROUNDUP(R791*Input!$C$11,0)),IF(ROUNDUP(R791,0)=0,1,ROUNDUP(R791,0))))</f>
        <v>1</v>
      </c>
      <c r="T791" s="8">
        <f t="shared" si="143"/>
        <v>1</v>
      </c>
      <c r="U791" s="8">
        <f>IFERROR(VLOOKUP($B791,Input!$AC$2:$AE$161,3,0),0)</f>
        <v>0</v>
      </c>
      <c r="V791" s="256">
        <f t="shared" si="144"/>
        <v>0</v>
      </c>
      <c r="W791" s="263">
        <f t="shared" si="145"/>
        <v>0</v>
      </c>
      <c r="X791" s="68"/>
      <c r="Y791" s="68"/>
      <c r="Z791" s="68"/>
      <c r="AA791" s="68"/>
      <c r="AB791" s="68"/>
      <c r="AC791" s="68"/>
      <c r="AD791" s="68"/>
      <c r="AE791" s="68"/>
      <c r="AF791" s="68"/>
      <c r="AG791" s="68"/>
      <c r="AH791" s="68"/>
      <c r="AI791" s="68"/>
      <c r="AJ791" s="68">
        <v>1</v>
      </c>
      <c r="AL791" s="68">
        <v>1</v>
      </c>
      <c r="AM791" s="68"/>
      <c r="AN791" s="68"/>
      <c r="AO791" s="68"/>
      <c r="AQ791" s="68"/>
      <c r="AR791" s="68"/>
      <c r="AS791" s="68"/>
      <c r="AT791" s="68"/>
      <c r="AU791" s="68"/>
      <c r="AV791" s="68"/>
      <c r="AW791" s="68"/>
      <c r="AX791" s="68"/>
      <c r="AY791" s="68"/>
      <c r="AZ791" s="68"/>
      <c r="BB791" s="68"/>
      <c r="BC791" s="68"/>
      <c r="BJ791" s="68"/>
      <c r="BT791">
        <v>1</v>
      </c>
      <c r="BV791">
        <v>1</v>
      </c>
      <c r="BX791" s="68"/>
      <c r="BY791" s="68">
        <v>1</v>
      </c>
      <c r="BZ791" s="68" t="s">
        <v>1057</v>
      </c>
      <c r="CA791" s="68" t="s">
        <v>1057</v>
      </c>
      <c r="CB791" s="68" t="s">
        <v>1057</v>
      </c>
      <c r="CC791" s="68" t="e">
        <f t="shared" si="146"/>
        <v>#DIV/0!</v>
      </c>
      <c r="CD791" s="68" t="str">
        <f t="shared" si="147"/>
        <v>NA</v>
      </c>
    </row>
    <row r="792" spans="1:82" ht="15.75" customHeight="1" thickBot="1" x14ac:dyDescent="0.3">
      <c r="A792" s="9">
        <v>791</v>
      </c>
      <c r="B792" s="10" t="s">
        <v>1160</v>
      </c>
      <c r="C792" s="10" t="s">
        <v>25</v>
      </c>
      <c r="D792" s="10" t="s">
        <v>17</v>
      </c>
      <c r="E792" s="51">
        <v>-212.77791626934899</v>
      </c>
      <c r="F792" s="51">
        <v>0</v>
      </c>
      <c r="G792" s="51">
        <v>0</v>
      </c>
      <c r="H792" s="51">
        <v>0</v>
      </c>
      <c r="I792" s="11" t="s">
        <v>1057</v>
      </c>
      <c r="J792" s="51">
        <v>1.9445374612902999</v>
      </c>
      <c r="K792" s="249">
        <f>IFERROR(VLOOKUP(C792,Schedule!$T$3:$U$34,2,0),"FA")</f>
        <v>10</v>
      </c>
      <c r="L792" s="10" t="str">
        <f>D792&amp;COUNTIF(D$2:$D792,D792)</f>
        <v>WR280</v>
      </c>
      <c r="M792" s="51">
        <f t="array" ref="M792">IFERROR(F792-AVERAGE(VLOOKUP(D792,$D793:$F$885,3,0),INDEX($F793:$F$885,SMALL(IF(D792=$D793:$D$885,ROW($D793:$D$885)-ROW(D792)),2))),0)</f>
        <v>0</v>
      </c>
      <c r="N792" s="51">
        <f>IFERROR(IF(VLOOKUP($B792,Input!$AC$2:$AC$162,1,0)=$B792,0),F792)</f>
        <v>0</v>
      </c>
      <c r="O792" s="51">
        <f>IFERROR(IF(VLOOKUP($B792,Input!$AC$2:$AC$162,1,0)=$B792,0,G792),G792)</f>
        <v>0</v>
      </c>
      <c r="P792" s="51">
        <f>IF(N792=0,0,F792-AVERAGE(INDEX(F:F,MATCH(VLOOKUP(D792,Input!$A$14:$L$22,10,0),L:L,0)),INDEX(F:F,MATCH(VLOOKUP(D792,Input!$A$14:$L$22,11,0),L:L,0)),INDEX(F:F,MATCH(VLOOKUP(D792,Input!$A$14:$L$22,12,0),L:L,0)))+(0.01-ROW()*0.01))</f>
        <v>0</v>
      </c>
      <c r="Q792" s="107">
        <f t="shared" si="142"/>
        <v>0</v>
      </c>
      <c r="R792" s="11">
        <f>IF(VLOOKUP($D792,$X$14:$Y$19,2,0)&lt;=0,1,IF(Q792&lt;0,1,ROUNDUP(IF(Q792*('Draft Center'!$L$28+'Draft Center'!$L$78-'Draft Center'!$L$82)&lt;1,1,Q792*('Draft Center'!$L$28+'Draft Center'!$L$78-'Draft Center'!$L$82)),0)))</f>
        <v>1</v>
      </c>
      <c r="S792" s="11">
        <f>IF(A792&lt;Input!$B$10+0.1,IF(ROUNDUP(R792*Input!$C$10,0)=0,1,ROUNDUP(R792*Input!$C$10,0)),IF(A792&gt;Input!$B$11,IF(ROUNDUP(R792*Input!$C$11,0)=0,1,ROUNDUP(R792*Input!$C$11,0)),IF(ROUNDUP(R792,0)=0,1,ROUNDUP(R792,0))))</f>
        <v>1</v>
      </c>
      <c r="T792" s="11">
        <f t="shared" si="143"/>
        <v>1</v>
      </c>
      <c r="U792" s="11">
        <f>IFERROR(VLOOKUP($B792,Input!$AC$2:$AE$161,3,0),0)</f>
        <v>0</v>
      </c>
      <c r="V792" s="257">
        <f t="shared" si="144"/>
        <v>0</v>
      </c>
      <c r="W792" s="264">
        <f t="shared" si="145"/>
        <v>0</v>
      </c>
      <c r="X792" s="68"/>
      <c r="Y792" s="68"/>
      <c r="Z792" s="68"/>
      <c r="AA792" s="68"/>
      <c r="AB792" s="68"/>
      <c r="AC792" s="68"/>
      <c r="AD792" s="68"/>
      <c r="AE792" s="68"/>
      <c r="AF792" s="68"/>
      <c r="AG792" s="68"/>
      <c r="AH792" s="68"/>
      <c r="AI792" s="68"/>
      <c r="AJ792" s="68">
        <v>1</v>
      </c>
      <c r="AL792" s="68">
        <v>1</v>
      </c>
      <c r="AM792" s="68"/>
      <c r="AN792" s="68"/>
      <c r="AO792" s="68"/>
      <c r="AQ792" s="68"/>
      <c r="AR792" s="68"/>
      <c r="AS792" s="68"/>
      <c r="AT792" s="68"/>
      <c r="AU792" s="68"/>
      <c r="AV792" s="68"/>
      <c r="AW792" s="68"/>
      <c r="AX792" s="68"/>
      <c r="AY792" s="68"/>
      <c r="AZ792" s="68"/>
      <c r="BB792" s="68"/>
      <c r="BC792" s="68"/>
      <c r="BJ792" s="68"/>
      <c r="BT792">
        <v>1</v>
      </c>
      <c r="BV792">
        <v>1</v>
      </c>
      <c r="BX792" s="68"/>
      <c r="BY792" s="68">
        <v>1</v>
      </c>
      <c r="BZ792" s="68" t="s">
        <v>1057</v>
      </c>
      <c r="CA792" s="68" t="s">
        <v>1057</v>
      </c>
      <c r="CB792" s="68" t="s">
        <v>1057</v>
      </c>
      <c r="CC792" s="68" t="e">
        <f t="shared" si="146"/>
        <v>#DIV/0!</v>
      </c>
      <c r="CD792" s="68" t="str">
        <f t="shared" si="147"/>
        <v>NA</v>
      </c>
    </row>
    <row r="793" spans="1:82" ht="15.75" customHeight="1" thickBot="1" x14ac:dyDescent="0.3">
      <c r="A793" s="6">
        <v>792</v>
      </c>
      <c r="B793" s="7" t="s">
        <v>1161</v>
      </c>
      <c r="C793" s="7" t="s">
        <v>25</v>
      </c>
      <c r="D793" s="7" t="s">
        <v>17</v>
      </c>
      <c r="E793" s="50">
        <v>-212.77791626934899</v>
      </c>
      <c r="F793" s="50">
        <v>0</v>
      </c>
      <c r="G793" s="50">
        <v>0</v>
      </c>
      <c r="H793" s="50">
        <v>0</v>
      </c>
      <c r="I793" s="8" t="s">
        <v>1057</v>
      </c>
      <c r="J793" s="50">
        <v>1.9445374612902999</v>
      </c>
      <c r="K793" s="248">
        <f>IFERROR(VLOOKUP(C793,Schedule!$T$3:$U$34,2,0),"FA")</f>
        <v>10</v>
      </c>
      <c r="L793" s="7" t="str">
        <f>D793&amp;COUNTIF(D$2:$D793,D793)</f>
        <v>WR281</v>
      </c>
      <c r="M793" s="50">
        <f t="array" ref="M793">IFERROR(F793-AVERAGE(VLOOKUP(D793,$D794:$F$885,3,0),INDEX($F794:$F$885,SMALL(IF(D793=$D794:$D$885,ROW($D794:$D$885)-ROW(D793)),2))),0)</f>
        <v>0</v>
      </c>
      <c r="N793" s="50">
        <f>IFERROR(IF(VLOOKUP($B793,Input!$AC$2:$AC$162,1,0)=$B793,0),F793)</f>
        <v>0</v>
      </c>
      <c r="O793" s="50">
        <f>IFERROR(IF(VLOOKUP($B793,Input!$AC$2:$AC$162,1,0)=$B793,0,G793),G793)</f>
        <v>0</v>
      </c>
      <c r="P793" s="50">
        <f>IF(N793=0,0,F793-AVERAGE(INDEX(F:F,MATCH(VLOOKUP(D793,Input!$A$14:$L$22,10,0),L:L,0)),INDEX(F:F,MATCH(VLOOKUP(D793,Input!$A$14:$L$22,11,0),L:L,0)),INDEX(F:F,MATCH(VLOOKUP(D793,Input!$A$14:$L$22,12,0),L:L,0)))+(0.01-ROW()*0.01))</f>
        <v>0</v>
      </c>
      <c r="Q793" s="106">
        <f t="shared" si="142"/>
        <v>0</v>
      </c>
      <c r="R793" s="8">
        <f>IF(VLOOKUP($D793,$X$14:$Y$19,2,0)&lt;=0,1,IF(Q793&lt;0,1,ROUNDUP(IF(Q793*('Draft Center'!$L$28+'Draft Center'!$L$78-'Draft Center'!$L$82)&lt;1,1,Q793*('Draft Center'!$L$28+'Draft Center'!$L$78-'Draft Center'!$L$82)),0)))</f>
        <v>1</v>
      </c>
      <c r="S793" s="8">
        <f>IF(A793&lt;Input!$B$10+0.1,IF(ROUNDUP(R793*Input!$C$10,0)=0,1,ROUNDUP(R793*Input!$C$10,0)),IF(A793&gt;Input!$B$11,IF(ROUNDUP(R793*Input!$C$11,0)=0,1,ROUNDUP(R793*Input!$C$11,0)),IF(ROUNDUP(R793,0)=0,1,ROUNDUP(R793,0))))</f>
        <v>1</v>
      </c>
      <c r="T793" s="8">
        <f t="shared" si="143"/>
        <v>1</v>
      </c>
      <c r="U793" s="8">
        <f>IFERROR(VLOOKUP($B793,Input!$AC$2:$AE$161,3,0),0)</f>
        <v>0</v>
      </c>
      <c r="V793" s="256">
        <f t="shared" si="144"/>
        <v>0</v>
      </c>
      <c r="W793" s="263">
        <f t="shared" si="145"/>
        <v>0</v>
      </c>
      <c r="X793" s="68"/>
      <c r="Y793" s="68"/>
      <c r="Z793" s="68"/>
      <c r="AA793" s="68"/>
      <c r="AB793" s="68"/>
      <c r="AC793" s="68"/>
      <c r="AD793" s="68"/>
      <c r="AE793" s="68"/>
      <c r="AF793" s="68"/>
      <c r="AG793" s="68"/>
      <c r="AH793" s="68"/>
      <c r="AI793" s="68"/>
      <c r="AJ793" s="68">
        <v>1</v>
      </c>
      <c r="AL793" s="68">
        <v>1</v>
      </c>
      <c r="AM793" s="68"/>
      <c r="AN793" s="68"/>
      <c r="AO793" s="68"/>
      <c r="AQ793" s="68"/>
      <c r="AR793" s="68"/>
      <c r="AS793" s="68"/>
      <c r="AT793" s="68"/>
      <c r="AU793" s="68"/>
      <c r="AV793" s="68"/>
      <c r="AW793" s="68"/>
      <c r="AX793" s="68"/>
      <c r="AY793" s="68"/>
      <c r="AZ793" s="68"/>
      <c r="BB793" s="68"/>
      <c r="BC793" s="68"/>
      <c r="BJ793" s="68"/>
      <c r="BT793">
        <v>1</v>
      </c>
      <c r="BV793">
        <v>1</v>
      </c>
      <c r="BX793" s="68"/>
      <c r="BY793" s="68">
        <v>1</v>
      </c>
      <c r="BZ793" s="68" t="s">
        <v>1057</v>
      </c>
      <c r="CA793" s="68" t="s">
        <v>1057</v>
      </c>
      <c r="CB793" s="68" t="s">
        <v>1057</v>
      </c>
      <c r="CC793" s="68" t="e">
        <f t="shared" si="146"/>
        <v>#DIV/0!</v>
      </c>
      <c r="CD793" s="68" t="str">
        <f t="shared" si="147"/>
        <v>NA</v>
      </c>
    </row>
    <row r="794" spans="1:82" ht="15.75" customHeight="1" thickBot="1" x14ac:dyDescent="0.3">
      <c r="A794" s="9">
        <v>793</v>
      </c>
      <c r="B794" s="10" t="s">
        <v>506</v>
      </c>
      <c r="C794" s="10" t="s">
        <v>927</v>
      </c>
      <c r="D794" s="10" t="s">
        <v>17</v>
      </c>
      <c r="E794" s="51">
        <v>-212.77791626934899</v>
      </c>
      <c r="F794" s="51">
        <v>0</v>
      </c>
      <c r="G794" s="51">
        <v>0</v>
      </c>
      <c r="H794" s="51">
        <v>0</v>
      </c>
      <c r="I794" s="11" t="s">
        <v>1057</v>
      </c>
      <c r="J794" s="51">
        <v>1.9445374612902999</v>
      </c>
      <c r="K794" s="249">
        <f>IFERROR(VLOOKUP(C794,Schedule!$T$3:$U$34,2,0),"FA")</f>
        <v>9</v>
      </c>
      <c r="L794" s="10" t="str">
        <f>D794&amp;COUNTIF(D$2:$D794,D794)</f>
        <v>WR282</v>
      </c>
      <c r="M794" s="51">
        <f t="array" ref="M794">IFERROR(F794-AVERAGE(VLOOKUP(D794,$D795:$F$885,3,0),INDEX($F795:$F$885,SMALL(IF(D794=$D795:$D$885,ROW($D795:$D$885)-ROW(D794)),2))),0)</f>
        <v>0</v>
      </c>
      <c r="N794" s="51">
        <f>IFERROR(IF(VLOOKUP($B794,Input!$AC$2:$AC$162,1,0)=$B794,0),F794)</f>
        <v>0</v>
      </c>
      <c r="O794" s="51">
        <f>IFERROR(IF(VLOOKUP($B794,Input!$AC$2:$AC$162,1,0)=$B794,0,G794),G794)</f>
        <v>0</v>
      </c>
      <c r="P794" s="51">
        <f>IF(N794=0,0,F794-AVERAGE(INDEX(F:F,MATCH(VLOOKUP(D794,Input!$A$14:$L$22,10,0),L:L,0)),INDEX(F:F,MATCH(VLOOKUP(D794,Input!$A$14:$L$22,11,0),L:L,0)),INDEX(F:F,MATCH(VLOOKUP(D794,Input!$A$14:$L$22,12,0),L:L,0)))+(0.01-ROW()*0.01))</f>
        <v>0</v>
      </c>
      <c r="Q794" s="107">
        <f t="shared" si="142"/>
        <v>0</v>
      </c>
      <c r="R794" s="11">
        <f>IF(VLOOKUP($D794,$X$14:$Y$19,2,0)&lt;=0,1,IF(Q794&lt;0,1,ROUNDUP(IF(Q794*('Draft Center'!$L$28+'Draft Center'!$L$78-'Draft Center'!$L$82)&lt;1,1,Q794*('Draft Center'!$L$28+'Draft Center'!$L$78-'Draft Center'!$L$82)),0)))</f>
        <v>1</v>
      </c>
      <c r="S794" s="11">
        <f>IF(A794&lt;Input!$B$10+0.1,IF(ROUNDUP(R794*Input!$C$10,0)=0,1,ROUNDUP(R794*Input!$C$10,0)),IF(A794&gt;Input!$B$11,IF(ROUNDUP(R794*Input!$C$11,0)=0,1,ROUNDUP(R794*Input!$C$11,0)),IF(ROUNDUP(R794,0)=0,1,ROUNDUP(R794,0))))</f>
        <v>1</v>
      </c>
      <c r="T794" s="11">
        <f t="shared" si="143"/>
        <v>1</v>
      </c>
      <c r="U794" s="11">
        <f>IFERROR(VLOOKUP($B794,Input!$AC$2:$AE$161,3,0),0)</f>
        <v>0</v>
      </c>
      <c r="V794" s="257">
        <f t="shared" si="144"/>
        <v>0</v>
      </c>
      <c r="W794" s="264">
        <f t="shared" si="145"/>
        <v>0</v>
      </c>
      <c r="X794" s="68"/>
      <c r="Y794" s="68"/>
      <c r="Z794" s="68"/>
      <c r="AA794" s="68"/>
      <c r="AB794" s="68"/>
      <c r="AC794" s="68"/>
      <c r="AD794" s="68"/>
      <c r="AE794" s="68"/>
      <c r="AF794" s="68"/>
      <c r="AG794" s="68"/>
      <c r="AH794" s="68"/>
      <c r="AI794" s="68"/>
      <c r="AJ794" s="68">
        <v>1</v>
      </c>
      <c r="AL794" s="68">
        <v>1</v>
      </c>
      <c r="AM794" s="68"/>
      <c r="AN794" s="68"/>
      <c r="AO794" s="68"/>
      <c r="AQ794" s="68"/>
      <c r="AR794" s="68"/>
      <c r="AS794" s="68"/>
      <c r="AT794" s="68"/>
      <c r="AU794" s="68"/>
      <c r="AV794" s="68"/>
      <c r="AW794" s="68"/>
      <c r="AX794" s="68"/>
      <c r="AY794" s="68"/>
      <c r="AZ794" s="68"/>
      <c r="BB794" s="68"/>
      <c r="BC794" s="68"/>
      <c r="BJ794" s="68"/>
      <c r="BT794">
        <v>1</v>
      </c>
      <c r="BV794">
        <v>1</v>
      </c>
      <c r="BX794" s="68"/>
      <c r="BY794" s="68">
        <v>1</v>
      </c>
      <c r="BZ794" s="68" t="s">
        <v>1057</v>
      </c>
      <c r="CA794" s="68" t="s">
        <v>1057</v>
      </c>
      <c r="CB794" s="68" t="s">
        <v>1057</v>
      </c>
      <c r="CC794" s="68" t="e">
        <f t="shared" si="146"/>
        <v>#DIV/0!</v>
      </c>
      <c r="CD794" s="68" t="str">
        <f t="shared" si="147"/>
        <v>NA</v>
      </c>
    </row>
    <row r="795" spans="1:82" ht="15.75" customHeight="1" thickBot="1" x14ac:dyDescent="0.3">
      <c r="A795" s="6">
        <v>794</v>
      </c>
      <c r="B795" s="7" t="s">
        <v>1037</v>
      </c>
      <c r="C795" s="7" t="s">
        <v>925</v>
      </c>
      <c r="D795" s="7" t="s">
        <v>17</v>
      </c>
      <c r="E795" s="50">
        <v>-212.77791626934899</v>
      </c>
      <c r="F795" s="50">
        <v>0</v>
      </c>
      <c r="G795" s="50">
        <v>0</v>
      </c>
      <c r="H795" s="50">
        <v>0</v>
      </c>
      <c r="I795" s="8" t="s">
        <v>1057</v>
      </c>
      <c r="J795" s="50">
        <v>1.9445374612902999</v>
      </c>
      <c r="K795" s="248">
        <f>IFERROR(VLOOKUP(C795,Schedule!$T$3:$U$34,2,0),"FA")</f>
        <v>8</v>
      </c>
      <c r="L795" s="7" t="str">
        <f>D795&amp;COUNTIF(D$2:$D795,D795)</f>
        <v>WR283</v>
      </c>
      <c r="M795" s="50">
        <f t="array" ref="M795">IFERROR(F795-AVERAGE(VLOOKUP(D795,$D796:$F$885,3,0),INDEX($F796:$F$885,SMALL(IF(D795=$D796:$D$885,ROW($D796:$D$885)-ROW(D795)),2))),0)</f>
        <v>0</v>
      </c>
      <c r="N795" s="50">
        <f>IFERROR(IF(VLOOKUP($B795,Input!$AC$2:$AC$162,1,0)=$B795,0),F795)</f>
        <v>0</v>
      </c>
      <c r="O795" s="50">
        <f>IFERROR(IF(VLOOKUP($B795,Input!$AC$2:$AC$162,1,0)=$B795,0,G795),G795)</f>
        <v>0</v>
      </c>
      <c r="P795" s="50">
        <f>IF(N795=0,0,F795-AVERAGE(INDEX(F:F,MATCH(VLOOKUP(D795,Input!$A$14:$L$22,10,0),L:L,0)),INDEX(F:F,MATCH(VLOOKUP(D795,Input!$A$14:$L$22,11,0),L:L,0)),INDEX(F:F,MATCH(VLOOKUP(D795,Input!$A$14:$L$22,12,0),L:L,0)))+(0.01-ROW()*0.01))</f>
        <v>0</v>
      </c>
      <c r="Q795" s="106">
        <f t="shared" si="142"/>
        <v>0</v>
      </c>
      <c r="R795" s="8">
        <f>IF(VLOOKUP($D795,$X$14:$Y$19,2,0)&lt;=0,1,IF(Q795&lt;0,1,ROUNDUP(IF(Q795*('Draft Center'!$L$28+'Draft Center'!$L$78-'Draft Center'!$L$82)&lt;1,1,Q795*('Draft Center'!$L$28+'Draft Center'!$L$78-'Draft Center'!$L$82)),0)))</f>
        <v>1</v>
      </c>
      <c r="S795" s="8">
        <f>IF(A795&lt;Input!$B$10+0.1,IF(ROUNDUP(R795*Input!$C$10,0)=0,1,ROUNDUP(R795*Input!$C$10,0)),IF(A795&gt;Input!$B$11,IF(ROUNDUP(R795*Input!$C$11,0)=0,1,ROUNDUP(R795*Input!$C$11,0)),IF(ROUNDUP(R795,0)=0,1,ROUNDUP(R795,0))))</f>
        <v>1</v>
      </c>
      <c r="T795" s="8">
        <f t="shared" si="143"/>
        <v>1</v>
      </c>
      <c r="U795" s="8">
        <f>IFERROR(VLOOKUP($B795,Input!$AC$2:$AE$161,3,0),0)</f>
        <v>0</v>
      </c>
      <c r="V795" s="256">
        <f t="shared" si="144"/>
        <v>0</v>
      </c>
      <c r="W795" s="263">
        <f t="shared" si="145"/>
        <v>0</v>
      </c>
      <c r="X795" s="68"/>
      <c r="Y795" s="68"/>
      <c r="Z795" s="68"/>
      <c r="AA795" s="68"/>
      <c r="AB795" s="68"/>
      <c r="AC795" s="68"/>
      <c r="AD795" s="68"/>
      <c r="AE795" s="68"/>
      <c r="AF795" s="68"/>
      <c r="AG795" s="68"/>
      <c r="AH795" s="68"/>
      <c r="AI795" s="68"/>
      <c r="AJ795" s="68">
        <v>1</v>
      </c>
      <c r="AL795" s="68">
        <v>1</v>
      </c>
      <c r="AM795" s="68"/>
      <c r="AN795" s="68"/>
      <c r="AO795" s="68"/>
      <c r="AQ795" s="68"/>
      <c r="AR795" s="68"/>
      <c r="AS795" s="68"/>
      <c r="AT795" s="68"/>
      <c r="AU795" s="68"/>
      <c r="AV795" s="68"/>
      <c r="AW795" s="68"/>
      <c r="AX795" s="68"/>
      <c r="AY795" s="68"/>
      <c r="AZ795" s="68"/>
      <c r="BB795" s="68"/>
      <c r="BC795" s="68"/>
      <c r="BJ795" s="68"/>
      <c r="BT795">
        <v>1</v>
      </c>
      <c r="BV795">
        <v>1</v>
      </c>
      <c r="BX795" s="68"/>
      <c r="BY795" s="68">
        <v>1</v>
      </c>
      <c r="BZ795" s="68" t="s">
        <v>1057</v>
      </c>
      <c r="CA795" s="68" t="s">
        <v>1057</v>
      </c>
      <c r="CB795" s="68" t="s">
        <v>1057</v>
      </c>
      <c r="CC795" s="68" t="e">
        <f t="shared" si="146"/>
        <v>#DIV/0!</v>
      </c>
      <c r="CD795" s="68" t="str">
        <f t="shared" si="147"/>
        <v>NA</v>
      </c>
    </row>
    <row r="796" spans="1:82" ht="15.75" customHeight="1" thickBot="1" x14ac:dyDescent="0.3">
      <c r="A796" s="9">
        <v>795</v>
      </c>
      <c r="B796" s="10" t="s">
        <v>832</v>
      </c>
      <c r="C796" s="10" t="s">
        <v>64</v>
      </c>
      <c r="D796" s="10" t="s">
        <v>17</v>
      </c>
      <c r="E796" s="51">
        <v>-212.77791626934899</v>
      </c>
      <c r="F796" s="51">
        <v>0</v>
      </c>
      <c r="G796" s="51">
        <v>0</v>
      </c>
      <c r="H796" s="51">
        <v>0</v>
      </c>
      <c r="I796" s="11" t="s">
        <v>1057</v>
      </c>
      <c r="J796" s="51" t="s">
        <v>1057</v>
      </c>
      <c r="K796" s="249">
        <f>IFERROR(VLOOKUP(C796,Schedule!$T$3:$U$34,2,0),"FA")</f>
        <v>11</v>
      </c>
      <c r="L796" s="10" t="str">
        <f>D796&amp;COUNTIF(D$2:$D796,D796)</f>
        <v>WR284</v>
      </c>
      <c r="M796" s="51">
        <f t="array" ref="M796">IFERROR(F796-AVERAGE(VLOOKUP(D796,$D797:$F$885,3,0),INDEX($F797:$F$885,SMALL(IF(D796=$D797:$D$885,ROW($D797:$D$885)-ROW(D796)),2))),0)</f>
        <v>0</v>
      </c>
      <c r="N796" s="51">
        <f>IFERROR(IF(VLOOKUP($B796,Input!$AC$2:$AC$162,1,0)=$B796,0),F796)</f>
        <v>0</v>
      </c>
      <c r="O796" s="51">
        <f>IFERROR(IF(VLOOKUP($B796,Input!$AC$2:$AC$162,1,0)=$B796,0,G796),G796)</f>
        <v>0</v>
      </c>
      <c r="P796" s="51">
        <f>IF(N796=0,0,F796-AVERAGE(INDEX(F:F,MATCH(VLOOKUP(D796,Input!$A$14:$L$22,10,0),L:L,0)),INDEX(F:F,MATCH(VLOOKUP(D796,Input!$A$14:$L$22,11,0),L:L,0)),INDEX(F:F,MATCH(VLOOKUP(D796,Input!$A$14:$L$22,12,0),L:L,0)))+(0.01-ROW()*0.01))</f>
        <v>0</v>
      </c>
      <c r="Q796" s="107">
        <f t="shared" si="142"/>
        <v>0</v>
      </c>
      <c r="R796" s="11">
        <f>IF(VLOOKUP($D796,$X$14:$Y$19,2,0)&lt;=0,1,IF(Q796&lt;0,1,ROUNDUP(IF(Q796*('Draft Center'!$L$28+'Draft Center'!$L$78-'Draft Center'!$L$82)&lt;1,1,Q796*('Draft Center'!$L$28+'Draft Center'!$L$78-'Draft Center'!$L$82)),0)))</f>
        <v>1</v>
      </c>
      <c r="S796" s="11">
        <f>IF(A796&lt;Input!$B$10+0.1,IF(ROUNDUP(R796*Input!$C$10,0)=0,1,ROUNDUP(R796*Input!$C$10,0)),IF(A796&gt;Input!$B$11,IF(ROUNDUP(R796*Input!$C$11,0)=0,1,ROUNDUP(R796*Input!$C$11,0)),IF(ROUNDUP(R796,0)=0,1,ROUNDUP(R796,0))))</f>
        <v>1</v>
      </c>
      <c r="T796" s="11">
        <f t="shared" si="143"/>
        <v>1</v>
      </c>
      <c r="U796" s="11">
        <f>IFERROR(VLOOKUP($B796,Input!$AC$2:$AE$161,3,0),0)</f>
        <v>0</v>
      </c>
      <c r="V796" s="257">
        <f t="shared" si="144"/>
        <v>0</v>
      </c>
      <c r="W796" s="264">
        <f t="shared" si="145"/>
        <v>0</v>
      </c>
      <c r="X796" s="68"/>
      <c r="Y796" s="68"/>
      <c r="Z796" s="68"/>
      <c r="AA796" s="68"/>
      <c r="AB796" s="68"/>
      <c r="AC796" s="68"/>
      <c r="AD796" s="68"/>
      <c r="AE796" s="68"/>
      <c r="AF796" s="68"/>
      <c r="AG796" s="68"/>
      <c r="AH796" s="68"/>
      <c r="AI796" s="68"/>
      <c r="AJ796" s="68">
        <v>1</v>
      </c>
      <c r="AL796" s="68">
        <v>1</v>
      </c>
      <c r="AM796" s="68"/>
      <c r="AN796" s="68"/>
      <c r="AO796" s="68"/>
      <c r="AQ796" s="68"/>
      <c r="AR796" s="68"/>
      <c r="AS796" s="68"/>
      <c r="AT796" s="68"/>
      <c r="AU796" s="68"/>
      <c r="AV796" s="68"/>
      <c r="AW796" s="68"/>
      <c r="AX796" s="68"/>
      <c r="AY796" s="68"/>
      <c r="AZ796" s="68"/>
      <c r="BB796" s="68"/>
      <c r="BC796" s="68"/>
      <c r="BJ796" s="68"/>
      <c r="BT796">
        <v>1</v>
      </c>
      <c r="BV796">
        <v>1</v>
      </c>
      <c r="BX796" s="68"/>
      <c r="BY796" s="68">
        <v>1</v>
      </c>
      <c r="BZ796" s="68" t="s">
        <v>1057</v>
      </c>
      <c r="CA796" s="68" t="s">
        <v>1057</v>
      </c>
      <c r="CB796" s="68" t="s">
        <v>1057</v>
      </c>
      <c r="CC796" s="68" t="e">
        <f t="shared" si="146"/>
        <v>#DIV/0!</v>
      </c>
      <c r="CD796" s="68" t="str">
        <f t="shared" si="147"/>
        <v>NA</v>
      </c>
    </row>
    <row r="797" spans="1:82" ht="15.75" customHeight="1" thickBot="1" x14ac:dyDescent="0.3">
      <c r="A797" s="6">
        <v>796</v>
      </c>
      <c r="B797" s="7" t="s">
        <v>1162</v>
      </c>
      <c r="C797" s="7" t="s">
        <v>33</v>
      </c>
      <c r="D797" s="7" t="s">
        <v>17</v>
      </c>
      <c r="E797" s="50">
        <v>-212.77791626934899</v>
      </c>
      <c r="F797" s="50">
        <v>0</v>
      </c>
      <c r="G797" s="50">
        <v>0</v>
      </c>
      <c r="H797" s="50">
        <v>0</v>
      </c>
      <c r="I797" s="8" t="s">
        <v>1057</v>
      </c>
      <c r="J797" s="50" t="s">
        <v>1057</v>
      </c>
      <c r="K797" s="248">
        <f>IFERROR(VLOOKUP(C797,Schedule!$T$3:$U$34,2,0),"FA")</f>
        <v>9</v>
      </c>
      <c r="L797" s="7" t="str">
        <f>D797&amp;COUNTIF(D$2:$D797,D797)</f>
        <v>WR285</v>
      </c>
      <c r="M797" s="50">
        <f t="array" ref="M797">IFERROR(F797-AVERAGE(VLOOKUP(D797,$D798:$F$885,3,0),INDEX($F798:$F$885,SMALL(IF(D797=$D798:$D$885,ROW($D798:$D$885)-ROW(D797)),2))),0)</f>
        <v>0</v>
      </c>
      <c r="N797" s="50">
        <f>IFERROR(IF(VLOOKUP($B797,Input!$AC$2:$AC$162,1,0)=$B797,0),F797)</f>
        <v>0</v>
      </c>
      <c r="O797" s="50">
        <f>IFERROR(IF(VLOOKUP($B797,Input!$AC$2:$AC$162,1,0)=$B797,0,G797),G797)</f>
        <v>0</v>
      </c>
      <c r="P797" s="50">
        <f>IF(N797=0,0,F797-AVERAGE(INDEX(F:F,MATCH(VLOOKUP(D797,Input!$A$14:$L$22,10,0),L:L,0)),INDEX(F:F,MATCH(VLOOKUP(D797,Input!$A$14:$L$22,11,0),L:L,0)),INDEX(F:F,MATCH(VLOOKUP(D797,Input!$A$14:$L$22,12,0),L:L,0)))+(0.01-ROW()*0.01))</f>
        <v>0</v>
      </c>
      <c r="Q797" s="106">
        <f t="shared" si="142"/>
        <v>0</v>
      </c>
      <c r="R797" s="8">
        <f>IF(VLOOKUP($D797,$X$14:$Y$19,2,0)&lt;=0,1,IF(Q797&lt;0,1,ROUNDUP(IF(Q797*('Draft Center'!$L$28+'Draft Center'!$L$78-'Draft Center'!$L$82)&lt;1,1,Q797*('Draft Center'!$L$28+'Draft Center'!$L$78-'Draft Center'!$L$82)),0)))</f>
        <v>1</v>
      </c>
      <c r="S797" s="8">
        <f>IF(A797&lt;Input!$B$10+0.1,IF(ROUNDUP(R797*Input!$C$10,0)=0,1,ROUNDUP(R797*Input!$C$10,0)),IF(A797&gt;Input!$B$11,IF(ROUNDUP(R797*Input!$C$11,0)=0,1,ROUNDUP(R797*Input!$C$11,0)),IF(ROUNDUP(R797,0)=0,1,ROUNDUP(R797,0))))</f>
        <v>1</v>
      </c>
      <c r="T797" s="8">
        <f t="shared" si="143"/>
        <v>1</v>
      </c>
      <c r="U797" s="8">
        <f>IFERROR(VLOOKUP($B797,Input!$AC$2:$AE$161,3,0),0)</f>
        <v>0</v>
      </c>
      <c r="V797" s="256">
        <f t="shared" si="144"/>
        <v>0</v>
      </c>
      <c r="W797" s="263">
        <f t="shared" si="145"/>
        <v>0</v>
      </c>
      <c r="X797" s="68"/>
      <c r="Y797" s="68"/>
      <c r="Z797" s="68"/>
      <c r="AA797" s="68"/>
      <c r="AB797" s="68"/>
      <c r="AC797" s="68"/>
      <c r="AD797" s="68"/>
      <c r="AE797" s="68"/>
      <c r="AF797" s="68"/>
      <c r="AG797" s="68"/>
      <c r="AH797" s="68"/>
      <c r="AI797" s="68"/>
      <c r="AJ797" s="68">
        <v>1</v>
      </c>
      <c r="AL797" s="68">
        <v>1</v>
      </c>
      <c r="AM797" s="68"/>
      <c r="AN797" s="68"/>
      <c r="AO797" s="68"/>
      <c r="AQ797" s="68"/>
      <c r="AR797" s="68"/>
      <c r="AS797" s="68"/>
      <c r="AT797" s="68"/>
      <c r="AU797" s="68"/>
      <c r="AV797" s="68"/>
      <c r="AW797" s="68"/>
      <c r="AX797" s="68"/>
      <c r="AY797" s="68"/>
      <c r="AZ797" s="68"/>
      <c r="BB797" s="68"/>
      <c r="BC797" s="68"/>
      <c r="BJ797" s="68"/>
      <c r="BT797">
        <v>1</v>
      </c>
      <c r="BV797">
        <v>1</v>
      </c>
      <c r="BX797" s="68"/>
      <c r="BY797" s="68">
        <v>1</v>
      </c>
      <c r="BZ797" s="68" t="s">
        <v>1057</v>
      </c>
      <c r="CA797" s="68" t="s">
        <v>1057</v>
      </c>
      <c r="CB797" s="68" t="s">
        <v>1057</v>
      </c>
      <c r="CC797" s="68" t="e">
        <f t="shared" si="146"/>
        <v>#DIV/0!</v>
      </c>
      <c r="CD797" s="68" t="str">
        <f t="shared" si="147"/>
        <v>NA</v>
      </c>
    </row>
    <row r="798" spans="1:82" ht="15.75" customHeight="1" thickBot="1" x14ac:dyDescent="0.3">
      <c r="A798" s="9">
        <v>797</v>
      </c>
      <c r="B798" s="10" t="s">
        <v>1163</v>
      </c>
      <c r="C798" s="10" t="s">
        <v>33</v>
      </c>
      <c r="D798" s="10" t="s">
        <v>17</v>
      </c>
      <c r="E798" s="51">
        <v>-212.77791626934899</v>
      </c>
      <c r="F798" s="51">
        <v>0</v>
      </c>
      <c r="G798" s="51">
        <v>0</v>
      </c>
      <c r="H798" s="51">
        <v>0</v>
      </c>
      <c r="I798" s="11" t="s">
        <v>1057</v>
      </c>
      <c r="J798" s="51">
        <v>1.9445374612902999</v>
      </c>
      <c r="K798" s="249">
        <f>IFERROR(VLOOKUP(C798,Schedule!$T$3:$U$34,2,0),"FA")</f>
        <v>9</v>
      </c>
      <c r="L798" s="10" t="str">
        <f>D798&amp;COUNTIF(D$2:$D798,D798)</f>
        <v>WR286</v>
      </c>
      <c r="M798" s="51">
        <f t="array" ref="M798">IFERROR(F798-AVERAGE(VLOOKUP(D798,$D799:$F$885,3,0),INDEX($F799:$F$885,SMALL(IF(D798=$D799:$D$885,ROW($D799:$D$885)-ROW(D798)),2))),0)</f>
        <v>0</v>
      </c>
      <c r="N798" s="51">
        <f>IFERROR(IF(VLOOKUP($B798,Input!$AC$2:$AC$162,1,0)=$B798,0),F798)</f>
        <v>0</v>
      </c>
      <c r="O798" s="51">
        <f>IFERROR(IF(VLOOKUP($B798,Input!$AC$2:$AC$162,1,0)=$B798,0,G798),G798)</f>
        <v>0</v>
      </c>
      <c r="P798" s="51">
        <f>IF(N798=0,0,F798-AVERAGE(INDEX(F:F,MATCH(VLOOKUP(D798,Input!$A$14:$L$22,10,0),L:L,0)),INDEX(F:F,MATCH(VLOOKUP(D798,Input!$A$14:$L$22,11,0),L:L,0)),INDEX(F:F,MATCH(VLOOKUP(D798,Input!$A$14:$L$22,12,0),L:L,0)))+(0.01-ROW()*0.01))</f>
        <v>0</v>
      </c>
      <c r="Q798" s="107">
        <f t="shared" si="142"/>
        <v>0</v>
      </c>
      <c r="R798" s="11">
        <f>IF(VLOOKUP($D798,$X$14:$Y$19,2,0)&lt;=0,1,IF(Q798&lt;0,1,ROUNDUP(IF(Q798*('Draft Center'!$L$28+'Draft Center'!$L$78-'Draft Center'!$L$82)&lt;1,1,Q798*('Draft Center'!$L$28+'Draft Center'!$L$78-'Draft Center'!$L$82)),0)))</f>
        <v>1</v>
      </c>
      <c r="S798" s="11">
        <f>IF(A798&lt;Input!$B$10+0.1,IF(ROUNDUP(R798*Input!$C$10,0)=0,1,ROUNDUP(R798*Input!$C$10,0)),IF(A798&gt;Input!$B$11,IF(ROUNDUP(R798*Input!$C$11,0)=0,1,ROUNDUP(R798*Input!$C$11,0)),IF(ROUNDUP(R798,0)=0,1,ROUNDUP(R798,0))))</f>
        <v>1</v>
      </c>
      <c r="T798" s="11">
        <f t="shared" si="143"/>
        <v>1</v>
      </c>
      <c r="U798" s="11">
        <f>IFERROR(VLOOKUP($B798,Input!$AC$2:$AE$161,3,0),0)</f>
        <v>0</v>
      </c>
      <c r="V798" s="257">
        <f t="shared" si="144"/>
        <v>0</v>
      </c>
      <c r="W798" s="264">
        <f t="shared" si="145"/>
        <v>0</v>
      </c>
      <c r="X798" s="68"/>
      <c r="Y798" s="68"/>
      <c r="Z798" s="68"/>
      <c r="AA798" s="68"/>
      <c r="AB798" s="68"/>
      <c r="AC798" s="68"/>
      <c r="AD798" s="68"/>
      <c r="AE798" s="68"/>
      <c r="AF798" s="68"/>
      <c r="AG798" s="68"/>
      <c r="AH798" s="68"/>
      <c r="AI798" s="68"/>
      <c r="AJ798" s="68">
        <v>1</v>
      </c>
      <c r="AL798" s="68">
        <v>1</v>
      </c>
      <c r="AM798" s="68"/>
      <c r="AN798" s="68"/>
      <c r="AO798" s="68"/>
      <c r="AQ798" s="68"/>
      <c r="AR798" s="68"/>
      <c r="AS798" s="68"/>
      <c r="AT798" s="68"/>
      <c r="AU798" s="68"/>
      <c r="AV798" s="68"/>
      <c r="AW798" s="68"/>
      <c r="AX798" s="68"/>
      <c r="AY798" s="68"/>
      <c r="AZ798" s="68"/>
      <c r="BB798" s="68"/>
      <c r="BC798" s="68"/>
      <c r="BJ798" s="68"/>
      <c r="BT798">
        <v>1</v>
      </c>
      <c r="BV798">
        <v>1</v>
      </c>
      <c r="BX798" s="68"/>
      <c r="BY798" s="68">
        <v>1</v>
      </c>
      <c r="BZ798" s="68" t="s">
        <v>1057</v>
      </c>
      <c r="CA798" s="68" t="s">
        <v>1057</v>
      </c>
      <c r="CB798" s="68" t="s">
        <v>1057</v>
      </c>
      <c r="CC798" s="68" t="e">
        <f t="shared" si="146"/>
        <v>#DIV/0!</v>
      </c>
      <c r="CD798" s="68" t="str">
        <f t="shared" si="147"/>
        <v>NA</v>
      </c>
    </row>
    <row r="799" spans="1:82" ht="15.75" customHeight="1" thickBot="1" x14ac:dyDescent="0.3">
      <c r="A799" s="6">
        <v>798</v>
      </c>
      <c r="B799" s="7" t="s">
        <v>524</v>
      </c>
      <c r="C799" s="7" t="s">
        <v>42</v>
      </c>
      <c r="D799" s="7" t="s">
        <v>17</v>
      </c>
      <c r="E799" s="50">
        <v>-212.77791626934899</v>
      </c>
      <c r="F799" s="50">
        <v>0</v>
      </c>
      <c r="G799" s="50">
        <v>0</v>
      </c>
      <c r="H799" s="50">
        <v>0</v>
      </c>
      <c r="I799" s="8" t="s">
        <v>1057</v>
      </c>
      <c r="J799" s="50">
        <v>1.9445374612902999</v>
      </c>
      <c r="K799" s="248">
        <f>IFERROR(VLOOKUP(C799,Schedule!$T$3:$U$34,2,0),"FA")</f>
        <v>9</v>
      </c>
      <c r="L799" s="7" t="str">
        <f>D799&amp;COUNTIF(D$2:$D799,D799)</f>
        <v>WR287</v>
      </c>
      <c r="M799" s="50">
        <f t="array" ref="M799">IFERROR(F799-AVERAGE(VLOOKUP(D799,$D800:$F$885,3,0),INDEX($F800:$F$885,SMALL(IF(D799=$D800:$D$885,ROW($D800:$D$885)-ROW(D799)),2))),0)</f>
        <v>0</v>
      </c>
      <c r="N799" s="50">
        <f>IFERROR(IF(VLOOKUP($B799,Input!$AC$2:$AC$162,1,0)=$B799,0),F799)</f>
        <v>0</v>
      </c>
      <c r="O799" s="50">
        <f>IFERROR(IF(VLOOKUP($B799,Input!$AC$2:$AC$162,1,0)=$B799,0,G799),G799)</f>
        <v>0</v>
      </c>
      <c r="P799" s="50">
        <f>IF(N799=0,0,F799-AVERAGE(INDEX(F:F,MATCH(VLOOKUP(D799,Input!$A$14:$L$22,10,0),L:L,0)),INDEX(F:F,MATCH(VLOOKUP(D799,Input!$A$14:$L$22,11,0),L:L,0)),INDEX(F:F,MATCH(VLOOKUP(D799,Input!$A$14:$L$22,12,0),L:L,0)))+(0.01-ROW()*0.01))</f>
        <v>0</v>
      </c>
      <c r="Q799" s="106">
        <f t="shared" si="142"/>
        <v>0</v>
      </c>
      <c r="R799" s="8">
        <f>IF(VLOOKUP($D799,$X$14:$Y$19,2,0)&lt;=0,1,IF(Q799&lt;0,1,ROUNDUP(IF(Q799*('Draft Center'!$L$28+'Draft Center'!$L$78-'Draft Center'!$L$82)&lt;1,1,Q799*('Draft Center'!$L$28+'Draft Center'!$L$78-'Draft Center'!$L$82)),0)))</f>
        <v>1</v>
      </c>
      <c r="S799" s="8">
        <f>IF(A799&lt;Input!$B$10+0.1,IF(ROUNDUP(R799*Input!$C$10,0)=0,1,ROUNDUP(R799*Input!$C$10,0)),IF(A799&gt;Input!$B$11,IF(ROUNDUP(R799*Input!$C$11,0)=0,1,ROUNDUP(R799*Input!$C$11,0)),IF(ROUNDUP(R799,0)=0,1,ROUNDUP(R799,0))))</f>
        <v>1</v>
      </c>
      <c r="T799" s="8">
        <f t="shared" si="143"/>
        <v>1</v>
      </c>
      <c r="U799" s="8">
        <f>IFERROR(VLOOKUP($B799,Input!$AC$2:$AE$161,3,0),0)</f>
        <v>0</v>
      </c>
      <c r="V799" s="256">
        <f t="shared" si="144"/>
        <v>0</v>
      </c>
      <c r="W799" s="263">
        <f t="shared" si="145"/>
        <v>0</v>
      </c>
      <c r="X799" s="68"/>
      <c r="Y799" s="68"/>
      <c r="Z799" s="68"/>
      <c r="AA799" s="68"/>
      <c r="AB799" s="68"/>
      <c r="AC799" s="68"/>
      <c r="AD799" s="68"/>
      <c r="AE799" s="68"/>
      <c r="AF799" s="68"/>
      <c r="AG799" s="68"/>
      <c r="AH799" s="68"/>
      <c r="AI799" s="68"/>
      <c r="AJ799" s="68">
        <v>1</v>
      </c>
      <c r="AL799" s="68">
        <v>1</v>
      </c>
      <c r="AM799" s="68"/>
      <c r="AN799" s="68"/>
      <c r="AO799" s="68"/>
      <c r="AQ799" s="68"/>
      <c r="AR799" s="68"/>
      <c r="AS799" s="68"/>
      <c r="AT799" s="68"/>
      <c r="AU799" s="68"/>
      <c r="AV799" s="68"/>
      <c r="AW799" s="68"/>
      <c r="AX799" s="68"/>
      <c r="AY799" s="68"/>
      <c r="AZ799" s="68"/>
      <c r="BB799" s="68"/>
      <c r="BC799" s="68"/>
      <c r="BJ799" s="68"/>
      <c r="BT799">
        <v>1</v>
      </c>
      <c r="BV799">
        <v>1</v>
      </c>
      <c r="BX799" s="68"/>
      <c r="BY799" s="68">
        <v>1</v>
      </c>
      <c r="BZ799" s="68" t="s">
        <v>1057</v>
      </c>
      <c r="CA799" s="68" t="s">
        <v>1057</v>
      </c>
      <c r="CB799" s="68" t="s">
        <v>1057</v>
      </c>
      <c r="CC799" s="68" t="e">
        <f t="shared" si="146"/>
        <v>#DIV/0!</v>
      </c>
      <c r="CD799" s="68" t="str">
        <f t="shared" si="147"/>
        <v>NA</v>
      </c>
    </row>
    <row r="800" spans="1:82" ht="15.75" customHeight="1" thickBot="1" x14ac:dyDescent="0.3">
      <c r="A800" s="9">
        <v>799</v>
      </c>
      <c r="B800" s="10" t="s">
        <v>408</v>
      </c>
      <c r="C800" s="10" t="s">
        <v>42</v>
      </c>
      <c r="D800" s="10" t="s">
        <v>17</v>
      </c>
      <c r="E800" s="51">
        <v>-212.77791626934899</v>
      </c>
      <c r="F800" s="51">
        <v>0</v>
      </c>
      <c r="G800" s="51">
        <v>0</v>
      </c>
      <c r="H800" s="51">
        <v>0</v>
      </c>
      <c r="I800" s="11" t="s">
        <v>1057</v>
      </c>
      <c r="J800" s="51" t="s">
        <v>1057</v>
      </c>
      <c r="K800" s="249">
        <f>IFERROR(VLOOKUP(C800,Schedule!$T$3:$U$34,2,0),"FA")</f>
        <v>9</v>
      </c>
      <c r="L800" s="10" t="str">
        <f>D800&amp;COUNTIF(D$2:$D800,D800)</f>
        <v>WR288</v>
      </c>
      <c r="M800" s="51">
        <f t="array" ref="M800">IFERROR(F800-AVERAGE(VLOOKUP(D800,$D801:$F$885,3,0),INDEX($F801:$F$885,SMALL(IF(D800=$D801:$D$885,ROW($D801:$D$885)-ROW(D800)),2))),0)</f>
        <v>0</v>
      </c>
      <c r="N800" s="51">
        <f>IFERROR(IF(VLOOKUP($B800,Input!$AC$2:$AC$162,1,0)=$B800,0),F800)</f>
        <v>0</v>
      </c>
      <c r="O800" s="51">
        <f>IFERROR(IF(VLOOKUP($B800,Input!$AC$2:$AC$162,1,0)=$B800,0,G800),G800)</f>
        <v>0</v>
      </c>
      <c r="P800" s="51">
        <f>IF(N800=0,0,F800-AVERAGE(INDEX(F:F,MATCH(VLOOKUP(D800,Input!$A$14:$L$22,10,0),L:L,0)),INDEX(F:F,MATCH(VLOOKUP(D800,Input!$A$14:$L$22,11,0),L:L,0)),INDEX(F:F,MATCH(VLOOKUP(D800,Input!$A$14:$L$22,12,0),L:L,0)))+(0.01-ROW()*0.01))</f>
        <v>0</v>
      </c>
      <c r="Q800" s="107">
        <f t="shared" si="142"/>
        <v>0</v>
      </c>
      <c r="R800" s="11">
        <f>IF(VLOOKUP($D800,$X$14:$Y$19,2,0)&lt;=0,1,IF(Q800&lt;0,1,ROUNDUP(IF(Q800*('Draft Center'!$L$28+'Draft Center'!$L$78-'Draft Center'!$L$82)&lt;1,1,Q800*('Draft Center'!$L$28+'Draft Center'!$L$78-'Draft Center'!$L$82)),0)))</f>
        <v>1</v>
      </c>
      <c r="S800" s="11">
        <f>IF(A800&lt;Input!$B$10+0.1,IF(ROUNDUP(R800*Input!$C$10,0)=0,1,ROUNDUP(R800*Input!$C$10,0)),IF(A800&gt;Input!$B$11,IF(ROUNDUP(R800*Input!$C$11,0)=0,1,ROUNDUP(R800*Input!$C$11,0)),IF(ROUNDUP(R800,0)=0,1,ROUNDUP(R800,0))))</f>
        <v>1</v>
      </c>
      <c r="T800" s="11">
        <f t="shared" si="143"/>
        <v>1</v>
      </c>
      <c r="U800" s="11">
        <f>IFERROR(VLOOKUP($B800,Input!$AC$2:$AE$161,3,0),0)</f>
        <v>0</v>
      </c>
      <c r="V800" s="257">
        <f t="shared" si="144"/>
        <v>0</v>
      </c>
      <c r="W800" s="264">
        <f t="shared" si="145"/>
        <v>0</v>
      </c>
      <c r="X800" s="68"/>
      <c r="Y800" s="68"/>
      <c r="Z800" s="68"/>
      <c r="AA800" s="68"/>
      <c r="AB800" s="68"/>
      <c r="AC800" s="68"/>
      <c r="AD800" s="68"/>
      <c r="AE800" s="68"/>
      <c r="AF800" s="68"/>
      <c r="AG800" s="68"/>
      <c r="AH800" s="68"/>
      <c r="AI800" s="68"/>
      <c r="AJ800" s="68">
        <v>1</v>
      </c>
      <c r="AL800" s="68">
        <v>1</v>
      </c>
      <c r="AM800" s="68"/>
      <c r="AN800" s="68"/>
      <c r="AO800" s="68"/>
      <c r="AQ800" s="68"/>
      <c r="AR800" s="68"/>
      <c r="AS800" s="68"/>
      <c r="AT800" s="68"/>
      <c r="AU800" s="68"/>
      <c r="AV800" s="68"/>
      <c r="AW800" s="68"/>
      <c r="AX800" s="68"/>
      <c r="AY800" s="68"/>
      <c r="AZ800" s="68"/>
      <c r="BB800" s="68"/>
      <c r="BC800" s="68"/>
      <c r="BJ800" s="68"/>
      <c r="BT800">
        <v>1</v>
      </c>
      <c r="BV800">
        <v>1</v>
      </c>
      <c r="BX800" s="68"/>
      <c r="BY800" s="68">
        <v>1</v>
      </c>
      <c r="BZ800" s="68" t="s">
        <v>1057</v>
      </c>
      <c r="CA800" s="68" t="s">
        <v>1057</v>
      </c>
      <c r="CB800" s="68" t="s">
        <v>1057</v>
      </c>
      <c r="CC800" s="68" t="e">
        <f t="shared" si="146"/>
        <v>#DIV/0!</v>
      </c>
      <c r="CD800" s="68" t="str">
        <f t="shared" si="147"/>
        <v>NA</v>
      </c>
    </row>
    <row r="801" spans="1:82" ht="15.75" customHeight="1" thickBot="1" x14ac:dyDescent="0.3">
      <c r="A801" s="6">
        <v>800</v>
      </c>
      <c r="B801" s="7" t="s">
        <v>1038</v>
      </c>
      <c r="C801" s="7" t="s">
        <v>42</v>
      </c>
      <c r="D801" s="7" t="s">
        <v>17</v>
      </c>
      <c r="E801" s="50">
        <v>-212.77791626934899</v>
      </c>
      <c r="F801" s="50">
        <v>0</v>
      </c>
      <c r="G801" s="50">
        <v>0</v>
      </c>
      <c r="H801" s="50">
        <v>0</v>
      </c>
      <c r="I801" s="8" t="s">
        <v>1057</v>
      </c>
      <c r="J801" s="50">
        <v>1.9445374612902999</v>
      </c>
      <c r="K801" s="248">
        <f>IFERROR(VLOOKUP(C801,Schedule!$T$3:$U$34,2,0),"FA")</f>
        <v>9</v>
      </c>
      <c r="L801" s="7" t="str">
        <f>D801&amp;COUNTIF(D$2:$D801,D801)</f>
        <v>WR289</v>
      </c>
      <c r="M801" s="50">
        <f t="array" ref="M801">IFERROR(F801-AVERAGE(VLOOKUP(D801,$D802:$F$885,3,0),INDEX($F802:$F$885,SMALL(IF(D801=$D802:$D$885,ROW($D802:$D$885)-ROW(D801)),2))),0)</f>
        <v>0</v>
      </c>
      <c r="N801" s="50">
        <f>IFERROR(IF(VLOOKUP($B801,Input!$AC$2:$AC$162,1,0)=$B801,0),F801)</f>
        <v>0</v>
      </c>
      <c r="O801" s="50">
        <f>IFERROR(IF(VLOOKUP($B801,Input!$AC$2:$AC$162,1,0)=$B801,0,G801),G801)</f>
        <v>0</v>
      </c>
      <c r="P801" s="50">
        <f>IF(N801=0,0,F801-AVERAGE(INDEX(F:F,MATCH(VLOOKUP(D801,Input!$A$14:$L$22,10,0),L:L,0)),INDEX(F:F,MATCH(VLOOKUP(D801,Input!$A$14:$L$22,11,0),L:L,0)),INDEX(F:F,MATCH(VLOOKUP(D801,Input!$A$14:$L$22,12,0),L:L,0)))+(0.01-ROW()*0.01))</f>
        <v>0</v>
      </c>
      <c r="Q801" s="106">
        <f t="shared" si="142"/>
        <v>0</v>
      </c>
      <c r="R801" s="8">
        <f>IF(VLOOKUP($D801,$X$14:$Y$19,2,0)&lt;=0,1,IF(Q801&lt;0,1,ROUNDUP(IF(Q801*('Draft Center'!$L$28+'Draft Center'!$L$78-'Draft Center'!$L$82)&lt;1,1,Q801*('Draft Center'!$L$28+'Draft Center'!$L$78-'Draft Center'!$L$82)),0)))</f>
        <v>1</v>
      </c>
      <c r="S801" s="8">
        <f>IF(A801&lt;Input!$B$10+0.1,IF(ROUNDUP(R801*Input!$C$10,0)=0,1,ROUNDUP(R801*Input!$C$10,0)),IF(A801&gt;Input!$B$11,IF(ROUNDUP(R801*Input!$C$11,0)=0,1,ROUNDUP(R801*Input!$C$11,0)),IF(ROUNDUP(R801,0)=0,1,ROUNDUP(R801,0))))</f>
        <v>1</v>
      </c>
      <c r="T801" s="8">
        <f t="shared" si="143"/>
        <v>1</v>
      </c>
      <c r="U801" s="8">
        <f>IFERROR(VLOOKUP($B801,Input!$AC$2:$AE$161,3,0),0)</f>
        <v>0</v>
      </c>
      <c r="V801" s="256">
        <f t="shared" si="144"/>
        <v>0</v>
      </c>
      <c r="W801" s="263">
        <f t="shared" si="145"/>
        <v>0</v>
      </c>
      <c r="X801" s="68"/>
      <c r="Y801" s="68"/>
      <c r="Z801" s="68"/>
      <c r="AA801" s="68"/>
      <c r="AB801" s="68"/>
      <c r="AC801" s="68"/>
      <c r="AD801" s="68"/>
      <c r="AE801" s="68"/>
      <c r="AF801" s="68"/>
      <c r="AG801" s="68"/>
      <c r="AH801" s="68"/>
      <c r="AI801" s="68"/>
      <c r="AJ801" s="68">
        <v>1</v>
      </c>
      <c r="AL801" s="68">
        <v>1</v>
      </c>
      <c r="AM801" s="68"/>
      <c r="AN801" s="68"/>
      <c r="AO801" s="68"/>
      <c r="AQ801" s="68"/>
      <c r="AR801" s="68"/>
      <c r="AS801" s="68"/>
      <c r="AT801" s="68"/>
      <c r="AU801" s="68"/>
      <c r="AV801" s="68"/>
      <c r="AW801" s="68"/>
      <c r="AX801" s="68"/>
      <c r="AY801" s="68"/>
      <c r="AZ801" s="68"/>
      <c r="BB801" s="68"/>
      <c r="BC801" s="68"/>
      <c r="BJ801" s="68"/>
      <c r="BT801">
        <v>1</v>
      </c>
      <c r="BV801">
        <v>1</v>
      </c>
      <c r="BX801" s="68"/>
      <c r="BY801" s="68">
        <v>1</v>
      </c>
      <c r="BZ801" s="68" t="s">
        <v>1057</v>
      </c>
      <c r="CA801" s="68" t="s">
        <v>1057</v>
      </c>
      <c r="CB801" s="68" t="s">
        <v>1057</v>
      </c>
      <c r="CC801" s="68" t="e">
        <f t="shared" si="146"/>
        <v>#DIV/0!</v>
      </c>
      <c r="CD801" s="68" t="str">
        <f t="shared" si="147"/>
        <v>NA</v>
      </c>
    </row>
    <row r="802" spans="1:82" ht="15.75" customHeight="1" thickBot="1" x14ac:dyDescent="0.3">
      <c r="A802" s="9">
        <v>801</v>
      </c>
      <c r="B802" s="10" t="s">
        <v>531</v>
      </c>
      <c r="C802" s="10" t="s">
        <v>61</v>
      </c>
      <c r="D802" s="10" t="s">
        <v>17</v>
      </c>
      <c r="E802" s="51">
        <v>-212.77791626934899</v>
      </c>
      <c r="F802" s="51">
        <v>0</v>
      </c>
      <c r="G802" s="51">
        <v>0</v>
      </c>
      <c r="H802" s="51">
        <v>0</v>
      </c>
      <c r="I802" s="11">
        <v>0</v>
      </c>
      <c r="J802" s="51" t="s">
        <v>1057</v>
      </c>
      <c r="K802" s="249">
        <f>IFERROR(VLOOKUP(C802,Schedule!$T$3:$U$34,2,0),"FA")</f>
        <v>5</v>
      </c>
      <c r="L802" s="10" t="str">
        <f>D802&amp;COUNTIF(D$2:$D802,D802)</f>
        <v>WR290</v>
      </c>
      <c r="M802" s="51">
        <f t="array" ref="M802">IFERROR(F802-AVERAGE(VLOOKUP(D802,$D803:$F$885,3,0),INDEX($F803:$F$885,SMALL(IF(D802=$D803:$D$885,ROW($D803:$D$885)-ROW(D802)),2))),0)</f>
        <v>0</v>
      </c>
      <c r="N802" s="51">
        <f>IFERROR(IF(VLOOKUP($B802,Input!$AC$2:$AC$162,1,0)=$B802,0),F802)</f>
        <v>0</v>
      </c>
      <c r="O802" s="51">
        <f>IFERROR(IF(VLOOKUP($B802,Input!$AC$2:$AC$162,1,0)=$B802,0,G802),G802)</f>
        <v>0</v>
      </c>
      <c r="P802" s="51">
        <f>IF(N802=0,0,F802-AVERAGE(INDEX(F:F,MATCH(VLOOKUP(D802,Input!$A$14:$L$22,10,0),L:L,0)),INDEX(F:F,MATCH(VLOOKUP(D802,Input!$A$14:$L$22,11,0),L:L,0)),INDEX(F:F,MATCH(VLOOKUP(D802,Input!$A$14:$L$22,12,0),L:L,0)))+(0.01-ROW()*0.01))</f>
        <v>0</v>
      </c>
      <c r="Q802" s="107">
        <f t="shared" si="142"/>
        <v>0</v>
      </c>
      <c r="R802" s="11">
        <f>IF(VLOOKUP($D802,$X$14:$Y$19,2,0)&lt;=0,1,IF(Q802&lt;0,1,ROUNDUP(IF(Q802*('Draft Center'!$L$28+'Draft Center'!$L$78-'Draft Center'!$L$82)&lt;1,1,Q802*('Draft Center'!$L$28+'Draft Center'!$L$78-'Draft Center'!$L$82)),0)))</f>
        <v>1</v>
      </c>
      <c r="S802" s="11">
        <f>IF(A802&lt;Input!$B$10+0.1,IF(ROUNDUP(R802*Input!$C$10,0)=0,1,ROUNDUP(R802*Input!$C$10,0)),IF(A802&gt;Input!$B$11,IF(ROUNDUP(R802*Input!$C$11,0)=0,1,ROUNDUP(R802*Input!$C$11,0)),IF(ROUNDUP(R802,0)=0,1,ROUNDUP(R802,0))))</f>
        <v>1</v>
      </c>
      <c r="T802" s="11">
        <f t="shared" si="143"/>
        <v>1</v>
      </c>
      <c r="U802" s="11">
        <f>IFERROR(VLOOKUP($B802,Input!$AC$2:$AE$161,3,0),0)</f>
        <v>0</v>
      </c>
      <c r="V802" s="257">
        <f t="shared" si="144"/>
        <v>0</v>
      </c>
      <c r="W802" s="264">
        <f t="shared" si="145"/>
        <v>1.0080199999999999</v>
      </c>
      <c r="X802" s="68"/>
      <c r="Y802" s="68"/>
      <c r="Z802" s="68"/>
      <c r="AA802" s="68"/>
      <c r="AB802" s="68"/>
      <c r="AC802" s="68"/>
      <c r="AD802" s="68"/>
      <c r="AE802" s="68"/>
      <c r="AF802" s="68"/>
      <c r="AG802" s="68"/>
      <c r="AH802" s="68"/>
      <c r="AI802" s="68"/>
      <c r="AJ802" s="68">
        <v>1</v>
      </c>
      <c r="AL802" s="68">
        <v>1</v>
      </c>
      <c r="AM802" s="68"/>
      <c r="AN802" s="68"/>
      <c r="AO802" s="68"/>
      <c r="AQ802" s="68"/>
      <c r="AR802" s="68"/>
      <c r="AS802" s="68"/>
      <c r="AT802" s="68"/>
      <c r="AU802" s="68"/>
      <c r="AV802" s="68"/>
      <c r="AW802" s="68"/>
      <c r="AX802" s="68"/>
      <c r="AY802" s="68"/>
      <c r="AZ802" s="68"/>
      <c r="BB802" s="68"/>
      <c r="BC802" s="68"/>
      <c r="BJ802" s="68"/>
      <c r="BT802">
        <v>1</v>
      </c>
      <c r="BV802">
        <v>1</v>
      </c>
      <c r="BX802" s="68"/>
      <c r="BY802" s="68">
        <v>1</v>
      </c>
      <c r="BZ802" s="68">
        <v>0</v>
      </c>
      <c r="CA802" s="68">
        <v>0</v>
      </c>
      <c r="CB802" s="68">
        <v>0</v>
      </c>
      <c r="CC802" s="68">
        <f t="shared" si="146"/>
        <v>0</v>
      </c>
      <c r="CD802" s="68">
        <f t="shared" si="147"/>
        <v>0</v>
      </c>
    </row>
    <row r="803" spans="1:82" ht="15.75" customHeight="1" thickBot="1" x14ac:dyDescent="0.3">
      <c r="A803" s="6">
        <v>802</v>
      </c>
      <c r="B803" s="7" t="s">
        <v>1164</v>
      </c>
      <c r="C803" s="7" t="s">
        <v>61</v>
      </c>
      <c r="D803" s="7" t="s">
        <v>17</v>
      </c>
      <c r="E803" s="50">
        <v>-212.77791626934899</v>
      </c>
      <c r="F803" s="50">
        <v>0</v>
      </c>
      <c r="G803" s="50">
        <v>0</v>
      </c>
      <c r="H803" s="50">
        <v>0</v>
      </c>
      <c r="I803" s="8" t="s">
        <v>1057</v>
      </c>
      <c r="J803" s="50">
        <v>1.9445374612902999</v>
      </c>
      <c r="K803" s="248">
        <f>IFERROR(VLOOKUP(C803,Schedule!$T$3:$U$34,2,0),"FA")</f>
        <v>5</v>
      </c>
      <c r="L803" s="7" t="str">
        <f>D803&amp;COUNTIF(D$2:$D803,D803)</f>
        <v>WR291</v>
      </c>
      <c r="M803" s="50">
        <f t="array" ref="M803">IFERROR(F803-AVERAGE(VLOOKUP(D803,$D804:$F$885,3,0),INDEX($F804:$F$885,SMALL(IF(D803=$D804:$D$885,ROW($D804:$D$885)-ROW(D803)),2))),0)</f>
        <v>0</v>
      </c>
      <c r="N803" s="50">
        <f>IFERROR(IF(VLOOKUP($B803,Input!$AC$2:$AC$162,1,0)=$B803,0),F803)</f>
        <v>0</v>
      </c>
      <c r="O803" s="50">
        <f>IFERROR(IF(VLOOKUP($B803,Input!$AC$2:$AC$162,1,0)=$B803,0,G803),G803)</f>
        <v>0</v>
      </c>
      <c r="P803" s="50">
        <f>IF(N803=0,0,F803-AVERAGE(INDEX(F:F,MATCH(VLOOKUP(D803,Input!$A$14:$L$22,10,0),L:L,0)),INDEX(F:F,MATCH(VLOOKUP(D803,Input!$A$14:$L$22,11,0),L:L,0)),INDEX(F:F,MATCH(VLOOKUP(D803,Input!$A$14:$L$22,12,0),L:L,0)))+(0.01-ROW()*0.01))</f>
        <v>0</v>
      </c>
      <c r="Q803" s="106">
        <f t="shared" si="142"/>
        <v>0</v>
      </c>
      <c r="R803" s="8">
        <f>IF(VLOOKUP($D803,$X$14:$Y$19,2,0)&lt;=0,1,IF(Q803&lt;0,1,ROUNDUP(IF(Q803*('Draft Center'!$L$28+'Draft Center'!$L$78-'Draft Center'!$L$82)&lt;1,1,Q803*('Draft Center'!$L$28+'Draft Center'!$L$78-'Draft Center'!$L$82)),0)))</f>
        <v>1</v>
      </c>
      <c r="S803" s="8">
        <f>IF(A803&lt;Input!$B$10+0.1,IF(ROUNDUP(R803*Input!$C$10,0)=0,1,ROUNDUP(R803*Input!$C$10,0)),IF(A803&gt;Input!$B$11,IF(ROUNDUP(R803*Input!$C$11,0)=0,1,ROUNDUP(R803*Input!$C$11,0)),IF(ROUNDUP(R803,0)=0,1,ROUNDUP(R803,0))))</f>
        <v>1</v>
      </c>
      <c r="T803" s="8">
        <f t="shared" si="143"/>
        <v>1</v>
      </c>
      <c r="U803" s="8">
        <f>IFERROR(VLOOKUP($B803,Input!$AC$2:$AE$161,3,0),0)</f>
        <v>0</v>
      </c>
      <c r="V803" s="256">
        <f t="shared" si="144"/>
        <v>0</v>
      </c>
      <c r="W803" s="263">
        <f t="shared" si="145"/>
        <v>0</v>
      </c>
      <c r="X803" s="68"/>
      <c r="Y803" s="68"/>
      <c r="Z803" s="68"/>
      <c r="AA803" s="68"/>
      <c r="AB803" s="68"/>
      <c r="AC803" s="68"/>
      <c r="AD803" s="68"/>
      <c r="AE803" s="68"/>
      <c r="AF803" s="68"/>
      <c r="AG803" s="68"/>
      <c r="AH803" s="68"/>
      <c r="AI803" s="68"/>
      <c r="AJ803" s="68">
        <v>1</v>
      </c>
      <c r="AL803" s="68">
        <v>1</v>
      </c>
      <c r="AM803" s="68"/>
      <c r="AN803" s="68"/>
      <c r="AO803" s="68"/>
      <c r="AQ803" s="68"/>
      <c r="AR803" s="68"/>
      <c r="AS803" s="68"/>
      <c r="AT803" s="68"/>
      <c r="AU803" s="68"/>
      <c r="AV803" s="68"/>
      <c r="AW803" s="68"/>
      <c r="AX803" s="68"/>
      <c r="AY803" s="68"/>
      <c r="AZ803" s="68"/>
      <c r="BB803" s="68"/>
      <c r="BC803" s="68"/>
      <c r="BJ803" s="68"/>
      <c r="BT803">
        <v>1</v>
      </c>
      <c r="BV803">
        <v>1</v>
      </c>
      <c r="BX803" s="68"/>
      <c r="BY803" s="68">
        <v>1</v>
      </c>
      <c r="BZ803" s="68" t="s">
        <v>1057</v>
      </c>
      <c r="CA803" s="68" t="s">
        <v>1057</v>
      </c>
      <c r="CB803" s="68" t="s">
        <v>1057</v>
      </c>
      <c r="CC803" s="68" t="e">
        <f t="shared" si="146"/>
        <v>#DIV/0!</v>
      </c>
      <c r="CD803" s="68" t="str">
        <f t="shared" si="147"/>
        <v>NA</v>
      </c>
    </row>
    <row r="804" spans="1:82" ht="15.75" customHeight="1" thickBot="1" x14ac:dyDescent="0.3">
      <c r="A804" s="9">
        <v>803</v>
      </c>
      <c r="B804" s="10" t="s">
        <v>1165</v>
      </c>
      <c r="C804" s="10" t="s">
        <v>61</v>
      </c>
      <c r="D804" s="10" t="s">
        <v>17</v>
      </c>
      <c r="E804" s="51">
        <v>-212.77791626934899</v>
      </c>
      <c r="F804" s="51">
        <v>0</v>
      </c>
      <c r="G804" s="51">
        <v>0</v>
      </c>
      <c r="H804" s="51">
        <v>0</v>
      </c>
      <c r="I804" s="11" t="s">
        <v>1057</v>
      </c>
      <c r="J804" s="51" t="s">
        <v>1057</v>
      </c>
      <c r="K804" s="249">
        <f>IFERROR(VLOOKUP(C804,Schedule!$T$3:$U$34,2,0),"FA")</f>
        <v>5</v>
      </c>
      <c r="L804" s="10" t="str">
        <f>D804&amp;COUNTIF(D$2:$D804,D804)</f>
        <v>WR292</v>
      </c>
      <c r="M804" s="51">
        <f t="array" ref="M804">IFERROR(F804-AVERAGE(VLOOKUP(D804,$D805:$F$885,3,0),INDEX($F805:$F$885,SMALL(IF(D804=$D805:$D$885,ROW($D805:$D$885)-ROW(D804)),2))),0)</f>
        <v>0</v>
      </c>
      <c r="N804" s="51">
        <f>IFERROR(IF(VLOOKUP($B804,Input!$AC$2:$AC$162,1,0)=$B804,0),F804)</f>
        <v>0</v>
      </c>
      <c r="O804" s="51">
        <f>IFERROR(IF(VLOOKUP($B804,Input!$AC$2:$AC$162,1,0)=$B804,0,G804),G804)</f>
        <v>0</v>
      </c>
      <c r="P804" s="51">
        <f>IF(N804=0,0,F804-AVERAGE(INDEX(F:F,MATCH(VLOOKUP(D804,Input!$A$14:$L$22,10,0),L:L,0)),INDEX(F:F,MATCH(VLOOKUP(D804,Input!$A$14:$L$22,11,0),L:L,0)),INDEX(F:F,MATCH(VLOOKUP(D804,Input!$A$14:$L$22,12,0),L:L,0)))+(0.01-ROW()*0.01))</f>
        <v>0</v>
      </c>
      <c r="Q804" s="107">
        <f t="shared" si="142"/>
        <v>0</v>
      </c>
      <c r="R804" s="11">
        <f>IF(VLOOKUP($D804,$X$14:$Y$19,2,0)&lt;=0,1,IF(Q804&lt;0,1,ROUNDUP(IF(Q804*('Draft Center'!$L$28+'Draft Center'!$L$78-'Draft Center'!$L$82)&lt;1,1,Q804*('Draft Center'!$L$28+'Draft Center'!$L$78-'Draft Center'!$L$82)),0)))</f>
        <v>1</v>
      </c>
      <c r="S804" s="11">
        <f>IF(A804&lt;Input!$B$10+0.1,IF(ROUNDUP(R804*Input!$C$10,0)=0,1,ROUNDUP(R804*Input!$C$10,0)),IF(A804&gt;Input!$B$11,IF(ROUNDUP(R804*Input!$C$11,0)=0,1,ROUNDUP(R804*Input!$C$11,0)),IF(ROUNDUP(R804,0)=0,1,ROUNDUP(R804,0))))</f>
        <v>1</v>
      </c>
      <c r="T804" s="11">
        <f t="shared" si="143"/>
        <v>1</v>
      </c>
      <c r="U804" s="11">
        <f>IFERROR(VLOOKUP($B804,Input!$AC$2:$AE$161,3,0),0)</f>
        <v>0</v>
      </c>
      <c r="V804" s="257">
        <f t="shared" si="144"/>
        <v>0</v>
      </c>
      <c r="W804" s="264">
        <f t="shared" si="145"/>
        <v>0</v>
      </c>
      <c r="X804" s="68"/>
      <c r="Y804" s="68"/>
      <c r="Z804" s="68"/>
      <c r="AA804" s="68"/>
      <c r="AB804" s="68"/>
      <c r="AC804" s="68"/>
      <c r="AD804" s="68"/>
      <c r="AE804" s="68"/>
      <c r="AF804" s="68"/>
      <c r="AG804" s="68"/>
      <c r="AH804" s="68"/>
      <c r="AI804" s="68"/>
      <c r="AJ804" s="68">
        <v>1</v>
      </c>
      <c r="AL804" s="68">
        <v>1</v>
      </c>
      <c r="AM804" s="68"/>
      <c r="AN804" s="68"/>
      <c r="AO804" s="68"/>
      <c r="AQ804" s="68"/>
      <c r="AR804" s="68"/>
      <c r="AS804" s="68"/>
      <c r="AT804" s="68"/>
      <c r="AU804" s="68"/>
      <c r="AV804" s="68"/>
      <c r="AW804" s="68"/>
      <c r="AX804" s="68"/>
      <c r="AY804" s="68"/>
      <c r="AZ804" s="68"/>
      <c r="BB804" s="68"/>
      <c r="BC804" s="68"/>
      <c r="BJ804" s="68"/>
      <c r="BT804">
        <v>1</v>
      </c>
      <c r="BV804">
        <v>1</v>
      </c>
      <c r="BX804" s="68"/>
      <c r="BY804" s="68">
        <v>1</v>
      </c>
      <c r="BZ804" s="68" t="s">
        <v>1057</v>
      </c>
      <c r="CA804" s="68" t="s">
        <v>1057</v>
      </c>
      <c r="CB804" s="68" t="s">
        <v>1057</v>
      </c>
      <c r="CC804" s="68" t="e">
        <f t="shared" si="146"/>
        <v>#DIV/0!</v>
      </c>
      <c r="CD804" s="68" t="str">
        <f t="shared" si="147"/>
        <v>NA</v>
      </c>
    </row>
    <row r="805" spans="1:82" ht="15.75" customHeight="1" thickBot="1" x14ac:dyDescent="0.3">
      <c r="A805" s="6">
        <v>804</v>
      </c>
      <c r="B805" s="7" t="s">
        <v>491</v>
      </c>
      <c r="C805" s="7" t="s">
        <v>27</v>
      </c>
      <c r="D805" s="7" t="s">
        <v>17</v>
      </c>
      <c r="E805" s="50">
        <v>-212.77791626934899</v>
      </c>
      <c r="F805" s="50">
        <v>0</v>
      </c>
      <c r="G805" s="50">
        <v>0</v>
      </c>
      <c r="H805" s="50">
        <v>0</v>
      </c>
      <c r="I805" s="8" t="s">
        <v>1057</v>
      </c>
      <c r="J805" s="50">
        <v>1.9445374612902999</v>
      </c>
      <c r="K805" s="248">
        <f>IFERROR(VLOOKUP(C805,Schedule!$T$3:$U$34,2,0),"FA")</f>
        <v>8</v>
      </c>
      <c r="L805" s="7" t="str">
        <f>D805&amp;COUNTIF(D$2:$D805,D805)</f>
        <v>WR293</v>
      </c>
      <c r="M805" s="50">
        <f t="array" ref="M805">IFERROR(F805-AVERAGE(VLOOKUP(D805,$D806:$F$885,3,0),INDEX($F806:$F$885,SMALL(IF(D805=$D806:$D$885,ROW($D806:$D$885)-ROW(D805)),2))),0)</f>
        <v>0</v>
      </c>
      <c r="N805" s="50">
        <f>IFERROR(IF(VLOOKUP($B805,Input!$AC$2:$AC$162,1,0)=$B805,0),F805)</f>
        <v>0</v>
      </c>
      <c r="O805" s="50">
        <f>IFERROR(IF(VLOOKUP($B805,Input!$AC$2:$AC$162,1,0)=$B805,0,G805),G805)</f>
        <v>0</v>
      </c>
      <c r="P805" s="50">
        <f>IF(N805=0,0,F805-AVERAGE(INDEX(F:F,MATCH(VLOOKUP(D805,Input!$A$14:$L$22,10,0),L:L,0)),INDEX(F:F,MATCH(VLOOKUP(D805,Input!$A$14:$L$22,11,0),L:L,0)),INDEX(F:F,MATCH(VLOOKUP(D805,Input!$A$14:$L$22,12,0),L:L,0)))+(0.01-ROW()*0.01))</f>
        <v>0</v>
      </c>
      <c r="Q805" s="106">
        <f t="shared" si="142"/>
        <v>0</v>
      </c>
      <c r="R805" s="8">
        <f>IF(VLOOKUP($D805,$X$14:$Y$19,2,0)&lt;=0,1,IF(Q805&lt;0,1,ROUNDUP(IF(Q805*('Draft Center'!$L$28+'Draft Center'!$L$78-'Draft Center'!$L$82)&lt;1,1,Q805*('Draft Center'!$L$28+'Draft Center'!$L$78-'Draft Center'!$L$82)),0)))</f>
        <v>1</v>
      </c>
      <c r="S805" s="8">
        <f>IF(A805&lt;Input!$B$10+0.1,IF(ROUNDUP(R805*Input!$C$10,0)=0,1,ROUNDUP(R805*Input!$C$10,0)),IF(A805&gt;Input!$B$11,IF(ROUNDUP(R805*Input!$C$11,0)=0,1,ROUNDUP(R805*Input!$C$11,0)),IF(ROUNDUP(R805,0)=0,1,ROUNDUP(R805,0))))</f>
        <v>1</v>
      </c>
      <c r="T805" s="8">
        <f t="shared" si="143"/>
        <v>1</v>
      </c>
      <c r="U805" s="8">
        <f>IFERROR(VLOOKUP($B805,Input!$AC$2:$AE$161,3,0),0)</f>
        <v>0</v>
      </c>
      <c r="V805" s="256">
        <f t="shared" si="144"/>
        <v>0</v>
      </c>
      <c r="W805" s="263">
        <f t="shared" si="145"/>
        <v>0</v>
      </c>
      <c r="X805" s="68"/>
      <c r="Y805" s="68"/>
      <c r="Z805" s="68"/>
      <c r="AA805" s="68"/>
      <c r="AB805" s="68"/>
      <c r="AC805" s="68"/>
      <c r="AD805" s="68"/>
      <c r="AE805" s="68"/>
      <c r="AF805" s="68"/>
      <c r="AG805" s="68"/>
      <c r="AH805" s="68"/>
      <c r="AI805" s="68"/>
      <c r="AJ805" s="68">
        <v>1</v>
      </c>
      <c r="AL805" s="68">
        <v>1</v>
      </c>
      <c r="AM805" s="68"/>
      <c r="AN805" s="68"/>
      <c r="AO805" s="68"/>
      <c r="AQ805" s="68"/>
      <c r="AR805" s="68"/>
      <c r="AS805" s="68"/>
      <c r="AT805" s="68"/>
      <c r="AU805" s="68"/>
      <c r="AV805" s="68"/>
      <c r="AW805" s="68"/>
      <c r="AX805" s="68"/>
      <c r="AY805" s="68"/>
      <c r="AZ805" s="68"/>
      <c r="BB805" s="68"/>
      <c r="BC805" s="68"/>
      <c r="BJ805" s="68"/>
      <c r="BT805">
        <v>1</v>
      </c>
      <c r="BV805">
        <v>1</v>
      </c>
      <c r="BX805" s="68"/>
      <c r="BY805" s="68">
        <v>1</v>
      </c>
      <c r="BZ805" s="68" t="s">
        <v>1057</v>
      </c>
      <c r="CA805" s="68" t="s">
        <v>1057</v>
      </c>
      <c r="CB805" s="68" t="s">
        <v>1057</v>
      </c>
      <c r="CC805" s="68" t="e">
        <f t="shared" si="146"/>
        <v>#DIV/0!</v>
      </c>
      <c r="CD805" s="68" t="str">
        <f t="shared" si="147"/>
        <v>NA</v>
      </c>
    </row>
    <row r="806" spans="1:82" ht="15.75" customHeight="1" thickBot="1" x14ac:dyDescent="0.3">
      <c r="A806" s="9">
        <v>805</v>
      </c>
      <c r="B806" s="10" t="s">
        <v>498</v>
      </c>
      <c r="C806" s="10" t="s">
        <v>93</v>
      </c>
      <c r="D806" s="10" t="s">
        <v>17</v>
      </c>
      <c r="E806" s="51">
        <v>-212.77791626934899</v>
      </c>
      <c r="F806" s="51">
        <v>0</v>
      </c>
      <c r="G806" s="51">
        <v>0</v>
      </c>
      <c r="H806" s="51">
        <v>0</v>
      </c>
      <c r="I806" s="11" t="s">
        <v>1057</v>
      </c>
      <c r="J806" s="51" t="s">
        <v>1057</v>
      </c>
      <c r="K806" s="249">
        <f>IFERROR(VLOOKUP(C806,Schedule!$T$3:$U$34,2,0),"FA")</f>
        <v>11</v>
      </c>
      <c r="L806" s="10" t="str">
        <f>D806&amp;COUNTIF(D$2:$D806,D806)</f>
        <v>WR294</v>
      </c>
      <c r="M806" s="51">
        <f t="array" ref="M806">IFERROR(F806-AVERAGE(VLOOKUP(D806,$D807:$F$885,3,0),INDEX($F807:$F$885,SMALL(IF(D806=$D807:$D$885,ROW($D807:$D$885)-ROW(D806)),2))),0)</f>
        <v>0</v>
      </c>
      <c r="N806" s="51">
        <f>IFERROR(IF(VLOOKUP($B806,Input!$AC$2:$AC$162,1,0)=$B806,0),F806)</f>
        <v>0</v>
      </c>
      <c r="O806" s="51">
        <f>IFERROR(IF(VLOOKUP($B806,Input!$AC$2:$AC$162,1,0)=$B806,0,G806),G806)</f>
        <v>0</v>
      </c>
      <c r="P806" s="51">
        <f>IF(N806=0,0,F806-AVERAGE(INDEX(F:F,MATCH(VLOOKUP(D806,Input!$A$14:$L$22,10,0),L:L,0)),INDEX(F:F,MATCH(VLOOKUP(D806,Input!$A$14:$L$22,11,0),L:L,0)),INDEX(F:F,MATCH(VLOOKUP(D806,Input!$A$14:$L$22,12,0),L:L,0)))+(0.01-ROW()*0.01))</f>
        <v>0</v>
      </c>
      <c r="Q806" s="107">
        <f t="shared" si="142"/>
        <v>0</v>
      </c>
      <c r="R806" s="11">
        <f>IF(VLOOKUP($D806,$X$14:$Y$19,2,0)&lt;=0,1,IF(Q806&lt;0,1,ROUNDUP(IF(Q806*('Draft Center'!$L$28+'Draft Center'!$L$78-'Draft Center'!$L$82)&lt;1,1,Q806*('Draft Center'!$L$28+'Draft Center'!$L$78-'Draft Center'!$L$82)),0)))</f>
        <v>1</v>
      </c>
      <c r="S806" s="11">
        <f>IF(A806&lt;Input!$B$10+0.1,IF(ROUNDUP(R806*Input!$C$10,0)=0,1,ROUNDUP(R806*Input!$C$10,0)),IF(A806&gt;Input!$B$11,IF(ROUNDUP(R806*Input!$C$11,0)=0,1,ROUNDUP(R806*Input!$C$11,0)),IF(ROUNDUP(R806,0)=0,1,ROUNDUP(R806,0))))</f>
        <v>1</v>
      </c>
      <c r="T806" s="11">
        <f t="shared" si="143"/>
        <v>1</v>
      </c>
      <c r="U806" s="11">
        <f>IFERROR(VLOOKUP($B806,Input!$AC$2:$AE$161,3,0),0)</f>
        <v>0</v>
      </c>
      <c r="V806" s="257">
        <f t="shared" si="144"/>
        <v>0</v>
      </c>
      <c r="W806" s="264">
        <f t="shared" si="145"/>
        <v>0</v>
      </c>
      <c r="X806" s="68"/>
      <c r="Y806" s="68"/>
      <c r="Z806" s="68"/>
      <c r="AA806" s="68"/>
      <c r="AB806" s="68"/>
      <c r="AC806" s="68"/>
      <c r="AD806" s="68"/>
      <c r="AE806" s="68"/>
      <c r="AF806" s="68"/>
      <c r="AG806" s="68"/>
      <c r="AH806" s="68"/>
      <c r="AI806" s="68"/>
      <c r="AJ806" s="68">
        <v>1</v>
      </c>
      <c r="AL806" s="68">
        <v>1</v>
      </c>
      <c r="AM806" s="68"/>
      <c r="AN806" s="68"/>
      <c r="AO806" s="68"/>
      <c r="AQ806" s="68"/>
      <c r="AR806" s="68"/>
      <c r="AS806" s="68"/>
      <c r="AT806" s="68"/>
      <c r="AU806" s="68"/>
      <c r="AV806" s="68"/>
      <c r="AW806" s="68"/>
      <c r="AX806" s="68"/>
      <c r="AY806" s="68"/>
      <c r="AZ806" s="68"/>
      <c r="BB806" s="68"/>
      <c r="BC806" s="68"/>
      <c r="BJ806" s="68"/>
      <c r="BT806">
        <v>1</v>
      </c>
      <c r="BV806">
        <v>1</v>
      </c>
      <c r="BX806" s="68"/>
      <c r="BY806" s="68">
        <v>1</v>
      </c>
      <c r="BZ806" s="68" t="s">
        <v>1057</v>
      </c>
      <c r="CA806" s="68" t="s">
        <v>1057</v>
      </c>
      <c r="CB806" s="68" t="s">
        <v>1057</v>
      </c>
      <c r="CC806" s="68" t="e">
        <f t="shared" si="146"/>
        <v>#DIV/0!</v>
      </c>
      <c r="CD806" s="68" t="str">
        <f t="shared" si="147"/>
        <v>NA</v>
      </c>
    </row>
    <row r="807" spans="1:82" ht="15.75" customHeight="1" thickBot="1" x14ac:dyDescent="0.3">
      <c r="A807" s="6">
        <v>806</v>
      </c>
      <c r="B807" s="7" t="s">
        <v>1166</v>
      </c>
      <c r="C807" s="7" t="s">
        <v>93</v>
      </c>
      <c r="D807" s="7" t="s">
        <v>17</v>
      </c>
      <c r="E807" s="50">
        <v>-212.77791626934899</v>
      </c>
      <c r="F807" s="50">
        <v>0</v>
      </c>
      <c r="G807" s="50">
        <v>0</v>
      </c>
      <c r="H807" s="50">
        <v>0</v>
      </c>
      <c r="I807" s="8" t="s">
        <v>1057</v>
      </c>
      <c r="J807" s="50">
        <v>1.9445374612902999</v>
      </c>
      <c r="K807" s="248">
        <f>IFERROR(VLOOKUP(C807,Schedule!$T$3:$U$34,2,0),"FA")</f>
        <v>11</v>
      </c>
      <c r="L807" s="7" t="str">
        <f>D807&amp;COUNTIF(D$2:$D807,D807)</f>
        <v>WR295</v>
      </c>
      <c r="M807" s="50">
        <f t="array" ref="M807">IFERROR(F807-AVERAGE(VLOOKUP(D807,$D808:$F$885,3,0),INDEX($F808:$F$885,SMALL(IF(D807=$D808:$D$885,ROW($D808:$D$885)-ROW(D807)),2))),0)</f>
        <v>0</v>
      </c>
      <c r="N807" s="50">
        <f>IFERROR(IF(VLOOKUP($B807,Input!$AC$2:$AC$162,1,0)=$B807,0),F807)</f>
        <v>0</v>
      </c>
      <c r="O807" s="50">
        <f>IFERROR(IF(VLOOKUP($B807,Input!$AC$2:$AC$162,1,0)=$B807,0,G807),G807)</f>
        <v>0</v>
      </c>
      <c r="P807" s="50">
        <f>IF(N807=0,0,F807-AVERAGE(INDEX(F:F,MATCH(VLOOKUP(D807,Input!$A$14:$L$22,10,0),L:L,0)),INDEX(F:F,MATCH(VLOOKUP(D807,Input!$A$14:$L$22,11,0),L:L,0)),INDEX(F:F,MATCH(VLOOKUP(D807,Input!$A$14:$L$22,12,0),L:L,0)))+(0.01-ROW()*0.01))</f>
        <v>0</v>
      </c>
      <c r="Q807" s="106">
        <f t="shared" si="142"/>
        <v>0</v>
      </c>
      <c r="R807" s="8">
        <f>IF(VLOOKUP($D807,$X$14:$Y$19,2,0)&lt;=0,1,IF(Q807&lt;0,1,ROUNDUP(IF(Q807*('Draft Center'!$L$28+'Draft Center'!$L$78-'Draft Center'!$L$82)&lt;1,1,Q807*('Draft Center'!$L$28+'Draft Center'!$L$78-'Draft Center'!$L$82)),0)))</f>
        <v>1</v>
      </c>
      <c r="S807" s="8">
        <f>IF(A807&lt;Input!$B$10+0.1,IF(ROUNDUP(R807*Input!$C$10,0)=0,1,ROUNDUP(R807*Input!$C$10,0)),IF(A807&gt;Input!$B$11,IF(ROUNDUP(R807*Input!$C$11,0)=0,1,ROUNDUP(R807*Input!$C$11,0)),IF(ROUNDUP(R807,0)=0,1,ROUNDUP(R807,0))))</f>
        <v>1</v>
      </c>
      <c r="T807" s="8">
        <f t="shared" si="143"/>
        <v>1</v>
      </c>
      <c r="U807" s="8">
        <f>IFERROR(VLOOKUP($B807,Input!$AC$2:$AE$161,3,0),0)</f>
        <v>0</v>
      </c>
      <c r="V807" s="256">
        <f t="shared" si="144"/>
        <v>0</v>
      </c>
      <c r="W807" s="263">
        <f t="shared" si="145"/>
        <v>0</v>
      </c>
      <c r="X807" s="68"/>
      <c r="Y807" s="68"/>
      <c r="Z807" s="68"/>
      <c r="AA807" s="68"/>
      <c r="AB807" s="68"/>
      <c r="AC807" s="68"/>
      <c r="AD807" s="68"/>
      <c r="AE807" s="68"/>
      <c r="AF807" s="68"/>
      <c r="AG807" s="68"/>
      <c r="AH807" s="68"/>
      <c r="AI807" s="68"/>
      <c r="AJ807" s="68">
        <v>1</v>
      </c>
      <c r="AL807" s="68">
        <v>1</v>
      </c>
      <c r="AM807" s="68"/>
      <c r="AN807" s="68"/>
      <c r="AO807" s="68"/>
      <c r="AQ807" s="68"/>
      <c r="AR807" s="68"/>
      <c r="AS807" s="68"/>
      <c r="AT807" s="68"/>
      <c r="AU807" s="68"/>
      <c r="AV807" s="68"/>
      <c r="AW807" s="68"/>
      <c r="AX807" s="68"/>
      <c r="AY807" s="68"/>
      <c r="AZ807" s="68"/>
      <c r="BB807" s="68"/>
      <c r="BC807" s="68"/>
      <c r="BJ807" s="68"/>
      <c r="BT807">
        <v>1</v>
      </c>
      <c r="BV807">
        <v>1</v>
      </c>
      <c r="BX807" s="68"/>
      <c r="BY807" s="68">
        <v>1</v>
      </c>
      <c r="BZ807" s="68" t="s">
        <v>1057</v>
      </c>
      <c r="CA807" s="68" t="s">
        <v>1057</v>
      </c>
      <c r="CB807" s="68" t="s">
        <v>1057</v>
      </c>
      <c r="CC807" s="68" t="e">
        <f t="shared" si="146"/>
        <v>#DIV/0!</v>
      </c>
      <c r="CD807" s="68" t="str">
        <f t="shared" si="147"/>
        <v>NA</v>
      </c>
    </row>
    <row r="808" spans="1:82" ht="15.75" customHeight="1" thickBot="1" x14ac:dyDescent="0.3">
      <c r="A808" s="9">
        <v>807</v>
      </c>
      <c r="B808" s="10" t="s">
        <v>1167</v>
      </c>
      <c r="C808" s="10" t="s">
        <v>75</v>
      </c>
      <c r="D808" s="10" t="s">
        <v>17</v>
      </c>
      <c r="E808" s="51">
        <v>-212.77791626934899</v>
      </c>
      <c r="F808" s="51">
        <v>0</v>
      </c>
      <c r="G808" s="51">
        <v>0</v>
      </c>
      <c r="H808" s="51">
        <v>0</v>
      </c>
      <c r="I808" s="11" t="s">
        <v>1057</v>
      </c>
      <c r="J808" s="51" t="s">
        <v>1057</v>
      </c>
      <c r="K808" s="249">
        <f>IFERROR(VLOOKUP(C808,Schedule!$T$3:$U$34,2,0),"FA")</f>
        <v>10</v>
      </c>
      <c r="L808" s="10" t="str">
        <f>D808&amp;COUNTIF(D$2:$D808,D808)</f>
        <v>WR296</v>
      </c>
      <c r="M808" s="51">
        <f t="array" ref="M808">IFERROR(F808-AVERAGE(VLOOKUP(D808,$D809:$F$885,3,0),INDEX($F809:$F$885,SMALL(IF(D808=$D809:$D$885,ROW($D809:$D$885)-ROW(D808)),2))),0)</f>
        <v>0</v>
      </c>
      <c r="N808" s="51">
        <f>IFERROR(IF(VLOOKUP($B808,Input!$AC$2:$AC$162,1,0)=$B808,0),F808)</f>
        <v>0</v>
      </c>
      <c r="O808" s="51">
        <f>IFERROR(IF(VLOOKUP($B808,Input!$AC$2:$AC$162,1,0)=$B808,0,G808),G808)</f>
        <v>0</v>
      </c>
      <c r="P808" s="51">
        <f>IF(N808=0,0,F808-AVERAGE(INDEX(F:F,MATCH(VLOOKUP(D808,Input!$A$14:$L$22,10,0),L:L,0)),INDEX(F:F,MATCH(VLOOKUP(D808,Input!$A$14:$L$22,11,0),L:L,0)),INDEX(F:F,MATCH(VLOOKUP(D808,Input!$A$14:$L$22,12,0),L:L,0)))+(0.01-ROW()*0.01))</f>
        <v>0</v>
      </c>
      <c r="Q808" s="107">
        <f t="shared" si="142"/>
        <v>0</v>
      </c>
      <c r="R808" s="11">
        <f>IF(VLOOKUP($D808,$X$14:$Y$19,2,0)&lt;=0,1,IF(Q808&lt;0,1,ROUNDUP(IF(Q808*('Draft Center'!$L$28+'Draft Center'!$L$78-'Draft Center'!$L$82)&lt;1,1,Q808*('Draft Center'!$L$28+'Draft Center'!$L$78-'Draft Center'!$L$82)),0)))</f>
        <v>1</v>
      </c>
      <c r="S808" s="11">
        <f>IF(A808&lt;Input!$B$10+0.1,IF(ROUNDUP(R808*Input!$C$10,0)=0,1,ROUNDUP(R808*Input!$C$10,0)),IF(A808&gt;Input!$B$11,IF(ROUNDUP(R808*Input!$C$11,0)=0,1,ROUNDUP(R808*Input!$C$11,0)),IF(ROUNDUP(R808,0)=0,1,ROUNDUP(R808,0))))</f>
        <v>1</v>
      </c>
      <c r="T808" s="11">
        <f t="shared" si="143"/>
        <v>1</v>
      </c>
      <c r="U808" s="11">
        <f>IFERROR(VLOOKUP($B808,Input!$AC$2:$AE$161,3,0),0)</f>
        <v>0</v>
      </c>
      <c r="V808" s="257">
        <f t="shared" si="144"/>
        <v>0</v>
      </c>
      <c r="W808" s="264">
        <f t="shared" si="145"/>
        <v>0</v>
      </c>
      <c r="X808" s="68"/>
      <c r="Y808" s="68"/>
      <c r="Z808" s="68"/>
      <c r="AA808" s="68"/>
      <c r="AB808" s="68"/>
      <c r="AC808" s="68"/>
      <c r="AD808" s="68"/>
      <c r="AE808" s="68"/>
      <c r="AF808" s="68"/>
      <c r="AG808" s="68"/>
      <c r="AH808" s="68"/>
      <c r="AI808" s="68"/>
      <c r="AJ808" s="68">
        <v>1</v>
      </c>
      <c r="AL808" s="68">
        <v>1</v>
      </c>
      <c r="AM808" s="68"/>
      <c r="AN808" s="68"/>
      <c r="AO808" s="68"/>
      <c r="AQ808" s="68"/>
      <c r="AR808" s="68"/>
      <c r="AS808" s="68"/>
      <c r="AT808" s="68"/>
      <c r="AU808" s="68"/>
      <c r="AV808" s="68"/>
      <c r="AW808" s="68"/>
      <c r="AX808" s="68"/>
      <c r="AY808" s="68"/>
      <c r="AZ808" s="68"/>
      <c r="BB808" s="68"/>
      <c r="BC808" s="68"/>
      <c r="BJ808" s="68"/>
      <c r="BT808">
        <v>1</v>
      </c>
      <c r="BV808">
        <v>1</v>
      </c>
      <c r="BX808" s="68"/>
      <c r="BY808" s="68">
        <v>1</v>
      </c>
      <c r="BZ808" s="68" t="s">
        <v>1057</v>
      </c>
      <c r="CA808" s="68" t="s">
        <v>1057</v>
      </c>
      <c r="CB808" s="68" t="s">
        <v>1057</v>
      </c>
      <c r="CC808" s="68" t="e">
        <f t="shared" si="146"/>
        <v>#DIV/0!</v>
      </c>
      <c r="CD808" s="68" t="str">
        <f t="shared" si="147"/>
        <v>NA</v>
      </c>
    </row>
    <row r="809" spans="1:82" ht="15.75" customHeight="1" thickBot="1" x14ac:dyDescent="0.3">
      <c r="A809" s="6">
        <v>808</v>
      </c>
      <c r="B809" s="7" t="s">
        <v>515</v>
      </c>
      <c r="C809" s="7" t="s">
        <v>47</v>
      </c>
      <c r="D809" s="7" t="s">
        <v>17</v>
      </c>
      <c r="E809" s="50">
        <v>-212.77791626934899</v>
      </c>
      <c r="F809" s="50">
        <v>0</v>
      </c>
      <c r="G809" s="50">
        <v>0</v>
      </c>
      <c r="H809" s="50">
        <v>0</v>
      </c>
      <c r="I809" s="8">
        <v>0</v>
      </c>
      <c r="J809" s="50" t="s">
        <v>1057</v>
      </c>
      <c r="K809" s="248">
        <f>IFERROR(VLOOKUP(C809,Schedule!$T$3:$U$34,2,0),"FA")</f>
        <v>10</v>
      </c>
      <c r="L809" s="7" t="str">
        <f>D809&amp;COUNTIF(D$2:$D809,D809)</f>
        <v>WR297</v>
      </c>
      <c r="M809" s="50">
        <f t="array" ref="M809">IFERROR(F809-AVERAGE(VLOOKUP(D809,$D810:$F$885,3,0),INDEX($F810:$F$885,SMALL(IF(D809=$D810:$D$885,ROW($D810:$D$885)-ROW(D809)),2))),0)</f>
        <v>0</v>
      </c>
      <c r="N809" s="50">
        <f>IFERROR(IF(VLOOKUP($B809,Input!$AC$2:$AC$162,1,0)=$B809,0),F809)</f>
        <v>0</v>
      </c>
      <c r="O809" s="50">
        <f>IFERROR(IF(VLOOKUP($B809,Input!$AC$2:$AC$162,1,0)=$B809,0,G809),G809)</f>
        <v>0</v>
      </c>
      <c r="P809" s="50">
        <f>IF(N809=0,0,F809-AVERAGE(INDEX(F:F,MATCH(VLOOKUP(D809,Input!$A$14:$L$22,10,0),L:L,0)),INDEX(F:F,MATCH(VLOOKUP(D809,Input!$A$14:$L$22,11,0),L:L,0)),INDEX(F:F,MATCH(VLOOKUP(D809,Input!$A$14:$L$22,12,0),L:L,0)))+(0.01-ROW()*0.01))</f>
        <v>0</v>
      </c>
      <c r="Q809" s="106">
        <f t="shared" si="142"/>
        <v>0</v>
      </c>
      <c r="R809" s="8">
        <f>IF(VLOOKUP($D809,$X$14:$Y$19,2,0)&lt;=0,1,IF(Q809&lt;0,1,ROUNDUP(IF(Q809*('Draft Center'!$L$28+'Draft Center'!$L$78-'Draft Center'!$L$82)&lt;1,1,Q809*('Draft Center'!$L$28+'Draft Center'!$L$78-'Draft Center'!$L$82)),0)))</f>
        <v>1</v>
      </c>
      <c r="S809" s="8">
        <f>IF(A809&lt;Input!$B$10+0.1,IF(ROUNDUP(R809*Input!$C$10,0)=0,1,ROUNDUP(R809*Input!$C$10,0)),IF(A809&gt;Input!$B$11,IF(ROUNDUP(R809*Input!$C$11,0)=0,1,ROUNDUP(R809*Input!$C$11,0)),IF(ROUNDUP(R809,0)=0,1,ROUNDUP(R809,0))))</f>
        <v>1</v>
      </c>
      <c r="T809" s="8">
        <f t="shared" si="143"/>
        <v>1</v>
      </c>
      <c r="U809" s="8">
        <f>IFERROR(VLOOKUP($B809,Input!$AC$2:$AE$161,3,0),0)</f>
        <v>0</v>
      </c>
      <c r="V809" s="256">
        <f t="shared" si="144"/>
        <v>0</v>
      </c>
      <c r="W809" s="263">
        <f t="shared" si="145"/>
        <v>1.0080899999999999</v>
      </c>
      <c r="X809" s="68"/>
      <c r="Y809" s="68"/>
      <c r="Z809" s="68"/>
      <c r="AA809" s="68"/>
      <c r="AB809" s="68"/>
      <c r="AC809" s="68"/>
      <c r="AD809" s="68"/>
      <c r="AE809" s="68"/>
      <c r="AF809" s="68"/>
      <c r="AG809" s="68"/>
      <c r="AH809" s="68"/>
      <c r="AI809" s="68"/>
      <c r="AJ809" s="68">
        <v>1</v>
      </c>
      <c r="AL809" s="68">
        <v>1</v>
      </c>
      <c r="AM809" s="68"/>
      <c r="AN809" s="68"/>
      <c r="AO809" s="68"/>
      <c r="AQ809" s="68"/>
      <c r="AR809" s="68"/>
      <c r="AS809" s="68"/>
      <c r="AT809" s="68"/>
      <c r="AU809" s="68"/>
      <c r="AV809" s="68"/>
      <c r="AW809" s="68"/>
      <c r="AX809" s="68"/>
      <c r="AY809" s="68"/>
      <c r="AZ809" s="68"/>
      <c r="BB809" s="68"/>
      <c r="BC809" s="68"/>
      <c r="BJ809" s="68"/>
      <c r="BT809">
        <v>1</v>
      </c>
      <c r="BV809">
        <v>1</v>
      </c>
      <c r="BX809" s="68"/>
      <c r="BY809" s="68">
        <v>1</v>
      </c>
      <c r="BZ809" s="68">
        <v>0</v>
      </c>
      <c r="CA809" s="68">
        <v>0</v>
      </c>
      <c r="CB809" s="68">
        <v>0</v>
      </c>
      <c r="CC809" s="68">
        <f t="shared" si="146"/>
        <v>0</v>
      </c>
      <c r="CD809" s="68">
        <f t="shared" si="147"/>
        <v>0</v>
      </c>
    </row>
    <row r="810" spans="1:82" ht="15.75" customHeight="1" thickBot="1" x14ac:dyDescent="0.3">
      <c r="A810" s="9">
        <v>809</v>
      </c>
      <c r="B810" s="10" t="s">
        <v>889</v>
      </c>
      <c r="C810" s="10" t="s">
        <v>38</v>
      </c>
      <c r="D810" s="10" t="s">
        <v>17</v>
      </c>
      <c r="E810" s="51">
        <v>-212.77791626934899</v>
      </c>
      <c r="F810" s="51">
        <v>0</v>
      </c>
      <c r="G810" s="51">
        <v>0</v>
      </c>
      <c r="H810" s="51">
        <v>0</v>
      </c>
      <c r="I810" s="11" t="s">
        <v>1057</v>
      </c>
      <c r="J810" s="51">
        <v>1.9445374612902999</v>
      </c>
      <c r="K810" s="249">
        <f>IFERROR(VLOOKUP(C810,Schedule!$T$3:$U$34,2,0),"FA")</f>
        <v>6</v>
      </c>
      <c r="L810" s="10" t="str">
        <f>D810&amp;COUNTIF(D$2:$D810,D810)</f>
        <v>WR298</v>
      </c>
      <c r="M810" s="51">
        <f t="array" ref="M810">IFERROR(F810-AVERAGE(VLOOKUP(D810,$D811:$F$885,3,0),INDEX($F811:$F$885,SMALL(IF(D810=$D811:$D$885,ROW($D811:$D$885)-ROW(D810)),2))),0)</f>
        <v>0</v>
      </c>
      <c r="N810" s="51">
        <f>IFERROR(IF(VLOOKUP($B810,Input!$AC$2:$AC$162,1,0)=$B810,0),F810)</f>
        <v>0</v>
      </c>
      <c r="O810" s="51">
        <f>IFERROR(IF(VLOOKUP($B810,Input!$AC$2:$AC$162,1,0)=$B810,0,G810),G810)</f>
        <v>0</v>
      </c>
      <c r="P810" s="51">
        <f>IF(N810=0,0,F810-AVERAGE(INDEX(F:F,MATCH(VLOOKUP(D810,Input!$A$14:$L$22,10,0),L:L,0)),INDEX(F:F,MATCH(VLOOKUP(D810,Input!$A$14:$L$22,11,0),L:L,0)),INDEX(F:F,MATCH(VLOOKUP(D810,Input!$A$14:$L$22,12,0),L:L,0)))+(0.01-ROW()*0.01))</f>
        <v>0</v>
      </c>
      <c r="Q810" s="107">
        <f t="shared" si="142"/>
        <v>0</v>
      </c>
      <c r="R810" s="11">
        <f>IF(VLOOKUP($D810,$X$14:$Y$19,2,0)&lt;=0,1,IF(Q810&lt;0,1,ROUNDUP(IF(Q810*('Draft Center'!$L$28+'Draft Center'!$L$78-'Draft Center'!$L$82)&lt;1,1,Q810*('Draft Center'!$L$28+'Draft Center'!$L$78-'Draft Center'!$L$82)),0)))</f>
        <v>1</v>
      </c>
      <c r="S810" s="11">
        <f>IF(A810&lt;Input!$B$10+0.1,IF(ROUNDUP(R810*Input!$C$10,0)=0,1,ROUNDUP(R810*Input!$C$10,0)),IF(A810&gt;Input!$B$11,IF(ROUNDUP(R810*Input!$C$11,0)=0,1,ROUNDUP(R810*Input!$C$11,0)),IF(ROUNDUP(R810,0)=0,1,ROUNDUP(R810,0))))</f>
        <v>1</v>
      </c>
      <c r="T810" s="11">
        <f t="shared" si="143"/>
        <v>1</v>
      </c>
      <c r="U810" s="11">
        <f>IFERROR(VLOOKUP($B810,Input!$AC$2:$AE$161,3,0),0)</f>
        <v>0</v>
      </c>
      <c r="V810" s="257">
        <f t="shared" si="144"/>
        <v>0</v>
      </c>
      <c r="W810" s="264">
        <f t="shared" si="145"/>
        <v>0</v>
      </c>
      <c r="X810" s="68"/>
      <c r="Y810" s="68"/>
      <c r="Z810" s="68"/>
      <c r="AA810" s="68"/>
      <c r="AB810" s="68"/>
      <c r="AC810" s="68"/>
      <c r="AD810" s="68"/>
      <c r="AE810" s="68"/>
      <c r="AF810" s="68"/>
      <c r="AG810" s="68"/>
      <c r="AH810" s="68"/>
      <c r="AI810" s="68"/>
      <c r="AJ810" s="68">
        <v>1</v>
      </c>
      <c r="AL810" s="68">
        <v>1</v>
      </c>
      <c r="AM810" s="68"/>
      <c r="AN810" s="68"/>
      <c r="AO810" s="68"/>
      <c r="AQ810" s="68"/>
      <c r="AR810" s="68"/>
      <c r="AS810" s="68"/>
      <c r="AT810" s="68"/>
      <c r="AU810" s="68"/>
      <c r="AV810" s="68"/>
      <c r="AW810" s="68"/>
      <c r="AX810" s="68"/>
      <c r="AY810" s="68"/>
      <c r="AZ810" s="68"/>
      <c r="BB810" s="68"/>
      <c r="BC810" s="68"/>
      <c r="BJ810" s="68"/>
      <c r="BT810">
        <v>1</v>
      </c>
      <c r="BV810">
        <v>1</v>
      </c>
      <c r="BX810" s="68"/>
      <c r="BY810" s="68">
        <v>1</v>
      </c>
      <c r="BZ810" s="68" t="s">
        <v>1057</v>
      </c>
      <c r="CA810" s="68" t="s">
        <v>1057</v>
      </c>
      <c r="CB810" s="68" t="s">
        <v>1057</v>
      </c>
      <c r="CC810" s="68" t="e">
        <f t="shared" si="146"/>
        <v>#DIV/0!</v>
      </c>
      <c r="CD810" s="68" t="str">
        <f t="shared" si="147"/>
        <v>NA</v>
      </c>
    </row>
    <row r="811" spans="1:82" ht="15.75" customHeight="1" thickBot="1" x14ac:dyDescent="0.3">
      <c r="A811" s="6">
        <v>810</v>
      </c>
      <c r="B811" s="7" t="s">
        <v>1168</v>
      </c>
      <c r="C811" s="7" t="s">
        <v>80</v>
      </c>
      <c r="D811" s="7" t="s">
        <v>17</v>
      </c>
      <c r="E811" s="50">
        <v>-212.77791626934899</v>
      </c>
      <c r="F811" s="50">
        <v>0</v>
      </c>
      <c r="G811" s="50">
        <v>0</v>
      </c>
      <c r="H811" s="50">
        <v>0</v>
      </c>
      <c r="I811" s="8" t="s">
        <v>1057</v>
      </c>
      <c r="J811" s="50" t="s">
        <v>1057</v>
      </c>
      <c r="K811" s="248">
        <f>IFERROR(VLOOKUP(C811,Schedule!$T$3:$U$34,2,0),"FA")</f>
        <v>11</v>
      </c>
      <c r="L811" s="7" t="str">
        <f>D811&amp;COUNTIF(D$2:$D811,D811)</f>
        <v>WR299</v>
      </c>
      <c r="M811" s="50">
        <f t="array" ref="M811">IFERROR(F811-AVERAGE(VLOOKUP(D811,$D812:$F$885,3,0),INDEX($F812:$F$885,SMALL(IF(D811=$D812:$D$885,ROW($D812:$D$885)-ROW(D811)),2))),0)</f>
        <v>0</v>
      </c>
      <c r="N811" s="50">
        <f>IFERROR(IF(VLOOKUP($B811,Input!$AC$2:$AC$162,1,0)=$B811,0),F811)</f>
        <v>0</v>
      </c>
      <c r="O811" s="50">
        <f>IFERROR(IF(VLOOKUP($B811,Input!$AC$2:$AC$162,1,0)=$B811,0,G811),G811)</f>
        <v>0</v>
      </c>
      <c r="P811" s="50">
        <f>IF(N811=0,0,F811-AVERAGE(INDEX(F:F,MATCH(VLOOKUP(D811,Input!$A$14:$L$22,10,0),L:L,0)),INDEX(F:F,MATCH(VLOOKUP(D811,Input!$A$14:$L$22,11,0),L:L,0)),INDEX(F:F,MATCH(VLOOKUP(D811,Input!$A$14:$L$22,12,0),L:L,0)))+(0.01-ROW()*0.01))</f>
        <v>0</v>
      </c>
      <c r="Q811" s="106">
        <f t="shared" si="142"/>
        <v>0</v>
      </c>
      <c r="R811" s="8">
        <f>IF(VLOOKUP($D811,$X$14:$Y$19,2,0)&lt;=0,1,IF(Q811&lt;0,1,ROUNDUP(IF(Q811*('Draft Center'!$L$28+'Draft Center'!$L$78-'Draft Center'!$L$82)&lt;1,1,Q811*('Draft Center'!$L$28+'Draft Center'!$L$78-'Draft Center'!$L$82)),0)))</f>
        <v>1</v>
      </c>
      <c r="S811" s="8">
        <f>IF(A811&lt;Input!$B$10+0.1,IF(ROUNDUP(R811*Input!$C$10,0)=0,1,ROUNDUP(R811*Input!$C$10,0)),IF(A811&gt;Input!$B$11,IF(ROUNDUP(R811*Input!$C$11,0)=0,1,ROUNDUP(R811*Input!$C$11,0)),IF(ROUNDUP(R811,0)=0,1,ROUNDUP(R811,0))))</f>
        <v>1</v>
      </c>
      <c r="T811" s="8">
        <f t="shared" si="143"/>
        <v>1</v>
      </c>
      <c r="U811" s="8">
        <f>IFERROR(VLOOKUP($B811,Input!$AC$2:$AE$161,3,0),0)</f>
        <v>0</v>
      </c>
      <c r="V811" s="256">
        <f t="shared" si="144"/>
        <v>0</v>
      </c>
      <c r="W811" s="263">
        <f t="shared" si="145"/>
        <v>0</v>
      </c>
      <c r="X811" s="68"/>
      <c r="Y811" s="68"/>
      <c r="Z811" s="68"/>
      <c r="AA811" s="68"/>
      <c r="AB811" s="68"/>
      <c r="AC811" s="68"/>
      <c r="AD811" s="68"/>
      <c r="AE811" s="68"/>
      <c r="AF811" s="68"/>
      <c r="AG811" s="68"/>
      <c r="AH811" s="68"/>
      <c r="AI811" s="68"/>
      <c r="AJ811" s="68">
        <v>1</v>
      </c>
      <c r="AL811" s="68">
        <v>1</v>
      </c>
      <c r="AM811" s="68"/>
      <c r="AN811" s="68"/>
      <c r="AO811" s="68"/>
      <c r="AQ811" s="68"/>
      <c r="AR811" s="68"/>
      <c r="AS811" s="68"/>
      <c r="AT811" s="68"/>
      <c r="AU811" s="68"/>
      <c r="AV811" s="68"/>
      <c r="AW811" s="68"/>
      <c r="AX811" s="68"/>
      <c r="AY811" s="68"/>
      <c r="AZ811" s="68"/>
      <c r="BB811" s="68"/>
      <c r="BC811" s="68"/>
      <c r="BJ811" s="68"/>
      <c r="BT811">
        <v>1</v>
      </c>
      <c r="BV811">
        <v>1</v>
      </c>
      <c r="BX811" s="68"/>
      <c r="BY811" s="68">
        <v>1</v>
      </c>
      <c r="BZ811" s="68" t="s">
        <v>1057</v>
      </c>
      <c r="CA811" s="68" t="s">
        <v>1057</v>
      </c>
      <c r="CB811" s="68" t="s">
        <v>1057</v>
      </c>
      <c r="CC811" s="68" t="e">
        <f t="shared" si="146"/>
        <v>#DIV/0!</v>
      </c>
      <c r="CD811" s="68" t="str">
        <f t="shared" si="147"/>
        <v>NA</v>
      </c>
    </row>
    <row r="812" spans="1:82" ht="15.75" customHeight="1" thickBot="1" x14ac:dyDescent="0.3">
      <c r="A812" s="9">
        <v>811</v>
      </c>
      <c r="B812" s="10" t="s">
        <v>1170</v>
      </c>
      <c r="C812" s="10" t="s">
        <v>80</v>
      </c>
      <c r="D812" s="10" t="s">
        <v>17</v>
      </c>
      <c r="E812" s="51">
        <v>-212.77791626934899</v>
      </c>
      <c r="F812" s="51">
        <v>0</v>
      </c>
      <c r="G812" s="51">
        <v>0</v>
      </c>
      <c r="H812" s="51">
        <v>0</v>
      </c>
      <c r="I812" s="11" t="s">
        <v>1057</v>
      </c>
      <c r="J812" s="51" t="s">
        <v>1057</v>
      </c>
      <c r="K812" s="249">
        <f>IFERROR(VLOOKUP(C812,Schedule!$T$3:$U$34,2,0),"FA")</f>
        <v>11</v>
      </c>
      <c r="L812" s="10" t="str">
        <f>D812&amp;COUNTIF(D$2:$D812,D812)</f>
        <v>WR300</v>
      </c>
      <c r="M812" s="51">
        <f t="array" ref="M812">IFERROR(F812-AVERAGE(VLOOKUP(D812,$D813:$F$885,3,0),INDEX($F813:$F$885,SMALL(IF(D812=$D813:$D$885,ROW($D813:$D$885)-ROW(D812)),2))),0)</f>
        <v>0</v>
      </c>
      <c r="N812" s="51">
        <f>IFERROR(IF(VLOOKUP($B812,Input!$AC$2:$AC$162,1,0)=$B812,0),F812)</f>
        <v>0</v>
      </c>
      <c r="O812" s="51">
        <f>IFERROR(IF(VLOOKUP($B812,Input!$AC$2:$AC$162,1,0)=$B812,0,G812),G812)</f>
        <v>0</v>
      </c>
      <c r="P812" s="51">
        <f>IF(N812=0,0,F812-AVERAGE(INDEX(F:F,MATCH(VLOOKUP(D812,Input!$A$14:$L$22,10,0),L:L,0)),INDEX(F:F,MATCH(VLOOKUP(D812,Input!$A$14:$L$22,11,0),L:L,0)),INDEX(F:F,MATCH(VLOOKUP(D812,Input!$A$14:$L$22,12,0),L:L,0)))+(0.01-ROW()*0.01))</f>
        <v>0</v>
      </c>
      <c r="Q812" s="107">
        <f t="shared" si="142"/>
        <v>0</v>
      </c>
      <c r="R812" s="11">
        <f>IF(VLOOKUP($D812,$X$14:$Y$19,2,0)&lt;=0,1,IF(Q812&lt;0,1,ROUNDUP(IF(Q812*('Draft Center'!$L$28+'Draft Center'!$L$78-'Draft Center'!$L$82)&lt;1,1,Q812*('Draft Center'!$L$28+'Draft Center'!$L$78-'Draft Center'!$L$82)),0)))</f>
        <v>1</v>
      </c>
      <c r="S812" s="11">
        <f>IF(A812&lt;Input!$B$10+0.1,IF(ROUNDUP(R812*Input!$C$10,0)=0,1,ROUNDUP(R812*Input!$C$10,0)),IF(A812&gt;Input!$B$11,IF(ROUNDUP(R812*Input!$C$11,0)=0,1,ROUNDUP(R812*Input!$C$11,0)),IF(ROUNDUP(R812,0)=0,1,ROUNDUP(R812,0))))</f>
        <v>1</v>
      </c>
      <c r="T812" s="11">
        <f t="shared" si="143"/>
        <v>1</v>
      </c>
      <c r="U812" s="11">
        <f>IFERROR(VLOOKUP($B812,Input!$AC$2:$AE$161,3,0),0)</f>
        <v>0</v>
      </c>
      <c r="V812" s="257">
        <f t="shared" si="144"/>
        <v>0</v>
      </c>
      <c r="W812" s="264">
        <f t="shared" si="145"/>
        <v>0</v>
      </c>
      <c r="X812" s="68"/>
      <c r="Y812" s="68"/>
      <c r="Z812" s="68"/>
      <c r="AA812" s="68"/>
      <c r="AB812" s="68"/>
      <c r="AC812" s="68"/>
      <c r="AD812" s="68"/>
      <c r="AE812" s="68"/>
      <c r="AF812" s="68"/>
      <c r="AG812" s="68"/>
      <c r="AH812" s="68"/>
      <c r="AI812" s="68"/>
      <c r="AJ812" s="68">
        <v>1</v>
      </c>
      <c r="AL812" s="68">
        <v>1</v>
      </c>
      <c r="AM812" s="68"/>
      <c r="AN812" s="68"/>
      <c r="AO812" s="68"/>
      <c r="AQ812" s="68"/>
      <c r="AR812" s="68"/>
      <c r="AS812" s="68"/>
      <c r="AT812" s="68"/>
      <c r="AU812" s="68"/>
      <c r="AV812" s="68"/>
      <c r="AW812" s="68"/>
      <c r="AX812" s="68"/>
      <c r="AY812" s="68"/>
      <c r="AZ812" s="68"/>
      <c r="BB812" s="68"/>
      <c r="BC812" s="68"/>
      <c r="BJ812" s="68"/>
      <c r="BT812">
        <v>1</v>
      </c>
      <c r="BV812">
        <v>1</v>
      </c>
      <c r="BX812" s="68"/>
      <c r="BY812" s="68">
        <v>1</v>
      </c>
      <c r="BZ812" s="68" t="s">
        <v>1057</v>
      </c>
      <c r="CA812" s="68" t="s">
        <v>1057</v>
      </c>
      <c r="CB812" s="68" t="s">
        <v>1057</v>
      </c>
      <c r="CC812" s="68" t="e">
        <f t="shared" si="146"/>
        <v>#DIV/0!</v>
      </c>
      <c r="CD812" s="68" t="str">
        <f t="shared" si="147"/>
        <v>NA</v>
      </c>
    </row>
    <row r="813" spans="1:82" ht="15.75" customHeight="1" thickBot="1" x14ac:dyDescent="0.3">
      <c r="A813" s="6">
        <v>812</v>
      </c>
      <c r="B813" s="7" t="s">
        <v>1171</v>
      </c>
      <c r="C813" s="7" t="s">
        <v>80</v>
      </c>
      <c r="D813" s="7" t="s">
        <v>17</v>
      </c>
      <c r="E813" s="50">
        <v>-212.77791626934899</v>
      </c>
      <c r="F813" s="50">
        <v>0</v>
      </c>
      <c r="G813" s="50">
        <v>0</v>
      </c>
      <c r="H813" s="50">
        <v>0</v>
      </c>
      <c r="I813" s="8" t="s">
        <v>1057</v>
      </c>
      <c r="J813" s="50" t="s">
        <v>1057</v>
      </c>
      <c r="K813" s="248">
        <f>IFERROR(VLOOKUP(C813,Schedule!$T$3:$U$34,2,0),"FA")</f>
        <v>11</v>
      </c>
      <c r="L813" s="7" t="str">
        <f>D813&amp;COUNTIF(D$2:$D813,D813)</f>
        <v>WR301</v>
      </c>
      <c r="M813" s="50">
        <f t="array" ref="M813">IFERROR(F813-AVERAGE(VLOOKUP(D813,$D814:$F$885,3,0),INDEX($F814:$F$885,SMALL(IF(D813=$D814:$D$885,ROW($D814:$D$885)-ROW(D813)),2))),0)</f>
        <v>9.8015408121795503E-2</v>
      </c>
      <c r="N813" s="50">
        <f>IFERROR(IF(VLOOKUP($B813,Input!$AC$2:$AC$162,1,0)=$B813,0),F813)</f>
        <v>0</v>
      </c>
      <c r="O813" s="50">
        <f>IFERROR(IF(VLOOKUP($B813,Input!$AC$2:$AC$162,1,0)=$B813,0,G813),G813)</f>
        <v>0</v>
      </c>
      <c r="P813" s="50">
        <f>IF(N813=0,0,F813-AVERAGE(INDEX(F:F,MATCH(VLOOKUP(D813,Input!$A$14:$L$22,10,0),L:L,0)),INDEX(F:F,MATCH(VLOOKUP(D813,Input!$A$14:$L$22,11,0),L:L,0)),INDEX(F:F,MATCH(VLOOKUP(D813,Input!$A$14:$L$22,12,0),L:L,0)))+(0.01-ROW()*0.01))</f>
        <v>0</v>
      </c>
      <c r="Q813" s="106">
        <f t="shared" si="142"/>
        <v>0</v>
      </c>
      <c r="R813" s="8">
        <f>IF(VLOOKUP($D813,$X$14:$Y$19,2,0)&lt;=0,1,IF(Q813&lt;0,1,ROUNDUP(IF(Q813*('Draft Center'!$L$28+'Draft Center'!$L$78-'Draft Center'!$L$82)&lt;1,1,Q813*('Draft Center'!$L$28+'Draft Center'!$L$78-'Draft Center'!$L$82)),0)))</f>
        <v>1</v>
      </c>
      <c r="S813" s="8">
        <f>IF(A813&lt;Input!$B$10+0.1,IF(ROUNDUP(R813*Input!$C$10,0)=0,1,ROUNDUP(R813*Input!$C$10,0)),IF(A813&gt;Input!$B$11,IF(ROUNDUP(R813*Input!$C$11,0)=0,1,ROUNDUP(R813*Input!$C$11,0)),IF(ROUNDUP(R813,0)=0,1,ROUNDUP(R813,0))))</f>
        <v>1</v>
      </c>
      <c r="T813" s="8">
        <f t="shared" si="143"/>
        <v>1</v>
      </c>
      <c r="U813" s="8">
        <f>IFERROR(VLOOKUP($B813,Input!$AC$2:$AE$161,3,0),0)</f>
        <v>0</v>
      </c>
      <c r="V813" s="256">
        <f t="shared" si="144"/>
        <v>0</v>
      </c>
      <c r="W813" s="263">
        <f t="shared" si="145"/>
        <v>0</v>
      </c>
      <c r="X813" s="68"/>
      <c r="Y813" s="68"/>
      <c r="Z813" s="68"/>
      <c r="AA813" s="68"/>
      <c r="AB813" s="68"/>
      <c r="AC813" s="68"/>
      <c r="AD813" s="68"/>
      <c r="AE813" s="68"/>
      <c r="AF813" s="68"/>
      <c r="AG813" s="68"/>
      <c r="AH813" s="68"/>
      <c r="AI813" s="68"/>
      <c r="AJ813" s="68">
        <v>1</v>
      </c>
      <c r="AL813" s="68">
        <v>1</v>
      </c>
      <c r="AM813" s="68"/>
      <c r="AN813" s="68"/>
      <c r="AO813" s="68"/>
      <c r="AQ813" s="68"/>
      <c r="AR813" s="68"/>
      <c r="AS813" s="68"/>
      <c r="AT813" s="68"/>
      <c r="AU813" s="68"/>
      <c r="AV813" s="68"/>
      <c r="AW813" s="68"/>
      <c r="AX813" s="68"/>
      <c r="AY813" s="68"/>
      <c r="AZ813" s="68"/>
      <c r="BB813" s="68"/>
      <c r="BC813" s="68"/>
      <c r="BJ813" s="68"/>
      <c r="BT813">
        <v>1</v>
      </c>
      <c r="BV813">
        <v>1</v>
      </c>
      <c r="BX813" s="68"/>
      <c r="BY813" s="68">
        <v>1</v>
      </c>
      <c r="BZ813" s="68" t="s">
        <v>1057</v>
      </c>
      <c r="CA813" s="68" t="s">
        <v>1057</v>
      </c>
      <c r="CB813" s="68" t="s">
        <v>1057</v>
      </c>
      <c r="CC813" s="68" t="e">
        <f t="shared" si="146"/>
        <v>#DIV/0!</v>
      </c>
      <c r="CD813" s="68" t="str">
        <f t="shared" si="147"/>
        <v>NA</v>
      </c>
    </row>
    <row r="814" spans="1:82" ht="15.75" customHeight="1" thickBot="1" x14ac:dyDescent="0.3">
      <c r="A814" s="9">
        <v>813</v>
      </c>
      <c r="B814" s="10" t="s">
        <v>520</v>
      </c>
      <c r="C814" s="10" t="s">
        <v>83</v>
      </c>
      <c r="D814" s="10" t="s">
        <v>17</v>
      </c>
      <c r="E814" s="51">
        <v>-212.77791626934899</v>
      </c>
      <c r="F814" s="51">
        <v>0</v>
      </c>
      <c r="G814" s="51">
        <v>0</v>
      </c>
      <c r="H814" s="51">
        <v>0</v>
      </c>
      <c r="I814" s="11" t="s">
        <v>1057</v>
      </c>
      <c r="J814" s="51">
        <v>1.9445374612902999</v>
      </c>
      <c r="K814" s="249">
        <f>IFERROR(VLOOKUP(C814,Schedule!$T$3:$U$34,2,0),"FA")</f>
        <v>5</v>
      </c>
      <c r="L814" s="10" t="str">
        <f>D814&amp;COUNTIF(D$2:$D814,D814)</f>
        <v>WR302</v>
      </c>
      <c r="M814" s="51">
        <f t="array" ref="M814">IFERROR(F814-AVERAGE(VLOOKUP(D814,$D815:$F$885,3,0),INDEX($F815:$F$885,SMALL(IF(D814=$D815:$D$885,ROW($D815:$D$885)-ROW(D814)),2))),0)</f>
        <v>0.20794438539452301</v>
      </c>
      <c r="N814" s="51">
        <f>IFERROR(IF(VLOOKUP($B814,Input!$AC$2:$AC$162,1,0)=$B814,0),F814)</f>
        <v>0</v>
      </c>
      <c r="O814" s="51">
        <f>IFERROR(IF(VLOOKUP($B814,Input!$AC$2:$AC$162,1,0)=$B814,0,G814),G814)</f>
        <v>0</v>
      </c>
      <c r="P814" s="51">
        <f>IF(N814=0,0,F814-AVERAGE(INDEX(F:F,MATCH(VLOOKUP(D814,Input!$A$14:$L$22,10,0),L:L,0)),INDEX(F:F,MATCH(VLOOKUP(D814,Input!$A$14:$L$22,11,0),L:L,0)),INDEX(F:F,MATCH(VLOOKUP(D814,Input!$A$14:$L$22,12,0),L:L,0)))+(0.01-ROW()*0.01))</f>
        <v>0</v>
      </c>
      <c r="Q814" s="107">
        <f t="shared" si="142"/>
        <v>0</v>
      </c>
      <c r="R814" s="11">
        <f>IF(VLOOKUP($D814,$X$14:$Y$19,2,0)&lt;=0,1,IF(Q814&lt;0,1,ROUNDUP(IF(Q814*('Draft Center'!$L$28+'Draft Center'!$L$78-'Draft Center'!$L$82)&lt;1,1,Q814*('Draft Center'!$L$28+'Draft Center'!$L$78-'Draft Center'!$L$82)),0)))</f>
        <v>1</v>
      </c>
      <c r="S814" s="11">
        <f>IF(A814&lt;Input!$B$10+0.1,IF(ROUNDUP(R814*Input!$C$10,0)=0,1,ROUNDUP(R814*Input!$C$10,0)),IF(A814&gt;Input!$B$11,IF(ROUNDUP(R814*Input!$C$11,0)=0,1,ROUNDUP(R814*Input!$C$11,0)),IF(ROUNDUP(R814,0)=0,1,ROUNDUP(R814,0))))</f>
        <v>1</v>
      </c>
      <c r="T814" s="11">
        <f t="shared" si="143"/>
        <v>1</v>
      </c>
      <c r="U814" s="11">
        <f>IFERROR(VLOOKUP($B814,Input!$AC$2:$AE$161,3,0),0)</f>
        <v>0</v>
      </c>
      <c r="V814" s="257">
        <f t="shared" si="144"/>
        <v>0</v>
      </c>
      <c r="W814" s="264">
        <f t="shared" si="145"/>
        <v>0</v>
      </c>
      <c r="X814" s="68"/>
      <c r="Y814" s="68"/>
      <c r="Z814" s="68"/>
      <c r="AA814" s="68"/>
      <c r="AB814" s="68"/>
      <c r="AC814" s="68"/>
      <c r="AD814" s="68"/>
      <c r="AE814" s="68"/>
      <c r="AF814" s="68"/>
      <c r="AG814" s="68"/>
      <c r="AH814" s="68"/>
      <c r="AI814" s="68"/>
      <c r="AJ814" s="68">
        <v>1</v>
      </c>
      <c r="AL814" s="68">
        <v>1</v>
      </c>
      <c r="AM814" s="68"/>
      <c r="AN814" s="68"/>
      <c r="AO814" s="68"/>
      <c r="AQ814" s="68"/>
      <c r="AR814" s="68"/>
      <c r="AS814" s="68"/>
      <c r="AT814" s="68"/>
      <c r="AU814" s="68"/>
      <c r="AV814" s="68"/>
      <c r="AW814" s="68"/>
      <c r="AX814" s="68"/>
      <c r="AY814" s="68"/>
      <c r="AZ814" s="68"/>
      <c r="BB814" s="68"/>
      <c r="BC814" s="68"/>
      <c r="BJ814" s="68"/>
      <c r="BT814">
        <v>1</v>
      </c>
      <c r="BV814">
        <v>1</v>
      </c>
      <c r="BX814" s="68"/>
      <c r="BY814" s="68">
        <v>1</v>
      </c>
      <c r="BZ814" s="68" t="s">
        <v>1057</v>
      </c>
      <c r="CA814" s="68" t="s">
        <v>1057</v>
      </c>
      <c r="CB814" s="68" t="s">
        <v>1057</v>
      </c>
      <c r="CC814" s="68" t="e">
        <f t="shared" si="146"/>
        <v>#DIV/0!</v>
      </c>
      <c r="CD814" s="68" t="str">
        <f t="shared" si="147"/>
        <v>NA</v>
      </c>
    </row>
    <row r="815" spans="1:82" ht="15.75" customHeight="1" thickBot="1" x14ac:dyDescent="0.3">
      <c r="A815" s="6">
        <v>814</v>
      </c>
      <c r="B815" s="7" t="s">
        <v>1033</v>
      </c>
      <c r="C815" s="7" t="s">
        <v>48</v>
      </c>
      <c r="D815" s="7" t="s">
        <v>17</v>
      </c>
      <c r="E815" s="50">
        <v>-212.97394708559301</v>
      </c>
      <c r="F815" s="50">
        <v>-0.19603081624359101</v>
      </c>
      <c r="G815" s="50">
        <v>0.107580650732246</v>
      </c>
      <c r="H815" s="50">
        <v>-0.53975240715268202</v>
      </c>
      <c r="I815" s="8" t="s">
        <v>1057</v>
      </c>
      <c r="J815" s="50">
        <v>1.9992837537847199</v>
      </c>
      <c r="K815" s="248">
        <f>IFERROR(VLOOKUP(C815,Schedule!$T$3:$U$34,2,0),"FA")</f>
        <v>10</v>
      </c>
      <c r="L815" s="7" t="str">
        <f>D815&amp;COUNTIF(D$2:$D815,D815)</f>
        <v>WR303</v>
      </c>
      <c r="M815" s="50">
        <f t="array" ref="M815">IFERROR(F815-AVERAGE(VLOOKUP(D815,$D816:$F$885,3,0),INDEX($F816:$F$885,SMALL(IF(D815=$D816:$D$885,ROW($D816:$D$885)-ROW(D815)),2))),0)</f>
        <v>0</v>
      </c>
      <c r="N815" s="50">
        <f>IFERROR(IF(VLOOKUP($B815,Input!$AC$2:$AC$162,1,0)=$B815,0),F815)</f>
        <v>-0.19603081624359101</v>
      </c>
      <c r="O815" s="50">
        <f>IFERROR(IF(VLOOKUP($B815,Input!$AC$2:$AC$162,1,0)=$B815,0,G815),G815)</f>
        <v>0.107580650732246</v>
      </c>
      <c r="P815" s="50">
        <f>IF(N815=0,0,F815-AVERAGE(INDEX(F:F,MATCH(VLOOKUP(D815,Input!$A$14:$L$22,10,0),L:L,0)),INDEX(F:F,MATCH(VLOOKUP(D815,Input!$A$14:$L$22,11,0),L:L,0)),INDEX(F:F,MATCH(VLOOKUP(D815,Input!$A$14:$L$22,12,0),L:L,0)))+(0.01-ROW()*0.01))</f>
        <v>-221.1139470855926</v>
      </c>
      <c r="Q815" s="106">
        <f t="shared" si="142"/>
        <v>-7.6282750885524414E-2</v>
      </c>
      <c r="R815" s="8">
        <f>IF(VLOOKUP($D815,$X$14:$Y$19,2,0)&lt;=0,1,IF(Q815&lt;0,1,ROUNDUP(IF(Q815*('Draft Center'!$L$28+'Draft Center'!$L$78-'Draft Center'!$L$82)&lt;1,1,Q815*('Draft Center'!$L$28+'Draft Center'!$L$78-'Draft Center'!$L$82)),0)))</f>
        <v>1</v>
      </c>
      <c r="S815" s="8">
        <f>IF(A815&lt;Input!$B$10+0.1,IF(ROUNDUP(R815*Input!$C$10,0)=0,1,ROUNDUP(R815*Input!$C$10,0)),IF(A815&gt;Input!$B$11,IF(ROUNDUP(R815*Input!$C$11,0)=0,1,ROUNDUP(R815*Input!$C$11,0)),IF(ROUNDUP(R815,0)=0,1,ROUNDUP(R815,0))))</f>
        <v>1</v>
      </c>
      <c r="T815" s="8">
        <f t="shared" si="143"/>
        <v>1</v>
      </c>
      <c r="U815" s="8">
        <f>IFERROR(VLOOKUP($B815,Input!$AC$2:$AE$161,3,0),0)</f>
        <v>0</v>
      </c>
      <c r="V815" s="256">
        <f t="shared" si="144"/>
        <v>0</v>
      </c>
      <c r="W815" s="263">
        <f t="shared" si="145"/>
        <v>0</v>
      </c>
      <c r="X815" s="68"/>
      <c r="Y815" s="68"/>
      <c r="Z815" s="68"/>
      <c r="AA815" s="68"/>
      <c r="AB815" s="68"/>
      <c r="AC815" s="68"/>
      <c r="AD815" s="68"/>
      <c r="AE815" s="68"/>
      <c r="AF815" s="68"/>
      <c r="AG815" s="68"/>
      <c r="AH815" s="68"/>
      <c r="AI815" s="68"/>
      <c r="AJ815" s="68">
        <v>1</v>
      </c>
      <c r="AL815" s="68">
        <v>1</v>
      </c>
      <c r="AM815" s="68"/>
      <c r="AN815" s="68"/>
      <c r="AO815" s="68"/>
      <c r="AQ815" s="68"/>
      <c r="AR815" s="68"/>
      <c r="AS815" s="68"/>
      <c r="AT815" s="68"/>
      <c r="AU815" s="68"/>
      <c r="AV815" s="68"/>
      <c r="AW815" s="68"/>
      <c r="AX815" s="68"/>
      <c r="AY815" s="68"/>
      <c r="AZ815" s="68"/>
      <c r="BB815" s="68"/>
      <c r="BC815" s="68"/>
      <c r="BJ815" s="68"/>
      <c r="BT815">
        <v>1</v>
      </c>
      <c r="BV815">
        <v>1</v>
      </c>
      <c r="BX815" s="68"/>
      <c r="BY815" s="68">
        <v>1</v>
      </c>
      <c r="BZ815" s="68" t="s">
        <v>1057</v>
      </c>
      <c r="CA815" s="68" t="s">
        <v>1057</v>
      </c>
      <c r="CB815" s="68" t="s">
        <v>1057</v>
      </c>
      <c r="CC815" s="68" t="e">
        <f t="shared" si="146"/>
        <v>#DIV/0!</v>
      </c>
      <c r="CD815" s="68" t="str">
        <f t="shared" si="147"/>
        <v>NA</v>
      </c>
    </row>
    <row r="816" spans="1:82" ht="15.75" customHeight="1" thickBot="1" x14ac:dyDescent="0.3">
      <c r="A816" s="9">
        <v>815</v>
      </c>
      <c r="B816" s="10" t="s">
        <v>894</v>
      </c>
      <c r="C816" s="10" t="s">
        <v>35</v>
      </c>
      <c r="D816" s="10" t="s">
        <v>17</v>
      </c>
      <c r="E816" s="51">
        <v>-212.99777422389499</v>
      </c>
      <c r="F816" s="51">
        <v>-0.21985795454545501</v>
      </c>
      <c r="G816" s="51">
        <v>-9.2944234404536794E-2</v>
      </c>
      <c r="H816" s="51">
        <v>-0.71</v>
      </c>
      <c r="I816" s="11">
        <v>0</v>
      </c>
      <c r="J816" s="51">
        <v>2.00773721900421</v>
      </c>
      <c r="K816" s="249">
        <f>IFERROR(VLOOKUP(C816,Schedule!$T$3:$U$34,2,0),"FA")</f>
        <v>6</v>
      </c>
      <c r="L816" s="10" t="str">
        <f>D816&amp;COUNTIF(D$2:$D816,D816)</f>
        <v>WR304</v>
      </c>
      <c r="M816" s="51">
        <f t="array" ref="M816">IFERROR(F816-AVERAGE(VLOOKUP(D816,$D817:$F$885,3,0),INDEX($F817:$F$885,SMALL(IF(D816=$D817:$D$885,ROW($D817:$D$885)-ROW(D816)),2))),0)</f>
        <v>0</v>
      </c>
      <c r="N816" s="51">
        <f>IFERROR(IF(VLOOKUP($B816,Input!$AC$2:$AC$162,1,0)=$B816,0),F816)</f>
        <v>-0.21985795454545501</v>
      </c>
      <c r="O816" s="51">
        <f>IFERROR(IF(VLOOKUP($B816,Input!$AC$2:$AC$162,1,0)=$B816,0,G816),G816)</f>
        <v>-9.2944234404536794E-2</v>
      </c>
      <c r="P816" s="51">
        <f>IF(N816=0,0,F816-AVERAGE(INDEX(F:F,MATCH(VLOOKUP(D816,Input!$A$14:$L$22,10,0),L:L,0)),INDEX(F:F,MATCH(VLOOKUP(D816,Input!$A$14:$L$22,11,0),L:L,0)),INDEX(F:F,MATCH(VLOOKUP(D816,Input!$A$14:$L$22,12,0),L:L,0)))+(0.01-ROW()*0.01))</f>
        <v>-221.14777422389449</v>
      </c>
      <c r="Q816" s="107">
        <f t="shared" si="142"/>
        <v>-7.62944210094504E-2</v>
      </c>
      <c r="R816" s="11">
        <f>IF(VLOOKUP($D816,$X$14:$Y$19,2,0)&lt;=0,1,IF(Q816&lt;0,1,ROUNDUP(IF(Q816*('Draft Center'!$L$28+'Draft Center'!$L$78-'Draft Center'!$L$82)&lt;1,1,Q816*('Draft Center'!$L$28+'Draft Center'!$L$78-'Draft Center'!$L$82)),0)))</f>
        <v>1</v>
      </c>
      <c r="S816" s="11">
        <f>IF(A816&lt;Input!$B$10+0.1,IF(ROUNDUP(R816*Input!$C$10,0)=0,1,ROUNDUP(R816*Input!$C$10,0)),IF(A816&gt;Input!$B$11,IF(ROUNDUP(R816*Input!$C$11,0)=0,1,ROUNDUP(R816*Input!$C$11,0)),IF(ROUNDUP(R816,0)=0,1,ROUNDUP(R816,0))))</f>
        <v>1</v>
      </c>
      <c r="T816" s="11">
        <f t="shared" si="143"/>
        <v>1</v>
      </c>
      <c r="U816" s="11">
        <f>IFERROR(VLOOKUP($B816,Input!$AC$2:$AE$161,3,0),0)</f>
        <v>0</v>
      </c>
      <c r="V816" s="257">
        <f t="shared" si="144"/>
        <v>0</v>
      </c>
      <c r="W816" s="264">
        <f t="shared" si="145"/>
        <v>1.0081599999999999</v>
      </c>
      <c r="X816" s="68"/>
      <c r="Y816" s="68"/>
      <c r="Z816" s="68"/>
      <c r="AA816" s="68"/>
      <c r="AB816" s="68"/>
      <c r="AC816" s="68"/>
      <c r="AD816" s="68"/>
      <c r="AE816" s="68"/>
      <c r="AF816" s="68"/>
      <c r="AG816" s="68"/>
      <c r="AH816" s="68"/>
      <c r="AI816" s="68"/>
      <c r="AJ816" s="68">
        <v>1</v>
      </c>
      <c r="AL816" s="68">
        <v>1</v>
      </c>
      <c r="AM816" s="68"/>
      <c r="AN816" s="68"/>
      <c r="AO816" s="68"/>
      <c r="AQ816" s="68"/>
      <c r="AR816" s="68"/>
      <c r="AS816" s="68"/>
      <c r="AT816" s="68"/>
      <c r="AU816" s="68"/>
      <c r="AV816" s="68"/>
      <c r="AW816" s="68"/>
      <c r="AX816" s="68"/>
      <c r="AY816" s="68"/>
      <c r="AZ816" s="68"/>
      <c r="BB816" s="68"/>
      <c r="BC816" s="68"/>
      <c r="BJ816" s="68"/>
      <c r="BT816">
        <v>1</v>
      </c>
      <c r="BV816">
        <v>1</v>
      </c>
      <c r="BX816" s="68"/>
      <c r="BY816" s="68">
        <v>1</v>
      </c>
      <c r="BZ816" s="68">
        <v>0</v>
      </c>
      <c r="CA816" s="68">
        <v>0</v>
      </c>
      <c r="CB816" s="68">
        <v>0</v>
      </c>
      <c r="CC816" s="68">
        <f t="shared" si="146"/>
        <v>0</v>
      </c>
      <c r="CD816" s="68">
        <f t="shared" si="147"/>
        <v>0</v>
      </c>
    </row>
    <row r="817" spans="1:82" ht="15.75" customHeight="1" thickBot="1" x14ac:dyDescent="0.3">
      <c r="A817" s="6">
        <v>816</v>
      </c>
      <c r="B817" s="7" t="s">
        <v>1041</v>
      </c>
      <c r="C817" s="7" t="s">
        <v>143</v>
      </c>
      <c r="D817" s="7" t="s">
        <v>53</v>
      </c>
      <c r="E817" s="50">
        <v>-213.42580056801</v>
      </c>
      <c r="F817" s="50">
        <v>58.921843064825701</v>
      </c>
      <c r="G817" s="50">
        <v>85.965419999999995</v>
      </c>
      <c r="H817" s="50">
        <v>-0.39600000000000002</v>
      </c>
      <c r="I817" s="8">
        <v>0</v>
      </c>
      <c r="J817" s="50">
        <v>6.9929907473923603</v>
      </c>
      <c r="K817" s="248">
        <f>IFERROR(VLOOKUP(C817,Schedule!$T$3:$U$34,2,0),"FA")</f>
        <v>9</v>
      </c>
      <c r="L817" s="7" t="str">
        <f>D817&amp;COUNTIF(D$2:$D817,D817)</f>
        <v>QB35</v>
      </c>
      <c r="M817" s="50">
        <f t="array" ref="M817">IFERROR(F817-AVERAGE(VLOOKUP(D817,$D818:$F$885,3,0),INDEX($F818:$F$885,SMALL(IF(D817=$D818:$D$885,ROW($D818:$D$885)-ROW(D817)),2))),0)</f>
        <v>13.684188509588203</v>
      </c>
      <c r="N817" s="50">
        <f>IFERROR(IF(VLOOKUP($B817,Input!$AC$2:$AC$162,1,0)=$B817,0),F817)</f>
        <v>58.921843064825701</v>
      </c>
      <c r="O817" s="50">
        <f>IFERROR(IF(VLOOKUP($B817,Input!$AC$2:$AC$162,1,0)=$B817,0,G817),G817)</f>
        <v>85.965419999999995</v>
      </c>
      <c r="P817" s="50">
        <f>IF(N817=0,0,F817-AVERAGE(INDEX(F:F,MATCH(VLOOKUP(D817,Input!$A$14:$L$22,10,0),L:L,0)),INDEX(F:F,MATCH(VLOOKUP(D817,Input!$A$14:$L$22,11,0),L:L,0)),INDEX(F:F,MATCH(VLOOKUP(D817,Input!$A$14:$L$22,12,0),L:L,0)))+(0.01-ROW()*0.01))</f>
        <v>-221.58580056800992</v>
      </c>
      <c r="Q817" s="106">
        <f t="shared" si="142"/>
        <v>-7.6445537006111244E-2</v>
      </c>
      <c r="R817" s="8">
        <f>IF(VLOOKUP($D817,$X$14:$Y$19,2,0)&lt;=0,1,IF(Q817&lt;0,1,ROUNDUP(IF(Q817*('Draft Center'!$L$28+'Draft Center'!$L$78-'Draft Center'!$L$82)&lt;1,1,Q817*('Draft Center'!$L$28+'Draft Center'!$L$78-'Draft Center'!$L$82)),0)))</f>
        <v>1</v>
      </c>
      <c r="S817" s="8">
        <f>IF(A817&lt;Input!$B$10+0.1,IF(ROUNDUP(R817*Input!$C$10,0)=0,1,ROUNDUP(R817*Input!$C$10,0)),IF(A817&gt;Input!$B$11,IF(ROUNDUP(R817*Input!$C$11,0)=0,1,ROUNDUP(R817*Input!$C$11,0)),IF(ROUNDUP(R817,0)=0,1,ROUNDUP(R817,0))))</f>
        <v>1</v>
      </c>
      <c r="T817" s="8">
        <f t="shared" si="143"/>
        <v>1</v>
      </c>
      <c r="U817" s="8">
        <f>IFERROR(VLOOKUP($B817,Input!$AC$2:$AE$161,3,0),0)</f>
        <v>0</v>
      </c>
      <c r="V817" s="256">
        <f t="shared" si="144"/>
        <v>0</v>
      </c>
      <c r="W817" s="263">
        <f t="shared" si="145"/>
        <v>1.00817</v>
      </c>
      <c r="X817" s="68"/>
      <c r="Y817" s="68"/>
      <c r="Z817" s="68"/>
      <c r="AA817" s="68"/>
      <c r="AB817" s="68"/>
      <c r="AC817" s="68"/>
      <c r="AD817" s="68"/>
      <c r="AE817" s="68"/>
      <c r="AF817" s="68"/>
      <c r="AG817" s="68"/>
      <c r="AH817" s="68"/>
      <c r="AI817" s="68"/>
      <c r="AJ817" s="68">
        <v>1</v>
      </c>
      <c r="AL817" s="68">
        <v>1</v>
      </c>
      <c r="AM817" s="68"/>
      <c r="AN817" s="68"/>
      <c r="AO817" s="68"/>
      <c r="AQ817" s="68"/>
      <c r="AR817" s="68"/>
      <c r="AS817" s="68"/>
      <c r="AT817" s="68"/>
      <c r="AU817" s="68"/>
      <c r="AV817" s="68"/>
      <c r="AW817" s="68"/>
      <c r="AX817" s="68"/>
      <c r="AY817" s="68"/>
      <c r="AZ817" s="68"/>
      <c r="BB817" s="68"/>
      <c r="BC817" s="68"/>
      <c r="BJ817" s="68"/>
      <c r="BT817">
        <v>1</v>
      </c>
      <c r="BV817">
        <v>1</v>
      </c>
      <c r="BX817" s="68"/>
      <c r="BY817" s="68">
        <v>1</v>
      </c>
      <c r="BZ817" s="68">
        <v>0</v>
      </c>
      <c r="CA817" s="68">
        <v>0</v>
      </c>
      <c r="CB817" s="68">
        <v>0</v>
      </c>
      <c r="CC817" s="68">
        <f t="shared" si="146"/>
        <v>0</v>
      </c>
      <c r="CD817" s="68">
        <f t="shared" si="147"/>
        <v>0</v>
      </c>
    </row>
    <row r="818" spans="1:82" ht="15.75" customHeight="1" thickBot="1" x14ac:dyDescent="0.3">
      <c r="A818" s="9">
        <v>817</v>
      </c>
      <c r="B818" s="10" t="s">
        <v>815</v>
      </c>
      <c r="C818" s="10" t="s">
        <v>93</v>
      </c>
      <c r="D818" s="10" t="s">
        <v>53</v>
      </c>
      <c r="E818" s="51">
        <v>-223.71072325986299</v>
      </c>
      <c r="F818" s="51">
        <v>48.636920372972298</v>
      </c>
      <c r="G818" s="51">
        <v>82.350433375052205</v>
      </c>
      <c r="H818" s="51">
        <v>0</v>
      </c>
      <c r="I818" s="11">
        <v>0</v>
      </c>
      <c r="J818" s="51">
        <v>8.9101157065293002</v>
      </c>
      <c r="K818" s="249">
        <f>IFERROR(VLOOKUP(C818,Schedule!$T$3:$U$34,2,0),"FA")</f>
        <v>11</v>
      </c>
      <c r="L818" s="10" t="str">
        <f>D818&amp;COUNTIF(D$2:$D818,D818)</f>
        <v>QB36</v>
      </c>
      <c r="M818" s="51">
        <f t="array" ref="M818">IFERROR(F818-AVERAGE(VLOOKUP(D818,$D819:$F$885,3,0),INDEX($F819:$F$885,SMALL(IF(D818=$D819:$D$885,ROW($D819:$D$885)-ROW(D818)),2))),0)</f>
        <v>12.059256994137598</v>
      </c>
      <c r="N818" s="51">
        <f>IFERROR(IF(VLOOKUP($B818,Input!$AC$2:$AC$162,1,0)=$B818,0),F818)</f>
        <v>48.636920372972298</v>
      </c>
      <c r="O818" s="51">
        <f>IFERROR(IF(VLOOKUP($B818,Input!$AC$2:$AC$162,1,0)=$B818,0,G818),G818)</f>
        <v>82.350433375052205</v>
      </c>
      <c r="P818" s="51">
        <f>IF(N818=0,0,F818-AVERAGE(INDEX(F:F,MATCH(VLOOKUP(D818,Input!$A$14:$L$22,10,0),L:L,0)),INDEX(F:F,MATCH(VLOOKUP(D818,Input!$A$14:$L$22,11,0),L:L,0)),INDEX(F:F,MATCH(VLOOKUP(D818,Input!$A$14:$L$22,12,0),L:L,0)))+(0.01-ROW()*0.01))</f>
        <v>-231.88072325986332</v>
      </c>
      <c r="Q818" s="107">
        <f t="shared" si="142"/>
        <v>-7.9997212662212616E-2</v>
      </c>
      <c r="R818" s="11">
        <f>IF(VLOOKUP($D818,$X$14:$Y$19,2,0)&lt;=0,1,IF(Q818&lt;0,1,ROUNDUP(IF(Q818*('Draft Center'!$L$28+'Draft Center'!$L$78-'Draft Center'!$L$82)&lt;1,1,Q818*('Draft Center'!$L$28+'Draft Center'!$L$78-'Draft Center'!$L$82)),0)))</f>
        <v>1</v>
      </c>
      <c r="S818" s="11">
        <f>IF(A818&lt;Input!$B$10+0.1,IF(ROUNDUP(R818*Input!$C$10,0)=0,1,ROUNDUP(R818*Input!$C$10,0)),IF(A818&gt;Input!$B$11,IF(ROUNDUP(R818*Input!$C$11,0)=0,1,ROUNDUP(R818*Input!$C$11,0)),IF(ROUNDUP(R818,0)=0,1,ROUNDUP(R818,0))))</f>
        <v>1</v>
      </c>
      <c r="T818" s="11">
        <f t="shared" si="143"/>
        <v>1</v>
      </c>
      <c r="U818" s="11">
        <f>IFERROR(VLOOKUP($B818,Input!$AC$2:$AE$161,3,0),0)</f>
        <v>0</v>
      </c>
      <c r="V818" s="257">
        <f t="shared" si="144"/>
        <v>0</v>
      </c>
      <c r="W818" s="264">
        <f t="shared" si="145"/>
        <v>1.0081800000000001</v>
      </c>
      <c r="X818" s="68"/>
      <c r="Y818" s="68"/>
      <c r="Z818" s="68"/>
      <c r="AA818" s="68"/>
      <c r="AB818" s="68"/>
      <c r="AC818" s="68"/>
      <c r="AD818" s="68"/>
      <c r="AE818" s="68"/>
      <c r="AF818" s="68"/>
      <c r="AG818" s="68"/>
      <c r="AH818" s="68"/>
      <c r="AI818" s="68"/>
      <c r="AJ818" s="68">
        <v>1</v>
      </c>
      <c r="AL818" s="68">
        <v>1</v>
      </c>
      <c r="AM818" s="68"/>
      <c r="AN818" s="68"/>
      <c r="AO818" s="68"/>
      <c r="AQ818" s="68"/>
      <c r="AR818" s="68"/>
      <c r="AS818" s="68"/>
      <c r="AT818" s="68"/>
      <c r="AU818" s="68"/>
      <c r="AV818" s="68"/>
      <c r="AW818" s="68"/>
      <c r="AX818" s="68"/>
      <c r="AY818" s="68"/>
      <c r="AZ818" s="68"/>
      <c r="BB818" s="68"/>
      <c r="BC818" s="68"/>
      <c r="BJ818" s="68"/>
      <c r="BT818">
        <v>1</v>
      </c>
      <c r="BV818">
        <v>1</v>
      </c>
      <c r="BX818" s="68"/>
      <c r="BY818" s="68">
        <v>1</v>
      </c>
      <c r="BZ818" s="68">
        <v>0</v>
      </c>
      <c r="CA818" s="68">
        <v>0</v>
      </c>
      <c r="CB818" s="68">
        <v>0</v>
      </c>
      <c r="CC818" s="68">
        <f t="shared" si="146"/>
        <v>0</v>
      </c>
      <c r="CD818" s="68">
        <f t="shared" si="147"/>
        <v>0</v>
      </c>
    </row>
    <row r="819" spans="1:82" ht="15.75" customHeight="1" thickBot="1" x14ac:dyDescent="0.3">
      <c r="A819" s="6">
        <v>818</v>
      </c>
      <c r="B819" s="7" t="s">
        <v>551</v>
      </c>
      <c r="C819" s="7" t="s">
        <v>143</v>
      </c>
      <c r="D819" s="7" t="s">
        <v>53</v>
      </c>
      <c r="E819" s="50">
        <v>-230.50925489533299</v>
      </c>
      <c r="F819" s="50">
        <v>41.838388737502697</v>
      </c>
      <c r="G819" s="50">
        <v>51.869217485936502</v>
      </c>
      <c r="H819" s="50">
        <v>1.9723999999999999</v>
      </c>
      <c r="I819" s="8">
        <v>0</v>
      </c>
      <c r="J819" s="50">
        <v>8.9335528481662401</v>
      </c>
      <c r="K819" s="248">
        <f>IFERROR(VLOOKUP(C819,Schedule!$T$3:$U$34,2,0),"FA")</f>
        <v>9</v>
      </c>
      <c r="L819" s="7" t="str">
        <f>D819&amp;COUNTIF(D$2:$D819,D819)</f>
        <v>QB37</v>
      </c>
      <c r="M819" s="50">
        <f t="array" ref="M819">IFERROR(F819-AVERAGE(VLOOKUP(D819,$D820:$F$885,3,0),INDEX($F820:$F$885,SMALL(IF(D819=$D820:$D$885,ROW($D820:$D$885)-ROW(D819)),2))),0)</f>
        <v>12.545877284734598</v>
      </c>
      <c r="N819" s="50">
        <f>IFERROR(IF(VLOOKUP($B819,Input!$AC$2:$AC$162,1,0)=$B819,0),F819)</f>
        <v>41.838388737502697</v>
      </c>
      <c r="O819" s="50">
        <f>IFERROR(IF(VLOOKUP($B819,Input!$AC$2:$AC$162,1,0)=$B819,0,G819),G819)</f>
        <v>51.869217485936502</v>
      </c>
      <c r="P819" s="50">
        <f>IF(N819=0,0,F819-AVERAGE(INDEX(F:F,MATCH(VLOOKUP(D819,Input!$A$14:$L$22,10,0),L:L,0)),INDEX(F:F,MATCH(VLOOKUP(D819,Input!$A$14:$L$22,11,0),L:L,0)),INDEX(F:F,MATCH(VLOOKUP(D819,Input!$A$14:$L$22,12,0),L:L,0)))+(0.01-ROW()*0.01))</f>
        <v>-238.68925489533294</v>
      </c>
      <c r="Q819" s="106">
        <f t="shared" si="142"/>
        <v>-8.234610801454284E-2</v>
      </c>
      <c r="R819" s="8">
        <f>IF(VLOOKUP($D819,$X$14:$Y$19,2,0)&lt;=0,1,IF(Q819&lt;0,1,ROUNDUP(IF(Q819*('Draft Center'!$L$28+'Draft Center'!$L$78-'Draft Center'!$L$82)&lt;1,1,Q819*('Draft Center'!$L$28+'Draft Center'!$L$78-'Draft Center'!$L$82)),0)))</f>
        <v>1</v>
      </c>
      <c r="S819" s="8">
        <f>IF(A819&lt;Input!$B$10+0.1,IF(ROUNDUP(R819*Input!$C$10,0)=0,1,ROUNDUP(R819*Input!$C$10,0)),IF(A819&gt;Input!$B$11,IF(ROUNDUP(R819*Input!$C$11,0)=0,1,ROUNDUP(R819*Input!$C$11,0)),IF(ROUNDUP(R819,0)=0,1,ROUNDUP(R819,0))))</f>
        <v>1</v>
      </c>
      <c r="T819" s="8">
        <f t="shared" si="143"/>
        <v>1</v>
      </c>
      <c r="U819" s="8">
        <f>IFERROR(VLOOKUP($B819,Input!$AC$2:$AE$161,3,0),0)</f>
        <v>0</v>
      </c>
      <c r="V819" s="256">
        <f t="shared" si="144"/>
        <v>0</v>
      </c>
      <c r="W819" s="263">
        <f t="shared" si="145"/>
        <v>1.0081899999999999</v>
      </c>
      <c r="X819" s="68"/>
      <c r="Y819" s="68"/>
      <c r="Z819" s="68"/>
      <c r="AA819" s="68"/>
      <c r="AB819" s="68"/>
      <c r="AC819" s="68"/>
      <c r="AD819" s="68"/>
      <c r="AE819" s="68"/>
      <c r="AF819" s="68"/>
      <c r="AG819" s="68"/>
      <c r="AH819" s="68"/>
      <c r="AI819" s="68"/>
      <c r="AJ819" s="68">
        <v>1</v>
      </c>
      <c r="AL819" s="68">
        <v>1</v>
      </c>
      <c r="AM819" s="68"/>
      <c r="AN819" s="68"/>
      <c r="AO819" s="68"/>
      <c r="AQ819" s="68"/>
      <c r="AR819" s="68"/>
      <c r="AS819" s="68"/>
      <c r="AT819" s="68"/>
      <c r="AU819" s="68"/>
      <c r="AV819" s="68"/>
      <c r="AW819" s="68"/>
      <c r="AX819" s="68"/>
      <c r="AY819" s="68"/>
      <c r="AZ819" s="68"/>
      <c r="BB819" s="68"/>
      <c r="BC819" s="68"/>
      <c r="BJ819" s="68"/>
      <c r="BT819">
        <v>1</v>
      </c>
      <c r="BV819">
        <v>1</v>
      </c>
      <c r="BX819" s="68"/>
      <c r="BY819" s="68">
        <v>1</v>
      </c>
      <c r="BZ819" s="68">
        <v>0</v>
      </c>
      <c r="CA819" s="68">
        <v>0</v>
      </c>
      <c r="CB819" s="68">
        <v>0</v>
      </c>
      <c r="CC819" s="68">
        <f t="shared" si="146"/>
        <v>0</v>
      </c>
      <c r="CD819" s="68">
        <f t="shared" si="147"/>
        <v>0</v>
      </c>
    </row>
    <row r="820" spans="1:82" ht="15.75" customHeight="1" thickBot="1" x14ac:dyDescent="0.3">
      <c r="A820" s="9">
        <v>819</v>
      </c>
      <c r="B820" s="10" t="s">
        <v>1042</v>
      </c>
      <c r="C820" s="10" t="s">
        <v>31</v>
      </c>
      <c r="D820" s="10" t="s">
        <v>53</v>
      </c>
      <c r="E820" s="51">
        <v>-241.03070561266901</v>
      </c>
      <c r="F820" s="51">
        <v>31.316938020166699</v>
      </c>
      <c r="G820" s="51">
        <v>48.585180609237</v>
      </c>
      <c r="H820" s="51">
        <v>3.9674951989026099</v>
      </c>
      <c r="I820" s="11">
        <v>0</v>
      </c>
      <c r="J820" s="51">
        <v>6.4035272718962002</v>
      </c>
      <c r="K820" s="249">
        <f>IFERROR(VLOOKUP(C820,Schedule!$T$3:$U$34,2,0),"FA")</f>
        <v>9</v>
      </c>
      <c r="L820" s="10" t="str">
        <f>D820&amp;COUNTIF(D$2:$D820,D820)</f>
        <v>QB38</v>
      </c>
      <c r="M820" s="51">
        <f t="array" ref="M820">IFERROR(F820-AVERAGE(VLOOKUP(D820,$D821:$F$885,3,0),INDEX($F821:$F$885,SMALL(IF(D820=$D821:$D$885,ROW($D821:$D$885)-ROW(D820)),2))),0)</f>
        <v>5.802805776702197</v>
      </c>
      <c r="N820" s="51">
        <f>IFERROR(IF(VLOOKUP($B820,Input!$AC$2:$AC$162,1,0)=$B820,0),F820)</f>
        <v>31.316938020166699</v>
      </c>
      <c r="O820" s="51">
        <f>IFERROR(IF(VLOOKUP($B820,Input!$AC$2:$AC$162,1,0)=$B820,0,G820),G820)</f>
        <v>48.585180609237</v>
      </c>
      <c r="P820" s="51">
        <f>IF(N820=0,0,F820-AVERAGE(INDEX(F:F,MATCH(VLOOKUP(D820,Input!$A$14:$L$22,10,0),L:L,0)),INDEX(F:F,MATCH(VLOOKUP(D820,Input!$A$14:$L$22,11,0),L:L,0)),INDEX(F:F,MATCH(VLOOKUP(D820,Input!$A$14:$L$22,12,0),L:L,0)))+(0.01-ROW()*0.01))</f>
        <v>-249.22070561266892</v>
      </c>
      <c r="Q820" s="107">
        <f t="shared" si="142"/>
        <v>-8.5979384169767636E-2</v>
      </c>
      <c r="R820" s="11">
        <f>IF(VLOOKUP($D820,$X$14:$Y$19,2,0)&lt;=0,1,IF(Q820&lt;0,1,ROUNDUP(IF(Q820*('Draft Center'!$L$28+'Draft Center'!$L$78-'Draft Center'!$L$82)&lt;1,1,Q820*('Draft Center'!$L$28+'Draft Center'!$L$78-'Draft Center'!$L$82)),0)))</f>
        <v>1</v>
      </c>
      <c r="S820" s="11">
        <f>IF(A820&lt;Input!$B$10+0.1,IF(ROUNDUP(R820*Input!$C$10,0)=0,1,ROUNDUP(R820*Input!$C$10,0)),IF(A820&gt;Input!$B$11,IF(ROUNDUP(R820*Input!$C$11,0)=0,1,ROUNDUP(R820*Input!$C$11,0)),IF(ROUNDUP(R820,0)=0,1,ROUNDUP(R820,0))))</f>
        <v>1</v>
      </c>
      <c r="T820" s="11">
        <f t="shared" si="143"/>
        <v>1</v>
      </c>
      <c r="U820" s="11">
        <f>IFERROR(VLOOKUP($B820,Input!$AC$2:$AE$161,3,0),0)</f>
        <v>0</v>
      </c>
      <c r="V820" s="257">
        <f t="shared" si="144"/>
        <v>0</v>
      </c>
      <c r="W820" s="264">
        <f t="shared" si="145"/>
        <v>1.0082</v>
      </c>
      <c r="X820" s="68"/>
      <c r="Y820" s="68"/>
      <c r="Z820" s="68"/>
      <c r="AA820" s="68"/>
      <c r="AB820" s="68"/>
      <c r="AC820" s="68"/>
      <c r="AD820" s="68"/>
      <c r="AE820" s="68"/>
      <c r="AF820" s="68"/>
      <c r="AG820" s="68"/>
      <c r="AH820" s="68"/>
      <c r="AI820" s="68"/>
      <c r="AJ820" s="68">
        <v>1</v>
      </c>
      <c r="AL820" s="68">
        <v>1</v>
      </c>
      <c r="AM820" s="68"/>
      <c r="AN820" s="68"/>
      <c r="AO820" s="68"/>
      <c r="AQ820" s="68"/>
      <c r="AR820" s="68"/>
      <c r="AS820" s="68"/>
      <c r="AT820" s="68"/>
      <c r="AU820" s="68"/>
      <c r="AV820" s="68"/>
      <c r="AW820" s="68"/>
      <c r="AX820" s="68"/>
      <c r="AY820" s="68"/>
      <c r="AZ820" s="68"/>
      <c r="BB820" s="68"/>
      <c r="BC820" s="68"/>
      <c r="BJ820" s="68"/>
      <c r="BT820">
        <v>1</v>
      </c>
      <c r="BV820">
        <v>1</v>
      </c>
      <c r="BX820" s="68"/>
      <c r="BY820" s="68">
        <v>1</v>
      </c>
      <c r="BZ820" s="68">
        <v>0</v>
      </c>
      <c r="CA820" s="68">
        <v>0</v>
      </c>
      <c r="CB820" s="68">
        <v>0</v>
      </c>
      <c r="CC820" s="68">
        <f t="shared" si="146"/>
        <v>0</v>
      </c>
      <c r="CD820" s="68">
        <f t="shared" si="147"/>
        <v>0</v>
      </c>
    </row>
    <row r="821" spans="1:82" ht="15.75" customHeight="1" thickBot="1" x14ac:dyDescent="0.3">
      <c r="A821" s="6">
        <v>820</v>
      </c>
      <c r="B821" s="7" t="s">
        <v>490</v>
      </c>
      <c r="C821" s="7" t="s">
        <v>57</v>
      </c>
      <c r="D821" s="7" t="s">
        <v>53</v>
      </c>
      <c r="E821" s="50">
        <v>-245.079558747466</v>
      </c>
      <c r="F821" s="50">
        <v>27.2680848853695</v>
      </c>
      <c r="G821" s="50">
        <v>58.853864441700999</v>
      </c>
      <c r="H821" s="50">
        <v>1.8600440525181301</v>
      </c>
      <c r="I821" s="8">
        <v>0</v>
      </c>
      <c r="J821" s="50">
        <v>7.9408854639360102</v>
      </c>
      <c r="K821" s="248">
        <f>IFERROR(VLOOKUP(C821,Schedule!$T$3:$U$34,2,0),"FA")</f>
        <v>11</v>
      </c>
      <c r="L821" s="7" t="str">
        <f>D821&amp;COUNTIF(D$2:$D821,D821)</f>
        <v>QB39</v>
      </c>
      <c r="M821" s="50">
        <f t="array" ref="M821">IFERROR(F821-AVERAGE(VLOOKUP(D821,$D822:$F$885,3,0),INDEX($F822:$F$885,SMALL(IF(D821=$D822:$D$885,ROW($D822:$D$885)-ROW(D821)),2))),0)</f>
        <v>4.4226052157233511</v>
      </c>
      <c r="N821" s="50">
        <f>IFERROR(IF(VLOOKUP($B821,Input!$AC$2:$AC$162,1,0)=$B821,0),F821)</f>
        <v>27.2680848853695</v>
      </c>
      <c r="O821" s="50">
        <f>IFERROR(IF(VLOOKUP($B821,Input!$AC$2:$AC$162,1,0)=$B821,0,G821),G821)</f>
        <v>58.853864441700999</v>
      </c>
      <c r="P821" s="50">
        <f>IF(N821=0,0,F821-AVERAGE(INDEX(F:F,MATCH(VLOOKUP(D821,Input!$A$14:$L$22,10,0),L:L,0)),INDEX(F:F,MATCH(VLOOKUP(D821,Input!$A$14:$L$22,11,0),L:L,0)),INDEX(F:F,MATCH(VLOOKUP(D821,Input!$A$14:$L$22,12,0),L:L,0)))+(0.01-ROW()*0.01))</f>
        <v>-253.27955874746613</v>
      </c>
      <c r="Q821" s="106">
        <f t="shared" si="142"/>
        <v>-8.7379659849541061E-2</v>
      </c>
      <c r="R821" s="8">
        <f>IF(VLOOKUP($D821,$X$14:$Y$19,2,0)&lt;=0,1,IF(Q821&lt;0,1,ROUNDUP(IF(Q821*('Draft Center'!$L$28+'Draft Center'!$L$78-'Draft Center'!$L$82)&lt;1,1,Q821*('Draft Center'!$L$28+'Draft Center'!$L$78-'Draft Center'!$L$82)),0)))</f>
        <v>1</v>
      </c>
      <c r="S821" s="8">
        <f>IF(A821&lt;Input!$B$10+0.1,IF(ROUNDUP(R821*Input!$C$10,0)=0,1,ROUNDUP(R821*Input!$C$10,0)),IF(A821&gt;Input!$B$11,IF(ROUNDUP(R821*Input!$C$11,0)=0,1,ROUNDUP(R821*Input!$C$11,0)),IF(ROUNDUP(R821,0)=0,1,ROUNDUP(R821,0))))</f>
        <v>1</v>
      </c>
      <c r="T821" s="8">
        <f t="shared" si="143"/>
        <v>1</v>
      </c>
      <c r="U821" s="8">
        <f>IFERROR(VLOOKUP($B821,Input!$AC$2:$AE$161,3,0),0)</f>
        <v>0</v>
      </c>
      <c r="V821" s="256">
        <f t="shared" si="144"/>
        <v>0</v>
      </c>
      <c r="W821" s="263">
        <f t="shared" si="145"/>
        <v>1.0082100000000001</v>
      </c>
      <c r="X821" s="68"/>
      <c r="Y821" s="68"/>
      <c r="Z821" s="68"/>
      <c r="AA821" s="68"/>
      <c r="AB821" s="68"/>
      <c r="AC821" s="68"/>
      <c r="AD821" s="68"/>
      <c r="AE821" s="68"/>
      <c r="AF821" s="68"/>
      <c r="AG821" s="68"/>
      <c r="AH821" s="68"/>
      <c r="AI821" s="68"/>
      <c r="AJ821" s="68">
        <v>1</v>
      </c>
      <c r="AL821" s="68">
        <v>1</v>
      </c>
      <c r="AM821" s="68"/>
      <c r="AN821" s="68"/>
      <c r="AO821" s="68"/>
      <c r="AQ821" s="68"/>
      <c r="AR821" s="68"/>
      <c r="AS821" s="68"/>
      <c r="AT821" s="68"/>
      <c r="AU821" s="68"/>
      <c r="AV821" s="68"/>
      <c r="AW821" s="68"/>
      <c r="AX821" s="68"/>
      <c r="AY821" s="68"/>
      <c r="AZ821" s="68"/>
      <c r="BB821" s="68"/>
      <c r="BC821" s="68"/>
      <c r="BJ821" s="68"/>
      <c r="BT821">
        <v>1</v>
      </c>
      <c r="BV821">
        <v>1</v>
      </c>
      <c r="BX821" s="68"/>
      <c r="BY821" s="68">
        <v>1</v>
      </c>
      <c r="BZ821" s="68">
        <v>0</v>
      </c>
      <c r="CA821" s="68">
        <v>0</v>
      </c>
      <c r="CB821" s="68">
        <v>0</v>
      </c>
      <c r="CC821" s="68">
        <f t="shared" si="146"/>
        <v>0</v>
      </c>
      <c r="CD821" s="68">
        <f t="shared" si="147"/>
        <v>0</v>
      </c>
    </row>
    <row r="822" spans="1:82" ht="15.75" customHeight="1" thickBot="1" x14ac:dyDescent="0.3">
      <c r="A822" s="9">
        <v>821</v>
      </c>
      <c r="B822" s="10" t="s">
        <v>558</v>
      </c>
      <c r="C822" s="10" t="s">
        <v>80</v>
      </c>
      <c r="D822" s="10" t="s">
        <v>53</v>
      </c>
      <c r="E822" s="51">
        <v>-248.587464031276</v>
      </c>
      <c r="F822" s="51">
        <v>23.7601796015595</v>
      </c>
      <c r="G822" s="51">
        <v>58.006827858401103</v>
      </c>
      <c r="H822" s="51">
        <v>0</v>
      </c>
      <c r="I822" s="11">
        <v>0</v>
      </c>
      <c r="J822" s="51">
        <v>6.56431715316468</v>
      </c>
      <c r="K822" s="249">
        <f>IFERROR(VLOOKUP(C822,Schedule!$T$3:$U$34,2,0),"FA")</f>
        <v>11</v>
      </c>
      <c r="L822" s="10" t="str">
        <f>D822&amp;COUNTIF(D$2:$D822,D822)</f>
        <v>QB40</v>
      </c>
      <c r="M822" s="51">
        <f t="array" ref="M822">IFERROR(F822-AVERAGE(VLOOKUP(D822,$D823:$F$885,3,0),INDEX($F823:$F$885,SMALL(IF(D822=$D823:$D$885,ROW($D823:$D$885)-ROW(D822)),2))),0)</f>
        <v>3.8259711687149505</v>
      </c>
      <c r="N822" s="51">
        <f>IFERROR(IF(VLOOKUP($B822,Input!$AC$2:$AC$162,1,0)=$B822,0),F822)</f>
        <v>23.7601796015595</v>
      </c>
      <c r="O822" s="51">
        <f>IFERROR(IF(VLOOKUP($B822,Input!$AC$2:$AC$162,1,0)=$B822,0,G822),G822)</f>
        <v>58.006827858401103</v>
      </c>
      <c r="P822" s="51">
        <f>IF(N822=0,0,F822-AVERAGE(INDEX(F:F,MATCH(VLOOKUP(D822,Input!$A$14:$L$22,10,0),L:L,0)),INDEX(F:F,MATCH(VLOOKUP(D822,Input!$A$14:$L$22,11,0),L:L,0)),INDEX(F:F,MATCH(VLOOKUP(D822,Input!$A$14:$L$22,12,0),L:L,0)))+(0.01-ROW()*0.01))</f>
        <v>-256.79746403127609</v>
      </c>
      <c r="Q822" s="107">
        <f t="shared" si="142"/>
        <v>-8.8593312339313071E-2</v>
      </c>
      <c r="R822" s="11">
        <f>IF(VLOOKUP($D822,$X$14:$Y$19,2,0)&lt;=0,1,IF(Q822&lt;0,1,ROUNDUP(IF(Q822*('Draft Center'!$L$28+'Draft Center'!$L$78-'Draft Center'!$L$82)&lt;1,1,Q822*('Draft Center'!$L$28+'Draft Center'!$L$78-'Draft Center'!$L$82)),0)))</f>
        <v>1</v>
      </c>
      <c r="S822" s="11">
        <f>IF(A822&lt;Input!$B$10+0.1,IF(ROUNDUP(R822*Input!$C$10,0)=0,1,ROUNDUP(R822*Input!$C$10,0)),IF(A822&gt;Input!$B$11,IF(ROUNDUP(R822*Input!$C$11,0)=0,1,ROUNDUP(R822*Input!$C$11,0)),IF(ROUNDUP(R822,0)=0,1,ROUNDUP(R822,0))))</f>
        <v>1</v>
      </c>
      <c r="T822" s="11">
        <f t="shared" si="143"/>
        <v>1</v>
      </c>
      <c r="U822" s="11">
        <f>IFERROR(VLOOKUP($B822,Input!$AC$2:$AE$161,3,0),0)</f>
        <v>0</v>
      </c>
      <c r="V822" s="257">
        <f t="shared" si="144"/>
        <v>0</v>
      </c>
      <c r="W822" s="264">
        <f t="shared" si="145"/>
        <v>1.0082199999999999</v>
      </c>
      <c r="X822" s="68"/>
      <c r="Y822" s="68"/>
      <c r="Z822" s="68"/>
      <c r="AA822" s="68"/>
      <c r="AB822" s="68"/>
      <c r="AC822" s="68"/>
      <c r="AD822" s="68"/>
      <c r="AE822" s="68"/>
      <c r="AF822" s="68"/>
      <c r="AG822" s="68"/>
      <c r="AH822" s="68"/>
      <c r="AI822" s="68"/>
      <c r="AJ822" s="68">
        <v>1</v>
      </c>
      <c r="AL822" s="68">
        <v>1</v>
      </c>
      <c r="AM822" s="68"/>
      <c r="AN822" s="68"/>
      <c r="AO822" s="68"/>
      <c r="AQ822" s="68"/>
      <c r="AR822" s="68"/>
      <c r="AS822" s="68"/>
      <c r="AT822" s="68"/>
      <c r="AU822" s="68"/>
      <c r="AV822" s="68"/>
      <c r="AW822" s="68"/>
      <c r="AX822" s="68"/>
      <c r="AY822" s="68"/>
      <c r="AZ822" s="68"/>
      <c r="BB822" s="68"/>
      <c r="BC822" s="68"/>
      <c r="BJ822" s="68"/>
      <c r="BT822">
        <v>1</v>
      </c>
      <c r="BV822">
        <v>1</v>
      </c>
      <c r="BX822" s="68"/>
      <c r="BY822" s="68">
        <v>1</v>
      </c>
      <c r="BZ822" s="68">
        <v>0</v>
      </c>
      <c r="CA822" s="68">
        <v>0</v>
      </c>
      <c r="CB822" s="68">
        <v>0</v>
      </c>
      <c r="CC822" s="68">
        <f t="shared" si="146"/>
        <v>0</v>
      </c>
      <c r="CD822" s="68">
        <f t="shared" si="147"/>
        <v>0</v>
      </c>
    </row>
    <row r="823" spans="1:82" ht="15.75" customHeight="1" thickBot="1" x14ac:dyDescent="0.3">
      <c r="A823" s="6">
        <v>822</v>
      </c>
      <c r="B823" s="7" t="s">
        <v>549</v>
      </c>
      <c r="C823" s="7" t="s">
        <v>93</v>
      </c>
      <c r="D823" s="7" t="s">
        <v>53</v>
      </c>
      <c r="E823" s="50">
        <v>-250.41686389510301</v>
      </c>
      <c r="F823" s="50">
        <v>21.930779737732799</v>
      </c>
      <c r="G823" s="50">
        <v>37.160749399472103</v>
      </c>
      <c r="H823" s="50">
        <v>3.40154732510288</v>
      </c>
      <c r="I823" s="8">
        <v>0</v>
      </c>
      <c r="J823" s="50">
        <v>4.6580587433193203</v>
      </c>
      <c r="K823" s="248">
        <f>IFERROR(VLOOKUP(C823,Schedule!$T$3:$U$34,2,0),"FA")</f>
        <v>11</v>
      </c>
      <c r="L823" s="7" t="str">
        <f>D823&amp;COUNTIF(D$2:$D823,D823)</f>
        <v>QB41</v>
      </c>
      <c r="M823" s="50">
        <f t="array" ref="M823">IFERROR(F823-AVERAGE(VLOOKUP(D823,$D824:$F$885,3,0),INDEX($F824:$F$885,SMALL(IF(D823=$D824:$D$885,ROW($D824:$D$885)-ROW(D823)),2))),0)</f>
        <v>4.02853196763445</v>
      </c>
      <c r="N823" s="50">
        <f>IFERROR(IF(VLOOKUP($B823,Input!$AC$2:$AC$162,1,0)=$B823,0),F823)</f>
        <v>21.930779737732799</v>
      </c>
      <c r="O823" s="50">
        <f>IFERROR(IF(VLOOKUP($B823,Input!$AC$2:$AC$162,1,0)=$B823,0,G823),G823)</f>
        <v>37.160749399472103</v>
      </c>
      <c r="P823" s="50">
        <f>IF(N823=0,0,F823-AVERAGE(INDEX(F:F,MATCH(VLOOKUP(D823,Input!$A$14:$L$22,10,0),L:L,0)),INDEX(F:F,MATCH(VLOOKUP(D823,Input!$A$14:$L$22,11,0),L:L,0)),INDEX(F:F,MATCH(VLOOKUP(D823,Input!$A$14:$L$22,12,0),L:L,0)))+(0.01-ROW()*0.01))</f>
        <v>-258.63686389510286</v>
      </c>
      <c r="Q823" s="106">
        <f t="shared" si="142"/>
        <v>-8.9227892307879461E-2</v>
      </c>
      <c r="R823" s="8">
        <f>IF(VLOOKUP($D823,$X$14:$Y$19,2,0)&lt;=0,1,IF(Q823&lt;0,1,ROUNDUP(IF(Q823*('Draft Center'!$L$28+'Draft Center'!$L$78-'Draft Center'!$L$82)&lt;1,1,Q823*('Draft Center'!$L$28+'Draft Center'!$L$78-'Draft Center'!$L$82)),0)))</f>
        <v>1</v>
      </c>
      <c r="S823" s="8">
        <f>IF(A823&lt;Input!$B$10+0.1,IF(ROUNDUP(R823*Input!$C$10,0)=0,1,ROUNDUP(R823*Input!$C$10,0)),IF(A823&gt;Input!$B$11,IF(ROUNDUP(R823*Input!$C$11,0)=0,1,ROUNDUP(R823*Input!$C$11,0)),IF(ROUNDUP(R823,0)=0,1,ROUNDUP(R823,0))))</f>
        <v>1</v>
      </c>
      <c r="T823" s="8">
        <f t="shared" si="143"/>
        <v>1</v>
      </c>
      <c r="U823" s="8">
        <f>IFERROR(VLOOKUP($B823,Input!$AC$2:$AE$161,3,0),0)</f>
        <v>0</v>
      </c>
      <c r="V823" s="256">
        <f t="shared" si="144"/>
        <v>0</v>
      </c>
      <c r="W823" s="263">
        <f t="shared" si="145"/>
        <v>1.00823</v>
      </c>
      <c r="X823" s="68"/>
      <c r="Y823" s="68"/>
      <c r="Z823" s="68"/>
      <c r="AA823" s="68"/>
      <c r="AB823" s="68"/>
      <c r="AC823" s="68"/>
      <c r="AD823" s="68"/>
      <c r="AE823" s="68"/>
      <c r="AF823" s="68"/>
      <c r="AG823" s="68"/>
      <c r="AH823" s="68"/>
      <c r="AI823" s="68"/>
      <c r="AJ823" s="68">
        <v>1</v>
      </c>
      <c r="AL823" s="68">
        <v>1</v>
      </c>
      <c r="AM823" s="68"/>
      <c r="AN823" s="68"/>
      <c r="AO823" s="68"/>
      <c r="AQ823" s="68"/>
      <c r="AR823" s="68"/>
      <c r="AS823" s="68"/>
      <c r="AT823" s="68"/>
      <c r="AU823" s="68"/>
      <c r="AV823" s="68"/>
      <c r="AW823" s="68"/>
      <c r="AX823" s="68"/>
      <c r="AY823" s="68"/>
      <c r="AZ823" s="68"/>
      <c r="BB823" s="68"/>
      <c r="BC823" s="68"/>
      <c r="BJ823" s="68"/>
      <c r="BT823">
        <v>1</v>
      </c>
      <c r="BV823">
        <v>1</v>
      </c>
      <c r="BX823" s="68"/>
      <c r="BY823" s="68">
        <v>1</v>
      </c>
      <c r="BZ823" s="68">
        <v>0</v>
      </c>
      <c r="CA823" s="68">
        <v>0</v>
      </c>
      <c r="CB823" s="68">
        <v>0</v>
      </c>
      <c r="CC823" s="68">
        <f t="shared" si="146"/>
        <v>0</v>
      </c>
      <c r="CD823" s="68">
        <f t="shared" si="147"/>
        <v>0</v>
      </c>
    </row>
    <row r="824" spans="1:82" ht="15.75" customHeight="1" thickBot="1" x14ac:dyDescent="0.3">
      <c r="A824" s="9">
        <v>823</v>
      </c>
      <c r="B824" s="10" t="s">
        <v>174</v>
      </c>
      <c r="C824" s="10" t="s">
        <v>33</v>
      </c>
      <c r="D824" s="10" t="s">
        <v>53</v>
      </c>
      <c r="E824" s="51">
        <v>-254.41000650487899</v>
      </c>
      <c r="F824" s="51">
        <v>17.9376371279563</v>
      </c>
      <c r="G824" s="51">
        <v>28.0828246024255</v>
      </c>
      <c r="H824" s="51">
        <v>3.7764000000000002</v>
      </c>
      <c r="I824" s="11">
        <v>0</v>
      </c>
      <c r="J824" s="51">
        <v>5.3984438552828502</v>
      </c>
      <c r="K824" s="249">
        <f>IFERROR(VLOOKUP(C824,Schedule!$T$3:$U$34,2,0),"FA")</f>
        <v>9</v>
      </c>
      <c r="L824" s="10" t="str">
        <f>D824&amp;COUNTIF(D$2:$D824,D824)</f>
        <v>QB42</v>
      </c>
      <c r="M824" s="51">
        <f t="array" ref="M824">IFERROR(F824-AVERAGE(VLOOKUP(D824,$D825:$F$885,3,0),INDEX($F825:$F$885,SMALL(IF(D824=$D825:$D$885,ROW($D825:$D$885)-ROW(D824)),2))),0)</f>
        <v>2.4100766708899997</v>
      </c>
      <c r="N824" s="51">
        <f>IFERROR(IF(VLOOKUP($B824,Input!$AC$2:$AC$162,1,0)=$B824,0),F824)</f>
        <v>17.9376371279563</v>
      </c>
      <c r="O824" s="51">
        <f>IFERROR(IF(VLOOKUP($B824,Input!$AC$2:$AC$162,1,0)=$B824,0,G824),G824)</f>
        <v>28.0828246024255</v>
      </c>
      <c r="P824" s="51">
        <f>IF(N824=0,0,F824-AVERAGE(INDEX(F:F,MATCH(VLOOKUP(D824,Input!$A$14:$L$22,10,0),L:L,0)),INDEX(F:F,MATCH(VLOOKUP(D824,Input!$A$14:$L$22,11,0),L:L,0)),INDEX(F:F,MATCH(VLOOKUP(D824,Input!$A$14:$L$22,12,0),L:L,0)))+(0.01-ROW()*0.01))</f>
        <v>-262.64000650487935</v>
      </c>
      <c r="Q824" s="107">
        <f t="shared" si="142"/>
        <v>-9.0608948249785284E-2</v>
      </c>
      <c r="R824" s="11">
        <f>IF(VLOOKUP($D824,$X$14:$Y$19,2,0)&lt;=0,1,IF(Q824&lt;0,1,ROUNDUP(IF(Q824*('Draft Center'!$L$28+'Draft Center'!$L$78-'Draft Center'!$L$82)&lt;1,1,Q824*('Draft Center'!$L$28+'Draft Center'!$L$78-'Draft Center'!$L$82)),0)))</f>
        <v>1</v>
      </c>
      <c r="S824" s="11">
        <f>IF(A824&lt;Input!$B$10+0.1,IF(ROUNDUP(R824*Input!$C$10,0)=0,1,ROUNDUP(R824*Input!$C$10,0)),IF(A824&gt;Input!$B$11,IF(ROUNDUP(R824*Input!$C$11,0)=0,1,ROUNDUP(R824*Input!$C$11,0)),IF(ROUNDUP(R824,0)=0,1,ROUNDUP(R824,0))))</f>
        <v>1</v>
      </c>
      <c r="T824" s="11">
        <f t="shared" si="143"/>
        <v>1</v>
      </c>
      <c r="U824" s="11">
        <f>IFERROR(VLOOKUP($B824,Input!$AC$2:$AE$161,3,0),0)</f>
        <v>0</v>
      </c>
      <c r="V824" s="257">
        <f t="shared" si="144"/>
        <v>0</v>
      </c>
      <c r="W824" s="264">
        <f t="shared" si="145"/>
        <v>1.00824</v>
      </c>
      <c r="X824" s="68"/>
      <c r="Y824" s="68"/>
      <c r="Z824" s="68"/>
      <c r="AA824" s="68"/>
      <c r="AB824" s="68"/>
      <c r="AC824" s="68"/>
      <c r="AD824" s="68"/>
      <c r="AE824" s="68"/>
      <c r="AF824" s="68"/>
      <c r="AG824" s="68"/>
      <c r="AH824" s="68"/>
      <c r="AI824" s="68"/>
      <c r="AJ824" s="68">
        <v>1</v>
      </c>
      <c r="AL824" s="68">
        <v>1</v>
      </c>
      <c r="AM824" s="68"/>
      <c r="AN824" s="68"/>
      <c r="AO824" s="68"/>
      <c r="AQ824" s="68"/>
      <c r="AR824" s="68"/>
      <c r="AS824" s="68"/>
      <c r="AT824" s="68"/>
      <c r="AU824" s="68"/>
      <c r="AV824" s="68"/>
      <c r="AW824" s="68"/>
      <c r="AX824" s="68"/>
      <c r="AY824" s="68"/>
      <c r="AZ824" s="68"/>
      <c r="BB824" s="68"/>
      <c r="BC824" s="68"/>
      <c r="BJ824" s="68"/>
      <c r="BT824">
        <v>1</v>
      </c>
      <c r="BV824">
        <v>1</v>
      </c>
      <c r="BX824" s="68"/>
      <c r="BY824" s="68">
        <v>1</v>
      </c>
      <c r="BZ824" s="68">
        <v>0</v>
      </c>
      <c r="CA824" s="68">
        <v>0</v>
      </c>
      <c r="CB824" s="68">
        <v>0</v>
      </c>
      <c r="CC824" s="68">
        <f t="shared" si="146"/>
        <v>0</v>
      </c>
      <c r="CD824" s="68">
        <f t="shared" si="147"/>
        <v>0</v>
      </c>
    </row>
    <row r="825" spans="1:82" ht="15.75" customHeight="1" thickBot="1" x14ac:dyDescent="0.3">
      <c r="A825" s="6">
        <v>824</v>
      </c>
      <c r="B825" s="7" t="s">
        <v>563</v>
      </c>
      <c r="C825" s="7" t="s">
        <v>925</v>
      </c>
      <c r="D825" s="7" t="s">
        <v>53</v>
      </c>
      <c r="E825" s="50">
        <v>-254.48078522059501</v>
      </c>
      <c r="F825" s="50">
        <v>17.866858412240401</v>
      </c>
      <c r="G825" s="50">
        <v>42.640746578130198</v>
      </c>
      <c r="H825" s="50">
        <v>-2.0165048010973901</v>
      </c>
      <c r="I825" s="8">
        <v>0</v>
      </c>
      <c r="J825" s="50">
        <v>7.39955048914437</v>
      </c>
      <c r="K825" s="248">
        <f>IFERROR(VLOOKUP(C825,Schedule!$T$3:$U$34,2,0),"FA")</f>
        <v>8</v>
      </c>
      <c r="L825" s="7" t="str">
        <f>D825&amp;COUNTIF(D$2:$D825,D825)</f>
        <v>QB43</v>
      </c>
      <c r="M825" s="50">
        <f t="array" ref="M825">IFERROR(F825-AVERAGE(VLOOKUP(D825,$D826:$F$885,3,0),INDEX($F826:$F$885,SMALL(IF(D825=$D826:$D$885,ROW($D826:$D$885)-ROW(D825)),2))),0)</f>
        <v>4.7391194795384504</v>
      </c>
      <c r="N825" s="50">
        <f>IFERROR(IF(VLOOKUP($B825,Input!$AC$2:$AC$162,1,0)=$B825,0),F825)</f>
        <v>17.866858412240401</v>
      </c>
      <c r="O825" s="50">
        <f>IFERROR(IF(VLOOKUP($B825,Input!$AC$2:$AC$162,1,0)=$B825,0,G825),G825)</f>
        <v>42.640746578130198</v>
      </c>
      <c r="P825" s="50">
        <f>IF(N825=0,0,F825-AVERAGE(INDEX(F:F,MATCH(VLOOKUP(D825,Input!$A$14:$L$22,10,0),L:L,0)),INDEX(F:F,MATCH(VLOOKUP(D825,Input!$A$14:$L$22,11,0),L:L,0)),INDEX(F:F,MATCH(VLOOKUP(D825,Input!$A$14:$L$22,12,0),L:L,0)))+(0.01-ROW()*0.01))</f>
        <v>-262.72078522059525</v>
      </c>
      <c r="Q825" s="106">
        <f t="shared" si="142"/>
        <v>-9.0636816336484599E-2</v>
      </c>
      <c r="R825" s="8">
        <f>IF(VLOOKUP($D825,$X$14:$Y$19,2,0)&lt;=0,1,IF(Q825&lt;0,1,ROUNDUP(IF(Q825*('Draft Center'!$L$28+'Draft Center'!$L$78-'Draft Center'!$L$82)&lt;1,1,Q825*('Draft Center'!$L$28+'Draft Center'!$L$78-'Draft Center'!$L$82)),0)))</f>
        <v>1</v>
      </c>
      <c r="S825" s="8">
        <f>IF(A825&lt;Input!$B$10+0.1,IF(ROUNDUP(R825*Input!$C$10,0)=0,1,ROUNDUP(R825*Input!$C$10,0)),IF(A825&gt;Input!$B$11,IF(ROUNDUP(R825*Input!$C$11,0)=0,1,ROUNDUP(R825*Input!$C$11,0)),IF(ROUNDUP(R825,0)=0,1,ROUNDUP(R825,0))))</f>
        <v>1</v>
      </c>
      <c r="T825" s="8">
        <f t="shared" si="143"/>
        <v>1</v>
      </c>
      <c r="U825" s="8">
        <f>IFERROR(VLOOKUP($B825,Input!$AC$2:$AE$161,3,0),0)</f>
        <v>0</v>
      </c>
      <c r="V825" s="256">
        <f t="shared" si="144"/>
        <v>0</v>
      </c>
      <c r="W825" s="263">
        <f t="shared" si="145"/>
        <v>1.0082500000000001</v>
      </c>
      <c r="X825" s="68"/>
      <c r="Y825" s="68"/>
      <c r="Z825" s="68"/>
      <c r="AA825" s="68"/>
      <c r="AB825" s="68"/>
      <c r="AC825" s="68"/>
      <c r="AD825" s="68"/>
      <c r="AE825" s="68"/>
      <c r="AF825" s="68"/>
      <c r="AG825" s="68"/>
      <c r="AH825" s="68"/>
      <c r="AI825" s="68"/>
      <c r="AJ825" s="68">
        <v>1</v>
      </c>
      <c r="AL825" s="68">
        <v>1</v>
      </c>
      <c r="AM825" s="68"/>
      <c r="AN825" s="68"/>
      <c r="AO825" s="68"/>
      <c r="AQ825" s="68"/>
      <c r="AR825" s="68"/>
      <c r="AS825" s="68"/>
      <c r="AT825" s="68"/>
      <c r="AU825" s="68"/>
      <c r="AV825" s="68"/>
      <c r="AW825" s="68"/>
      <c r="AX825" s="68"/>
      <c r="AY825" s="68"/>
      <c r="AZ825" s="68"/>
      <c r="BB825" s="68"/>
      <c r="BC825" s="68"/>
      <c r="BJ825" s="68"/>
      <c r="BT825">
        <v>1</v>
      </c>
      <c r="BV825">
        <v>1</v>
      </c>
      <c r="BX825" s="68"/>
      <c r="BY825" s="68">
        <v>1</v>
      </c>
      <c r="BZ825" s="68">
        <v>0</v>
      </c>
      <c r="CA825" s="68">
        <v>0</v>
      </c>
      <c r="CB825" s="68">
        <v>0</v>
      </c>
      <c r="CC825" s="68">
        <f t="shared" si="146"/>
        <v>0</v>
      </c>
      <c r="CD825" s="68">
        <f t="shared" si="147"/>
        <v>0</v>
      </c>
    </row>
    <row r="826" spans="1:82" ht="15.75" customHeight="1" thickBot="1" x14ac:dyDescent="0.3">
      <c r="A826" s="9">
        <v>825</v>
      </c>
      <c r="B826" s="10" t="s">
        <v>539</v>
      </c>
      <c r="C826" s="10" t="s">
        <v>68</v>
      </c>
      <c r="D826" s="10" t="s">
        <v>53</v>
      </c>
      <c r="E826" s="51">
        <v>-259.15938113094302</v>
      </c>
      <c r="F826" s="51">
        <v>13.188262501892201</v>
      </c>
      <c r="G826" s="51">
        <v>24.9619456318743</v>
      </c>
      <c r="H826" s="51">
        <v>-6.4095308641975297</v>
      </c>
      <c r="I826" s="11">
        <v>0</v>
      </c>
      <c r="J826" s="51">
        <v>5.1570234297091497</v>
      </c>
      <c r="K826" s="249">
        <f>IFERROR(VLOOKUP(C826,Schedule!$T$3:$U$34,2,0),"FA")</f>
        <v>8</v>
      </c>
      <c r="L826" s="10" t="str">
        <f>D826&amp;COUNTIF(D$2:$D826,D826)</f>
        <v>QB44</v>
      </c>
      <c r="M826" s="51">
        <f t="array" ref="M826">IFERROR(F826-AVERAGE(VLOOKUP(D826,$D827:$F$885,3,0),INDEX($F827:$F$885,SMALL(IF(D826=$D827:$D$885,ROW($D827:$D$885)-ROW(D826)),2))),0)</f>
        <v>0.41799776125775168</v>
      </c>
      <c r="N826" s="51">
        <f>IFERROR(IF(VLOOKUP($B826,Input!$AC$2:$AC$162,1,0)=$B826,0),F826)</f>
        <v>13.188262501892201</v>
      </c>
      <c r="O826" s="51">
        <f>IFERROR(IF(VLOOKUP($B826,Input!$AC$2:$AC$162,1,0)=$B826,0,G826),G826)</f>
        <v>24.9619456318743</v>
      </c>
      <c r="P826" s="51">
        <f>IF(N826=0,0,F826-AVERAGE(INDEX(F:F,MATCH(VLOOKUP(D826,Input!$A$14:$L$22,10,0),L:L,0)),INDEX(F:F,MATCH(VLOOKUP(D826,Input!$A$14:$L$22,11,0),L:L,0)),INDEX(F:F,MATCH(VLOOKUP(D826,Input!$A$14:$L$22,12,0),L:L,0)))+(0.01-ROW()*0.01))</f>
        <v>-267.40938113094342</v>
      </c>
      <c r="Q826" s="107">
        <f t="shared" si="142"/>
        <v>-9.2254348828424274E-2</v>
      </c>
      <c r="R826" s="11">
        <f>IF(VLOOKUP($D826,$X$14:$Y$19,2,0)&lt;=0,1,IF(Q826&lt;0,1,ROUNDUP(IF(Q826*('Draft Center'!$L$28+'Draft Center'!$L$78-'Draft Center'!$L$82)&lt;1,1,Q826*('Draft Center'!$L$28+'Draft Center'!$L$78-'Draft Center'!$L$82)),0)))</f>
        <v>1</v>
      </c>
      <c r="S826" s="11">
        <f>IF(A826&lt;Input!$B$10+0.1,IF(ROUNDUP(R826*Input!$C$10,0)=0,1,ROUNDUP(R826*Input!$C$10,0)),IF(A826&gt;Input!$B$11,IF(ROUNDUP(R826*Input!$C$11,0)=0,1,ROUNDUP(R826*Input!$C$11,0)),IF(ROUNDUP(R826,0)=0,1,ROUNDUP(R826,0))))</f>
        <v>1</v>
      </c>
      <c r="T826" s="11">
        <f t="shared" si="143"/>
        <v>1</v>
      </c>
      <c r="U826" s="11">
        <f>IFERROR(VLOOKUP($B826,Input!$AC$2:$AE$161,3,0),0)</f>
        <v>0</v>
      </c>
      <c r="V826" s="257">
        <f t="shared" si="144"/>
        <v>0</v>
      </c>
      <c r="W826" s="264">
        <f t="shared" si="145"/>
        <v>1.0082599999999999</v>
      </c>
      <c r="X826" s="68"/>
      <c r="Y826" s="68"/>
      <c r="Z826" s="68"/>
      <c r="AA826" s="68"/>
      <c r="AB826" s="68"/>
      <c r="AC826" s="68"/>
      <c r="AD826" s="68"/>
      <c r="AE826" s="68"/>
      <c r="AF826" s="68"/>
      <c r="AG826" s="68"/>
      <c r="AH826" s="68"/>
      <c r="AI826" s="68"/>
      <c r="AJ826" s="68">
        <v>1</v>
      </c>
      <c r="AL826" s="68">
        <v>1</v>
      </c>
      <c r="AM826" s="68"/>
      <c r="AN826" s="68"/>
      <c r="AO826" s="68"/>
      <c r="AQ826" s="68"/>
      <c r="AR826" s="68"/>
      <c r="AS826" s="68"/>
      <c r="AT826" s="68"/>
      <c r="AU826" s="68"/>
      <c r="AV826" s="68"/>
      <c r="AW826" s="68"/>
      <c r="AX826" s="68"/>
      <c r="AY826" s="68"/>
      <c r="AZ826" s="68"/>
      <c r="BB826" s="68"/>
      <c r="BC826" s="68"/>
      <c r="BJ826" s="68"/>
      <c r="BT826">
        <v>1</v>
      </c>
      <c r="BV826">
        <v>1</v>
      </c>
      <c r="BX826" s="68"/>
      <c r="BY826" s="68">
        <v>1</v>
      </c>
      <c r="BZ826" s="68">
        <v>0</v>
      </c>
      <c r="CA826" s="68">
        <v>0</v>
      </c>
      <c r="CB826" s="68">
        <v>0</v>
      </c>
      <c r="CC826" s="68">
        <f t="shared" si="146"/>
        <v>0</v>
      </c>
      <c r="CD826" s="68">
        <f t="shared" si="147"/>
        <v>0</v>
      </c>
    </row>
    <row r="827" spans="1:82" ht="15.75" customHeight="1" thickBot="1" x14ac:dyDescent="0.3">
      <c r="A827" s="6">
        <v>826</v>
      </c>
      <c r="B827" s="7" t="s">
        <v>1054</v>
      </c>
      <c r="C827" s="7" t="s">
        <v>16</v>
      </c>
      <c r="D827" s="7" t="s">
        <v>53</v>
      </c>
      <c r="E827" s="50">
        <v>-259.28042826932398</v>
      </c>
      <c r="F827" s="50">
        <v>13.0672153635117</v>
      </c>
      <c r="G827" s="50">
        <v>18.725829999999998</v>
      </c>
      <c r="H827" s="50">
        <v>-2</v>
      </c>
      <c r="I827" s="8">
        <v>0</v>
      </c>
      <c r="J827" s="50">
        <v>11.1871894820853</v>
      </c>
      <c r="K827" s="248">
        <f>IFERROR(VLOOKUP(C827,Schedule!$T$3:$U$34,2,0),"FA")</f>
        <v>9</v>
      </c>
      <c r="L827" s="7" t="str">
        <f>D827&amp;COUNTIF(D$2:$D827,D827)</f>
        <v>QB45</v>
      </c>
      <c r="M827" s="50">
        <f t="array" ref="M827">IFERROR(F827-AVERAGE(VLOOKUP(D827,$D828:$F$885,3,0),INDEX($F828:$F$885,SMALL(IF(D827=$D828:$D$885,ROW($D828:$D$885)-ROW(D827)),2))),0)</f>
        <v>1.1635348832868999</v>
      </c>
      <c r="N827" s="50">
        <f>IFERROR(IF(VLOOKUP($B827,Input!$AC$2:$AC$162,1,0)=$B827,0),F827)</f>
        <v>13.0672153635117</v>
      </c>
      <c r="O827" s="50">
        <f>IFERROR(IF(VLOOKUP($B827,Input!$AC$2:$AC$162,1,0)=$B827,0,G827),G827)</f>
        <v>18.725829999999998</v>
      </c>
      <c r="P827" s="50">
        <f>IF(N827=0,0,F827-AVERAGE(INDEX(F:F,MATCH(VLOOKUP(D827,Input!$A$14:$L$22,10,0),L:L,0)),INDEX(F:F,MATCH(VLOOKUP(D827,Input!$A$14:$L$22,11,0),L:L,0)),INDEX(F:F,MATCH(VLOOKUP(D827,Input!$A$14:$L$22,12,0),L:L,0)))+(0.01-ROW()*0.01))</f>
        <v>-267.54042826932391</v>
      </c>
      <c r="Q827" s="106">
        <f t="shared" si="142"/>
        <v>-9.229955916609453E-2</v>
      </c>
      <c r="R827" s="8">
        <f>IF(VLOOKUP($D827,$X$14:$Y$19,2,0)&lt;=0,1,IF(Q827&lt;0,1,ROUNDUP(IF(Q827*('Draft Center'!$L$28+'Draft Center'!$L$78-'Draft Center'!$L$82)&lt;1,1,Q827*('Draft Center'!$L$28+'Draft Center'!$L$78-'Draft Center'!$L$82)),0)))</f>
        <v>1</v>
      </c>
      <c r="S827" s="8">
        <f>IF(A827&lt;Input!$B$10+0.1,IF(ROUNDUP(R827*Input!$C$10,0)=0,1,ROUNDUP(R827*Input!$C$10,0)),IF(A827&gt;Input!$B$11,IF(ROUNDUP(R827*Input!$C$11,0)=0,1,ROUNDUP(R827*Input!$C$11,0)),IF(ROUNDUP(R827,0)=0,1,ROUNDUP(R827,0))))</f>
        <v>1</v>
      </c>
      <c r="T827" s="8">
        <f t="shared" si="143"/>
        <v>1</v>
      </c>
      <c r="U827" s="8">
        <f>IFERROR(VLOOKUP($B827,Input!$AC$2:$AE$161,3,0),0)</f>
        <v>0</v>
      </c>
      <c r="V827" s="256">
        <f t="shared" si="144"/>
        <v>0</v>
      </c>
      <c r="W827" s="263">
        <f t="shared" si="145"/>
        <v>1.00827</v>
      </c>
      <c r="X827" s="68"/>
      <c r="Y827" s="68"/>
      <c r="Z827" s="68"/>
      <c r="AA827" s="68"/>
      <c r="AB827" s="68"/>
      <c r="AC827" s="68"/>
      <c r="AD827" s="68"/>
      <c r="AE827" s="68"/>
      <c r="AF827" s="68"/>
      <c r="AG827" s="68"/>
      <c r="AH827" s="68"/>
      <c r="AI827" s="68"/>
      <c r="AJ827" s="68">
        <v>1</v>
      </c>
      <c r="AL827" s="68">
        <v>1</v>
      </c>
      <c r="AM827" s="68"/>
      <c r="AN827" s="68"/>
      <c r="AO827" s="68"/>
      <c r="AQ827" s="68"/>
      <c r="AR827" s="68"/>
      <c r="AS827" s="68"/>
      <c r="AT827" s="68"/>
      <c r="AU827" s="68"/>
      <c r="AV827" s="68"/>
      <c r="AW827" s="68"/>
      <c r="AX827" s="68"/>
      <c r="AY827" s="68"/>
      <c r="AZ827" s="68"/>
      <c r="BB827" s="68"/>
      <c r="BC827" s="68"/>
      <c r="BJ827" s="68"/>
      <c r="BT827">
        <v>1</v>
      </c>
      <c r="BV827">
        <v>1</v>
      </c>
      <c r="BX827" s="68"/>
      <c r="BY827" s="68">
        <v>1</v>
      </c>
      <c r="BZ827" s="68">
        <v>0</v>
      </c>
      <c r="CA827" s="68">
        <v>0</v>
      </c>
      <c r="CB827" s="68">
        <v>0</v>
      </c>
      <c r="CC827" s="68">
        <f t="shared" si="146"/>
        <v>0</v>
      </c>
      <c r="CD827" s="68">
        <f t="shared" si="147"/>
        <v>0</v>
      </c>
    </row>
    <row r="828" spans="1:82" ht="15.75" customHeight="1" thickBot="1" x14ac:dyDescent="0.3">
      <c r="A828" s="9">
        <v>827</v>
      </c>
      <c r="B828" s="10" t="s">
        <v>564</v>
      </c>
      <c r="C828" s="10" t="s">
        <v>64</v>
      </c>
      <c r="D828" s="10" t="s">
        <v>53</v>
      </c>
      <c r="E828" s="51">
        <v>-259.87432951507799</v>
      </c>
      <c r="F828" s="51">
        <v>12.4733141177572</v>
      </c>
      <c r="G828" s="51">
        <v>27.584592847644299</v>
      </c>
      <c r="H828" s="51">
        <v>-1.2911561826376899E-2</v>
      </c>
      <c r="I828" s="11">
        <v>0</v>
      </c>
      <c r="J828" s="51">
        <v>6.3749784195880199</v>
      </c>
      <c r="K828" s="249">
        <f>IFERROR(VLOOKUP(C828,Schedule!$T$3:$U$34,2,0),"FA")</f>
        <v>11</v>
      </c>
      <c r="L828" s="10" t="str">
        <f>D828&amp;COUNTIF(D$2:$D828,D828)</f>
        <v>QB46</v>
      </c>
      <c r="M828" s="51">
        <f t="array" ref="M828">IFERROR(F828-AVERAGE(VLOOKUP(D828,$D829:$F$885,3,0),INDEX($F829:$F$885,SMALL(IF(D828=$D829:$D$885,ROW($D829:$D$885)-ROW(D828)),2))),0)</f>
        <v>1.2808244294236495</v>
      </c>
      <c r="N828" s="51">
        <f>IFERROR(IF(VLOOKUP($B828,Input!$AC$2:$AC$162,1,0)=$B828,0),F828)</f>
        <v>12.4733141177572</v>
      </c>
      <c r="O828" s="51">
        <f>IFERROR(IF(VLOOKUP($B828,Input!$AC$2:$AC$162,1,0)=$B828,0,G828),G828)</f>
        <v>27.584592847644299</v>
      </c>
      <c r="P828" s="51">
        <f>IF(N828=0,0,F828-AVERAGE(INDEX(F:F,MATCH(VLOOKUP(D828,Input!$A$14:$L$22,10,0),L:L,0)),INDEX(F:F,MATCH(VLOOKUP(D828,Input!$A$14:$L$22,11,0),L:L,0)),INDEX(F:F,MATCH(VLOOKUP(D828,Input!$A$14:$L$22,12,0),L:L,0)))+(0.01-ROW()*0.01))</f>
        <v>-268.14432951507843</v>
      </c>
      <c r="Q828" s="107">
        <f t="shared" si="142"/>
        <v>-9.2507900832898185E-2</v>
      </c>
      <c r="R828" s="11">
        <f>IF(VLOOKUP($D828,$X$14:$Y$19,2,0)&lt;=0,1,IF(Q828&lt;0,1,ROUNDUP(IF(Q828*('Draft Center'!$L$28+'Draft Center'!$L$78-'Draft Center'!$L$82)&lt;1,1,Q828*('Draft Center'!$L$28+'Draft Center'!$L$78-'Draft Center'!$L$82)),0)))</f>
        <v>1</v>
      </c>
      <c r="S828" s="11">
        <f>IF(A828&lt;Input!$B$10+0.1,IF(ROUNDUP(R828*Input!$C$10,0)=0,1,ROUNDUP(R828*Input!$C$10,0)),IF(A828&gt;Input!$B$11,IF(ROUNDUP(R828*Input!$C$11,0)=0,1,ROUNDUP(R828*Input!$C$11,0)),IF(ROUNDUP(R828,0)=0,1,ROUNDUP(R828,0))))</f>
        <v>1</v>
      </c>
      <c r="T828" s="11">
        <f t="shared" si="143"/>
        <v>1</v>
      </c>
      <c r="U828" s="11">
        <f>IFERROR(VLOOKUP($B828,Input!$AC$2:$AE$161,3,0),0)</f>
        <v>0</v>
      </c>
      <c r="V828" s="257">
        <f t="shared" si="144"/>
        <v>0</v>
      </c>
      <c r="W828" s="264">
        <f t="shared" si="145"/>
        <v>1.0082800000000001</v>
      </c>
      <c r="X828" s="68"/>
      <c r="Y828" s="68"/>
      <c r="Z828" s="68"/>
      <c r="AA828" s="68"/>
      <c r="AB828" s="68"/>
      <c r="AC828" s="68"/>
      <c r="AD828" s="68"/>
      <c r="AE828" s="68"/>
      <c r="AF828" s="68"/>
      <c r="AG828" s="68"/>
      <c r="AH828" s="68"/>
      <c r="AI828" s="68"/>
      <c r="AJ828" s="68">
        <v>1</v>
      </c>
      <c r="AL828" s="68">
        <v>1</v>
      </c>
      <c r="AM828" s="68"/>
      <c r="AN828" s="68"/>
      <c r="AO828" s="68"/>
      <c r="AQ828" s="68"/>
      <c r="AR828" s="68"/>
      <c r="AS828" s="68"/>
      <c r="AT828" s="68"/>
      <c r="AU828" s="68"/>
      <c r="AV828" s="68"/>
      <c r="AW828" s="68"/>
      <c r="AX828" s="68"/>
      <c r="AY828" s="68"/>
      <c r="AZ828" s="68"/>
      <c r="BB828" s="68"/>
      <c r="BC828" s="68"/>
      <c r="BJ828" s="68"/>
      <c r="BT828">
        <v>1</v>
      </c>
      <c r="BV828">
        <v>1</v>
      </c>
      <c r="BX828" s="68"/>
      <c r="BY828" s="68">
        <v>1</v>
      </c>
      <c r="BZ828" s="68">
        <v>0</v>
      </c>
      <c r="CA828" s="68">
        <v>0</v>
      </c>
      <c r="CB828" s="68">
        <v>0</v>
      </c>
      <c r="CC828" s="68">
        <f t="shared" si="146"/>
        <v>0</v>
      </c>
      <c r="CD828" s="68">
        <f t="shared" si="147"/>
        <v>0</v>
      </c>
    </row>
    <row r="829" spans="1:82" ht="15.75" customHeight="1" thickBot="1" x14ac:dyDescent="0.3">
      <c r="A829" s="6">
        <v>828</v>
      </c>
      <c r="B829" s="7" t="s">
        <v>476</v>
      </c>
      <c r="C829" s="7" t="s">
        <v>117</v>
      </c>
      <c r="D829" s="7" t="s">
        <v>53</v>
      </c>
      <c r="E829" s="50">
        <v>-261.01359679014303</v>
      </c>
      <c r="F829" s="50">
        <v>11.3340468426924</v>
      </c>
      <c r="G829" s="50">
        <v>19.000936214411301</v>
      </c>
      <c r="H829" s="50">
        <v>1.07149519890261</v>
      </c>
      <c r="I829" s="8">
        <v>0</v>
      </c>
      <c r="J829" s="50">
        <v>3.4760613894616901</v>
      </c>
      <c r="K829" s="248">
        <f>IFERROR(VLOOKUP(C829,Schedule!$T$3:$U$34,2,0),"FA")</f>
        <v>8</v>
      </c>
      <c r="L829" s="7" t="str">
        <f>D829&amp;COUNTIF(D$2:$D829,D829)</f>
        <v>QB47</v>
      </c>
      <c r="M829" s="50">
        <f t="array" ref="M829">IFERROR(F829-AVERAGE(VLOOKUP(D829,$D830:$F$885,3,0),INDEX($F830:$F$885,SMALL(IF(D829=$D830:$D$885,ROW($D830:$D$885)-ROW(D829)),2))),0)</f>
        <v>0.35452085727690097</v>
      </c>
      <c r="N829" s="50">
        <f>IFERROR(IF(VLOOKUP($B829,Input!$AC$2:$AC$162,1,0)=$B829,0),F829)</f>
        <v>11.3340468426924</v>
      </c>
      <c r="O829" s="50">
        <f>IFERROR(IF(VLOOKUP($B829,Input!$AC$2:$AC$162,1,0)=$B829,0,G829),G829)</f>
        <v>19.000936214411301</v>
      </c>
      <c r="P829" s="50">
        <f>IF(N829=0,0,F829-AVERAGE(INDEX(F:F,MATCH(VLOOKUP(D829,Input!$A$14:$L$22,10,0),L:L,0)),INDEX(F:F,MATCH(VLOOKUP(D829,Input!$A$14:$L$22,11,0),L:L,0)),INDEX(F:F,MATCH(VLOOKUP(D829,Input!$A$14:$L$22,12,0),L:L,0)))+(0.01-ROW()*0.01))</f>
        <v>-269.29359679014328</v>
      </c>
      <c r="Q829" s="106">
        <f t="shared" si="142"/>
        <v>-9.290438993003651E-2</v>
      </c>
      <c r="R829" s="8">
        <f>IF(VLOOKUP($D829,$X$14:$Y$19,2,0)&lt;=0,1,IF(Q829&lt;0,1,ROUNDUP(IF(Q829*('Draft Center'!$L$28+'Draft Center'!$L$78-'Draft Center'!$L$82)&lt;1,1,Q829*('Draft Center'!$L$28+'Draft Center'!$L$78-'Draft Center'!$L$82)),0)))</f>
        <v>1</v>
      </c>
      <c r="S829" s="8">
        <f>IF(A829&lt;Input!$B$10+0.1,IF(ROUNDUP(R829*Input!$C$10,0)=0,1,ROUNDUP(R829*Input!$C$10,0)),IF(A829&gt;Input!$B$11,IF(ROUNDUP(R829*Input!$C$11,0)=0,1,ROUNDUP(R829*Input!$C$11,0)),IF(ROUNDUP(R829,0)=0,1,ROUNDUP(R829,0))))</f>
        <v>1</v>
      </c>
      <c r="T829" s="8">
        <f t="shared" si="143"/>
        <v>1</v>
      </c>
      <c r="U829" s="8">
        <f>IFERROR(VLOOKUP($B829,Input!$AC$2:$AE$161,3,0),0)</f>
        <v>0</v>
      </c>
      <c r="V829" s="256">
        <f t="shared" si="144"/>
        <v>0</v>
      </c>
      <c r="W829" s="263">
        <f t="shared" si="145"/>
        <v>1.0082899999999999</v>
      </c>
      <c r="X829" s="68"/>
      <c r="Y829" s="68"/>
      <c r="Z829" s="68"/>
      <c r="AA829" s="68"/>
      <c r="AB829" s="68"/>
      <c r="AC829" s="68"/>
      <c r="AD829" s="68"/>
      <c r="AE829" s="68"/>
      <c r="AF829" s="68"/>
      <c r="AG829" s="68"/>
      <c r="AH829" s="68"/>
      <c r="AI829" s="68"/>
      <c r="AJ829" s="68">
        <v>1</v>
      </c>
      <c r="AL829" s="68">
        <v>1</v>
      </c>
      <c r="AM829" s="68"/>
      <c r="AN829" s="68"/>
      <c r="AO829" s="68"/>
      <c r="AQ829" s="68"/>
      <c r="AR829" s="68"/>
      <c r="AS829" s="68"/>
      <c r="AT829" s="68"/>
      <c r="AU829" s="68"/>
      <c r="AV829" s="68"/>
      <c r="AW829" s="68"/>
      <c r="AX829" s="68"/>
      <c r="AY829" s="68"/>
      <c r="AZ829" s="68"/>
      <c r="BB829" s="68"/>
      <c r="BC829" s="68"/>
      <c r="BJ829" s="68"/>
      <c r="BT829">
        <v>1</v>
      </c>
      <c r="BV829">
        <v>1</v>
      </c>
      <c r="BX829" s="68"/>
      <c r="BY829" s="68">
        <v>1</v>
      </c>
      <c r="BZ829" s="68">
        <v>0</v>
      </c>
      <c r="CA829" s="68">
        <v>0</v>
      </c>
      <c r="CB829" s="68">
        <v>0</v>
      </c>
      <c r="CC829" s="68">
        <f t="shared" si="146"/>
        <v>0</v>
      </c>
      <c r="CD829" s="68">
        <f t="shared" si="147"/>
        <v>0</v>
      </c>
    </row>
    <row r="830" spans="1:82" ht="15.75" customHeight="1" thickBot="1" x14ac:dyDescent="0.3">
      <c r="A830" s="9">
        <v>829</v>
      </c>
      <c r="B830" s="10" t="s">
        <v>544</v>
      </c>
      <c r="C830" s="10" t="s">
        <v>85</v>
      </c>
      <c r="D830" s="10" t="s">
        <v>53</v>
      </c>
      <c r="E830" s="51">
        <v>-261.29671109886101</v>
      </c>
      <c r="F830" s="51">
        <v>11.0509325339747</v>
      </c>
      <c r="G830" s="51">
        <v>21.036307431005699</v>
      </c>
      <c r="H830" s="51">
        <v>0.89006858710562398</v>
      </c>
      <c r="I830" s="11">
        <v>0</v>
      </c>
      <c r="J830" s="51">
        <v>3.9891329928069998</v>
      </c>
      <c r="K830" s="249">
        <f>IFERROR(VLOOKUP(C830,Schedule!$T$3:$U$34,2,0),"FA")</f>
        <v>11</v>
      </c>
      <c r="L830" s="10" t="str">
        <f>D830&amp;COUNTIF(D$2:$D830,D830)</f>
        <v>QB48</v>
      </c>
      <c r="M830" s="51">
        <f t="array" ref="M830">IFERROR(F830-AVERAGE(VLOOKUP(D830,$D831:$F$885,3,0),INDEX($F831:$F$885,SMALL(IF(D830=$D831:$D$885,ROW($D831:$D$885)-ROW(D830)),2))),0)</f>
        <v>0.3781987537290501</v>
      </c>
      <c r="N830" s="51">
        <f>IFERROR(IF(VLOOKUP($B830,Input!$AC$2:$AC$162,1,0)=$B830,0),F830)</f>
        <v>11.0509325339747</v>
      </c>
      <c r="O830" s="51">
        <f>IFERROR(IF(VLOOKUP($B830,Input!$AC$2:$AC$162,1,0)=$B830,0,G830),G830)</f>
        <v>21.036307431005699</v>
      </c>
      <c r="P830" s="51">
        <f>IF(N830=0,0,F830-AVERAGE(INDEX(F:F,MATCH(VLOOKUP(D830,Input!$A$14:$L$22,10,0),L:L,0)),INDEX(F:F,MATCH(VLOOKUP(D830,Input!$A$14:$L$22,11,0),L:L,0)),INDEX(F:F,MATCH(VLOOKUP(D830,Input!$A$14:$L$22,12,0),L:L,0)))+(0.01-ROW()*0.01))</f>
        <v>-269.58671109886097</v>
      </c>
      <c r="Q830" s="107">
        <f t="shared" si="142"/>
        <v>-9.3005512297429455E-2</v>
      </c>
      <c r="R830" s="11">
        <f>IF(VLOOKUP($D830,$X$14:$Y$19,2,0)&lt;=0,1,IF(Q830&lt;0,1,ROUNDUP(IF(Q830*('Draft Center'!$L$28+'Draft Center'!$L$78-'Draft Center'!$L$82)&lt;1,1,Q830*('Draft Center'!$L$28+'Draft Center'!$L$78-'Draft Center'!$L$82)),0)))</f>
        <v>1</v>
      </c>
      <c r="S830" s="11">
        <f>IF(A830&lt;Input!$B$10+0.1,IF(ROUNDUP(R830*Input!$C$10,0)=0,1,ROUNDUP(R830*Input!$C$10,0)),IF(A830&gt;Input!$B$11,IF(ROUNDUP(R830*Input!$C$11,0)=0,1,ROUNDUP(R830*Input!$C$11,0)),IF(ROUNDUP(R830,0)=0,1,ROUNDUP(R830,0))))</f>
        <v>1</v>
      </c>
      <c r="T830" s="11">
        <f t="shared" si="143"/>
        <v>1</v>
      </c>
      <c r="U830" s="11">
        <f>IFERROR(VLOOKUP($B830,Input!$AC$2:$AE$161,3,0),0)</f>
        <v>0</v>
      </c>
      <c r="V830" s="257">
        <f t="shared" si="144"/>
        <v>0</v>
      </c>
      <c r="W830" s="264">
        <f t="shared" si="145"/>
        <v>1.0083</v>
      </c>
      <c r="X830" s="68"/>
      <c r="Y830" s="68"/>
      <c r="Z830" s="68"/>
      <c r="AA830" s="68"/>
      <c r="AB830" s="68"/>
      <c r="AC830" s="68"/>
      <c r="AD830" s="68"/>
      <c r="AE830" s="68"/>
      <c r="AF830" s="68"/>
      <c r="AG830" s="68"/>
      <c r="AH830" s="68"/>
      <c r="AI830" s="68"/>
      <c r="AJ830" s="68">
        <v>1</v>
      </c>
      <c r="AL830" s="68">
        <v>1</v>
      </c>
      <c r="AM830" s="68"/>
      <c r="AN830" s="68"/>
      <c r="AO830" s="68"/>
      <c r="AQ830" s="68"/>
      <c r="AR830" s="68"/>
      <c r="AS830" s="68"/>
      <c r="AT830" s="68"/>
      <c r="AU830" s="68"/>
      <c r="AV830" s="68"/>
      <c r="AW830" s="68"/>
      <c r="AX830" s="68"/>
      <c r="AY830" s="68"/>
      <c r="AZ830" s="68"/>
      <c r="BB830" s="68"/>
      <c r="BC830" s="68"/>
      <c r="BJ830" s="68"/>
      <c r="BT830">
        <v>1</v>
      </c>
      <c r="BV830">
        <v>1</v>
      </c>
      <c r="BX830" s="68"/>
      <c r="BY830" s="68">
        <v>1</v>
      </c>
      <c r="BZ830" s="68">
        <v>0</v>
      </c>
      <c r="CA830" s="68">
        <v>0</v>
      </c>
      <c r="CB830" s="68">
        <v>0</v>
      </c>
      <c r="CC830" s="68">
        <f t="shared" si="146"/>
        <v>0</v>
      </c>
      <c r="CD830" s="68">
        <f t="shared" si="147"/>
        <v>0</v>
      </c>
    </row>
    <row r="831" spans="1:82" ht="15.75" customHeight="1" thickBot="1" x14ac:dyDescent="0.3">
      <c r="A831" s="6">
        <v>830</v>
      </c>
      <c r="B831" s="7" t="s">
        <v>571</v>
      </c>
      <c r="C831" s="7" t="s">
        <v>16</v>
      </c>
      <c r="D831" s="7" t="s">
        <v>53</v>
      </c>
      <c r="E831" s="50">
        <v>-261.439524195979</v>
      </c>
      <c r="F831" s="50">
        <v>10.9081194368563</v>
      </c>
      <c r="G831" s="50">
        <v>19.5232586229669</v>
      </c>
      <c r="H831" s="50">
        <v>0.70052126200274301</v>
      </c>
      <c r="I831" s="8">
        <v>0</v>
      </c>
      <c r="J831" s="50">
        <v>4.3412668384402604</v>
      </c>
      <c r="K831" s="248">
        <f>IFERROR(VLOOKUP(C831,Schedule!$T$3:$U$34,2,0),"FA")</f>
        <v>9</v>
      </c>
      <c r="L831" s="7" t="str">
        <f>D831&amp;COUNTIF(D$2:$D831,D831)</f>
        <v>QB49</v>
      </c>
      <c r="M831" s="50">
        <f t="array" ref="M831">IFERROR(F831-AVERAGE(VLOOKUP(D831,$D832:$F$885,3,0),INDEX($F832:$F$885,SMALL(IF(D831=$D832:$D$885,ROW($D832:$D$885)-ROW(D831)),2))),0)</f>
        <v>1.1089743044769911</v>
      </c>
      <c r="N831" s="50">
        <f>IFERROR(IF(VLOOKUP($B831,Input!$AC$2:$AC$162,1,0)=$B831,0),F831)</f>
        <v>10.9081194368563</v>
      </c>
      <c r="O831" s="50">
        <f>IFERROR(IF(VLOOKUP($B831,Input!$AC$2:$AC$162,1,0)=$B831,0,G831),G831)</f>
        <v>19.5232586229669</v>
      </c>
      <c r="P831" s="50">
        <f>IF(N831=0,0,F831-AVERAGE(INDEX(F:F,MATCH(VLOOKUP(D831,Input!$A$14:$L$22,10,0),L:L,0)),INDEX(F:F,MATCH(VLOOKUP(D831,Input!$A$14:$L$22,11,0),L:L,0)),INDEX(F:F,MATCH(VLOOKUP(D831,Input!$A$14:$L$22,12,0),L:L,0)))+(0.01-ROW()*0.01))</f>
        <v>-269.73952419597936</v>
      </c>
      <c r="Q831" s="106">
        <f t="shared" si="142"/>
        <v>-9.3058231737216834E-2</v>
      </c>
      <c r="R831" s="8">
        <f>IF(VLOOKUP($D831,$X$14:$Y$19,2,0)&lt;=0,1,IF(Q831&lt;0,1,ROUNDUP(IF(Q831*('Draft Center'!$L$28+'Draft Center'!$L$78-'Draft Center'!$L$82)&lt;1,1,Q831*('Draft Center'!$L$28+'Draft Center'!$L$78-'Draft Center'!$L$82)),0)))</f>
        <v>1</v>
      </c>
      <c r="S831" s="8">
        <f>IF(A831&lt;Input!$B$10+0.1,IF(ROUNDUP(R831*Input!$C$10,0)=0,1,ROUNDUP(R831*Input!$C$10,0)),IF(A831&gt;Input!$B$11,IF(ROUNDUP(R831*Input!$C$11,0)=0,1,ROUNDUP(R831*Input!$C$11,0)),IF(ROUNDUP(R831,0)=0,1,ROUNDUP(R831,0))))</f>
        <v>1</v>
      </c>
      <c r="T831" s="8">
        <f t="shared" si="143"/>
        <v>1</v>
      </c>
      <c r="U831" s="8">
        <f>IFERROR(VLOOKUP($B831,Input!$AC$2:$AE$161,3,0),0)</f>
        <v>0</v>
      </c>
      <c r="V831" s="256">
        <f t="shared" si="144"/>
        <v>0</v>
      </c>
      <c r="W831" s="263">
        <f t="shared" si="145"/>
        <v>1.00831</v>
      </c>
      <c r="X831" s="68"/>
      <c r="Y831" s="68"/>
      <c r="Z831" s="68"/>
      <c r="AA831" s="68"/>
      <c r="AB831" s="68"/>
      <c r="AC831" s="68"/>
      <c r="AD831" s="68"/>
      <c r="AE831" s="68"/>
      <c r="AF831" s="68"/>
      <c r="AG831" s="68"/>
      <c r="AH831" s="68"/>
      <c r="AI831" s="68"/>
      <c r="AJ831" s="68">
        <v>1</v>
      </c>
      <c r="AL831" s="68">
        <v>1</v>
      </c>
      <c r="AM831" s="68"/>
      <c r="AN831" s="68"/>
      <c r="AO831" s="68"/>
      <c r="AQ831" s="68"/>
      <c r="AR831" s="68"/>
      <c r="AS831" s="68"/>
      <c r="AT831" s="68"/>
      <c r="AU831" s="68"/>
      <c r="AV831" s="68"/>
      <c r="AW831" s="68"/>
      <c r="AX831" s="68"/>
      <c r="AY831" s="68"/>
      <c r="AZ831" s="68"/>
      <c r="BB831" s="68"/>
      <c r="BC831" s="68"/>
      <c r="BJ831" s="68"/>
      <c r="BT831">
        <v>1</v>
      </c>
      <c r="BV831">
        <v>1</v>
      </c>
      <c r="BX831" s="68"/>
      <c r="BY831" s="68">
        <v>1</v>
      </c>
      <c r="BZ831" s="68">
        <v>0</v>
      </c>
      <c r="CA831" s="68">
        <v>0</v>
      </c>
      <c r="CB831" s="68">
        <v>0</v>
      </c>
      <c r="CC831" s="68">
        <f t="shared" si="146"/>
        <v>0</v>
      </c>
      <c r="CD831" s="68">
        <f t="shared" si="147"/>
        <v>0</v>
      </c>
    </row>
    <row r="832" spans="1:82" ht="15.75" customHeight="1" thickBot="1" x14ac:dyDescent="0.3">
      <c r="A832" s="9">
        <v>831</v>
      </c>
      <c r="B832" s="10" t="s">
        <v>1056</v>
      </c>
      <c r="C832" s="10" t="s">
        <v>25</v>
      </c>
      <c r="D832" s="10" t="s">
        <v>53</v>
      </c>
      <c r="E832" s="51">
        <v>-261.91029550920098</v>
      </c>
      <c r="F832" s="51">
        <v>10.437348123634999</v>
      </c>
      <c r="G832" s="51">
        <v>16.741945634830198</v>
      </c>
      <c r="H832" s="51">
        <v>0.10199999999999999</v>
      </c>
      <c r="I832" s="11" t="s">
        <v>1057</v>
      </c>
      <c r="J832" s="51">
        <v>3.9679700673193001</v>
      </c>
      <c r="K832" s="249">
        <f>IFERROR(VLOOKUP(C832,Schedule!$T$3:$U$34,2,0),"FA")</f>
        <v>10</v>
      </c>
      <c r="L832" s="10" t="str">
        <f>D832&amp;COUNTIF(D$2:$D832,D832)</f>
        <v>QB50</v>
      </c>
      <c r="M832" s="51">
        <f t="array" ref="M832">IFERROR(F832-AVERAGE(VLOOKUP(D832,$D833:$F$885,3,0),INDEX($F833:$F$885,SMALL(IF(D832=$D833:$D$885,ROW($D833:$D$885)-ROW(D832)),2))),0)</f>
        <v>1.6825862437453445</v>
      </c>
      <c r="N832" s="51">
        <f>IFERROR(IF(VLOOKUP($B832,Input!$AC$2:$AC$162,1,0)=$B832,0),F832)</f>
        <v>10.437348123634999</v>
      </c>
      <c r="O832" s="51">
        <f>IFERROR(IF(VLOOKUP($B832,Input!$AC$2:$AC$162,1,0)=$B832,0,G832),G832)</f>
        <v>16.741945634830198</v>
      </c>
      <c r="P832" s="51">
        <f>IF(N832=0,0,F832-AVERAGE(INDEX(F:F,MATCH(VLOOKUP(D832,Input!$A$14:$L$22,10,0),L:L,0)),INDEX(F:F,MATCH(VLOOKUP(D832,Input!$A$14:$L$22,11,0),L:L,0)),INDEX(F:F,MATCH(VLOOKUP(D832,Input!$A$14:$L$22,12,0),L:L,0)))+(0.01-ROW()*0.01))</f>
        <v>-270.22029550920064</v>
      </c>
      <c r="Q832" s="107">
        <f t="shared" si="142"/>
        <v>-9.3224094446479444E-2</v>
      </c>
      <c r="R832" s="11">
        <f>IF(VLOOKUP($D832,$X$14:$Y$19,2,0)&lt;=0,1,IF(Q832&lt;0,1,ROUNDUP(IF(Q832*('Draft Center'!$L$28+'Draft Center'!$L$78-'Draft Center'!$L$82)&lt;1,1,Q832*('Draft Center'!$L$28+'Draft Center'!$L$78-'Draft Center'!$L$82)),0)))</f>
        <v>1</v>
      </c>
      <c r="S832" s="11">
        <f>IF(A832&lt;Input!$B$10+0.1,IF(ROUNDUP(R832*Input!$C$10,0)=0,1,ROUNDUP(R832*Input!$C$10,0)),IF(A832&gt;Input!$B$11,IF(ROUNDUP(R832*Input!$C$11,0)=0,1,ROUNDUP(R832*Input!$C$11,0)),IF(ROUNDUP(R832,0)=0,1,ROUNDUP(R832,0))))</f>
        <v>1</v>
      </c>
      <c r="T832" s="11">
        <f t="shared" si="143"/>
        <v>1</v>
      </c>
      <c r="U832" s="11">
        <f>IFERROR(VLOOKUP($B832,Input!$AC$2:$AE$161,3,0),0)</f>
        <v>0</v>
      </c>
      <c r="V832" s="257">
        <f t="shared" si="144"/>
        <v>0</v>
      </c>
      <c r="W832" s="264">
        <f t="shared" si="145"/>
        <v>0</v>
      </c>
      <c r="X832" s="68"/>
      <c r="Y832" s="68"/>
      <c r="Z832" s="68"/>
      <c r="AA832" s="68"/>
      <c r="AB832" s="68"/>
      <c r="AC832" s="68"/>
      <c r="AD832" s="68"/>
      <c r="AE832" s="68"/>
      <c r="AF832" s="68"/>
      <c r="AG832" s="68"/>
      <c r="AH832" s="68"/>
      <c r="AI832" s="68"/>
      <c r="AJ832" s="68">
        <v>1</v>
      </c>
      <c r="AL832" s="68">
        <v>1</v>
      </c>
      <c r="AM832" s="68"/>
      <c r="AN832" s="68"/>
      <c r="AO832" s="68"/>
      <c r="AQ832" s="68"/>
      <c r="AR832" s="68"/>
      <c r="AS832" s="68"/>
      <c r="AT832" s="68"/>
      <c r="AU832" s="68"/>
      <c r="AV832" s="68"/>
      <c r="AW832" s="68"/>
      <c r="AX832" s="68"/>
      <c r="AY832" s="68"/>
      <c r="AZ832" s="68"/>
      <c r="BB832" s="68"/>
      <c r="BC832" s="68"/>
      <c r="BJ832" s="68"/>
      <c r="BT832">
        <v>1</v>
      </c>
      <c r="BV832">
        <v>1</v>
      </c>
      <c r="BX832" s="68"/>
      <c r="BY832" s="68">
        <v>1</v>
      </c>
      <c r="BZ832" s="68" t="s">
        <v>1057</v>
      </c>
      <c r="CA832" s="68" t="s">
        <v>1057</v>
      </c>
      <c r="CB832" s="68" t="s">
        <v>1057</v>
      </c>
      <c r="CC832" s="68" t="e">
        <f t="shared" si="146"/>
        <v>#DIV/0!</v>
      </c>
      <c r="CD832" s="68" t="str">
        <f t="shared" si="147"/>
        <v>NA</v>
      </c>
    </row>
    <row r="833" spans="1:82" ht="15.75" customHeight="1" thickBot="1" x14ac:dyDescent="0.3">
      <c r="A833" s="6">
        <v>832</v>
      </c>
      <c r="B833" s="7" t="s">
        <v>567</v>
      </c>
      <c r="C833" s="7" t="s">
        <v>45</v>
      </c>
      <c r="D833" s="7" t="s">
        <v>53</v>
      </c>
      <c r="E833" s="50">
        <v>-263.18670149171197</v>
      </c>
      <c r="F833" s="50">
        <v>9.1609421411236198</v>
      </c>
      <c r="G833" s="50">
        <v>18.332881120717499</v>
      </c>
      <c r="H833" s="50">
        <v>1.1405212620027401</v>
      </c>
      <c r="I833" s="8">
        <v>0</v>
      </c>
      <c r="J833" s="50">
        <v>5.4811861226755898</v>
      </c>
      <c r="K833" s="248">
        <f>IFERROR(VLOOKUP(C833,Schedule!$T$3:$U$34,2,0),"FA")</f>
        <v>6</v>
      </c>
      <c r="L833" s="7" t="str">
        <f>D833&amp;COUNTIF(D$2:$D833,D833)</f>
        <v>QB51</v>
      </c>
      <c r="M833" s="50">
        <f t="array" ref="M833">IFERROR(F833-AVERAGE(VLOOKUP(D833,$D834:$F$885,3,0),INDEX($F834:$F$885,SMALL(IF(D833=$D834:$D$885,ROW($D834:$D$885)-ROW(D833)),2))),0)</f>
        <v>0.86073093547867963</v>
      </c>
      <c r="N833" s="50">
        <f>IFERROR(IF(VLOOKUP($B833,Input!$AC$2:$AC$162,1,0)=$B833,0),F833)</f>
        <v>9.1609421411236198</v>
      </c>
      <c r="O833" s="50">
        <f>IFERROR(IF(VLOOKUP($B833,Input!$AC$2:$AC$162,1,0)=$B833,0,G833),G833)</f>
        <v>18.332881120717499</v>
      </c>
      <c r="P833" s="50">
        <f>IF(N833=0,0,F833-AVERAGE(INDEX(F:F,MATCH(VLOOKUP(D833,Input!$A$14:$L$22,10,0),L:L,0)),INDEX(F:F,MATCH(VLOOKUP(D833,Input!$A$14:$L$22,11,0),L:L,0)),INDEX(F:F,MATCH(VLOOKUP(D833,Input!$A$14:$L$22,12,0),L:L,0)))+(0.01-ROW()*0.01))</f>
        <v>-271.50670149171202</v>
      </c>
      <c r="Q833" s="106">
        <f t="shared" si="142"/>
        <v>-9.366789542961497E-2</v>
      </c>
      <c r="R833" s="8">
        <f>IF(VLOOKUP($D833,$X$14:$Y$19,2,0)&lt;=0,1,IF(Q833&lt;0,1,ROUNDUP(IF(Q833*('Draft Center'!$L$28+'Draft Center'!$L$78-'Draft Center'!$L$82)&lt;1,1,Q833*('Draft Center'!$L$28+'Draft Center'!$L$78-'Draft Center'!$L$82)),0)))</f>
        <v>1</v>
      </c>
      <c r="S833" s="8">
        <f>IF(A833&lt;Input!$B$10+0.1,IF(ROUNDUP(R833*Input!$C$10,0)=0,1,ROUNDUP(R833*Input!$C$10,0)),IF(A833&gt;Input!$B$11,IF(ROUNDUP(R833*Input!$C$11,0)=0,1,ROUNDUP(R833*Input!$C$11,0)),IF(ROUNDUP(R833,0)=0,1,ROUNDUP(R833,0))))</f>
        <v>1</v>
      </c>
      <c r="T833" s="8">
        <f t="shared" si="143"/>
        <v>1</v>
      </c>
      <c r="U833" s="8">
        <f>IFERROR(VLOOKUP($B833,Input!$AC$2:$AE$161,3,0),0)</f>
        <v>0</v>
      </c>
      <c r="V833" s="256">
        <f t="shared" si="144"/>
        <v>0</v>
      </c>
      <c r="W833" s="263">
        <f t="shared" si="145"/>
        <v>1.0083299999999999</v>
      </c>
      <c r="X833" s="68"/>
      <c r="Y833" s="68"/>
      <c r="Z833" s="68"/>
      <c r="AA833" s="68"/>
      <c r="AB833" s="68"/>
      <c r="AC833" s="68"/>
      <c r="AD833" s="68"/>
      <c r="AE833" s="68"/>
      <c r="AF833" s="68"/>
      <c r="AG833" s="68"/>
      <c r="AH833" s="68"/>
      <c r="AI833" s="68"/>
      <c r="AJ833" s="68">
        <v>1</v>
      </c>
      <c r="AL833" s="68">
        <v>1</v>
      </c>
      <c r="AM833" s="68"/>
      <c r="AN833" s="68"/>
      <c r="AO833" s="68"/>
      <c r="AQ833" s="68"/>
      <c r="AR833" s="68"/>
      <c r="AS833" s="68"/>
      <c r="AT833" s="68"/>
      <c r="AU833" s="68"/>
      <c r="AV833" s="68"/>
      <c r="AW833" s="68"/>
      <c r="AX833" s="68"/>
      <c r="AY833" s="68"/>
      <c r="AZ833" s="68"/>
      <c r="BB833" s="68"/>
      <c r="BC833" s="68"/>
      <c r="BJ833" s="68"/>
      <c r="BT833">
        <v>1</v>
      </c>
      <c r="BV833">
        <v>1</v>
      </c>
      <c r="BX833" s="68"/>
      <c r="BY833" s="68">
        <v>1</v>
      </c>
      <c r="BZ833" s="68">
        <v>0</v>
      </c>
      <c r="CA833" s="68">
        <v>0</v>
      </c>
      <c r="CB833" s="68">
        <v>0</v>
      </c>
      <c r="CC833" s="68">
        <f t="shared" si="146"/>
        <v>0</v>
      </c>
      <c r="CD833" s="68">
        <f t="shared" si="147"/>
        <v>0</v>
      </c>
    </row>
    <row r="834" spans="1:82" ht="15.75" customHeight="1" thickBot="1" x14ac:dyDescent="0.3">
      <c r="A834" s="9">
        <v>833</v>
      </c>
      <c r="B834" s="10" t="s">
        <v>1043</v>
      </c>
      <c r="C834" s="10" t="s">
        <v>80</v>
      </c>
      <c r="D834" s="10" t="s">
        <v>53</v>
      </c>
      <c r="E834" s="51">
        <v>-263.99906201418003</v>
      </c>
      <c r="F834" s="51">
        <v>8.3485816186556896</v>
      </c>
      <c r="G834" s="51">
        <v>9.5304948328267507</v>
      </c>
      <c r="H834" s="51">
        <v>0</v>
      </c>
      <c r="I834" s="11">
        <v>0</v>
      </c>
      <c r="J834" s="51">
        <v>6.2395375317579997</v>
      </c>
      <c r="K834" s="249">
        <f>IFERROR(VLOOKUP(C834,Schedule!$T$3:$U$34,2,0),"FA")</f>
        <v>11</v>
      </c>
      <c r="L834" s="10" t="str">
        <f>D834&amp;COUNTIF(D$2:$D834,D834)</f>
        <v>QB52</v>
      </c>
      <c r="M834" s="51">
        <f t="array" ref="M834">IFERROR(F834-AVERAGE(VLOOKUP(D834,$D835:$F$885,3,0),INDEX($F835:$F$885,SMALL(IF(D834=$D835:$D$885,ROW($D835:$D$885)-ROW(D834)),2))),0)</f>
        <v>0.15551509894167381</v>
      </c>
      <c r="N834" s="51">
        <f>IFERROR(IF(VLOOKUP($B834,Input!$AC$2:$AC$162,1,0)=$B834,0),F834)</f>
        <v>8.3485816186556896</v>
      </c>
      <c r="O834" s="51">
        <f>IFERROR(IF(VLOOKUP($B834,Input!$AC$2:$AC$162,1,0)=$B834,0,G834),G834)</f>
        <v>9.5304948328267507</v>
      </c>
      <c r="P834" s="51">
        <f>IF(N834=0,0,F834-AVERAGE(INDEX(F:F,MATCH(VLOOKUP(D834,Input!$A$14:$L$22,10,0),L:L,0)),INDEX(F:F,MATCH(VLOOKUP(D834,Input!$A$14:$L$22,11,0),L:L,0)),INDEX(F:F,MATCH(VLOOKUP(D834,Input!$A$14:$L$22,12,0),L:L,0)))+(0.01-ROW()*0.01))</f>
        <v>-272.3290620141799</v>
      </c>
      <c r="Q834" s="107">
        <f t="shared" ref="Q834:Q897" si="148">IFERROR(P834/SUMIF(P:P,"&gt;0",P:P),0)</f>
        <v>-9.3951604004765252E-2</v>
      </c>
      <c r="R834" s="11">
        <f>IF(VLOOKUP($D834,$X$14:$Y$19,2,0)&lt;=0,1,IF(Q834&lt;0,1,ROUNDUP(IF(Q834*('Draft Center'!$L$28+'Draft Center'!$L$78-'Draft Center'!$L$82)&lt;1,1,Q834*('Draft Center'!$L$28+'Draft Center'!$L$78-'Draft Center'!$L$82)),0)))</f>
        <v>1</v>
      </c>
      <c r="S834" s="11">
        <f>IF(A834&lt;Input!$B$10+0.1,IF(ROUNDUP(R834*Input!$C$10,0)=0,1,ROUNDUP(R834*Input!$C$10,0)),IF(A834&gt;Input!$B$11,IF(ROUNDUP(R834*Input!$C$11,0)=0,1,ROUNDUP(R834*Input!$C$11,0)),IF(ROUNDUP(R834,0)=0,1,ROUNDUP(R834,0))))</f>
        <v>1</v>
      </c>
      <c r="T834" s="11">
        <f t="shared" ref="T834:T897" si="149">IF(U834&gt;0,0,IF(AA834=1,R834,IF(AL834=0,1,AL834)))</f>
        <v>1</v>
      </c>
      <c r="U834" s="11">
        <f>IFERROR(VLOOKUP($B834,Input!$AC$2:$AE$161,3,0),0)</f>
        <v>0</v>
      </c>
      <c r="V834" s="257">
        <f t="shared" si="144"/>
        <v>0</v>
      </c>
      <c r="W834" s="264">
        <f t="shared" si="145"/>
        <v>1.00834</v>
      </c>
      <c r="X834" s="68"/>
      <c r="Y834" s="68"/>
      <c r="Z834" s="68"/>
      <c r="AA834" s="68"/>
      <c r="AB834" s="68"/>
      <c r="AC834" s="68"/>
      <c r="AD834" s="68"/>
      <c r="AE834" s="68"/>
      <c r="AF834" s="68"/>
      <c r="AG834" s="68"/>
      <c r="AH834" s="68"/>
      <c r="AI834" s="68"/>
      <c r="AJ834" s="68">
        <v>1</v>
      </c>
      <c r="AL834" s="68">
        <v>1</v>
      </c>
      <c r="AM834" s="68"/>
      <c r="AN834" s="68"/>
      <c r="AO834" s="68"/>
      <c r="AQ834" s="68"/>
      <c r="AR834" s="68"/>
      <c r="AS834" s="68"/>
      <c r="AT834" s="68"/>
      <c r="AU834" s="68"/>
      <c r="AV834" s="68"/>
      <c r="AW834" s="68"/>
      <c r="AX834" s="68"/>
      <c r="AY834" s="68"/>
      <c r="AZ834" s="68"/>
      <c r="BB834" s="68"/>
      <c r="BC834" s="68"/>
      <c r="BJ834" s="68"/>
      <c r="BT834">
        <v>1</v>
      </c>
      <c r="BV834">
        <v>1</v>
      </c>
      <c r="BX834" s="68"/>
      <c r="BY834" s="68">
        <v>1</v>
      </c>
      <c r="BZ834" s="68">
        <v>0</v>
      </c>
      <c r="CA834" s="68">
        <v>0</v>
      </c>
      <c r="CB834" s="68">
        <v>0</v>
      </c>
      <c r="CC834" s="68">
        <f t="shared" si="146"/>
        <v>0</v>
      </c>
      <c r="CD834" s="68">
        <f t="shared" si="147"/>
        <v>0</v>
      </c>
    </row>
    <row r="835" spans="1:82" ht="15.75" customHeight="1" thickBot="1" x14ac:dyDescent="0.3">
      <c r="A835" s="6">
        <v>834</v>
      </c>
      <c r="B835" s="7" t="s">
        <v>243</v>
      </c>
      <c r="C835" s="7" t="s">
        <v>47</v>
      </c>
      <c r="D835" s="7" t="s">
        <v>53</v>
      </c>
      <c r="E835" s="50">
        <v>-264.09580284020097</v>
      </c>
      <c r="F835" s="50">
        <v>8.2518407926341908</v>
      </c>
      <c r="G835" s="50">
        <v>13.9365290922591</v>
      </c>
      <c r="H835" s="50">
        <v>1.46441700960219</v>
      </c>
      <c r="I835" s="8">
        <v>0</v>
      </c>
      <c r="J835" s="50">
        <v>3.3298597643763501</v>
      </c>
      <c r="K835" s="248">
        <f>IFERROR(VLOOKUP(C835,Schedule!$T$3:$U$34,2,0),"FA")</f>
        <v>10</v>
      </c>
      <c r="L835" s="7" t="str">
        <f>D835&amp;COUNTIF(D$2:$D835,D835)</f>
        <v>QB53</v>
      </c>
      <c r="M835" s="50">
        <f t="array" ref="M835">IFERROR(F835-AVERAGE(VLOOKUP(D835,$D836:$F$885,3,0),INDEX($F836:$F$885,SMALL(IF(D835=$D836:$D$885,ROW($D836:$D$885)-ROW(D835)),2))),0)</f>
        <v>0.26121490993749052</v>
      </c>
      <c r="N835" s="50">
        <f>IFERROR(IF(VLOOKUP($B835,Input!$AC$2:$AC$162,1,0)=$B835,0),F835)</f>
        <v>8.2518407926341908</v>
      </c>
      <c r="O835" s="50">
        <f>IFERROR(IF(VLOOKUP($B835,Input!$AC$2:$AC$162,1,0)=$B835,0,G835),G835)</f>
        <v>13.9365290922591</v>
      </c>
      <c r="P835" s="50">
        <f>IF(N835=0,0,F835-AVERAGE(INDEX(F:F,MATCH(VLOOKUP(D835,Input!$A$14:$L$22,10,0),L:L,0)),INDEX(F:F,MATCH(VLOOKUP(D835,Input!$A$14:$L$22,11,0),L:L,0)),INDEX(F:F,MATCH(VLOOKUP(D835,Input!$A$14:$L$22,12,0),L:L,0)))+(0.01-ROW()*0.01))</f>
        <v>-272.4358028402014</v>
      </c>
      <c r="Q835" s="106">
        <f t="shared" si="148"/>
        <v>-9.3988428836251622E-2</v>
      </c>
      <c r="R835" s="8">
        <f>IF(VLOOKUP($D835,$X$14:$Y$19,2,0)&lt;=0,1,IF(Q835&lt;0,1,ROUNDUP(IF(Q835*('Draft Center'!$L$28+'Draft Center'!$L$78-'Draft Center'!$L$82)&lt;1,1,Q835*('Draft Center'!$L$28+'Draft Center'!$L$78-'Draft Center'!$L$82)),0)))</f>
        <v>1</v>
      </c>
      <c r="S835" s="8">
        <f>IF(A835&lt;Input!$B$10+0.1,IF(ROUNDUP(R835*Input!$C$10,0)=0,1,ROUNDUP(R835*Input!$C$10,0)),IF(A835&gt;Input!$B$11,IF(ROUNDUP(R835*Input!$C$11,0)=0,1,ROUNDUP(R835*Input!$C$11,0)),IF(ROUNDUP(R835,0)=0,1,ROUNDUP(R835,0))))</f>
        <v>1</v>
      </c>
      <c r="T835" s="8">
        <f t="shared" si="149"/>
        <v>1</v>
      </c>
      <c r="U835" s="8">
        <f>IFERROR(VLOOKUP($B835,Input!$AC$2:$AE$161,3,0),0)</f>
        <v>0</v>
      </c>
      <c r="V835" s="256">
        <f t="shared" ref="V835:V898" si="150">IF(R835=0,0,IFERROR(((R835-CD835)/CD835)+(ROW()*0.00001),0))</f>
        <v>0</v>
      </c>
      <c r="W835" s="263">
        <f t="shared" ref="W835:W898" si="151">IF(R835=0,0,IFERROR(((R835-CD835))+(ROW()*0.00001),0))</f>
        <v>1.0083500000000001</v>
      </c>
      <c r="X835" s="68"/>
      <c r="Y835" s="68"/>
      <c r="Z835" s="68"/>
      <c r="AA835" s="68"/>
      <c r="AB835" s="68"/>
      <c r="AC835" s="68"/>
      <c r="AD835" s="68"/>
      <c r="AE835" s="68"/>
      <c r="AF835" s="68"/>
      <c r="AG835" s="68"/>
      <c r="AH835" s="68"/>
      <c r="AI835" s="68"/>
      <c r="AJ835" s="68">
        <v>1</v>
      </c>
      <c r="AL835" s="68">
        <v>1</v>
      </c>
      <c r="AM835" s="68"/>
      <c r="AN835" s="68"/>
      <c r="AO835" s="68"/>
      <c r="AQ835" s="68"/>
      <c r="AR835" s="68"/>
      <c r="AS835" s="68"/>
      <c r="AT835" s="68"/>
      <c r="AU835" s="68"/>
      <c r="AV835" s="68"/>
      <c r="AW835" s="68"/>
      <c r="AX835" s="68"/>
      <c r="AY835" s="68"/>
      <c r="AZ835" s="68"/>
      <c r="BB835" s="68"/>
      <c r="BC835" s="68"/>
      <c r="BJ835" s="68"/>
      <c r="BT835">
        <v>1</v>
      </c>
      <c r="BV835">
        <v>1</v>
      </c>
      <c r="BX835" s="68"/>
      <c r="BY835" s="68">
        <v>1</v>
      </c>
      <c r="BZ835" s="68">
        <v>0</v>
      </c>
      <c r="CA835" s="68">
        <v>0</v>
      </c>
      <c r="CB835" s="68">
        <v>0</v>
      </c>
      <c r="CC835" s="68">
        <f t="shared" ref="CC835:CC898" si="152">AVERAGE(BZ835:CB835)</f>
        <v>0</v>
      </c>
      <c r="CD835" s="68">
        <f t="shared" ref="CD835:CD898" si="153">IFERROR(HLOOKUP($CD$1,$BZ$1:$CC$930,ROW(),0),"")</f>
        <v>0</v>
      </c>
    </row>
    <row r="836" spans="1:82" ht="15.75" customHeight="1" thickBot="1" x14ac:dyDescent="0.3">
      <c r="A836" s="9">
        <v>835</v>
      </c>
      <c r="B836" s="10" t="s">
        <v>557</v>
      </c>
      <c r="C836" s="10" t="s">
        <v>33</v>
      </c>
      <c r="D836" s="10" t="s">
        <v>53</v>
      </c>
      <c r="E836" s="51">
        <v>-264.21335138604201</v>
      </c>
      <c r="F836" s="51">
        <v>8.1342922467938408</v>
      </c>
      <c r="G836" s="51">
        <v>13.458175358878901</v>
      </c>
      <c r="H836" s="51">
        <v>1.5844170096021899</v>
      </c>
      <c r="I836" s="11">
        <v>0</v>
      </c>
      <c r="J836" s="51">
        <v>4.7946749028159097</v>
      </c>
      <c r="K836" s="249">
        <f>IFERROR(VLOOKUP(C836,Schedule!$T$3:$U$34,2,0),"FA")</f>
        <v>9</v>
      </c>
      <c r="L836" s="10" t="str">
        <f>D836&amp;COUNTIF(D$2:$D836,D836)</f>
        <v>QB54</v>
      </c>
      <c r="M836" s="51">
        <f t="array" ref="M836">IFERROR(F836-AVERAGE(VLOOKUP(D836,$D837:$F$885,3,0),INDEX($F837:$F$885,SMALL(IF(D836=$D837:$D$885,ROW($D837:$D$885)-ROW(D836)),2))),0)</f>
        <v>0.81321789611443052</v>
      </c>
      <c r="N836" s="51">
        <f>IFERROR(IF(VLOOKUP($B836,Input!$AC$2:$AC$162,1,0)=$B836,0),F836)</f>
        <v>8.1342922467938408</v>
      </c>
      <c r="O836" s="51">
        <f>IFERROR(IF(VLOOKUP($B836,Input!$AC$2:$AC$162,1,0)=$B836,0,G836),G836)</f>
        <v>13.458175358878901</v>
      </c>
      <c r="P836" s="51">
        <f>IF(N836=0,0,F836-AVERAGE(INDEX(F:F,MATCH(VLOOKUP(D836,Input!$A$14:$L$22,10,0),L:L,0)),INDEX(F:F,MATCH(VLOOKUP(D836,Input!$A$14:$L$22,11,0),L:L,0)),INDEX(F:F,MATCH(VLOOKUP(D836,Input!$A$14:$L$22,12,0),L:L,0)))+(0.01-ROW()*0.01))</f>
        <v>-272.5633513860418</v>
      </c>
      <c r="Q836" s="107">
        <f t="shared" si="148"/>
        <v>-9.4032432184192341E-2</v>
      </c>
      <c r="R836" s="11">
        <f>IF(VLOOKUP($D836,$X$14:$Y$19,2,0)&lt;=0,1,IF(Q836&lt;0,1,ROUNDUP(IF(Q836*('Draft Center'!$L$28+'Draft Center'!$L$78-'Draft Center'!$L$82)&lt;1,1,Q836*('Draft Center'!$L$28+'Draft Center'!$L$78-'Draft Center'!$L$82)),0)))</f>
        <v>1</v>
      </c>
      <c r="S836" s="11">
        <f>IF(A836&lt;Input!$B$10+0.1,IF(ROUNDUP(R836*Input!$C$10,0)=0,1,ROUNDUP(R836*Input!$C$10,0)),IF(A836&gt;Input!$B$11,IF(ROUNDUP(R836*Input!$C$11,0)=0,1,ROUNDUP(R836*Input!$C$11,0)),IF(ROUNDUP(R836,0)=0,1,ROUNDUP(R836,0))))</f>
        <v>1</v>
      </c>
      <c r="T836" s="11">
        <f t="shared" si="149"/>
        <v>1</v>
      </c>
      <c r="U836" s="11">
        <f>IFERROR(VLOOKUP($B836,Input!$AC$2:$AE$161,3,0),0)</f>
        <v>0</v>
      </c>
      <c r="V836" s="257">
        <f t="shared" si="150"/>
        <v>0</v>
      </c>
      <c r="W836" s="264">
        <f t="shared" si="151"/>
        <v>1.0083599999999999</v>
      </c>
      <c r="X836" s="68"/>
      <c r="Y836" s="68"/>
      <c r="Z836" s="68"/>
      <c r="AA836" s="68"/>
      <c r="AB836" s="68"/>
      <c r="AC836" s="68"/>
      <c r="AD836" s="68"/>
      <c r="AE836" s="68"/>
      <c r="AF836" s="68"/>
      <c r="AG836" s="68"/>
      <c r="AH836" s="68"/>
      <c r="AI836" s="68"/>
      <c r="AJ836" s="68">
        <v>1</v>
      </c>
      <c r="AL836" s="68">
        <v>1</v>
      </c>
      <c r="AM836" s="68"/>
      <c r="AN836" s="68"/>
      <c r="AO836" s="68"/>
      <c r="AQ836" s="68"/>
      <c r="AR836" s="68"/>
      <c r="AS836" s="68"/>
      <c r="AT836" s="68"/>
      <c r="AU836" s="68"/>
      <c r="AV836" s="68"/>
      <c r="AW836" s="68"/>
      <c r="AX836" s="68"/>
      <c r="AY836" s="68"/>
      <c r="AZ836" s="68"/>
      <c r="BB836" s="68"/>
      <c r="BC836" s="68"/>
      <c r="BJ836" s="68"/>
      <c r="BT836">
        <v>1</v>
      </c>
      <c r="BV836">
        <v>1</v>
      </c>
      <c r="BX836" s="68"/>
      <c r="BY836" s="68">
        <v>1</v>
      </c>
      <c r="BZ836" s="68">
        <v>0</v>
      </c>
      <c r="CA836" s="68">
        <v>0</v>
      </c>
      <c r="CB836" s="68">
        <v>0</v>
      </c>
      <c r="CC836" s="68">
        <f t="shared" si="152"/>
        <v>0</v>
      </c>
      <c r="CD836" s="68">
        <f t="shared" si="153"/>
        <v>0</v>
      </c>
    </row>
    <row r="837" spans="1:82" ht="15.75" customHeight="1" thickBot="1" x14ac:dyDescent="0.3">
      <c r="A837" s="6">
        <v>836</v>
      </c>
      <c r="B837" s="7" t="s">
        <v>547</v>
      </c>
      <c r="C837" s="7" t="s">
        <v>68</v>
      </c>
      <c r="D837" s="7" t="s">
        <v>53</v>
      </c>
      <c r="E837" s="50">
        <v>-264.50068411423598</v>
      </c>
      <c r="F837" s="50">
        <v>7.8469595185995598</v>
      </c>
      <c r="G837" s="50">
        <v>14.968103271027999</v>
      </c>
      <c r="H837" s="50">
        <v>0</v>
      </c>
      <c r="I837" s="8">
        <v>0</v>
      </c>
      <c r="J837" s="50">
        <v>7.8206436970839199</v>
      </c>
      <c r="K837" s="248">
        <f>IFERROR(VLOOKUP(C837,Schedule!$T$3:$U$34,2,0),"FA")</f>
        <v>8</v>
      </c>
      <c r="L837" s="7" t="str">
        <f>D837&amp;COUNTIF(D$2:$D837,D837)</f>
        <v>QB55</v>
      </c>
      <c r="M837" s="50">
        <f t="array" ref="M837">IFERROR(F837-AVERAGE(VLOOKUP(D837,$D838:$F$885,3,0),INDEX($F838:$F$885,SMALL(IF(D837=$D838:$D$885,ROW($D838:$D$885)-ROW(D837)),2))),0)</f>
        <v>1.0693923620621799</v>
      </c>
      <c r="N837" s="50">
        <f>IFERROR(IF(VLOOKUP($B837,Input!$AC$2:$AC$162,1,0)=$B837,0),F837)</f>
        <v>7.8469595185995598</v>
      </c>
      <c r="O837" s="50">
        <f>IFERROR(IF(VLOOKUP($B837,Input!$AC$2:$AC$162,1,0)=$B837,0,G837),G837)</f>
        <v>14.968103271027999</v>
      </c>
      <c r="P837" s="50">
        <f>IF(N837=0,0,F837-AVERAGE(INDEX(F:F,MATCH(VLOOKUP(D837,Input!$A$14:$L$22,10,0),L:L,0)),INDEX(F:F,MATCH(VLOOKUP(D837,Input!$A$14:$L$22,11,0),L:L,0)),INDEX(F:F,MATCH(VLOOKUP(D837,Input!$A$14:$L$22,12,0),L:L,0)))+(0.01-ROW()*0.01))</f>
        <v>-272.86068411423611</v>
      </c>
      <c r="Q837" s="106">
        <f t="shared" si="148"/>
        <v>-9.4135009876526607E-2</v>
      </c>
      <c r="R837" s="8">
        <f>IF(VLOOKUP($D837,$X$14:$Y$19,2,0)&lt;=0,1,IF(Q837&lt;0,1,ROUNDUP(IF(Q837*('Draft Center'!$L$28+'Draft Center'!$L$78-'Draft Center'!$L$82)&lt;1,1,Q837*('Draft Center'!$L$28+'Draft Center'!$L$78-'Draft Center'!$L$82)),0)))</f>
        <v>1</v>
      </c>
      <c r="S837" s="8">
        <f>IF(A837&lt;Input!$B$10+0.1,IF(ROUNDUP(R837*Input!$C$10,0)=0,1,ROUNDUP(R837*Input!$C$10,0)),IF(A837&gt;Input!$B$11,IF(ROUNDUP(R837*Input!$C$11,0)=0,1,ROUNDUP(R837*Input!$C$11,0)),IF(ROUNDUP(R837,0)=0,1,ROUNDUP(R837,0))))</f>
        <v>1</v>
      </c>
      <c r="T837" s="8">
        <f t="shared" si="149"/>
        <v>1</v>
      </c>
      <c r="U837" s="8">
        <f>IFERROR(VLOOKUP($B837,Input!$AC$2:$AE$161,3,0),0)</f>
        <v>0</v>
      </c>
      <c r="V837" s="256">
        <f t="shared" si="150"/>
        <v>0</v>
      </c>
      <c r="W837" s="263">
        <f t="shared" si="151"/>
        <v>1.00837</v>
      </c>
      <c r="X837" s="68"/>
      <c r="Y837" s="68"/>
      <c r="Z837" s="68"/>
      <c r="AA837" s="68"/>
      <c r="AB837" s="68"/>
      <c r="AC837" s="68"/>
      <c r="AD837" s="68"/>
      <c r="AE837" s="68"/>
      <c r="AF837" s="68"/>
      <c r="AG837" s="68"/>
      <c r="AH837" s="68"/>
      <c r="AI837" s="68"/>
      <c r="AJ837" s="68">
        <v>1</v>
      </c>
      <c r="AL837" s="68">
        <v>1</v>
      </c>
      <c r="AM837" s="68"/>
      <c r="AN837" s="68"/>
      <c r="AO837" s="68"/>
      <c r="AQ837" s="68"/>
      <c r="AR837" s="68"/>
      <c r="AS837" s="68"/>
      <c r="AT837" s="68"/>
      <c r="AU837" s="68"/>
      <c r="AV837" s="68"/>
      <c r="AW837" s="68"/>
      <c r="AX837" s="68"/>
      <c r="AY837" s="68"/>
      <c r="AZ837" s="68"/>
      <c r="BB837" s="68"/>
      <c r="BC837" s="68"/>
      <c r="BJ837" s="68"/>
      <c r="BT837">
        <v>1</v>
      </c>
      <c r="BV837">
        <v>1</v>
      </c>
      <c r="BX837" s="68"/>
      <c r="BY837" s="68">
        <v>1</v>
      </c>
      <c r="BZ837" s="68">
        <v>0</v>
      </c>
      <c r="CA837" s="68">
        <v>0</v>
      </c>
      <c r="CB837" s="68">
        <v>0</v>
      </c>
      <c r="CC837" s="68">
        <f t="shared" si="152"/>
        <v>0</v>
      </c>
      <c r="CD837" s="68">
        <f t="shared" si="153"/>
        <v>0</v>
      </c>
    </row>
    <row r="838" spans="1:82" ht="15.75" customHeight="1" thickBot="1" x14ac:dyDescent="0.3">
      <c r="A838" s="9">
        <v>837</v>
      </c>
      <c r="B838" s="10" t="s">
        <v>533</v>
      </c>
      <c r="C838" s="10" t="s">
        <v>42</v>
      </c>
      <c r="D838" s="10" t="s">
        <v>53</v>
      </c>
      <c r="E838" s="51">
        <v>-265.55245445007603</v>
      </c>
      <c r="F838" s="51">
        <v>6.7951891827592599</v>
      </c>
      <c r="G838" s="51">
        <v>14.088164445457901</v>
      </c>
      <c r="H838" s="51">
        <v>0.31944307270233202</v>
      </c>
      <c r="I838" s="11">
        <v>0</v>
      </c>
      <c r="J838" s="51">
        <v>4.1507952581713798</v>
      </c>
      <c r="K838" s="249">
        <f>IFERROR(VLOOKUP(C838,Schedule!$T$3:$U$34,2,0),"FA")</f>
        <v>9</v>
      </c>
      <c r="L838" s="10" t="str">
        <f>D838&amp;COUNTIF(D$2:$D838,D838)</f>
        <v>QB56</v>
      </c>
      <c r="M838" s="51">
        <f t="array" ref="M838">IFERROR(F838-AVERAGE(VLOOKUP(D838,$D839:$F$885,3,0),INDEX($F839:$F$885,SMALL(IF(D838=$D839:$D$885,ROW($D839:$D$885)-ROW(D838)),2))),0)</f>
        <v>0.27906143821405482</v>
      </c>
      <c r="N838" s="51">
        <f>IFERROR(IF(VLOOKUP($B838,Input!$AC$2:$AC$162,1,0)=$B838,0),F838)</f>
        <v>6.7951891827592599</v>
      </c>
      <c r="O838" s="51">
        <f>IFERROR(IF(VLOOKUP($B838,Input!$AC$2:$AC$162,1,0)=$B838,0,G838),G838)</f>
        <v>14.088164445457901</v>
      </c>
      <c r="P838" s="51">
        <f>IF(N838=0,0,F838-AVERAGE(INDEX(F:F,MATCH(VLOOKUP(D838,Input!$A$14:$L$22,10,0),L:L,0)),INDEX(F:F,MATCH(VLOOKUP(D838,Input!$A$14:$L$22,11,0),L:L,0)),INDEX(F:F,MATCH(VLOOKUP(D838,Input!$A$14:$L$22,12,0),L:L,0)))+(0.01-ROW()*0.01))</f>
        <v>-273.92245445007637</v>
      </c>
      <c r="Q838" s="107">
        <f t="shared" si="148"/>
        <v>-9.4501313147279525E-2</v>
      </c>
      <c r="R838" s="11">
        <f>IF(VLOOKUP($D838,$X$14:$Y$19,2,0)&lt;=0,1,IF(Q838&lt;0,1,ROUNDUP(IF(Q838*('Draft Center'!$L$28+'Draft Center'!$L$78-'Draft Center'!$L$82)&lt;1,1,Q838*('Draft Center'!$L$28+'Draft Center'!$L$78-'Draft Center'!$L$82)),0)))</f>
        <v>1</v>
      </c>
      <c r="S838" s="11">
        <f>IF(A838&lt;Input!$B$10+0.1,IF(ROUNDUP(R838*Input!$C$10,0)=0,1,ROUNDUP(R838*Input!$C$10,0)),IF(A838&gt;Input!$B$11,IF(ROUNDUP(R838*Input!$C$11,0)=0,1,ROUNDUP(R838*Input!$C$11,0)),IF(ROUNDUP(R838,0)=0,1,ROUNDUP(R838,0))))</f>
        <v>1</v>
      </c>
      <c r="T838" s="11">
        <f t="shared" si="149"/>
        <v>1</v>
      </c>
      <c r="U838" s="11">
        <f>IFERROR(VLOOKUP($B838,Input!$AC$2:$AE$161,3,0),0)</f>
        <v>0</v>
      </c>
      <c r="V838" s="257">
        <f t="shared" si="150"/>
        <v>0</v>
      </c>
      <c r="W838" s="264">
        <f t="shared" si="151"/>
        <v>1.0083800000000001</v>
      </c>
      <c r="X838" s="68"/>
      <c r="Y838" s="68"/>
      <c r="Z838" s="68"/>
      <c r="AA838" s="68"/>
      <c r="AB838" s="68"/>
      <c r="AC838" s="68"/>
      <c r="AD838" s="68"/>
      <c r="AE838" s="68"/>
      <c r="AF838" s="68"/>
      <c r="AG838" s="68"/>
      <c r="AH838" s="68"/>
      <c r="AI838" s="68"/>
      <c r="AJ838" s="68">
        <v>1</v>
      </c>
      <c r="AL838" s="68">
        <v>1</v>
      </c>
      <c r="AM838" s="68"/>
      <c r="AN838" s="68"/>
      <c r="AO838" s="68"/>
      <c r="AQ838" s="68"/>
      <c r="AR838" s="68"/>
      <c r="AS838" s="68"/>
      <c r="AT838" s="68"/>
      <c r="AU838" s="68"/>
      <c r="AV838" s="68"/>
      <c r="AW838" s="68"/>
      <c r="AX838" s="68"/>
      <c r="AY838" s="68"/>
      <c r="AZ838" s="68"/>
      <c r="BB838" s="68"/>
      <c r="BC838" s="68"/>
      <c r="BJ838" s="68"/>
      <c r="BT838">
        <v>1</v>
      </c>
      <c r="BV838">
        <v>1</v>
      </c>
      <c r="BX838" s="68"/>
      <c r="BY838" s="68">
        <v>1</v>
      </c>
      <c r="BZ838" s="68">
        <v>0</v>
      </c>
      <c r="CA838" s="68">
        <v>0</v>
      </c>
      <c r="CB838" s="68">
        <v>0</v>
      </c>
      <c r="CC838" s="68">
        <f t="shared" si="152"/>
        <v>0</v>
      </c>
      <c r="CD838" s="68">
        <f t="shared" si="153"/>
        <v>0</v>
      </c>
    </row>
    <row r="839" spans="1:82" ht="15.75" customHeight="1" thickBot="1" x14ac:dyDescent="0.3">
      <c r="A839" s="6">
        <v>838</v>
      </c>
      <c r="B839" s="7" t="s">
        <v>1050</v>
      </c>
      <c r="C839" s="7" t="s">
        <v>21</v>
      </c>
      <c r="D839" s="7" t="s">
        <v>53</v>
      </c>
      <c r="E839" s="50">
        <v>-265.58769850252003</v>
      </c>
      <c r="F839" s="50">
        <v>6.7599451303154998</v>
      </c>
      <c r="G839" s="50">
        <v>9.0613600000000005</v>
      </c>
      <c r="H839" s="50">
        <v>0</v>
      </c>
      <c r="I839" s="8">
        <v>0</v>
      </c>
      <c r="J839" s="50">
        <v>3.9386681010654501</v>
      </c>
      <c r="K839" s="248">
        <f>IFERROR(VLOOKUP(C839,Schedule!$T$3:$U$34,2,0),"FA")</f>
        <v>5</v>
      </c>
      <c r="L839" s="7" t="str">
        <f>D839&amp;COUNTIF(D$2:$D839,D839)</f>
        <v>QB57</v>
      </c>
      <c r="M839" s="50">
        <f t="array" ref="M839">IFERROR(F839-AVERAGE(VLOOKUP(D839,$D840:$F$885,3,0),INDEX($F840:$F$885,SMALL(IF(D839=$D840:$D$885,ROW($D840:$D$885)-ROW(D839)),2))),0)</f>
        <v>0.50348452415226408</v>
      </c>
      <c r="N839" s="50">
        <f>IFERROR(IF(VLOOKUP($B839,Input!$AC$2:$AC$162,1,0)=$B839,0),F839)</f>
        <v>6.7599451303154998</v>
      </c>
      <c r="O839" s="50">
        <f>IFERROR(IF(VLOOKUP($B839,Input!$AC$2:$AC$162,1,0)=$B839,0,G839),G839)</f>
        <v>9.0613600000000005</v>
      </c>
      <c r="P839" s="50">
        <f>IF(N839=0,0,F839-AVERAGE(INDEX(F:F,MATCH(VLOOKUP(D839,Input!$A$14:$L$22,10,0),L:L,0)),INDEX(F:F,MATCH(VLOOKUP(D839,Input!$A$14:$L$22,11,0),L:L,0)),INDEX(F:F,MATCH(VLOOKUP(D839,Input!$A$14:$L$22,12,0),L:L,0)))+(0.01-ROW()*0.01))</f>
        <v>-273.96769850252014</v>
      </c>
      <c r="Q839" s="106">
        <f t="shared" si="148"/>
        <v>-9.4516922025991656E-2</v>
      </c>
      <c r="R839" s="8">
        <f>IF(VLOOKUP($D839,$X$14:$Y$19,2,0)&lt;=0,1,IF(Q839&lt;0,1,ROUNDUP(IF(Q839*('Draft Center'!$L$28+'Draft Center'!$L$78-'Draft Center'!$L$82)&lt;1,1,Q839*('Draft Center'!$L$28+'Draft Center'!$L$78-'Draft Center'!$L$82)),0)))</f>
        <v>1</v>
      </c>
      <c r="S839" s="8">
        <f>IF(A839&lt;Input!$B$10+0.1,IF(ROUNDUP(R839*Input!$C$10,0)=0,1,ROUNDUP(R839*Input!$C$10,0)),IF(A839&gt;Input!$B$11,IF(ROUNDUP(R839*Input!$C$11,0)=0,1,ROUNDUP(R839*Input!$C$11,0)),IF(ROUNDUP(R839,0)=0,1,ROUNDUP(R839,0))))</f>
        <v>1</v>
      </c>
      <c r="T839" s="8">
        <f t="shared" si="149"/>
        <v>1</v>
      </c>
      <c r="U839" s="8">
        <f>IFERROR(VLOOKUP($B839,Input!$AC$2:$AE$161,3,0),0)</f>
        <v>0</v>
      </c>
      <c r="V839" s="256">
        <f t="shared" si="150"/>
        <v>0</v>
      </c>
      <c r="W839" s="263">
        <f t="shared" si="151"/>
        <v>1.0083899999999999</v>
      </c>
      <c r="X839" s="68"/>
      <c r="Y839" s="68"/>
      <c r="Z839" s="68"/>
      <c r="AA839" s="68"/>
      <c r="AB839" s="68"/>
      <c r="AC839" s="68"/>
      <c r="AD839" s="68"/>
      <c r="AE839" s="68"/>
      <c r="AF839" s="68"/>
      <c r="AG839" s="68"/>
      <c r="AH839" s="68"/>
      <c r="AI839" s="68"/>
      <c r="AJ839" s="68">
        <v>1</v>
      </c>
      <c r="AL839" s="68">
        <v>1</v>
      </c>
      <c r="AM839" s="68"/>
      <c r="AN839" s="68"/>
      <c r="AO839" s="68"/>
      <c r="AQ839" s="68"/>
      <c r="AR839" s="68"/>
      <c r="AS839" s="68"/>
      <c r="AT839" s="68"/>
      <c r="AU839" s="68"/>
      <c r="AV839" s="68"/>
      <c r="AW839" s="68"/>
      <c r="AX839" s="68"/>
      <c r="AY839" s="68"/>
      <c r="AZ839" s="68"/>
      <c r="BB839" s="68"/>
      <c r="BC839" s="68"/>
      <c r="BJ839" s="68"/>
      <c r="BT839">
        <v>1</v>
      </c>
      <c r="BV839">
        <v>1</v>
      </c>
      <c r="BX839" s="68"/>
      <c r="BY839" s="68">
        <v>1</v>
      </c>
      <c r="BZ839" s="68">
        <v>0</v>
      </c>
      <c r="CA839" s="68">
        <v>0</v>
      </c>
      <c r="CB839" s="68">
        <v>0</v>
      </c>
      <c r="CC839" s="68">
        <f t="shared" si="152"/>
        <v>0</v>
      </c>
      <c r="CD839" s="68">
        <f t="shared" si="153"/>
        <v>0</v>
      </c>
    </row>
    <row r="840" spans="1:82" ht="15.75" customHeight="1" thickBot="1" x14ac:dyDescent="0.3">
      <c r="A840" s="9">
        <v>839</v>
      </c>
      <c r="B840" s="10" t="s">
        <v>837</v>
      </c>
      <c r="C840" s="10" t="s">
        <v>143</v>
      </c>
      <c r="D840" s="10" t="s">
        <v>53</v>
      </c>
      <c r="E840" s="51">
        <v>-266.07533327406099</v>
      </c>
      <c r="F840" s="51">
        <v>6.2723103587749103</v>
      </c>
      <c r="G840" s="51">
        <v>13.028836316248899</v>
      </c>
      <c r="H840" s="51">
        <v>-7.7747225339817996E-2</v>
      </c>
      <c r="I840" s="11" t="s">
        <v>1057</v>
      </c>
      <c r="J840" s="51">
        <v>3.7971533452563899</v>
      </c>
      <c r="K840" s="249">
        <f>IFERROR(VLOOKUP(C840,Schedule!$T$3:$U$34,2,0),"FA")</f>
        <v>9</v>
      </c>
      <c r="L840" s="10" t="str">
        <f>D840&amp;COUNTIF(D$2:$D840,D840)</f>
        <v>QB58</v>
      </c>
      <c r="M840" s="51">
        <f t="array" ref="M840">IFERROR(F840-AVERAGE(VLOOKUP(D840,$D841:$F$885,3,0),INDEX($F841:$F$885,SMALL(IF(D840=$D841:$D$885,ROW($D841:$D$885)-ROW(D840)),2))),0)</f>
        <v>0.24009948314413077</v>
      </c>
      <c r="N840" s="51">
        <f>IFERROR(IF(VLOOKUP($B840,Input!$AC$2:$AC$162,1,0)=$B840,0),F840)</f>
        <v>6.2723103587749103</v>
      </c>
      <c r="O840" s="51">
        <f>IFERROR(IF(VLOOKUP($B840,Input!$AC$2:$AC$162,1,0)=$B840,0,G840),G840)</f>
        <v>13.028836316248899</v>
      </c>
      <c r="P840" s="51">
        <f>IF(N840=0,0,F840-AVERAGE(INDEX(F:F,MATCH(VLOOKUP(D840,Input!$A$14:$L$22,10,0),L:L,0)),INDEX(F:F,MATCH(VLOOKUP(D840,Input!$A$14:$L$22,11,0),L:L,0)),INDEX(F:F,MATCH(VLOOKUP(D840,Input!$A$14:$L$22,12,0),L:L,0)))+(0.01-ROW()*0.01))</f>
        <v>-274.4653332740607</v>
      </c>
      <c r="Q840" s="107">
        <f t="shared" si="148"/>
        <v>-9.4688602509334072E-2</v>
      </c>
      <c r="R840" s="11">
        <f>IF(VLOOKUP($D840,$X$14:$Y$19,2,0)&lt;=0,1,IF(Q840&lt;0,1,ROUNDUP(IF(Q840*('Draft Center'!$L$28+'Draft Center'!$L$78-'Draft Center'!$L$82)&lt;1,1,Q840*('Draft Center'!$L$28+'Draft Center'!$L$78-'Draft Center'!$L$82)),0)))</f>
        <v>1</v>
      </c>
      <c r="S840" s="11">
        <f>IF(A840&lt;Input!$B$10+0.1,IF(ROUNDUP(R840*Input!$C$10,0)=0,1,ROUNDUP(R840*Input!$C$10,0)),IF(A840&gt;Input!$B$11,IF(ROUNDUP(R840*Input!$C$11,0)=0,1,ROUNDUP(R840*Input!$C$11,0)),IF(ROUNDUP(R840,0)=0,1,ROUNDUP(R840,0))))</f>
        <v>1</v>
      </c>
      <c r="T840" s="11">
        <f t="shared" si="149"/>
        <v>1</v>
      </c>
      <c r="U840" s="11">
        <f>IFERROR(VLOOKUP($B840,Input!$AC$2:$AE$161,3,0),0)</f>
        <v>0</v>
      </c>
      <c r="V840" s="257">
        <f t="shared" si="150"/>
        <v>0</v>
      </c>
      <c r="W840" s="264">
        <f t="shared" si="151"/>
        <v>0</v>
      </c>
      <c r="X840" s="68"/>
      <c r="Y840" s="68"/>
      <c r="Z840" s="68"/>
      <c r="AA840" s="68"/>
      <c r="AB840" s="68"/>
      <c r="AC840" s="68"/>
      <c r="AD840" s="68"/>
      <c r="AE840" s="68"/>
      <c r="AF840" s="68"/>
      <c r="AG840" s="68"/>
      <c r="AH840" s="68"/>
      <c r="AI840" s="68"/>
      <c r="AJ840" s="68">
        <v>1</v>
      </c>
      <c r="AL840" s="68">
        <v>1</v>
      </c>
      <c r="AM840" s="68"/>
      <c r="AN840" s="68"/>
      <c r="AO840" s="68"/>
      <c r="AQ840" s="68"/>
      <c r="AR840" s="68"/>
      <c r="AS840" s="68"/>
      <c r="AT840" s="68"/>
      <c r="AU840" s="68"/>
      <c r="AV840" s="68"/>
      <c r="AW840" s="68"/>
      <c r="AX840" s="68"/>
      <c r="AY840" s="68"/>
      <c r="AZ840" s="68"/>
      <c r="BB840" s="68"/>
      <c r="BC840" s="68"/>
      <c r="BJ840" s="68"/>
      <c r="BT840">
        <v>1</v>
      </c>
      <c r="BV840">
        <v>1</v>
      </c>
      <c r="BX840" s="68"/>
      <c r="BY840" s="68">
        <v>1</v>
      </c>
      <c r="BZ840" s="68" t="s">
        <v>1057</v>
      </c>
      <c r="CA840" s="68" t="s">
        <v>1057</v>
      </c>
      <c r="CB840" s="68" t="s">
        <v>1057</v>
      </c>
      <c r="CC840" s="68" t="e">
        <f t="shared" si="152"/>
        <v>#DIV/0!</v>
      </c>
      <c r="CD840" s="68" t="str">
        <f t="shared" si="153"/>
        <v>NA</v>
      </c>
    </row>
    <row r="841" spans="1:82" ht="15.75" customHeight="1" thickBot="1" x14ac:dyDescent="0.3">
      <c r="A841" s="6">
        <v>840</v>
      </c>
      <c r="B841" s="7" t="s">
        <v>548</v>
      </c>
      <c r="C841" s="7" t="s">
        <v>52</v>
      </c>
      <c r="D841" s="7" t="s">
        <v>53</v>
      </c>
      <c r="E841" s="50">
        <v>-266.107032779284</v>
      </c>
      <c r="F841" s="50">
        <v>6.2406108535515603</v>
      </c>
      <c r="G841" s="50">
        <v>11.194911030037201</v>
      </c>
      <c r="H841" s="50">
        <v>0.49149519890260601</v>
      </c>
      <c r="I841" s="8">
        <v>0</v>
      </c>
      <c r="J841" s="50">
        <v>5.2962084160405096</v>
      </c>
      <c r="K841" s="248">
        <f>IFERROR(VLOOKUP(C841,Schedule!$T$3:$U$34,2,0),"FA")</f>
        <v>11</v>
      </c>
      <c r="L841" s="7" t="str">
        <f>D841&amp;COUNTIF(D$2:$D841,D841)</f>
        <v>QB59</v>
      </c>
      <c r="M841" s="50">
        <f t="array" ref="M841">IFERROR(F841-AVERAGE(VLOOKUP(D841,$D842:$F$885,3,0),INDEX($F842:$F$885,SMALL(IF(D841=$D842:$D$885,ROW($D842:$D$885)-ROW(D841)),2))),0)</f>
        <v>0.53781270542029525</v>
      </c>
      <c r="N841" s="50">
        <f>IFERROR(IF(VLOOKUP($B841,Input!$AC$2:$AC$162,1,0)=$B841,0),F841)</f>
        <v>6.2406108535515603</v>
      </c>
      <c r="O841" s="50">
        <f>IFERROR(IF(VLOOKUP($B841,Input!$AC$2:$AC$162,1,0)=$B841,0,G841),G841)</f>
        <v>11.194911030037201</v>
      </c>
      <c r="P841" s="50">
        <f>IF(N841=0,0,F841-AVERAGE(INDEX(F:F,MATCH(VLOOKUP(D841,Input!$A$14:$L$22,10,0),L:L,0)),INDEX(F:F,MATCH(VLOOKUP(D841,Input!$A$14:$L$22,11,0),L:L,0)),INDEX(F:F,MATCH(VLOOKUP(D841,Input!$A$14:$L$22,12,0),L:L,0)))+(0.01-ROW()*0.01))</f>
        <v>-274.50703277928403</v>
      </c>
      <c r="Q841" s="106">
        <f t="shared" si="148"/>
        <v>-9.4702988544276362E-2</v>
      </c>
      <c r="R841" s="8">
        <f>IF(VLOOKUP($D841,$X$14:$Y$19,2,0)&lt;=0,1,IF(Q841&lt;0,1,ROUNDUP(IF(Q841*('Draft Center'!$L$28+'Draft Center'!$L$78-'Draft Center'!$L$82)&lt;1,1,Q841*('Draft Center'!$L$28+'Draft Center'!$L$78-'Draft Center'!$L$82)),0)))</f>
        <v>1</v>
      </c>
      <c r="S841" s="8">
        <f>IF(A841&lt;Input!$B$10+0.1,IF(ROUNDUP(R841*Input!$C$10,0)=0,1,ROUNDUP(R841*Input!$C$10,0)),IF(A841&gt;Input!$B$11,IF(ROUNDUP(R841*Input!$C$11,0)=0,1,ROUNDUP(R841*Input!$C$11,0)),IF(ROUNDUP(R841,0)=0,1,ROUNDUP(R841,0))))</f>
        <v>1</v>
      </c>
      <c r="T841" s="8">
        <f t="shared" si="149"/>
        <v>1</v>
      </c>
      <c r="U841" s="8">
        <f>IFERROR(VLOOKUP($B841,Input!$AC$2:$AE$161,3,0),0)</f>
        <v>0</v>
      </c>
      <c r="V841" s="256">
        <f t="shared" si="150"/>
        <v>0</v>
      </c>
      <c r="W841" s="263">
        <f t="shared" si="151"/>
        <v>1.00841</v>
      </c>
      <c r="X841" s="68"/>
      <c r="Y841" s="68"/>
      <c r="Z841" s="68"/>
      <c r="AA841" s="68"/>
      <c r="AB841" s="68"/>
      <c r="AC841" s="68"/>
      <c r="AD841" s="68"/>
      <c r="AE841" s="68"/>
      <c r="AF841" s="68"/>
      <c r="AG841" s="68"/>
      <c r="AH841" s="68"/>
      <c r="AI841" s="68"/>
      <c r="AJ841" s="68">
        <v>1</v>
      </c>
      <c r="AL841" s="68">
        <v>1</v>
      </c>
      <c r="AM841" s="68"/>
      <c r="AN841" s="68"/>
      <c r="AO841" s="68"/>
      <c r="AQ841" s="68"/>
      <c r="AR841" s="68"/>
      <c r="AS841" s="68"/>
      <c r="AT841" s="68"/>
      <c r="AU841" s="68"/>
      <c r="AV841" s="68"/>
      <c r="AW841" s="68"/>
      <c r="AX841" s="68"/>
      <c r="AY841" s="68"/>
      <c r="AZ841" s="68"/>
      <c r="BB841" s="68"/>
      <c r="BC841" s="68"/>
      <c r="BJ841" s="68"/>
      <c r="BT841">
        <v>1</v>
      </c>
      <c r="BV841">
        <v>1</v>
      </c>
      <c r="BX841" s="68"/>
      <c r="BY841" s="68">
        <v>1</v>
      </c>
      <c r="BZ841" s="68">
        <v>0</v>
      </c>
      <c r="CA841" s="68">
        <v>0</v>
      </c>
      <c r="CB841" s="68">
        <v>0</v>
      </c>
      <c r="CC841" s="68">
        <f t="shared" si="152"/>
        <v>0</v>
      </c>
      <c r="CD841" s="68">
        <f t="shared" si="153"/>
        <v>0</v>
      </c>
    </row>
    <row r="842" spans="1:82" ht="15.75" customHeight="1" thickBot="1" x14ac:dyDescent="0.3">
      <c r="A842" s="9">
        <v>841</v>
      </c>
      <c r="B842" s="10" t="s">
        <v>565</v>
      </c>
      <c r="C842" s="10" t="s">
        <v>29</v>
      </c>
      <c r="D842" s="10" t="s">
        <v>53</v>
      </c>
      <c r="E842" s="51">
        <v>-266.52383273512601</v>
      </c>
      <c r="F842" s="51">
        <v>5.8238108977099996</v>
      </c>
      <c r="G842" s="51">
        <v>9.8587822500000009</v>
      </c>
      <c r="H842" s="51">
        <v>1.07452126200274</v>
      </c>
      <c r="I842" s="11">
        <v>0</v>
      </c>
      <c r="J842" s="51">
        <v>5.0611853128132296</v>
      </c>
      <c r="K842" s="249">
        <f>IFERROR(VLOOKUP(C842,Schedule!$T$3:$U$34,2,0),"FA")</f>
        <v>8</v>
      </c>
      <c r="L842" s="10" t="str">
        <f>D842&amp;COUNTIF(D$2:$D842,D842)</f>
        <v>QB60</v>
      </c>
      <c r="M842" s="51">
        <f t="array" ref="M842">IFERROR(F842-AVERAGE(VLOOKUP(D842,$D843:$F$885,3,0),INDEX($F843:$F$885,SMALL(IF(D842=$D843:$D$885,ROW($D843:$D$885)-ROW(D842)),2))),0)</f>
        <v>0.32074896488769955</v>
      </c>
      <c r="N842" s="51">
        <f>IFERROR(IF(VLOOKUP($B842,Input!$AC$2:$AC$162,1,0)=$B842,0),F842)</f>
        <v>5.8238108977099996</v>
      </c>
      <c r="O842" s="51">
        <f>IFERROR(IF(VLOOKUP($B842,Input!$AC$2:$AC$162,1,0)=$B842,0,G842),G842)</f>
        <v>9.8587822500000009</v>
      </c>
      <c r="P842" s="51">
        <f>IF(N842=0,0,F842-AVERAGE(INDEX(F:F,MATCH(VLOOKUP(D842,Input!$A$14:$L$22,10,0),L:L,0)),INDEX(F:F,MATCH(VLOOKUP(D842,Input!$A$14:$L$22,11,0),L:L,0)),INDEX(F:F,MATCH(VLOOKUP(D842,Input!$A$14:$L$22,12,0),L:L,0)))+(0.01-ROW()*0.01))</f>
        <v>-274.93383273512563</v>
      </c>
      <c r="Q842" s="107">
        <f t="shared" si="148"/>
        <v>-9.4850231516230621E-2</v>
      </c>
      <c r="R842" s="11">
        <f>IF(VLOOKUP($D842,$X$14:$Y$19,2,0)&lt;=0,1,IF(Q842&lt;0,1,ROUNDUP(IF(Q842*('Draft Center'!$L$28+'Draft Center'!$L$78-'Draft Center'!$L$82)&lt;1,1,Q842*('Draft Center'!$L$28+'Draft Center'!$L$78-'Draft Center'!$L$82)),0)))</f>
        <v>1</v>
      </c>
      <c r="S842" s="11">
        <f>IF(A842&lt;Input!$B$10+0.1,IF(ROUNDUP(R842*Input!$C$10,0)=0,1,ROUNDUP(R842*Input!$C$10,0)),IF(A842&gt;Input!$B$11,IF(ROUNDUP(R842*Input!$C$11,0)=0,1,ROUNDUP(R842*Input!$C$11,0)),IF(ROUNDUP(R842,0)=0,1,ROUNDUP(R842,0))))</f>
        <v>1</v>
      </c>
      <c r="T842" s="11">
        <f t="shared" si="149"/>
        <v>1</v>
      </c>
      <c r="U842" s="11">
        <f>IFERROR(VLOOKUP($B842,Input!$AC$2:$AE$161,3,0),0)</f>
        <v>0</v>
      </c>
      <c r="V842" s="257">
        <f t="shared" si="150"/>
        <v>0</v>
      </c>
      <c r="W842" s="264">
        <f t="shared" si="151"/>
        <v>1.0084200000000001</v>
      </c>
      <c r="X842" s="68"/>
      <c r="Y842" s="68"/>
      <c r="Z842" s="68"/>
      <c r="AA842" s="68"/>
      <c r="AB842" s="68"/>
      <c r="AC842" s="68"/>
      <c r="AD842" s="68"/>
      <c r="AE842" s="68"/>
      <c r="AF842" s="68"/>
      <c r="AG842" s="68"/>
      <c r="AH842" s="68"/>
      <c r="AI842" s="68"/>
      <c r="AJ842" s="68">
        <v>1</v>
      </c>
      <c r="AL842" s="68">
        <v>1</v>
      </c>
      <c r="AM842" s="68"/>
      <c r="AN842" s="68"/>
      <c r="AO842" s="68"/>
      <c r="AQ842" s="68"/>
      <c r="AR842" s="68"/>
      <c r="AS842" s="68"/>
      <c r="AT842" s="68"/>
      <c r="AU842" s="68"/>
      <c r="AV842" s="68"/>
      <c r="AW842" s="68"/>
      <c r="AX842" s="68"/>
      <c r="AY842" s="68"/>
      <c r="AZ842" s="68"/>
      <c r="BB842" s="68"/>
      <c r="BC842" s="68"/>
      <c r="BJ842" s="68"/>
      <c r="BT842">
        <v>1</v>
      </c>
      <c r="BV842">
        <v>1</v>
      </c>
      <c r="BX842" s="68"/>
      <c r="BY842" s="68">
        <v>1</v>
      </c>
      <c r="BZ842" s="68">
        <v>0</v>
      </c>
      <c r="CA842" s="68">
        <v>0</v>
      </c>
      <c r="CB842" s="68">
        <v>0</v>
      </c>
      <c r="CC842" s="68">
        <f t="shared" si="152"/>
        <v>0</v>
      </c>
      <c r="CD842" s="68">
        <f t="shared" si="153"/>
        <v>0</v>
      </c>
    </row>
    <row r="843" spans="1:82" ht="15.75" customHeight="1" thickBot="1" x14ac:dyDescent="0.3">
      <c r="A843" s="6">
        <v>842</v>
      </c>
      <c r="B843" s="7" t="s">
        <v>1044</v>
      </c>
      <c r="C843" s="7" t="s">
        <v>38</v>
      </c>
      <c r="D843" s="7" t="s">
        <v>53</v>
      </c>
      <c r="E843" s="50">
        <v>-266.76585823428297</v>
      </c>
      <c r="F843" s="50">
        <v>5.5817853985525296</v>
      </c>
      <c r="G843" s="50">
        <v>11.062041116187</v>
      </c>
      <c r="H843" s="50">
        <v>0</v>
      </c>
      <c r="I843" s="8">
        <v>0</v>
      </c>
      <c r="J843" s="50">
        <v>4.9808645586421996</v>
      </c>
      <c r="K843" s="248">
        <f>IFERROR(VLOOKUP(C843,Schedule!$T$3:$U$34,2,0),"FA")</f>
        <v>6</v>
      </c>
      <c r="L843" s="7" t="str">
        <f>D843&amp;COUNTIF(D$2:$D843,D843)</f>
        <v>QB61</v>
      </c>
      <c r="M843" s="50">
        <f t="array" ref="M843">IFERROR(F843-AVERAGE(VLOOKUP(D843,$D844:$F$885,3,0),INDEX($F844:$F$885,SMALL(IF(D843=$D844:$D$885,ROW($D844:$D$885)-ROW(D843)),2))),0)</f>
        <v>0.33463674113817987</v>
      </c>
      <c r="N843" s="50">
        <f>IFERROR(IF(VLOOKUP($B843,Input!$AC$2:$AC$162,1,0)=$B843,0),F843)</f>
        <v>5.5817853985525296</v>
      </c>
      <c r="O843" s="50">
        <f>IFERROR(IF(VLOOKUP($B843,Input!$AC$2:$AC$162,1,0)=$B843,0,G843),G843)</f>
        <v>11.062041116187</v>
      </c>
      <c r="P843" s="50">
        <f>IF(N843=0,0,F843-AVERAGE(INDEX(F:F,MATCH(VLOOKUP(D843,Input!$A$14:$L$22,10,0),L:L,0)),INDEX(F:F,MATCH(VLOOKUP(D843,Input!$A$14:$L$22,11,0),L:L,0)),INDEX(F:F,MATCH(VLOOKUP(D843,Input!$A$14:$L$22,12,0),L:L,0)))+(0.01-ROW()*0.01))</f>
        <v>-275.1858582342831</v>
      </c>
      <c r="Q843" s="106">
        <f t="shared" si="148"/>
        <v>-9.4937178534374111E-2</v>
      </c>
      <c r="R843" s="8">
        <f>IF(VLOOKUP($D843,$X$14:$Y$19,2,0)&lt;=0,1,IF(Q843&lt;0,1,ROUNDUP(IF(Q843*('Draft Center'!$L$28+'Draft Center'!$L$78-'Draft Center'!$L$82)&lt;1,1,Q843*('Draft Center'!$L$28+'Draft Center'!$L$78-'Draft Center'!$L$82)),0)))</f>
        <v>1</v>
      </c>
      <c r="S843" s="8">
        <f>IF(A843&lt;Input!$B$10+0.1,IF(ROUNDUP(R843*Input!$C$10,0)=0,1,ROUNDUP(R843*Input!$C$10,0)),IF(A843&gt;Input!$B$11,IF(ROUNDUP(R843*Input!$C$11,0)=0,1,ROUNDUP(R843*Input!$C$11,0)),IF(ROUNDUP(R843,0)=0,1,ROUNDUP(R843,0))))</f>
        <v>1</v>
      </c>
      <c r="T843" s="8">
        <f t="shared" si="149"/>
        <v>1</v>
      </c>
      <c r="U843" s="8">
        <f>IFERROR(VLOOKUP($B843,Input!$AC$2:$AE$161,3,0),0)</f>
        <v>0</v>
      </c>
      <c r="V843" s="256">
        <f t="shared" si="150"/>
        <v>0</v>
      </c>
      <c r="W843" s="263">
        <f t="shared" si="151"/>
        <v>1.0084299999999999</v>
      </c>
      <c r="X843" s="68"/>
      <c r="Y843" s="68"/>
      <c r="Z843" s="68"/>
      <c r="AA843" s="68"/>
      <c r="AB843" s="68"/>
      <c r="AC843" s="68"/>
      <c r="AD843" s="68"/>
      <c r="AE843" s="68"/>
      <c r="AF843" s="68"/>
      <c r="AG843" s="68"/>
      <c r="AH843" s="68"/>
      <c r="AI843" s="68"/>
      <c r="AJ843" s="68">
        <v>1</v>
      </c>
      <c r="AL843" s="68">
        <v>1</v>
      </c>
      <c r="AM843" s="68"/>
      <c r="AN843" s="68"/>
      <c r="AO843" s="68"/>
      <c r="AQ843" s="68"/>
      <c r="AR843" s="68"/>
      <c r="AS843" s="68"/>
      <c r="AT843" s="68"/>
      <c r="AU843" s="68"/>
      <c r="AV843" s="68"/>
      <c r="AW843" s="68"/>
      <c r="AX843" s="68"/>
      <c r="AY843" s="68"/>
      <c r="AZ843" s="68"/>
      <c r="BB843" s="68"/>
      <c r="BC843" s="68"/>
      <c r="BJ843" s="68"/>
      <c r="BT843">
        <v>1</v>
      </c>
      <c r="BV843">
        <v>1</v>
      </c>
      <c r="BX843" s="68"/>
      <c r="BY843" s="68">
        <v>1</v>
      </c>
      <c r="BZ843" s="68">
        <v>0</v>
      </c>
      <c r="CA843" s="68">
        <v>0</v>
      </c>
      <c r="CB843" s="68">
        <v>0</v>
      </c>
      <c r="CC843" s="68">
        <f t="shared" si="152"/>
        <v>0</v>
      </c>
      <c r="CD843" s="68">
        <f t="shared" si="153"/>
        <v>0</v>
      </c>
    </row>
    <row r="844" spans="1:82" ht="15.75" customHeight="1" thickBot="1" x14ac:dyDescent="0.3">
      <c r="A844" s="9">
        <v>843</v>
      </c>
      <c r="B844" s="10" t="s">
        <v>838</v>
      </c>
      <c r="C844" s="10" t="s">
        <v>75</v>
      </c>
      <c r="D844" s="10" t="s">
        <v>53</v>
      </c>
      <c r="E844" s="51">
        <v>-266.92330516574299</v>
      </c>
      <c r="F844" s="51">
        <v>5.4243384670920696</v>
      </c>
      <c r="G844" s="51">
        <v>11.139991012782</v>
      </c>
      <c r="H844" s="51">
        <v>0.584417009602195</v>
      </c>
      <c r="I844" s="11">
        <v>0</v>
      </c>
      <c r="J844" s="51">
        <v>3.4158028256122801</v>
      </c>
      <c r="K844" s="249">
        <f>IFERROR(VLOOKUP(C844,Schedule!$T$3:$U$34,2,0),"FA")</f>
        <v>10</v>
      </c>
      <c r="L844" s="10" t="str">
        <f>D844&amp;COUNTIF(D$2:$D844,D844)</f>
        <v>QB62</v>
      </c>
      <c r="M844" s="51">
        <f t="array" ref="M844">IFERROR(F844-AVERAGE(VLOOKUP(D844,$D845:$F$885,3,0),INDEX($F845:$F$885,SMALL(IF(D844=$D845:$D$885,ROW($D845:$D$885)-ROW(D844)),2))),0)</f>
        <v>0.65373490056257477</v>
      </c>
      <c r="N844" s="51">
        <f>IFERROR(IF(VLOOKUP($B844,Input!$AC$2:$AC$162,1,0)=$B844,0),F844)</f>
        <v>5.4243384670920696</v>
      </c>
      <c r="O844" s="51">
        <f>IFERROR(IF(VLOOKUP($B844,Input!$AC$2:$AC$162,1,0)=$B844,0,G844),G844)</f>
        <v>11.139991012782</v>
      </c>
      <c r="P844" s="51">
        <f>IF(N844=0,0,F844-AVERAGE(INDEX(F:F,MATCH(VLOOKUP(D844,Input!$A$14:$L$22,10,0),L:L,0)),INDEX(F:F,MATCH(VLOOKUP(D844,Input!$A$14:$L$22,11,0),L:L,0)),INDEX(F:F,MATCH(VLOOKUP(D844,Input!$A$14:$L$22,12,0),L:L,0)))+(0.01-ROW()*0.01))</f>
        <v>-275.35330516574356</v>
      </c>
      <c r="Q844" s="107">
        <f t="shared" si="148"/>
        <v>-9.4994946543708228E-2</v>
      </c>
      <c r="R844" s="11">
        <f>IF(VLOOKUP($D844,$X$14:$Y$19,2,0)&lt;=0,1,IF(Q844&lt;0,1,ROUNDUP(IF(Q844*('Draft Center'!$L$28+'Draft Center'!$L$78-'Draft Center'!$L$82)&lt;1,1,Q844*('Draft Center'!$L$28+'Draft Center'!$L$78-'Draft Center'!$L$82)),0)))</f>
        <v>1</v>
      </c>
      <c r="S844" s="11">
        <f>IF(A844&lt;Input!$B$10+0.1,IF(ROUNDUP(R844*Input!$C$10,0)=0,1,ROUNDUP(R844*Input!$C$10,0)),IF(A844&gt;Input!$B$11,IF(ROUNDUP(R844*Input!$C$11,0)=0,1,ROUNDUP(R844*Input!$C$11,0)),IF(ROUNDUP(R844,0)=0,1,ROUNDUP(R844,0))))</f>
        <v>1</v>
      </c>
      <c r="T844" s="11">
        <f t="shared" si="149"/>
        <v>1</v>
      </c>
      <c r="U844" s="11">
        <f>IFERROR(VLOOKUP($B844,Input!$AC$2:$AE$161,3,0),0)</f>
        <v>0</v>
      </c>
      <c r="V844" s="257">
        <f t="shared" si="150"/>
        <v>0</v>
      </c>
      <c r="W844" s="264">
        <f t="shared" si="151"/>
        <v>1.00844</v>
      </c>
      <c r="X844" s="68"/>
      <c r="Y844" s="68"/>
      <c r="Z844" s="68"/>
      <c r="AA844" s="68"/>
      <c r="AB844" s="68"/>
      <c r="AC844" s="68"/>
      <c r="AD844" s="68"/>
      <c r="AE844" s="68"/>
      <c r="AF844" s="68"/>
      <c r="AG844" s="68"/>
      <c r="AH844" s="68"/>
      <c r="AI844" s="68"/>
      <c r="AJ844" s="68">
        <v>1</v>
      </c>
      <c r="AL844" s="68">
        <v>1</v>
      </c>
      <c r="AM844" s="68"/>
      <c r="AN844" s="68"/>
      <c r="AO844" s="68"/>
      <c r="AQ844" s="68"/>
      <c r="AR844" s="68"/>
      <c r="AS844" s="68"/>
      <c r="AT844" s="68"/>
      <c r="AU844" s="68"/>
      <c r="AV844" s="68"/>
      <c r="AW844" s="68"/>
      <c r="AX844" s="68"/>
      <c r="AY844" s="68"/>
      <c r="AZ844" s="68"/>
      <c r="BB844" s="68"/>
      <c r="BC844" s="68"/>
      <c r="BJ844" s="68"/>
      <c r="BT844">
        <v>1</v>
      </c>
      <c r="BV844">
        <v>1</v>
      </c>
      <c r="BX844" s="68"/>
      <c r="BY844" s="68">
        <v>1</v>
      </c>
      <c r="BZ844" s="68">
        <v>0</v>
      </c>
      <c r="CA844" s="68">
        <v>0</v>
      </c>
      <c r="CB844" s="68">
        <v>0</v>
      </c>
      <c r="CC844" s="68">
        <f t="shared" si="152"/>
        <v>0</v>
      </c>
      <c r="CD844" s="68">
        <f t="shared" si="153"/>
        <v>0</v>
      </c>
    </row>
    <row r="845" spans="1:82" ht="15.75" customHeight="1" thickBot="1" x14ac:dyDescent="0.3">
      <c r="A845" s="6">
        <v>844</v>
      </c>
      <c r="B845" s="7" t="s">
        <v>1053</v>
      </c>
      <c r="C845" s="7" t="s">
        <v>27</v>
      </c>
      <c r="D845" s="7" t="s">
        <v>53</v>
      </c>
      <c r="E845" s="50">
        <v>-267.27768478509898</v>
      </c>
      <c r="F845" s="50">
        <v>5.06995884773663</v>
      </c>
      <c r="G845" s="50">
        <v>6.7960200000000004</v>
      </c>
      <c r="H845" s="50">
        <v>0</v>
      </c>
      <c r="I845" s="8">
        <v>0</v>
      </c>
      <c r="J845" s="50">
        <v>3.5812273785042299</v>
      </c>
      <c r="K845" s="248">
        <f>IFERROR(VLOOKUP(C845,Schedule!$T$3:$U$34,2,0),"FA")</f>
        <v>8</v>
      </c>
      <c r="L845" s="7" t="str">
        <f>D845&amp;COUNTIF(D$2:$D845,D845)</f>
        <v>QB63</v>
      </c>
      <c r="M845" s="50">
        <f t="array" ref="M845">IFERROR(F845-AVERAGE(VLOOKUP(D845,$D846:$F$885,3,0),INDEX($F846:$F$885,SMALL(IF(D845=$D846:$D$885,ROW($D846:$D$885)-ROW(D845)),2))),0)</f>
        <v>0.75701438639333496</v>
      </c>
      <c r="N845" s="50">
        <f>IFERROR(IF(VLOOKUP($B845,Input!$AC$2:$AC$162,1,0)=$B845,0),F845)</f>
        <v>5.06995884773663</v>
      </c>
      <c r="O845" s="50">
        <f>IFERROR(IF(VLOOKUP($B845,Input!$AC$2:$AC$162,1,0)=$B845,0,G845),G845)</f>
        <v>6.7960200000000004</v>
      </c>
      <c r="P845" s="50">
        <f>IF(N845=0,0,F845-AVERAGE(INDEX(F:F,MATCH(VLOOKUP(D845,Input!$A$14:$L$22,10,0),L:L,0)),INDEX(F:F,MATCH(VLOOKUP(D845,Input!$A$14:$L$22,11,0),L:L,0)),INDEX(F:F,MATCH(VLOOKUP(D845,Input!$A$14:$L$22,12,0),L:L,0)))+(0.01-ROW()*0.01))</f>
        <v>-275.71768478509898</v>
      </c>
      <c r="Q845" s="106">
        <f t="shared" si="148"/>
        <v>-9.5120654940204316E-2</v>
      </c>
      <c r="R845" s="8">
        <f>IF(VLOOKUP($D845,$X$14:$Y$19,2,0)&lt;=0,1,IF(Q845&lt;0,1,ROUNDUP(IF(Q845*('Draft Center'!$L$28+'Draft Center'!$L$78-'Draft Center'!$L$82)&lt;1,1,Q845*('Draft Center'!$L$28+'Draft Center'!$L$78-'Draft Center'!$L$82)),0)))</f>
        <v>1</v>
      </c>
      <c r="S845" s="8">
        <f>IF(A845&lt;Input!$B$10+0.1,IF(ROUNDUP(R845*Input!$C$10,0)=0,1,ROUNDUP(R845*Input!$C$10,0)),IF(A845&gt;Input!$B$11,IF(ROUNDUP(R845*Input!$C$11,0)=0,1,ROUNDUP(R845*Input!$C$11,0)),IF(ROUNDUP(R845,0)=0,1,ROUNDUP(R845,0))))</f>
        <v>1</v>
      </c>
      <c r="T845" s="8">
        <f t="shared" si="149"/>
        <v>1</v>
      </c>
      <c r="U845" s="8">
        <f>IFERROR(VLOOKUP($B845,Input!$AC$2:$AE$161,3,0),0)</f>
        <v>0</v>
      </c>
      <c r="V845" s="256">
        <f t="shared" si="150"/>
        <v>0</v>
      </c>
      <c r="W845" s="263">
        <f t="shared" si="151"/>
        <v>1.0084500000000001</v>
      </c>
      <c r="X845" s="68"/>
      <c r="Y845" s="68"/>
      <c r="Z845" s="68"/>
      <c r="AA845" s="68"/>
      <c r="AB845" s="68"/>
      <c r="AC845" s="68"/>
      <c r="AD845" s="68"/>
      <c r="AE845" s="68"/>
      <c r="AF845" s="68"/>
      <c r="AG845" s="68"/>
      <c r="AH845" s="68"/>
      <c r="AI845" s="68"/>
      <c r="AJ845" s="68">
        <v>1</v>
      </c>
      <c r="AL845" s="68">
        <v>1</v>
      </c>
      <c r="AM845" s="68"/>
      <c r="AN845" s="68"/>
      <c r="AO845" s="68"/>
      <c r="AQ845" s="68"/>
      <c r="AR845" s="68"/>
      <c r="AS845" s="68"/>
      <c r="AT845" s="68"/>
      <c r="AU845" s="68"/>
      <c r="AV845" s="68"/>
      <c r="AW845" s="68"/>
      <c r="AX845" s="68"/>
      <c r="AY845" s="68"/>
      <c r="AZ845" s="68"/>
      <c r="BB845" s="68"/>
      <c r="BC845" s="68"/>
      <c r="BJ845" s="68"/>
      <c r="BT845">
        <v>1</v>
      </c>
      <c r="BV845">
        <v>1</v>
      </c>
      <c r="BX845" s="68"/>
      <c r="BY845" s="68">
        <v>1</v>
      </c>
      <c r="BZ845" s="68">
        <v>0</v>
      </c>
      <c r="CA845" s="68">
        <v>0</v>
      </c>
      <c r="CB845" s="68">
        <v>0</v>
      </c>
      <c r="CC845" s="68">
        <f t="shared" si="152"/>
        <v>0</v>
      </c>
      <c r="CD845" s="68">
        <f t="shared" si="153"/>
        <v>0</v>
      </c>
    </row>
    <row r="846" spans="1:82" ht="15.75" customHeight="1" thickBot="1" x14ac:dyDescent="0.3">
      <c r="A846" s="9">
        <v>845</v>
      </c>
      <c r="B846" s="10" t="s">
        <v>1045</v>
      </c>
      <c r="C846" s="10" t="s">
        <v>50</v>
      </c>
      <c r="D846" s="10" t="s">
        <v>53</v>
      </c>
      <c r="E846" s="51">
        <v>-267.87639534751298</v>
      </c>
      <c r="F846" s="51">
        <v>4.4712482853223596</v>
      </c>
      <c r="G846" s="51">
        <v>5.2116474164133697</v>
      </c>
      <c r="H846" s="51">
        <v>0</v>
      </c>
      <c r="I846" s="11">
        <v>0</v>
      </c>
      <c r="J846" s="51">
        <v>7.3888487137687999</v>
      </c>
      <c r="K846" s="249">
        <f>IFERROR(VLOOKUP(C846,Schedule!$T$3:$U$34,2,0),"FA")</f>
        <v>6</v>
      </c>
      <c r="L846" s="10" t="str">
        <f>D846&amp;COUNTIF(D$2:$D846,D846)</f>
        <v>QB64</v>
      </c>
      <c r="M846" s="51">
        <f t="array" ref="M846">IFERROR(F846-AVERAGE(VLOOKUP(D846,$D847:$F$885,3,0),INDEX($F847:$F$885,SMALL(IF(D846=$D847:$D$885,ROW($D847:$D$885)-ROW(D846)),2))),0)</f>
        <v>0.3352847018622791</v>
      </c>
      <c r="N846" s="51">
        <f>IFERROR(IF(VLOOKUP($B846,Input!$AC$2:$AC$162,1,0)=$B846,0),F846)</f>
        <v>4.4712482853223596</v>
      </c>
      <c r="O846" s="51">
        <f>IFERROR(IF(VLOOKUP($B846,Input!$AC$2:$AC$162,1,0)=$B846,0,G846),G846)</f>
        <v>5.2116474164133697</v>
      </c>
      <c r="P846" s="51">
        <f>IF(N846=0,0,F846-AVERAGE(INDEX(F:F,MATCH(VLOOKUP(D846,Input!$A$14:$L$22,10,0),L:L,0)),INDEX(F:F,MATCH(VLOOKUP(D846,Input!$A$14:$L$22,11,0),L:L,0)),INDEX(F:F,MATCH(VLOOKUP(D846,Input!$A$14:$L$22,12,0),L:L,0)))+(0.01-ROW()*0.01))</f>
        <v>-276.32639534751326</v>
      </c>
      <c r="Q846" s="107">
        <f t="shared" si="148"/>
        <v>-9.533065578730629E-2</v>
      </c>
      <c r="R846" s="11">
        <f>IF(VLOOKUP($D846,$X$14:$Y$19,2,0)&lt;=0,1,IF(Q846&lt;0,1,ROUNDUP(IF(Q846*('Draft Center'!$L$28+'Draft Center'!$L$78-'Draft Center'!$L$82)&lt;1,1,Q846*('Draft Center'!$L$28+'Draft Center'!$L$78-'Draft Center'!$L$82)),0)))</f>
        <v>1</v>
      </c>
      <c r="S846" s="11">
        <f>IF(A846&lt;Input!$B$10+0.1,IF(ROUNDUP(R846*Input!$C$10,0)=0,1,ROUNDUP(R846*Input!$C$10,0)),IF(A846&gt;Input!$B$11,IF(ROUNDUP(R846*Input!$C$11,0)=0,1,ROUNDUP(R846*Input!$C$11,0)),IF(ROUNDUP(R846,0)=0,1,ROUNDUP(R846,0))))</f>
        <v>1</v>
      </c>
      <c r="T846" s="11">
        <f t="shared" si="149"/>
        <v>1</v>
      </c>
      <c r="U846" s="11">
        <f>IFERROR(VLOOKUP($B846,Input!$AC$2:$AE$161,3,0),0)</f>
        <v>0</v>
      </c>
      <c r="V846" s="257">
        <f t="shared" si="150"/>
        <v>0</v>
      </c>
      <c r="W846" s="264">
        <f t="shared" si="151"/>
        <v>1.0084599999999999</v>
      </c>
      <c r="X846" s="68"/>
      <c r="Y846" s="68"/>
      <c r="Z846" s="68"/>
      <c r="AA846" s="68"/>
      <c r="AB846" s="68"/>
      <c r="AC846" s="68"/>
      <c r="AD846" s="68"/>
      <c r="AE846" s="68"/>
      <c r="AF846" s="68"/>
      <c r="AG846" s="68"/>
      <c r="AH846" s="68"/>
      <c r="AI846" s="68"/>
      <c r="AJ846" s="68">
        <v>1</v>
      </c>
      <c r="AL846" s="68">
        <v>1</v>
      </c>
      <c r="AM846" s="68"/>
      <c r="AN846" s="68"/>
      <c r="AO846" s="68"/>
      <c r="AQ846" s="68"/>
      <c r="AR846" s="68"/>
      <c r="AS846" s="68"/>
      <c r="AT846" s="68"/>
      <c r="AU846" s="68"/>
      <c r="AV846" s="68"/>
      <c r="AW846" s="68"/>
      <c r="AX846" s="68"/>
      <c r="AY846" s="68"/>
      <c r="AZ846" s="68"/>
      <c r="BB846" s="68"/>
      <c r="BC846" s="68"/>
      <c r="BJ846" s="68"/>
      <c r="BT846">
        <v>1</v>
      </c>
      <c r="BV846">
        <v>1</v>
      </c>
      <c r="BX846" s="68"/>
      <c r="BY846" s="68">
        <v>1</v>
      </c>
      <c r="BZ846" s="68">
        <v>0</v>
      </c>
      <c r="CA846" s="68">
        <v>0</v>
      </c>
      <c r="CB846" s="68">
        <v>0</v>
      </c>
      <c r="CC846" s="68">
        <f t="shared" si="152"/>
        <v>0</v>
      </c>
      <c r="CD846" s="68">
        <f t="shared" si="153"/>
        <v>0</v>
      </c>
    </row>
    <row r="847" spans="1:82" ht="15.75" customHeight="1" thickBot="1" x14ac:dyDescent="0.3">
      <c r="A847" s="6">
        <v>846</v>
      </c>
      <c r="B847" s="7" t="s">
        <v>546</v>
      </c>
      <c r="C847" s="7" t="s">
        <v>83</v>
      </c>
      <c r="D847" s="7" t="s">
        <v>53</v>
      </c>
      <c r="E847" s="50">
        <v>-268.19300299547098</v>
      </c>
      <c r="F847" s="50">
        <v>4.1546406373642304</v>
      </c>
      <c r="G847" s="50">
        <v>6.6696425886074104</v>
      </c>
      <c r="H847" s="50">
        <v>0.380521262002743</v>
      </c>
      <c r="I847" s="8">
        <v>0</v>
      </c>
      <c r="J847" s="50">
        <v>4.5392012506211303</v>
      </c>
      <c r="K847" s="248">
        <f>IFERROR(VLOOKUP(C847,Schedule!$T$3:$U$34,2,0),"FA")</f>
        <v>5</v>
      </c>
      <c r="L847" s="7" t="str">
        <f>D847&amp;COUNTIF(D$2:$D847,D847)</f>
        <v>QB65</v>
      </c>
      <c r="M847" s="50">
        <f t="array" ref="M847">IFERROR(F847-AVERAGE(VLOOKUP(D847,$D848:$F$885,3,0),INDEX($F848:$F$885,SMALL(IF(D847=$D848:$D$885,ROW($D848:$D$885)-ROW(D847)),2))),0)</f>
        <v>0.36474438363240047</v>
      </c>
      <c r="N847" s="50">
        <f>IFERROR(IF(VLOOKUP($B847,Input!$AC$2:$AC$162,1,0)=$B847,0),F847)</f>
        <v>4.1546406373642304</v>
      </c>
      <c r="O847" s="50">
        <f>IFERROR(IF(VLOOKUP($B847,Input!$AC$2:$AC$162,1,0)=$B847,0,G847),G847)</f>
        <v>6.6696425886074104</v>
      </c>
      <c r="P847" s="50">
        <f>IF(N847=0,0,F847-AVERAGE(INDEX(F:F,MATCH(VLOOKUP(D847,Input!$A$14:$L$22,10,0),L:L,0)),INDEX(F:F,MATCH(VLOOKUP(D847,Input!$A$14:$L$22,11,0),L:L,0)),INDEX(F:F,MATCH(VLOOKUP(D847,Input!$A$14:$L$22,12,0),L:L,0)))+(0.01-ROW()*0.01))</f>
        <v>-276.65300299547135</v>
      </c>
      <c r="Q847" s="106">
        <f t="shared" si="148"/>
        <v>-9.5443333120305326E-2</v>
      </c>
      <c r="R847" s="8">
        <f>IF(VLOOKUP($D847,$X$14:$Y$19,2,0)&lt;=0,1,IF(Q847&lt;0,1,ROUNDUP(IF(Q847*('Draft Center'!$L$28+'Draft Center'!$L$78-'Draft Center'!$L$82)&lt;1,1,Q847*('Draft Center'!$L$28+'Draft Center'!$L$78-'Draft Center'!$L$82)),0)))</f>
        <v>1</v>
      </c>
      <c r="S847" s="8">
        <f>IF(A847&lt;Input!$B$10+0.1,IF(ROUNDUP(R847*Input!$C$10,0)=0,1,ROUNDUP(R847*Input!$C$10,0)),IF(A847&gt;Input!$B$11,IF(ROUNDUP(R847*Input!$C$11,0)=0,1,ROUNDUP(R847*Input!$C$11,0)),IF(ROUNDUP(R847,0)=0,1,ROUNDUP(R847,0))))</f>
        <v>1</v>
      </c>
      <c r="T847" s="8">
        <f t="shared" si="149"/>
        <v>1</v>
      </c>
      <c r="U847" s="8">
        <f>IFERROR(VLOOKUP($B847,Input!$AC$2:$AE$161,3,0),0)</f>
        <v>0</v>
      </c>
      <c r="V847" s="256">
        <f t="shared" si="150"/>
        <v>0</v>
      </c>
      <c r="W847" s="263">
        <f t="shared" si="151"/>
        <v>1.00847</v>
      </c>
      <c r="X847" s="68"/>
      <c r="Y847" s="68"/>
      <c r="Z847" s="68"/>
      <c r="AA847" s="68"/>
      <c r="AB847" s="68"/>
      <c r="AC847" s="68"/>
      <c r="AD847" s="68"/>
      <c r="AE847" s="68"/>
      <c r="AF847" s="68"/>
      <c r="AG847" s="68"/>
      <c r="AH847" s="68"/>
      <c r="AI847" s="68"/>
      <c r="AJ847" s="68">
        <v>1</v>
      </c>
      <c r="AL847" s="68">
        <v>1</v>
      </c>
      <c r="AM847" s="68"/>
      <c r="AN847" s="68"/>
      <c r="AO847" s="68"/>
      <c r="AQ847" s="68"/>
      <c r="AR847" s="68"/>
      <c r="AS847" s="68"/>
      <c r="AT847" s="68"/>
      <c r="AU847" s="68"/>
      <c r="AV847" s="68"/>
      <c r="AW847" s="68"/>
      <c r="AX847" s="68"/>
      <c r="AY847" s="68"/>
      <c r="AZ847" s="68"/>
      <c r="BB847" s="68"/>
      <c r="BC847" s="68"/>
      <c r="BJ847" s="68"/>
      <c r="BT847">
        <v>1</v>
      </c>
      <c r="BV847">
        <v>1</v>
      </c>
      <c r="BX847" s="68"/>
      <c r="BY847" s="68">
        <v>1</v>
      </c>
      <c r="BZ847" s="68">
        <v>0</v>
      </c>
      <c r="CA847" s="68">
        <v>0</v>
      </c>
      <c r="CB847" s="68">
        <v>0</v>
      </c>
      <c r="CC847" s="68">
        <f t="shared" si="152"/>
        <v>0</v>
      </c>
      <c r="CD847" s="68">
        <f t="shared" si="153"/>
        <v>0</v>
      </c>
    </row>
    <row r="848" spans="1:82" ht="15.75" customHeight="1" thickBot="1" x14ac:dyDescent="0.3">
      <c r="A848" s="9">
        <v>847</v>
      </c>
      <c r="B848" s="10" t="s">
        <v>532</v>
      </c>
      <c r="C848" s="10" t="s">
        <v>27</v>
      </c>
      <c r="D848" s="10" t="s">
        <v>53</v>
      </c>
      <c r="E848" s="51">
        <v>-268.23035710328003</v>
      </c>
      <c r="F848" s="51">
        <v>4.1172865295559298</v>
      </c>
      <c r="G848" s="51">
        <v>8.5121298500000009</v>
      </c>
      <c r="H848" s="51">
        <v>-0.103582990397805</v>
      </c>
      <c r="I848" s="11">
        <v>0</v>
      </c>
      <c r="J848" s="51">
        <v>6.1392576781986898</v>
      </c>
      <c r="K848" s="249">
        <f>IFERROR(VLOOKUP(C848,Schedule!$T$3:$U$34,2,0),"FA")</f>
        <v>8</v>
      </c>
      <c r="L848" s="10" t="str">
        <f>D848&amp;COUNTIF(D$2:$D848,D848)</f>
        <v>QB66</v>
      </c>
      <c r="M848" s="51">
        <f t="array" ref="M848">IFERROR(F848-AVERAGE(VLOOKUP(D848,$D849:$F$885,3,0),INDEX($F849:$F$885,SMALL(IF(D848=$D849:$D$885,ROW($D849:$D$885)-ROW(D848)),2))),0)</f>
        <v>0.68856310824700007</v>
      </c>
      <c r="N848" s="51">
        <f>IFERROR(IF(VLOOKUP($B848,Input!$AC$2:$AC$162,1,0)=$B848,0),F848)</f>
        <v>4.1172865295559298</v>
      </c>
      <c r="O848" s="51">
        <f>IFERROR(IF(VLOOKUP($B848,Input!$AC$2:$AC$162,1,0)=$B848,0,G848),G848)</f>
        <v>8.5121298500000009</v>
      </c>
      <c r="P848" s="51">
        <f>IF(N848=0,0,F848-AVERAGE(INDEX(F:F,MATCH(VLOOKUP(D848,Input!$A$14:$L$22,10,0),L:L,0)),INDEX(F:F,MATCH(VLOOKUP(D848,Input!$A$14:$L$22,11,0),L:L,0)),INDEX(F:F,MATCH(VLOOKUP(D848,Input!$A$14:$L$22,12,0),L:L,0)))+(0.01-ROW()*0.01))</f>
        <v>-276.70035710327971</v>
      </c>
      <c r="Q848" s="107">
        <f t="shared" si="148"/>
        <v>-9.5459669953223206E-2</v>
      </c>
      <c r="R848" s="11">
        <f>IF(VLOOKUP($D848,$X$14:$Y$19,2,0)&lt;=0,1,IF(Q848&lt;0,1,ROUNDUP(IF(Q848*('Draft Center'!$L$28+'Draft Center'!$L$78-'Draft Center'!$L$82)&lt;1,1,Q848*('Draft Center'!$L$28+'Draft Center'!$L$78-'Draft Center'!$L$82)),0)))</f>
        <v>1</v>
      </c>
      <c r="S848" s="11">
        <f>IF(A848&lt;Input!$B$10+0.1,IF(ROUNDUP(R848*Input!$C$10,0)=0,1,ROUNDUP(R848*Input!$C$10,0)),IF(A848&gt;Input!$B$11,IF(ROUNDUP(R848*Input!$C$11,0)=0,1,ROUNDUP(R848*Input!$C$11,0)),IF(ROUNDUP(R848,0)=0,1,ROUNDUP(R848,0))))</f>
        <v>1</v>
      </c>
      <c r="T848" s="11">
        <f t="shared" si="149"/>
        <v>1</v>
      </c>
      <c r="U848" s="11">
        <f>IFERROR(VLOOKUP($B848,Input!$AC$2:$AE$161,3,0),0)</f>
        <v>0</v>
      </c>
      <c r="V848" s="257">
        <f t="shared" si="150"/>
        <v>0</v>
      </c>
      <c r="W848" s="264">
        <f t="shared" si="151"/>
        <v>1.00848</v>
      </c>
      <c r="X848" s="68"/>
      <c r="Y848" s="68"/>
      <c r="Z848" s="68"/>
      <c r="AA848" s="68"/>
      <c r="AB848" s="68"/>
      <c r="AC848" s="68"/>
      <c r="AD848" s="68"/>
      <c r="AE848" s="68"/>
      <c r="AF848" s="68"/>
      <c r="AG848" s="68"/>
      <c r="AH848" s="68"/>
      <c r="AI848" s="68"/>
      <c r="AJ848" s="68">
        <v>1</v>
      </c>
      <c r="AL848" s="68">
        <v>1</v>
      </c>
      <c r="AM848" s="68"/>
      <c r="AN848" s="68"/>
      <c r="AO848" s="68"/>
      <c r="AQ848" s="68"/>
      <c r="AR848" s="68"/>
      <c r="AS848" s="68"/>
      <c r="AT848" s="68"/>
      <c r="AU848" s="68"/>
      <c r="AV848" s="68"/>
      <c r="AW848" s="68"/>
      <c r="AX848" s="68"/>
      <c r="AY848" s="68"/>
      <c r="AZ848" s="68"/>
      <c r="BB848" s="68"/>
      <c r="BC848" s="68"/>
      <c r="BJ848" s="68"/>
      <c r="BT848">
        <v>1</v>
      </c>
      <c r="BV848">
        <v>1</v>
      </c>
      <c r="BX848" s="68"/>
      <c r="BY848" s="68">
        <v>1</v>
      </c>
      <c r="BZ848" s="68">
        <v>0</v>
      </c>
      <c r="CA848" s="68">
        <v>0</v>
      </c>
      <c r="CB848" s="68">
        <v>0</v>
      </c>
      <c r="CC848" s="68">
        <f t="shared" si="152"/>
        <v>0</v>
      </c>
      <c r="CD848" s="68">
        <f t="shared" si="153"/>
        <v>0</v>
      </c>
    </row>
    <row r="849" spans="1:82" ht="15.75" customHeight="1" thickBot="1" x14ac:dyDescent="0.3">
      <c r="A849" s="6">
        <v>848</v>
      </c>
      <c r="B849" s="7" t="s">
        <v>555</v>
      </c>
      <c r="C849" s="7" t="s">
        <v>35</v>
      </c>
      <c r="D849" s="7" t="s">
        <v>53</v>
      </c>
      <c r="E849" s="50">
        <v>-268.88513765492797</v>
      </c>
      <c r="F849" s="50">
        <v>3.4625059779077301</v>
      </c>
      <c r="G849" s="50">
        <v>6.3344235671132099</v>
      </c>
      <c r="H849" s="50">
        <v>0.762469135802469</v>
      </c>
      <c r="I849" s="8">
        <v>0</v>
      </c>
      <c r="J849" s="50">
        <v>3.91784931319931</v>
      </c>
      <c r="K849" s="248">
        <f>IFERROR(VLOOKUP(C849,Schedule!$T$3:$U$34,2,0),"FA")</f>
        <v>6</v>
      </c>
      <c r="L849" s="7" t="str">
        <f>D849&amp;COUNTIF(D$2:$D849,D849)</f>
        <v>QB67</v>
      </c>
      <c r="M849" s="50">
        <f t="array" ref="M849">IFERROR(F849-AVERAGE(VLOOKUP(D849,$D850:$F$885,3,0),INDEX($F850:$F$885,SMALL(IF(D849=$D850:$D$885,ROW($D850:$D$885)-ROW(D849)),2))),0)</f>
        <v>0.15903554555266508</v>
      </c>
      <c r="N849" s="50">
        <f>IFERROR(IF(VLOOKUP($B849,Input!$AC$2:$AC$162,1,0)=$B849,0),F849)</f>
        <v>3.4625059779077301</v>
      </c>
      <c r="O849" s="50">
        <f>IFERROR(IF(VLOOKUP($B849,Input!$AC$2:$AC$162,1,0)=$B849,0,G849),G849)</f>
        <v>6.3344235671132099</v>
      </c>
      <c r="P849" s="50">
        <f>IF(N849=0,0,F849-AVERAGE(INDEX(F:F,MATCH(VLOOKUP(D849,Input!$A$14:$L$22,10,0),L:L,0)),INDEX(F:F,MATCH(VLOOKUP(D849,Input!$A$14:$L$22,11,0),L:L,0)),INDEX(F:F,MATCH(VLOOKUP(D849,Input!$A$14:$L$22,12,0),L:L,0)))+(0.01-ROW()*0.01))</f>
        <v>-277.36513765492793</v>
      </c>
      <c r="Q849" s="106">
        <f t="shared" si="148"/>
        <v>-9.5689014550808874E-2</v>
      </c>
      <c r="R849" s="8">
        <f>IF(VLOOKUP($D849,$X$14:$Y$19,2,0)&lt;=0,1,IF(Q849&lt;0,1,ROUNDUP(IF(Q849*('Draft Center'!$L$28+'Draft Center'!$L$78-'Draft Center'!$L$82)&lt;1,1,Q849*('Draft Center'!$L$28+'Draft Center'!$L$78-'Draft Center'!$L$82)),0)))</f>
        <v>1</v>
      </c>
      <c r="S849" s="8">
        <f>IF(A849&lt;Input!$B$10+0.1,IF(ROUNDUP(R849*Input!$C$10,0)=0,1,ROUNDUP(R849*Input!$C$10,0)),IF(A849&gt;Input!$B$11,IF(ROUNDUP(R849*Input!$C$11,0)=0,1,ROUNDUP(R849*Input!$C$11,0)),IF(ROUNDUP(R849,0)=0,1,ROUNDUP(R849,0))))</f>
        <v>1</v>
      </c>
      <c r="T849" s="8">
        <f t="shared" si="149"/>
        <v>1</v>
      </c>
      <c r="U849" s="8">
        <f>IFERROR(VLOOKUP($B849,Input!$AC$2:$AE$161,3,0),0)</f>
        <v>0</v>
      </c>
      <c r="V849" s="256">
        <f t="shared" si="150"/>
        <v>0</v>
      </c>
      <c r="W849" s="263">
        <f t="shared" si="151"/>
        <v>1.0084900000000001</v>
      </c>
      <c r="X849" s="68"/>
      <c r="Y849" s="68"/>
      <c r="Z849" s="68"/>
      <c r="AA849" s="68"/>
      <c r="AB849" s="68"/>
      <c r="AC849" s="68"/>
      <c r="AD849" s="68"/>
      <c r="AE849" s="68"/>
      <c r="AF849" s="68"/>
      <c r="AG849" s="68"/>
      <c r="AH849" s="68"/>
      <c r="AI849" s="68"/>
      <c r="AJ849" s="68">
        <v>1</v>
      </c>
      <c r="AL849" s="68">
        <v>1</v>
      </c>
      <c r="AM849" s="68"/>
      <c r="AN849" s="68"/>
      <c r="AO849" s="68"/>
      <c r="AQ849" s="68"/>
      <c r="AR849" s="68"/>
      <c r="AS849" s="68"/>
      <c r="AT849" s="68"/>
      <c r="AU849" s="68"/>
      <c r="AV849" s="68"/>
      <c r="AW849" s="68"/>
      <c r="AX849" s="68"/>
      <c r="AY849" s="68"/>
      <c r="AZ849" s="68"/>
      <c r="BB849" s="68"/>
      <c r="BC849" s="68"/>
      <c r="BJ849" s="68"/>
      <c r="BT849">
        <v>1</v>
      </c>
      <c r="BV849">
        <v>1</v>
      </c>
      <c r="BX849" s="68"/>
      <c r="BY849" s="68">
        <v>1</v>
      </c>
      <c r="BZ849" s="68">
        <v>0</v>
      </c>
      <c r="CA849" s="68">
        <v>0</v>
      </c>
      <c r="CB849" s="68">
        <v>0</v>
      </c>
      <c r="CC849" s="68">
        <f t="shared" si="152"/>
        <v>0</v>
      </c>
      <c r="CD849" s="68">
        <f t="shared" si="153"/>
        <v>0</v>
      </c>
    </row>
    <row r="850" spans="1:82" ht="15.75" customHeight="1" thickBot="1" x14ac:dyDescent="0.3">
      <c r="A850" s="9">
        <v>849</v>
      </c>
      <c r="B850" s="10" t="s">
        <v>561</v>
      </c>
      <c r="C850" s="10" t="s">
        <v>50</v>
      </c>
      <c r="D850" s="10" t="s">
        <v>53</v>
      </c>
      <c r="E850" s="51">
        <v>-268.95270276812499</v>
      </c>
      <c r="F850" s="51">
        <v>3.3949408647101298</v>
      </c>
      <c r="G850" s="51">
        <v>6.6189763952018801</v>
      </c>
      <c r="H850" s="51">
        <v>-0.91596638655462204</v>
      </c>
      <c r="I850" s="11">
        <v>0</v>
      </c>
      <c r="J850" s="51">
        <v>4.0684457045111904</v>
      </c>
      <c r="K850" s="249">
        <f>IFERROR(VLOOKUP(C850,Schedule!$T$3:$U$34,2,0),"FA")</f>
        <v>6</v>
      </c>
      <c r="L850" s="10" t="str">
        <f>D850&amp;COUNTIF(D$2:$D850,D850)</f>
        <v>QB68</v>
      </c>
      <c r="M850" s="51">
        <f t="array" ref="M850">IFERROR(F850-AVERAGE(VLOOKUP(D850,$D851:$F$885,3,0),INDEX($F851:$F$885,SMALL(IF(D850=$D851:$D$885,ROW($D851:$D$885)-ROW(D850)),2))),0)</f>
        <v>0.23887227760450491</v>
      </c>
      <c r="N850" s="51">
        <f>IFERROR(IF(VLOOKUP($B850,Input!$AC$2:$AC$162,1,0)=$B850,0),F850)</f>
        <v>3.3949408647101298</v>
      </c>
      <c r="O850" s="51">
        <f>IFERROR(IF(VLOOKUP($B850,Input!$AC$2:$AC$162,1,0)=$B850,0,G850),G850)</f>
        <v>6.6189763952018801</v>
      </c>
      <c r="P850" s="51">
        <f>IF(N850=0,0,F850-AVERAGE(INDEX(F:F,MATCH(VLOOKUP(D850,Input!$A$14:$L$22,10,0),L:L,0)),INDEX(F:F,MATCH(VLOOKUP(D850,Input!$A$14:$L$22,11,0),L:L,0)),INDEX(F:F,MATCH(VLOOKUP(D850,Input!$A$14:$L$22,12,0),L:L,0)))+(0.01-ROW()*0.01))</f>
        <v>-277.44270276812551</v>
      </c>
      <c r="Q850" s="107">
        <f t="shared" si="148"/>
        <v>-9.5715773967324405E-2</v>
      </c>
      <c r="R850" s="11">
        <f>IF(VLOOKUP($D850,$X$14:$Y$19,2,0)&lt;=0,1,IF(Q850&lt;0,1,ROUNDUP(IF(Q850*('Draft Center'!$L$28+'Draft Center'!$L$78-'Draft Center'!$L$82)&lt;1,1,Q850*('Draft Center'!$L$28+'Draft Center'!$L$78-'Draft Center'!$L$82)),0)))</f>
        <v>1</v>
      </c>
      <c r="S850" s="11">
        <f>IF(A850&lt;Input!$B$10+0.1,IF(ROUNDUP(R850*Input!$C$10,0)=0,1,ROUNDUP(R850*Input!$C$10,0)),IF(A850&gt;Input!$B$11,IF(ROUNDUP(R850*Input!$C$11,0)=0,1,ROUNDUP(R850*Input!$C$11,0)),IF(ROUNDUP(R850,0)=0,1,ROUNDUP(R850,0))))</f>
        <v>1</v>
      </c>
      <c r="T850" s="11">
        <f t="shared" si="149"/>
        <v>1</v>
      </c>
      <c r="U850" s="11">
        <f>IFERROR(VLOOKUP($B850,Input!$AC$2:$AE$161,3,0),0)</f>
        <v>0</v>
      </c>
      <c r="V850" s="257">
        <f t="shared" si="150"/>
        <v>0</v>
      </c>
      <c r="W850" s="264">
        <f t="shared" si="151"/>
        <v>1.0085</v>
      </c>
      <c r="X850" s="68"/>
      <c r="Y850" s="68"/>
      <c r="Z850" s="68"/>
      <c r="AA850" s="68"/>
      <c r="AB850" s="68"/>
      <c r="AC850" s="68"/>
      <c r="AD850" s="68"/>
      <c r="AE850" s="68"/>
      <c r="AF850" s="68"/>
      <c r="AG850" s="68"/>
      <c r="AH850" s="68"/>
      <c r="AI850" s="68"/>
      <c r="AJ850" s="68">
        <v>1</v>
      </c>
      <c r="AL850" s="68">
        <v>1</v>
      </c>
      <c r="AM850" s="68"/>
      <c r="AN850" s="68"/>
      <c r="AO850" s="68"/>
      <c r="AQ850" s="68"/>
      <c r="AR850" s="68"/>
      <c r="AS850" s="68"/>
      <c r="AT850" s="68"/>
      <c r="AU850" s="68"/>
      <c r="AV850" s="68"/>
      <c r="AW850" s="68"/>
      <c r="AX850" s="68"/>
      <c r="AY850" s="68"/>
      <c r="AZ850" s="68"/>
      <c r="BB850" s="68"/>
      <c r="BC850" s="68"/>
      <c r="BJ850" s="68"/>
      <c r="BT850">
        <v>1</v>
      </c>
      <c r="BV850">
        <v>1</v>
      </c>
      <c r="BX850" s="68"/>
      <c r="BY850" s="68">
        <v>1</v>
      </c>
      <c r="BZ850" s="68">
        <v>0</v>
      </c>
      <c r="CA850" s="68">
        <v>0</v>
      </c>
      <c r="CB850" s="68">
        <v>0</v>
      </c>
      <c r="CC850" s="68">
        <f t="shared" si="152"/>
        <v>0</v>
      </c>
      <c r="CD850" s="68">
        <f t="shared" si="153"/>
        <v>0</v>
      </c>
    </row>
    <row r="851" spans="1:82" ht="15.75" customHeight="1" thickBot="1" x14ac:dyDescent="0.3">
      <c r="A851" s="6">
        <v>850</v>
      </c>
      <c r="B851" s="7" t="s">
        <v>1172</v>
      </c>
      <c r="C851" s="7" t="s">
        <v>38</v>
      </c>
      <c r="D851" s="7" t="s">
        <v>53</v>
      </c>
      <c r="E851" s="50">
        <v>-269.13564363283598</v>
      </c>
      <c r="F851" s="50">
        <v>3.2120000000000002</v>
      </c>
      <c r="G851" s="50">
        <v>3.2120000000000002</v>
      </c>
      <c r="H851" s="50">
        <v>3.2120000000000002</v>
      </c>
      <c r="I851" s="8" t="s">
        <v>1057</v>
      </c>
      <c r="J851" s="50" t="s">
        <v>1057</v>
      </c>
      <c r="K851" s="248">
        <f>IFERROR(VLOOKUP(C851,Schedule!$T$3:$U$34,2,0),"FA")</f>
        <v>6</v>
      </c>
      <c r="L851" s="7" t="str">
        <f>D851&amp;COUNTIF(D$2:$D851,D851)</f>
        <v>QB69</v>
      </c>
      <c r="M851" s="50">
        <f t="array" ref="M851">IFERROR(F851-AVERAGE(VLOOKUP(D851,$D852:$F$885,3,0),INDEX($F852:$F$885,SMALL(IF(D851=$D852:$D$885,ROW($D852:$D$885)-ROW(D851)),2))),0)</f>
        <v>0.12314424233264498</v>
      </c>
      <c r="N851" s="50">
        <f>IFERROR(IF(VLOOKUP($B851,Input!$AC$2:$AC$162,1,0)=$B851,0),F851)</f>
        <v>3.2120000000000002</v>
      </c>
      <c r="O851" s="50">
        <f>IFERROR(IF(VLOOKUP($B851,Input!$AC$2:$AC$162,1,0)=$B851,0,G851),G851)</f>
        <v>3.2120000000000002</v>
      </c>
      <c r="P851" s="50">
        <f>IF(N851=0,0,F851-AVERAGE(INDEX(F:F,MATCH(VLOOKUP(D851,Input!$A$14:$L$22,10,0),L:L,0)),INDEX(F:F,MATCH(VLOOKUP(D851,Input!$A$14:$L$22,11,0),L:L,0)),INDEX(F:F,MATCH(VLOOKUP(D851,Input!$A$14:$L$22,12,0),L:L,0)))+(0.01-ROW()*0.01))</f>
        <v>-277.63564363283564</v>
      </c>
      <c r="Q851" s="106">
        <f t="shared" si="148"/>
        <v>-9.5782337203666176E-2</v>
      </c>
      <c r="R851" s="8">
        <f>IF(VLOOKUP($D851,$X$14:$Y$19,2,0)&lt;=0,1,IF(Q851&lt;0,1,ROUNDUP(IF(Q851*('Draft Center'!$L$28+'Draft Center'!$L$78-'Draft Center'!$L$82)&lt;1,1,Q851*('Draft Center'!$L$28+'Draft Center'!$L$78-'Draft Center'!$L$82)),0)))</f>
        <v>1</v>
      </c>
      <c r="S851" s="8">
        <f>IF(A851&lt;Input!$B$10+0.1,IF(ROUNDUP(R851*Input!$C$10,0)=0,1,ROUNDUP(R851*Input!$C$10,0)),IF(A851&gt;Input!$B$11,IF(ROUNDUP(R851*Input!$C$11,0)=0,1,ROUNDUP(R851*Input!$C$11,0)),IF(ROUNDUP(R851,0)=0,1,ROUNDUP(R851,0))))</f>
        <v>1</v>
      </c>
      <c r="T851" s="8">
        <f t="shared" si="149"/>
        <v>1</v>
      </c>
      <c r="U851" s="8">
        <f>IFERROR(VLOOKUP($B851,Input!$AC$2:$AE$161,3,0),0)</f>
        <v>0</v>
      </c>
      <c r="V851" s="256">
        <f t="shared" si="150"/>
        <v>0</v>
      </c>
      <c r="W851" s="263">
        <f t="shared" si="151"/>
        <v>0</v>
      </c>
      <c r="X851" s="68"/>
      <c r="Y851" s="68"/>
      <c r="Z851" s="68"/>
      <c r="AA851" s="68"/>
      <c r="AB851" s="68"/>
      <c r="AC851" s="68"/>
      <c r="AD851" s="68"/>
      <c r="AE851" s="68"/>
      <c r="AF851" s="68"/>
      <c r="AG851" s="68"/>
      <c r="AH851" s="68"/>
      <c r="AI851" s="68"/>
      <c r="AJ851" s="68">
        <v>1</v>
      </c>
      <c r="AL851" s="68">
        <v>1</v>
      </c>
      <c r="AM851" s="68"/>
      <c r="AN851" s="68"/>
      <c r="AO851" s="68"/>
      <c r="AQ851" s="68"/>
      <c r="AR851" s="68"/>
      <c r="AS851" s="68"/>
      <c r="AT851" s="68"/>
      <c r="AU851" s="68"/>
      <c r="AV851" s="68"/>
      <c r="AW851" s="68"/>
      <c r="AX851" s="68"/>
      <c r="AY851" s="68"/>
      <c r="AZ851" s="68"/>
      <c r="BB851" s="68"/>
      <c r="BC851" s="68"/>
      <c r="BJ851" s="68"/>
      <c r="BT851">
        <v>1</v>
      </c>
      <c r="BV851">
        <v>1</v>
      </c>
      <c r="BX851" s="68"/>
      <c r="BY851" s="68">
        <v>1</v>
      </c>
      <c r="BZ851" s="68" t="s">
        <v>1057</v>
      </c>
      <c r="CA851" s="68" t="s">
        <v>1057</v>
      </c>
      <c r="CB851" s="68" t="s">
        <v>1057</v>
      </c>
      <c r="CC851" s="68" t="e">
        <f t="shared" si="152"/>
        <v>#DIV/0!</v>
      </c>
      <c r="CD851" s="68" t="str">
        <f t="shared" si="153"/>
        <v>NA</v>
      </c>
    </row>
    <row r="852" spans="1:82" ht="15.75" customHeight="1" thickBot="1" x14ac:dyDescent="0.3">
      <c r="A852" s="9">
        <v>851</v>
      </c>
      <c r="B852" s="10" t="s">
        <v>538</v>
      </c>
      <c r="C852" s="10" t="s">
        <v>75</v>
      </c>
      <c r="D852" s="10" t="s">
        <v>53</v>
      </c>
      <c r="E852" s="51">
        <v>-269.247506458624</v>
      </c>
      <c r="F852" s="51">
        <v>3.10013717421125</v>
      </c>
      <c r="G852" s="51">
        <v>4.1555749999999998</v>
      </c>
      <c r="H852" s="51">
        <v>0</v>
      </c>
      <c r="I852" s="11">
        <v>0</v>
      </c>
      <c r="J852" s="51">
        <v>3.1646000427916299</v>
      </c>
      <c r="K852" s="249">
        <f>IFERROR(VLOOKUP(C852,Schedule!$T$3:$U$34,2,0),"FA")</f>
        <v>10</v>
      </c>
      <c r="L852" s="10" t="str">
        <f>D852&amp;COUNTIF(D$2:$D852,D852)</f>
        <v>QB70</v>
      </c>
      <c r="M852" s="51">
        <f t="array" ref="M852">IFERROR(F852-AVERAGE(VLOOKUP(D852,$D853:$F$885,3,0),INDEX($F853:$F$885,SMALL(IF(D852=$D853:$D$885,ROW($D853:$D$885)-ROW(D852)),2))),0)</f>
        <v>3.3276156949464841E-2</v>
      </c>
      <c r="N852" s="51">
        <f>IFERROR(IF(VLOOKUP($B852,Input!$AC$2:$AC$162,1,0)=$B852,0),F852)</f>
        <v>3.10013717421125</v>
      </c>
      <c r="O852" s="51">
        <f>IFERROR(IF(VLOOKUP($B852,Input!$AC$2:$AC$162,1,0)=$B852,0,G852),G852)</f>
        <v>4.1555749999999998</v>
      </c>
      <c r="P852" s="51">
        <f>IF(N852=0,0,F852-AVERAGE(INDEX(F:F,MATCH(VLOOKUP(D852,Input!$A$14:$L$22,10,0),L:L,0)),INDEX(F:F,MATCH(VLOOKUP(D852,Input!$A$14:$L$22,11,0),L:L,0)),INDEX(F:F,MATCH(VLOOKUP(D852,Input!$A$14:$L$22,12,0),L:L,0)))+(0.01-ROW()*0.01))</f>
        <v>-277.75750645862439</v>
      </c>
      <c r="Q852" s="107">
        <f t="shared" si="148"/>
        <v>-9.5824379018324982E-2</v>
      </c>
      <c r="R852" s="11">
        <f>IF(VLOOKUP($D852,$X$14:$Y$19,2,0)&lt;=0,1,IF(Q852&lt;0,1,ROUNDUP(IF(Q852*('Draft Center'!$L$28+'Draft Center'!$L$78-'Draft Center'!$L$82)&lt;1,1,Q852*('Draft Center'!$L$28+'Draft Center'!$L$78-'Draft Center'!$L$82)),0)))</f>
        <v>1</v>
      </c>
      <c r="S852" s="11">
        <f>IF(A852&lt;Input!$B$10+0.1,IF(ROUNDUP(R852*Input!$C$10,0)=0,1,ROUNDUP(R852*Input!$C$10,0)),IF(A852&gt;Input!$B$11,IF(ROUNDUP(R852*Input!$C$11,0)=0,1,ROUNDUP(R852*Input!$C$11,0)),IF(ROUNDUP(R852,0)=0,1,ROUNDUP(R852,0))))</f>
        <v>1</v>
      </c>
      <c r="T852" s="11">
        <f t="shared" si="149"/>
        <v>1</v>
      </c>
      <c r="U852" s="11">
        <f>IFERROR(VLOOKUP($B852,Input!$AC$2:$AE$161,3,0),0)</f>
        <v>0</v>
      </c>
      <c r="V852" s="257">
        <f t="shared" si="150"/>
        <v>0</v>
      </c>
      <c r="W852" s="264">
        <f t="shared" si="151"/>
        <v>1.0085200000000001</v>
      </c>
      <c r="X852" s="68"/>
      <c r="Y852" s="68"/>
      <c r="Z852" s="68"/>
      <c r="AA852" s="68"/>
      <c r="AB852" s="68"/>
      <c r="AC852" s="68"/>
      <c r="AD852" s="68"/>
      <c r="AE852" s="68"/>
      <c r="AF852" s="68"/>
      <c r="AG852" s="68"/>
      <c r="AH852" s="68"/>
      <c r="AI852" s="68"/>
      <c r="AJ852" s="68">
        <v>1</v>
      </c>
      <c r="AL852" s="68">
        <v>1</v>
      </c>
      <c r="AM852" s="68"/>
      <c r="AN852" s="68"/>
      <c r="AO852" s="68"/>
      <c r="AQ852" s="68"/>
      <c r="AR852" s="68"/>
      <c r="AS852" s="68"/>
      <c r="AT852" s="68"/>
      <c r="AU852" s="68"/>
      <c r="AV852" s="68"/>
      <c r="AW852" s="68"/>
      <c r="AX852" s="68"/>
      <c r="AY852" s="68"/>
      <c r="AZ852" s="68"/>
      <c r="BB852" s="68"/>
      <c r="BC852" s="68"/>
      <c r="BJ852" s="68"/>
      <c r="BT852">
        <v>1</v>
      </c>
      <c r="BV852">
        <v>1</v>
      </c>
      <c r="BX852" s="68"/>
      <c r="BY852" s="68">
        <v>1</v>
      </c>
      <c r="BZ852" s="68">
        <v>0</v>
      </c>
      <c r="CA852" s="68">
        <v>0</v>
      </c>
      <c r="CB852" s="68">
        <v>0</v>
      </c>
      <c r="CC852" s="68">
        <f t="shared" si="152"/>
        <v>0</v>
      </c>
      <c r="CD852" s="68">
        <f t="shared" si="153"/>
        <v>0</v>
      </c>
    </row>
    <row r="853" spans="1:82" ht="15.75" customHeight="1" thickBot="1" x14ac:dyDescent="0.3">
      <c r="A853" s="6">
        <v>852</v>
      </c>
      <c r="B853" s="7" t="s">
        <v>559</v>
      </c>
      <c r="C853" s="7" t="s">
        <v>23</v>
      </c>
      <c r="D853" s="7" t="s">
        <v>53</v>
      </c>
      <c r="E853" s="50">
        <v>-269.27006929171199</v>
      </c>
      <c r="F853" s="50">
        <v>3.07757434112346</v>
      </c>
      <c r="G853" s="50">
        <v>5.0551246000000001</v>
      </c>
      <c r="H853" s="50">
        <v>0.44246913580246899</v>
      </c>
      <c r="I853" s="8">
        <v>0</v>
      </c>
      <c r="J853" s="50">
        <v>3.0541277062516499</v>
      </c>
      <c r="K853" s="248">
        <f>IFERROR(VLOOKUP(C853,Schedule!$T$3:$U$34,2,0),"FA")</f>
        <v>5</v>
      </c>
      <c r="L853" s="7" t="str">
        <f>D853&amp;COUNTIF(D$2:$D853,D853)</f>
        <v>QB71</v>
      </c>
      <c r="M853" s="50">
        <f t="array" ref="M853">IFERROR(F853-AVERAGE(VLOOKUP(D853,$D854:$F$885,3,0),INDEX($F854:$F$885,SMALL(IF(D853=$D854:$D$885,ROW($D854:$D$885)-ROW(D853)),2))),0)</f>
        <v>3.5097202242334813E-2</v>
      </c>
      <c r="N853" s="50">
        <f>IFERROR(IF(VLOOKUP($B853,Input!$AC$2:$AC$162,1,0)=$B853,0),F853)</f>
        <v>3.07757434112346</v>
      </c>
      <c r="O853" s="50">
        <f>IFERROR(IF(VLOOKUP($B853,Input!$AC$2:$AC$162,1,0)=$B853,0,G853),G853)</f>
        <v>5.0551246000000001</v>
      </c>
      <c r="P853" s="50">
        <f>IF(N853=0,0,F853-AVERAGE(INDEX(F:F,MATCH(VLOOKUP(D853,Input!$A$14:$L$22,10,0),L:L,0)),INDEX(F:F,MATCH(VLOOKUP(D853,Input!$A$14:$L$22,11,0),L:L,0)),INDEX(F:F,MATCH(VLOOKUP(D853,Input!$A$14:$L$22,12,0),L:L,0)))+(0.01-ROW()*0.01))</f>
        <v>-277.79006929171214</v>
      </c>
      <c r="Q853" s="106">
        <f t="shared" si="148"/>
        <v>-9.5835612965876921E-2</v>
      </c>
      <c r="R853" s="8">
        <f>IF(VLOOKUP($D853,$X$14:$Y$19,2,0)&lt;=0,1,IF(Q853&lt;0,1,ROUNDUP(IF(Q853*('Draft Center'!$L$28+'Draft Center'!$L$78-'Draft Center'!$L$82)&lt;1,1,Q853*('Draft Center'!$L$28+'Draft Center'!$L$78-'Draft Center'!$L$82)),0)))</f>
        <v>1</v>
      </c>
      <c r="S853" s="8">
        <f>IF(A853&lt;Input!$B$10+0.1,IF(ROUNDUP(R853*Input!$C$10,0)=0,1,ROUNDUP(R853*Input!$C$10,0)),IF(A853&gt;Input!$B$11,IF(ROUNDUP(R853*Input!$C$11,0)=0,1,ROUNDUP(R853*Input!$C$11,0)),IF(ROUNDUP(R853,0)=0,1,ROUNDUP(R853,0))))</f>
        <v>1</v>
      </c>
      <c r="T853" s="8">
        <f t="shared" si="149"/>
        <v>1</v>
      </c>
      <c r="U853" s="8">
        <f>IFERROR(VLOOKUP($B853,Input!$AC$2:$AE$161,3,0),0)</f>
        <v>0</v>
      </c>
      <c r="V853" s="256">
        <f t="shared" si="150"/>
        <v>0</v>
      </c>
      <c r="W853" s="263">
        <f t="shared" si="151"/>
        <v>1.0085299999999999</v>
      </c>
      <c r="X853" s="68"/>
      <c r="Y853" s="68"/>
      <c r="Z853" s="68"/>
      <c r="AA853" s="68"/>
      <c r="AB853" s="68"/>
      <c r="AC853" s="68"/>
      <c r="AD853" s="68"/>
      <c r="AE853" s="68"/>
      <c r="AF853" s="68"/>
      <c r="AG853" s="68"/>
      <c r="AH853" s="68"/>
      <c r="AI853" s="68"/>
      <c r="AJ853" s="68">
        <v>1</v>
      </c>
      <c r="AL853" s="68">
        <v>1</v>
      </c>
      <c r="AM853" s="68"/>
      <c r="AN853" s="68"/>
      <c r="AO853" s="68"/>
      <c r="AQ853" s="68"/>
      <c r="AR853" s="68"/>
      <c r="AS853" s="68"/>
      <c r="AT853" s="68"/>
      <c r="AU853" s="68"/>
      <c r="AV853" s="68"/>
      <c r="AW853" s="68"/>
      <c r="AX853" s="68"/>
      <c r="AY853" s="68"/>
      <c r="AZ853" s="68"/>
      <c r="BB853" s="68"/>
      <c r="BC853" s="68"/>
      <c r="BJ853" s="68"/>
      <c r="BT853">
        <v>1</v>
      </c>
      <c r="BV853">
        <v>1</v>
      </c>
      <c r="BX853" s="68"/>
      <c r="BY853" s="68">
        <v>1</v>
      </c>
      <c r="BZ853" s="68">
        <v>0</v>
      </c>
      <c r="CA853" s="68">
        <v>0</v>
      </c>
      <c r="CB853" s="68">
        <v>0</v>
      </c>
      <c r="CC853" s="68">
        <f t="shared" si="152"/>
        <v>0</v>
      </c>
      <c r="CD853" s="68">
        <f t="shared" si="153"/>
        <v>0</v>
      </c>
    </row>
    <row r="854" spans="1:82" ht="15.75" customHeight="1" thickBot="1" x14ac:dyDescent="0.3">
      <c r="A854" s="9">
        <v>853</v>
      </c>
      <c r="B854" s="10" t="s">
        <v>1047</v>
      </c>
      <c r="C854" s="10" t="s">
        <v>36</v>
      </c>
      <c r="D854" s="10" t="s">
        <v>53</v>
      </c>
      <c r="E854" s="51">
        <v>-269.29149593943498</v>
      </c>
      <c r="F854" s="51">
        <v>3.0561476934001099</v>
      </c>
      <c r="G854" s="51">
        <v>4.8142534954407301</v>
      </c>
      <c r="H854" s="51">
        <v>0.33646913580246901</v>
      </c>
      <c r="I854" s="11">
        <v>0</v>
      </c>
      <c r="J854" s="51">
        <v>3.7042759941127099</v>
      </c>
      <c r="K854" s="249">
        <f>IFERROR(VLOOKUP(C854,Schedule!$T$3:$U$34,2,0),"FA")</f>
        <v>7</v>
      </c>
      <c r="L854" s="10" t="str">
        <f>D854&amp;COUNTIF(D$2:$D854,D854)</f>
        <v>QB72</v>
      </c>
      <c r="M854" s="51">
        <f t="array" ref="M854">IFERROR(F854-AVERAGE(VLOOKUP(D854,$D855:$F$885,3,0),INDEX($F855:$F$885,SMALL(IF(D854=$D855:$D$885,ROW($D855:$D$885)-ROW(D854)),2))),0)</f>
        <v>4.1765525528955294E-2</v>
      </c>
      <c r="N854" s="51">
        <f>IFERROR(IF(VLOOKUP($B854,Input!$AC$2:$AC$162,1,0)=$B854,0),F854)</f>
        <v>3.0561476934001099</v>
      </c>
      <c r="O854" s="51">
        <f>IFERROR(IF(VLOOKUP($B854,Input!$AC$2:$AC$162,1,0)=$B854,0,G854),G854)</f>
        <v>4.8142534954407301</v>
      </c>
      <c r="P854" s="51">
        <f>IF(N854=0,0,F854-AVERAGE(INDEX(F:F,MATCH(VLOOKUP(D854,Input!$A$14:$L$22,10,0),L:L,0)),INDEX(F:F,MATCH(VLOOKUP(D854,Input!$A$14:$L$22,11,0),L:L,0)),INDEX(F:F,MATCH(VLOOKUP(D854,Input!$A$14:$L$22,12,0),L:L,0)))+(0.01-ROW()*0.01))</f>
        <v>-277.82149593943552</v>
      </c>
      <c r="Q854" s="107">
        <f t="shared" si="148"/>
        <v>-9.5846454937498549E-2</v>
      </c>
      <c r="R854" s="11">
        <f>IF(VLOOKUP($D854,$X$14:$Y$19,2,0)&lt;=0,1,IF(Q854&lt;0,1,ROUNDUP(IF(Q854*('Draft Center'!$L$28+'Draft Center'!$L$78-'Draft Center'!$L$82)&lt;1,1,Q854*('Draft Center'!$L$28+'Draft Center'!$L$78-'Draft Center'!$L$82)),0)))</f>
        <v>1</v>
      </c>
      <c r="S854" s="11">
        <f>IF(A854&lt;Input!$B$10+0.1,IF(ROUNDUP(R854*Input!$C$10,0)=0,1,ROUNDUP(R854*Input!$C$10,0)),IF(A854&gt;Input!$B$11,IF(ROUNDUP(R854*Input!$C$11,0)=0,1,ROUNDUP(R854*Input!$C$11,0)),IF(ROUNDUP(R854,0)=0,1,ROUNDUP(R854,0))))</f>
        <v>1</v>
      </c>
      <c r="T854" s="11">
        <f t="shared" si="149"/>
        <v>1</v>
      </c>
      <c r="U854" s="11">
        <f>IFERROR(VLOOKUP($B854,Input!$AC$2:$AE$161,3,0),0)</f>
        <v>0</v>
      </c>
      <c r="V854" s="257">
        <f t="shared" si="150"/>
        <v>0</v>
      </c>
      <c r="W854" s="264">
        <f t="shared" si="151"/>
        <v>1.00854</v>
      </c>
      <c r="X854" s="68"/>
      <c r="Y854" s="68"/>
      <c r="Z854" s="68"/>
      <c r="AA854" s="68"/>
      <c r="AB854" s="68"/>
      <c r="AC854" s="68"/>
      <c r="AD854" s="68"/>
      <c r="AE854" s="68"/>
      <c r="AF854" s="68"/>
      <c r="AG854" s="68"/>
      <c r="AH854" s="68"/>
      <c r="AI854" s="68"/>
      <c r="AJ854" s="68">
        <v>1</v>
      </c>
      <c r="AL854" s="68">
        <v>1</v>
      </c>
      <c r="AM854" s="68"/>
      <c r="AN854" s="68"/>
      <c r="AO854" s="68"/>
      <c r="AQ854" s="68"/>
      <c r="AR854" s="68"/>
      <c r="AS854" s="68"/>
      <c r="AT854" s="68"/>
      <c r="AU854" s="68"/>
      <c r="AV854" s="68"/>
      <c r="AW854" s="68"/>
      <c r="AX854" s="68"/>
      <c r="AY854" s="68"/>
      <c r="AZ854" s="68"/>
      <c r="BB854" s="68"/>
      <c r="BC854" s="68"/>
      <c r="BJ854" s="68"/>
      <c r="BT854">
        <v>1</v>
      </c>
      <c r="BV854">
        <v>1</v>
      </c>
      <c r="BX854" s="68"/>
      <c r="BY854" s="68">
        <v>1</v>
      </c>
      <c r="BZ854" s="68">
        <v>0</v>
      </c>
      <c r="CA854" s="68">
        <v>0</v>
      </c>
      <c r="CB854" s="68">
        <v>0</v>
      </c>
      <c r="CC854" s="68">
        <f t="shared" si="152"/>
        <v>0</v>
      </c>
      <c r="CD854" s="68">
        <f t="shared" si="153"/>
        <v>0</v>
      </c>
    </row>
    <row r="855" spans="1:82" ht="15.75" customHeight="1" thickBot="1" x14ac:dyDescent="0.3">
      <c r="A855" s="6">
        <v>854</v>
      </c>
      <c r="B855" s="7" t="s">
        <v>1046</v>
      </c>
      <c r="C855" s="7" t="s">
        <v>36</v>
      </c>
      <c r="D855" s="7" t="s">
        <v>53</v>
      </c>
      <c r="E855" s="50">
        <v>-269.31883704847297</v>
      </c>
      <c r="F855" s="50">
        <v>3.0288065843621399</v>
      </c>
      <c r="G855" s="50">
        <v>4.0599600000000002</v>
      </c>
      <c r="H855" s="50">
        <v>0</v>
      </c>
      <c r="I855" s="8">
        <v>0</v>
      </c>
      <c r="J855" s="50">
        <v>3.1495132590471702</v>
      </c>
      <c r="K855" s="248">
        <f>IFERROR(VLOOKUP(C855,Schedule!$T$3:$U$34,2,0),"FA")</f>
        <v>7</v>
      </c>
      <c r="L855" s="7" t="str">
        <f>D855&amp;COUNTIF(D$2:$D855,D855)</f>
        <v>QB73</v>
      </c>
      <c r="M855" s="50">
        <f t="array" ref="M855">IFERROR(F855-AVERAGE(VLOOKUP(D855,$D856:$F$885,3,0),INDEX($F856:$F$885,SMALL(IF(D855=$D856:$D$885,ROW($D856:$D$885)-ROW(D855)),2))),0)</f>
        <v>0.33349619931490482</v>
      </c>
      <c r="N855" s="50">
        <f>IFERROR(IF(VLOOKUP($B855,Input!$AC$2:$AC$162,1,0)=$B855,0),F855)</f>
        <v>3.0288065843621399</v>
      </c>
      <c r="O855" s="50">
        <f>IFERROR(IF(VLOOKUP($B855,Input!$AC$2:$AC$162,1,0)=$B855,0,G855),G855)</f>
        <v>4.0599600000000002</v>
      </c>
      <c r="P855" s="50">
        <f>IF(N855=0,0,F855-AVERAGE(INDEX(F:F,MATCH(VLOOKUP(D855,Input!$A$14:$L$22,10,0),L:L,0)),INDEX(F:F,MATCH(VLOOKUP(D855,Input!$A$14:$L$22,11,0),L:L,0)),INDEX(F:F,MATCH(VLOOKUP(D855,Input!$A$14:$L$22,12,0),L:L,0)))+(0.01-ROW()*0.01))</f>
        <v>-277.8588370484735</v>
      </c>
      <c r="Q855" s="106">
        <f t="shared" si="148"/>
        <v>-9.5859337356523119E-2</v>
      </c>
      <c r="R855" s="8">
        <f>IF(VLOOKUP($D855,$X$14:$Y$19,2,0)&lt;=0,1,IF(Q855&lt;0,1,ROUNDUP(IF(Q855*('Draft Center'!$L$28+'Draft Center'!$L$78-'Draft Center'!$L$82)&lt;1,1,Q855*('Draft Center'!$L$28+'Draft Center'!$L$78-'Draft Center'!$L$82)),0)))</f>
        <v>1</v>
      </c>
      <c r="S855" s="8">
        <f>IF(A855&lt;Input!$B$10+0.1,IF(ROUNDUP(R855*Input!$C$10,0)=0,1,ROUNDUP(R855*Input!$C$10,0)),IF(A855&gt;Input!$B$11,IF(ROUNDUP(R855*Input!$C$11,0)=0,1,ROUNDUP(R855*Input!$C$11,0)),IF(ROUNDUP(R855,0)=0,1,ROUNDUP(R855,0))))</f>
        <v>1</v>
      </c>
      <c r="T855" s="8">
        <f t="shared" si="149"/>
        <v>1</v>
      </c>
      <c r="U855" s="8">
        <f>IFERROR(VLOOKUP($B855,Input!$AC$2:$AE$161,3,0),0)</f>
        <v>0</v>
      </c>
      <c r="V855" s="256">
        <f t="shared" si="150"/>
        <v>0</v>
      </c>
      <c r="W855" s="263">
        <f t="shared" si="151"/>
        <v>1.0085500000000001</v>
      </c>
      <c r="X855" s="68"/>
      <c r="Y855" s="68"/>
      <c r="Z855" s="68"/>
      <c r="AA855" s="68"/>
      <c r="AB855" s="68"/>
      <c r="AC855" s="68"/>
      <c r="AD855" s="68"/>
      <c r="AE855" s="68"/>
      <c r="AF855" s="68"/>
      <c r="AG855" s="68"/>
      <c r="AH855" s="68"/>
      <c r="AI855" s="68"/>
      <c r="AJ855" s="68">
        <v>1</v>
      </c>
      <c r="AL855" s="68">
        <v>1</v>
      </c>
      <c r="AM855" s="68"/>
      <c r="AN855" s="68"/>
      <c r="AO855" s="68"/>
      <c r="AQ855" s="68"/>
      <c r="AR855" s="68"/>
      <c r="AS855" s="68"/>
      <c r="AT855" s="68"/>
      <c r="AU855" s="68"/>
      <c r="AV855" s="68"/>
      <c r="AW855" s="68"/>
      <c r="AX855" s="68"/>
      <c r="AY855" s="68"/>
      <c r="AZ855" s="68"/>
      <c r="BB855" s="68"/>
      <c r="BC855" s="68"/>
      <c r="BJ855" s="68"/>
      <c r="BT855">
        <v>1</v>
      </c>
      <c r="BV855">
        <v>1</v>
      </c>
      <c r="BX855" s="68"/>
      <c r="BY855" s="68">
        <v>1</v>
      </c>
      <c r="BZ855" s="68">
        <v>0</v>
      </c>
      <c r="CA855" s="68">
        <v>0</v>
      </c>
      <c r="CB855" s="68">
        <v>0</v>
      </c>
      <c r="CC855" s="68">
        <f t="shared" si="152"/>
        <v>0</v>
      </c>
      <c r="CD855" s="68">
        <f t="shared" si="153"/>
        <v>0</v>
      </c>
    </row>
    <row r="856" spans="1:82" ht="15.75" customHeight="1" thickBot="1" x14ac:dyDescent="0.3">
      <c r="A856" s="9">
        <v>855</v>
      </c>
      <c r="B856" s="10" t="s">
        <v>836</v>
      </c>
      <c r="C856" s="10" t="s">
        <v>927</v>
      </c>
      <c r="D856" s="10" t="s">
        <v>53</v>
      </c>
      <c r="E856" s="51">
        <v>-269.34768588145499</v>
      </c>
      <c r="F856" s="51">
        <v>2.9999577513801698</v>
      </c>
      <c r="G856" s="51">
        <v>5.3918020668692996</v>
      </c>
      <c r="H856" s="51">
        <v>-3.6104252400548702E-2</v>
      </c>
      <c r="I856" s="11">
        <v>0</v>
      </c>
      <c r="J856" s="51">
        <v>8.0248459686390294</v>
      </c>
      <c r="K856" s="249">
        <f>IFERROR(VLOOKUP(C856,Schedule!$T$3:$U$34,2,0),"FA")</f>
        <v>9</v>
      </c>
      <c r="L856" s="10" t="str">
        <f>D856&amp;COUNTIF(D$2:$D856,D856)</f>
        <v>QB74</v>
      </c>
      <c r="M856" s="51">
        <f t="array" ref="M856">IFERROR(F856-AVERAGE(VLOOKUP(D856,$D857:$F$885,3,0),INDEX($F857:$F$885,SMALL(IF(D856=$D857:$D$885,ROW($D857:$D$885)-ROW(D856)),2))),0)</f>
        <v>0.79871083466749493</v>
      </c>
      <c r="N856" s="51">
        <f>IFERROR(IF(VLOOKUP($B856,Input!$AC$2:$AC$162,1,0)=$B856,0),F856)</f>
        <v>2.9999577513801698</v>
      </c>
      <c r="O856" s="51">
        <f>IFERROR(IF(VLOOKUP($B856,Input!$AC$2:$AC$162,1,0)=$B856,0,G856),G856)</f>
        <v>5.3918020668692996</v>
      </c>
      <c r="P856" s="51">
        <f>IF(N856=0,0,F856-AVERAGE(INDEX(F:F,MATCH(VLOOKUP(D856,Input!$A$14:$L$22,10,0),L:L,0)),INDEX(F:F,MATCH(VLOOKUP(D856,Input!$A$14:$L$22,11,0),L:L,0)),INDEX(F:F,MATCH(VLOOKUP(D856,Input!$A$14:$L$22,12,0),L:L,0)))+(0.01-ROW()*0.01))</f>
        <v>-277.89768588145546</v>
      </c>
      <c r="Q856" s="107">
        <f t="shared" si="148"/>
        <v>-9.5872739929665232E-2</v>
      </c>
      <c r="R856" s="11">
        <f>IF(VLOOKUP($D856,$X$14:$Y$19,2,0)&lt;=0,1,IF(Q856&lt;0,1,ROUNDUP(IF(Q856*('Draft Center'!$L$28+'Draft Center'!$L$78-'Draft Center'!$L$82)&lt;1,1,Q856*('Draft Center'!$L$28+'Draft Center'!$L$78-'Draft Center'!$L$82)),0)))</f>
        <v>1</v>
      </c>
      <c r="S856" s="11">
        <f>IF(A856&lt;Input!$B$10+0.1,IF(ROUNDUP(R856*Input!$C$10,0)=0,1,ROUNDUP(R856*Input!$C$10,0)),IF(A856&gt;Input!$B$11,IF(ROUNDUP(R856*Input!$C$11,0)=0,1,ROUNDUP(R856*Input!$C$11,0)),IF(ROUNDUP(R856,0)=0,1,ROUNDUP(R856,0))))</f>
        <v>1</v>
      </c>
      <c r="T856" s="11">
        <f t="shared" si="149"/>
        <v>1</v>
      </c>
      <c r="U856" s="11">
        <f>IFERROR(VLOOKUP($B856,Input!$AC$2:$AE$161,3,0),0)</f>
        <v>0</v>
      </c>
      <c r="V856" s="257">
        <f t="shared" si="150"/>
        <v>0</v>
      </c>
      <c r="W856" s="264">
        <f t="shared" si="151"/>
        <v>1.0085599999999999</v>
      </c>
      <c r="X856" s="68"/>
      <c r="Y856" s="68"/>
      <c r="Z856" s="68"/>
      <c r="AA856" s="68"/>
      <c r="AB856" s="68"/>
      <c r="AC856" s="68"/>
      <c r="AD856" s="68"/>
      <c r="AE856" s="68"/>
      <c r="AF856" s="68"/>
      <c r="AG856" s="68"/>
      <c r="AH856" s="68"/>
      <c r="AI856" s="68"/>
      <c r="AJ856" s="68">
        <v>1</v>
      </c>
      <c r="AL856" s="68">
        <v>1</v>
      </c>
      <c r="AM856" s="68"/>
      <c r="AN856" s="68"/>
      <c r="AO856" s="68"/>
      <c r="AQ856" s="68"/>
      <c r="AR856" s="68"/>
      <c r="AS856" s="68"/>
      <c r="AT856" s="68"/>
      <c r="AU856" s="68"/>
      <c r="AV856" s="68"/>
      <c r="AW856" s="68"/>
      <c r="AX856" s="68"/>
      <c r="AY856" s="68"/>
      <c r="AZ856" s="68"/>
      <c r="BB856" s="68"/>
      <c r="BC856" s="68"/>
      <c r="BJ856" s="68"/>
      <c r="BT856">
        <v>1</v>
      </c>
      <c r="BV856">
        <v>1</v>
      </c>
      <c r="BX856" s="68"/>
      <c r="BY856" s="68">
        <v>1</v>
      </c>
      <c r="BZ856" s="68">
        <v>0</v>
      </c>
      <c r="CA856" s="68">
        <v>0</v>
      </c>
      <c r="CB856" s="68">
        <v>0</v>
      </c>
      <c r="CC856" s="68">
        <f t="shared" si="152"/>
        <v>0</v>
      </c>
      <c r="CD856" s="68">
        <f t="shared" si="153"/>
        <v>0</v>
      </c>
    </row>
    <row r="857" spans="1:82" ht="15.75" customHeight="1" thickBot="1" x14ac:dyDescent="0.3">
      <c r="A857" s="6">
        <v>856</v>
      </c>
      <c r="B857" s="7" t="s">
        <v>545</v>
      </c>
      <c r="C857" s="7" t="s">
        <v>66</v>
      </c>
      <c r="D857" s="7" t="s">
        <v>53</v>
      </c>
      <c r="E857" s="50">
        <v>-269.95698061412099</v>
      </c>
      <c r="F857" s="50">
        <v>2.3906630187142999</v>
      </c>
      <c r="G857" s="50">
        <v>3.9248817021276601</v>
      </c>
      <c r="H857" s="50">
        <v>4.51303155006859E-2</v>
      </c>
      <c r="I857" s="8">
        <v>0</v>
      </c>
      <c r="J857" s="50">
        <v>2.9391195842566198</v>
      </c>
      <c r="K857" s="248">
        <f>IFERROR(VLOOKUP(C857,Schedule!$T$3:$U$34,2,0),"FA")</f>
        <v>7</v>
      </c>
      <c r="L857" s="7" t="str">
        <f>D857&amp;COUNTIF(D$2:$D857,D857)</f>
        <v>QB75</v>
      </c>
      <c r="M857" s="50">
        <f t="array" ref="M857">IFERROR(F857-AVERAGE(VLOOKUP(D857,$D858:$F$885,3,0),INDEX($F858:$F$885,SMALL(IF(D857=$D858:$D$885,ROW($D858:$D$885)-ROW(D857)),2))),0)</f>
        <v>0.47144363408604972</v>
      </c>
      <c r="N857" s="50">
        <f>IFERROR(IF(VLOOKUP($B857,Input!$AC$2:$AC$162,1,0)=$B857,0),F857)</f>
        <v>2.3906630187142999</v>
      </c>
      <c r="O857" s="50">
        <f>IFERROR(IF(VLOOKUP($B857,Input!$AC$2:$AC$162,1,0)=$B857,0,G857),G857)</f>
        <v>3.9248817021276601</v>
      </c>
      <c r="P857" s="50">
        <f>IF(N857=0,0,F857-AVERAGE(INDEX(F:F,MATCH(VLOOKUP(D857,Input!$A$14:$L$22,10,0),L:L,0)),INDEX(F:F,MATCH(VLOOKUP(D857,Input!$A$14:$L$22,11,0),L:L,0)),INDEX(F:F,MATCH(VLOOKUP(D857,Input!$A$14:$L$22,12,0),L:L,0)))+(0.01-ROW()*0.01))</f>
        <v>-278.51698061412134</v>
      </c>
      <c r="Q857" s="106">
        <f t="shared" si="148"/>
        <v>-9.6086392240789603E-2</v>
      </c>
      <c r="R857" s="8">
        <f>IF(VLOOKUP($D857,$X$14:$Y$19,2,0)&lt;=0,1,IF(Q857&lt;0,1,ROUNDUP(IF(Q857*('Draft Center'!$L$28+'Draft Center'!$L$78-'Draft Center'!$L$82)&lt;1,1,Q857*('Draft Center'!$L$28+'Draft Center'!$L$78-'Draft Center'!$L$82)),0)))</f>
        <v>1</v>
      </c>
      <c r="S857" s="8">
        <f>IF(A857&lt;Input!$B$10+0.1,IF(ROUNDUP(R857*Input!$C$10,0)=0,1,ROUNDUP(R857*Input!$C$10,0)),IF(A857&gt;Input!$B$11,IF(ROUNDUP(R857*Input!$C$11,0)=0,1,ROUNDUP(R857*Input!$C$11,0)),IF(ROUNDUP(R857,0)=0,1,ROUNDUP(R857,0))))</f>
        <v>1</v>
      </c>
      <c r="T857" s="8">
        <f t="shared" si="149"/>
        <v>1</v>
      </c>
      <c r="U857" s="8">
        <f>IFERROR(VLOOKUP($B857,Input!$AC$2:$AE$161,3,0),0)</f>
        <v>0</v>
      </c>
      <c r="V857" s="256">
        <f t="shared" si="150"/>
        <v>0</v>
      </c>
      <c r="W857" s="263">
        <f t="shared" si="151"/>
        <v>1.00857</v>
      </c>
      <c r="X857" s="68"/>
      <c r="Y857" s="68"/>
      <c r="Z857" s="68"/>
      <c r="AA857" s="68"/>
      <c r="AB857" s="68"/>
      <c r="AC857" s="68"/>
      <c r="AD857" s="68"/>
      <c r="AE857" s="68"/>
      <c r="AF857" s="68"/>
      <c r="AG857" s="68"/>
      <c r="AH857" s="68"/>
      <c r="AI857" s="68"/>
      <c r="AJ857" s="68">
        <v>1</v>
      </c>
      <c r="AL857" s="68">
        <v>1</v>
      </c>
      <c r="AM857" s="68"/>
      <c r="AN857" s="68"/>
      <c r="AO857" s="68"/>
      <c r="AQ857" s="68"/>
      <c r="AR857" s="68"/>
      <c r="AS857" s="68"/>
      <c r="AT857" s="68"/>
      <c r="AU857" s="68"/>
      <c r="AV857" s="68"/>
      <c r="AW857" s="68"/>
      <c r="AX857" s="68"/>
      <c r="AY857" s="68"/>
      <c r="AZ857" s="68"/>
      <c r="BB857" s="68"/>
      <c r="BC857" s="68"/>
      <c r="BJ857" s="68"/>
      <c r="BT857">
        <v>1</v>
      </c>
      <c r="BV857">
        <v>1</v>
      </c>
      <c r="BX857" s="68"/>
      <c r="BY857" s="68">
        <v>1</v>
      </c>
      <c r="BZ857" s="68">
        <v>0</v>
      </c>
      <c r="CA857" s="68">
        <v>0</v>
      </c>
      <c r="CB857" s="68">
        <v>0</v>
      </c>
      <c r="CC857" s="68">
        <f t="shared" si="152"/>
        <v>0</v>
      </c>
      <c r="CD857" s="68">
        <f t="shared" si="153"/>
        <v>0</v>
      </c>
    </row>
    <row r="858" spans="1:82" ht="15.75" customHeight="1" thickBot="1" x14ac:dyDescent="0.3">
      <c r="A858" s="9">
        <v>857</v>
      </c>
      <c r="B858" s="10" t="s">
        <v>541</v>
      </c>
      <c r="C858" s="10" t="s">
        <v>95</v>
      </c>
      <c r="D858" s="10" t="s">
        <v>53</v>
      </c>
      <c r="E858" s="51">
        <v>-270.33581281812502</v>
      </c>
      <c r="F858" s="51">
        <v>2.01183081471105</v>
      </c>
      <c r="G858" s="51">
        <v>3.4686735562309998</v>
      </c>
      <c r="H858" s="51">
        <v>-0.77558299039780498</v>
      </c>
      <c r="I858" s="11">
        <v>0</v>
      </c>
      <c r="J858" s="51">
        <v>5.4512685235501497</v>
      </c>
      <c r="K858" s="249">
        <f>IFERROR(VLOOKUP(C858,Schedule!$T$3:$U$34,2,0),"FA")</f>
        <v>8</v>
      </c>
      <c r="L858" s="10" t="str">
        <f>D858&amp;COUNTIF(D$2:$D858,D858)</f>
        <v>QB76</v>
      </c>
      <c r="M858" s="51">
        <f t="array" ref="M858">IFERROR(F858-AVERAGE(VLOOKUP(D858,$D859:$F$885,3,0),INDEX($F859:$F$885,SMALL(IF(D858=$D859:$D$885,ROW($D859:$D$885)-ROW(D858)),2))),0)</f>
        <v>0.1870652094446299</v>
      </c>
      <c r="N858" s="51">
        <f>IFERROR(IF(VLOOKUP($B858,Input!$AC$2:$AC$162,1,0)=$B858,0),F858)</f>
        <v>2.01183081471105</v>
      </c>
      <c r="O858" s="51">
        <f>IFERROR(IF(VLOOKUP($B858,Input!$AC$2:$AC$162,1,0)=$B858,0,G858),G858)</f>
        <v>3.4686735562309998</v>
      </c>
      <c r="P858" s="51">
        <f>IF(N858=0,0,F858-AVERAGE(INDEX(F:F,MATCH(VLOOKUP(D858,Input!$A$14:$L$22,10,0),L:L,0)),INDEX(F:F,MATCH(VLOOKUP(D858,Input!$A$14:$L$22,11,0),L:L,0)),INDEX(F:F,MATCH(VLOOKUP(D858,Input!$A$14:$L$22,12,0),L:L,0)))+(0.01-ROW()*0.01))</f>
        <v>-278.90581281812456</v>
      </c>
      <c r="Q858" s="107">
        <f t="shared" si="148"/>
        <v>-9.6220536606376666E-2</v>
      </c>
      <c r="R858" s="11">
        <f>IF(VLOOKUP($D858,$X$14:$Y$19,2,0)&lt;=0,1,IF(Q858&lt;0,1,ROUNDUP(IF(Q858*('Draft Center'!$L$28+'Draft Center'!$L$78-'Draft Center'!$L$82)&lt;1,1,Q858*('Draft Center'!$L$28+'Draft Center'!$L$78-'Draft Center'!$L$82)),0)))</f>
        <v>1</v>
      </c>
      <c r="S858" s="11">
        <f>IF(A858&lt;Input!$B$10+0.1,IF(ROUNDUP(R858*Input!$C$10,0)=0,1,ROUNDUP(R858*Input!$C$10,0)),IF(A858&gt;Input!$B$11,IF(ROUNDUP(R858*Input!$C$11,0)=0,1,ROUNDUP(R858*Input!$C$11,0)),IF(ROUNDUP(R858,0)=0,1,ROUNDUP(R858,0))))</f>
        <v>1</v>
      </c>
      <c r="T858" s="11">
        <f t="shared" si="149"/>
        <v>1</v>
      </c>
      <c r="U858" s="11">
        <f>IFERROR(VLOOKUP($B858,Input!$AC$2:$AE$161,3,0),0)</f>
        <v>0</v>
      </c>
      <c r="V858" s="257">
        <f t="shared" si="150"/>
        <v>0</v>
      </c>
      <c r="W858" s="264">
        <f t="shared" si="151"/>
        <v>1.00858</v>
      </c>
      <c r="X858" s="68"/>
      <c r="Y858" s="68"/>
      <c r="Z858" s="68"/>
      <c r="AA858" s="68"/>
      <c r="AB858" s="68"/>
      <c r="AC858" s="68"/>
      <c r="AD858" s="68"/>
      <c r="AE858" s="68"/>
      <c r="AF858" s="68"/>
      <c r="AG858" s="68"/>
      <c r="AH858" s="68"/>
      <c r="AI858" s="68"/>
      <c r="AJ858" s="68">
        <v>1</v>
      </c>
      <c r="AL858" s="68">
        <v>1</v>
      </c>
      <c r="AM858" s="68"/>
      <c r="AN858" s="68"/>
      <c r="AO858" s="68"/>
      <c r="AQ858" s="68"/>
      <c r="AR858" s="68"/>
      <c r="AS858" s="68"/>
      <c r="AT858" s="68"/>
      <c r="AU858" s="68"/>
      <c r="AV858" s="68"/>
      <c r="AW858" s="68"/>
      <c r="AX858" s="68"/>
      <c r="AY858" s="68"/>
      <c r="AZ858" s="68"/>
      <c r="BB858" s="68"/>
      <c r="BC858" s="68"/>
      <c r="BJ858" s="68"/>
      <c r="BT858">
        <v>1</v>
      </c>
      <c r="BV858">
        <v>1</v>
      </c>
      <c r="BX858" s="68"/>
      <c r="BY858" s="68">
        <v>1</v>
      </c>
      <c r="BZ858" s="68">
        <v>0</v>
      </c>
      <c r="CA858" s="68">
        <v>0</v>
      </c>
      <c r="CB858" s="68">
        <v>0</v>
      </c>
      <c r="CC858" s="68">
        <f t="shared" si="152"/>
        <v>0</v>
      </c>
      <c r="CD858" s="68">
        <f t="shared" si="153"/>
        <v>0</v>
      </c>
    </row>
    <row r="859" spans="1:82" ht="15.75" customHeight="1" thickBot="1" x14ac:dyDescent="0.3">
      <c r="A859" s="6">
        <v>858</v>
      </c>
      <c r="B859" s="7" t="s">
        <v>550</v>
      </c>
      <c r="C859" s="7" t="s">
        <v>47</v>
      </c>
      <c r="D859" s="7" t="s">
        <v>53</v>
      </c>
      <c r="E859" s="50">
        <v>-270.52103567828999</v>
      </c>
      <c r="F859" s="50">
        <v>1.8266079545454501</v>
      </c>
      <c r="G859" s="50">
        <v>3.1197974999999998</v>
      </c>
      <c r="H859" s="50">
        <v>0</v>
      </c>
      <c r="I859" s="8" t="s">
        <v>1057</v>
      </c>
      <c r="J859" s="50">
        <v>2.98141284158263</v>
      </c>
      <c r="K859" s="248">
        <f>IFERROR(VLOOKUP(C859,Schedule!$T$3:$U$34,2,0),"FA")</f>
        <v>10</v>
      </c>
      <c r="L859" s="7" t="str">
        <f>D859&amp;COUNTIF(D$2:$D859,D859)</f>
        <v>QB77</v>
      </c>
      <c r="M859" s="50">
        <f t="array" ref="M859">IFERROR(F859-AVERAGE(VLOOKUP(D859,$D860:$F$885,3,0),INDEX($F860:$F$885,SMALL(IF(D859=$D860:$D$885,ROW($D860:$D$885)-ROW(D859)),2))),0)</f>
        <v>3.0840052206934976E-2</v>
      </c>
      <c r="N859" s="50">
        <f>IFERROR(IF(VLOOKUP($B859,Input!$AC$2:$AC$162,1,0)=$B859,0),F859)</f>
        <v>1.8266079545454501</v>
      </c>
      <c r="O859" s="50">
        <f>IFERROR(IF(VLOOKUP($B859,Input!$AC$2:$AC$162,1,0)=$B859,0,G859),G859)</f>
        <v>3.1197974999999998</v>
      </c>
      <c r="P859" s="50">
        <f>IF(N859=0,0,F859-AVERAGE(INDEX(F:F,MATCH(VLOOKUP(D859,Input!$A$14:$L$22,10,0),L:L,0)),INDEX(F:F,MATCH(VLOOKUP(D859,Input!$A$14:$L$22,11,0),L:L,0)),INDEX(F:F,MATCH(VLOOKUP(D859,Input!$A$14:$L$22,12,0),L:L,0)))+(0.01-ROW()*0.01))</f>
        <v>-279.10103567829015</v>
      </c>
      <c r="Q859" s="106">
        <f t="shared" si="148"/>
        <v>-9.6287887115041798E-2</v>
      </c>
      <c r="R859" s="8">
        <f>IF(VLOOKUP($D859,$X$14:$Y$19,2,0)&lt;=0,1,IF(Q859&lt;0,1,ROUNDUP(IF(Q859*('Draft Center'!$L$28+'Draft Center'!$L$78-'Draft Center'!$L$82)&lt;1,1,Q859*('Draft Center'!$L$28+'Draft Center'!$L$78-'Draft Center'!$L$82)),0)))</f>
        <v>1</v>
      </c>
      <c r="S859" s="8">
        <f>IF(A859&lt;Input!$B$10+0.1,IF(ROUNDUP(R859*Input!$C$10,0)=0,1,ROUNDUP(R859*Input!$C$10,0)),IF(A859&gt;Input!$B$11,IF(ROUNDUP(R859*Input!$C$11,0)=0,1,ROUNDUP(R859*Input!$C$11,0)),IF(ROUNDUP(R859,0)=0,1,ROUNDUP(R859,0))))</f>
        <v>1</v>
      </c>
      <c r="T859" s="8">
        <f t="shared" si="149"/>
        <v>1</v>
      </c>
      <c r="U859" s="8">
        <f>IFERROR(VLOOKUP($B859,Input!$AC$2:$AE$161,3,0),0)</f>
        <v>0</v>
      </c>
      <c r="V859" s="256">
        <f t="shared" si="150"/>
        <v>0</v>
      </c>
      <c r="W859" s="263">
        <f t="shared" si="151"/>
        <v>0</v>
      </c>
      <c r="X859" s="68"/>
      <c r="Y859" s="68"/>
      <c r="Z859" s="68"/>
      <c r="AA859" s="68"/>
      <c r="AB859" s="68"/>
      <c r="AC859" s="68"/>
      <c r="AD859" s="68"/>
      <c r="AE859" s="68"/>
      <c r="AF859" s="68"/>
      <c r="AG859" s="68"/>
      <c r="AH859" s="68"/>
      <c r="AI859" s="68"/>
      <c r="AJ859" s="68">
        <v>1</v>
      </c>
      <c r="AL859" s="68">
        <v>1</v>
      </c>
      <c r="AM859" s="68"/>
      <c r="AN859" s="68"/>
      <c r="AO859" s="68"/>
      <c r="AQ859" s="68"/>
      <c r="AR859" s="68"/>
      <c r="AS859" s="68"/>
      <c r="AT859" s="68"/>
      <c r="AU859" s="68"/>
      <c r="AV859" s="68"/>
      <c r="AW859" s="68"/>
      <c r="AX859" s="68"/>
      <c r="AY859" s="68"/>
      <c r="AZ859" s="68"/>
      <c r="BB859" s="68"/>
      <c r="BC859" s="68"/>
      <c r="BJ859" s="68"/>
      <c r="BT859">
        <v>1</v>
      </c>
      <c r="BV859">
        <v>1</v>
      </c>
      <c r="BX859" s="68"/>
      <c r="BY859" s="68">
        <v>1</v>
      </c>
      <c r="BZ859" s="68" t="s">
        <v>1057</v>
      </c>
      <c r="CA859" s="68" t="s">
        <v>1057</v>
      </c>
      <c r="CB859" s="68" t="s">
        <v>1057</v>
      </c>
      <c r="CC859" s="68" t="e">
        <f t="shared" si="152"/>
        <v>#DIV/0!</v>
      </c>
      <c r="CD859" s="68" t="str">
        <f t="shared" si="153"/>
        <v>NA</v>
      </c>
    </row>
    <row r="860" spans="1:82" ht="15.75" customHeight="1" thickBot="1" x14ac:dyDescent="0.3">
      <c r="A860" s="9">
        <v>859</v>
      </c>
      <c r="B860" s="10" t="s">
        <v>535</v>
      </c>
      <c r="C860" s="10" t="s">
        <v>48</v>
      </c>
      <c r="D860" s="10" t="s">
        <v>53</v>
      </c>
      <c r="E860" s="51">
        <v>-270.52472037684799</v>
      </c>
      <c r="F860" s="51">
        <v>1.82292325598739</v>
      </c>
      <c r="G860" s="51">
        <v>3.4280914893616998</v>
      </c>
      <c r="H860" s="51">
        <v>-0.74758299039780496</v>
      </c>
      <c r="I860" s="11">
        <v>0</v>
      </c>
      <c r="J860" s="51">
        <v>4.3337358679287501</v>
      </c>
      <c r="K860" s="249">
        <f>IFERROR(VLOOKUP(C860,Schedule!$T$3:$U$34,2,0),"FA")</f>
        <v>10</v>
      </c>
      <c r="L860" s="10" t="str">
        <f>D860&amp;COUNTIF(D$2:$D860,D860)</f>
        <v>QB78</v>
      </c>
      <c r="M860" s="51">
        <f t="array" ref="M860">IFERROR(F860-AVERAGE(VLOOKUP(D860,$D861:$F$885,3,0),INDEX($F861:$F$885,SMALL(IF(D860=$D861:$D$885,ROW($D861:$D$885)-ROW(D860)),2))),0)</f>
        <v>6.0597735763630034E-2</v>
      </c>
      <c r="N860" s="51">
        <f>IFERROR(IF(VLOOKUP($B860,Input!$AC$2:$AC$162,1,0)=$B860,0),F860)</f>
        <v>1.82292325598739</v>
      </c>
      <c r="O860" s="51">
        <f>IFERROR(IF(VLOOKUP($B860,Input!$AC$2:$AC$162,1,0)=$B860,0,G860),G860)</f>
        <v>3.4280914893616998</v>
      </c>
      <c r="P860" s="51">
        <f>IF(N860=0,0,F860-AVERAGE(INDEX(F:F,MATCH(VLOOKUP(D860,Input!$A$14:$L$22,10,0),L:L,0)),INDEX(F:F,MATCH(VLOOKUP(D860,Input!$A$14:$L$22,11,0),L:L,0)),INDEX(F:F,MATCH(VLOOKUP(D860,Input!$A$14:$L$22,12,0),L:L,0)))+(0.01-ROW()*0.01))</f>
        <v>-279.1147203768482</v>
      </c>
      <c r="Q860" s="107">
        <f t="shared" si="148"/>
        <v>-9.6292608239443078E-2</v>
      </c>
      <c r="R860" s="11">
        <f>IF(VLOOKUP($D860,$X$14:$Y$19,2,0)&lt;=0,1,IF(Q860&lt;0,1,ROUNDUP(IF(Q860*('Draft Center'!$L$28+'Draft Center'!$L$78-'Draft Center'!$L$82)&lt;1,1,Q860*('Draft Center'!$L$28+'Draft Center'!$L$78-'Draft Center'!$L$82)),0)))</f>
        <v>1</v>
      </c>
      <c r="S860" s="11">
        <f>IF(A860&lt;Input!$B$10+0.1,IF(ROUNDUP(R860*Input!$C$10,0)=0,1,ROUNDUP(R860*Input!$C$10,0)),IF(A860&gt;Input!$B$11,IF(ROUNDUP(R860*Input!$C$11,0)=0,1,ROUNDUP(R860*Input!$C$11,0)),IF(ROUNDUP(R860,0)=0,1,ROUNDUP(R860,0))))</f>
        <v>1</v>
      </c>
      <c r="T860" s="11">
        <f t="shared" si="149"/>
        <v>1</v>
      </c>
      <c r="U860" s="11">
        <f>IFERROR(VLOOKUP($B860,Input!$AC$2:$AE$161,3,0),0)</f>
        <v>0</v>
      </c>
      <c r="V860" s="257">
        <f t="shared" si="150"/>
        <v>0</v>
      </c>
      <c r="W860" s="264">
        <f t="shared" si="151"/>
        <v>1.0085999999999999</v>
      </c>
      <c r="X860" s="68"/>
      <c r="Y860" s="68"/>
      <c r="Z860" s="68"/>
      <c r="AA860" s="68"/>
      <c r="AB860" s="68"/>
      <c r="AC860" s="68"/>
      <c r="AD860" s="68"/>
      <c r="AE860" s="68"/>
      <c r="AF860" s="68"/>
      <c r="AG860" s="68"/>
      <c r="AH860" s="68"/>
      <c r="AI860" s="68"/>
      <c r="AJ860" s="68">
        <v>1</v>
      </c>
      <c r="AL860" s="68">
        <v>1</v>
      </c>
      <c r="AM860" s="68"/>
      <c r="AN860" s="68"/>
      <c r="AO860" s="68"/>
      <c r="AQ860" s="68"/>
      <c r="AR860" s="68"/>
      <c r="AS860" s="68"/>
      <c r="AT860" s="68"/>
      <c r="AU860" s="68"/>
      <c r="AV860" s="68"/>
      <c r="AW860" s="68"/>
      <c r="AX860" s="68"/>
      <c r="AY860" s="68"/>
      <c r="AZ860" s="68"/>
      <c r="BB860" s="68"/>
      <c r="BC860" s="68"/>
      <c r="BJ860" s="68"/>
      <c r="BT860">
        <v>1</v>
      </c>
      <c r="BV860">
        <v>1</v>
      </c>
      <c r="BX860" s="68"/>
      <c r="BY860" s="68">
        <v>1</v>
      </c>
      <c r="BZ860" s="68">
        <v>0</v>
      </c>
      <c r="CA860" s="68">
        <v>0</v>
      </c>
      <c r="CB860" s="68">
        <v>0</v>
      </c>
      <c r="CC860" s="68">
        <f t="shared" si="152"/>
        <v>0</v>
      </c>
      <c r="CD860" s="68">
        <f t="shared" si="153"/>
        <v>0</v>
      </c>
    </row>
    <row r="861" spans="1:82" ht="15.75" customHeight="1" thickBot="1" x14ac:dyDescent="0.3">
      <c r="A861" s="6">
        <v>860</v>
      </c>
      <c r="B861" s="7" t="s">
        <v>552</v>
      </c>
      <c r="C861" s="7" t="s">
        <v>927</v>
      </c>
      <c r="D861" s="7" t="s">
        <v>53</v>
      </c>
      <c r="E861" s="50">
        <v>-270.57903108414598</v>
      </c>
      <c r="F861" s="50">
        <v>1.76861254868964</v>
      </c>
      <c r="G861" s="50">
        <v>3.3393950090988298</v>
      </c>
      <c r="H861" s="50">
        <v>3.4430727023319302E-3</v>
      </c>
      <c r="I861" s="8">
        <v>0</v>
      </c>
      <c r="J861" s="50">
        <v>3.65460137647479</v>
      </c>
      <c r="K861" s="248">
        <f>IFERROR(VLOOKUP(C861,Schedule!$T$3:$U$34,2,0),"FA")</f>
        <v>9</v>
      </c>
      <c r="L861" s="7" t="str">
        <f>D861&amp;COUNTIF(D$2:$D861,D861)</f>
        <v>QB79</v>
      </c>
      <c r="M861" s="50">
        <f t="array" ref="M861">IFERROR(F861-AVERAGE(VLOOKUP(D861,$D862:$F$885,3,0),INDEX($F862:$F$885,SMALL(IF(D861=$D862:$D$885,ROW($D862:$D$885)-ROW(D861)),2))),0)</f>
        <v>3.1008075537974911E-2</v>
      </c>
      <c r="N861" s="50">
        <f>IFERROR(IF(VLOOKUP($B861,Input!$AC$2:$AC$162,1,0)=$B861,0),F861)</f>
        <v>1.76861254868964</v>
      </c>
      <c r="O861" s="50">
        <f>IFERROR(IF(VLOOKUP($B861,Input!$AC$2:$AC$162,1,0)=$B861,0,G861),G861)</f>
        <v>3.3393950090988298</v>
      </c>
      <c r="P861" s="50">
        <f>IF(N861=0,0,F861-AVERAGE(INDEX(F:F,MATCH(VLOOKUP(D861,Input!$A$14:$L$22,10,0),L:L,0)),INDEX(F:F,MATCH(VLOOKUP(D861,Input!$A$14:$L$22,11,0),L:L,0)),INDEX(F:F,MATCH(VLOOKUP(D861,Input!$A$14:$L$22,12,0),L:L,0)))+(0.01-ROW()*0.01))</f>
        <v>-279.179031084146</v>
      </c>
      <c r="Q861" s="106">
        <f t="shared" si="148"/>
        <v>-9.6314794979486987E-2</v>
      </c>
      <c r="R861" s="8">
        <f>IF(VLOOKUP($D861,$X$14:$Y$19,2,0)&lt;=0,1,IF(Q861&lt;0,1,ROUNDUP(IF(Q861*('Draft Center'!$L$28+'Draft Center'!$L$78-'Draft Center'!$L$82)&lt;1,1,Q861*('Draft Center'!$L$28+'Draft Center'!$L$78-'Draft Center'!$L$82)),0)))</f>
        <v>1</v>
      </c>
      <c r="S861" s="8">
        <f>IF(A861&lt;Input!$B$10+0.1,IF(ROUNDUP(R861*Input!$C$10,0)=0,1,ROUNDUP(R861*Input!$C$10,0)),IF(A861&gt;Input!$B$11,IF(ROUNDUP(R861*Input!$C$11,0)=0,1,ROUNDUP(R861*Input!$C$11,0)),IF(ROUNDUP(R861,0)=0,1,ROUNDUP(R861,0))))</f>
        <v>1</v>
      </c>
      <c r="T861" s="8">
        <f t="shared" si="149"/>
        <v>1</v>
      </c>
      <c r="U861" s="8">
        <f>IFERROR(VLOOKUP($B861,Input!$AC$2:$AE$161,3,0),0)</f>
        <v>0</v>
      </c>
      <c r="V861" s="256">
        <f t="shared" si="150"/>
        <v>0</v>
      </c>
      <c r="W861" s="263">
        <f t="shared" si="151"/>
        <v>1.00861</v>
      </c>
      <c r="X861" s="68"/>
      <c r="Y861" s="68"/>
      <c r="Z861" s="68"/>
      <c r="AA861" s="68"/>
      <c r="AB861" s="68"/>
      <c r="AC861" s="68"/>
      <c r="AD861" s="68"/>
      <c r="AE861" s="68"/>
      <c r="AF861" s="68"/>
      <c r="AG861" s="68"/>
      <c r="AH861" s="68"/>
      <c r="AI861" s="68"/>
      <c r="AJ861" s="68">
        <v>1</v>
      </c>
      <c r="AL861" s="68">
        <v>1</v>
      </c>
      <c r="AM861" s="68"/>
      <c r="AN861" s="68"/>
      <c r="AO861" s="68"/>
      <c r="AQ861" s="68"/>
      <c r="AR861" s="68"/>
      <c r="AS861" s="68"/>
      <c r="AT861" s="68"/>
      <c r="AU861" s="68"/>
      <c r="AV861" s="68"/>
      <c r="AW861" s="68"/>
      <c r="AX861" s="68"/>
      <c r="AY861" s="68"/>
      <c r="AZ861" s="68"/>
      <c r="BB861" s="68"/>
      <c r="BC861" s="68"/>
      <c r="BJ861" s="68"/>
      <c r="BT861">
        <v>1</v>
      </c>
      <c r="BV861">
        <v>1</v>
      </c>
      <c r="BX861" s="68"/>
      <c r="BY861" s="68">
        <v>1</v>
      </c>
      <c r="BZ861" s="68">
        <v>0</v>
      </c>
      <c r="CA861" s="68">
        <v>0</v>
      </c>
      <c r="CB861" s="68">
        <v>0</v>
      </c>
      <c r="CC861" s="68">
        <f t="shared" si="152"/>
        <v>0</v>
      </c>
      <c r="CD861" s="68">
        <f t="shared" si="153"/>
        <v>0</v>
      </c>
    </row>
    <row r="862" spans="1:82" ht="15.75" customHeight="1" thickBot="1" x14ac:dyDescent="0.3">
      <c r="A862" s="9">
        <v>861</v>
      </c>
      <c r="B862" s="10" t="s">
        <v>560</v>
      </c>
      <c r="C862" s="10" t="s">
        <v>61</v>
      </c>
      <c r="D862" s="10" t="s">
        <v>53</v>
      </c>
      <c r="E862" s="51">
        <v>-270.59160514107799</v>
      </c>
      <c r="F862" s="51">
        <v>1.75603849175788</v>
      </c>
      <c r="G862" s="51">
        <v>3.82142514415801</v>
      </c>
      <c r="H862" s="51">
        <v>0</v>
      </c>
      <c r="I862" s="11" t="s">
        <v>1057</v>
      </c>
      <c r="J862" s="51">
        <v>3.1301561326101499</v>
      </c>
      <c r="K862" s="249">
        <f>IFERROR(VLOOKUP(C862,Schedule!$T$3:$U$34,2,0),"FA")</f>
        <v>5</v>
      </c>
      <c r="L862" s="10" t="str">
        <f>D862&amp;COUNTIF(D$2:$D862,D862)</f>
        <v>QB80</v>
      </c>
      <c r="M862" s="51">
        <f t="array" ref="M862">IFERROR(F862-AVERAGE(VLOOKUP(D862,$D863:$F$885,3,0),INDEX($F863:$F$885,SMALL(IF(D862=$D863:$D$885,ROW($D863:$D$885)-ROW(D862)),2))),0)</f>
        <v>0.2094848145537398</v>
      </c>
      <c r="N862" s="51">
        <f>IFERROR(IF(VLOOKUP($B862,Input!$AC$2:$AC$162,1,0)=$B862,0),F862)</f>
        <v>1.75603849175788</v>
      </c>
      <c r="O862" s="51">
        <f>IFERROR(IF(VLOOKUP($B862,Input!$AC$2:$AC$162,1,0)=$B862,0,G862),G862)</f>
        <v>3.82142514415801</v>
      </c>
      <c r="P862" s="51">
        <f>IF(N862=0,0,F862-AVERAGE(INDEX(F:F,MATCH(VLOOKUP(D862,Input!$A$14:$L$22,10,0),L:L,0)),INDEX(F:F,MATCH(VLOOKUP(D862,Input!$A$14:$L$22,11,0),L:L,0)),INDEX(F:F,MATCH(VLOOKUP(D862,Input!$A$14:$L$22,12,0),L:L,0)))+(0.01-ROW()*0.01))</f>
        <v>-279.20160514107778</v>
      </c>
      <c r="Q862" s="107">
        <f t="shared" si="148"/>
        <v>-9.6322582869776574E-2</v>
      </c>
      <c r="R862" s="11">
        <f>IF(VLOOKUP($D862,$X$14:$Y$19,2,0)&lt;=0,1,IF(Q862&lt;0,1,ROUNDUP(IF(Q862*('Draft Center'!$L$28+'Draft Center'!$L$78-'Draft Center'!$L$82)&lt;1,1,Q862*('Draft Center'!$L$28+'Draft Center'!$L$78-'Draft Center'!$L$82)),0)))</f>
        <v>1</v>
      </c>
      <c r="S862" s="11">
        <f>IF(A862&lt;Input!$B$10+0.1,IF(ROUNDUP(R862*Input!$C$10,0)=0,1,ROUNDUP(R862*Input!$C$10,0)),IF(A862&gt;Input!$B$11,IF(ROUNDUP(R862*Input!$C$11,0)=0,1,ROUNDUP(R862*Input!$C$11,0)),IF(ROUNDUP(R862,0)=0,1,ROUNDUP(R862,0))))</f>
        <v>1</v>
      </c>
      <c r="T862" s="11">
        <f t="shared" si="149"/>
        <v>1</v>
      </c>
      <c r="U862" s="11">
        <f>IFERROR(VLOOKUP($B862,Input!$AC$2:$AE$161,3,0),0)</f>
        <v>0</v>
      </c>
      <c r="V862" s="257">
        <f t="shared" si="150"/>
        <v>0</v>
      </c>
      <c r="W862" s="264">
        <f t="shared" si="151"/>
        <v>0</v>
      </c>
      <c r="X862" s="68"/>
      <c r="Y862" s="68"/>
      <c r="Z862" s="68"/>
      <c r="AA862" s="68"/>
      <c r="AB862" s="68"/>
      <c r="AC862" s="68"/>
      <c r="AD862" s="68"/>
      <c r="AE862" s="68"/>
      <c r="AF862" s="68"/>
      <c r="AG862" s="68"/>
      <c r="AH862" s="68"/>
      <c r="AI862" s="68"/>
      <c r="AJ862" s="68">
        <v>1</v>
      </c>
      <c r="AL862" s="68">
        <v>1</v>
      </c>
      <c r="AM862" s="68"/>
      <c r="AN862" s="68"/>
      <c r="AO862" s="68"/>
      <c r="AQ862" s="68"/>
      <c r="AR862" s="68"/>
      <c r="AS862" s="68"/>
      <c r="AT862" s="68"/>
      <c r="AU862" s="68"/>
      <c r="AV862" s="68"/>
      <c r="AW862" s="68"/>
      <c r="AX862" s="68"/>
      <c r="AY862" s="68"/>
      <c r="AZ862" s="68"/>
      <c r="BB862" s="68"/>
      <c r="BC862" s="68"/>
      <c r="BJ862" s="68"/>
      <c r="BT862">
        <v>1</v>
      </c>
      <c r="BV862">
        <v>1</v>
      </c>
      <c r="BX862" s="68"/>
      <c r="BY862" s="68">
        <v>1</v>
      </c>
      <c r="BZ862" s="68" t="s">
        <v>1057</v>
      </c>
      <c r="CA862" s="68" t="s">
        <v>1057</v>
      </c>
      <c r="CB862" s="68" t="s">
        <v>1057</v>
      </c>
      <c r="CC862" s="68" t="e">
        <f t="shared" si="152"/>
        <v>#DIV/0!</v>
      </c>
      <c r="CD862" s="68" t="str">
        <f t="shared" si="153"/>
        <v>NA</v>
      </c>
    </row>
    <row r="863" spans="1:82" ht="15.75" customHeight="1" thickBot="1" x14ac:dyDescent="0.3">
      <c r="A863" s="6">
        <v>862</v>
      </c>
      <c r="B863" s="7" t="s">
        <v>554</v>
      </c>
      <c r="C863" s="7" t="s">
        <v>61</v>
      </c>
      <c r="D863" s="7" t="s">
        <v>53</v>
      </c>
      <c r="E863" s="50">
        <v>-270.62847317828999</v>
      </c>
      <c r="F863" s="50">
        <v>1.71917045454545</v>
      </c>
      <c r="G863" s="50">
        <v>2.5402249240121599</v>
      </c>
      <c r="H863" s="50">
        <v>-6.0000000000000102E-2</v>
      </c>
      <c r="I863" s="8">
        <v>0</v>
      </c>
      <c r="J863" s="50">
        <v>4.8016455570251599</v>
      </c>
      <c r="K863" s="248">
        <f>IFERROR(VLOOKUP(C863,Schedule!$T$3:$U$34,2,0),"FA")</f>
        <v>5</v>
      </c>
      <c r="L863" s="7" t="str">
        <f>D863&amp;COUNTIF(D$2:$D863,D863)</f>
        <v>QB81</v>
      </c>
      <c r="M863" s="50">
        <f t="array" ref="M863">IFERROR(F863-AVERAGE(VLOOKUP(D863,$D864:$F$885,3,0),INDEX($F864:$F$885,SMALL(IF(D863=$D864:$D$885,ROW($D864:$D$885)-ROW(D863)),2))),0)</f>
        <v>0.44399898678139005</v>
      </c>
      <c r="N863" s="50">
        <f>IFERROR(IF(VLOOKUP($B863,Input!$AC$2:$AC$162,1,0)=$B863,0),F863)</f>
        <v>1.71917045454545</v>
      </c>
      <c r="O863" s="50">
        <f>IFERROR(IF(VLOOKUP($B863,Input!$AC$2:$AC$162,1,0)=$B863,0,G863),G863)</f>
        <v>2.5402249240121599</v>
      </c>
      <c r="P863" s="50">
        <f>IF(N863=0,0,F863-AVERAGE(INDEX(F:F,MATCH(VLOOKUP(D863,Input!$A$14:$L$22,10,0),L:L,0)),INDEX(F:F,MATCH(VLOOKUP(D863,Input!$A$14:$L$22,11,0),L:L,0)),INDEX(F:F,MATCH(VLOOKUP(D863,Input!$A$14:$L$22,12,0),L:L,0)))+(0.01-ROW()*0.01))</f>
        <v>-279.24847317829017</v>
      </c>
      <c r="Q863" s="106">
        <f t="shared" si="148"/>
        <v>-9.6338752011770057E-2</v>
      </c>
      <c r="R863" s="8">
        <f>IF(VLOOKUP($D863,$X$14:$Y$19,2,0)&lt;=0,1,IF(Q863&lt;0,1,ROUNDUP(IF(Q863*('Draft Center'!$L$28+'Draft Center'!$L$78-'Draft Center'!$L$82)&lt;1,1,Q863*('Draft Center'!$L$28+'Draft Center'!$L$78-'Draft Center'!$L$82)),0)))</f>
        <v>1</v>
      </c>
      <c r="S863" s="8">
        <f>IF(A863&lt;Input!$B$10+0.1,IF(ROUNDUP(R863*Input!$C$10,0)=0,1,ROUNDUP(R863*Input!$C$10,0)),IF(A863&gt;Input!$B$11,IF(ROUNDUP(R863*Input!$C$11,0)=0,1,ROUNDUP(R863*Input!$C$11,0)),IF(ROUNDUP(R863,0)=0,1,ROUNDUP(R863,0))))</f>
        <v>1</v>
      </c>
      <c r="T863" s="8">
        <f t="shared" si="149"/>
        <v>1</v>
      </c>
      <c r="U863" s="8">
        <f>IFERROR(VLOOKUP($B863,Input!$AC$2:$AE$161,3,0),0)</f>
        <v>0</v>
      </c>
      <c r="V863" s="256">
        <f t="shared" si="150"/>
        <v>0</v>
      </c>
      <c r="W863" s="263">
        <f t="shared" si="151"/>
        <v>1.0086299999999999</v>
      </c>
      <c r="X863" s="68"/>
      <c r="Y863" s="68"/>
      <c r="Z863" s="68"/>
      <c r="AA863" s="68"/>
      <c r="AB863" s="68"/>
      <c r="AC863" s="68"/>
      <c r="AD863" s="68"/>
      <c r="AE863" s="68"/>
      <c r="AF863" s="68"/>
      <c r="AG863" s="68"/>
      <c r="AH863" s="68"/>
      <c r="AI863" s="68"/>
      <c r="AJ863" s="68">
        <v>1</v>
      </c>
      <c r="AL863" s="68">
        <v>1</v>
      </c>
      <c r="AM863" s="68"/>
      <c r="AN863" s="68"/>
      <c r="AO863" s="68"/>
      <c r="AQ863" s="68"/>
      <c r="AR863" s="68"/>
      <c r="AS863" s="68"/>
      <c r="AT863" s="68"/>
      <c r="AU863" s="68"/>
      <c r="AV863" s="68"/>
      <c r="AW863" s="68"/>
      <c r="AX863" s="68"/>
      <c r="AY863" s="68"/>
      <c r="AZ863" s="68"/>
      <c r="BB863" s="68"/>
      <c r="BC863" s="68"/>
      <c r="BJ863" s="68"/>
      <c r="BT863">
        <v>1</v>
      </c>
      <c r="BV863">
        <v>1</v>
      </c>
      <c r="BX863" s="68"/>
      <c r="BY863" s="68">
        <v>1</v>
      </c>
      <c r="BZ863" s="68">
        <v>0</v>
      </c>
      <c r="CA863" s="68">
        <v>0</v>
      </c>
      <c r="CB863" s="68">
        <v>0</v>
      </c>
      <c r="CC863" s="68">
        <f t="shared" si="152"/>
        <v>0</v>
      </c>
      <c r="CD863" s="68">
        <f t="shared" si="153"/>
        <v>0</v>
      </c>
    </row>
    <row r="864" spans="1:82" ht="15.75" customHeight="1" thickBot="1" x14ac:dyDescent="0.3">
      <c r="A864" s="9">
        <v>863</v>
      </c>
      <c r="B864" s="10" t="s">
        <v>1055</v>
      </c>
      <c r="C864" s="10" t="s">
        <v>83</v>
      </c>
      <c r="D864" s="10" t="s">
        <v>53</v>
      </c>
      <c r="E864" s="51">
        <v>-270.97370673297303</v>
      </c>
      <c r="F864" s="51">
        <v>1.3739368998628301</v>
      </c>
      <c r="G864" s="51">
        <v>2.0476459999999999</v>
      </c>
      <c r="H864" s="51">
        <v>0</v>
      </c>
      <c r="I864" s="11">
        <v>0</v>
      </c>
      <c r="J864" s="51">
        <v>2.8541201764805302</v>
      </c>
      <c r="K864" s="249">
        <f>IFERROR(VLOOKUP(C864,Schedule!$T$3:$U$34,2,0),"FA")</f>
        <v>5</v>
      </c>
      <c r="L864" s="10" t="str">
        <f>D864&amp;COUNTIF(D$2:$D864,D864)</f>
        <v>QB82</v>
      </c>
      <c r="M864" s="51">
        <f t="array" ref="M864">IFERROR(F864-AVERAGE(VLOOKUP(D864,$D865:$F$885,3,0),INDEX($F865:$F$885,SMALL(IF(D864=$D865:$D$885,ROW($D865:$D$885)-ROW(D864)),2))),0)</f>
        <v>0.25020576131687999</v>
      </c>
      <c r="N864" s="51">
        <f>IFERROR(IF(VLOOKUP($B864,Input!$AC$2:$AC$162,1,0)=$B864,0),F864)</f>
        <v>1.3739368998628301</v>
      </c>
      <c r="O864" s="51">
        <f>IFERROR(IF(VLOOKUP($B864,Input!$AC$2:$AC$162,1,0)=$B864,0,G864),G864)</f>
        <v>2.0476459999999999</v>
      </c>
      <c r="P864" s="51">
        <f>IF(N864=0,0,F864-AVERAGE(INDEX(F:F,MATCH(VLOOKUP(D864,Input!$A$14:$L$22,10,0),L:L,0)),INDEX(F:F,MATCH(VLOOKUP(D864,Input!$A$14:$L$22,11,0),L:L,0)),INDEX(F:F,MATCH(VLOOKUP(D864,Input!$A$14:$L$22,12,0),L:L,0)))+(0.01-ROW()*0.01))</f>
        <v>-279.6037067329728</v>
      </c>
      <c r="Q864" s="107">
        <f t="shared" si="148"/>
        <v>-9.6461305080516757E-2</v>
      </c>
      <c r="R864" s="11">
        <f>IF(VLOOKUP($D864,$X$14:$Y$19,2,0)&lt;=0,1,IF(Q864&lt;0,1,ROUNDUP(IF(Q864*('Draft Center'!$L$28+'Draft Center'!$L$78-'Draft Center'!$L$82)&lt;1,1,Q864*('Draft Center'!$L$28+'Draft Center'!$L$78-'Draft Center'!$L$82)),0)))</f>
        <v>1</v>
      </c>
      <c r="S864" s="11">
        <f>IF(A864&lt;Input!$B$10+0.1,IF(ROUNDUP(R864*Input!$C$10,0)=0,1,ROUNDUP(R864*Input!$C$10,0)),IF(A864&gt;Input!$B$11,IF(ROUNDUP(R864*Input!$C$11,0)=0,1,ROUNDUP(R864*Input!$C$11,0)),IF(ROUNDUP(R864,0)=0,1,ROUNDUP(R864,0))))</f>
        <v>1</v>
      </c>
      <c r="T864" s="11">
        <f t="shared" si="149"/>
        <v>1</v>
      </c>
      <c r="U864" s="11">
        <f>IFERROR(VLOOKUP($B864,Input!$AC$2:$AE$161,3,0),0)</f>
        <v>0</v>
      </c>
      <c r="V864" s="257">
        <f t="shared" si="150"/>
        <v>0</v>
      </c>
      <c r="W864" s="264">
        <f t="shared" si="151"/>
        <v>1.00864</v>
      </c>
      <c r="X864" s="68"/>
      <c r="Y864" s="68"/>
      <c r="Z864" s="68"/>
      <c r="AA864" s="68"/>
      <c r="AB864" s="68"/>
      <c r="AC864" s="68"/>
      <c r="AD864" s="68"/>
      <c r="AE864" s="68"/>
      <c r="AF864" s="68"/>
      <c r="AG864" s="68"/>
      <c r="AH864" s="68"/>
      <c r="AI864" s="68"/>
      <c r="AJ864" s="68">
        <v>1</v>
      </c>
      <c r="AL864" s="68">
        <v>1</v>
      </c>
      <c r="AM864" s="68"/>
      <c r="AN864" s="68"/>
      <c r="AO864" s="68"/>
      <c r="AQ864" s="68"/>
      <c r="AR864" s="68"/>
      <c r="AS864" s="68"/>
      <c r="AT864" s="68"/>
      <c r="AU864" s="68"/>
      <c r="AV864" s="68"/>
      <c r="AW864" s="68"/>
      <c r="AX864" s="68"/>
      <c r="AY864" s="68"/>
      <c r="AZ864" s="68"/>
      <c r="BB864" s="68"/>
      <c r="BC864" s="68"/>
      <c r="BJ864" s="68"/>
      <c r="BT864">
        <v>1</v>
      </c>
      <c r="BV864">
        <v>1</v>
      </c>
      <c r="BX864" s="68"/>
      <c r="BY864" s="68">
        <v>1</v>
      </c>
      <c r="BZ864" s="68">
        <v>0</v>
      </c>
      <c r="CA864" s="68">
        <v>0</v>
      </c>
      <c r="CB864" s="68">
        <v>0</v>
      </c>
      <c r="CC864" s="68">
        <f t="shared" si="152"/>
        <v>0</v>
      </c>
      <c r="CD864" s="68">
        <f t="shared" si="153"/>
        <v>0</v>
      </c>
    </row>
    <row r="865" spans="1:82" ht="15.75" customHeight="1" thickBot="1" x14ac:dyDescent="0.3">
      <c r="A865" s="6">
        <v>864</v>
      </c>
      <c r="B865" s="7" t="s">
        <v>814</v>
      </c>
      <c r="C865" s="7" t="s">
        <v>42</v>
      </c>
      <c r="D865" s="7" t="s">
        <v>53</v>
      </c>
      <c r="E865" s="50">
        <v>-271.17123759716998</v>
      </c>
      <c r="F865" s="50">
        <v>1.1764060356652899</v>
      </c>
      <c r="G865" s="50">
        <v>1.5769120000000001</v>
      </c>
      <c r="H865" s="50">
        <v>0</v>
      </c>
      <c r="I865" s="8">
        <v>0</v>
      </c>
      <c r="J865" s="50">
        <v>4.0609263266281603</v>
      </c>
      <c r="K865" s="248">
        <f>IFERROR(VLOOKUP(C865,Schedule!$T$3:$U$34,2,0),"FA")</f>
        <v>9</v>
      </c>
      <c r="L865" s="7" t="str">
        <f>D865&amp;COUNTIF(D$2:$D865,D865)</f>
        <v>QB83</v>
      </c>
      <c r="M865" s="50">
        <f t="array" ref="M865">IFERROR(F865-AVERAGE(VLOOKUP(D865,$D866:$F$885,3,0),INDEX($F866:$F$885,SMALL(IF(D865=$D866:$D$885,ROW($D866:$D$885)-ROW(D865)),2))),0)</f>
        <v>0.18765432098765045</v>
      </c>
      <c r="N865" s="50">
        <f>IFERROR(IF(VLOOKUP($B865,Input!$AC$2:$AC$162,1,0)=$B865,0),F865)</f>
        <v>1.1764060356652899</v>
      </c>
      <c r="O865" s="50">
        <f>IFERROR(IF(VLOOKUP($B865,Input!$AC$2:$AC$162,1,0)=$B865,0,G865),G865)</f>
        <v>1.5769120000000001</v>
      </c>
      <c r="P865" s="50">
        <f>IF(N865=0,0,F865-AVERAGE(INDEX(F:F,MATCH(VLOOKUP(D865,Input!$A$14:$L$22,10,0),L:L,0)),INDEX(F:F,MATCH(VLOOKUP(D865,Input!$A$14:$L$22,11,0),L:L,0)),INDEX(F:F,MATCH(VLOOKUP(D865,Input!$A$14:$L$22,12,0),L:L,0)))+(0.01-ROW()*0.01))</f>
        <v>-279.8112375971703</v>
      </c>
      <c r="Q865" s="106">
        <f t="shared" si="148"/>
        <v>-9.6532901763689838E-2</v>
      </c>
      <c r="R865" s="8">
        <f>IF(VLOOKUP($D865,$X$14:$Y$19,2,0)&lt;=0,1,IF(Q865&lt;0,1,ROUNDUP(IF(Q865*('Draft Center'!$L$28+'Draft Center'!$L$78-'Draft Center'!$L$82)&lt;1,1,Q865*('Draft Center'!$L$28+'Draft Center'!$L$78-'Draft Center'!$L$82)),0)))</f>
        <v>1</v>
      </c>
      <c r="S865" s="8">
        <f>IF(A865&lt;Input!$B$10+0.1,IF(ROUNDUP(R865*Input!$C$10,0)=0,1,ROUNDUP(R865*Input!$C$10,0)),IF(A865&gt;Input!$B$11,IF(ROUNDUP(R865*Input!$C$11,0)=0,1,ROUNDUP(R865*Input!$C$11,0)),IF(ROUNDUP(R865,0)=0,1,ROUNDUP(R865,0))))</f>
        <v>1</v>
      </c>
      <c r="T865" s="8">
        <f t="shared" si="149"/>
        <v>1</v>
      </c>
      <c r="U865" s="8">
        <f>IFERROR(VLOOKUP($B865,Input!$AC$2:$AE$161,3,0),0)</f>
        <v>0</v>
      </c>
      <c r="V865" s="256">
        <f t="shared" si="150"/>
        <v>0</v>
      </c>
      <c r="W865" s="263">
        <f t="shared" si="151"/>
        <v>1.00865</v>
      </c>
      <c r="X865" s="68"/>
      <c r="Y865" s="68"/>
      <c r="Z865" s="68"/>
      <c r="AA865" s="68"/>
      <c r="AB865" s="68"/>
      <c r="AC865" s="68"/>
      <c r="AD865" s="68"/>
      <c r="AE865" s="68"/>
      <c r="AF865" s="68"/>
      <c r="AG865" s="68"/>
      <c r="AH865" s="68"/>
      <c r="AI865" s="68"/>
      <c r="AJ865" s="68">
        <v>1</v>
      </c>
      <c r="AL865" s="68">
        <v>1</v>
      </c>
      <c r="AM865" s="68"/>
      <c r="AN865" s="68"/>
      <c r="AO865" s="68"/>
      <c r="AQ865" s="68"/>
      <c r="AR865" s="68"/>
      <c r="AS865" s="68"/>
      <c r="AT865" s="68"/>
      <c r="AU865" s="68"/>
      <c r="AV865" s="68"/>
      <c r="AW865" s="68"/>
      <c r="AX865" s="68"/>
      <c r="AY865" s="68"/>
      <c r="AZ865" s="68"/>
      <c r="BB865" s="68"/>
      <c r="BC865" s="68"/>
      <c r="BJ865" s="68"/>
      <c r="BT865">
        <v>1</v>
      </c>
      <c r="BV865">
        <v>1</v>
      </c>
      <c r="BX865" s="68"/>
      <c r="BY865" s="68">
        <v>1</v>
      </c>
      <c r="BZ865" s="68">
        <v>0</v>
      </c>
      <c r="CA865" s="68">
        <v>0</v>
      </c>
      <c r="CB865" s="68">
        <v>0</v>
      </c>
      <c r="CC865" s="68">
        <f t="shared" si="152"/>
        <v>0</v>
      </c>
      <c r="CD865" s="68">
        <f t="shared" si="153"/>
        <v>0</v>
      </c>
    </row>
    <row r="866" spans="1:82" ht="15.75" customHeight="1" thickBot="1" x14ac:dyDescent="0.3">
      <c r="A866" s="9">
        <v>865</v>
      </c>
      <c r="B866" s="10" t="s">
        <v>570</v>
      </c>
      <c r="C866" s="10" t="s">
        <v>85</v>
      </c>
      <c r="D866" s="10" t="s">
        <v>53</v>
      </c>
      <c r="E866" s="51">
        <v>-271.27658739140901</v>
      </c>
      <c r="F866" s="51">
        <v>1.07105624142661</v>
      </c>
      <c r="G866" s="51">
        <v>1.5962479999999999</v>
      </c>
      <c r="H866" s="51">
        <v>0</v>
      </c>
      <c r="I866" s="11">
        <v>0</v>
      </c>
      <c r="J866" s="51">
        <v>2.7780184747855201</v>
      </c>
      <c r="K866" s="249">
        <f>IFERROR(VLOOKUP(C866,Schedule!$T$3:$U$34,2,0),"FA")</f>
        <v>11</v>
      </c>
      <c r="L866" s="10" t="str">
        <f>D866&amp;COUNTIF(D$2:$D866,D866)</f>
        <v>QB84</v>
      </c>
      <c r="M866" s="51">
        <f t="array" ref="M866">IFERROR(F866-AVERAGE(VLOOKUP(D866,$D867:$F$885,3,0),INDEX($F867:$F$885,SMALL(IF(D866=$D867:$D$885,ROW($D867:$D$885)-ROW(D866)),2))),0)</f>
        <v>0.24651550460513261</v>
      </c>
      <c r="N866" s="51">
        <f>IFERROR(IF(VLOOKUP($B866,Input!$AC$2:$AC$162,1,0)=$B866,0),F866)</f>
        <v>1.07105624142661</v>
      </c>
      <c r="O866" s="51">
        <f>IFERROR(IF(VLOOKUP($B866,Input!$AC$2:$AC$162,1,0)=$B866,0,G866),G866)</f>
        <v>1.5962479999999999</v>
      </c>
      <c r="P866" s="51">
        <f>IF(N866=0,0,F866-AVERAGE(INDEX(F:F,MATCH(VLOOKUP(D866,Input!$A$14:$L$22,10,0),L:L,0)),INDEX(F:F,MATCH(VLOOKUP(D866,Input!$A$14:$L$22,11,0),L:L,0)),INDEX(F:F,MATCH(VLOOKUP(D866,Input!$A$14:$L$22,12,0),L:L,0)))+(0.01-ROW()*0.01))</f>
        <v>-279.92658739140899</v>
      </c>
      <c r="Q866" s="107">
        <f t="shared" si="148"/>
        <v>-9.6572696628439827E-2</v>
      </c>
      <c r="R866" s="11">
        <f>IF(VLOOKUP($D866,$X$14:$Y$19,2,0)&lt;=0,1,IF(Q866&lt;0,1,ROUNDUP(IF(Q866*('Draft Center'!$L$28+'Draft Center'!$L$78-'Draft Center'!$L$82)&lt;1,1,Q866*('Draft Center'!$L$28+'Draft Center'!$L$78-'Draft Center'!$L$82)),0)))</f>
        <v>1</v>
      </c>
      <c r="S866" s="11">
        <f>IF(A866&lt;Input!$B$10+0.1,IF(ROUNDUP(R866*Input!$C$10,0)=0,1,ROUNDUP(R866*Input!$C$10,0)),IF(A866&gt;Input!$B$11,IF(ROUNDUP(R866*Input!$C$11,0)=0,1,ROUNDUP(R866*Input!$C$11,0)),IF(ROUNDUP(R866,0)=0,1,ROUNDUP(R866,0))))</f>
        <v>1</v>
      </c>
      <c r="T866" s="11">
        <f t="shared" si="149"/>
        <v>1</v>
      </c>
      <c r="U866" s="11">
        <f>IFERROR(VLOOKUP($B866,Input!$AC$2:$AE$161,3,0),0)</f>
        <v>0</v>
      </c>
      <c r="V866" s="257">
        <f t="shared" si="150"/>
        <v>0</v>
      </c>
      <c r="W866" s="264">
        <f t="shared" si="151"/>
        <v>1.0086599999999999</v>
      </c>
      <c r="X866" s="68"/>
      <c r="Y866" s="68"/>
      <c r="Z866" s="68"/>
      <c r="AA866" s="68"/>
      <c r="AB866" s="68"/>
      <c r="AC866" s="68"/>
      <c r="AD866" s="68"/>
      <c r="AE866" s="68"/>
      <c r="AF866" s="68"/>
      <c r="AG866" s="68"/>
      <c r="AH866" s="68"/>
      <c r="AI866" s="68"/>
      <c r="AJ866" s="68">
        <v>1</v>
      </c>
      <c r="AL866" s="68">
        <v>1</v>
      </c>
      <c r="AM866" s="68"/>
      <c r="AN866" s="68"/>
      <c r="AO866" s="68"/>
      <c r="AQ866" s="68"/>
      <c r="AR866" s="68"/>
      <c r="AS866" s="68"/>
      <c r="AT866" s="68"/>
      <c r="AU866" s="68"/>
      <c r="AV866" s="68"/>
      <c r="AW866" s="68"/>
      <c r="AX866" s="68"/>
      <c r="AY866" s="68"/>
      <c r="AZ866" s="68"/>
      <c r="BB866" s="68"/>
      <c r="BC866" s="68"/>
      <c r="BJ866" s="68"/>
      <c r="BT866">
        <v>1</v>
      </c>
      <c r="BV866">
        <v>1</v>
      </c>
      <c r="BX866" s="68"/>
      <c r="BY866" s="68">
        <v>1</v>
      </c>
      <c r="BZ866" s="68">
        <v>0</v>
      </c>
      <c r="CA866" s="68">
        <v>0</v>
      </c>
      <c r="CB866" s="68">
        <v>0</v>
      </c>
      <c r="CC866" s="68">
        <f t="shared" si="152"/>
        <v>0</v>
      </c>
      <c r="CD866" s="68">
        <f t="shared" si="153"/>
        <v>0</v>
      </c>
    </row>
    <row r="867" spans="1:82" ht="15.75" customHeight="1" thickBot="1" x14ac:dyDescent="0.3">
      <c r="A867" s="6">
        <v>866</v>
      </c>
      <c r="B867" s="7" t="s">
        <v>1048</v>
      </c>
      <c r="C867" s="7" t="s">
        <v>45</v>
      </c>
      <c r="D867" s="7" t="s">
        <v>53</v>
      </c>
      <c r="E867" s="50">
        <v>-271.44119644490701</v>
      </c>
      <c r="F867" s="50">
        <v>0.90644718792866896</v>
      </c>
      <c r="G867" s="50">
        <v>1.2150460000000001</v>
      </c>
      <c r="H867" s="50">
        <v>0</v>
      </c>
      <c r="I867" s="8" t="s">
        <v>1057</v>
      </c>
      <c r="J867" s="50">
        <v>2.7006234165579399</v>
      </c>
      <c r="K867" s="248">
        <f>IFERROR(VLOOKUP(C867,Schedule!$T$3:$U$34,2,0),"FA")</f>
        <v>6</v>
      </c>
      <c r="L867" s="7" t="str">
        <f>D867&amp;COUNTIF(D$2:$D867,D867)</f>
        <v>QB85</v>
      </c>
      <c r="M867" s="50">
        <f t="array" ref="M867">IFERROR(F867-AVERAGE(VLOOKUP(D867,$D868:$F$885,3,0),INDEX($F868:$F$885,SMALL(IF(D867=$D868:$D$885,ROW($D868:$D$885)-ROW(D867)),2))),0)</f>
        <v>0.3386965745639815</v>
      </c>
      <c r="N867" s="50">
        <f>IFERROR(IF(VLOOKUP($B867,Input!$AC$2:$AC$162,1,0)=$B867,0),F867)</f>
        <v>0.90644718792866896</v>
      </c>
      <c r="O867" s="50">
        <f>IFERROR(IF(VLOOKUP($B867,Input!$AC$2:$AC$162,1,0)=$B867,0,G867),G867)</f>
        <v>1.2150460000000001</v>
      </c>
      <c r="P867" s="50">
        <f>IF(N867=0,0,F867-AVERAGE(INDEX(F:F,MATCH(VLOOKUP(D867,Input!$A$14:$L$22,10,0),L:L,0)),INDEX(F:F,MATCH(VLOOKUP(D867,Input!$A$14:$L$22,11,0),L:L,0)),INDEX(F:F,MATCH(VLOOKUP(D867,Input!$A$14:$L$22,12,0),L:L,0)))+(0.01-ROW()*0.01))</f>
        <v>-280.10119644490698</v>
      </c>
      <c r="Q867" s="106">
        <f t="shared" si="148"/>
        <v>-9.6632935519318952E-2</v>
      </c>
      <c r="R867" s="8">
        <f>IF(VLOOKUP($D867,$X$14:$Y$19,2,0)&lt;=0,1,IF(Q867&lt;0,1,ROUNDUP(IF(Q867*('Draft Center'!$L$28+'Draft Center'!$L$78-'Draft Center'!$L$82)&lt;1,1,Q867*('Draft Center'!$L$28+'Draft Center'!$L$78-'Draft Center'!$L$82)),0)))</f>
        <v>1</v>
      </c>
      <c r="S867" s="8">
        <f>IF(A867&lt;Input!$B$10+0.1,IF(ROUNDUP(R867*Input!$C$10,0)=0,1,ROUNDUP(R867*Input!$C$10,0)),IF(A867&gt;Input!$B$11,IF(ROUNDUP(R867*Input!$C$11,0)=0,1,ROUNDUP(R867*Input!$C$11,0)),IF(ROUNDUP(R867,0)=0,1,ROUNDUP(R867,0))))</f>
        <v>1</v>
      </c>
      <c r="T867" s="8">
        <f t="shared" si="149"/>
        <v>1</v>
      </c>
      <c r="U867" s="8">
        <f>IFERROR(VLOOKUP($B867,Input!$AC$2:$AE$161,3,0),0)</f>
        <v>0</v>
      </c>
      <c r="V867" s="256">
        <f t="shared" si="150"/>
        <v>0</v>
      </c>
      <c r="W867" s="263">
        <f t="shared" si="151"/>
        <v>0</v>
      </c>
      <c r="X867" s="68"/>
      <c r="Y867" s="68"/>
      <c r="Z867" s="68"/>
      <c r="AA867" s="68"/>
      <c r="AB867" s="68"/>
      <c r="AC867" s="68"/>
      <c r="AD867" s="68"/>
      <c r="AE867" s="68"/>
      <c r="AF867" s="68"/>
      <c r="AG867" s="68"/>
      <c r="AH867" s="68"/>
      <c r="AI867" s="68"/>
      <c r="AJ867" s="68">
        <v>1</v>
      </c>
      <c r="AL867" s="68">
        <v>1</v>
      </c>
      <c r="AM867" s="68"/>
      <c r="AN867" s="68"/>
      <c r="AO867" s="68"/>
      <c r="AQ867" s="68"/>
      <c r="AR867" s="68"/>
      <c r="AS867" s="68"/>
      <c r="AT867" s="68"/>
      <c r="AU867" s="68"/>
      <c r="AV867" s="68"/>
      <c r="AW867" s="68"/>
      <c r="AX867" s="68"/>
      <c r="AY867" s="68"/>
      <c r="AZ867" s="68"/>
      <c r="BB867" s="68"/>
      <c r="BC867" s="68"/>
      <c r="BJ867" s="68"/>
      <c r="BT867">
        <v>1</v>
      </c>
      <c r="BV867">
        <v>1</v>
      </c>
      <c r="BX867" s="68"/>
      <c r="BY867" s="68">
        <v>1</v>
      </c>
      <c r="BZ867" s="68" t="s">
        <v>1057</v>
      </c>
      <c r="CA867" s="68" t="s">
        <v>1057</v>
      </c>
      <c r="CB867" s="68" t="s">
        <v>1057</v>
      </c>
      <c r="CC867" s="68" t="e">
        <f t="shared" si="152"/>
        <v>#DIV/0!</v>
      </c>
      <c r="CD867" s="68" t="str">
        <f t="shared" si="153"/>
        <v>NA</v>
      </c>
    </row>
    <row r="868" spans="1:82" ht="15.75" customHeight="1" thickBot="1" x14ac:dyDescent="0.3">
      <c r="A868" s="9">
        <v>867</v>
      </c>
      <c r="B868" s="10" t="s">
        <v>536</v>
      </c>
      <c r="C868" s="10" t="s">
        <v>31</v>
      </c>
      <c r="D868" s="10" t="s">
        <v>53</v>
      </c>
      <c r="E868" s="51">
        <v>-271.60500934712098</v>
      </c>
      <c r="F868" s="51">
        <v>0.74263428571428602</v>
      </c>
      <c r="G868" s="51">
        <v>1.5253859999999999</v>
      </c>
      <c r="H868" s="51">
        <v>-0.13600000000000001</v>
      </c>
      <c r="I868" s="11">
        <v>0</v>
      </c>
      <c r="J868" s="51">
        <v>4.2014528207556801</v>
      </c>
      <c r="K868" s="249">
        <f>IFERROR(VLOOKUP(C868,Schedule!$T$3:$U$34,2,0),"FA")</f>
        <v>9</v>
      </c>
      <c r="L868" s="10" t="str">
        <f>D868&amp;COUNTIF(D$2:$D868,D868)</f>
        <v>QB86</v>
      </c>
      <c r="M868" s="51">
        <f t="array" ref="M868">IFERROR(F868-AVERAGE(VLOOKUP(D868,$D869:$F$885,3,0),INDEX($F869:$F$885,SMALL(IF(D868=$D869:$D$885,ROW($D869:$D$885)-ROW(D868)),2))),0)</f>
        <v>0.54620081520674146</v>
      </c>
      <c r="N868" s="51">
        <f>IFERROR(IF(VLOOKUP($B868,Input!$AC$2:$AC$162,1,0)=$B868,0),F868)</f>
        <v>0.74263428571428602</v>
      </c>
      <c r="O868" s="51">
        <f>IFERROR(IF(VLOOKUP($B868,Input!$AC$2:$AC$162,1,0)=$B868,0,G868),G868)</f>
        <v>1.5253859999999999</v>
      </c>
      <c r="P868" s="51">
        <f>IF(N868=0,0,F868-AVERAGE(INDEX(F:F,MATCH(VLOOKUP(D868,Input!$A$14:$L$22,10,0),L:L,0)),INDEX(F:F,MATCH(VLOOKUP(D868,Input!$A$14:$L$22,11,0),L:L,0)),INDEX(F:F,MATCH(VLOOKUP(D868,Input!$A$14:$L$22,12,0),L:L,0)))+(0.01-ROW()*0.01))</f>
        <v>-280.27500934712134</v>
      </c>
      <c r="Q868" s="107">
        <f t="shared" si="148"/>
        <v>-9.6692899743625327E-2</v>
      </c>
      <c r="R868" s="11">
        <f>IF(VLOOKUP($D868,$X$14:$Y$19,2,0)&lt;=0,1,IF(Q868&lt;0,1,ROUNDUP(IF(Q868*('Draft Center'!$L$28+'Draft Center'!$L$78-'Draft Center'!$L$82)&lt;1,1,Q868*('Draft Center'!$L$28+'Draft Center'!$L$78-'Draft Center'!$L$82)),0)))</f>
        <v>1</v>
      </c>
      <c r="S868" s="11">
        <f>IF(A868&lt;Input!$B$10+0.1,IF(ROUNDUP(R868*Input!$C$10,0)=0,1,ROUNDUP(R868*Input!$C$10,0)),IF(A868&gt;Input!$B$11,IF(ROUNDUP(R868*Input!$C$11,0)=0,1,ROUNDUP(R868*Input!$C$11,0)),IF(ROUNDUP(R868,0)=0,1,ROUNDUP(R868,0))))</f>
        <v>1</v>
      </c>
      <c r="T868" s="11">
        <f t="shared" si="149"/>
        <v>1</v>
      </c>
      <c r="U868" s="11">
        <f>IFERROR(VLOOKUP($B868,Input!$AC$2:$AE$161,3,0),0)</f>
        <v>0</v>
      </c>
      <c r="V868" s="257">
        <f t="shared" si="150"/>
        <v>0</v>
      </c>
      <c r="W868" s="264">
        <f t="shared" si="151"/>
        <v>1.00868</v>
      </c>
      <c r="X868" s="68"/>
      <c r="Y868" s="68"/>
      <c r="Z868" s="68"/>
      <c r="AA868" s="68"/>
      <c r="AB868" s="68"/>
      <c r="AC868" s="68"/>
      <c r="AD868" s="68"/>
      <c r="AE868" s="68"/>
      <c r="AF868" s="68"/>
      <c r="AG868" s="68"/>
      <c r="AH868" s="68"/>
      <c r="AI868" s="68"/>
      <c r="AJ868" s="68">
        <v>1</v>
      </c>
      <c r="AL868" s="68">
        <v>1</v>
      </c>
      <c r="AM868" s="68"/>
      <c r="AN868" s="68"/>
      <c r="AO868" s="68"/>
      <c r="AQ868" s="68"/>
      <c r="AR868" s="68"/>
      <c r="AS868" s="68"/>
      <c r="AT868" s="68"/>
      <c r="AU868" s="68"/>
      <c r="AV868" s="68"/>
      <c r="AW868" s="68"/>
      <c r="AX868" s="68"/>
      <c r="AY868" s="68"/>
      <c r="AZ868" s="68"/>
      <c r="BB868" s="68"/>
      <c r="BC868" s="68"/>
      <c r="BJ868" s="68"/>
      <c r="BT868">
        <v>1</v>
      </c>
      <c r="BV868">
        <v>1</v>
      </c>
      <c r="BX868" s="68"/>
      <c r="BY868" s="68">
        <v>1</v>
      </c>
      <c r="BZ868" s="68">
        <v>0</v>
      </c>
      <c r="CA868" s="68">
        <v>0</v>
      </c>
      <c r="CB868" s="68">
        <v>0</v>
      </c>
      <c r="CC868" s="68">
        <f t="shared" si="152"/>
        <v>0</v>
      </c>
      <c r="CD868" s="68">
        <f t="shared" si="153"/>
        <v>0</v>
      </c>
    </row>
    <row r="869" spans="1:82" ht="15.75" customHeight="1" thickBot="1" x14ac:dyDescent="0.3">
      <c r="A869" s="6">
        <v>868</v>
      </c>
      <c r="B869" s="7" t="s">
        <v>1173</v>
      </c>
      <c r="C869" s="7" t="s">
        <v>61</v>
      </c>
      <c r="D869" s="7" t="s">
        <v>53</v>
      </c>
      <c r="E869" s="50">
        <v>-271.95477669181997</v>
      </c>
      <c r="F869" s="50">
        <v>0.39286694101508901</v>
      </c>
      <c r="G869" s="50">
        <v>0.52661800000000003</v>
      </c>
      <c r="H869" s="50">
        <v>0</v>
      </c>
      <c r="I869" s="8">
        <v>0</v>
      </c>
      <c r="J869" s="50">
        <v>2.5919985735977802</v>
      </c>
      <c r="K869" s="248">
        <f>IFERROR(VLOOKUP(C869,Schedule!$T$3:$U$34,2,0),"FA")</f>
        <v>5</v>
      </c>
      <c r="L869" s="7" t="str">
        <f>D869&amp;COUNTIF(D$2:$D869,D869)</f>
        <v>QB87</v>
      </c>
      <c r="M869" s="50">
        <f t="array" ref="M869">IFERROR(F869-AVERAGE(VLOOKUP(D869,$D870:$F$885,3,0),INDEX($F870:$F$885,SMALL(IF(D869=$D870:$D$885,ROW($D870:$D$885)-ROW(D869)),2))),0)</f>
        <v>0.39286694101508901</v>
      </c>
      <c r="N869" s="50">
        <f>IFERROR(IF(VLOOKUP($B869,Input!$AC$2:$AC$162,1,0)=$B869,0),F869)</f>
        <v>0.39286694101508901</v>
      </c>
      <c r="O869" s="50">
        <f>IFERROR(IF(VLOOKUP($B869,Input!$AC$2:$AC$162,1,0)=$B869,0,G869),G869)</f>
        <v>0.52661800000000003</v>
      </c>
      <c r="P869" s="50">
        <f>IF(N869=0,0,F869-AVERAGE(INDEX(F:F,MATCH(VLOOKUP(D869,Input!$A$14:$L$22,10,0),L:L,0)),INDEX(F:F,MATCH(VLOOKUP(D869,Input!$A$14:$L$22,11,0),L:L,0)),INDEX(F:F,MATCH(VLOOKUP(D869,Input!$A$14:$L$22,12,0),L:L,0)))+(0.01-ROW()*0.01))</f>
        <v>-280.63477669182055</v>
      </c>
      <c r="Q869" s="106">
        <f t="shared" si="148"/>
        <v>-9.6817016937923411E-2</v>
      </c>
      <c r="R869" s="8">
        <f>IF(VLOOKUP($D869,$X$14:$Y$19,2,0)&lt;=0,1,IF(Q869&lt;0,1,ROUNDUP(IF(Q869*('Draft Center'!$L$28+'Draft Center'!$L$78-'Draft Center'!$L$82)&lt;1,1,Q869*('Draft Center'!$L$28+'Draft Center'!$L$78-'Draft Center'!$L$82)),0)))</f>
        <v>1</v>
      </c>
      <c r="S869" s="8">
        <f>IF(A869&lt;Input!$B$10+0.1,IF(ROUNDUP(R869*Input!$C$10,0)=0,1,ROUNDUP(R869*Input!$C$10,0)),IF(A869&gt;Input!$B$11,IF(ROUNDUP(R869*Input!$C$11,0)=0,1,ROUNDUP(R869*Input!$C$11,0)),IF(ROUNDUP(R869,0)=0,1,ROUNDUP(R869,0))))</f>
        <v>1</v>
      </c>
      <c r="T869" s="8">
        <f t="shared" si="149"/>
        <v>1</v>
      </c>
      <c r="U869" s="8">
        <f>IFERROR(VLOOKUP($B869,Input!$AC$2:$AE$161,3,0),0)</f>
        <v>0</v>
      </c>
      <c r="V869" s="256">
        <f t="shared" si="150"/>
        <v>0</v>
      </c>
      <c r="W869" s="263">
        <f t="shared" si="151"/>
        <v>1.0086900000000001</v>
      </c>
      <c r="X869" s="68"/>
      <c r="Y869" s="68"/>
      <c r="Z869" s="68"/>
      <c r="AA869" s="68"/>
      <c r="AB869" s="68"/>
      <c r="AC869" s="68"/>
      <c r="AD869" s="68"/>
      <c r="AE869" s="68"/>
      <c r="AF869" s="68"/>
      <c r="AG869" s="68"/>
      <c r="AH869" s="68"/>
      <c r="AI869" s="68"/>
      <c r="AJ869" s="68">
        <v>1</v>
      </c>
      <c r="AL869" s="68">
        <v>1</v>
      </c>
      <c r="AM869" s="68"/>
      <c r="AN869" s="68"/>
      <c r="AO869" s="68"/>
      <c r="AQ869" s="68"/>
      <c r="AR869" s="68"/>
      <c r="AS869" s="68"/>
      <c r="AT869" s="68"/>
      <c r="AU869" s="68"/>
      <c r="AV869" s="68"/>
      <c r="AW869" s="68"/>
      <c r="AX869" s="68"/>
      <c r="AY869" s="68"/>
      <c r="AZ869" s="68"/>
      <c r="BB869" s="68"/>
      <c r="BC869" s="68"/>
      <c r="BJ869" s="68"/>
      <c r="BT869">
        <v>1</v>
      </c>
      <c r="BV869">
        <v>1</v>
      </c>
      <c r="BX869" s="68"/>
      <c r="BY869" s="68">
        <v>1</v>
      </c>
      <c r="BZ869" s="68">
        <v>0</v>
      </c>
      <c r="CA869" s="68">
        <v>0</v>
      </c>
      <c r="CB869" s="68">
        <v>0</v>
      </c>
      <c r="CC869" s="68">
        <f t="shared" si="152"/>
        <v>0</v>
      </c>
      <c r="CD869" s="68">
        <f t="shared" si="153"/>
        <v>0</v>
      </c>
    </row>
    <row r="870" spans="1:82" ht="15.75" customHeight="1" thickBot="1" x14ac:dyDescent="0.3">
      <c r="A870" s="9">
        <v>869</v>
      </c>
      <c r="B870" s="10" t="s">
        <v>569</v>
      </c>
      <c r="C870" s="10" t="s">
        <v>31</v>
      </c>
      <c r="D870" s="10" t="s">
        <v>53</v>
      </c>
      <c r="E870" s="51">
        <v>-272.34764363283603</v>
      </c>
      <c r="F870" s="51">
        <v>0</v>
      </c>
      <c r="G870" s="51">
        <v>0</v>
      </c>
      <c r="H870" s="51">
        <v>0</v>
      </c>
      <c r="I870" s="11" t="s">
        <v>1057</v>
      </c>
      <c r="J870" s="51">
        <v>2.5089052108205601</v>
      </c>
      <c r="K870" s="249">
        <f>IFERROR(VLOOKUP(C870,Schedule!$T$3:$U$34,2,0),"FA")</f>
        <v>9</v>
      </c>
      <c r="L870" s="10" t="str">
        <f>D870&amp;COUNTIF(D$2:$D870,D870)</f>
        <v>QB88</v>
      </c>
      <c r="M870" s="51">
        <f t="array" ref="M870">IFERROR(F870-AVERAGE(VLOOKUP(D870,$D871:$F$885,3,0),INDEX($F871:$F$885,SMALL(IF(D870=$D871:$D$885,ROW($D871:$D$885)-ROW(D870)),2))),0)</f>
        <v>0</v>
      </c>
      <c r="N870" s="51">
        <f>IFERROR(IF(VLOOKUP($B870,Input!$AC$2:$AC$162,1,0)=$B870,0),F870)</f>
        <v>0</v>
      </c>
      <c r="O870" s="51">
        <f>IFERROR(IF(VLOOKUP($B870,Input!$AC$2:$AC$162,1,0)=$B870,0,G870),G870)</f>
        <v>0</v>
      </c>
      <c r="P870" s="51">
        <f>IF(N870=0,0,F870-AVERAGE(INDEX(F:F,MATCH(VLOOKUP(D870,Input!$A$14:$L$22,10,0),L:L,0)),INDEX(F:F,MATCH(VLOOKUP(D870,Input!$A$14:$L$22,11,0),L:L,0)),INDEX(F:F,MATCH(VLOOKUP(D870,Input!$A$14:$L$22,12,0),L:L,0)))+(0.01-ROW()*0.01))</f>
        <v>0</v>
      </c>
      <c r="Q870" s="107">
        <f t="shared" si="148"/>
        <v>0</v>
      </c>
      <c r="R870" s="11">
        <f>IF(VLOOKUP($D870,$X$14:$Y$19,2,0)&lt;=0,1,IF(Q870&lt;0,1,ROUNDUP(IF(Q870*('Draft Center'!$L$28+'Draft Center'!$L$78-'Draft Center'!$L$82)&lt;1,1,Q870*('Draft Center'!$L$28+'Draft Center'!$L$78-'Draft Center'!$L$82)),0)))</f>
        <v>1</v>
      </c>
      <c r="S870" s="11">
        <f>IF(A870&lt;Input!$B$10+0.1,IF(ROUNDUP(R870*Input!$C$10,0)=0,1,ROUNDUP(R870*Input!$C$10,0)),IF(A870&gt;Input!$B$11,IF(ROUNDUP(R870*Input!$C$11,0)=0,1,ROUNDUP(R870*Input!$C$11,0)),IF(ROUNDUP(R870,0)=0,1,ROUNDUP(R870,0))))</f>
        <v>1</v>
      </c>
      <c r="T870" s="11">
        <f t="shared" si="149"/>
        <v>1</v>
      </c>
      <c r="U870" s="11">
        <f>IFERROR(VLOOKUP($B870,Input!$AC$2:$AE$161,3,0),0)</f>
        <v>0</v>
      </c>
      <c r="V870" s="257">
        <f t="shared" si="150"/>
        <v>0</v>
      </c>
      <c r="W870" s="264">
        <f t="shared" si="151"/>
        <v>0</v>
      </c>
      <c r="X870" s="68"/>
      <c r="Y870" s="68"/>
      <c r="Z870" s="68"/>
      <c r="AA870" s="68"/>
      <c r="AB870" s="68"/>
      <c r="AC870" s="68"/>
      <c r="AD870" s="68"/>
      <c r="AE870" s="68"/>
      <c r="AF870" s="68"/>
      <c r="AG870" s="68"/>
      <c r="AH870" s="68"/>
      <c r="AI870" s="68"/>
      <c r="AJ870" s="68">
        <v>1</v>
      </c>
      <c r="AL870" s="68">
        <v>1</v>
      </c>
      <c r="AM870" s="68"/>
      <c r="AN870" s="68"/>
      <c r="AO870" s="68"/>
      <c r="AQ870" s="68"/>
      <c r="AR870" s="68"/>
      <c r="AS870" s="68"/>
      <c r="AT870" s="68"/>
      <c r="AU870" s="68"/>
      <c r="AV870" s="68"/>
      <c r="AW870" s="68"/>
      <c r="AX870" s="68"/>
      <c r="AY870" s="68"/>
      <c r="AZ870" s="68"/>
      <c r="BB870" s="68"/>
      <c r="BC870" s="68"/>
      <c r="BJ870" s="68"/>
      <c r="BT870">
        <v>1</v>
      </c>
      <c r="BV870">
        <v>1</v>
      </c>
      <c r="BX870" s="68"/>
      <c r="BY870" s="68">
        <v>1</v>
      </c>
      <c r="BZ870" s="68" t="s">
        <v>1057</v>
      </c>
      <c r="CA870" s="68" t="s">
        <v>1057</v>
      </c>
      <c r="CB870" s="68" t="s">
        <v>1057</v>
      </c>
      <c r="CC870" s="68" t="e">
        <f t="shared" si="152"/>
        <v>#DIV/0!</v>
      </c>
      <c r="CD870" s="68" t="str">
        <f t="shared" si="153"/>
        <v>NA</v>
      </c>
    </row>
    <row r="871" spans="1:82" ht="15.75" customHeight="1" thickBot="1" x14ac:dyDescent="0.3">
      <c r="A871" s="6">
        <v>870</v>
      </c>
      <c r="B871" s="7" t="s">
        <v>1049</v>
      </c>
      <c r="C871" s="7" t="s">
        <v>35</v>
      </c>
      <c r="D871" s="7" t="s">
        <v>53</v>
      </c>
      <c r="E871" s="50">
        <v>-272.34764363283603</v>
      </c>
      <c r="F871" s="50">
        <v>0</v>
      </c>
      <c r="G871" s="50">
        <v>0</v>
      </c>
      <c r="H871" s="50">
        <v>0</v>
      </c>
      <c r="I871" s="8">
        <v>0</v>
      </c>
      <c r="J871" s="50" t="s">
        <v>1057</v>
      </c>
      <c r="K871" s="248">
        <f>IFERROR(VLOOKUP(C871,Schedule!$T$3:$U$34,2,0),"FA")</f>
        <v>6</v>
      </c>
      <c r="L871" s="7" t="str">
        <f>D871&amp;COUNTIF(D$2:$D871,D871)</f>
        <v>QB89</v>
      </c>
      <c r="M871" s="50">
        <f t="array" ref="M871">IFERROR(F871-AVERAGE(VLOOKUP(D871,$D872:$F$885,3,0),INDEX($F872:$F$885,SMALL(IF(D871=$D872:$D$885,ROW($D872:$D$885)-ROW(D871)),2))),0)</f>
        <v>0</v>
      </c>
      <c r="N871" s="50">
        <f>IFERROR(IF(VLOOKUP($B871,Input!$AC$2:$AC$162,1,0)=$B871,0),F871)</f>
        <v>0</v>
      </c>
      <c r="O871" s="50">
        <f>IFERROR(IF(VLOOKUP($B871,Input!$AC$2:$AC$162,1,0)=$B871,0,G871),G871)</f>
        <v>0</v>
      </c>
      <c r="P871" s="50">
        <f>IF(N871=0,0,F871-AVERAGE(INDEX(F:F,MATCH(VLOOKUP(D871,Input!$A$14:$L$22,10,0),L:L,0)),INDEX(F:F,MATCH(VLOOKUP(D871,Input!$A$14:$L$22,11,0),L:L,0)),INDEX(F:F,MATCH(VLOOKUP(D871,Input!$A$14:$L$22,12,0),L:L,0)))+(0.01-ROW()*0.01))</f>
        <v>0</v>
      </c>
      <c r="Q871" s="106">
        <f t="shared" si="148"/>
        <v>0</v>
      </c>
      <c r="R871" s="8">
        <f>IF(VLOOKUP($D871,$X$14:$Y$19,2,0)&lt;=0,1,IF(Q871&lt;0,1,ROUNDUP(IF(Q871*('Draft Center'!$L$28+'Draft Center'!$L$78-'Draft Center'!$L$82)&lt;1,1,Q871*('Draft Center'!$L$28+'Draft Center'!$L$78-'Draft Center'!$L$82)),0)))</f>
        <v>1</v>
      </c>
      <c r="S871" s="8">
        <f>IF(A871&lt;Input!$B$10+0.1,IF(ROUNDUP(R871*Input!$C$10,0)=0,1,ROUNDUP(R871*Input!$C$10,0)),IF(A871&gt;Input!$B$11,IF(ROUNDUP(R871*Input!$C$11,0)=0,1,ROUNDUP(R871*Input!$C$11,0)),IF(ROUNDUP(R871,0)=0,1,ROUNDUP(R871,0))))</f>
        <v>1</v>
      </c>
      <c r="T871" s="8">
        <f t="shared" si="149"/>
        <v>1</v>
      </c>
      <c r="U871" s="8">
        <f>IFERROR(VLOOKUP($B871,Input!$AC$2:$AE$161,3,0),0)</f>
        <v>0</v>
      </c>
      <c r="V871" s="256">
        <f t="shared" si="150"/>
        <v>0</v>
      </c>
      <c r="W871" s="263">
        <f t="shared" si="151"/>
        <v>1.00871</v>
      </c>
      <c r="X871" s="68"/>
      <c r="Y871" s="68"/>
      <c r="Z871" s="68"/>
      <c r="AA871" s="68"/>
      <c r="AB871" s="68"/>
      <c r="AC871" s="68"/>
      <c r="AD871" s="68"/>
      <c r="AE871" s="68"/>
      <c r="AF871" s="68"/>
      <c r="AG871" s="68"/>
      <c r="AH871" s="68"/>
      <c r="AI871" s="68"/>
      <c r="AJ871" s="68">
        <v>1</v>
      </c>
      <c r="AL871" s="68">
        <v>1</v>
      </c>
      <c r="AM871" s="68"/>
      <c r="AN871" s="68"/>
      <c r="AO871" s="68"/>
      <c r="AQ871" s="68"/>
      <c r="AR871" s="68"/>
      <c r="AS871" s="68"/>
      <c r="AT871" s="68"/>
      <c r="AU871" s="68"/>
      <c r="AV871" s="68"/>
      <c r="AW871" s="68"/>
      <c r="AX871" s="68"/>
      <c r="AY871" s="68"/>
      <c r="AZ871" s="68"/>
      <c r="BB871" s="68"/>
      <c r="BC871" s="68"/>
      <c r="BJ871" s="68"/>
      <c r="BT871">
        <v>1</v>
      </c>
      <c r="BV871">
        <v>1</v>
      </c>
      <c r="BX871" s="68"/>
      <c r="BY871" s="68">
        <v>1</v>
      </c>
      <c r="BZ871" s="68">
        <v>0</v>
      </c>
      <c r="CA871" s="68">
        <v>0</v>
      </c>
      <c r="CB871" s="68">
        <v>0</v>
      </c>
      <c r="CC871" s="68">
        <f t="shared" si="152"/>
        <v>0</v>
      </c>
      <c r="CD871" s="68">
        <f t="shared" si="153"/>
        <v>0</v>
      </c>
    </row>
    <row r="872" spans="1:82" ht="15.75" customHeight="1" thickBot="1" x14ac:dyDescent="0.3">
      <c r="A872" s="9">
        <v>871</v>
      </c>
      <c r="B872" s="10" t="s">
        <v>1174</v>
      </c>
      <c r="C872" s="10" t="s">
        <v>35</v>
      </c>
      <c r="D872" s="10" t="s">
        <v>53</v>
      </c>
      <c r="E872" s="51">
        <v>-272.34764363283603</v>
      </c>
      <c r="F872" s="51">
        <v>0</v>
      </c>
      <c r="G872" s="51">
        <v>0</v>
      </c>
      <c r="H872" s="51">
        <v>0</v>
      </c>
      <c r="I872" s="11">
        <v>0</v>
      </c>
      <c r="J872" s="51">
        <v>2.5089052108205601</v>
      </c>
      <c r="K872" s="249">
        <f>IFERROR(VLOOKUP(C872,Schedule!$T$3:$U$34,2,0),"FA")</f>
        <v>6</v>
      </c>
      <c r="L872" s="10" t="str">
        <f>D872&amp;COUNTIF(D$2:$D872,D872)</f>
        <v>QB90</v>
      </c>
      <c r="M872" s="51">
        <f t="array" ref="M872">IFERROR(F872-AVERAGE(VLOOKUP(D872,$D873:$F$885,3,0),INDEX($F873:$F$885,SMALL(IF(D872=$D873:$D$885,ROW($D873:$D$885)-ROW(D872)),2))),0)</f>
        <v>0</v>
      </c>
      <c r="N872" s="51">
        <f>IFERROR(IF(VLOOKUP($B872,Input!$AC$2:$AC$162,1,0)=$B872,0),F872)</f>
        <v>0</v>
      </c>
      <c r="O872" s="51">
        <f>IFERROR(IF(VLOOKUP($B872,Input!$AC$2:$AC$162,1,0)=$B872,0,G872),G872)</f>
        <v>0</v>
      </c>
      <c r="P872" s="51">
        <f>IF(N872=0,0,F872-AVERAGE(INDEX(F:F,MATCH(VLOOKUP(D872,Input!$A$14:$L$22,10,0),L:L,0)),INDEX(F:F,MATCH(VLOOKUP(D872,Input!$A$14:$L$22,11,0),L:L,0)),INDEX(F:F,MATCH(VLOOKUP(D872,Input!$A$14:$L$22,12,0),L:L,0)))+(0.01-ROW()*0.01))</f>
        <v>0</v>
      </c>
      <c r="Q872" s="107">
        <f t="shared" si="148"/>
        <v>0</v>
      </c>
      <c r="R872" s="11">
        <f>IF(VLOOKUP($D872,$X$14:$Y$19,2,0)&lt;=0,1,IF(Q872&lt;0,1,ROUNDUP(IF(Q872*('Draft Center'!$L$28+'Draft Center'!$L$78-'Draft Center'!$L$82)&lt;1,1,Q872*('Draft Center'!$L$28+'Draft Center'!$L$78-'Draft Center'!$L$82)),0)))</f>
        <v>1</v>
      </c>
      <c r="S872" s="11">
        <f>IF(A872&lt;Input!$B$10+0.1,IF(ROUNDUP(R872*Input!$C$10,0)=0,1,ROUNDUP(R872*Input!$C$10,0)),IF(A872&gt;Input!$B$11,IF(ROUNDUP(R872*Input!$C$11,0)=0,1,ROUNDUP(R872*Input!$C$11,0)),IF(ROUNDUP(R872,0)=0,1,ROUNDUP(R872,0))))</f>
        <v>1</v>
      </c>
      <c r="T872" s="11">
        <f t="shared" si="149"/>
        <v>1</v>
      </c>
      <c r="U872" s="11">
        <f>IFERROR(VLOOKUP($B872,Input!$AC$2:$AE$161,3,0),0)</f>
        <v>0</v>
      </c>
      <c r="V872" s="257">
        <f t="shared" si="150"/>
        <v>0</v>
      </c>
      <c r="W872" s="264">
        <f t="shared" si="151"/>
        <v>1.0087200000000001</v>
      </c>
      <c r="X872" s="68"/>
      <c r="Y872" s="68"/>
      <c r="Z872" s="68"/>
      <c r="AA872" s="68"/>
      <c r="AB872" s="68"/>
      <c r="AC872" s="68"/>
      <c r="AD872" s="68"/>
      <c r="AE872" s="68"/>
      <c r="AF872" s="68"/>
      <c r="AG872" s="68"/>
      <c r="AH872" s="68"/>
      <c r="AI872" s="68"/>
      <c r="AJ872" s="68">
        <v>1</v>
      </c>
      <c r="AL872" s="68">
        <v>1</v>
      </c>
      <c r="AM872" s="68"/>
      <c r="AN872" s="68"/>
      <c r="AO872" s="68"/>
      <c r="AQ872" s="68"/>
      <c r="AR872" s="68"/>
      <c r="AS872" s="68"/>
      <c r="AT872" s="68"/>
      <c r="AU872" s="68"/>
      <c r="AV872" s="68"/>
      <c r="AW872" s="68"/>
      <c r="AX872" s="68"/>
      <c r="AY872" s="68"/>
      <c r="AZ872" s="68"/>
      <c r="BB872" s="68"/>
      <c r="BC872" s="68"/>
      <c r="BJ872" s="68"/>
      <c r="BT872">
        <v>1</v>
      </c>
      <c r="BV872">
        <v>1</v>
      </c>
      <c r="BX872" s="68"/>
      <c r="BY872" s="68">
        <v>1</v>
      </c>
      <c r="BZ872" s="68">
        <v>0</v>
      </c>
      <c r="CA872" s="68">
        <v>0</v>
      </c>
      <c r="CB872" s="68">
        <v>0</v>
      </c>
      <c r="CC872" s="68">
        <f t="shared" si="152"/>
        <v>0</v>
      </c>
      <c r="CD872" s="68">
        <f t="shared" si="153"/>
        <v>0</v>
      </c>
    </row>
    <row r="873" spans="1:82" ht="15.75" customHeight="1" thickBot="1" x14ac:dyDescent="0.3">
      <c r="A873" s="6">
        <v>872</v>
      </c>
      <c r="B873" s="7" t="s">
        <v>1175</v>
      </c>
      <c r="C873" s="7" t="s">
        <v>35</v>
      </c>
      <c r="D873" s="7" t="s">
        <v>53</v>
      </c>
      <c r="E873" s="50">
        <v>-272.34764363283603</v>
      </c>
      <c r="F873" s="50">
        <v>0</v>
      </c>
      <c r="G873" s="50">
        <v>0</v>
      </c>
      <c r="H873" s="50">
        <v>0</v>
      </c>
      <c r="I873" s="8" t="s">
        <v>1057</v>
      </c>
      <c r="J873" s="50" t="s">
        <v>1057</v>
      </c>
      <c r="K873" s="248">
        <f>IFERROR(VLOOKUP(C873,Schedule!$T$3:$U$34,2,0),"FA")</f>
        <v>6</v>
      </c>
      <c r="L873" s="7" t="str">
        <f>D873&amp;COUNTIF(D$2:$D873,D873)</f>
        <v>QB91</v>
      </c>
      <c r="M873" s="50">
        <f t="array" ref="M873">IFERROR(F873-AVERAGE(VLOOKUP(D873,$D874:$F$885,3,0),INDEX($F874:$F$885,SMALL(IF(D873=$D874:$D$885,ROW($D874:$D$885)-ROW(D873)),2))),0)</f>
        <v>0</v>
      </c>
      <c r="N873" s="50">
        <f>IFERROR(IF(VLOOKUP($B873,Input!$AC$2:$AC$162,1,0)=$B873,0),F873)</f>
        <v>0</v>
      </c>
      <c r="O873" s="50">
        <f>IFERROR(IF(VLOOKUP($B873,Input!$AC$2:$AC$162,1,0)=$B873,0,G873),G873)</f>
        <v>0</v>
      </c>
      <c r="P873" s="50">
        <f>IF(N873=0,0,F873-AVERAGE(INDEX(F:F,MATCH(VLOOKUP(D873,Input!$A$14:$L$22,10,0),L:L,0)),INDEX(F:F,MATCH(VLOOKUP(D873,Input!$A$14:$L$22,11,0),L:L,0)),INDEX(F:F,MATCH(VLOOKUP(D873,Input!$A$14:$L$22,12,0),L:L,0)))+(0.01-ROW()*0.01))</f>
        <v>0</v>
      </c>
      <c r="Q873" s="106">
        <f t="shared" si="148"/>
        <v>0</v>
      </c>
      <c r="R873" s="8">
        <f>IF(VLOOKUP($D873,$X$14:$Y$19,2,0)&lt;=0,1,IF(Q873&lt;0,1,ROUNDUP(IF(Q873*('Draft Center'!$L$28+'Draft Center'!$L$78-'Draft Center'!$L$82)&lt;1,1,Q873*('Draft Center'!$L$28+'Draft Center'!$L$78-'Draft Center'!$L$82)),0)))</f>
        <v>1</v>
      </c>
      <c r="S873" s="8">
        <f>IF(A873&lt;Input!$B$10+0.1,IF(ROUNDUP(R873*Input!$C$10,0)=0,1,ROUNDUP(R873*Input!$C$10,0)),IF(A873&gt;Input!$B$11,IF(ROUNDUP(R873*Input!$C$11,0)=0,1,ROUNDUP(R873*Input!$C$11,0)),IF(ROUNDUP(R873,0)=0,1,ROUNDUP(R873,0))))</f>
        <v>1</v>
      </c>
      <c r="T873" s="8">
        <f t="shared" si="149"/>
        <v>1</v>
      </c>
      <c r="U873" s="8">
        <f>IFERROR(VLOOKUP($B873,Input!$AC$2:$AE$161,3,0),0)</f>
        <v>0</v>
      </c>
      <c r="V873" s="256">
        <f t="shared" si="150"/>
        <v>0</v>
      </c>
      <c r="W873" s="263">
        <f t="shared" si="151"/>
        <v>0</v>
      </c>
      <c r="X873" s="68"/>
      <c r="Y873" s="68"/>
      <c r="Z873" s="68"/>
      <c r="AA873" s="68"/>
      <c r="AB873" s="68"/>
      <c r="AC873" s="68"/>
      <c r="AD873" s="68"/>
      <c r="AE873" s="68"/>
      <c r="AF873" s="68"/>
      <c r="AG873" s="68"/>
      <c r="AH873" s="68"/>
      <c r="AI873" s="68"/>
      <c r="AJ873" s="68">
        <v>1</v>
      </c>
      <c r="AL873" s="68">
        <v>1</v>
      </c>
      <c r="AM873" s="68"/>
      <c r="AN873" s="68"/>
      <c r="AO873" s="68"/>
      <c r="AQ873" s="68"/>
      <c r="AR873" s="68"/>
      <c r="AS873" s="68"/>
      <c r="AT873" s="68"/>
      <c r="AU873" s="68"/>
      <c r="AV873" s="68"/>
      <c r="AW873" s="68"/>
      <c r="AX873" s="68"/>
      <c r="AY873" s="68"/>
      <c r="AZ873" s="68"/>
      <c r="BB873" s="68"/>
      <c r="BC873" s="68"/>
      <c r="BJ873" s="68"/>
      <c r="BT873">
        <v>1</v>
      </c>
      <c r="BV873">
        <v>1</v>
      </c>
      <c r="BX873" s="68"/>
      <c r="BY873" s="68">
        <v>1</v>
      </c>
      <c r="BZ873" s="68" t="s">
        <v>1057</v>
      </c>
      <c r="CA873" s="68" t="s">
        <v>1057</v>
      </c>
      <c r="CB873" s="68" t="s">
        <v>1057</v>
      </c>
      <c r="CC873" s="68" t="e">
        <f t="shared" si="152"/>
        <v>#DIV/0!</v>
      </c>
      <c r="CD873" s="68" t="str">
        <f t="shared" si="153"/>
        <v>NA</v>
      </c>
    </row>
    <row r="874" spans="1:82" ht="15.75" customHeight="1" thickBot="1" x14ac:dyDescent="0.3">
      <c r="A874" s="9">
        <v>873</v>
      </c>
      <c r="B874" s="10" t="s">
        <v>1176</v>
      </c>
      <c r="C874" s="10" t="s">
        <v>311</v>
      </c>
      <c r="D874" s="10" t="s">
        <v>53</v>
      </c>
      <c r="E874" s="51">
        <v>-272.34764363283603</v>
      </c>
      <c r="F874" s="51">
        <v>0</v>
      </c>
      <c r="G874" s="51">
        <v>0</v>
      </c>
      <c r="H874" s="51">
        <v>0</v>
      </c>
      <c r="I874" s="11" t="s">
        <v>1057</v>
      </c>
      <c r="J874" s="51" t="s">
        <v>1057</v>
      </c>
      <c r="K874" s="249" t="str">
        <f>IFERROR(VLOOKUP(C874,Schedule!$T$3:$U$34,2,0),"FA")</f>
        <v>FA</v>
      </c>
      <c r="L874" s="10" t="str">
        <f>D874&amp;COUNTIF(D$2:$D874,D874)</f>
        <v>QB92</v>
      </c>
      <c r="M874" s="51">
        <f t="array" ref="M874">IFERROR(F874-AVERAGE(VLOOKUP(D874,$D875:$F$885,3,0),INDEX($F875:$F$885,SMALL(IF(D874=$D875:$D$885,ROW($D875:$D$885)-ROW(D874)),2))),0)</f>
        <v>0</v>
      </c>
      <c r="N874" s="51">
        <f>IFERROR(IF(VLOOKUP($B874,Input!$AC$2:$AC$162,1,0)=$B874,0),F874)</f>
        <v>0</v>
      </c>
      <c r="O874" s="51">
        <f>IFERROR(IF(VLOOKUP($B874,Input!$AC$2:$AC$162,1,0)=$B874,0,G874),G874)</f>
        <v>0</v>
      </c>
      <c r="P874" s="51">
        <f>IF(N874=0,0,F874-AVERAGE(INDEX(F:F,MATCH(VLOOKUP(D874,Input!$A$14:$L$22,10,0),L:L,0)),INDEX(F:F,MATCH(VLOOKUP(D874,Input!$A$14:$L$22,11,0),L:L,0)),INDEX(F:F,MATCH(VLOOKUP(D874,Input!$A$14:$L$22,12,0),L:L,0)))+(0.01-ROW()*0.01))</f>
        <v>0</v>
      </c>
      <c r="Q874" s="107">
        <f t="shared" si="148"/>
        <v>0</v>
      </c>
      <c r="R874" s="11">
        <f>IF(VLOOKUP($D874,$X$14:$Y$19,2,0)&lt;=0,1,IF(Q874&lt;0,1,ROUNDUP(IF(Q874*('Draft Center'!$L$28+'Draft Center'!$L$78-'Draft Center'!$L$82)&lt;1,1,Q874*('Draft Center'!$L$28+'Draft Center'!$L$78-'Draft Center'!$L$82)),0)))</f>
        <v>1</v>
      </c>
      <c r="S874" s="11">
        <f>IF(A874&lt;Input!$B$10+0.1,IF(ROUNDUP(R874*Input!$C$10,0)=0,1,ROUNDUP(R874*Input!$C$10,0)),IF(A874&gt;Input!$B$11,IF(ROUNDUP(R874*Input!$C$11,0)=0,1,ROUNDUP(R874*Input!$C$11,0)),IF(ROUNDUP(R874,0)=0,1,ROUNDUP(R874,0))))</f>
        <v>1</v>
      </c>
      <c r="T874" s="11">
        <f t="shared" si="149"/>
        <v>1</v>
      </c>
      <c r="U874" s="11">
        <f>IFERROR(VLOOKUP($B874,Input!$AC$2:$AE$161,3,0),0)</f>
        <v>0</v>
      </c>
      <c r="V874" s="257">
        <f t="shared" si="150"/>
        <v>0</v>
      </c>
      <c r="W874" s="264">
        <f t="shared" si="151"/>
        <v>0</v>
      </c>
      <c r="X874" s="68"/>
      <c r="Y874" s="68"/>
      <c r="Z874" s="68"/>
      <c r="AA874" s="68"/>
      <c r="AB874" s="68"/>
      <c r="AC874" s="68"/>
      <c r="AD874" s="68"/>
      <c r="AE874" s="68"/>
      <c r="AF874" s="68"/>
      <c r="AG874" s="68"/>
      <c r="AH874" s="68"/>
      <c r="AI874" s="68"/>
      <c r="AJ874" s="68">
        <v>1</v>
      </c>
      <c r="AL874" s="68">
        <v>1</v>
      </c>
      <c r="AM874" s="68"/>
      <c r="AN874" s="68"/>
      <c r="AO874" s="68"/>
      <c r="AQ874" s="68"/>
      <c r="AR874" s="68"/>
      <c r="AS874" s="68"/>
      <c r="AT874" s="68"/>
      <c r="AU874" s="68"/>
      <c r="AV874" s="68"/>
      <c r="AW874" s="68"/>
      <c r="AX874" s="68"/>
      <c r="AY874" s="68"/>
      <c r="AZ874" s="68"/>
      <c r="BB874" s="68"/>
      <c r="BC874" s="68"/>
      <c r="BJ874" s="68"/>
      <c r="BT874">
        <v>1</v>
      </c>
      <c r="BV874">
        <v>1</v>
      </c>
      <c r="BX874" s="68"/>
      <c r="BY874" s="68">
        <v>1</v>
      </c>
      <c r="BZ874" s="68" t="s">
        <v>1057</v>
      </c>
      <c r="CA874" s="68" t="s">
        <v>1057</v>
      </c>
      <c r="CB874" s="68" t="s">
        <v>1057</v>
      </c>
      <c r="CC874" s="68" t="e">
        <f t="shared" si="152"/>
        <v>#DIV/0!</v>
      </c>
      <c r="CD874" s="68" t="str">
        <f t="shared" si="153"/>
        <v>NA</v>
      </c>
    </row>
    <row r="875" spans="1:82" ht="15.75" customHeight="1" thickBot="1" x14ac:dyDescent="0.3">
      <c r="A875" s="6">
        <v>874</v>
      </c>
      <c r="B875" s="7" t="s">
        <v>1177</v>
      </c>
      <c r="C875" s="7" t="s">
        <v>311</v>
      </c>
      <c r="D875" s="7" t="s">
        <v>53</v>
      </c>
      <c r="E875" s="50">
        <v>-272.34764363283603</v>
      </c>
      <c r="F875" s="50">
        <v>0</v>
      </c>
      <c r="G875" s="50">
        <v>0</v>
      </c>
      <c r="H875" s="50">
        <v>0</v>
      </c>
      <c r="I875" s="8" t="s">
        <v>1057</v>
      </c>
      <c r="J875" s="50">
        <v>4.2672364694158897</v>
      </c>
      <c r="K875" s="248" t="str">
        <f>IFERROR(VLOOKUP(C875,Schedule!$T$3:$U$34,2,0),"FA")</f>
        <v>FA</v>
      </c>
      <c r="L875" s="7" t="str">
        <f>D875&amp;COUNTIF(D$2:$D875,D875)</f>
        <v>QB93</v>
      </c>
      <c r="M875" s="50">
        <f t="array" ref="M875">IFERROR(F875-AVERAGE(VLOOKUP(D875,$D876:$F$885,3,0),INDEX($F876:$F$885,SMALL(IF(D875=$D876:$D$885,ROW($D876:$D$885)-ROW(D875)),2))),0)</f>
        <v>0</v>
      </c>
      <c r="N875" s="50">
        <f>IFERROR(IF(VLOOKUP($B875,Input!$AC$2:$AC$162,1,0)=$B875,0),F875)</f>
        <v>0</v>
      </c>
      <c r="O875" s="50">
        <f>IFERROR(IF(VLOOKUP($B875,Input!$AC$2:$AC$162,1,0)=$B875,0,G875),G875)</f>
        <v>0</v>
      </c>
      <c r="P875" s="50">
        <f>IF(N875=0,0,F875-AVERAGE(INDEX(F:F,MATCH(VLOOKUP(D875,Input!$A$14:$L$22,10,0),L:L,0)),INDEX(F:F,MATCH(VLOOKUP(D875,Input!$A$14:$L$22,11,0),L:L,0)),INDEX(F:F,MATCH(VLOOKUP(D875,Input!$A$14:$L$22,12,0),L:L,0)))+(0.01-ROW()*0.01))</f>
        <v>0</v>
      </c>
      <c r="Q875" s="106">
        <f t="shared" si="148"/>
        <v>0</v>
      </c>
      <c r="R875" s="8">
        <f>IF(VLOOKUP($D875,$X$14:$Y$19,2,0)&lt;=0,1,IF(Q875&lt;0,1,ROUNDUP(IF(Q875*('Draft Center'!$L$28+'Draft Center'!$L$78-'Draft Center'!$L$82)&lt;1,1,Q875*('Draft Center'!$L$28+'Draft Center'!$L$78-'Draft Center'!$L$82)),0)))</f>
        <v>1</v>
      </c>
      <c r="S875" s="8">
        <f>IF(A875&lt;Input!$B$10+0.1,IF(ROUNDUP(R875*Input!$C$10,0)=0,1,ROUNDUP(R875*Input!$C$10,0)),IF(A875&gt;Input!$B$11,IF(ROUNDUP(R875*Input!$C$11,0)=0,1,ROUNDUP(R875*Input!$C$11,0)),IF(ROUNDUP(R875,0)=0,1,ROUNDUP(R875,0))))</f>
        <v>1</v>
      </c>
      <c r="T875" s="8">
        <f t="shared" si="149"/>
        <v>1</v>
      </c>
      <c r="U875" s="8">
        <f>IFERROR(VLOOKUP($B875,Input!$AC$2:$AE$161,3,0),0)</f>
        <v>0</v>
      </c>
      <c r="V875" s="256">
        <f t="shared" si="150"/>
        <v>0</v>
      </c>
      <c r="W875" s="263">
        <f t="shared" si="151"/>
        <v>0</v>
      </c>
      <c r="X875" s="68"/>
      <c r="Y875" s="68"/>
      <c r="Z875" s="68"/>
      <c r="AA875" s="68"/>
      <c r="AB875" s="68"/>
      <c r="AC875" s="68"/>
      <c r="AD875" s="68"/>
      <c r="AE875" s="68"/>
      <c r="AF875" s="68"/>
      <c r="AG875" s="68"/>
      <c r="AH875" s="68"/>
      <c r="AI875" s="68"/>
      <c r="AJ875" s="68">
        <v>1</v>
      </c>
      <c r="AL875" s="68">
        <v>1</v>
      </c>
      <c r="AM875" s="68"/>
      <c r="AN875" s="68"/>
      <c r="AO875" s="68"/>
      <c r="AQ875" s="68"/>
      <c r="AR875" s="68"/>
      <c r="AS875" s="68"/>
      <c r="AT875" s="68"/>
      <c r="AU875" s="68"/>
      <c r="AV875" s="68"/>
      <c r="AW875" s="68"/>
      <c r="AX875" s="68"/>
      <c r="AY875" s="68"/>
      <c r="AZ875" s="68"/>
      <c r="BB875" s="68"/>
      <c r="BC875" s="68"/>
      <c r="BJ875" s="68"/>
      <c r="BT875">
        <v>1</v>
      </c>
      <c r="BV875">
        <v>1</v>
      </c>
      <c r="BX875" s="68"/>
      <c r="BY875" s="68">
        <v>1</v>
      </c>
      <c r="BZ875" s="68" t="s">
        <v>1057</v>
      </c>
      <c r="CA875" s="68" t="s">
        <v>1057</v>
      </c>
      <c r="CB875" s="68" t="s">
        <v>1057</v>
      </c>
      <c r="CC875" s="68" t="e">
        <f t="shared" si="152"/>
        <v>#DIV/0!</v>
      </c>
      <c r="CD875" s="68" t="str">
        <f t="shared" si="153"/>
        <v>NA</v>
      </c>
    </row>
    <row r="876" spans="1:82" ht="15.75" customHeight="1" thickBot="1" x14ac:dyDescent="0.3">
      <c r="A876" s="9">
        <v>875</v>
      </c>
      <c r="B876" s="10" t="s">
        <v>1178</v>
      </c>
      <c r="C876" s="10" t="s">
        <v>311</v>
      </c>
      <c r="D876" s="10" t="s">
        <v>53</v>
      </c>
      <c r="E876" s="51">
        <v>-272.34764363283603</v>
      </c>
      <c r="F876" s="51">
        <v>0</v>
      </c>
      <c r="G876" s="51">
        <v>0</v>
      </c>
      <c r="H876" s="51">
        <v>0</v>
      </c>
      <c r="I876" s="11" t="s">
        <v>1057</v>
      </c>
      <c r="J876" s="51" t="s">
        <v>1057</v>
      </c>
      <c r="K876" s="249" t="str">
        <f>IFERROR(VLOOKUP(C876,Schedule!$T$3:$U$34,2,0),"FA")</f>
        <v>FA</v>
      </c>
      <c r="L876" s="10" t="str">
        <f>D876&amp;COUNTIF(D$2:$D876,D876)</f>
        <v>QB94</v>
      </c>
      <c r="M876" s="51">
        <f t="array" ref="M876">IFERROR(F876-AVERAGE(VLOOKUP(D876,$D877:$F$885,3,0),INDEX($F877:$F$885,SMALL(IF(D876=$D877:$D$885,ROW($D877:$D$885)-ROW(D876)),2))),0)</f>
        <v>0</v>
      </c>
      <c r="N876" s="51">
        <f>IFERROR(IF(VLOOKUP($B876,Input!$AC$2:$AC$162,1,0)=$B876,0),F876)</f>
        <v>0</v>
      </c>
      <c r="O876" s="51">
        <f>IFERROR(IF(VLOOKUP($B876,Input!$AC$2:$AC$162,1,0)=$B876,0,G876),G876)</f>
        <v>0</v>
      </c>
      <c r="P876" s="51">
        <f>IF(N876=0,0,F876-AVERAGE(INDEX(F:F,MATCH(VLOOKUP(D876,Input!$A$14:$L$22,10,0),L:L,0)),INDEX(F:F,MATCH(VLOOKUP(D876,Input!$A$14:$L$22,11,0),L:L,0)),INDEX(F:F,MATCH(VLOOKUP(D876,Input!$A$14:$L$22,12,0),L:L,0)))+(0.01-ROW()*0.01))</f>
        <v>0</v>
      </c>
      <c r="Q876" s="107">
        <f t="shared" si="148"/>
        <v>0</v>
      </c>
      <c r="R876" s="11">
        <f>IF(VLOOKUP($D876,$X$14:$Y$19,2,0)&lt;=0,1,IF(Q876&lt;0,1,ROUNDUP(IF(Q876*('Draft Center'!$L$28+'Draft Center'!$L$78-'Draft Center'!$L$82)&lt;1,1,Q876*('Draft Center'!$L$28+'Draft Center'!$L$78-'Draft Center'!$L$82)),0)))</f>
        <v>1</v>
      </c>
      <c r="S876" s="11">
        <f>IF(A876&lt;Input!$B$10+0.1,IF(ROUNDUP(R876*Input!$C$10,0)=0,1,ROUNDUP(R876*Input!$C$10,0)),IF(A876&gt;Input!$B$11,IF(ROUNDUP(R876*Input!$C$11,0)=0,1,ROUNDUP(R876*Input!$C$11,0)),IF(ROUNDUP(R876,0)=0,1,ROUNDUP(R876,0))))</f>
        <v>1</v>
      </c>
      <c r="T876" s="11">
        <f t="shared" si="149"/>
        <v>1</v>
      </c>
      <c r="U876" s="11">
        <f>IFERROR(VLOOKUP($B876,Input!$AC$2:$AE$161,3,0),0)</f>
        <v>0</v>
      </c>
      <c r="V876" s="257">
        <f t="shared" si="150"/>
        <v>0</v>
      </c>
      <c r="W876" s="264">
        <f t="shared" si="151"/>
        <v>0</v>
      </c>
      <c r="X876" s="68"/>
      <c r="Y876" s="68"/>
      <c r="Z876" s="68"/>
      <c r="AA876" s="68"/>
      <c r="AB876" s="68"/>
      <c r="AC876" s="68"/>
      <c r="AD876" s="68"/>
      <c r="AE876" s="68"/>
      <c r="AF876" s="68"/>
      <c r="AG876" s="68"/>
      <c r="AH876" s="68"/>
      <c r="AI876" s="68"/>
      <c r="AJ876" s="68">
        <v>1</v>
      </c>
      <c r="AL876" s="68">
        <v>1</v>
      </c>
      <c r="AM876" s="68"/>
      <c r="AN876" s="68"/>
      <c r="AO876" s="68"/>
      <c r="AQ876" s="68"/>
      <c r="AR876" s="68"/>
      <c r="AS876" s="68"/>
      <c r="AT876" s="68"/>
      <c r="AU876" s="68"/>
      <c r="AV876" s="68"/>
      <c r="AW876" s="68"/>
      <c r="AX876" s="68"/>
      <c r="AY876" s="68"/>
      <c r="AZ876" s="68"/>
      <c r="BB876" s="68"/>
      <c r="BC876" s="68"/>
      <c r="BJ876" s="68"/>
      <c r="BT876">
        <v>1</v>
      </c>
      <c r="BV876">
        <v>1</v>
      </c>
      <c r="BX876" s="68"/>
      <c r="BY876" s="68">
        <v>1</v>
      </c>
      <c r="BZ876" s="68" t="s">
        <v>1057</v>
      </c>
      <c r="CA876" s="68" t="s">
        <v>1057</v>
      </c>
      <c r="CB876" s="68" t="s">
        <v>1057</v>
      </c>
      <c r="CC876" s="68" t="e">
        <f t="shared" si="152"/>
        <v>#DIV/0!</v>
      </c>
      <c r="CD876" s="68" t="str">
        <f t="shared" si="153"/>
        <v>NA</v>
      </c>
    </row>
    <row r="877" spans="1:82" ht="15.75" customHeight="1" thickBot="1" x14ac:dyDescent="0.3">
      <c r="A877" s="6">
        <v>876</v>
      </c>
      <c r="B877" s="7" t="s">
        <v>1179</v>
      </c>
      <c r="C877" s="7" t="s">
        <v>311</v>
      </c>
      <c r="D877" s="7" t="s">
        <v>53</v>
      </c>
      <c r="E877" s="50">
        <v>-272.34764363283603</v>
      </c>
      <c r="F877" s="50">
        <v>0</v>
      </c>
      <c r="G877" s="50">
        <v>0</v>
      </c>
      <c r="H877" s="50">
        <v>0</v>
      </c>
      <c r="I877" s="8" t="s">
        <v>1057</v>
      </c>
      <c r="J877" s="50" t="s">
        <v>1057</v>
      </c>
      <c r="K877" s="248" t="str">
        <f>IFERROR(VLOOKUP(C877,Schedule!$T$3:$U$34,2,0),"FA")</f>
        <v>FA</v>
      </c>
      <c r="L877" s="7" t="str">
        <f>D877&amp;COUNTIF(D$2:$D877,D877)</f>
        <v>QB95</v>
      </c>
      <c r="M877" s="50">
        <f t="array" ref="M877">IFERROR(F877-AVERAGE(VLOOKUP(D877,$D878:$F$885,3,0),INDEX($F878:$F$885,SMALL(IF(D877=$D878:$D$885,ROW($D878:$D$885)-ROW(D877)),2))),0)</f>
        <v>0</v>
      </c>
      <c r="N877" s="50">
        <f>IFERROR(IF(VLOOKUP($B877,Input!$AC$2:$AC$162,1,0)=$B877,0),F877)</f>
        <v>0</v>
      </c>
      <c r="O877" s="50">
        <f>IFERROR(IF(VLOOKUP($B877,Input!$AC$2:$AC$162,1,0)=$B877,0,G877),G877)</f>
        <v>0</v>
      </c>
      <c r="P877" s="50">
        <f>IF(N877=0,0,F877-AVERAGE(INDEX(F:F,MATCH(VLOOKUP(D877,Input!$A$14:$L$22,10,0),L:L,0)),INDEX(F:F,MATCH(VLOOKUP(D877,Input!$A$14:$L$22,11,0),L:L,0)),INDEX(F:F,MATCH(VLOOKUP(D877,Input!$A$14:$L$22,12,0),L:L,0)))+(0.01-ROW()*0.01))</f>
        <v>0</v>
      </c>
      <c r="Q877" s="106">
        <f t="shared" si="148"/>
        <v>0</v>
      </c>
      <c r="R877" s="8">
        <f>IF(VLOOKUP($D877,$X$14:$Y$19,2,0)&lt;=0,1,IF(Q877&lt;0,1,ROUNDUP(IF(Q877*('Draft Center'!$L$28+'Draft Center'!$L$78-'Draft Center'!$L$82)&lt;1,1,Q877*('Draft Center'!$L$28+'Draft Center'!$L$78-'Draft Center'!$L$82)),0)))</f>
        <v>1</v>
      </c>
      <c r="S877" s="8">
        <f>IF(A877&lt;Input!$B$10+0.1,IF(ROUNDUP(R877*Input!$C$10,0)=0,1,ROUNDUP(R877*Input!$C$10,0)),IF(A877&gt;Input!$B$11,IF(ROUNDUP(R877*Input!$C$11,0)=0,1,ROUNDUP(R877*Input!$C$11,0)),IF(ROUNDUP(R877,0)=0,1,ROUNDUP(R877,0))))</f>
        <v>1</v>
      </c>
      <c r="T877" s="8">
        <f t="shared" si="149"/>
        <v>1</v>
      </c>
      <c r="U877" s="8">
        <f>IFERROR(VLOOKUP($B877,Input!$AC$2:$AE$161,3,0),0)</f>
        <v>0</v>
      </c>
      <c r="V877" s="256">
        <f t="shared" si="150"/>
        <v>0</v>
      </c>
      <c r="W877" s="263">
        <f t="shared" si="151"/>
        <v>0</v>
      </c>
      <c r="X877" s="68"/>
      <c r="Y877" s="68"/>
      <c r="Z877" s="68"/>
      <c r="AA877" s="68"/>
      <c r="AB877" s="68"/>
      <c r="AC877" s="68"/>
      <c r="AD877" s="68"/>
      <c r="AE877" s="68"/>
      <c r="AF877" s="68"/>
      <c r="AG877" s="68"/>
      <c r="AH877" s="68"/>
      <c r="AI877" s="68"/>
      <c r="AJ877" s="68">
        <v>1</v>
      </c>
      <c r="AL877" s="68">
        <v>1</v>
      </c>
      <c r="AM877" s="68"/>
      <c r="AN877" s="68"/>
      <c r="AO877" s="68"/>
      <c r="AQ877" s="68"/>
      <c r="AR877" s="68"/>
      <c r="AS877" s="68"/>
      <c r="AT877" s="68"/>
      <c r="AU877" s="68"/>
      <c r="AV877" s="68"/>
      <c r="AW877" s="68"/>
      <c r="AX877" s="68"/>
      <c r="AY877" s="68"/>
      <c r="AZ877" s="68"/>
      <c r="BB877" s="68"/>
      <c r="BC877" s="68"/>
      <c r="BJ877" s="68"/>
      <c r="BT877">
        <v>1</v>
      </c>
      <c r="BV877">
        <v>1</v>
      </c>
      <c r="BX877" s="68"/>
      <c r="BY877" s="68">
        <v>1</v>
      </c>
      <c r="BZ877" s="68" t="s">
        <v>1057</v>
      </c>
      <c r="CA877" s="68" t="s">
        <v>1057</v>
      </c>
      <c r="CB877" s="68" t="s">
        <v>1057</v>
      </c>
      <c r="CC877" s="68" t="e">
        <f t="shared" si="152"/>
        <v>#DIV/0!</v>
      </c>
      <c r="CD877" s="68" t="str">
        <f t="shared" si="153"/>
        <v>NA</v>
      </c>
    </row>
    <row r="878" spans="1:82" ht="15.75" customHeight="1" thickBot="1" x14ac:dyDescent="0.3">
      <c r="A878" s="9">
        <v>877</v>
      </c>
      <c r="B878" s="10" t="s">
        <v>542</v>
      </c>
      <c r="C878" s="10" t="s">
        <v>311</v>
      </c>
      <c r="D878" s="10" t="s">
        <v>53</v>
      </c>
      <c r="E878" s="51">
        <v>-272.34764363283603</v>
      </c>
      <c r="F878" s="51">
        <v>0</v>
      </c>
      <c r="G878" s="51">
        <v>0</v>
      </c>
      <c r="H878" s="51">
        <v>0</v>
      </c>
      <c r="I878" s="11" t="s">
        <v>1057</v>
      </c>
      <c r="J878" s="51">
        <v>2.5089052108205601</v>
      </c>
      <c r="K878" s="249" t="str">
        <f>IFERROR(VLOOKUP(C878,Schedule!$T$3:$U$34,2,0),"FA")</f>
        <v>FA</v>
      </c>
      <c r="L878" s="10" t="str">
        <f>D878&amp;COUNTIF(D$2:$D878,D878)</f>
        <v>QB96</v>
      </c>
      <c r="M878" s="51">
        <f t="array" ref="M878">IFERROR(F878-AVERAGE(VLOOKUP(D878,$D879:$F$885,3,0),INDEX($F879:$F$885,SMALL(IF(D878=$D879:$D$885,ROW($D879:$D$885)-ROW(D878)),2))),0)</f>
        <v>0</v>
      </c>
      <c r="N878" s="51">
        <f>IFERROR(IF(VLOOKUP($B878,Input!$AC$2:$AC$162,1,0)=$B878,0),F878)</f>
        <v>0</v>
      </c>
      <c r="O878" s="51">
        <f>IFERROR(IF(VLOOKUP($B878,Input!$AC$2:$AC$162,1,0)=$B878,0,G878),G878)</f>
        <v>0</v>
      </c>
      <c r="P878" s="51">
        <f>IF(N878=0,0,F878-AVERAGE(INDEX(F:F,MATCH(VLOOKUP(D878,Input!$A$14:$L$22,10,0),L:L,0)),INDEX(F:F,MATCH(VLOOKUP(D878,Input!$A$14:$L$22,11,0),L:L,0)),INDEX(F:F,MATCH(VLOOKUP(D878,Input!$A$14:$L$22,12,0),L:L,0)))+(0.01-ROW()*0.01))</f>
        <v>0</v>
      </c>
      <c r="Q878" s="107">
        <f t="shared" si="148"/>
        <v>0</v>
      </c>
      <c r="R878" s="11">
        <f>IF(VLOOKUP($D878,$X$14:$Y$19,2,0)&lt;=0,1,IF(Q878&lt;0,1,ROUNDUP(IF(Q878*('Draft Center'!$L$28+'Draft Center'!$L$78-'Draft Center'!$L$82)&lt;1,1,Q878*('Draft Center'!$L$28+'Draft Center'!$L$78-'Draft Center'!$L$82)),0)))</f>
        <v>1</v>
      </c>
      <c r="S878" s="11">
        <f>IF(A878&lt;Input!$B$10+0.1,IF(ROUNDUP(R878*Input!$C$10,0)=0,1,ROUNDUP(R878*Input!$C$10,0)),IF(A878&gt;Input!$B$11,IF(ROUNDUP(R878*Input!$C$11,0)=0,1,ROUNDUP(R878*Input!$C$11,0)),IF(ROUNDUP(R878,0)=0,1,ROUNDUP(R878,0))))</f>
        <v>1</v>
      </c>
      <c r="T878" s="11">
        <f t="shared" si="149"/>
        <v>1</v>
      </c>
      <c r="U878" s="11">
        <f>IFERROR(VLOOKUP($B878,Input!$AC$2:$AE$161,3,0),0)</f>
        <v>0</v>
      </c>
      <c r="V878" s="257">
        <f t="shared" si="150"/>
        <v>0</v>
      </c>
      <c r="W878" s="264">
        <f t="shared" si="151"/>
        <v>0</v>
      </c>
      <c r="X878" s="68"/>
      <c r="Y878" s="68"/>
      <c r="Z878" s="68"/>
      <c r="AA878" s="68"/>
      <c r="AB878" s="68"/>
      <c r="AC878" s="68"/>
      <c r="AD878" s="68"/>
      <c r="AE878" s="68"/>
      <c r="AF878" s="68"/>
      <c r="AG878" s="68"/>
      <c r="AH878" s="68"/>
      <c r="AI878" s="68"/>
      <c r="AJ878" s="68">
        <v>1</v>
      </c>
      <c r="AL878" s="68">
        <v>1</v>
      </c>
      <c r="AM878" s="68"/>
      <c r="AN878" s="68"/>
      <c r="AO878" s="68"/>
      <c r="AQ878" s="68"/>
      <c r="AR878" s="68"/>
      <c r="AS878" s="68"/>
      <c r="AT878" s="68"/>
      <c r="AU878" s="68"/>
      <c r="AV878" s="68"/>
      <c r="AW878" s="68"/>
      <c r="AX878" s="68"/>
      <c r="AY878" s="68"/>
      <c r="AZ878" s="68"/>
      <c r="BB878" s="68"/>
      <c r="BC878" s="68"/>
      <c r="BJ878" s="68"/>
      <c r="BT878">
        <v>1</v>
      </c>
      <c r="BV878">
        <v>1</v>
      </c>
      <c r="BX878" s="68"/>
      <c r="BY878" s="68">
        <v>1</v>
      </c>
      <c r="BZ878" s="68" t="s">
        <v>1057</v>
      </c>
      <c r="CA878" s="68" t="s">
        <v>1057</v>
      </c>
      <c r="CB878" s="68" t="s">
        <v>1057</v>
      </c>
      <c r="CC878" s="68" t="e">
        <f t="shared" si="152"/>
        <v>#DIV/0!</v>
      </c>
      <c r="CD878" s="68" t="str">
        <f t="shared" si="153"/>
        <v>NA</v>
      </c>
    </row>
    <row r="879" spans="1:82" ht="15.75" customHeight="1" thickBot="1" x14ac:dyDescent="0.3">
      <c r="A879" s="6">
        <v>878</v>
      </c>
      <c r="B879" s="7" t="s">
        <v>1180</v>
      </c>
      <c r="C879" s="7" t="s">
        <v>311</v>
      </c>
      <c r="D879" s="7" t="s">
        <v>53</v>
      </c>
      <c r="E879" s="50">
        <v>-272.34764363283603</v>
      </c>
      <c r="F879" s="50">
        <v>0</v>
      </c>
      <c r="G879" s="50">
        <v>0</v>
      </c>
      <c r="H879" s="50">
        <v>0</v>
      </c>
      <c r="I879" s="8" t="s">
        <v>1057</v>
      </c>
      <c r="J879" s="50">
        <v>2.5089052108205601</v>
      </c>
      <c r="K879" s="248" t="str">
        <f>IFERROR(VLOOKUP(C879,Schedule!$T$3:$U$34,2,0),"FA")</f>
        <v>FA</v>
      </c>
      <c r="L879" s="7" t="str">
        <f>D879&amp;COUNTIF(D$2:$D879,D879)</f>
        <v>QB97</v>
      </c>
      <c r="M879" s="50">
        <f t="array" ref="M879">IFERROR(F879-AVERAGE(VLOOKUP(D879,$D880:$F$885,3,0),INDEX($F880:$F$885,SMALL(IF(D879=$D880:$D$885,ROW($D880:$D$885)-ROW(D879)),2))),0)</f>
        <v>0</v>
      </c>
      <c r="N879" s="50">
        <f>IFERROR(IF(VLOOKUP($B879,Input!$AC$2:$AC$162,1,0)=$B879,0),F879)</f>
        <v>0</v>
      </c>
      <c r="O879" s="50">
        <f>IFERROR(IF(VLOOKUP($B879,Input!$AC$2:$AC$162,1,0)=$B879,0,G879),G879)</f>
        <v>0</v>
      </c>
      <c r="P879" s="50">
        <f>IF(N879=0,0,F879-AVERAGE(INDEX(F:F,MATCH(VLOOKUP(D879,Input!$A$14:$L$22,10,0),L:L,0)),INDEX(F:F,MATCH(VLOOKUP(D879,Input!$A$14:$L$22,11,0),L:L,0)),INDEX(F:F,MATCH(VLOOKUP(D879,Input!$A$14:$L$22,12,0),L:L,0)))+(0.01-ROW()*0.01))</f>
        <v>0</v>
      </c>
      <c r="Q879" s="106">
        <f t="shared" si="148"/>
        <v>0</v>
      </c>
      <c r="R879" s="8">
        <f>IF(VLOOKUP($D879,$X$14:$Y$19,2,0)&lt;=0,1,IF(Q879&lt;0,1,ROUNDUP(IF(Q879*('Draft Center'!$L$28+'Draft Center'!$L$78-'Draft Center'!$L$82)&lt;1,1,Q879*('Draft Center'!$L$28+'Draft Center'!$L$78-'Draft Center'!$L$82)),0)))</f>
        <v>1</v>
      </c>
      <c r="S879" s="8">
        <f>IF(A879&lt;Input!$B$10+0.1,IF(ROUNDUP(R879*Input!$C$10,0)=0,1,ROUNDUP(R879*Input!$C$10,0)),IF(A879&gt;Input!$B$11,IF(ROUNDUP(R879*Input!$C$11,0)=0,1,ROUNDUP(R879*Input!$C$11,0)),IF(ROUNDUP(R879,0)=0,1,ROUNDUP(R879,0))))</f>
        <v>1</v>
      </c>
      <c r="T879" s="8">
        <f t="shared" si="149"/>
        <v>1</v>
      </c>
      <c r="U879" s="8">
        <f>IFERROR(VLOOKUP($B879,Input!$AC$2:$AE$161,3,0),0)</f>
        <v>0</v>
      </c>
      <c r="V879" s="256">
        <f t="shared" si="150"/>
        <v>0</v>
      </c>
      <c r="W879" s="263">
        <f t="shared" si="151"/>
        <v>0</v>
      </c>
      <c r="X879" s="68"/>
      <c r="Y879" s="68"/>
      <c r="Z879" s="68"/>
      <c r="AA879" s="68"/>
      <c r="AB879" s="68"/>
      <c r="AC879" s="68"/>
      <c r="AD879" s="68"/>
      <c r="AE879" s="68"/>
      <c r="AF879" s="68"/>
      <c r="AG879" s="68"/>
      <c r="AH879" s="68"/>
      <c r="AI879" s="68"/>
      <c r="AJ879" s="68">
        <v>1</v>
      </c>
      <c r="AL879" s="68">
        <v>1</v>
      </c>
      <c r="AM879" s="68"/>
      <c r="AN879" s="68"/>
      <c r="AO879" s="68"/>
      <c r="AQ879" s="68"/>
      <c r="AR879" s="68"/>
      <c r="AS879" s="68"/>
      <c r="AT879" s="68"/>
      <c r="AU879" s="68"/>
      <c r="AV879" s="68"/>
      <c r="AW879" s="68"/>
      <c r="AX879" s="68"/>
      <c r="AY879" s="68"/>
      <c r="AZ879" s="68"/>
      <c r="BB879" s="68"/>
      <c r="BC879" s="68"/>
      <c r="BJ879" s="68"/>
      <c r="BT879">
        <v>1</v>
      </c>
      <c r="BV879">
        <v>1</v>
      </c>
      <c r="BX879" s="68"/>
      <c r="BY879" s="68">
        <v>1</v>
      </c>
      <c r="BZ879" s="68" t="s">
        <v>1057</v>
      </c>
      <c r="CA879" s="68" t="s">
        <v>1057</v>
      </c>
      <c r="CB879" s="68" t="s">
        <v>1057</v>
      </c>
      <c r="CC879" s="68" t="e">
        <f t="shared" si="152"/>
        <v>#DIV/0!</v>
      </c>
      <c r="CD879" s="68" t="str">
        <f t="shared" si="153"/>
        <v>NA</v>
      </c>
    </row>
    <row r="880" spans="1:82" ht="15.75" customHeight="1" thickBot="1" x14ac:dyDescent="0.3">
      <c r="A880" s="9">
        <v>879</v>
      </c>
      <c r="B880" s="10" t="s">
        <v>1181</v>
      </c>
      <c r="C880" s="10" t="s">
        <v>311</v>
      </c>
      <c r="D880" s="10" t="s">
        <v>53</v>
      </c>
      <c r="E880" s="51">
        <v>-272.34764363283603</v>
      </c>
      <c r="F880" s="51">
        <v>0</v>
      </c>
      <c r="G880" s="51">
        <v>0</v>
      </c>
      <c r="H880" s="51">
        <v>0</v>
      </c>
      <c r="I880" s="11" t="s">
        <v>1057</v>
      </c>
      <c r="J880" s="51">
        <v>8.3561145814161808</v>
      </c>
      <c r="K880" s="249" t="str">
        <f>IFERROR(VLOOKUP(C880,Schedule!$T$3:$U$34,2,0),"FA")</f>
        <v>FA</v>
      </c>
      <c r="L880" s="10" t="str">
        <f>D880&amp;COUNTIF(D$2:$D880,D880)</f>
        <v>QB98</v>
      </c>
      <c r="M880" s="51">
        <f t="array" ref="M880">IFERROR(F880-AVERAGE(VLOOKUP(D880,$D881:$F$885,3,0),INDEX($F881:$F$885,SMALL(IF(D880=$D881:$D$885,ROW($D881:$D$885)-ROW(D880)),2))),0)</f>
        <v>0</v>
      </c>
      <c r="N880" s="51">
        <f>IFERROR(IF(VLOOKUP($B880,Input!$AC$2:$AC$162,1,0)=$B880,0),F880)</f>
        <v>0</v>
      </c>
      <c r="O880" s="51">
        <f>IFERROR(IF(VLOOKUP($B880,Input!$AC$2:$AC$162,1,0)=$B880,0,G880),G880)</f>
        <v>0</v>
      </c>
      <c r="P880" s="51">
        <f>IF(N880=0,0,F880-AVERAGE(INDEX(F:F,MATCH(VLOOKUP(D880,Input!$A$14:$L$22,10,0),L:L,0)),INDEX(F:F,MATCH(VLOOKUP(D880,Input!$A$14:$L$22,11,0),L:L,0)),INDEX(F:F,MATCH(VLOOKUP(D880,Input!$A$14:$L$22,12,0),L:L,0)))+(0.01-ROW()*0.01))</f>
        <v>0</v>
      </c>
      <c r="Q880" s="107">
        <f t="shared" si="148"/>
        <v>0</v>
      </c>
      <c r="R880" s="11">
        <f>IF(VLOOKUP($D880,$X$14:$Y$19,2,0)&lt;=0,1,IF(Q880&lt;0,1,ROUNDUP(IF(Q880*('Draft Center'!$L$28+'Draft Center'!$L$78-'Draft Center'!$L$82)&lt;1,1,Q880*('Draft Center'!$L$28+'Draft Center'!$L$78-'Draft Center'!$L$82)),0)))</f>
        <v>1</v>
      </c>
      <c r="S880" s="11">
        <f>IF(A880&lt;Input!$B$10+0.1,IF(ROUNDUP(R880*Input!$C$10,0)=0,1,ROUNDUP(R880*Input!$C$10,0)),IF(A880&gt;Input!$B$11,IF(ROUNDUP(R880*Input!$C$11,0)=0,1,ROUNDUP(R880*Input!$C$11,0)),IF(ROUNDUP(R880,0)=0,1,ROUNDUP(R880,0))))</f>
        <v>1</v>
      </c>
      <c r="T880" s="11">
        <f t="shared" si="149"/>
        <v>1</v>
      </c>
      <c r="U880" s="11">
        <f>IFERROR(VLOOKUP($B880,Input!$AC$2:$AE$161,3,0),0)</f>
        <v>0</v>
      </c>
      <c r="V880" s="257">
        <f t="shared" si="150"/>
        <v>0</v>
      </c>
      <c r="W880" s="264">
        <f t="shared" si="151"/>
        <v>0</v>
      </c>
      <c r="X880" s="68"/>
      <c r="Y880" s="68"/>
      <c r="Z880" s="68"/>
      <c r="AA880" s="68"/>
      <c r="AB880" s="68"/>
      <c r="AC880" s="68"/>
      <c r="AD880" s="68"/>
      <c r="AE880" s="68"/>
      <c r="AF880" s="68"/>
      <c r="AG880" s="68"/>
      <c r="AH880" s="68"/>
      <c r="AI880" s="68"/>
      <c r="AJ880" s="68">
        <v>1</v>
      </c>
      <c r="AL880" s="68">
        <v>1</v>
      </c>
      <c r="AM880" s="68"/>
      <c r="AN880" s="68"/>
      <c r="AO880" s="68"/>
      <c r="AQ880" s="68"/>
      <c r="AR880" s="68"/>
      <c r="AS880" s="68"/>
      <c r="AT880" s="68"/>
      <c r="AU880" s="68"/>
      <c r="AV880" s="68"/>
      <c r="AW880" s="68"/>
      <c r="AX880" s="68"/>
      <c r="AY880" s="68"/>
      <c r="AZ880" s="68"/>
      <c r="BB880" s="68"/>
      <c r="BC880" s="68"/>
      <c r="BJ880" s="68"/>
      <c r="BT880">
        <v>1</v>
      </c>
      <c r="BV880">
        <v>1</v>
      </c>
      <c r="BX880" s="68"/>
      <c r="BY880" s="68">
        <v>1</v>
      </c>
      <c r="BZ880" s="68" t="s">
        <v>1057</v>
      </c>
      <c r="CA880" s="68" t="s">
        <v>1057</v>
      </c>
      <c r="CB880" s="68" t="s">
        <v>1057</v>
      </c>
      <c r="CC880" s="68" t="e">
        <f t="shared" si="152"/>
        <v>#DIV/0!</v>
      </c>
      <c r="CD880" s="68" t="str">
        <f t="shared" si="153"/>
        <v>NA</v>
      </c>
    </row>
    <row r="881" spans="1:82" ht="15.75" customHeight="1" thickBot="1" x14ac:dyDescent="0.3">
      <c r="A881" s="6">
        <v>880</v>
      </c>
      <c r="B881" s="7" t="s">
        <v>1182</v>
      </c>
      <c r="C881" s="7" t="s">
        <v>311</v>
      </c>
      <c r="D881" s="7" t="s">
        <v>53</v>
      </c>
      <c r="E881" s="50">
        <v>-272.34764363283603</v>
      </c>
      <c r="F881" s="50">
        <v>0</v>
      </c>
      <c r="G881" s="50">
        <v>0</v>
      </c>
      <c r="H881" s="50">
        <v>0</v>
      </c>
      <c r="I881" s="8" t="s">
        <v>1057</v>
      </c>
      <c r="J881" s="50" t="s">
        <v>1057</v>
      </c>
      <c r="K881" s="248" t="str">
        <f>IFERROR(VLOOKUP(C881,Schedule!$T$3:$U$34,2,0),"FA")</f>
        <v>FA</v>
      </c>
      <c r="L881" s="7" t="str">
        <f>D881&amp;COUNTIF(D$2:$D881,D881)</f>
        <v>QB99</v>
      </c>
      <c r="M881" s="50">
        <f t="array" ref="M881">IFERROR(F881-AVERAGE(VLOOKUP(D881,$D882:$F$885,3,0),INDEX($F882:$F$885,SMALL(IF(D881=$D882:$D$885,ROW($D882:$D$885)-ROW(D881)),2))),0)</f>
        <v>0</v>
      </c>
      <c r="N881" s="50">
        <f>IFERROR(IF(VLOOKUP($B881,Input!$AC$2:$AC$162,1,0)=$B881,0),F881)</f>
        <v>0</v>
      </c>
      <c r="O881" s="50">
        <f>IFERROR(IF(VLOOKUP($B881,Input!$AC$2:$AC$162,1,0)=$B881,0,G881),G881)</f>
        <v>0</v>
      </c>
      <c r="P881" s="50">
        <f>IF(N881=0,0,F881-AVERAGE(INDEX(F:F,MATCH(VLOOKUP(D881,Input!$A$14:$L$22,10,0),L:L,0)),INDEX(F:F,MATCH(VLOOKUP(D881,Input!$A$14:$L$22,11,0),L:L,0)),INDEX(F:F,MATCH(VLOOKUP(D881,Input!$A$14:$L$22,12,0),L:L,0)))+(0.01-ROW()*0.01))</f>
        <v>0</v>
      </c>
      <c r="Q881" s="106">
        <f t="shared" si="148"/>
        <v>0</v>
      </c>
      <c r="R881" s="8">
        <f>IF(VLOOKUP($D881,$X$14:$Y$19,2,0)&lt;=0,1,IF(Q881&lt;0,1,ROUNDUP(IF(Q881*('Draft Center'!$L$28+'Draft Center'!$L$78-'Draft Center'!$L$82)&lt;1,1,Q881*('Draft Center'!$L$28+'Draft Center'!$L$78-'Draft Center'!$L$82)),0)))</f>
        <v>1</v>
      </c>
      <c r="S881" s="8">
        <f>IF(A881&lt;Input!$B$10+0.1,IF(ROUNDUP(R881*Input!$C$10,0)=0,1,ROUNDUP(R881*Input!$C$10,0)),IF(A881&gt;Input!$B$11,IF(ROUNDUP(R881*Input!$C$11,0)=0,1,ROUNDUP(R881*Input!$C$11,0)),IF(ROUNDUP(R881,0)=0,1,ROUNDUP(R881,0))))</f>
        <v>1</v>
      </c>
      <c r="T881" s="8">
        <f t="shared" si="149"/>
        <v>1</v>
      </c>
      <c r="U881" s="8">
        <f>IFERROR(VLOOKUP($B881,Input!$AC$2:$AE$161,3,0),0)</f>
        <v>0</v>
      </c>
      <c r="V881" s="256">
        <f t="shared" si="150"/>
        <v>0</v>
      </c>
      <c r="W881" s="263">
        <f t="shared" si="151"/>
        <v>0</v>
      </c>
      <c r="X881" s="68"/>
      <c r="Y881" s="68"/>
      <c r="Z881" s="68"/>
      <c r="AA881" s="68"/>
      <c r="AB881" s="68"/>
      <c r="AC881" s="68"/>
      <c r="AD881" s="68"/>
      <c r="AE881" s="68"/>
      <c r="AF881" s="68"/>
      <c r="AG881" s="68"/>
      <c r="AH881" s="68"/>
      <c r="AI881" s="68"/>
      <c r="AJ881" s="68">
        <v>1</v>
      </c>
      <c r="AL881" s="68">
        <v>1</v>
      </c>
      <c r="AM881" s="68"/>
      <c r="AN881" s="68"/>
      <c r="AO881" s="68"/>
      <c r="AQ881" s="68"/>
      <c r="AR881" s="68"/>
      <c r="AS881" s="68"/>
      <c r="AT881" s="68"/>
      <c r="AU881" s="68"/>
      <c r="AV881" s="68"/>
      <c r="AW881" s="68"/>
      <c r="AX881" s="68"/>
      <c r="AY881" s="68"/>
      <c r="AZ881" s="68"/>
      <c r="BB881" s="68"/>
      <c r="BC881" s="68"/>
      <c r="BJ881" s="68"/>
      <c r="BT881">
        <v>1</v>
      </c>
      <c r="BV881">
        <v>1</v>
      </c>
      <c r="BX881" s="68"/>
      <c r="BY881" s="68">
        <v>1</v>
      </c>
      <c r="BZ881" s="68" t="s">
        <v>1057</v>
      </c>
      <c r="CA881" s="68" t="s">
        <v>1057</v>
      </c>
      <c r="CB881" s="68" t="s">
        <v>1057</v>
      </c>
      <c r="CC881" s="68" t="e">
        <f t="shared" si="152"/>
        <v>#DIV/0!</v>
      </c>
      <c r="CD881" s="68" t="str">
        <f t="shared" si="153"/>
        <v>NA</v>
      </c>
    </row>
    <row r="882" spans="1:82" ht="15.75" customHeight="1" thickBot="1" x14ac:dyDescent="0.3">
      <c r="A882" s="9">
        <v>881</v>
      </c>
      <c r="B882" s="10" t="s">
        <v>1183</v>
      </c>
      <c r="C882" s="10" t="s">
        <v>311</v>
      </c>
      <c r="D882" s="10" t="s">
        <v>53</v>
      </c>
      <c r="E882" s="51">
        <v>-272.34764363283603</v>
      </c>
      <c r="F882" s="51">
        <v>0</v>
      </c>
      <c r="G882" s="51">
        <v>0</v>
      </c>
      <c r="H882" s="51">
        <v>0</v>
      </c>
      <c r="I882" s="11" t="s">
        <v>1057</v>
      </c>
      <c r="J882" s="51" t="s">
        <v>1057</v>
      </c>
      <c r="K882" s="249" t="str">
        <f>IFERROR(VLOOKUP(C882,Schedule!$T$3:$U$34,2,0),"FA")</f>
        <v>FA</v>
      </c>
      <c r="L882" s="10" t="str">
        <f>D882&amp;COUNTIF(D$2:$D882,D882)</f>
        <v>QB100</v>
      </c>
      <c r="M882" s="51">
        <f t="array" ref="M882">IFERROR(F882-AVERAGE(VLOOKUP(D882,$D883:$F$885,3,0),INDEX($F883:$F$885,SMALL(IF(D882=$D883:$D$885,ROW($D883:$D$885)-ROW(D882)),2))),0)</f>
        <v>0</v>
      </c>
      <c r="N882" s="51">
        <f>IFERROR(IF(VLOOKUP($B882,Input!$AC$2:$AC$162,1,0)=$B882,0),F882)</f>
        <v>0</v>
      </c>
      <c r="O882" s="51">
        <f>IFERROR(IF(VLOOKUP($B882,Input!$AC$2:$AC$162,1,0)=$B882,0,G882),G882)</f>
        <v>0</v>
      </c>
      <c r="P882" s="51">
        <f>IF(N882=0,0,F882-AVERAGE(INDEX(F:F,MATCH(VLOOKUP(D882,Input!$A$14:$L$22,10,0),L:L,0)),INDEX(F:F,MATCH(VLOOKUP(D882,Input!$A$14:$L$22,11,0),L:L,0)),INDEX(F:F,MATCH(VLOOKUP(D882,Input!$A$14:$L$22,12,0),L:L,0)))+(0.01-ROW()*0.01))</f>
        <v>0</v>
      </c>
      <c r="Q882" s="107">
        <f t="shared" si="148"/>
        <v>0</v>
      </c>
      <c r="R882" s="11">
        <f>IF(VLOOKUP($D882,$X$14:$Y$19,2,0)&lt;=0,1,IF(Q882&lt;0,1,ROUNDUP(IF(Q882*('Draft Center'!$L$28+'Draft Center'!$L$78-'Draft Center'!$L$82)&lt;1,1,Q882*('Draft Center'!$L$28+'Draft Center'!$L$78-'Draft Center'!$L$82)),0)))</f>
        <v>1</v>
      </c>
      <c r="S882" s="11">
        <f>IF(A882&lt;Input!$B$10+0.1,IF(ROUNDUP(R882*Input!$C$10,0)=0,1,ROUNDUP(R882*Input!$C$10,0)),IF(A882&gt;Input!$B$11,IF(ROUNDUP(R882*Input!$C$11,0)=0,1,ROUNDUP(R882*Input!$C$11,0)),IF(ROUNDUP(R882,0)=0,1,ROUNDUP(R882,0))))</f>
        <v>1</v>
      </c>
      <c r="T882" s="11">
        <f t="shared" si="149"/>
        <v>1</v>
      </c>
      <c r="U882" s="11">
        <f>IFERROR(VLOOKUP($B882,Input!$AC$2:$AE$161,3,0),0)</f>
        <v>0</v>
      </c>
      <c r="V882" s="257">
        <f t="shared" si="150"/>
        <v>0</v>
      </c>
      <c r="W882" s="264">
        <f t="shared" si="151"/>
        <v>0</v>
      </c>
      <c r="X882" s="68"/>
      <c r="Y882" s="68"/>
      <c r="Z882" s="68"/>
      <c r="AA882" s="68"/>
      <c r="AB882" s="68"/>
      <c r="AC882" s="68"/>
      <c r="AD882" s="68"/>
      <c r="AE882" s="68"/>
      <c r="AF882" s="68"/>
      <c r="AG882" s="68"/>
      <c r="AH882" s="68"/>
      <c r="AI882" s="68"/>
      <c r="AJ882" s="68">
        <v>1</v>
      </c>
      <c r="AL882" s="68">
        <v>1</v>
      </c>
      <c r="AM882" s="68"/>
      <c r="AN882" s="68"/>
      <c r="AO882" s="68"/>
      <c r="AQ882" s="68"/>
      <c r="AR882" s="68"/>
      <c r="AS882" s="68"/>
      <c r="AT882" s="68"/>
      <c r="AU882" s="68"/>
      <c r="AV882" s="68"/>
      <c r="AW882" s="68"/>
      <c r="AX882" s="68"/>
      <c r="AY882" s="68"/>
      <c r="AZ882" s="68"/>
      <c r="BB882" s="68"/>
      <c r="BC882" s="68"/>
      <c r="BJ882" s="68"/>
      <c r="BT882">
        <v>1</v>
      </c>
      <c r="BV882">
        <v>1</v>
      </c>
      <c r="BX882" s="68"/>
      <c r="BY882" s="68">
        <v>1</v>
      </c>
      <c r="BZ882" s="68" t="s">
        <v>1057</v>
      </c>
      <c r="CA882" s="68" t="s">
        <v>1057</v>
      </c>
      <c r="CB882" s="68" t="s">
        <v>1057</v>
      </c>
      <c r="CC882" s="68" t="e">
        <f t="shared" si="152"/>
        <v>#DIV/0!</v>
      </c>
      <c r="CD882" s="68" t="str">
        <f t="shared" si="153"/>
        <v>NA</v>
      </c>
    </row>
    <row r="883" spans="1:82" ht="15.75" customHeight="1" thickBot="1" x14ac:dyDescent="0.3">
      <c r="A883" s="6">
        <v>882</v>
      </c>
      <c r="B883" s="7" t="s">
        <v>1184</v>
      </c>
      <c r="C883" s="7" t="s">
        <v>311</v>
      </c>
      <c r="D883" s="7" t="s">
        <v>53</v>
      </c>
      <c r="E883" s="50">
        <v>-272.34764363283603</v>
      </c>
      <c r="F883" s="50">
        <v>0</v>
      </c>
      <c r="G883" s="50">
        <v>0</v>
      </c>
      <c r="H883" s="50">
        <v>0</v>
      </c>
      <c r="I883" s="8" t="s">
        <v>1057</v>
      </c>
      <c r="J883" s="50" t="s">
        <v>1057</v>
      </c>
      <c r="K883" s="248" t="str">
        <f>IFERROR(VLOOKUP(C883,Schedule!$T$3:$U$34,2,0),"FA")</f>
        <v>FA</v>
      </c>
      <c r="L883" s="7" t="str">
        <f>D883&amp;COUNTIF(D$2:$D883,D883)</f>
        <v>QB101</v>
      </c>
      <c r="M883" s="50">
        <f t="array" ref="M883">IFERROR(F883-AVERAGE(VLOOKUP(D883,$D884:$F$885,3,0),INDEX($F884:$F$885,SMALL(IF(D883=$D884:$D$885,ROW($D884:$D$885)-ROW(D883)),2))),0)</f>
        <v>0</v>
      </c>
      <c r="N883" s="50">
        <f>IFERROR(IF(VLOOKUP($B883,Input!$AC$2:$AC$162,1,0)=$B883,0),F883)</f>
        <v>0</v>
      </c>
      <c r="O883" s="50">
        <f>IFERROR(IF(VLOOKUP($B883,Input!$AC$2:$AC$162,1,0)=$B883,0,G883),G883)</f>
        <v>0</v>
      </c>
      <c r="P883" s="50">
        <f>IF(N883=0,0,F883-AVERAGE(INDEX(F:F,MATCH(VLOOKUP(D883,Input!$A$14:$L$22,10,0),L:L,0)),INDEX(F:F,MATCH(VLOOKUP(D883,Input!$A$14:$L$22,11,0),L:L,0)),INDEX(F:F,MATCH(VLOOKUP(D883,Input!$A$14:$L$22,12,0),L:L,0)))+(0.01-ROW()*0.01))</f>
        <v>0</v>
      </c>
      <c r="Q883" s="106">
        <f t="shared" si="148"/>
        <v>0</v>
      </c>
      <c r="R883" s="8">
        <f>IF(VLOOKUP($D883,$X$14:$Y$19,2,0)&lt;=0,1,IF(Q883&lt;0,1,ROUNDUP(IF(Q883*('Draft Center'!$L$28+'Draft Center'!$L$78-'Draft Center'!$L$82)&lt;1,1,Q883*('Draft Center'!$L$28+'Draft Center'!$L$78-'Draft Center'!$L$82)),0)))</f>
        <v>1</v>
      </c>
      <c r="S883" s="8">
        <f>IF(A883&lt;Input!$B$10+0.1,IF(ROUNDUP(R883*Input!$C$10,0)=0,1,ROUNDUP(R883*Input!$C$10,0)),IF(A883&gt;Input!$B$11,IF(ROUNDUP(R883*Input!$C$11,0)=0,1,ROUNDUP(R883*Input!$C$11,0)),IF(ROUNDUP(R883,0)=0,1,ROUNDUP(R883,0))))</f>
        <v>1</v>
      </c>
      <c r="T883" s="8">
        <f t="shared" si="149"/>
        <v>1</v>
      </c>
      <c r="U883" s="8">
        <f>IFERROR(VLOOKUP($B883,Input!$AC$2:$AE$161,3,0),0)</f>
        <v>0</v>
      </c>
      <c r="V883" s="256">
        <f t="shared" si="150"/>
        <v>0</v>
      </c>
      <c r="W883" s="263">
        <f t="shared" si="151"/>
        <v>0</v>
      </c>
      <c r="X883" s="68"/>
      <c r="Y883" s="68"/>
      <c r="Z883" s="68"/>
      <c r="AA883" s="68"/>
      <c r="AB883" s="68"/>
      <c r="AC883" s="68"/>
      <c r="AD883" s="68"/>
      <c r="AE883" s="68"/>
      <c r="AF883" s="68"/>
      <c r="AG883" s="68"/>
      <c r="AH883" s="68"/>
      <c r="AI883" s="68"/>
      <c r="AJ883" s="68">
        <v>1</v>
      </c>
      <c r="AL883" s="68">
        <v>1</v>
      </c>
      <c r="AM883" s="68"/>
      <c r="AN883" s="68"/>
      <c r="AO883" s="68"/>
      <c r="AQ883" s="68"/>
      <c r="AR883" s="68"/>
      <c r="AS883" s="68"/>
      <c r="AT883" s="68"/>
      <c r="AU883" s="68"/>
      <c r="AV883" s="68"/>
      <c r="AW883" s="68"/>
      <c r="AX883" s="68"/>
      <c r="AY883" s="68"/>
      <c r="AZ883" s="68"/>
      <c r="BB883" s="68"/>
      <c r="BC883" s="68"/>
      <c r="BJ883" s="68"/>
      <c r="BT883">
        <v>1</v>
      </c>
      <c r="BV883">
        <v>1</v>
      </c>
      <c r="BX883" s="68"/>
      <c r="BY883" s="68">
        <v>1</v>
      </c>
      <c r="BZ883" s="68" t="s">
        <v>1057</v>
      </c>
      <c r="CA883" s="68" t="s">
        <v>1057</v>
      </c>
      <c r="CB883" s="68" t="s">
        <v>1057</v>
      </c>
      <c r="CC883" s="68" t="e">
        <f t="shared" si="152"/>
        <v>#DIV/0!</v>
      </c>
      <c r="CD883" s="68" t="str">
        <f t="shared" si="153"/>
        <v>NA</v>
      </c>
    </row>
    <row r="884" spans="1:82" ht="15.75" customHeight="1" thickBot="1" x14ac:dyDescent="0.3">
      <c r="A884" s="9">
        <v>883</v>
      </c>
      <c r="B884" s="10" t="s">
        <v>1185</v>
      </c>
      <c r="C884" s="10" t="s">
        <v>311</v>
      </c>
      <c r="D884" s="10" t="s">
        <v>53</v>
      </c>
      <c r="E884" s="51">
        <v>-272.34764363283603</v>
      </c>
      <c r="F884" s="51">
        <v>0</v>
      </c>
      <c r="G884" s="51">
        <v>0</v>
      </c>
      <c r="H884" s="51">
        <v>0</v>
      </c>
      <c r="I884" s="11" t="s">
        <v>1057</v>
      </c>
      <c r="J884" s="51" t="s">
        <v>1057</v>
      </c>
      <c r="K884" s="249" t="str">
        <f>IFERROR(VLOOKUP(C884,Schedule!$T$3:$U$34,2,0),"FA")</f>
        <v>FA</v>
      </c>
      <c r="L884" s="10" t="str">
        <f>D884&amp;COUNTIF(D$2:$D884,D884)</f>
        <v>QB102</v>
      </c>
      <c r="M884" s="51">
        <f t="array" ref="M884">IFERROR(F884-AVERAGE(VLOOKUP(D884,$D885:$F$885,3,0),INDEX($F885:$F$885,SMALL(IF(D884=$D885:$D$885,ROW($D885:$D$885)-ROW(D884)),2))),0)</f>
        <v>0</v>
      </c>
      <c r="N884" s="51">
        <f>IFERROR(IF(VLOOKUP($B884,Input!$AC$2:$AC$162,1,0)=$B884,0),F884)</f>
        <v>0</v>
      </c>
      <c r="O884" s="51">
        <f>IFERROR(IF(VLOOKUP($B884,Input!$AC$2:$AC$162,1,0)=$B884,0,G884),G884)</f>
        <v>0</v>
      </c>
      <c r="P884" s="51">
        <f>IF(N884=0,0,F884-AVERAGE(INDEX(F:F,MATCH(VLOOKUP(D884,Input!$A$14:$L$22,10,0),L:L,0)),INDEX(F:F,MATCH(VLOOKUP(D884,Input!$A$14:$L$22,11,0),L:L,0)),INDEX(F:F,MATCH(VLOOKUP(D884,Input!$A$14:$L$22,12,0),L:L,0)))+(0.01-ROW()*0.01))</f>
        <v>0</v>
      </c>
      <c r="Q884" s="107">
        <f t="shared" si="148"/>
        <v>0</v>
      </c>
      <c r="R884" s="11">
        <f>IF(VLOOKUP($D884,$X$14:$Y$19,2,0)&lt;=0,1,IF(Q884&lt;0,1,ROUNDUP(IF(Q884*('Draft Center'!$L$28+'Draft Center'!$L$78-'Draft Center'!$L$82)&lt;1,1,Q884*('Draft Center'!$L$28+'Draft Center'!$L$78-'Draft Center'!$L$82)),0)))</f>
        <v>1</v>
      </c>
      <c r="S884" s="11">
        <f>IF(A884&lt;Input!$B$10+0.1,IF(ROUNDUP(R884*Input!$C$10,0)=0,1,ROUNDUP(R884*Input!$C$10,0)),IF(A884&gt;Input!$B$11,IF(ROUNDUP(R884*Input!$C$11,0)=0,1,ROUNDUP(R884*Input!$C$11,0)),IF(ROUNDUP(R884,0)=0,1,ROUNDUP(R884,0))))</f>
        <v>1</v>
      </c>
      <c r="T884" s="11">
        <f t="shared" si="149"/>
        <v>1</v>
      </c>
      <c r="U884" s="11">
        <f>IFERROR(VLOOKUP($B884,Input!$AC$2:$AE$161,3,0),0)</f>
        <v>0</v>
      </c>
      <c r="V884" s="257">
        <f t="shared" si="150"/>
        <v>0</v>
      </c>
      <c r="W884" s="264">
        <f t="shared" si="151"/>
        <v>0</v>
      </c>
      <c r="X884" s="68"/>
      <c r="Y884" s="68"/>
      <c r="Z884" s="68"/>
      <c r="AA884" s="68"/>
      <c r="AB884" s="68"/>
      <c r="AC884" s="68"/>
      <c r="AD884" s="68"/>
      <c r="AE884" s="68"/>
      <c r="AF884" s="68"/>
      <c r="AG884" s="68"/>
      <c r="AH884" s="68"/>
      <c r="AI884" s="68"/>
      <c r="AJ884" s="68">
        <v>1</v>
      </c>
      <c r="AL884" s="68">
        <v>1</v>
      </c>
      <c r="AM884" s="68"/>
      <c r="AN884" s="68"/>
      <c r="AO884" s="68"/>
      <c r="AQ884" s="68"/>
      <c r="AR884" s="68"/>
      <c r="AS884" s="68"/>
      <c r="AT884" s="68"/>
      <c r="AU884" s="68"/>
      <c r="AV884" s="68"/>
      <c r="AW884" s="68"/>
      <c r="AX884" s="68"/>
      <c r="AY884" s="68"/>
      <c r="AZ884" s="68"/>
      <c r="BB884" s="68"/>
      <c r="BC884" s="68"/>
      <c r="BJ884" s="68"/>
      <c r="BT884">
        <v>1</v>
      </c>
      <c r="BV884">
        <v>1</v>
      </c>
      <c r="BX884" s="68"/>
      <c r="BY884" s="68">
        <v>1</v>
      </c>
      <c r="BZ884" s="68" t="s">
        <v>1057</v>
      </c>
      <c r="CA884" s="68" t="s">
        <v>1057</v>
      </c>
      <c r="CB884" s="68" t="s">
        <v>1057</v>
      </c>
      <c r="CC884" s="68" t="e">
        <f t="shared" si="152"/>
        <v>#DIV/0!</v>
      </c>
      <c r="CD884" s="68" t="str">
        <f t="shared" si="153"/>
        <v>NA</v>
      </c>
    </row>
    <row r="885" spans="1:82" ht="15.75" customHeight="1" thickBot="1" x14ac:dyDescent="0.3">
      <c r="A885" s="6">
        <v>884</v>
      </c>
      <c r="B885" s="7" t="s">
        <v>1186</v>
      </c>
      <c r="C885" s="7" t="s">
        <v>311</v>
      </c>
      <c r="D885" s="7" t="s">
        <v>53</v>
      </c>
      <c r="E885" s="50">
        <v>-272.34764363283603</v>
      </c>
      <c r="F885" s="50">
        <v>0</v>
      </c>
      <c r="G885" s="50">
        <v>0</v>
      </c>
      <c r="H885" s="50">
        <v>0</v>
      </c>
      <c r="I885" s="8" t="s">
        <v>1057</v>
      </c>
      <c r="J885" s="50">
        <v>2.5089052108205601</v>
      </c>
      <c r="K885" s="248" t="str">
        <f>IFERROR(VLOOKUP(C885,Schedule!$T$3:$U$34,2,0),"FA")</f>
        <v>FA</v>
      </c>
      <c r="L885" s="7" t="str">
        <f>D885&amp;COUNTIF(D$2:$D885,D885)</f>
        <v>QB103</v>
      </c>
      <c r="M885" s="50">
        <f t="array" ref="M885">IFERROR(F885-AVERAGE(VLOOKUP(D885,$D$885:$F885,3,0),INDEX($F$885:$F885,SMALL(IF(D885=$D$885:$D885,ROW($D$885:$D885)-ROW(D885)),2))),0)</f>
        <v>0</v>
      </c>
      <c r="N885" s="50">
        <f>IFERROR(IF(VLOOKUP($B885,Input!$AC$2:$AC$162,1,0)=$B885,0),F885)</f>
        <v>0</v>
      </c>
      <c r="O885" s="50">
        <f>IFERROR(IF(VLOOKUP($B885,Input!$AC$2:$AC$162,1,0)=$B885,0,G885),G885)</f>
        <v>0</v>
      </c>
      <c r="P885" s="50">
        <f>IF(N885=0,0,F885-AVERAGE(INDEX(F:F,MATCH(VLOOKUP(D885,Input!$A$14:$L$22,10,0),L:L,0)),INDEX(F:F,MATCH(VLOOKUP(D885,Input!$A$14:$L$22,11,0),L:L,0)),INDEX(F:F,MATCH(VLOOKUP(D885,Input!$A$14:$L$22,12,0),L:L,0)))+(0.01-ROW()*0.01))</f>
        <v>0</v>
      </c>
      <c r="Q885" s="106">
        <f t="shared" si="148"/>
        <v>0</v>
      </c>
      <c r="R885" s="8">
        <f>IF(VLOOKUP($D885,$X$14:$Y$19,2,0)&lt;=0,1,IF(Q885&lt;0,1,ROUNDUP(IF(Q885*('Draft Center'!$L$28+'Draft Center'!$L$78-'Draft Center'!$L$82)&lt;1,1,Q885*('Draft Center'!$L$28+'Draft Center'!$L$78-'Draft Center'!$L$82)),0)))</f>
        <v>1</v>
      </c>
      <c r="S885" s="8">
        <f>IF(A885&lt;Input!$B$10+0.1,IF(ROUNDUP(R885*Input!$C$10,0)=0,1,ROUNDUP(R885*Input!$C$10,0)),IF(A885&gt;Input!$B$11,IF(ROUNDUP(R885*Input!$C$11,0)=0,1,ROUNDUP(R885*Input!$C$11,0)),IF(ROUNDUP(R885,0)=0,1,ROUNDUP(R885,0))))</f>
        <v>1</v>
      </c>
      <c r="T885" s="8">
        <f t="shared" si="149"/>
        <v>1</v>
      </c>
      <c r="U885" s="8">
        <f>IFERROR(VLOOKUP($B885,Input!$AC$2:$AE$161,3,0),0)</f>
        <v>0</v>
      </c>
      <c r="V885" s="256">
        <f t="shared" si="150"/>
        <v>0</v>
      </c>
      <c r="W885" s="263">
        <f t="shared" si="151"/>
        <v>0</v>
      </c>
      <c r="X885" s="68"/>
      <c r="Y885" s="68"/>
      <c r="Z885" s="68"/>
      <c r="AA885" s="68"/>
      <c r="AB885" s="68"/>
      <c r="AC885" s="68"/>
      <c r="AD885" s="68"/>
      <c r="AE885" s="68"/>
      <c r="AF885" s="68"/>
      <c r="AG885" s="68"/>
      <c r="AH885" s="68"/>
      <c r="AI885" s="68"/>
      <c r="AJ885" s="68">
        <v>1</v>
      </c>
      <c r="AL885" s="68">
        <v>1</v>
      </c>
      <c r="AM885" s="68"/>
      <c r="AN885" s="68"/>
      <c r="AO885" s="68"/>
      <c r="AQ885" s="68"/>
      <c r="AR885" s="68"/>
      <c r="AS885" s="68"/>
      <c r="AT885" s="68"/>
      <c r="AU885" s="68"/>
      <c r="AV885" s="68"/>
      <c r="AW885" s="68"/>
      <c r="AX885" s="68"/>
      <c r="AY885" s="68"/>
      <c r="AZ885" s="68"/>
      <c r="BB885" s="68"/>
      <c r="BC885" s="68"/>
      <c r="BJ885" s="68"/>
      <c r="BT885">
        <v>1</v>
      </c>
      <c r="BV885">
        <v>1</v>
      </c>
      <c r="BX885" s="68"/>
      <c r="BY885" s="68">
        <v>1</v>
      </c>
      <c r="BZ885" s="68" t="s">
        <v>1057</v>
      </c>
      <c r="CA885" s="68" t="s">
        <v>1057</v>
      </c>
      <c r="CB885" s="68" t="s">
        <v>1057</v>
      </c>
      <c r="CC885" s="68" t="e">
        <f t="shared" si="152"/>
        <v>#DIV/0!</v>
      </c>
      <c r="CD885" s="68" t="str">
        <f t="shared" si="153"/>
        <v>NA</v>
      </c>
    </row>
    <row r="886" spans="1:82" ht="15.75" thickBot="1" x14ac:dyDescent="0.3">
      <c r="A886" s="9">
        <v>885</v>
      </c>
      <c r="B886" s="10" t="s">
        <v>1187</v>
      </c>
      <c r="C886" s="10" t="s">
        <v>311</v>
      </c>
      <c r="D886" s="10" t="s">
        <v>53</v>
      </c>
      <c r="E886" s="51">
        <v>-272.34764363283603</v>
      </c>
      <c r="F886" s="51">
        <v>0</v>
      </c>
      <c r="G886" s="51">
        <v>0</v>
      </c>
      <c r="H886" s="51">
        <v>0</v>
      </c>
      <c r="I886" s="11" t="s">
        <v>1057</v>
      </c>
      <c r="J886" s="51" t="s">
        <v>1057</v>
      </c>
      <c r="K886" s="249" t="str">
        <f>IFERROR(VLOOKUP(C886,Schedule!$T$3:$U$34,2,0),"FA")</f>
        <v>FA</v>
      </c>
      <c r="L886" s="10" t="str">
        <f>D886&amp;COUNTIF(D$2:$D886,D886)</f>
        <v>QB104</v>
      </c>
      <c r="M886" s="51">
        <f t="array" ref="M886">IFERROR(F886-AVERAGE(VLOOKUP(D886,$D$885:$F886,3,0),INDEX($F$885:$F886,SMALL(IF(D886=$D$885:$D886,ROW($D$885:$D886)-ROW(D886)),2))),0)</f>
        <v>0</v>
      </c>
      <c r="N886" s="51">
        <f>IFERROR(IF(VLOOKUP($B886,Input!$AC$2:$AC$162,1,0)=$B886,0),F886)</f>
        <v>0</v>
      </c>
      <c r="O886" s="51">
        <f>IFERROR(IF(VLOOKUP($B886,Input!$AC$2:$AC$162,1,0)=$B886,0,G886),G886)</f>
        <v>0</v>
      </c>
      <c r="P886" s="51">
        <f>IF(N886=0,0,F886-AVERAGE(INDEX(F:F,MATCH(VLOOKUP(D886,Input!$A$14:$L$22,10,0),L:L,0)),INDEX(F:F,MATCH(VLOOKUP(D886,Input!$A$14:$L$22,11,0),L:L,0)),INDEX(F:F,MATCH(VLOOKUP(D886,Input!$A$14:$L$22,12,0),L:L,0)))+(0.01-ROW()*0.01))</f>
        <v>0</v>
      </c>
      <c r="Q886" s="107">
        <f t="shared" si="148"/>
        <v>0</v>
      </c>
      <c r="R886" s="11">
        <f>IF(VLOOKUP($D886,$X$14:$Y$19,2,0)&lt;=0,1,IF(Q886&lt;0,1,ROUNDUP(IF(Q886*('Draft Center'!$L$28+'Draft Center'!$L$78-'Draft Center'!$L$82)&lt;1,1,Q886*('Draft Center'!$L$28+'Draft Center'!$L$78-'Draft Center'!$L$82)),0)))</f>
        <v>1</v>
      </c>
      <c r="S886" s="11">
        <f>IF(A886&lt;Input!$B$10+0.1,IF(ROUNDUP(R886*Input!$C$10,0)=0,1,ROUNDUP(R886*Input!$C$10,0)),IF(A886&gt;Input!$B$11,IF(ROUNDUP(R886*Input!$C$11,0)=0,1,ROUNDUP(R886*Input!$C$11,0)),IF(ROUNDUP(R886,0)=0,1,ROUNDUP(R886,0))))</f>
        <v>1</v>
      </c>
      <c r="T886" s="11">
        <f t="shared" si="149"/>
        <v>1</v>
      </c>
      <c r="U886" s="11">
        <f>IFERROR(VLOOKUP($B886,Input!$AC$2:$AE$161,3,0),0)</f>
        <v>0</v>
      </c>
      <c r="V886" s="257">
        <f t="shared" si="150"/>
        <v>0</v>
      </c>
      <c r="W886" s="264">
        <f t="shared" si="151"/>
        <v>0</v>
      </c>
      <c r="X886" s="68"/>
      <c r="Y886" s="68"/>
      <c r="Z886" s="68"/>
      <c r="AA886" s="68"/>
      <c r="AB886" s="68"/>
      <c r="AC886" s="68"/>
      <c r="AD886" s="68"/>
      <c r="AE886" s="68"/>
      <c r="AF886" s="68"/>
      <c r="AG886" s="68"/>
      <c r="AH886" s="68"/>
      <c r="AI886" s="68"/>
      <c r="AJ886" s="68">
        <v>1</v>
      </c>
      <c r="AL886" s="68">
        <v>1</v>
      </c>
      <c r="AM886" s="68"/>
      <c r="AN886" s="68"/>
      <c r="AO886" s="68"/>
      <c r="AQ886" s="68"/>
      <c r="AR886" s="68"/>
      <c r="AS886" s="68"/>
      <c r="AT886" s="68"/>
      <c r="AU886" s="68"/>
      <c r="AV886" s="68"/>
      <c r="AW886" s="68"/>
      <c r="AX886" s="68"/>
      <c r="AY886" s="68"/>
      <c r="AZ886" s="68"/>
      <c r="BB886" s="68"/>
      <c r="BC886" s="68"/>
      <c r="BJ886" s="68"/>
      <c r="BT886">
        <v>1</v>
      </c>
      <c r="BV886">
        <v>1</v>
      </c>
      <c r="BX886" s="68"/>
      <c r="BY886" s="68">
        <v>1</v>
      </c>
      <c r="BZ886" s="68" t="s">
        <v>1057</v>
      </c>
      <c r="CA886" s="68" t="s">
        <v>1057</v>
      </c>
      <c r="CB886" s="68" t="s">
        <v>1057</v>
      </c>
      <c r="CC886" s="68" t="e">
        <f t="shared" si="152"/>
        <v>#DIV/0!</v>
      </c>
      <c r="CD886" s="68" t="str">
        <f t="shared" si="153"/>
        <v>NA</v>
      </c>
    </row>
    <row r="887" spans="1:82" ht="15.75" thickBot="1" x14ac:dyDescent="0.3">
      <c r="A887" s="6">
        <v>886</v>
      </c>
      <c r="B887" s="7" t="s">
        <v>1188</v>
      </c>
      <c r="C887" s="7" t="s">
        <v>311</v>
      </c>
      <c r="D887" s="7" t="s">
        <v>53</v>
      </c>
      <c r="E887" s="50">
        <v>-272.34764363283603</v>
      </c>
      <c r="F887" s="50">
        <v>0</v>
      </c>
      <c r="G887" s="50">
        <v>0</v>
      </c>
      <c r="H887" s="50">
        <v>0</v>
      </c>
      <c r="I887" s="8" t="s">
        <v>1057</v>
      </c>
      <c r="J887" s="50" t="s">
        <v>1057</v>
      </c>
      <c r="K887" s="248" t="str">
        <f>IFERROR(VLOOKUP(C887,Schedule!$T$3:$U$34,2,0),"FA")</f>
        <v>FA</v>
      </c>
      <c r="L887" s="7" t="str">
        <f>D887&amp;COUNTIF(D$2:$D887,D887)</f>
        <v>QB105</v>
      </c>
      <c r="M887" s="50">
        <f t="array" ref="M887">IFERROR(F887-AVERAGE(VLOOKUP(D887,$D$885:$F887,3,0),INDEX($F$885:$F887,SMALL(IF(D887=$D$885:$D887,ROW($D$885:$D887)-ROW(D887)),2))),0)</f>
        <v>0</v>
      </c>
      <c r="N887" s="50">
        <f>IFERROR(IF(VLOOKUP($B887,Input!$AC$2:$AC$162,1,0)=$B887,0),F887)</f>
        <v>0</v>
      </c>
      <c r="O887" s="50">
        <f>IFERROR(IF(VLOOKUP($B887,Input!$AC$2:$AC$162,1,0)=$B887,0,G887),G887)</f>
        <v>0</v>
      </c>
      <c r="P887" s="50">
        <f>IF(N887=0,0,F887-AVERAGE(INDEX(F:F,MATCH(VLOOKUP(D887,Input!$A$14:$L$22,10,0),L:L,0)),INDEX(F:F,MATCH(VLOOKUP(D887,Input!$A$14:$L$22,11,0),L:L,0)),INDEX(F:F,MATCH(VLOOKUP(D887,Input!$A$14:$L$22,12,0),L:L,0)))+(0.01-ROW()*0.01))</f>
        <v>0</v>
      </c>
      <c r="Q887" s="106">
        <f t="shared" si="148"/>
        <v>0</v>
      </c>
      <c r="R887" s="8">
        <f>IF(VLOOKUP($D887,$X$14:$Y$19,2,0)&lt;=0,1,IF(Q887&lt;0,1,ROUNDUP(IF(Q887*('Draft Center'!$L$28+'Draft Center'!$L$78-'Draft Center'!$L$82)&lt;1,1,Q887*('Draft Center'!$L$28+'Draft Center'!$L$78-'Draft Center'!$L$82)),0)))</f>
        <v>1</v>
      </c>
      <c r="S887" s="8">
        <f>IF(A887&lt;Input!$B$10+0.1,IF(ROUNDUP(R887*Input!$C$10,0)=0,1,ROUNDUP(R887*Input!$C$10,0)),IF(A887&gt;Input!$B$11,IF(ROUNDUP(R887*Input!$C$11,0)=0,1,ROUNDUP(R887*Input!$C$11,0)),IF(ROUNDUP(R887,0)=0,1,ROUNDUP(R887,0))))</f>
        <v>1</v>
      </c>
      <c r="T887" s="8">
        <f t="shared" si="149"/>
        <v>1</v>
      </c>
      <c r="U887" s="8">
        <f>IFERROR(VLOOKUP($B887,Input!$AC$2:$AE$161,3,0),0)</f>
        <v>0</v>
      </c>
      <c r="V887" s="256">
        <f t="shared" si="150"/>
        <v>0</v>
      </c>
      <c r="W887" s="263">
        <f t="shared" si="151"/>
        <v>0</v>
      </c>
      <c r="X887" s="68"/>
      <c r="Y887" s="68"/>
      <c r="Z887" s="68"/>
      <c r="AA887" s="68"/>
      <c r="AB887" s="68"/>
      <c r="AC887" s="68"/>
      <c r="AD887" s="68"/>
      <c r="AE887" s="68"/>
      <c r="AF887" s="68"/>
      <c r="AG887" s="68"/>
      <c r="AH887" s="68"/>
      <c r="AI887" s="68"/>
      <c r="AJ887" s="68">
        <v>1</v>
      </c>
      <c r="AL887" s="68">
        <v>1</v>
      </c>
      <c r="AM887" s="68"/>
      <c r="AN887" s="68"/>
      <c r="AO887" s="68"/>
      <c r="AQ887" s="68"/>
      <c r="AR887" s="68"/>
      <c r="AS887" s="68"/>
      <c r="AT887" s="68"/>
      <c r="AU887" s="68"/>
      <c r="AV887" s="68"/>
      <c r="AW887" s="68"/>
      <c r="AX887" s="68"/>
      <c r="AY887" s="68"/>
      <c r="AZ887" s="68"/>
      <c r="BB887" s="68"/>
      <c r="BC887" s="68"/>
      <c r="BJ887" s="68"/>
      <c r="BT887">
        <v>1</v>
      </c>
      <c r="BV887">
        <v>1</v>
      </c>
      <c r="BX887" s="68"/>
      <c r="BY887" s="68">
        <v>1</v>
      </c>
      <c r="BZ887" s="68" t="s">
        <v>1057</v>
      </c>
      <c r="CA887" s="68" t="s">
        <v>1057</v>
      </c>
      <c r="CB887" s="68" t="s">
        <v>1057</v>
      </c>
      <c r="CC887" s="68" t="e">
        <f t="shared" si="152"/>
        <v>#DIV/0!</v>
      </c>
      <c r="CD887" s="68" t="str">
        <f t="shared" si="153"/>
        <v>NA</v>
      </c>
    </row>
    <row r="888" spans="1:82" ht="15.75" thickBot="1" x14ac:dyDescent="0.3">
      <c r="A888" s="9">
        <v>887</v>
      </c>
      <c r="B888" s="10" t="s">
        <v>1189</v>
      </c>
      <c r="C888" s="10" t="s">
        <v>311</v>
      </c>
      <c r="D888" s="10" t="s">
        <v>53</v>
      </c>
      <c r="E888" s="51">
        <v>-272.34764363283603</v>
      </c>
      <c r="F888" s="51">
        <v>0</v>
      </c>
      <c r="G888" s="51">
        <v>0</v>
      </c>
      <c r="H888" s="51">
        <v>0</v>
      </c>
      <c r="I888" s="11" t="s">
        <v>1057</v>
      </c>
      <c r="J888" s="51">
        <v>2.5089052108205601</v>
      </c>
      <c r="K888" s="249" t="str">
        <f>IFERROR(VLOOKUP(C888,Schedule!$T$3:$U$34,2,0),"FA")</f>
        <v>FA</v>
      </c>
      <c r="L888" s="10" t="str">
        <f>D888&amp;COUNTIF(D$2:$D888,D888)</f>
        <v>QB106</v>
      </c>
      <c r="M888" s="51">
        <f t="array" ref="M888">IFERROR(F888-AVERAGE(VLOOKUP(D888,$D$885:$F888,3,0),INDEX($F$885:$F888,SMALL(IF(D888=$D$885:$D888,ROW($D$885:$D888)-ROW(D888)),2))),0)</f>
        <v>0</v>
      </c>
      <c r="N888" s="51">
        <f>IFERROR(IF(VLOOKUP($B888,Input!$AC$2:$AC$162,1,0)=$B888,0),F888)</f>
        <v>0</v>
      </c>
      <c r="O888" s="51">
        <f>IFERROR(IF(VLOOKUP($B888,Input!$AC$2:$AC$162,1,0)=$B888,0,G888),G888)</f>
        <v>0</v>
      </c>
      <c r="P888" s="51">
        <f>IF(N888=0,0,F888-AVERAGE(INDEX(F:F,MATCH(VLOOKUP(D888,Input!$A$14:$L$22,10,0),L:L,0)),INDEX(F:F,MATCH(VLOOKUP(D888,Input!$A$14:$L$22,11,0),L:L,0)),INDEX(F:F,MATCH(VLOOKUP(D888,Input!$A$14:$L$22,12,0),L:L,0)))+(0.01-ROW()*0.01))</f>
        <v>0</v>
      </c>
      <c r="Q888" s="107">
        <f t="shared" si="148"/>
        <v>0</v>
      </c>
      <c r="R888" s="11">
        <f>IF(VLOOKUP($D888,$X$14:$Y$19,2,0)&lt;=0,1,IF(Q888&lt;0,1,ROUNDUP(IF(Q888*('Draft Center'!$L$28+'Draft Center'!$L$78-'Draft Center'!$L$82)&lt;1,1,Q888*('Draft Center'!$L$28+'Draft Center'!$L$78-'Draft Center'!$L$82)),0)))</f>
        <v>1</v>
      </c>
      <c r="S888" s="11">
        <f>IF(A888&lt;Input!$B$10+0.1,IF(ROUNDUP(R888*Input!$C$10,0)=0,1,ROUNDUP(R888*Input!$C$10,0)),IF(A888&gt;Input!$B$11,IF(ROUNDUP(R888*Input!$C$11,0)=0,1,ROUNDUP(R888*Input!$C$11,0)),IF(ROUNDUP(R888,0)=0,1,ROUNDUP(R888,0))))</f>
        <v>1</v>
      </c>
      <c r="T888" s="11">
        <f t="shared" si="149"/>
        <v>1</v>
      </c>
      <c r="U888" s="11">
        <f>IFERROR(VLOOKUP($B888,Input!$AC$2:$AE$161,3,0),0)</f>
        <v>0</v>
      </c>
      <c r="V888" s="257">
        <f t="shared" si="150"/>
        <v>0</v>
      </c>
      <c r="W888" s="264">
        <f t="shared" si="151"/>
        <v>0</v>
      </c>
      <c r="X888" s="68"/>
      <c r="Y888" s="68"/>
      <c r="Z888" s="68"/>
      <c r="AA888" s="68"/>
      <c r="AB888" s="68"/>
      <c r="AC888" s="68"/>
      <c r="AD888" s="68"/>
      <c r="AE888" s="68"/>
      <c r="AF888" s="68"/>
      <c r="AG888" s="68"/>
      <c r="AH888" s="68"/>
      <c r="AI888" s="68"/>
      <c r="AJ888" s="68">
        <v>1</v>
      </c>
      <c r="AL888" s="68">
        <v>1</v>
      </c>
      <c r="AM888" s="68"/>
      <c r="AN888" s="68"/>
      <c r="AO888" s="68"/>
      <c r="AQ888" s="68"/>
      <c r="AR888" s="68"/>
      <c r="AS888" s="68"/>
      <c r="AT888" s="68"/>
      <c r="AU888" s="68"/>
      <c r="AV888" s="68"/>
      <c r="AW888" s="68"/>
      <c r="AX888" s="68"/>
      <c r="AY888" s="68"/>
      <c r="AZ888" s="68"/>
      <c r="BB888" s="68"/>
      <c r="BC888" s="68"/>
      <c r="BJ888" s="68"/>
      <c r="BT888">
        <v>1</v>
      </c>
      <c r="BV888">
        <v>1</v>
      </c>
      <c r="BX888" s="68"/>
      <c r="BY888" s="68">
        <v>1</v>
      </c>
      <c r="BZ888" s="68" t="s">
        <v>1057</v>
      </c>
      <c r="CA888" s="68" t="s">
        <v>1057</v>
      </c>
      <c r="CB888" s="68" t="s">
        <v>1057</v>
      </c>
      <c r="CC888" s="68" t="e">
        <f t="shared" si="152"/>
        <v>#DIV/0!</v>
      </c>
      <c r="CD888" s="68" t="str">
        <f t="shared" si="153"/>
        <v>NA</v>
      </c>
    </row>
    <row r="889" spans="1:82" ht="15.75" thickBot="1" x14ac:dyDescent="0.3">
      <c r="A889" s="6">
        <v>888</v>
      </c>
      <c r="B889" s="7" t="s">
        <v>1051</v>
      </c>
      <c r="C889" s="7" t="s">
        <v>29</v>
      </c>
      <c r="D889" s="7" t="s">
        <v>53</v>
      </c>
      <c r="E889" s="50">
        <v>-272.34764363283603</v>
      </c>
      <c r="F889" s="50">
        <v>0</v>
      </c>
      <c r="G889" s="50">
        <v>0</v>
      </c>
      <c r="H889" s="50">
        <v>0</v>
      </c>
      <c r="I889" s="8">
        <v>0</v>
      </c>
      <c r="J889" s="50">
        <v>2.5089052108205601</v>
      </c>
      <c r="K889" s="248">
        <f>IFERROR(VLOOKUP(C889,Schedule!$T$3:$U$34,2,0),"FA")</f>
        <v>8</v>
      </c>
      <c r="L889" s="7" t="str">
        <f>D889&amp;COUNTIF(D$2:$D889,D889)</f>
        <v>QB107</v>
      </c>
      <c r="M889" s="50">
        <f t="array" ref="M889">IFERROR(F889-AVERAGE(VLOOKUP(D889,$D$885:$F889,3,0),INDEX($F$885:$F889,SMALL(IF(D889=$D$885:$D889,ROW($D$885:$D889)-ROW(D889)),2))),0)</f>
        <v>0</v>
      </c>
      <c r="N889" s="50">
        <f>IFERROR(IF(VLOOKUP($B889,Input!$AC$2:$AC$162,1,0)=$B889,0),F889)</f>
        <v>0</v>
      </c>
      <c r="O889" s="50">
        <f>IFERROR(IF(VLOOKUP($B889,Input!$AC$2:$AC$162,1,0)=$B889,0,G889),G889)</f>
        <v>0</v>
      </c>
      <c r="P889" s="50">
        <f>IF(N889=0,0,F889-AVERAGE(INDEX(F:F,MATCH(VLOOKUP(D889,Input!$A$14:$L$22,10,0),L:L,0)),INDEX(F:F,MATCH(VLOOKUP(D889,Input!$A$14:$L$22,11,0),L:L,0)),INDEX(F:F,MATCH(VLOOKUP(D889,Input!$A$14:$L$22,12,0),L:L,0)))+(0.01-ROW()*0.01))</f>
        <v>0</v>
      </c>
      <c r="Q889" s="106">
        <f t="shared" si="148"/>
        <v>0</v>
      </c>
      <c r="R889" s="8">
        <f>IF(VLOOKUP($D889,$X$14:$Y$19,2,0)&lt;=0,1,IF(Q889&lt;0,1,ROUNDUP(IF(Q889*('Draft Center'!$L$28+'Draft Center'!$L$78-'Draft Center'!$L$82)&lt;1,1,Q889*('Draft Center'!$L$28+'Draft Center'!$L$78-'Draft Center'!$L$82)),0)))</f>
        <v>1</v>
      </c>
      <c r="S889" s="8">
        <f>IF(A889&lt;Input!$B$10+0.1,IF(ROUNDUP(R889*Input!$C$10,0)=0,1,ROUNDUP(R889*Input!$C$10,0)),IF(A889&gt;Input!$B$11,IF(ROUNDUP(R889*Input!$C$11,0)=0,1,ROUNDUP(R889*Input!$C$11,0)),IF(ROUNDUP(R889,0)=0,1,ROUNDUP(R889,0))))</f>
        <v>1</v>
      </c>
      <c r="T889" s="8">
        <f t="shared" si="149"/>
        <v>1</v>
      </c>
      <c r="U889" s="8">
        <f>IFERROR(VLOOKUP($B889,Input!$AC$2:$AE$161,3,0),0)</f>
        <v>0</v>
      </c>
      <c r="V889" s="256">
        <f t="shared" si="150"/>
        <v>0</v>
      </c>
      <c r="W889" s="263">
        <f t="shared" si="151"/>
        <v>1.0088900000000001</v>
      </c>
      <c r="X889" s="68"/>
      <c r="Y889" s="68"/>
      <c r="Z889" s="68"/>
      <c r="AA889" s="68"/>
      <c r="AB889" s="68"/>
      <c r="AC889" s="68"/>
      <c r="AD889" s="68"/>
      <c r="AE889" s="68"/>
      <c r="AF889" s="68"/>
      <c r="AG889" s="68"/>
      <c r="AH889" s="68"/>
      <c r="AI889" s="68"/>
      <c r="AJ889" s="68">
        <v>1</v>
      </c>
      <c r="AL889" s="68">
        <v>1</v>
      </c>
      <c r="AM889" s="68"/>
      <c r="AN889" s="68"/>
      <c r="AO889" s="68"/>
      <c r="AQ889" s="68"/>
      <c r="AR889" s="68"/>
      <c r="AS889" s="68"/>
      <c r="AT889" s="68"/>
      <c r="AU889" s="68"/>
      <c r="AV889" s="68"/>
      <c r="AW889" s="68"/>
      <c r="AX889" s="68"/>
      <c r="AY889" s="68"/>
      <c r="AZ889" s="68"/>
      <c r="BB889" s="68"/>
      <c r="BC889" s="68"/>
      <c r="BJ889" s="68"/>
      <c r="BT889">
        <v>1</v>
      </c>
      <c r="BV889">
        <v>1</v>
      </c>
      <c r="BX889" s="68"/>
      <c r="BY889" s="68">
        <v>1</v>
      </c>
      <c r="BZ889" s="68">
        <v>0</v>
      </c>
      <c r="CA889" s="68">
        <v>0</v>
      </c>
      <c r="CB889" s="68">
        <v>0</v>
      </c>
      <c r="CC889" s="68">
        <f t="shared" si="152"/>
        <v>0</v>
      </c>
      <c r="CD889" s="68">
        <f t="shared" si="153"/>
        <v>0</v>
      </c>
    </row>
    <row r="890" spans="1:82" ht="15.75" thickBot="1" x14ac:dyDescent="0.3">
      <c r="A890" s="9">
        <v>889</v>
      </c>
      <c r="B890" s="10" t="s">
        <v>1190</v>
      </c>
      <c r="C890" s="10" t="s">
        <v>52</v>
      </c>
      <c r="D890" s="10" t="s">
        <v>53</v>
      </c>
      <c r="E890" s="51">
        <v>-272.34764363283603</v>
      </c>
      <c r="F890" s="51">
        <v>0</v>
      </c>
      <c r="G890" s="51">
        <v>0</v>
      </c>
      <c r="H890" s="51">
        <v>0</v>
      </c>
      <c r="I890" s="11">
        <v>0</v>
      </c>
      <c r="J890" s="51">
        <v>2.5089052108205601</v>
      </c>
      <c r="K890" s="249">
        <f>IFERROR(VLOOKUP(C890,Schedule!$T$3:$U$34,2,0),"FA")</f>
        <v>11</v>
      </c>
      <c r="L890" s="10" t="str">
        <f>D890&amp;COUNTIF(D$2:$D890,D890)</f>
        <v>QB108</v>
      </c>
      <c r="M890" s="51">
        <f t="array" ref="M890">IFERROR(F890-AVERAGE(VLOOKUP(D890,$D$885:$F890,3,0),INDEX($F$885:$F890,SMALL(IF(D890=$D$885:$D890,ROW($D$885:$D890)-ROW(D890)),2))),0)</f>
        <v>0</v>
      </c>
      <c r="N890" s="51">
        <f>IFERROR(IF(VLOOKUP($B890,Input!$AC$2:$AC$162,1,0)=$B890,0),F890)</f>
        <v>0</v>
      </c>
      <c r="O890" s="51">
        <f>IFERROR(IF(VLOOKUP($B890,Input!$AC$2:$AC$162,1,0)=$B890,0,G890),G890)</f>
        <v>0</v>
      </c>
      <c r="P890" s="51">
        <f>IF(N890=0,0,F890-AVERAGE(INDEX(F:F,MATCH(VLOOKUP(D890,Input!$A$14:$L$22,10,0),L:L,0)),INDEX(F:F,MATCH(VLOOKUP(D890,Input!$A$14:$L$22,11,0),L:L,0)),INDEX(F:F,MATCH(VLOOKUP(D890,Input!$A$14:$L$22,12,0),L:L,0)))+(0.01-ROW()*0.01))</f>
        <v>0</v>
      </c>
      <c r="Q890" s="107">
        <f t="shared" si="148"/>
        <v>0</v>
      </c>
      <c r="R890" s="11">
        <f>IF(VLOOKUP($D890,$X$14:$Y$19,2,0)&lt;=0,1,IF(Q890&lt;0,1,ROUNDUP(IF(Q890*('Draft Center'!$L$28+'Draft Center'!$L$78-'Draft Center'!$L$82)&lt;1,1,Q890*('Draft Center'!$L$28+'Draft Center'!$L$78-'Draft Center'!$L$82)),0)))</f>
        <v>1</v>
      </c>
      <c r="S890" s="11">
        <f>IF(A890&lt;Input!$B$10+0.1,IF(ROUNDUP(R890*Input!$C$10,0)=0,1,ROUNDUP(R890*Input!$C$10,0)),IF(A890&gt;Input!$B$11,IF(ROUNDUP(R890*Input!$C$11,0)=0,1,ROUNDUP(R890*Input!$C$11,0)),IF(ROUNDUP(R890,0)=0,1,ROUNDUP(R890,0))))</f>
        <v>1</v>
      </c>
      <c r="T890" s="11">
        <f t="shared" si="149"/>
        <v>1</v>
      </c>
      <c r="U890" s="11">
        <f>IFERROR(VLOOKUP($B890,Input!$AC$2:$AE$161,3,0),0)</f>
        <v>0</v>
      </c>
      <c r="V890" s="257">
        <f t="shared" si="150"/>
        <v>0</v>
      </c>
      <c r="W890" s="264">
        <f t="shared" si="151"/>
        <v>1.0088999999999999</v>
      </c>
      <c r="X890" s="68"/>
      <c r="Y890" s="68"/>
      <c r="Z890" s="68"/>
      <c r="AA890" s="68"/>
      <c r="AB890" s="68"/>
      <c r="AC890" s="68"/>
      <c r="AD890" s="68"/>
      <c r="AE890" s="68"/>
      <c r="AF890" s="68"/>
      <c r="AG890" s="68"/>
      <c r="AH890" s="68"/>
      <c r="AI890" s="68"/>
      <c r="AJ890" s="68">
        <v>1</v>
      </c>
      <c r="AL890" s="68">
        <v>1</v>
      </c>
      <c r="AM890" s="68"/>
      <c r="AN890" s="68"/>
      <c r="AO890" s="68"/>
      <c r="AQ890" s="68"/>
      <c r="AR890" s="68"/>
      <c r="AS890" s="68"/>
      <c r="AT890" s="68"/>
      <c r="AU890" s="68"/>
      <c r="AV890" s="68"/>
      <c r="AW890" s="68"/>
      <c r="AX890" s="68"/>
      <c r="AY890" s="68"/>
      <c r="AZ890" s="68"/>
      <c r="BB890" s="68"/>
      <c r="BC890" s="68"/>
      <c r="BJ890" s="68"/>
      <c r="BT890">
        <v>1</v>
      </c>
      <c r="BV890">
        <v>1</v>
      </c>
      <c r="BX890" s="68"/>
      <c r="BY890" s="68">
        <v>1</v>
      </c>
      <c r="BZ890" s="68">
        <v>0</v>
      </c>
      <c r="CA890" s="68">
        <v>0</v>
      </c>
      <c r="CB890" s="68">
        <v>0</v>
      </c>
      <c r="CC890" s="68">
        <f t="shared" si="152"/>
        <v>0</v>
      </c>
      <c r="CD890" s="68">
        <f t="shared" si="153"/>
        <v>0</v>
      </c>
    </row>
    <row r="891" spans="1:82" ht="15.75" thickBot="1" x14ac:dyDescent="0.3">
      <c r="A891" s="6">
        <v>890</v>
      </c>
      <c r="B891" s="7" t="s">
        <v>572</v>
      </c>
      <c r="C891" s="7" t="s">
        <v>25</v>
      </c>
      <c r="D891" s="7" t="s">
        <v>53</v>
      </c>
      <c r="E891" s="50">
        <v>-272.34764363283603</v>
      </c>
      <c r="F891" s="50">
        <v>0</v>
      </c>
      <c r="G891" s="50">
        <v>0</v>
      </c>
      <c r="H891" s="50">
        <v>0</v>
      </c>
      <c r="I891" s="8">
        <v>0</v>
      </c>
      <c r="J891" s="50">
        <v>2.5089052108205601</v>
      </c>
      <c r="K891" s="248">
        <f>IFERROR(VLOOKUP(C891,Schedule!$T$3:$U$34,2,0),"FA")</f>
        <v>10</v>
      </c>
      <c r="L891" s="7" t="str">
        <f>D891&amp;COUNTIF(D$2:$D891,D891)</f>
        <v>QB109</v>
      </c>
      <c r="M891" s="50">
        <f t="array" ref="M891">IFERROR(F891-AVERAGE(VLOOKUP(D891,$D$885:$F891,3,0),INDEX($F$885:$F891,SMALL(IF(D891=$D$885:$D891,ROW($D$885:$D891)-ROW(D891)),2))),0)</f>
        <v>0</v>
      </c>
      <c r="N891" s="50">
        <f>IFERROR(IF(VLOOKUP($B891,Input!$AC$2:$AC$162,1,0)=$B891,0),F891)</f>
        <v>0</v>
      </c>
      <c r="O891" s="50">
        <f>IFERROR(IF(VLOOKUP($B891,Input!$AC$2:$AC$162,1,0)=$B891,0,G891),G891)</f>
        <v>0</v>
      </c>
      <c r="P891" s="50">
        <f>IF(N891=0,0,F891-AVERAGE(INDEX(F:F,MATCH(VLOOKUP(D891,Input!$A$14:$L$22,10,0),L:L,0)),INDEX(F:F,MATCH(VLOOKUP(D891,Input!$A$14:$L$22,11,0),L:L,0)),INDEX(F:F,MATCH(VLOOKUP(D891,Input!$A$14:$L$22,12,0),L:L,0)))+(0.01-ROW()*0.01))</f>
        <v>0</v>
      </c>
      <c r="Q891" s="106">
        <f t="shared" si="148"/>
        <v>0</v>
      </c>
      <c r="R891" s="8">
        <f>IF(VLOOKUP($D891,$X$14:$Y$19,2,0)&lt;=0,1,IF(Q891&lt;0,1,ROUNDUP(IF(Q891*('Draft Center'!$L$28+'Draft Center'!$L$78-'Draft Center'!$L$82)&lt;1,1,Q891*('Draft Center'!$L$28+'Draft Center'!$L$78-'Draft Center'!$L$82)),0)))</f>
        <v>1</v>
      </c>
      <c r="S891" s="8">
        <f>IF(A891&lt;Input!$B$10+0.1,IF(ROUNDUP(R891*Input!$C$10,0)=0,1,ROUNDUP(R891*Input!$C$10,0)),IF(A891&gt;Input!$B$11,IF(ROUNDUP(R891*Input!$C$11,0)=0,1,ROUNDUP(R891*Input!$C$11,0)),IF(ROUNDUP(R891,0)=0,1,ROUNDUP(R891,0))))</f>
        <v>1</v>
      </c>
      <c r="T891" s="8">
        <f t="shared" si="149"/>
        <v>1</v>
      </c>
      <c r="U891" s="8">
        <f>IFERROR(VLOOKUP($B891,Input!$AC$2:$AE$161,3,0),0)</f>
        <v>0</v>
      </c>
      <c r="V891" s="256">
        <f t="shared" si="150"/>
        <v>0</v>
      </c>
      <c r="W891" s="263">
        <f t="shared" si="151"/>
        <v>1.00891</v>
      </c>
      <c r="X891" s="68"/>
      <c r="Y891" s="68"/>
      <c r="Z891" s="68"/>
      <c r="AA891" s="68"/>
      <c r="AB891" s="68"/>
      <c r="AC891" s="68"/>
      <c r="AD891" s="68"/>
      <c r="AE891" s="68"/>
      <c r="AF891" s="68"/>
      <c r="AG891" s="68"/>
      <c r="AH891" s="68"/>
      <c r="AI891" s="68"/>
      <c r="AJ891" s="68">
        <v>1</v>
      </c>
      <c r="AL891" s="68">
        <v>1</v>
      </c>
      <c r="AM891" s="68"/>
      <c r="AN891" s="68"/>
      <c r="AO891" s="68"/>
      <c r="AQ891" s="68"/>
      <c r="AR891" s="68"/>
      <c r="AS891" s="68"/>
      <c r="AT891" s="68"/>
      <c r="AU891" s="68"/>
      <c r="AV891" s="68"/>
      <c r="AW891" s="68"/>
      <c r="AX891" s="68"/>
      <c r="AY891" s="68"/>
      <c r="AZ891" s="68"/>
      <c r="BB891" s="68"/>
      <c r="BC891" s="68"/>
      <c r="BJ891" s="68"/>
      <c r="BT891">
        <v>1</v>
      </c>
      <c r="BV891">
        <v>1</v>
      </c>
      <c r="BX891" s="68"/>
      <c r="BY891" s="68">
        <v>1</v>
      </c>
      <c r="BZ891" s="68">
        <v>0</v>
      </c>
      <c r="CA891" s="68">
        <v>0</v>
      </c>
      <c r="CB891" s="68">
        <v>0</v>
      </c>
      <c r="CC891" s="68">
        <f t="shared" si="152"/>
        <v>0</v>
      </c>
      <c r="CD891" s="68">
        <f t="shared" si="153"/>
        <v>0</v>
      </c>
    </row>
    <row r="892" spans="1:82" ht="15.75" thickBot="1" x14ac:dyDescent="0.3">
      <c r="A892" s="9">
        <v>891</v>
      </c>
      <c r="B892" s="10" t="s">
        <v>568</v>
      </c>
      <c r="C892" s="10" t="s">
        <v>925</v>
      </c>
      <c r="D892" s="10" t="s">
        <v>53</v>
      </c>
      <c r="E892" s="51">
        <v>-272.34764363283603</v>
      </c>
      <c r="F892" s="51">
        <v>0</v>
      </c>
      <c r="G892" s="51">
        <v>0</v>
      </c>
      <c r="H892" s="51">
        <v>0</v>
      </c>
      <c r="I892" s="11">
        <v>0</v>
      </c>
      <c r="J892" s="51">
        <v>2.5089052108205601</v>
      </c>
      <c r="K892" s="249">
        <f>IFERROR(VLOOKUP(C892,Schedule!$T$3:$U$34,2,0),"FA")</f>
        <v>8</v>
      </c>
      <c r="L892" s="10" t="str">
        <f>D892&amp;COUNTIF(D$2:$D892,D892)</f>
        <v>QB110</v>
      </c>
      <c r="M892" s="51">
        <f t="array" ref="M892">IFERROR(F892-AVERAGE(VLOOKUP(D892,$D$885:$F892,3,0),INDEX($F$885:$F892,SMALL(IF(D892=$D$885:$D892,ROW($D$885:$D892)-ROW(D892)),2))),0)</f>
        <v>0</v>
      </c>
      <c r="N892" s="51">
        <f>IFERROR(IF(VLOOKUP($B892,Input!$AC$2:$AC$162,1,0)=$B892,0),F892)</f>
        <v>0</v>
      </c>
      <c r="O892" s="51">
        <f>IFERROR(IF(VLOOKUP($B892,Input!$AC$2:$AC$162,1,0)=$B892,0,G892),G892)</f>
        <v>0</v>
      </c>
      <c r="P892" s="51">
        <f>IF(N892=0,0,F892-AVERAGE(INDEX(F:F,MATCH(VLOOKUP(D892,Input!$A$14:$L$22,10,0),L:L,0)),INDEX(F:F,MATCH(VLOOKUP(D892,Input!$A$14:$L$22,11,0),L:L,0)),INDEX(F:F,MATCH(VLOOKUP(D892,Input!$A$14:$L$22,12,0),L:L,0)))+(0.01-ROW()*0.01))</f>
        <v>0</v>
      </c>
      <c r="Q892" s="107">
        <f t="shared" si="148"/>
        <v>0</v>
      </c>
      <c r="R892" s="11">
        <f>IF(VLOOKUP($D892,$X$14:$Y$19,2,0)&lt;=0,1,IF(Q892&lt;0,1,ROUNDUP(IF(Q892*('Draft Center'!$L$28+'Draft Center'!$L$78-'Draft Center'!$L$82)&lt;1,1,Q892*('Draft Center'!$L$28+'Draft Center'!$L$78-'Draft Center'!$L$82)),0)))</f>
        <v>1</v>
      </c>
      <c r="S892" s="11">
        <f>IF(A892&lt;Input!$B$10+0.1,IF(ROUNDUP(R892*Input!$C$10,0)=0,1,ROUNDUP(R892*Input!$C$10,0)),IF(A892&gt;Input!$B$11,IF(ROUNDUP(R892*Input!$C$11,0)=0,1,ROUNDUP(R892*Input!$C$11,0)),IF(ROUNDUP(R892,0)=0,1,ROUNDUP(R892,0))))</f>
        <v>1</v>
      </c>
      <c r="T892" s="11">
        <f t="shared" si="149"/>
        <v>1</v>
      </c>
      <c r="U892" s="11">
        <f>IFERROR(VLOOKUP($B892,Input!$AC$2:$AE$161,3,0),0)</f>
        <v>0</v>
      </c>
      <c r="V892" s="257">
        <f t="shared" si="150"/>
        <v>0</v>
      </c>
      <c r="W892" s="264">
        <f t="shared" si="151"/>
        <v>1.00892</v>
      </c>
      <c r="X892" s="68"/>
      <c r="Y892" s="68"/>
      <c r="Z892" s="68"/>
      <c r="AA892" s="68"/>
      <c r="AB892" s="68"/>
      <c r="AC892" s="68"/>
      <c r="AD892" s="68"/>
      <c r="AE892" s="68"/>
      <c r="AF892" s="68"/>
      <c r="AG892" s="68"/>
      <c r="AH892" s="68"/>
      <c r="AI892" s="68"/>
      <c r="AJ892" s="68">
        <v>1</v>
      </c>
      <c r="AL892" s="68">
        <v>1</v>
      </c>
      <c r="AM892" s="68"/>
      <c r="AN892" s="68"/>
      <c r="AO892" s="68"/>
      <c r="AQ892" s="68"/>
      <c r="AR892" s="68"/>
      <c r="AS892" s="68"/>
      <c r="AT892" s="68"/>
      <c r="AU892" s="68"/>
      <c r="AV892" s="68"/>
      <c r="AW892" s="68"/>
      <c r="AX892" s="68"/>
      <c r="AY892" s="68"/>
      <c r="AZ892" s="68"/>
      <c r="BB892" s="68"/>
      <c r="BC892" s="68"/>
      <c r="BJ892" s="68"/>
      <c r="BT892">
        <v>1</v>
      </c>
      <c r="BV892">
        <v>1</v>
      </c>
      <c r="BX892" s="68"/>
      <c r="BY892" s="68">
        <v>1</v>
      </c>
      <c r="BZ892" s="68">
        <v>0</v>
      </c>
      <c r="CA892" s="68">
        <v>0</v>
      </c>
      <c r="CB892" s="68">
        <v>0</v>
      </c>
      <c r="CC892" s="68">
        <f t="shared" si="152"/>
        <v>0</v>
      </c>
      <c r="CD892" s="68">
        <f t="shared" si="153"/>
        <v>0</v>
      </c>
    </row>
    <row r="893" spans="1:82" ht="15.75" thickBot="1" x14ac:dyDescent="0.3">
      <c r="A893" s="6">
        <v>892</v>
      </c>
      <c r="B893" s="7" t="s">
        <v>573</v>
      </c>
      <c r="C893" s="7" t="s">
        <v>64</v>
      </c>
      <c r="D893" s="7" t="s">
        <v>53</v>
      </c>
      <c r="E893" s="50">
        <v>-272.34764363283603</v>
      </c>
      <c r="F893" s="50">
        <v>0</v>
      </c>
      <c r="G893" s="50">
        <v>0</v>
      </c>
      <c r="H893" s="50">
        <v>0</v>
      </c>
      <c r="I893" s="8">
        <v>0</v>
      </c>
      <c r="J893" s="50">
        <v>2.5089052108205601</v>
      </c>
      <c r="K893" s="248">
        <f>IFERROR(VLOOKUP(C893,Schedule!$T$3:$U$34,2,0),"FA")</f>
        <v>11</v>
      </c>
      <c r="L893" s="7" t="str">
        <f>D893&amp;COUNTIF(D$2:$D893,D893)</f>
        <v>QB111</v>
      </c>
      <c r="M893" s="50">
        <f t="array" ref="M893">IFERROR(F893-AVERAGE(VLOOKUP(D893,$D$885:$F893,3,0),INDEX($F$885:$F893,SMALL(IF(D893=$D$885:$D893,ROW($D$885:$D893)-ROW(D893)),2))),0)</f>
        <v>0</v>
      </c>
      <c r="N893" s="50">
        <f>IFERROR(IF(VLOOKUP($B893,Input!$AC$2:$AC$162,1,0)=$B893,0),F893)</f>
        <v>0</v>
      </c>
      <c r="O893" s="50">
        <f>IFERROR(IF(VLOOKUP($B893,Input!$AC$2:$AC$162,1,0)=$B893,0,G893),G893)</f>
        <v>0</v>
      </c>
      <c r="P893" s="50">
        <f>IF(N893=0,0,F893-AVERAGE(INDEX(F:F,MATCH(VLOOKUP(D893,Input!$A$14:$L$22,10,0),L:L,0)),INDEX(F:F,MATCH(VLOOKUP(D893,Input!$A$14:$L$22,11,0),L:L,0)),INDEX(F:F,MATCH(VLOOKUP(D893,Input!$A$14:$L$22,12,0),L:L,0)))+(0.01-ROW()*0.01))</f>
        <v>0</v>
      </c>
      <c r="Q893" s="106">
        <f t="shared" si="148"/>
        <v>0</v>
      </c>
      <c r="R893" s="8">
        <f>IF(VLOOKUP($D893,$X$14:$Y$19,2,0)&lt;=0,1,IF(Q893&lt;0,1,ROUNDUP(IF(Q893*('Draft Center'!$L$28+'Draft Center'!$L$78-'Draft Center'!$L$82)&lt;1,1,Q893*('Draft Center'!$L$28+'Draft Center'!$L$78-'Draft Center'!$L$82)),0)))</f>
        <v>1</v>
      </c>
      <c r="S893" s="8">
        <f>IF(A893&lt;Input!$B$10+0.1,IF(ROUNDUP(R893*Input!$C$10,0)=0,1,ROUNDUP(R893*Input!$C$10,0)),IF(A893&gt;Input!$B$11,IF(ROUNDUP(R893*Input!$C$11,0)=0,1,ROUNDUP(R893*Input!$C$11,0)),IF(ROUNDUP(R893,0)=0,1,ROUNDUP(R893,0))))</f>
        <v>1</v>
      </c>
      <c r="T893" s="8">
        <f t="shared" si="149"/>
        <v>1</v>
      </c>
      <c r="U893" s="8">
        <f>IFERROR(VLOOKUP($B893,Input!$AC$2:$AE$161,3,0),0)</f>
        <v>0</v>
      </c>
      <c r="V893" s="256">
        <f t="shared" si="150"/>
        <v>0</v>
      </c>
      <c r="W893" s="263">
        <f t="shared" si="151"/>
        <v>1.0089300000000001</v>
      </c>
      <c r="X893" s="68"/>
      <c r="Y893" s="68"/>
      <c r="Z893" s="68"/>
      <c r="AA893" s="68"/>
      <c r="AB893" s="68"/>
      <c r="AC893" s="68"/>
      <c r="AD893" s="68"/>
      <c r="AE893" s="68"/>
      <c r="AF893" s="68"/>
      <c r="AG893" s="68"/>
      <c r="AH893" s="68"/>
      <c r="AI893" s="68"/>
      <c r="AJ893" s="68">
        <v>1</v>
      </c>
      <c r="AL893" s="68">
        <v>1</v>
      </c>
      <c r="AM893" s="68"/>
      <c r="AN893" s="68"/>
      <c r="AO893" s="68"/>
      <c r="AQ893" s="68"/>
      <c r="AR893" s="68"/>
      <c r="AS893" s="68"/>
      <c r="AT893" s="68"/>
      <c r="AU893" s="68"/>
      <c r="AV893" s="68"/>
      <c r="AW893" s="68"/>
      <c r="AX893" s="68"/>
      <c r="AY893" s="68"/>
      <c r="AZ893" s="68"/>
      <c r="BB893" s="68"/>
      <c r="BC893" s="68"/>
      <c r="BJ893" s="68"/>
      <c r="BT893">
        <v>1</v>
      </c>
      <c r="BV893">
        <v>1</v>
      </c>
      <c r="BX893" s="68"/>
      <c r="BY893" s="68">
        <v>1</v>
      </c>
      <c r="BZ893" s="68">
        <v>0</v>
      </c>
      <c r="CA893" s="68">
        <v>0</v>
      </c>
      <c r="CB893" s="68">
        <v>0</v>
      </c>
      <c r="CC893" s="68">
        <f t="shared" si="152"/>
        <v>0</v>
      </c>
      <c r="CD893" s="68">
        <f t="shared" si="153"/>
        <v>0</v>
      </c>
    </row>
    <row r="894" spans="1:82" ht="15.75" thickBot="1" x14ac:dyDescent="0.3">
      <c r="A894" s="9">
        <v>893</v>
      </c>
      <c r="B894" s="10" t="s">
        <v>1052</v>
      </c>
      <c r="C894" s="10" t="s">
        <v>64</v>
      </c>
      <c r="D894" s="10" t="s">
        <v>53</v>
      </c>
      <c r="E894" s="51">
        <v>-272.34764363283603</v>
      </c>
      <c r="F894" s="51">
        <v>0</v>
      </c>
      <c r="G894" s="51">
        <v>0</v>
      </c>
      <c r="H894" s="51">
        <v>0</v>
      </c>
      <c r="I894" s="11">
        <v>0</v>
      </c>
      <c r="J894" s="51">
        <v>2.5089052108205601</v>
      </c>
      <c r="K894" s="249">
        <f>IFERROR(VLOOKUP(C894,Schedule!$T$3:$U$34,2,0),"FA")</f>
        <v>11</v>
      </c>
      <c r="L894" s="10" t="str">
        <f>D894&amp;COUNTIF(D$2:$D894,D894)</f>
        <v>QB112</v>
      </c>
      <c r="M894" s="51">
        <f t="array" ref="M894">IFERROR(F894-AVERAGE(VLOOKUP(D894,$D$885:$F894,3,0),INDEX($F$885:$F894,SMALL(IF(D894=$D$885:$D894,ROW($D$885:$D894)-ROW(D894)),2))),0)</f>
        <v>0</v>
      </c>
      <c r="N894" s="51">
        <f>IFERROR(IF(VLOOKUP($B894,Input!$AC$2:$AC$162,1,0)=$B894,0),F894)</f>
        <v>0</v>
      </c>
      <c r="O894" s="51">
        <f>IFERROR(IF(VLOOKUP($B894,Input!$AC$2:$AC$162,1,0)=$B894,0,G894),G894)</f>
        <v>0</v>
      </c>
      <c r="P894" s="51">
        <f>IF(N894=0,0,F894-AVERAGE(INDEX(F:F,MATCH(VLOOKUP(D894,Input!$A$14:$L$22,10,0),L:L,0)),INDEX(F:F,MATCH(VLOOKUP(D894,Input!$A$14:$L$22,11,0),L:L,0)),INDEX(F:F,MATCH(VLOOKUP(D894,Input!$A$14:$L$22,12,0),L:L,0)))+(0.01-ROW()*0.01))</f>
        <v>0</v>
      </c>
      <c r="Q894" s="107">
        <f t="shared" si="148"/>
        <v>0</v>
      </c>
      <c r="R894" s="11">
        <f>IF(VLOOKUP($D894,$X$14:$Y$19,2,0)&lt;=0,1,IF(Q894&lt;0,1,ROUNDUP(IF(Q894*('Draft Center'!$L$28+'Draft Center'!$L$78-'Draft Center'!$L$82)&lt;1,1,Q894*('Draft Center'!$L$28+'Draft Center'!$L$78-'Draft Center'!$L$82)),0)))</f>
        <v>1</v>
      </c>
      <c r="S894" s="11">
        <f>IF(A894&lt;Input!$B$10+0.1,IF(ROUNDUP(R894*Input!$C$10,0)=0,1,ROUNDUP(R894*Input!$C$10,0)),IF(A894&gt;Input!$B$11,IF(ROUNDUP(R894*Input!$C$11,0)=0,1,ROUNDUP(R894*Input!$C$11,0)),IF(ROUNDUP(R894,0)=0,1,ROUNDUP(R894,0))))</f>
        <v>1</v>
      </c>
      <c r="T894" s="11">
        <f t="shared" si="149"/>
        <v>1</v>
      </c>
      <c r="U894" s="11">
        <f>IFERROR(VLOOKUP($B894,Input!$AC$2:$AE$161,3,0),0)</f>
        <v>0</v>
      </c>
      <c r="V894" s="257">
        <f t="shared" si="150"/>
        <v>0</v>
      </c>
      <c r="W894" s="264">
        <f t="shared" si="151"/>
        <v>1.0089399999999999</v>
      </c>
      <c r="X894" s="68"/>
      <c r="Y894" s="68"/>
      <c r="Z894" s="68"/>
      <c r="AA894" s="68"/>
      <c r="AB894" s="68"/>
      <c r="AC894" s="68"/>
      <c r="AD894" s="68"/>
      <c r="AE894" s="68"/>
      <c r="AF894" s="68"/>
      <c r="AG894" s="68"/>
      <c r="AH894" s="68"/>
      <c r="AI894" s="68"/>
      <c r="AJ894" s="68">
        <v>1</v>
      </c>
      <c r="AL894" s="68">
        <v>1</v>
      </c>
      <c r="AM894" s="68"/>
      <c r="AN894" s="68"/>
      <c r="AO894" s="68"/>
      <c r="AQ894" s="68"/>
      <c r="AR894" s="68"/>
      <c r="AS894" s="68"/>
      <c r="AT894" s="68"/>
      <c r="AU894" s="68"/>
      <c r="AV894" s="68"/>
      <c r="AW894" s="68"/>
      <c r="AX894" s="68"/>
      <c r="AY894" s="68"/>
      <c r="AZ894" s="68"/>
      <c r="BB894" s="68"/>
      <c r="BC894" s="68"/>
      <c r="BJ894" s="68"/>
      <c r="BT894">
        <v>1</v>
      </c>
      <c r="BV894">
        <v>1</v>
      </c>
      <c r="BX894" s="68"/>
      <c r="BY894" s="68">
        <v>1</v>
      </c>
      <c r="BZ894" s="68">
        <v>0</v>
      </c>
      <c r="CA894" s="68">
        <v>0</v>
      </c>
      <c r="CB894" s="68">
        <v>0</v>
      </c>
      <c r="CC894" s="68">
        <f t="shared" si="152"/>
        <v>0</v>
      </c>
      <c r="CD894" s="68">
        <f t="shared" si="153"/>
        <v>0</v>
      </c>
    </row>
    <row r="895" spans="1:82" ht="15.75" thickBot="1" x14ac:dyDescent="0.3">
      <c r="A895" s="6">
        <v>894</v>
      </c>
      <c r="B895" s="7" t="s">
        <v>566</v>
      </c>
      <c r="C895" s="7" t="s">
        <v>61</v>
      </c>
      <c r="D895" s="7" t="s">
        <v>53</v>
      </c>
      <c r="E895" s="50">
        <v>-272.34764363283603</v>
      </c>
      <c r="F895" s="50">
        <v>0</v>
      </c>
      <c r="G895" s="50">
        <v>0</v>
      </c>
      <c r="H895" s="50">
        <v>0</v>
      </c>
      <c r="I895" s="8">
        <v>0</v>
      </c>
      <c r="J895" s="50" t="s">
        <v>1057</v>
      </c>
      <c r="K895" s="248">
        <f>IFERROR(VLOOKUP(C895,Schedule!$T$3:$U$34,2,0),"FA")</f>
        <v>5</v>
      </c>
      <c r="L895" s="7" t="str">
        <f>D895&amp;COUNTIF(D$2:$D895,D895)</f>
        <v>QB113</v>
      </c>
      <c r="M895" s="50">
        <f t="array" ref="M895">IFERROR(F895-AVERAGE(VLOOKUP(D895,$D$885:$F895,3,0),INDEX($F$885:$F895,SMALL(IF(D895=$D$885:$D895,ROW($D$885:$D895)-ROW(D895)),2))),0)</f>
        <v>0</v>
      </c>
      <c r="N895" s="50">
        <f>IFERROR(IF(VLOOKUP($B895,Input!$AC$2:$AC$162,1,0)=$B895,0),F895)</f>
        <v>0</v>
      </c>
      <c r="O895" s="50">
        <f>IFERROR(IF(VLOOKUP($B895,Input!$AC$2:$AC$162,1,0)=$B895,0,G895),G895)</f>
        <v>0</v>
      </c>
      <c r="P895" s="50">
        <f>IF(N895=0,0,F895-AVERAGE(INDEX(F:F,MATCH(VLOOKUP(D895,Input!$A$14:$L$22,10,0),L:L,0)),INDEX(F:F,MATCH(VLOOKUP(D895,Input!$A$14:$L$22,11,0),L:L,0)),INDEX(F:F,MATCH(VLOOKUP(D895,Input!$A$14:$L$22,12,0),L:L,0)))+(0.01-ROW()*0.01))</f>
        <v>0</v>
      </c>
      <c r="Q895" s="106">
        <f t="shared" si="148"/>
        <v>0</v>
      </c>
      <c r="R895" s="8">
        <f>IF(VLOOKUP($D895,$X$14:$Y$19,2,0)&lt;=0,1,IF(Q895&lt;0,1,ROUNDUP(IF(Q895*('Draft Center'!$L$28+'Draft Center'!$L$78-'Draft Center'!$L$82)&lt;1,1,Q895*('Draft Center'!$L$28+'Draft Center'!$L$78-'Draft Center'!$L$82)),0)))</f>
        <v>1</v>
      </c>
      <c r="S895" s="8">
        <f>IF(A895&lt;Input!$B$10+0.1,IF(ROUNDUP(R895*Input!$C$10,0)=0,1,ROUNDUP(R895*Input!$C$10,0)),IF(A895&gt;Input!$B$11,IF(ROUNDUP(R895*Input!$C$11,0)=0,1,ROUNDUP(R895*Input!$C$11,0)),IF(ROUNDUP(R895,0)=0,1,ROUNDUP(R895,0))))</f>
        <v>1</v>
      </c>
      <c r="T895" s="8">
        <f t="shared" si="149"/>
        <v>1</v>
      </c>
      <c r="U895" s="8">
        <f>IFERROR(VLOOKUP($B895,Input!$AC$2:$AE$161,3,0),0)</f>
        <v>0</v>
      </c>
      <c r="V895" s="256">
        <f t="shared" si="150"/>
        <v>0</v>
      </c>
      <c r="W895" s="263">
        <f t="shared" si="151"/>
        <v>1.00895</v>
      </c>
      <c r="X895" s="68"/>
      <c r="Y895" s="68"/>
      <c r="Z895" s="68"/>
      <c r="AA895" s="68"/>
      <c r="AB895" s="68"/>
      <c r="AC895" s="68"/>
      <c r="AD895" s="68"/>
      <c r="AE895" s="68"/>
      <c r="AF895" s="68"/>
      <c r="AG895" s="68"/>
      <c r="AH895" s="68"/>
      <c r="AI895" s="68"/>
      <c r="AJ895" s="68">
        <v>1</v>
      </c>
      <c r="AL895" s="68">
        <v>1</v>
      </c>
      <c r="AM895" s="68"/>
      <c r="AN895" s="68"/>
      <c r="AO895" s="68"/>
      <c r="AQ895" s="68"/>
      <c r="AR895" s="68"/>
      <c r="AS895" s="68"/>
      <c r="AT895" s="68"/>
      <c r="AU895" s="68"/>
      <c r="AV895" s="68"/>
      <c r="AW895" s="68"/>
      <c r="AX895" s="68"/>
      <c r="AY895" s="68"/>
      <c r="AZ895" s="68"/>
      <c r="BB895" s="68"/>
      <c r="BC895" s="68"/>
      <c r="BJ895" s="68"/>
      <c r="BT895">
        <v>1</v>
      </c>
      <c r="BV895">
        <v>1</v>
      </c>
      <c r="BX895" s="68"/>
      <c r="BY895" s="68">
        <v>1</v>
      </c>
      <c r="BZ895" s="68">
        <v>0</v>
      </c>
      <c r="CA895" s="68">
        <v>0</v>
      </c>
      <c r="CB895" s="68">
        <v>0</v>
      </c>
      <c r="CC895" s="68">
        <f t="shared" si="152"/>
        <v>0</v>
      </c>
      <c r="CD895" s="68">
        <f t="shared" si="153"/>
        <v>0</v>
      </c>
    </row>
    <row r="896" spans="1:82" ht="15.75" thickBot="1" x14ac:dyDescent="0.3">
      <c r="A896" s="9">
        <v>895</v>
      </c>
      <c r="B896" s="10" t="s">
        <v>1191</v>
      </c>
      <c r="C896" s="10" t="s">
        <v>27</v>
      </c>
      <c r="D896" s="10" t="s">
        <v>53</v>
      </c>
      <c r="E896" s="51">
        <v>-272.34764363283603</v>
      </c>
      <c r="F896" s="51">
        <v>0</v>
      </c>
      <c r="G896" s="51">
        <v>0</v>
      </c>
      <c r="H896" s="51">
        <v>0</v>
      </c>
      <c r="I896" s="11" t="s">
        <v>1057</v>
      </c>
      <c r="J896" s="51" t="s">
        <v>1057</v>
      </c>
      <c r="K896" s="249">
        <f>IFERROR(VLOOKUP(C896,Schedule!$T$3:$U$34,2,0),"FA")</f>
        <v>8</v>
      </c>
      <c r="L896" s="10" t="str">
        <f>D896&amp;COUNTIF(D$2:$D896,D896)</f>
        <v>QB114</v>
      </c>
      <c r="M896" s="51">
        <f t="array" ref="M896">IFERROR(F896-AVERAGE(VLOOKUP(D896,$D$885:$F896,3,0),INDEX($F$885:$F896,SMALL(IF(D896=$D$885:$D896,ROW($D$885:$D896)-ROW(D896)),2))),0)</f>
        <v>0</v>
      </c>
      <c r="N896" s="51">
        <f>IFERROR(IF(VLOOKUP($B896,Input!$AC$2:$AC$162,1,0)=$B896,0),F896)</f>
        <v>0</v>
      </c>
      <c r="O896" s="51">
        <f>IFERROR(IF(VLOOKUP($B896,Input!$AC$2:$AC$162,1,0)=$B896,0,G896),G896)</f>
        <v>0</v>
      </c>
      <c r="P896" s="51">
        <f>IF(N896=0,0,F896-AVERAGE(INDEX(F:F,MATCH(VLOOKUP(D896,Input!$A$14:$L$22,10,0),L:L,0)),INDEX(F:F,MATCH(VLOOKUP(D896,Input!$A$14:$L$22,11,0),L:L,0)),INDEX(F:F,MATCH(VLOOKUP(D896,Input!$A$14:$L$22,12,0),L:L,0)))+(0.01-ROW()*0.01))</f>
        <v>0</v>
      </c>
      <c r="Q896" s="107">
        <f t="shared" si="148"/>
        <v>0</v>
      </c>
      <c r="R896" s="11">
        <f>IF(VLOOKUP($D896,$X$14:$Y$19,2,0)&lt;=0,1,IF(Q896&lt;0,1,ROUNDUP(IF(Q896*('Draft Center'!$L$28+'Draft Center'!$L$78-'Draft Center'!$L$82)&lt;1,1,Q896*('Draft Center'!$L$28+'Draft Center'!$L$78-'Draft Center'!$L$82)),0)))</f>
        <v>1</v>
      </c>
      <c r="S896" s="11">
        <f>IF(A896&lt;Input!$B$10+0.1,IF(ROUNDUP(R896*Input!$C$10,0)=0,1,ROUNDUP(R896*Input!$C$10,0)),IF(A896&gt;Input!$B$11,IF(ROUNDUP(R896*Input!$C$11,0)=0,1,ROUNDUP(R896*Input!$C$11,0)),IF(ROUNDUP(R896,0)=0,1,ROUNDUP(R896,0))))</f>
        <v>1</v>
      </c>
      <c r="T896" s="11">
        <f t="shared" si="149"/>
        <v>1</v>
      </c>
      <c r="U896" s="11">
        <f>IFERROR(VLOOKUP($B896,Input!$AC$2:$AE$161,3,0),0)</f>
        <v>0</v>
      </c>
      <c r="V896" s="257">
        <f t="shared" si="150"/>
        <v>0</v>
      </c>
      <c r="W896" s="264">
        <f t="shared" si="151"/>
        <v>0</v>
      </c>
      <c r="X896" s="68"/>
      <c r="Y896" s="68"/>
      <c r="Z896" s="68"/>
      <c r="AA896" s="68"/>
      <c r="AB896" s="68"/>
      <c r="AC896" s="68"/>
      <c r="AD896" s="68"/>
      <c r="AE896" s="68"/>
      <c r="AF896" s="68"/>
      <c r="AG896" s="68"/>
      <c r="AH896" s="68"/>
      <c r="AI896" s="68"/>
      <c r="AJ896" s="68">
        <v>1</v>
      </c>
      <c r="AL896" s="68">
        <v>1</v>
      </c>
      <c r="AM896" s="68"/>
      <c r="AN896" s="68"/>
      <c r="AO896" s="68"/>
      <c r="AQ896" s="68"/>
      <c r="AR896" s="68"/>
      <c r="AS896" s="68"/>
      <c r="AT896" s="68"/>
      <c r="AU896" s="68"/>
      <c r="AV896" s="68"/>
      <c r="AW896" s="68"/>
      <c r="AX896" s="68"/>
      <c r="AY896" s="68"/>
      <c r="AZ896" s="68"/>
      <c r="BB896" s="68"/>
      <c r="BC896" s="68"/>
      <c r="BJ896" s="68"/>
      <c r="BT896">
        <v>1</v>
      </c>
      <c r="BV896">
        <v>1</v>
      </c>
      <c r="BX896" s="68"/>
      <c r="BY896" s="68">
        <v>1</v>
      </c>
      <c r="BZ896" s="68" t="s">
        <v>1057</v>
      </c>
      <c r="CA896" s="68" t="s">
        <v>1057</v>
      </c>
      <c r="CB896" s="68" t="s">
        <v>1057</v>
      </c>
      <c r="CC896" s="68" t="e">
        <f t="shared" si="152"/>
        <v>#DIV/0!</v>
      </c>
      <c r="CD896" s="68" t="str">
        <f t="shared" si="153"/>
        <v>NA</v>
      </c>
    </row>
    <row r="897" spans="1:82" ht="15.75" thickBot="1" x14ac:dyDescent="0.3">
      <c r="A897" s="6">
        <v>896</v>
      </c>
      <c r="B897" s="7" t="s">
        <v>553</v>
      </c>
      <c r="C897" s="7" t="s">
        <v>16</v>
      </c>
      <c r="D897" s="7" t="s">
        <v>53</v>
      </c>
      <c r="E897" s="50">
        <v>-272.34764363283603</v>
      </c>
      <c r="F897" s="50">
        <v>0</v>
      </c>
      <c r="G897" s="50">
        <v>0</v>
      </c>
      <c r="H897" s="50">
        <v>0</v>
      </c>
      <c r="I897" s="8">
        <v>0</v>
      </c>
      <c r="J897" s="50" t="s">
        <v>1057</v>
      </c>
      <c r="K897" s="248">
        <f>IFERROR(VLOOKUP(C897,Schedule!$T$3:$U$34,2,0),"FA")</f>
        <v>9</v>
      </c>
      <c r="L897" s="7" t="str">
        <f>D897&amp;COUNTIF(D$2:$D897,D897)</f>
        <v>QB115</v>
      </c>
      <c r="M897" s="50">
        <f t="array" ref="M897">IFERROR(F897-AVERAGE(VLOOKUP(D897,$D$885:$F897,3,0),INDEX($F$885:$F897,SMALL(IF(D897=$D$885:$D897,ROW($D$885:$D897)-ROW(D897)),2))),0)</f>
        <v>0</v>
      </c>
      <c r="N897" s="50">
        <f>IFERROR(IF(VLOOKUP($B897,Input!$AC$2:$AC$162,1,0)=$B897,0),F897)</f>
        <v>0</v>
      </c>
      <c r="O897" s="50">
        <f>IFERROR(IF(VLOOKUP($B897,Input!$AC$2:$AC$162,1,0)=$B897,0,G897),G897)</f>
        <v>0</v>
      </c>
      <c r="P897" s="50">
        <f>IF(N897=0,0,F897-AVERAGE(INDEX(F:F,MATCH(VLOOKUP(D897,Input!$A$14:$L$22,10,0),L:L,0)),INDEX(F:F,MATCH(VLOOKUP(D897,Input!$A$14:$L$22,11,0),L:L,0)),INDEX(F:F,MATCH(VLOOKUP(D897,Input!$A$14:$L$22,12,0),L:L,0)))+(0.01-ROW()*0.01))</f>
        <v>0</v>
      </c>
      <c r="Q897" s="106">
        <f t="shared" si="148"/>
        <v>0</v>
      </c>
      <c r="R897" s="8">
        <f>IF(VLOOKUP($D897,$X$14:$Y$19,2,0)&lt;=0,1,IF(Q897&lt;0,1,ROUNDUP(IF(Q897*('Draft Center'!$L$28+'Draft Center'!$L$78-'Draft Center'!$L$82)&lt;1,1,Q897*('Draft Center'!$L$28+'Draft Center'!$L$78-'Draft Center'!$L$82)),0)))</f>
        <v>1</v>
      </c>
      <c r="S897" s="8">
        <f>IF(A897&lt;Input!$B$10+0.1,IF(ROUNDUP(R897*Input!$C$10,0)=0,1,ROUNDUP(R897*Input!$C$10,0)),IF(A897&gt;Input!$B$11,IF(ROUNDUP(R897*Input!$C$11,0)=0,1,ROUNDUP(R897*Input!$C$11,0)),IF(ROUNDUP(R897,0)=0,1,ROUNDUP(R897,0))))</f>
        <v>1</v>
      </c>
      <c r="T897" s="8">
        <f t="shared" si="149"/>
        <v>1</v>
      </c>
      <c r="U897" s="8">
        <f>IFERROR(VLOOKUP($B897,Input!$AC$2:$AE$161,3,0),0)</f>
        <v>0</v>
      </c>
      <c r="V897" s="256">
        <f t="shared" si="150"/>
        <v>0</v>
      </c>
      <c r="W897" s="263">
        <f t="shared" si="151"/>
        <v>1.0089699999999999</v>
      </c>
      <c r="X897" s="68"/>
      <c r="Y897" s="68"/>
      <c r="Z897" s="68"/>
      <c r="AA897" s="68"/>
      <c r="AB897" s="68"/>
      <c r="AC897" s="68"/>
      <c r="AD897" s="68"/>
      <c r="AE897" s="68"/>
      <c r="AF897" s="68"/>
      <c r="AG897" s="68"/>
      <c r="AH897" s="68"/>
      <c r="AI897" s="68"/>
      <c r="AJ897" s="68">
        <v>1</v>
      </c>
      <c r="AL897" s="68">
        <v>1</v>
      </c>
      <c r="AM897" s="68"/>
      <c r="AN897" s="68"/>
      <c r="AO897" s="68"/>
      <c r="AQ897" s="68"/>
      <c r="AR897" s="68"/>
      <c r="AS897" s="68"/>
      <c r="AT897" s="68"/>
      <c r="AU897" s="68"/>
      <c r="AV897" s="68"/>
      <c r="AW897" s="68"/>
      <c r="AX897" s="68"/>
      <c r="AY897" s="68"/>
      <c r="AZ897" s="68"/>
      <c r="BB897" s="68"/>
      <c r="BC897" s="68"/>
      <c r="BJ897" s="68"/>
      <c r="BT897">
        <v>1</v>
      </c>
      <c r="BV897">
        <v>1</v>
      </c>
      <c r="BX897" s="68"/>
      <c r="BY897" s="68">
        <v>1</v>
      </c>
      <c r="BZ897" s="68">
        <v>0</v>
      </c>
      <c r="CA897" s="68">
        <v>0</v>
      </c>
      <c r="CB897" s="68">
        <v>0</v>
      </c>
      <c r="CC897" s="68">
        <f t="shared" si="152"/>
        <v>0</v>
      </c>
      <c r="CD897" s="68">
        <f t="shared" si="153"/>
        <v>0</v>
      </c>
    </row>
    <row r="898" spans="1:82" ht="15.75" thickBot="1" x14ac:dyDescent="0.3">
      <c r="A898" s="9">
        <v>897</v>
      </c>
      <c r="B898" s="10" t="s">
        <v>399</v>
      </c>
      <c r="C898" s="10" t="s">
        <v>57</v>
      </c>
      <c r="D898" s="10" t="s">
        <v>53</v>
      </c>
      <c r="E898" s="51">
        <v>-272.34764363283603</v>
      </c>
      <c r="F898" s="51">
        <v>0</v>
      </c>
      <c r="G898" s="51">
        <v>0</v>
      </c>
      <c r="H898" s="51">
        <v>0</v>
      </c>
      <c r="I898" s="11">
        <v>0</v>
      </c>
      <c r="J898" s="51">
        <v>10.0999008350634</v>
      </c>
      <c r="K898" s="249">
        <f>IFERROR(VLOOKUP(C898,Schedule!$T$3:$U$34,2,0),"FA")</f>
        <v>11</v>
      </c>
      <c r="L898" s="10" t="str">
        <f>D898&amp;COUNTIF(D$2:$D898,D898)</f>
        <v>QB116</v>
      </c>
      <c r="M898" s="51">
        <f t="array" ref="M898">IFERROR(F898-AVERAGE(VLOOKUP(D898,$D$885:$F898,3,0),INDEX($F$885:$F898,SMALL(IF(D898=$D$885:$D898,ROW($D$885:$D898)-ROW(D898)),2))),0)</f>
        <v>0</v>
      </c>
      <c r="N898" s="51">
        <f>IFERROR(IF(VLOOKUP($B898,Input!$AC$2:$AC$162,1,0)=$B898,0),F898)</f>
        <v>0</v>
      </c>
      <c r="O898" s="51">
        <f>IFERROR(IF(VLOOKUP($B898,Input!$AC$2:$AC$162,1,0)=$B898,0,G898),G898)</f>
        <v>0</v>
      </c>
      <c r="P898" s="51">
        <f>IF(N898=0,0,F898-AVERAGE(INDEX(F:F,MATCH(VLOOKUP(D898,Input!$A$14:$L$22,10,0),L:L,0)),INDEX(F:F,MATCH(VLOOKUP(D898,Input!$A$14:$L$22,11,0),L:L,0)),INDEX(F:F,MATCH(VLOOKUP(D898,Input!$A$14:$L$22,12,0),L:L,0)))+(0.01-ROW()*0.01))</f>
        <v>0</v>
      </c>
      <c r="Q898" s="107">
        <f t="shared" ref="Q898:Q930" si="154">IFERROR(P898/SUMIF(P:P,"&gt;0",P:P),0)</f>
        <v>0</v>
      </c>
      <c r="R898" s="11">
        <f>IF(VLOOKUP($D898,$X$14:$Y$19,2,0)&lt;=0,1,IF(Q898&lt;0,1,ROUNDUP(IF(Q898*('Draft Center'!$L$28+'Draft Center'!$L$78-'Draft Center'!$L$82)&lt;1,1,Q898*('Draft Center'!$L$28+'Draft Center'!$L$78-'Draft Center'!$L$82)),0)))</f>
        <v>1</v>
      </c>
      <c r="S898" s="11">
        <f>IF(A898&lt;Input!$B$10+0.1,IF(ROUNDUP(R898*Input!$C$10,0)=0,1,ROUNDUP(R898*Input!$C$10,0)),IF(A898&gt;Input!$B$11,IF(ROUNDUP(R898*Input!$C$11,0)=0,1,ROUNDUP(R898*Input!$C$11,0)),IF(ROUNDUP(R898,0)=0,1,ROUNDUP(R898,0))))</f>
        <v>1</v>
      </c>
      <c r="T898" s="11">
        <f t="shared" ref="T898:T930" si="155">IF(U898&gt;0,0,IF(AA898=1,R898,IF(AL898=0,1,AL898)))</f>
        <v>1</v>
      </c>
      <c r="U898" s="11">
        <f>IFERROR(VLOOKUP($B898,Input!$AC$2:$AE$161,3,0),0)</f>
        <v>0</v>
      </c>
      <c r="V898" s="257">
        <f t="shared" si="150"/>
        <v>0</v>
      </c>
      <c r="W898" s="264">
        <f t="shared" si="151"/>
        <v>1.00898</v>
      </c>
      <c r="X898" s="68"/>
      <c r="Y898" s="68"/>
      <c r="Z898" s="68"/>
      <c r="AA898" s="68"/>
      <c r="AB898" s="68"/>
      <c r="AC898" s="68"/>
      <c r="AD898" s="68"/>
      <c r="AE898" s="68"/>
      <c r="AF898" s="68"/>
      <c r="AG898" s="68"/>
      <c r="AH898" s="68"/>
      <c r="AI898" s="68"/>
      <c r="AJ898" s="68">
        <v>1</v>
      </c>
      <c r="AL898" s="68">
        <v>1</v>
      </c>
      <c r="AM898" s="68"/>
      <c r="AN898" s="68"/>
      <c r="AO898" s="68"/>
      <c r="AQ898" s="68"/>
      <c r="AR898" s="68"/>
      <c r="AS898" s="68"/>
      <c r="AT898" s="68"/>
      <c r="AU898" s="68"/>
      <c r="AV898" s="68"/>
      <c r="AW898" s="68"/>
      <c r="AX898" s="68"/>
      <c r="AY898" s="68"/>
      <c r="AZ898" s="68"/>
      <c r="BB898" s="68"/>
      <c r="BC898" s="68"/>
      <c r="BJ898" s="68"/>
      <c r="BT898">
        <v>1</v>
      </c>
      <c r="BV898">
        <v>1</v>
      </c>
      <c r="BX898" s="68"/>
      <c r="BY898" s="68">
        <v>1</v>
      </c>
      <c r="BZ898" s="68">
        <v>0</v>
      </c>
      <c r="CA898" s="68">
        <v>0</v>
      </c>
      <c r="CB898" s="68">
        <v>0</v>
      </c>
      <c r="CC898" s="68">
        <f t="shared" si="152"/>
        <v>0</v>
      </c>
      <c r="CD898" s="68">
        <f t="shared" si="153"/>
        <v>0</v>
      </c>
    </row>
    <row r="899" spans="1:82" ht="15.75" thickBot="1" x14ac:dyDescent="0.3">
      <c r="A899" s="6">
        <v>898</v>
      </c>
      <c r="B899" s="7" t="s">
        <v>540</v>
      </c>
      <c r="C899" s="7" t="s">
        <v>311</v>
      </c>
      <c r="D899" s="7" t="s">
        <v>53</v>
      </c>
      <c r="E899" s="50">
        <v>-272.37103290381202</v>
      </c>
      <c r="F899" s="50">
        <v>-2.3389270976616201E-2</v>
      </c>
      <c r="G899" s="50">
        <v>-7.5325102880658499E-3</v>
      </c>
      <c r="H899" s="50">
        <v>-5.1999999999999998E-2</v>
      </c>
      <c r="I899" s="8" t="s">
        <v>1057</v>
      </c>
      <c r="J899" s="50">
        <v>2.5146596816075699</v>
      </c>
      <c r="K899" s="248" t="str">
        <f>IFERROR(VLOOKUP(C899,Schedule!$T$3:$U$34,2,0),"FA")</f>
        <v>FA</v>
      </c>
      <c r="L899" s="7" t="str">
        <f>D899&amp;COUNTIF(D$2:$D899,D899)</f>
        <v>QB117</v>
      </c>
      <c r="M899" s="50">
        <f t="array" ref="M899">IFERROR(F899-AVERAGE(VLOOKUP(D899,$D$885:$F899,3,0),INDEX($F$885:$F899,SMALL(IF(D899=$D$885:$D899,ROW($D$885:$D899)-ROW(D899)),2))),0)</f>
        <v>0</v>
      </c>
      <c r="N899" s="50">
        <f>IFERROR(IF(VLOOKUP($B899,Input!$AC$2:$AC$162,1,0)=$B899,0),F899)</f>
        <v>-2.3389270976616201E-2</v>
      </c>
      <c r="O899" s="50">
        <f>IFERROR(IF(VLOOKUP($B899,Input!$AC$2:$AC$162,1,0)=$B899,0,G899),G899)</f>
        <v>-7.5325102880658499E-3</v>
      </c>
      <c r="P899" s="50">
        <f>IF(N899=0,0,F899-AVERAGE(INDEX(F:F,MATCH(VLOOKUP(D899,Input!$A$14:$L$22,10,0),L:L,0)),INDEX(F:F,MATCH(VLOOKUP(D899,Input!$A$14:$L$22,11,0),L:L,0)),INDEX(F:F,MATCH(VLOOKUP(D899,Input!$A$14:$L$22,12,0),L:L,0)))+(0.01-ROW()*0.01))</f>
        <v>-281.35103290381227</v>
      </c>
      <c r="Q899" s="106">
        <f t="shared" si="154"/>
        <v>-9.7064120274957241E-2</v>
      </c>
      <c r="R899" s="8">
        <f>IF(VLOOKUP($D899,$X$14:$Y$19,2,0)&lt;=0,1,IF(Q899&lt;0,1,ROUNDUP(IF(Q899*('Draft Center'!$L$28+'Draft Center'!$L$78-'Draft Center'!$L$82)&lt;1,1,Q899*('Draft Center'!$L$28+'Draft Center'!$L$78-'Draft Center'!$L$82)),0)))</f>
        <v>1</v>
      </c>
      <c r="S899" s="8">
        <f>IF(A899&lt;Input!$B$10+0.1,IF(ROUNDUP(R899*Input!$C$10,0)=0,1,ROUNDUP(R899*Input!$C$10,0)),IF(A899&gt;Input!$B$11,IF(ROUNDUP(R899*Input!$C$11,0)=0,1,ROUNDUP(R899*Input!$C$11,0)),IF(ROUNDUP(R899,0)=0,1,ROUNDUP(R899,0))))</f>
        <v>1</v>
      </c>
      <c r="T899" s="8">
        <f t="shared" si="155"/>
        <v>1</v>
      </c>
      <c r="U899" s="8">
        <f>IFERROR(VLOOKUP($B899,Input!$AC$2:$AE$161,3,0),0)</f>
        <v>0</v>
      </c>
      <c r="V899" s="256">
        <f t="shared" ref="V899:V930" si="156">IF(R899=0,0,IFERROR(((R899-CD899)/CD899)+(ROW()*0.00001),0))</f>
        <v>0</v>
      </c>
      <c r="W899" s="263">
        <f t="shared" ref="W899:W930" si="157">IF(R899=0,0,IFERROR(((R899-CD899))+(ROW()*0.00001),0))</f>
        <v>0</v>
      </c>
      <c r="X899" s="68"/>
      <c r="Y899" s="68"/>
      <c r="Z899" s="68"/>
      <c r="AA899" s="68"/>
      <c r="AB899" s="68"/>
      <c r="AC899" s="68"/>
      <c r="AD899" s="68"/>
      <c r="AE899" s="68"/>
      <c r="AF899" s="68"/>
      <c r="AG899" s="68"/>
      <c r="AH899" s="68"/>
      <c r="AI899" s="68"/>
      <c r="AJ899" s="68">
        <v>1</v>
      </c>
      <c r="AL899" s="68">
        <v>1</v>
      </c>
      <c r="AM899" s="68"/>
      <c r="AN899" s="68"/>
      <c r="AO899" s="68"/>
      <c r="AQ899" s="68"/>
      <c r="AR899" s="68"/>
      <c r="AS899" s="68"/>
      <c r="AT899" s="68"/>
      <c r="AU899" s="68"/>
      <c r="AV899" s="68"/>
      <c r="AW899" s="68"/>
      <c r="AX899" s="68"/>
      <c r="AY899" s="68"/>
      <c r="AZ899" s="68"/>
      <c r="BB899" s="68"/>
      <c r="BC899" s="68"/>
      <c r="BJ899" s="68"/>
      <c r="BT899">
        <v>1</v>
      </c>
      <c r="BV899">
        <v>1</v>
      </c>
      <c r="BX899" s="68"/>
      <c r="BY899" s="68">
        <v>1</v>
      </c>
      <c r="BZ899" s="68" t="s">
        <v>1057</v>
      </c>
      <c r="CA899" s="68" t="s">
        <v>1057</v>
      </c>
      <c r="CB899" s="68" t="s">
        <v>1057</v>
      </c>
      <c r="CC899" s="68" t="e">
        <f t="shared" ref="CC899:CC930" si="158">AVERAGE(BZ899:CB899)</f>
        <v>#DIV/0!</v>
      </c>
      <c r="CD899" s="68" t="str">
        <f t="shared" ref="CD899:CD930" si="159">IFERROR(HLOOKUP($CD$1,$BZ$1:$CC$930,ROW(),0),"")</f>
        <v>NA</v>
      </c>
    </row>
    <row r="900" spans="1:82" ht="15.75" thickBot="1" x14ac:dyDescent="0.3">
      <c r="A900" s="9">
        <v>899</v>
      </c>
      <c r="B900" s="10" t="s">
        <v>816</v>
      </c>
      <c r="C900" s="10" t="s">
        <v>311</v>
      </c>
      <c r="D900" s="10" t="s">
        <v>53</v>
      </c>
      <c r="E900" s="51">
        <v>-272.43580319267102</v>
      </c>
      <c r="F900" s="51">
        <v>-8.8159559834938103E-2</v>
      </c>
      <c r="G900" s="51">
        <v>-3.5623000000000002E-2</v>
      </c>
      <c r="H900" s="51">
        <v>-0.19600000000000001</v>
      </c>
      <c r="I900" s="11" t="s">
        <v>1057</v>
      </c>
      <c r="J900" s="51">
        <v>2.5359268295383499</v>
      </c>
      <c r="K900" s="249" t="str">
        <f>IFERROR(VLOOKUP(C900,Schedule!$T$3:$U$34,2,0),"FA")</f>
        <v>FA</v>
      </c>
      <c r="L900" s="10" t="str">
        <f>D900&amp;COUNTIF(D$2:$D900,D900)</f>
        <v>QB118</v>
      </c>
      <c r="M900" s="51">
        <f t="array" ref="M900">IFERROR(F900-AVERAGE(VLOOKUP(D900,$D$885:$F900,3,0),INDEX($F$885:$F900,SMALL(IF(D900=$D$885:$D900,ROW($D$885:$D900)-ROW(D900)),2))),0)</f>
        <v>0</v>
      </c>
      <c r="N900" s="51">
        <f>IFERROR(IF(VLOOKUP($B900,Input!$AC$2:$AC$162,1,0)=$B900,0),F900)</f>
        <v>-8.8159559834938103E-2</v>
      </c>
      <c r="O900" s="51">
        <f>IFERROR(IF(VLOOKUP($B900,Input!$AC$2:$AC$162,1,0)=$B900,0,G900),G900)</f>
        <v>-3.5623000000000002E-2</v>
      </c>
      <c r="P900" s="51">
        <f>IF(N900=0,0,F900-AVERAGE(INDEX(F:F,MATCH(VLOOKUP(D900,Input!$A$14:$L$22,10,0),L:L,0)),INDEX(F:F,MATCH(VLOOKUP(D900,Input!$A$14:$L$22,11,0),L:L,0)),INDEX(F:F,MATCH(VLOOKUP(D900,Input!$A$14:$L$22,12,0),L:L,0)))+(0.01-ROW()*0.01))</f>
        <v>-281.42580319267057</v>
      </c>
      <c r="Q900" s="107">
        <f t="shared" si="154"/>
        <v>-9.7089915496804596E-2</v>
      </c>
      <c r="R900" s="11">
        <f>IF(VLOOKUP($D900,$X$14:$Y$19,2,0)&lt;=0,1,IF(Q900&lt;0,1,ROUNDUP(IF(Q900*('Draft Center'!$L$28+'Draft Center'!$L$78-'Draft Center'!$L$82)&lt;1,1,Q900*('Draft Center'!$L$28+'Draft Center'!$L$78-'Draft Center'!$L$82)),0)))</f>
        <v>1</v>
      </c>
      <c r="S900" s="11">
        <f>IF(A900&lt;Input!$B$10+0.1,IF(ROUNDUP(R900*Input!$C$10,0)=0,1,ROUNDUP(R900*Input!$C$10,0)),IF(A900&gt;Input!$B$11,IF(ROUNDUP(R900*Input!$C$11,0)=0,1,ROUNDUP(R900*Input!$C$11,0)),IF(ROUNDUP(R900,0)=0,1,ROUNDUP(R900,0))))</f>
        <v>1</v>
      </c>
      <c r="T900" s="11">
        <f t="shared" si="155"/>
        <v>1</v>
      </c>
      <c r="U900" s="11">
        <f>IFERROR(VLOOKUP($B900,Input!$AC$2:$AE$161,3,0),0)</f>
        <v>0</v>
      </c>
      <c r="V900" s="257">
        <f t="shared" si="156"/>
        <v>0</v>
      </c>
      <c r="W900" s="264">
        <f t="shared" si="157"/>
        <v>0</v>
      </c>
      <c r="X900" s="68"/>
      <c r="Y900" s="68"/>
      <c r="Z900" s="68"/>
      <c r="AA900" s="68"/>
      <c r="AB900" s="68"/>
      <c r="AC900" s="68"/>
      <c r="AD900" s="68"/>
      <c r="AE900" s="68"/>
      <c r="AF900" s="68"/>
      <c r="AG900" s="68"/>
      <c r="AH900" s="68"/>
      <c r="AI900" s="68"/>
      <c r="AJ900" s="68">
        <v>1</v>
      </c>
      <c r="AL900" s="68">
        <v>1</v>
      </c>
      <c r="AM900" s="68"/>
      <c r="AN900" s="68"/>
      <c r="AO900" s="68"/>
      <c r="AQ900" s="68"/>
      <c r="AR900" s="68"/>
      <c r="AS900" s="68"/>
      <c r="AT900" s="68"/>
      <c r="AU900" s="68"/>
      <c r="AV900" s="68"/>
      <c r="AW900" s="68"/>
      <c r="AX900" s="68"/>
      <c r="AY900" s="68"/>
      <c r="AZ900" s="68"/>
      <c r="BB900" s="68"/>
      <c r="BC900" s="68"/>
      <c r="BJ900" s="68"/>
      <c r="BT900">
        <v>1</v>
      </c>
      <c r="BV900">
        <v>1</v>
      </c>
      <c r="BX900" s="68"/>
      <c r="BY900" s="68">
        <v>1</v>
      </c>
      <c r="BZ900" s="68" t="s">
        <v>1057</v>
      </c>
      <c r="CA900" s="68" t="s">
        <v>1057</v>
      </c>
      <c r="CB900" s="68" t="s">
        <v>1057</v>
      </c>
      <c r="CC900" s="68" t="e">
        <f t="shared" si="158"/>
        <v>#DIV/0!</v>
      </c>
      <c r="CD900" s="68" t="str">
        <f t="shared" si="159"/>
        <v>NA</v>
      </c>
    </row>
    <row r="901" spans="1:82" ht="15.75" thickBot="1" x14ac:dyDescent="0.3">
      <c r="A901" s="6">
        <v>900</v>
      </c>
      <c r="B901" s="7"/>
      <c r="C901" s="7"/>
      <c r="D901" s="7"/>
      <c r="E901" s="50"/>
      <c r="F901" s="50"/>
      <c r="G901" s="50"/>
      <c r="H901" s="50"/>
      <c r="I901" s="8"/>
      <c r="J901" s="50"/>
      <c r="K901" s="248" t="str">
        <f>IFERROR(VLOOKUP(C901,Schedule!$T$3:$U$34,2,0),"FA")</f>
        <v>FA</v>
      </c>
      <c r="L901" s="7" t="str">
        <f>D901&amp;COUNTIF(D$2:$D901,D901)</f>
        <v>0</v>
      </c>
      <c r="M901" s="50">
        <f t="array" ref="M901">IFERROR(F901-AVERAGE(VLOOKUP(D901,$D$885:$F901,3,0),INDEX($F$885:$F901,SMALL(IF(D901=$D$885:$D901,ROW($D$885:$D901)-ROW(D901)),2))),0)</f>
        <v>0</v>
      </c>
      <c r="N901" s="50">
        <f>IFERROR(IF(VLOOKUP($B901,Input!$AC$2:$AC$162,1,0)=$B901,0),F901)</f>
        <v>0</v>
      </c>
      <c r="O901" s="50">
        <f>IFERROR(IF(VLOOKUP($B901,Input!$AC$2:$AC$162,1,0)=$B901,0,G901),G901)</f>
        <v>0</v>
      </c>
      <c r="P901" s="50">
        <f>IF(N901=0,0,F901-AVERAGE(INDEX(F:F,MATCH(VLOOKUP(D901,Input!$A$14:$L$22,10,0),L:L,0)),INDEX(F:F,MATCH(VLOOKUP(D901,Input!$A$14:$L$22,11,0),L:L,0)),INDEX(F:F,MATCH(VLOOKUP(D901,Input!$A$14:$L$22,12,0),L:L,0)))+(0.01-ROW()*0.01))</f>
        <v>0</v>
      </c>
      <c r="Q901" s="106">
        <f t="shared" si="154"/>
        <v>0</v>
      </c>
      <c r="R901" s="8" t="e">
        <f>IF(VLOOKUP($D901,$X$14:$Y$19,2,0)&lt;=0,1,IF(Q901&lt;0,1,ROUNDUP(IF(Q901*('Draft Center'!$L$28+'Draft Center'!$L$78-'Draft Center'!$L$82)&lt;1,1,Q901*('Draft Center'!$L$28+'Draft Center'!$L$78-'Draft Center'!$L$82)),0)))</f>
        <v>#N/A</v>
      </c>
      <c r="S901" s="8" t="e">
        <f>IF(A901&lt;Input!$B$10+0.1,IF(ROUNDUP(R901*Input!$C$10,0)=0,1,ROUNDUP(R901*Input!$C$10,0)),IF(A901&gt;Input!$B$11,IF(ROUNDUP(R901*Input!$C$11,0)=0,1,ROUNDUP(R901*Input!$C$11,0)),IF(ROUNDUP(R901,0)=0,1,ROUNDUP(R901,0))))</f>
        <v>#N/A</v>
      </c>
      <c r="T901" s="8" t="e">
        <f t="shared" si="155"/>
        <v>#N/A</v>
      </c>
      <c r="U901" s="8">
        <f>IFERROR(VLOOKUP($B901,Input!$AC$2:$AE$161,3,0),0)</f>
        <v>0</v>
      </c>
      <c r="V901" s="256" t="e">
        <f t="shared" si="156"/>
        <v>#N/A</v>
      </c>
      <c r="W901" s="263" t="e">
        <f t="shared" si="157"/>
        <v>#N/A</v>
      </c>
      <c r="X901" s="68"/>
      <c r="Y901" s="68"/>
      <c r="Z901" s="68"/>
      <c r="AA901" s="68"/>
      <c r="AB901" s="68"/>
      <c r="AC901" s="68"/>
      <c r="AD901" s="68"/>
      <c r="AE901" s="68"/>
      <c r="AF901" s="68"/>
      <c r="AG901" s="68"/>
      <c r="AH901" s="68"/>
      <c r="AI901" s="68"/>
      <c r="AJ901" s="68" t="e">
        <v>#N/A</v>
      </c>
      <c r="AL901" s="68" t="e">
        <v>#N/A</v>
      </c>
      <c r="AM901" s="68"/>
      <c r="AN901" s="68"/>
      <c r="AO901" s="68"/>
      <c r="AQ901" s="68"/>
      <c r="AR901" s="68"/>
      <c r="AS901" s="68"/>
      <c r="AT901" s="68"/>
      <c r="AU901" s="68"/>
      <c r="AV901" s="68"/>
      <c r="AW901" s="68"/>
      <c r="AX901" s="68"/>
      <c r="AY901" s="68"/>
      <c r="AZ901" s="68"/>
      <c r="BB901" s="68"/>
      <c r="BC901" s="68"/>
      <c r="BJ901" s="68"/>
      <c r="BT901" t="e">
        <v>#N/A</v>
      </c>
      <c r="BV901" t="e">
        <v>#N/A</v>
      </c>
      <c r="BX901" s="68"/>
      <c r="BY901" s="68" t="e">
        <v>#N/A</v>
      </c>
      <c r="BZ901" s="68">
        <v>0</v>
      </c>
      <c r="CA901" s="68">
        <v>0</v>
      </c>
      <c r="CB901" s="68">
        <v>0</v>
      </c>
      <c r="CC901" s="68">
        <f t="shared" si="158"/>
        <v>0</v>
      </c>
      <c r="CD901" s="68">
        <f t="shared" si="159"/>
        <v>0</v>
      </c>
    </row>
    <row r="902" spans="1:82" ht="15.75" thickBot="1" x14ac:dyDescent="0.3">
      <c r="A902" s="9">
        <v>901</v>
      </c>
      <c r="B902" s="10"/>
      <c r="C902" s="10"/>
      <c r="D902" s="10"/>
      <c r="E902" s="51"/>
      <c r="F902" s="51"/>
      <c r="G902" s="51"/>
      <c r="H902" s="51"/>
      <c r="I902" s="11"/>
      <c r="J902" s="51"/>
      <c r="K902" s="249" t="str">
        <f>IFERROR(VLOOKUP(C902,Schedule!$T$3:$U$34,2,0),"FA")</f>
        <v>FA</v>
      </c>
      <c r="L902" s="10" t="str">
        <f>D902&amp;COUNTIF(D$2:$D902,D902)</f>
        <v>0</v>
      </c>
      <c r="M902" s="51">
        <f t="array" ref="M902">IFERROR(F902-AVERAGE(VLOOKUP(D902,$D$885:$F902,3,0),INDEX($F$885:$F902,SMALL(IF(D902=$D$885:$D902,ROW($D$885:$D902)-ROW(D902)),2))),0)</f>
        <v>0</v>
      </c>
      <c r="N902" s="51">
        <f>IFERROR(IF(VLOOKUP($B902,Input!$AC$2:$AC$162,1,0)=$B902,0),F902)</f>
        <v>0</v>
      </c>
      <c r="O902" s="51">
        <f>IFERROR(IF(VLOOKUP($B902,Input!$AC$2:$AC$162,1,0)=$B902,0,G902),G902)</f>
        <v>0</v>
      </c>
      <c r="P902" s="51">
        <f>IF(N902=0,0,F902-AVERAGE(INDEX(F:F,MATCH(VLOOKUP(D902,Input!$A$14:$L$22,10,0),L:L,0)),INDEX(F:F,MATCH(VLOOKUP(D902,Input!$A$14:$L$22,11,0),L:L,0)),INDEX(F:F,MATCH(VLOOKUP(D902,Input!$A$14:$L$22,12,0),L:L,0)))+(0.01-ROW()*0.01))</f>
        <v>0</v>
      </c>
      <c r="Q902" s="107">
        <f t="shared" si="154"/>
        <v>0</v>
      </c>
      <c r="R902" s="11" t="e">
        <f>IF(VLOOKUP($D902,$X$14:$Y$19,2,0)&lt;=0,1,IF(Q902&lt;0,1,ROUNDUP(IF(Q902*('Draft Center'!$L$28+'Draft Center'!$L$78-'Draft Center'!$L$82)&lt;1,1,Q902*('Draft Center'!$L$28+'Draft Center'!$L$78-'Draft Center'!$L$82)),0)))</f>
        <v>#N/A</v>
      </c>
      <c r="S902" s="11" t="e">
        <f>IF(A902&lt;Input!$B$10+0.1,IF(ROUNDUP(R902*Input!$C$10,0)=0,1,ROUNDUP(R902*Input!$C$10,0)),IF(A902&gt;Input!$B$11,IF(ROUNDUP(R902*Input!$C$11,0)=0,1,ROUNDUP(R902*Input!$C$11,0)),IF(ROUNDUP(R902,0)=0,1,ROUNDUP(R902,0))))</f>
        <v>#N/A</v>
      </c>
      <c r="T902" s="11" t="e">
        <f t="shared" si="155"/>
        <v>#N/A</v>
      </c>
      <c r="U902" s="11">
        <f>IFERROR(VLOOKUP($B902,Input!$AC$2:$AE$161,3,0),0)</f>
        <v>0</v>
      </c>
      <c r="V902" s="257" t="e">
        <f t="shared" si="156"/>
        <v>#N/A</v>
      </c>
      <c r="W902" s="264" t="e">
        <f t="shared" si="157"/>
        <v>#N/A</v>
      </c>
      <c r="X902" s="68"/>
      <c r="Y902" s="68"/>
      <c r="Z902" s="68"/>
      <c r="AA902" s="68"/>
      <c r="AB902" s="68"/>
      <c r="AC902" s="68"/>
      <c r="AD902" s="68"/>
      <c r="AE902" s="68"/>
      <c r="AF902" s="68"/>
      <c r="AG902" s="68"/>
      <c r="AH902" s="68"/>
      <c r="AI902" s="68"/>
      <c r="AJ902" s="68" t="e">
        <v>#N/A</v>
      </c>
      <c r="AL902" s="68" t="e">
        <v>#N/A</v>
      </c>
      <c r="AM902" s="68"/>
      <c r="AN902" s="68"/>
      <c r="AO902" s="68"/>
      <c r="AQ902" s="68"/>
      <c r="AR902" s="68"/>
      <c r="AS902" s="68"/>
      <c r="AT902" s="68"/>
      <c r="AU902" s="68"/>
      <c r="AV902" s="68"/>
      <c r="AW902" s="68"/>
      <c r="AX902" s="68"/>
      <c r="AY902" s="68"/>
      <c r="AZ902" s="68"/>
      <c r="BB902" s="68"/>
      <c r="BC902" s="68"/>
      <c r="BJ902" s="68"/>
      <c r="BT902" t="e">
        <v>#N/A</v>
      </c>
      <c r="BV902" t="e">
        <v>#N/A</v>
      </c>
      <c r="BX902" s="68"/>
      <c r="BY902" s="68" t="e">
        <v>#N/A</v>
      </c>
      <c r="BZ902" s="68">
        <v>0</v>
      </c>
      <c r="CA902" s="68">
        <v>0</v>
      </c>
      <c r="CB902" s="68">
        <v>0</v>
      </c>
      <c r="CC902" s="68">
        <f t="shared" si="158"/>
        <v>0</v>
      </c>
      <c r="CD902" s="68">
        <f t="shared" si="159"/>
        <v>0</v>
      </c>
    </row>
    <row r="903" spans="1:82" ht="15.75" thickBot="1" x14ac:dyDescent="0.3">
      <c r="A903" s="6">
        <v>902</v>
      </c>
      <c r="B903" s="7"/>
      <c r="C903" s="7"/>
      <c r="D903" s="7"/>
      <c r="E903" s="50"/>
      <c r="F903" s="50"/>
      <c r="G903" s="50"/>
      <c r="H903" s="50"/>
      <c r="I903" s="8"/>
      <c r="J903" s="50"/>
      <c r="K903" s="248" t="str">
        <f>IFERROR(VLOOKUP(C903,Schedule!$T$3:$U$34,2,0),"FA")</f>
        <v>FA</v>
      </c>
      <c r="L903" s="7" t="str">
        <f>D903&amp;COUNTIF(D$2:$D903,D903)</f>
        <v>0</v>
      </c>
      <c r="M903" s="50">
        <f t="array" ref="M903">IFERROR(F903-AVERAGE(VLOOKUP(D903,$D$885:$F903,3,0),INDEX($F$885:$F903,SMALL(IF(D903=$D$885:$D903,ROW($D$885:$D903)-ROW(D903)),2))),0)</f>
        <v>0</v>
      </c>
      <c r="N903" s="50">
        <f>IFERROR(IF(VLOOKUP($B903,Input!$AC$2:$AC$162,1,0)=$B903,0),F903)</f>
        <v>0</v>
      </c>
      <c r="O903" s="50">
        <f>IFERROR(IF(VLOOKUP($B903,Input!$AC$2:$AC$162,1,0)=$B903,0,G903),G903)</f>
        <v>0</v>
      </c>
      <c r="P903" s="50">
        <f>IF(N903=0,0,F903-AVERAGE(INDEX(F:F,MATCH(VLOOKUP(D903,Input!$A$14:$L$22,10,0),L:L,0)),INDEX(F:F,MATCH(VLOOKUP(D903,Input!$A$14:$L$22,11,0),L:L,0)),INDEX(F:F,MATCH(VLOOKUP(D903,Input!$A$14:$L$22,12,0),L:L,0)))+(0.01-ROW()*0.01))</f>
        <v>0</v>
      </c>
      <c r="Q903" s="106">
        <f t="shared" si="154"/>
        <v>0</v>
      </c>
      <c r="R903" s="8" t="e">
        <f>IF(VLOOKUP($D903,$X$14:$Y$19,2,0)&lt;=0,1,IF(Q903&lt;0,1,ROUNDUP(IF(Q903*('Draft Center'!$L$28+'Draft Center'!$L$78-'Draft Center'!$L$82)&lt;1,1,Q903*('Draft Center'!$L$28+'Draft Center'!$L$78-'Draft Center'!$L$82)),0)))</f>
        <v>#N/A</v>
      </c>
      <c r="S903" s="8" t="e">
        <f>IF(A903&lt;Input!$B$10+0.1,IF(ROUNDUP(R903*Input!$C$10,0)=0,1,ROUNDUP(R903*Input!$C$10,0)),IF(A903&gt;Input!$B$11,IF(ROUNDUP(R903*Input!$C$11,0)=0,1,ROUNDUP(R903*Input!$C$11,0)),IF(ROUNDUP(R903,0)=0,1,ROUNDUP(R903,0))))</f>
        <v>#N/A</v>
      </c>
      <c r="T903" s="8" t="e">
        <f t="shared" si="155"/>
        <v>#N/A</v>
      </c>
      <c r="U903" s="8">
        <f>IFERROR(VLOOKUP($B903,Input!$AC$2:$AE$161,3,0),0)</f>
        <v>0</v>
      </c>
      <c r="V903" s="256" t="e">
        <f t="shared" si="156"/>
        <v>#N/A</v>
      </c>
      <c r="W903" s="263" t="e">
        <f t="shared" si="157"/>
        <v>#N/A</v>
      </c>
      <c r="X903" s="68"/>
      <c r="Y903" s="68"/>
      <c r="Z903" s="68"/>
      <c r="AA903" s="68"/>
      <c r="AB903" s="68"/>
      <c r="AC903" s="68"/>
      <c r="AD903" s="68"/>
      <c r="AE903" s="68"/>
      <c r="AF903" s="68"/>
      <c r="AG903" s="68"/>
      <c r="AH903" s="68"/>
      <c r="AI903" s="68"/>
      <c r="AJ903" s="68" t="e">
        <v>#N/A</v>
      </c>
      <c r="AL903" s="68" t="e">
        <v>#N/A</v>
      </c>
      <c r="AM903" s="68"/>
      <c r="AN903" s="68"/>
      <c r="AO903" s="68"/>
      <c r="AQ903" s="68"/>
      <c r="AR903" s="68"/>
      <c r="AS903" s="68"/>
      <c r="AT903" s="68"/>
      <c r="AU903" s="68"/>
      <c r="AV903" s="68"/>
      <c r="AW903" s="68"/>
      <c r="AX903" s="68"/>
      <c r="AY903" s="68"/>
      <c r="AZ903" s="68"/>
      <c r="BB903" s="68"/>
      <c r="BC903" s="68"/>
      <c r="BJ903" s="68"/>
      <c r="BT903" t="e">
        <v>#N/A</v>
      </c>
      <c r="BV903" t="e">
        <v>#N/A</v>
      </c>
      <c r="BX903" s="68"/>
      <c r="BY903" s="68" t="e">
        <v>#N/A</v>
      </c>
      <c r="BZ903" s="68">
        <v>0</v>
      </c>
      <c r="CA903" s="68">
        <v>0</v>
      </c>
      <c r="CB903" s="68">
        <v>0</v>
      </c>
      <c r="CC903" s="68">
        <f t="shared" si="158"/>
        <v>0</v>
      </c>
      <c r="CD903" s="68">
        <f t="shared" si="159"/>
        <v>0</v>
      </c>
    </row>
    <row r="904" spans="1:82" ht="15.75" thickBot="1" x14ac:dyDescent="0.3">
      <c r="A904" s="9">
        <v>903</v>
      </c>
      <c r="B904" s="10"/>
      <c r="C904" s="10"/>
      <c r="D904" s="10"/>
      <c r="E904" s="51"/>
      <c r="F904" s="51"/>
      <c r="G904" s="51"/>
      <c r="H904" s="51"/>
      <c r="I904" s="11"/>
      <c r="J904" s="51"/>
      <c r="K904" s="249" t="str">
        <f>IFERROR(VLOOKUP(C904,Schedule!$T$3:$U$34,2,0),"FA")</f>
        <v>FA</v>
      </c>
      <c r="L904" s="10" t="str">
        <f>D904&amp;COUNTIF(D$2:$D904,D904)</f>
        <v>0</v>
      </c>
      <c r="M904" s="51">
        <f t="array" ref="M904">IFERROR(F904-AVERAGE(VLOOKUP(D904,$D$885:$F904,3,0),INDEX($F$885:$F904,SMALL(IF(D904=$D$885:$D904,ROW($D$885:$D904)-ROW(D904)),2))),0)</f>
        <v>0</v>
      </c>
      <c r="N904" s="51">
        <f>IFERROR(IF(VLOOKUP($B904,Input!$AC$2:$AC$162,1,0)=$B904,0),F904)</f>
        <v>0</v>
      </c>
      <c r="O904" s="51">
        <f>IFERROR(IF(VLOOKUP($B904,Input!$AC$2:$AC$162,1,0)=$B904,0,G904),G904)</f>
        <v>0</v>
      </c>
      <c r="P904" s="51">
        <f>IF(N904=0,0,F904-AVERAGE(INDEX(F:F,MATCH(VLOOKUP(D904,Input!$A$14:$L$22,10,0),L:L,0)),INDEX(F:F,MATCH(VLOOKUP(D904,Input!$A$14:$L$22,11,0),L:L,0)),INDEX(F:F,MATCH(VLOOKUP(D904,Input!$A$14:$L$22,12,0),L:L,0)))+(0.01-ROW()*0.01))</f>
        <v>0</v>
      </c>
      <c r="Q904" s="107">
        <f t="shared" si="154"/>
        <v>0</v>
      </c>
      <c r="R904" s="11" t="e">
        <f>IF(VLOOKUP($D904,$X$14:$Y$19,2,0)&lt;=0,1,IF(Q904&lt;0,1,ROUNDUP(IF(Q904*('Draft Center'!$L$28+'Draft Center'!$L$78-'Draft Center'!$L$82)&lt;1,1,Q904*('Draft Center'!$L$28+'Draft Center'!$L$78-'Draft Center'!$L$82)),0)))</f>
        <v>#N/A</v>
      </c>
      <c r="S904" s="11" t="e">
        <f>IF(A904&lt;Input!$B$10+0.1,IF(ROUNDUP(R904*Input!$C$10,0)=0,1,ROUNDUP(R904*Input!$C$10,0)),IF(A904&gt;Input!$B$11,IF(ROUNDUP(R904*Input!$C$11,0)=0,1,ROUNDUP(R904*Input!$C$11,0)),IF(ROUNDUP(R904,0)=0,1,ROUNDUP(R904,0))))</f>
        <v>#N/A</v>
      </c>
      <c r="T904" s="11" t="e">
        <f t="shared" si="155"/>
        <v>#N/A</v>
      </c>
      <c r="U904" s="11">
        <f>IFERROR(VLOOKUP($B904,Input!$AC$2:$AE$161,3,0),0)</f>
        <v>0</v>
      </c>
      <c r="V904" s="257" t="e">
        <f t="shared" si="156"/>
        <v>#N/A</v>
      </c>
      <c r="W904" s="264" t="e">
        <f t="shared" si="157"/>
        <v>#N/A</v>
      </c>
      <c r="X904" s="68"/>
      <c r="Y904" s="68"/>
      <c r="Z904" s="68"/>
      <c r="AA904" s="68"/>
      <c r="AB904" s="68"/>
      <c r="AC904" s="68"/>
      <c r="AD904" s="68"/>
      <c r="AE904" s="68"/>
      <c r="AF904" s="68"/>
      <c r="AG904" s="68"/>
      <c r="AH904" s="68"/>
      <c r="AI904" s="68"/>
      <c r="AJ904" s="68" t="e">
        <v>#N/A</v>
      </c>
      <c r="AL904" s="68" t="e">
        <v>#N/A</v>
      </c>
      <c r="AM904" s="68"/>
      <c r="AN904" s="68"/>
      <c r="AO904" s="68"/>
      <c r="AQ904" s="68"/>
      <c r="AR904" s="68"/>
      <c r="AS904" s="68"/>
      <c r="AT904" s="68"/>
      <c r="AU904" s="68"/>
      <c r="AV904" s="68"/>
      <c r="AW904" s="68"/>
      <c r="AX904" s="68"/>
      <c r="AY904" s="68"/>
      <c r="AZ904" s="68"/>
      <c r="BB904" s="68"/>
      <c r="BC904" s="68"/>
      <c r="BJ904" s="68"/>
      <c r="BT904" t="e">
        <v>#N/A</v>
      </c>
      <c r="BV904" t="e">
        <v>#N/A</v>
      </c>
      <c r="BX904" s="68"/>
      <c r="BY904" s="68" t="e">
        <v>#N/A</v>
      </c>
      <c r="BZ904" s="68">
        <v>0</v>
      </c>
      <c r="CA904" s="68">
        <v>0</v>
      </c>
      <c r="CB904" s="68">
        <v>0</v>
      </c>
      <c r="CC904" s="68">
        <f t="shared" si="158"/>
        <v>0</v>
      </c>
      <c r="CD904" s="68">
        <f t="shared" si="159"/>
        <v>0</v>
      </c>
    </row>
    <row r="905" spans="1:82" ht="15.75" thickBot="1" x14ac:dyDescent="0.3">
      <c r="A905" s="6">
        <v>904</v>
      </c>
      <c r="B905" s="7"/>
      <c r="C905" s="7"/>
      <c r="D905" s="7"/>
      <c r="E905" s="50"/>
      <c r="F905" s="50"/>
      <c r="G905" s="50"/>
      <c r="H905" s="50"/>
      <c r="I905" s="8"/>
      <c r="J905" s="50"/>
      <c r="K905" s="248" t="str">
        <f>IFERROR(VLOOKUP(C905,Schedule!$T$3:$U$34,2,0),"FA")</f>
        <v>FA</v>
      </c>
      <c r="L905" s="7" t="str">
        <f>D905&amp;COUNTIF(D$2:$D905,D905)</f>
        <v>0</v>
      </c>
      <c r="M905" s="50">
        <f t="array" ref="M905">IFERROR(F905-AVERAGE(VLOOKUP(D905,$D$885:$F905,3,0),INDEX($F$885:$F905,SMALL(IF(D905=$D$885:$D905,ROW($D$885:$D905)-ROW(D905)),2))),0)</f>
        <v>0</v>
      </c>
      <c r="N905" s="50">
        <f>IFERROR(IF(VLOOKUP($B905,Input!$AC$2:$AC$162,1,0)=$B905,0),F905)</f>
        <v>0</v>
      </c>
      <c r="O905" s="50">
        <f>IFERROR(IF(VLOOKUP($B905,Input!$AC$2:$AC$162,1,0)=$B905,0,G905),G905)</f>
        <v>0</v>
      </c>
      <c r="P905" s="50">
        <f>IF(N905=0,0,F905-AVERAGE(INDEX(F:F,MATCH(VLOOKUP(D905,Input!$A$14:$L$22,10,0),L:L,0)),INDEX(F:F,MATCH(VLOOKUP(D905,Input!$A$14:$L$22,11,0),L:L,0)),INDEX(F:F,MATCH(VLOOKUP(D905,Input!$A$14:$L$22,12,0),L:L,0)))+(0.01-ROW()*0.01))</f>
        <v>0</v>
      </c>
      <c r="Q905" s="106">
        <f t="shared" si="154"/>
        <v>0</v>
      </c>
      <c r="R905" s="8" t="e">
        <f>IF(VLOOKUP($D905,$X$14:$Y$19,2,0)&lt;=0,1,IF(Q905&lt;0,1,ROUNDUP(IF(Q905*('Draft Center'!$L$28+'Draft Center'!$L$78-'Draft Center'!$L$82)&lt;1,1,Q905*('Draft Center'!$L$28+'Draft Center'!$L$78-'Draft Center'!$L$82)),0)))</f>
        <v>#N/A</v>
      </c>
      <c r="S905" s="8" t="e">
        <f>IF(A905&lt;Input!$B$10+0.1,IF(ROUNDUP(R905*Input!$C$10,0)=0,1,ROUNDUP(R905*Input!$C$10,0)),IF(A905&gt;Input!$B$11,IF(ROUNDUP(R905*Input!$C$11,0)=0,1,ROUNDUP(R905*Input!$C$11,0)),IF(ROUNDUP(R905,0)=0,1,ROUNDUP(R905,0))))</f>
        <v>#N/A</v>
      </c>
      <c r="T905" s="8" t="e">
        <f t="shared" si="155"/>
        <v>#N/A</v>
      </c>
      <c r="U905" s="8">
        <f>IFERROR(VLOOKUP($B905,Input!$AC$2:$AE$161,3,0),0)</f>
        <v>0</v>
      </c>
      <c r="V905" s="256" t="e">
        <f t="shared" si="156"/>
        <v>#N/A</v>
      </c>
      <c r="W905" s="263" t="e">
        <f t="shared" si="157"/>
        <v>#N/A</v>
      </c>
      <c r="X905" s="68"/>
      <c r="Y905" s="68"/>
      <c r="Z905" s="68"/>
      <c r="AA905" s="68"/>
      <c r="AB905" s="68"/>
      <c r="AC905" s="68"/>
      <c r="AD905" s="68"/>
      <c r="AE905" s="68"/>
      <c r="AF905" s="68"/>
      <c r="AG905" s="68"/>
      <c r="AH905" s="68"/>
      <c r="AI905" s="68"/>
      <c r="AJ905" s="68" t="e">
        <v>#N/A</v>
      </c>
      <c r="AL905" s="68" t="e">
        <v>#N/A</v>
      </c>
      <c r="AM905" s="68"/>
      <c r="AN905" s="68"/>
      <c r="AO905" s="68"/>
      <c r="AQ905" s="68"/>
      <c r="AR905" s="68"/>
      <c r="AS905" s="68"/>
      <c r="AT905" s="68"/>
      <c r="AU905" s="68"/>
      <c r="AV905" s="68"/>
      <c r="AW905" s="68"/>
      <c r="AX905" s="68"/>
      <c r="AY905" s="68"/>
      <c r="AZ905" s="68"/>
      <c r="BB905" s="68"/>
      <c r="BC905" s="68"/>
      <c r="BJ905" s="68"/>
      <c r="BT905" t="e">
        <v>#N/A</v>
      </c>
      <c r="BV905" t="e">
        <v>#N/A</v>
      </c>
      <c r="BX905" s="68"/>
      <c r="BY905" s="68" t="e">
        <v>#N/A</v>
      </c>
      <c r="BZ905" s="68">
        <v>0</v>
      </c>
      <c r="CA905" s="68">
        <v>0</v>
      </c>
      <c r="CB905" s="68">
        <v>0</v>
      </c>
      <c r="CC905" s="68">
        <f t="shared" si="158"/>
        <v>0</v>
      </c>
      <c r="CD905" s="68">
        <f t="shared" si="159"/>
        <v>0</v>
      </c>
    </row>
    <row r="906" spans="1:82" ht="15.75" thickBot="1" x14ac:dyDescent="0.3">
      <c r="A906" s="9">
        <v>905</v>
      </c>
      <c r="B906" s="10"/>
      <c r="C906" s="10"/>
      <c r="D906" s="10"/>
      <c r="E906" s="51"/>
      <c r="F906" s="51"/>
      <c r="G906" s="51"/>
      <c r="H906" s="51"/>
      <c r="I906" s="11"/>
      <c r="J906" s="51"/>
      <c r="K906" s="249" t="str">
        <f>IFERROR(VLOOKUP(C906,Schedule!$T$3:$U$34,2,0),"FA")</f>
        <v>FA</v>
      </c>
      <c r="L906" s="10" t="str">
        <f>D906&amp;COUNTIF(D$2:$D906,D906)</f>
        <v>0</v>
      </c>
      <c r="M906" s="51">
        <f t="array" ref="M906">IFERROR(F906-AVERAGE(VLOOKUP(D906,$D$885:$F906,3,0),INDEX($F$885:$F906,SMALL(IF(D906=$D$885:$D906,ROW($D$885:$D906)-ROW(D906)),2))),0)</f>
        <v>0</v>
      </c>
      <c r="N906" s="51">
        <f>IFERROR(IF(VLOOKUP($B906,Input!$AC$2:$AC$162,1,0)=$B906,0),F906)</f>
        <v>0</v>
      </c>
      <c r="O906" s="51">
        <f>IFERROR(IF(VLOOKUP($B906,Input!$AC$2:$AC$162,1,0)=$B906,0,G906),G906)</f>
        <v>0</v>
      </c>
      <c r="P906" s="51">
        <f>IF(N906=0,0,F906-AVERAGE(INDEX(F:F,MATCH(VLOOKUP(D906,Input!$A$14:$L$22,10,0),L:L,0)),INDEX(F:F,MATCH(VLOOKUP(D906,Input!$A$14:$L$22,11,0),L:L,0)),INDEX(F:F,MATCH(VLOOKUP(D906,Input!$A$14:$L$22,12,0),L:L,0)))+(0.01-ROW()*0.01))</f>
        <v>0</v>
      </c>
      <c r="Q906" s="107">
        <f t="shared" si="154"/>
        <v>0</v>
      </c>
      <c r="R906" s="11" t="e">
        <f>IF(VLOOKUP($D906,$X$14:$Y$19,2,0)&lt;=0,1,IF(Q906&lt;0,1,ROUNDUP(IF(Q906*('Draft Center'!$L$28+'Draft Center'!$L$78-'Draft Center'!$L$82)&lt;1,1,Q906*('Draft Center'!$L$28+'Draft Center'!$L$78-'Draft Center'!$L$82)),0)))</f>
        <v>#N/A</v>
      </c>
      <c r="S906" s="11" t="e">
        <f>IF(A906&lt;Input!$B$10+0.1,IF(ROUNDUP(R906*Input!$C$10,0)=0,1,ROUNDUP(R906*Input!$C$10,0)),IF(A906&gt;Input!$B$11,IF(ROUNDUP(R906*Input!$C$11,0)=0,1,ROUNDUP(R906*Input!$C$11,0)),IF(ROUNDUP(R906,0)=0,1,ROUNDUP(R906,0))))</f>
        <v>#N/A</v>
      </c>
      <c r="T906" s="11" t="e">
        <f t="shared" si="155"/>
        <v>#N/A</v>
      </c>
      <c r="U906" s="11">
        <f>IFERROR(VLOOKUP($B906,Input!$AC$2:$AE$161,3,0),0)</f>
        <v>0</v>
      </c>
      <c r="V906" s="257" t="e">
        <f t="shared" si="156"/>
        <v>#N/A</v>
      </c>
      <c r="W906" s="264" t="e">
        <f t="shared" si="157"/>
        <v>#N/A</v>
      </c>
      <c r="X906" s="68"/>
      <c r="Y906" s="68"/>
      <c r="Z906" s="68"/>
      <c r="AA906" s="68"/>
      <c r="AB906" s="68"/>
      <c r="AC906" s="68"/>
      <c r="AD906" s="68"/>
      <c r="AE906" s="68"/>
      <c r="AF906" s="68"/>
      <c r="AG906" s="68"/>
      <c r="AH906" s="68"/>
      <c r="AI906" s="68"/>
      <c r="AJ906" s="68" t="e">
        <v>#N/A</v>
      </c>
      <c r="AL906" s="68" t="e">
        <v>#N/A</v>
      </c>
      <c r="AM906" s="68"/>
      <c r="AN906" s="68"/>
      <c r="AO906" s="68"/>
      <c r="AQ906" s="68"/>
      <c r="AR906" s="68"/>
      <c r="AS906" s="68"/>
      <c r="AT906" s="68"/>
      <c r="AU906" s="68"/>
      <c r="AV906" s="68"/>
      <c r="AW906" s="68"/>
      <c r="AX906" s="68"/>
      <c r="AY906" s="68"/>
      <c r="AZ906" s="68"/>
      <c r="BB906" s="68"/>
      <c r="BC906" s="68"/>
      <c r="BJ906" s="68"/>
      <c r="BT906" t="e">
        <v>#N/A</v>
      </c>
      <c r="BV906" t="e">
        <v>#N/A</v>
      </c>
      <c r="BX906" s="68"/>
      <c r="BY906" s="68" t="e">
        <v>#N/A</v>
      </c>
      <c r="BZ906" s="68">
        <v>0</v>
      </c>
      <c r="CA906" s="68">
        <v>0</v>
      </c>
      <c r="CB906" s="68">
        <v>0</v>
      </c>
      <c r="CC906" s="68">
        <f t="shared" si="158"/>
        <v>0</v>
      </c>
      <c r="CD906" s="68">
        <f t="shared" si="159"/>
        <v>0</v>
      </c>
    </row>
    <row r="907" spans="1:82" ht="15.75" thickBot="1" x14ac:dyDescent="0.3">
      <c r="A907" s="6">
        <v>906</v>
      </c>
      <c r="B907" s="7"/>
      <c r="C907" s="7"/>
      <c r="D907" s="7"/>
      <c r="E907" s="50"/>
      <c r="F907" s="50"/>
      <c r="G907" s="50"/>
      <c r="H907" s="50"/>
      <c r="I907" s="8"/>
      <c r="J907" s="50"/>
      <c r="K907" s="248" t="str">
        <f>IFERROR(VLOOKUP(C907,Schedule!$T$3:$U$34,2,0),"FA")</f>
        <v>FA</v>
      </c>
      <c r="L907" s="7" t="str">
        <f>D907&amp;COUNTIF(D$2:$D907,D907)</f>
        <v>0</v>
      </c>
      <c r="M907" s="50">
        <f t="array" ref="M907">IFERROR(F907-AVERAGE(VLOOKUP(D907,$D$885:$F907,3,0),INDEX($F$885:$F907,SMALL(IF(D907=$D$885:$D907,ROW($D$885:$D907)-ROW(D907)),2))),0)</f>
        <v>0</v>
      </c>
      <c r="N907" s="50">
        <f>IFERROR(IF(VLOOKUP($B907,Input!$AC$2:$AC$162,1,0)=$B907,0),F907)</f>
        <v>0</v>
      </c>
      <c r="O907" s="50">
        <f>IFERROR(IF(VLOOKUP($B907,Input!$AC$2:$AC$162,1,0)=$B907,0,G907),G907)</f>
        <v>0</v>
      </c>
      <c r="P907" s="50">
        <f>IF(N907=0,0,F907-AVERAGE(INDEX(F:F,MATCH(VLOOKUP(D907,Input!$A$14:$L$22,10,0),L:L,0)),INDEX(F:F,MATCH(VLOOKUP(D907,Input!$A$14:$L$22,11,0),L:L,0)),INDEX(F:F,MATCH(VLOOKUP(D907,Input!$A$14:$L$22,12,0),L:L,0)))+(0.01-ROW()*0.01))</f>
        <v>0</v>
      </c>
      <c r="Q907" s="106">
        <f t="shared" si="154"/>
        <v>0</v>
      </c>
      <c r="R907" s="8" t="e">
        <f>IF(VLOOKUP($D907,$X$14:$Y$19,2,0)&lt;=0,1,IF(Q907&lt;0,1,ROUNDUP(IF(Q907*('Draft Center'!$L$28+'Draft Center'!$L$78-'Draft Center'!$L$82)&lt;1,1,Q907*('Draft Center'!$L$28+'Draft Center'!$L$78-'Draft Center'!$L$82)),0)))</f>
        <v>#N/A</v>
      </c>
      <c r="S907" s="8" t="e">
        <f>IF(A907&lt;Input!$B$10+0.1,IF(ROUNDUP(R907*Input!$C$10,0)=0,1,ROUNDUP(R907*Input!$C$10,0)),IF(A907&gt;Input!$B$11,IF(ROUNDUP(R907*Input!$C$11,0)=0,1,ROUNDUP(R907*Input!$C$11,0)),IF(ROUNDUP(R907,0)=0,1,ROUNDUP(R907,0))))</f>
        <v>#N/A</v>
      </c>
      <c r="T907" s="8" t="e">
        <f t="shared" si="155"/>
        <v>#N/A</v>
      </c>
      <c r="U907" s="8">
        <f>IFERROR(VLOOKUP($B907,Input!$AC$2:$AE$161,3,0),0)</f>
        <v>0</v>
      </c>
      <c r="V907" s="256" t="e">
        <f t="shared" si="156"/>
        <v>#N/A</v>
      </c>
      <c r="W907" s="263" t="e">
        <f t="shared" si="157"/>
        <v>#N/A</v>
      </c>
      <c r="X907" s="68"/>
      <c r="Y907" s="68"/>
      <c r="Z907" s="68"/>
      <c r="AA907" s="68"/>
      <c r="AB907" s="68"/>
      <c r="AC907" s="68"/>
      <c r="AD907" s="68"/>
      <c r="AE907" s="68"/>
      <c r="AF907" s="68"/>
      <c r="AG907" s="68"/>
      <c r="AH907" s="68"/>
      <c r="AI907" s="68"/>
      <c r="AJ907" s="68" t="e">
        <v>#N/A</v>
      </c>
      <c r="AL907" s="68" t="e">
        <v>#N/A</v>
      </c>
      <c r="AM907" s="68"/>
      <c r="AN907" s="68"/>
      <c r="AO907" s="68"/>
      <c r="AQ907" s="68"/>
      <c r="AR907" s="68"/>
      <c r="AS907" s="68"/>
      <c r="AT907" s="68"/>
      <c r="AU907" s="68"/>
      <c r="AV907" s="68"/>
      <c r="AW907" s="68"/>
      <c r="AX907" s="68"/>
      <c r="AY907" s="68"/>
      <c r="AZ907" s="68"/>
      <c r="BB907" s="68"/>
      <c r="BC907" s="68"/>
      <c r="BJ907" s="68"/>
      <c r="BT907" t="e">
        <v>#N/A</v>
      </c>
      <c r="BV907" t="e">
        <v>#N/A</v>
      </c>
      <c r="BX907" s="68"/>
      <c r="BY907" s="68" t="e">
        <v>#N/A</v>
      </c>
      <c r="BZ907" s="68">
        <v>0</v>
      </c>
      <c r="CA907" s="68">
        <v>0</v>
      </c>
      <c r="CB907" s="68">
        <v>0</v>
      </c>
      <c r="CC907" s="68">
        <f t="shared" si="158"/>
        <v>0</v>
      </c>
      <c r="CD907" s="68">
        <f t="shared" si="159"/>
        <v>0</v>
      </c>
    </row>
    <row r="908" spans="1:82" ht="15.75" thickBot="1" x14ac:dyDescent="0.3">
      <c r="A908" s="9">
        <v>907</v>
      </c>
      <c r="B908" s="10"/>
      <c r="C908" s="10"/>
      <c r="D908" s="10"/>
      <c r="E908" s="51"/>
      <c r="F908" s="51"/>
      <c r="G908" s="51"/>
      <c r="H908" s="51"/>
      <c r="I908" s="11"/>
      <c r="J908" s="51"/>
      <c r="K908" s="249" t="str">
        <f>IFERROR(VLOOKUP(C908,Schedule!$T$3:$U$34,2,0),"FA")</f>
        <v>FA</v>
      </c>
      <c r="L908" s="10" t="str">
        <f>D908&amp;COUNTIF(D$2:$D908,D908)</f>
        <v>0</v>
      </c>
      <c r="M908" s="51">
        <f t="array" ref="M908">IFERROR(F908-AVERAGE(VLOOKUP(D908,$D$885:$F908,3,0),INDEX($F$885:$F908,SMALL(IF(D908=$D$885:$D908,ROW($D$885:$D908)-ROW(D908)),2))),0)</f>
        <v>0</v>
      </c>
      <c r="N908" s="51">
        <f>IFERROR(IF(VLOOKUP($B908,Input!$AC$2:$AC$162,1,0)=$B908,0),F908)</f>
        <v>0</v>
      </c>
      <c r="O908" s="51">
        <f>IFERROR(IF(VLOOKUP($B908,Input!$AC$2:$AC$162,1,0)=$B908,0,G908),G908)</f>
        <v>0</v>
      </c>
      <c r="P908" s="51">
        <f>IF(N908=0,0,F908-AVERAGE(INDEX(F:F,MATCH(VLOOKUP(D908,Input!$A$14:$L$22,10,0),L:L,0)),INDEX(F:F,MATCH(VLOOKUP(D908,Input!$A$14:$L$22,11,0),L:L,0)),INDEX(F:F,MATCH(VLOOKUP(D908,Input!$A$14:$L$22,12,0),L:L,0)))+(0.01-ROW()*0.01))</f>
        <v>0</v>
      </c>
      <c r="Q908" s="107">
        <f t="shared" si="154"/>
        <v>0</v>
      </c>
      <c r="R908" s="11" t="e">
        <f>IF(VLOOKUP($D908,$X$14:$Y$19,2,0)&lt;=0,1,IF(Q908&lt;0,1,ROUNDUP(IF(Q908*('Draft Center'!$L$28+'Draft Center'!$L$78-'Draft Center'!$L$82)&lt;1,1,Q908*('Draft Center'!$L$28+'Draft Center'!$L$78-'Draft Center'!$L$82)),0)))</f>
        <v>#N/A</v>
      </c>
      <c r="S908" s="11" t="e">
        <f>IF(A908&lt;Input!$B$10+0.1,IF(ROUNDUP(R908*Input!$C$10,0)=0,1,ROUNDUP(R908*Input!$C$10,0)),IF(A908&gt;Input!$B$11,IF(ROUNDUP(R908*Input!$C$11,0)=0,1,ROUNDUP(R908*Input!$C$11,0)),IF(ROUNDUP(R908,0)=0,1,ROUNDUP(R908,0))))</f>
        <v>#N/A</v>
      </c>
      <c r="T908" s="11" t="e">
        <f t="shared" si="155"/>
        <v>#N/A</v>
      </c>
      <c r="U908" s="11">
        <f>IFERROR(VLOOKUP($B908,Input!$AC$2:$AE$161,3,0),0)</f>
        <v>0</v>
      </c>
      <c r="V908" s="257" t="e">
        <f t="shared" si="156"/>
        <v>#N/A</v>
      </c>
      <c r="W908" s="264" t="e">
        <f t="shared" si="157"/>
        <v>#N/A</v>
      </c>
      <c r="X908" s="68"/>
      <c r="Y908" s="68"/>
      <c r="Z908" s="68"/>
      <c r="AA908" s="68"/>
      <c r="AB908" s="68"/>
      <c r="AC908" s="68"/>
      <c r="AD908" s="68"/>
      <c r="AE908" s="68"/>
      <c r="AF908" s="68"/>
      <c r="AG908" s="68"/>
      <c r="AH908" s="68"/>
      <c r="AI908" s="68"/>
      <c r="AJ908" s="68" t="e">
        <v>#N/A</v>
      </c>
      <c r="AL908" s="68" t="e">
        <v>#N/A</v>
      </c>
      <c r="AM908" s="68"/>
      <c r="AN908" s="68"/>
      <c r="AO908" s="68"/>
      <c r="AQ908" s="68"/>
      <c r="AR908" s="68"/>
      <c r="AS908" s="68"/>
      <c r="AT908" s="68"/>
      <c r="AU908" s="68"/>
      <c r="AV908" s="68"/>
      <c r="AW908" s="68"/>
      <c r="AX908" s="68"/>
      <c r="AY908" s="68"/>
      <c r="AZ908" s="68"/>
      <c r="BB908" s="68"/>
      <c r="BC908" s="68"/>
      <c r="BJ908" s="68"/>
      <c r="BT908" t="e">
        <v>#N/A</v>
      </c>
      <c r="BV908" t="e">
        <v>#N/A</v>
      </c>
      <c r="BX908" s="68"/>
      <c r="BY908" s="68" t="e">
        <v>#N/A</v>
      </c>
      <c r="BZ908" s="68">
        <v>0</v>
      </c>
      <c r="CA908" s="68">
        <v>0</v>
      </c>
      <c r="CB908" s="68">
        <v>0</v>
      </c>
      <c r="CC908" s="68">
        <f t="shared" si="158"/>
        <v>0</v>
      </c>
      <c r="CD908" s="68">
        <f t="shared" si="159"/>
        <v>0</v>
      </c>
    </row>
    <row r="909" spans="1:82" ht="15.75" thickBot="1" x14ac:dyDescent="0.3">
      <c r="A909" s="6">
        <v>908</v>
      </c>
      <c r="B909" s="7"/>
      <c r="C909" s="7"/>
      <c r="D909" s="7"/>
      <c r="E909" s="50"/>
      <c r="F909" s="50"/>
      <c r="G909" s="50"/>
      <c r="H909" s="50"/>
      <c r="I909" s="8"/>
      <c r="J909" s="50"/>
      <c r="K909" s="248" t="str">
        <f>IFERROR(VLOOKUP(C909,Schedule!$T$3:$U$34,2,0),"FA")</f>
        <v>FA</v>
      </c>
      <c r="L909" s="7" t="str">
        <f>D909&amp;COUNTIF(D$2:$D909,D909)</f>
        <v>0</v>
      </c>
      <c r="M909" s="50">
        <f t="array" ref="M909">IFERROR(F909-AVERAGE(VLOOKUP(D909,$D$885:$F909,3,0),INDEX($F$885:$F909,SMALL(IF(D909=$D$885:$D909,ROW($D$885:$D909)-ROW(D909)),2))),0)</f>
        <v>0</v>
      </c>
      <c r="N909" s="50">
        <f>IFERROR(IF(VLOOKUP($B909,Input!$AC$2:$AC$162,1,0)=$B909,0),F909)</f>
        <v>0</v>
      </c>
      <c r="O909" s="50">
        <f>IFERROR(IF(VLOOKUP($B909,Input!$AC$2:$AC$162,1,0)=$B909,0,G909),G909)</f>
        <v>0</v>
      </c>
      <c r="P909" s="50">
        <f>IF(N909=0,0,F909-AVERAGE(INDEX(F:F,MATCH(VLOOKUP(D909,Input!$A$14:$L$22,10,0),L:L,0)),INDEX(F:F,MATCH(VLOOKUP(D909,Input!$A$14:$L$22,11,0),L:L,0)),INDEX(F:F,MATCH(VLOOKUP(D909,Input!$A$14:$L$22,12,0),L:L,0)))+(0.01-ROW()*0.01))</f>
        <v>0</v>
      </c>
      <c r="Q909" s="106">
        <f t="shared" si="154"/>
        <v>0</v>
      </c>
      <c r="R909" s="8" t="e">
        <f>IF(VLOOKUP($D909,$X$14:$Y$19,2,0)&lt;=0,1,IF(Q909&lt;0,1,ROUNDUP(IF(Q909*('Draft Center'!$L$28+'Draft Center'!$L$78-'Draft Center'!$L$82)&lt;1,1,Q909*('Draft Center'!$L$28+'Draft Center'!$L$78-'Draft Center'!$L$82)),0)))</f>
        <v>#N/A</v>
      </c>
      <c r="S909" s="8" t="e">
        <f>IF(A909&lt;Input!$B$10+0.1,IF(ROUNDUP(R909*Input!$C$10,0)=0,1,ROUNDUP(R909*Input!$C$10,0)),IF(A909&gt;Input!$B$11,IF(ROUNDUP(R909*Input!$C$11,0)=0,1,ROUNDUP(R909*Input!$C$11,0)),IF(ROUNDUP(R909,0)=0,1,ROUNDUP(R909,0))))</f>
        <v>#N/A</v>
      </c>
      <c r="T909" s="8" t="e">
        <f t="shared" si="155"/>
        <v>#N/A</v>
      </c>
      <c r="U909" s="8">
        <f>IFERROR(VLOOKUP($B909,Input!$AC$2:$AE$161,3,0),0)</f>
        <v>0</v>
      </c>
      <c r="V909" s="256" t="e">
        <f t="shared" si="156"/>
        <v>#N/A</v>
      </c>
      <c r="W909" s="263" t="e">
        <f t="shared" si="157"/>
        <v>#N/A</v>
      </c>
      <c r="X909" s="68"/>
      <c r="Y909" s="68"/>
      <c r="Z909" s="68"/>
      <c r="AA909" s="68"/>
      <c r="AB909" s="68"/>
      <c r="AC909" s="68"/>
      <c r="AD909" s="68"/>
      <c r="AE909" s="68"/>
      <c r="AF909" s="68"/>
      <c r="AG909" s="68"/>
      <c r="AH909" s="68"/>
      <c r="AI909" s="68"/>
      <c r="AJ909" s="68" t="e">
        <v>#N/A</v>
      </c>
      <c r="AL909" s="68" t="e">
        <v>#N/A</v>
      </c>
      <c r="AM909" s="68"/>
      <c r="AN909" s="68"/>
      <c r="AO909" s="68"/>
      <c r="AQ909" s="68"/>
      <c r="AR909" s="68"/>
      <c r="AS909" s="68"/>
      <c r="AT909" s="68"/>
      <c r="AU909" s="68"/>
      <c r="AV909" s="68"/>
      <c r="AW909" s="68"/>
      <c r="AX909" s="68"/>
      <c r="AY909" s="68"/>
      <c r="AZ909" s="68"/>
      <c r="BB909" s="68"/>
      <c r="BC909" s="68"/>
      <c r="BJ909" s="68"/>
      <c r="BT909" t="e">
        <v>#N/A</v>
      </c>
      <c r="BV909" t="e">
        <v>#N/A</v>
      </c>
      <c r="BX909" s="68"/>
      <c r="BY909" s="68" t="e">
        <v>#N/A</v>
      </c>
      <c r="BZ909" s="68">
        <v>0</v>
      </c>
      <c r="CA909" s="68">
        <v>0</v>
      </c>
      <c r="CB909" s="68">
        <v>0</v>
      </c>
      <c r="CC909" s="68">
        <f t="shared" si="158"/>
        <v>0</v>
      </c>
      <c r="CD909" s="68">
        <f t="shared" si="159"/>
        <v>0</v>
      </c>
    </row>
    <row r="910" spans="1:82" ht="15.75" thickBot="1" x14ac:dyDescent="0.3">
      <c r="A910" s="9">
        <v>909</v>
      </c>
      <c r="B910" s="10"/>
      <c r="C910" s="10"/>
      <c r="D910" s="10"/>
      <c r="E910" s="51"/>
      <c r="F910" s="51"/>
      <c r="G910" s="51"/>
      <c r="H910" s="51"/>
      <c r="I910" s="11"/>
      <c r="J910" s="51"/>
      <c r="K910" s="249" t="str">
        <f>IFERROR(VLOOKUP(C910,Schedule!$T$3:$U$34,2,0),"FA")</f>
        <v>FA</v>
      </c>
      <c r="L910" s="10" t="str">
        <f>D910&amp;COUNTIF(D$2:$D910,D910)</f>
        <v>0</v>
      </c>
      <c r="M910" s="51">
        <f t="array" ref="M910">IFERROR(F910-AVERAGE(VLOOKUP(D910,$D$885:$F910,3,0),INDEX($F$885:$F910,SMALL(IF(D910=$D$885:$D910,ROW($D$885:$D910)-ROW(D910)),2))),0)</f>
        <v>0</v>
      </c>
      <c r="N910" s="51">
        <f>IFERROR(IF(VLOOKUP($B910,Input!$AC$2:$AC$162,1,0)=$B910,0),F910)</f>
        <v>0</v>
      </c>
      <c r="O910" s="51">
        <f>IFERROR(IF(VLOOKUP($B910,Input!$AC$2:$AC$162,1,0)=$B910,0,G910),G910)</f>
        <v>0</v>
      </c>
      <c r="P910" s="51">
        <f>IF(N910=0,0,F910-AVERAGE(INDEX(F:F,MATCH(VLOOKUP(D910,Input!$A$14:$L$22,10,0),L:L,0)),INDEX(F:F,MATCH(VLOOKUP(D910,Input!$A$14:$L$22,11,0),L:L,0)),INDEX(F:F,MATCH(VLOOKUP(D910,Input!$A$14:$L$22,12,0),L:L,0)))+(0.01-ROW()*0.01))</f>
        <v>0</v>
      </c>
      <c r="Q910" s="107">
        <f t="shared" si="154"/>
        <v>0</v>
      </c>
      <c r="R910" s="11" t="e">
        <f>IF(VLOOKUP($D910,$X$14:$Y$19,2,0)&lt;=0,1,IF(Q910&lt;0,1,ROUNDUP(IF(Q910*('Draft Center'!$L$28+'Draft Center'!$L$78-'Draft Center'!$L$82)&lt;1,1,Q910*('Draft Center'!$L$28+'Draft Center'!$L$78-'Draft Center'!$L$82)),0)))</f>
        <v>#N/A</v>
      </c>
      <c r="S910" s="11" t="e">
        <f>IF(A910&lt;Input!$B$10+0.1,IF(ROUNDUP(R910*Input!$C$10,0)=0,1,ROUNDUP(R910*Input!$C$10,0)),IF(A910&gt;Input!$B$11,IF(ROUNDUP(R910*Input!$C$11,0)=0,1,ROUNDUP(R910*Input!$C$11,0)),IF(ROUNDUP(R910,0)=0,1,ROUNDUP(R910,0))))</f>
        <v>#N/A</v>
      </c>
      <c r="T910" s="11" t="e">
        <f t="shared" si="155"/>
        <v>#N/A</v>
      </c>
      <c r="U910" s="11">
        <f>IFERROR(VLOOKUP($B910,Input!$AC$2:$AE$161,3,0),0)</f>
        <v>0</v>
      </c>
      <c r="V910" s="257" t="e">
        <f t="shared" si="156"/>
        <v>#N/A</v>
      </c>
      <c r="W910" s="264" t="e">
        <f t="shared" si="157"/>
        <v>#N/A</v>
      </c>
      <c r="X910" s="68"/>
      <c r="Y910" s="68"/>
      <c r="Z910" s="68"/>
      <c r="AA910" s="68"/>
      <c r="AB910" s="68"/>
      <c r="AC910" s="68"/>
      <c r="AD910" s="68"/>
      <c r="AE910" s="68"/>
      <c r="AF910" s="68"/>
      <c r="AG910" s="68"/>
      <c r="AH910" s="68"/>
      <c r="AI910" s="68"/>
      <c r="AJ910" s="68" t="e">
        <v>#N/A</v>
      </c>
      <c r="AL910" s="68" t="e">
        <v>#N/A</v>
      </c>
      <c r="AM910" s="68"/>
      <c r="AN910" s="68"/>
      <c r="AO910" s="68"/>
      <c r="AQ910" s="68"/>
      <c r="AR910" s="68"/>
      <c r="AS910" s="68"/>
      <c r="AT910" s="68"/>
      <c r="AU910" s="68"/>
      <c r="AV910" s="68"/>
      <c r="AW910" s="68"/>
      <c r="AX910" s="68"/>
      <c r="AY910" s="68"/>
      <c r="AZ910" s="68"/>
      <c r="BB910" s="68"/>
      <c r="BC910" s="68"/>
      <c r="BJ910" s="68"/>
      <c r="BT910" t="e">
        <v>#N/A</v>
      </c>
      <c r="BV910" t="e">
        <v>#N/A</v>
      </c>
      <c r="BX910" s="68"/>
      <c r="BY910" s="68" t="e">
        <v>#N/A</v>
      </c>
      <c r="BZ910" s="68">
        <v>0</v>
      </c>
      <c r="CA910" s="68">
        <v>0</v>
      </c>
      <c r="CB910" s="68">
        <v>0</v>
      </c>
      <c r="CC910" s="68">
        <f t="shared" si="158"/>
        <v>0</v>
      </c>
      <c r="CD910" s="68">
        <f t="shared" si="159"/>
        <v>0</v>
      </c>
    </row>
    <row r="911" spans="1:82" ht="15.75" thickBot="1" x14ac:dyDescent="0.3">
      <c r="A911" s="6">
        <v>910</v>
      </c>
      <c r="B911" s="7"/>
      <c r="C911" s="7"/>
      <c r="D911" s="7"/>
      <c r="E911" s="50"/>
      <c r="F911" s="50"/>
      <c r="G911" s="50"/>
      <c r="H911" s="50"/>
      <c r="I911" s="8"/>
      <c r="J911" s="50"/>
      <c r="K911" s="248" t="str">
        <f>IFERROR(VLOOKUP(C911,Schedule!$T$3:$U$34,2,0),"FA")</f>
        <v>FA</v>
      </c>
      <c r="L911" s="7" t="str">
        <f>D911&amp;COUNTIF(D$2:$D911,D911)</f>
        <v>0</v>
      </c>
      <c r="M911" s="50">
        <f t="array" ref="M911">IFERROR(F911-AVERAGE(VLOOKUP(D911,$D$885:$F911,3,0),INDEX($F$885:$F911,SMALL(IF(D911=$D$885:$D911,ROW($D$885:$D911)-ROW(D911)),2))),0)</f>
        <v>0</v>
      </c>
      <c r="N911" s="50">
        <f>IFERROR(IF(VLOOKUP($B911,Input!$AC$2:$AC$162,1,0)=$B911,0),F911)</f>
        <v>0</v>
      </c>
      <c r="O911" s="50">
        <f>IFERROR(IF(VLOOKUP($B911,Input!$AC$2:$AC$162,1,0)=$B911,0,G911),G911)</f>
        <v>0</v>
      </c>
      <c r="P911" s="50">
        <f>IF(N911=0,0,F911-AVERAGE(INDEX(F:F,MATCH(VLOOKUP(D911,Input!$A$14:$L$22,10,0),L:L,0)),INDEX(F:F,MATCH(VLOOKUP(D911,Input!$A$14:$L$22,11,0),L:L,0)),INDEX(F:F,MATCH(VLOOKUP(D911,Input!$A$14:$L$22,12,0),L:L,0)))+(0.01-ROW()*0.01))</f>
        <v>0</v>
      </c>
      <c r="Q911" s="106">
        <f t="shared" si="154"/>
        <v>0</v>
      </c>
      <c r="R911" s="8" t="e">
        <f>IF(VLOOKUP($D911,$X$14:$Y$19,2,0)&lt;=0,1,IF(Q911&lt;0,1,ROUNDUP(IF(Q911*('Draft Center'!$L$28+'Draft Center'!$L$78-'Draft Center'!$L$82)&lt;1,1,Q911*('Draft Center'!$L$28+'Draft Center'!$L$78-'Draft Center'!$L$82)),0)))</f>
        <v>#N/A</v>
      </c>
      <c r="S911" s="8" t="e">
        <f>IF(A911&lt;Input!$B$10+0.1,IF(ROUNDUP(R911*Input!$C$10,0)=0,1,ROUNDUP(R911*Input!$C$10,0)),IF(A911&gt;Input!$B$11,IF(ROUNDUP(R911*Input!$C$11,0)=0,1,ROUNDUP(R911*Input!$C$11,0)),IF(ROUNDUP(R911,0)=0,1,ROUNDUP(R911,0))))</f>
        <v>#N/A</v>
      </c>
      <c r="T911" s="8" t="e">
        <f t="shared" si="155"/>
        <v>#N/A</v>
      </c>
      <c r="U911" s="8">
        <f>IFERROR(VLOOKUP($B911,Input!$AC$2:$AE$161,3,0),0)</f>
        <v>0</v>
      </c>
      <c r="V911" s="256" t="e">
        <f t="shared" si="156"/>
        <v>#N/A</v>
      </c>
      <c r="W911" s="263" t="e">
        <f t="shared" si="157"/>
        <v>#N/A</v>
      </c>
      <c r="X911" s="68"/>
      <c r="Y911" s="68"/>
      <c r="Z911" s="68"/>
      <c r="AA911" s="68"/>
      <c r="AB911" s="68"/>
      <c r="AC911" s="68"/>
      <c r="AD911" s="68"/>
      <c r="AE911" s="68"/>
      <c r="AF911" s="68"/>
      <c r="AG911" s="68"/>
      <c r="AH911" s="68"/>
      <c r="AI911" s="68"/>
      <c r="AJ911" s="68" t="e">
        <v>#N/A</v>
      </c>
      <c r="AL911" s="68" t="e">
        <v>#N/A</v>
      </c>
      <c r="AM911" s="68"/>
      <c r="AN911" s="68"/>
      <c r="AO911" s="68"/>
      <c r="AQ911" s="68"/>
      <c r="AR911" s="68"/>
      <c r="AS911" s="68"/>
      <c r="AT911" s="68"/>
      <c r="AU911" s="68"/>
      <c r="AV911" s="68"/>
      <c r="AW911" s="68"/>
      <c r="AX911" s="68"/>
      <c r="AY911" s="68"/>
      <c r="AZ911" s="68"/>
      <c r="BB911" s="68"/>
      <c r="BC911" s="68"/>
      <c r="BJ911" s="68"/>
      <c r="BT911" t="e">
        <v>#N/A</v>
      </c>
      <c r="BV911" t="e">
        <v>#N/A</v>
      </c>
      <c r="BX911" s="68"/>
      <c r="BY911" s="68" t="e">
        <v>#N/A</v>
      </c>
      <c r="BZ911" s="68">
        <v>0</v>
      </c>
      <c r="CA911" s="68">
        <v>0</v>
      </c>
      <c r="CB911" s="68">
        <v>0</v>
      </c>
      <c r="CC911" s="68">
        <f t="shared" si="158"/>
        <v>0</v>
      </c>
      <c r="CD911" s="68">
        <f t="shared" si="159"/>
        <v>0</v>
      </c>
    </row>
    <row r="912" spans="1:82" ht="15.75" thickBot="1" x14ac:dyDescent="0.3">
      <c r="A912" s="9">
        <v>911</v>
      </c>
      <c r="B912" s="10"/>
      <c r="C912" s="10"/>
      <c r="D912" s="10"/>
      <c r="E912" s="51"/>
      <c r="F912" s="51"/>
      <c r="G912" s="51"/>
      <c r="H912" s="51"/>
      <c r="I912" s="11"/>
      <c r="J912" s="51"/>
      <c r="K912" s="249" t="str">
        <f>IFERROR(VLOOKUP(C912,Schedule!$T$3:$U$34,2,0),"FA")</f>
        <v>FA</v>
      </c>
      <c r="L912" s="10" t="str">
        <f>D912&amp;COUNTIF(D$2:$D912,D912)</f>
        <v>0</v>
      </c>
      <c r="M912" s="51">
        <f t="array" ref="M912">IFERROR(F912-AVERAGE(VLOOKUP(D912,$D$885:$F912,3,0),INDEX($F$885:$F912,SMALL(IF(D912=$D$885:$D912,ROW($D$885:$D912)-ROW(D912)),2))),0)</f>
        <v>0</v>
      </c>
      <c r="N912" s="51">
        <f>IFERROR(IF(VLOOKUP($B912,Input!$AC$2:$AC$162,1,0)=$B912,0),F912)</f>
        <v>0</v>
      </c>
      <c r="O912" s="51">
        <f>IFERROR(IF(VLOOKUP($B912,Input!$AC$2:$AC$162,1,0)=$B912,0,G912),G912)</f>
        <v>0</v>
      </c>
      <c r="P912" s="51">
        <f>IF(N912=0,0,F912-AVERAGE(INDEX(F:F,MATCH(VLOOKUP(D912,Input!$A$14:$L$22,10,0),L:L,0)),INDEX(F:F,MATCH(VLOOKUP(D912,Input!$A$14:$L$22,11,0),L:L,0)),INDEX(F:F,MATCH(VLOOKUP(D912,Input!$A$14:$L$22,12,0),L:L,0)))+(0.01-ROW()*0.01))</f>
        <v>0</v>
      </c>
      <c r="Q912" s="107">
        <f t="shared" si="154"/>
        <v>0</v>
      </c>
      <c r="R912" s="11" t="e">
        <f>IF(VLOOKUP($D912,$X$14:$Y$19,2,0)&lt;=0,1,IF(Q912&lt;0,1,ROUNDUP(IF(Q912*('Draft Center'!$L$28+'Draft Center'!$L$78-'Draft Center'!$L$82)&lt;1,1,Q912*('Draft Center'!$L$28+'Draft Center'!$L$78-'Draft Center'!$L$82)),0)))</f>
        <v>#N/A</v>
      </c>
      <c r="S912" s="11" t="e">
        <f>IF(A912&lt;Input!$B$10+0.1,IF(ROUNDUP(R912*Input!$C$10,0)=0,1,ROUNDUP(R912*Input!$C$10,0)),IF(A912&gt;Input!$B$11,IF(ROUNDUP(R912*Input!$C$11,0)=0,1,ROUNDUP(R912*Input!$C$11,0)),IF(ROUNDUP(R912,0)=0,1,ROUNDUP(R912,0))))</f>
        <v>#N/A</v>
      </c>
      <c r="T912" s="11" t="e">
        <f t="shared" si="155"/>
        <v>#N/A</v>
      </c>
      <c r="U912" s="11">
        <f>IFERROR(VLOOKUP($B912,Input!$AC$2:$AE$161,3,0),0)</f>
        <v>0</v>
      </c>
      <c r="V912" s="257" t="e">
        <f t="shared" si="156"/>
        <v>#N/A</v>
      </c>
      <c r="W912" s="264" t="e">
        <f t="shared" si="157"/>
        <v>#N/A</v>
      </c>
      <c r="X912" s="68"/>
      <c r="Y912" s="68"/>
      <c r="Z912" s="68"/>
      <c r="AA912" s="68"/>
      <c r="AB912" s="68"/>
      <c r="AC912" s="68"/>
      <c r="AD912" s="68"/>
      <c r="AE912" s="68"/>
      <c r="AF912" s="68"/>
      <c r="AG912" s="68"/>
      <c r="AH912" s="68"/>
      <c r="AI912" s="68"/>
      <c r="AJ912" s="68" t="e">
        <v>#N/A</v>
      </c>
      <c r="AL912" s="68" t="e">
        <v>#N/A</v>
      </c>
      <c r="AM912" s="68"/>
      <c r="AN912" s="68"/>
      <c r="AO912" s="68"/>
      <c r="AQ912" s="68"/>
      <c r="AR912" s="68"/>
      <c r="AS912" s="68"/>
      <c r="AT912" s="68"/>
      <c r="AU912" s="68"/>
      <c r="AV912" s="68"/>
      <c r="AW912" s="68"/>
      <c r="AX912" s="68"/>
      <c r="AY912" s="68"/>
      <c r="AZ912" s="68"/>
      <c r="BB912" s="68"/>
      <c r="BC912" s="68"/>
      <c r="BJ912" s="68"/>
      <c r="BT912" t="e">
        <v>#N/A</v>
      </c>
      <c r="BV912" t="e">
        <v>#N/A</v>
      </c>
      <c r="BX912" s="68"/>
      <c r="BY912" s="68" t="e">
        <v>#N/A</v>
      </c>
      <c r="BZ912" s="68">
        <v>0</v>
      </c>
      <c r="CA912" s="68">
        <v>0</v>
      </c>
      <c r="CB912" s="68">
        <v>0</v>
      </c>
      <c r="CC912" s="68">
        <f t="shared" si="158"/>
        <v>0</v>
      </c>
      <c r="CD912" s="68">
        <f t="shared" si="159"/>
        <v>0</v>
      </c>
    </row>
    <row r="913" spans="1:82" ht="15.75" thickBot="1" x14ac:dyDescent="0.3">
      <c r="A913" s="6">
        <v>912</v>
      </c>
      <c r="B913" s="7"/>
      <c r="C913" s="7"/>
      <c r="D913" s="7"/>
      <c r="E913" s="50"/>
      <c r="F913" s="50"/>
      <c r="G913" s="50"/>
      <c r="H913" s="50"/>
      <c r="I913" s="8"/>
      <c r="J913" s="50"/>
      <c r="K913" s="248" t="str">
        <f>IFERROR(VLOOKUP(C913,Schedule!$T$3:$U$34,2,0),"FA")</f>
        <v>FA</v>
      </c>
      <c r="L913" s="7" t="str">
        <f>D913&amp;COUNTIF(D$2:$D913,D913)</f>
        <v>0</v>
      </c>
      <c r="M913" s="50">
        <f t="array" ref="M913">IFERROR(F913-AVERAGE(VLOOKUP(D913,$D$885:$F913,3,0),INDEX($F$885:$F913,SMALL(IF(D913=$D$885:$D913,ROW($D$885:$D913)-ROW(D913)),2))),0)</f>
        <v>0</v>
      </c>
      <c r="N913" s="50">
        <f>IFERROR(IF(VLOOKUP($B913,Input!$AC$2:$AC$162,1,0)=$B913,0),F913)</f>
        <v>0</v>
      </c>
      <c r="O913" s="50">
        <f>IFERROR(IF(VLOOKUP($B913,Input!$AC$2:$AC$162,1,0)=$B913,0,G913),G913)</f>
        <v>0</v>
      </c>
      <c r="P913" s="50">
        <f>IF(N913=0,0,F913-AVERAGE(INDEX(F:F,MATCH(VLOOKUP(D913,Input!$A$14:$L$22,10,0),L:L,0)),INDEX(F:F,MATCH(VLOOKUP(D913,Input!$A$14:$L$22,11,0),L:L,0)),INDEX(F:F,MATCH(VLOOKUP(D913,Input!$A$14:$L$22,12,0),L:L,0)))+(0.01-ROW()*0.01))</f>
        <v>0</v>
      </c>
      <c r="Q913" s="106">
        <f t="shared" si="154"/>
        <v>0</v>
      </c>
      <c r="R913" s="8" t="e">
        <f>IF(VLOOKUP($D913,$X$14:$Y$19,2,0)&lt;=0,1,IF(Q913&lt;0,1,ROUNDUP(IF(Q913*('Draft Center'!$L$28+'Draft Center'!$L$78-'Draft Center'!$L$82)&lt;1,1,Q913*('Draft Center'!$L$28+'Draft Center'!$L$78-'Draft Center'!$L$82)),0)))</f>
        <v>#N/A</v>
      </c>
      <c r="S913" s="8" t="e">
        <f>IF(A913&lt;Input!$B$10+0.1,IF(ROUNDUP(R913*Input!$C$10,0)=0,1,ROUNDUP(R913*Input!$C$10,0)),IF(A913&gt;Input!$B$11,IF(ROUNDUP(R913*Input!$C$11,0)=0,1,ROUNDUP(R913*Input!$C$11,0)),IF(ROUNDUP(R913,0)=0,1,ROUNDUP(R913,0))))</f>
        <v>#N/A</v>
      </c>
      <c r="T913" s="8" t="e">
        <f t="shared" si="155"/>
        <v>#N/A</v>
      </c>
      <c r="U913" s="8">
        <f>IFERROR(VLOOKUP($B913,Input!$AC$2:$AE$161,3,0),0)</f>
        <v>0</v>
      </c>
      <c r="V913" s="256" t="e">
        <f t="shared" si="156"/>
        <v>#N/A</v>
      </c>
      <c r="W913" s="263" t="e">
        <f t="shared" si="157"/>
        <v>#N/A</v>
      </c>
      <c r="X913" s="68"/>
      <c r="Y913" s="68"/>
      <c r="Z913" s="68"/>
      <c r="AA913" s="68"/>
      <c r="AB913" s="68"/>
      <c r="AC913" s="68"/>
      <c r="AD913" s="68"/>
      <c r="AE913" s="68"/>
      <c r="AF913" s="68"/>
      <c r="AG913" s="68"/>
      <c r="AH913" s="68"/>
      <c r="AI913" s="68"/>
      <c r="AJ913" s="68" t="e">
        <v>#N/A</v>
      </c>
      <c r="AL913" s="68" t="e">
        <v>#N/A</v>
      </c>
      <c r="AM913" s="68"/>
      <c r="AN913" s="68"/>
      <c r="AO913" s="68"/>
      <c r="AQ913" s="68"/>
      <c r="AR913" s="68"/>
      <c r="AS913" s="68"/>
      <c r="AT913" s="68"/>
      <c r="AU913" s="68"/>
      <c r="AV913" s="68"/>
      <c r="AW913" s="68"/>
      <c r="AX913" s="68"/>
      <c r="AY913" s="68"/>
      <c r="AZ913" s="68"/>
      <c r="BB913" s="68"/>
      <c r="BC913" s="68"/>
      <c r="BJ913" s="68"/>
      <c r="BT913" t="e">
        <v>#N/A</v>
      </c>
      <c r="BV913" t="e">
        <v>#N/A</v>
      </c>
      <c r="BX913" s="68"/>
      <c r="BY913" s="68" t="e">
        <v>#N/A</v>
      </c>
      <c r="BZ913" s="68">
        <v>0</v>
      </c>
      <c r="CA913" s="68">
        <v>0</v>
      </c>
      <c r="CB913" s="68">
        <v>0</v>
      </c>
      <c r="CC913" s="68">
        <f t="shared" si="158"/>
        <v>0</v>
      </c>
      <c r="CD913" s="68">
        <f t="shared" si="159"/>
        <v>0</v>
      </c>
    </row>
    <row r="914" spans="1:82" ht="15.75" thickBot="1" x14ac:dyDescent="0.3">
      <c r="A914" s="9">
        <v>913</v>
      </c>
      <c r="B914" s="10"/>
      <c r="C914" s="10"/>
      <c r="D914" s="10"/>
      <c r="E914" s="51"/>
      <c r="F914" s="51"/>
      <c r="G914" s="51"/>
      <c r="H914" s="51"/>
      <c r="I914" s="11"/>
      <c r="J914" s="51"/>
      <c r="K914" s="249" t="str">
        <f>IFERROR(VLOOKUP(C914,Schedule!$T$3:$U$34,2,0),"FA")</f>
        <v>FA</v>
      </c>
      <c r="L914" s="10" t="str">
        <f>D914&amp;COUNTIF(D$2:$D914,D914)</f>
        <v>0</v>
      </c>
      <c r="M914" s="51">
        <f t="array" ref="M914">IFERROR(F914-AVERAGE(VLOOKUP(D914,$D$885:$F914,3,0),INDEX($F$885:$F914,SMALL(IF(D914=$D$885:$D914,ROW($D$885:$D914)-ROW(D914)),2))),0)</f>
        <v>0</v>
      </c>
      <c r="N914" s="51">
        <f>IFERROR(IF(VLOOKUP($B914,Input!$AC$2:$AC$162,1,0)=$B914,0),F914)</f>
        <v>0</v>
      </c>
      <c r="O914" s="51">
        <f>IFERROR(IF(VLOOKUP($B914,Input!$AC$2:$AC$162,1,0)=$B914,0,G914),G914)</f>
        <v>0</v>
      </c>
      <c r="P914" s="51">
        <f>IF(N914=0,0,F914-AVERAGE(INDEX(F:F,MATCH(VLOOKUP(D914,Input!$A$14:$L$22,10,0),L:L,0)),INDEX(F:F,MATCH(VLOOKUP(D914,Input!$A$14:$L$22,11,0),L:L,0)),INDEX(F:F,MATCH(VLOOKUP(D914,Input!$A$14:$L$22,12,0),L:L,0)))+(0.01-ROW()*0.01))</f>
        <v>0</v>
      </c>
      <c r="Q914" s="107">
        <f t="shared" si="154"/>
        <v>0</v>
      </c>
      <c r="R914" s="11" t="e">
        <f>IF(VLOOKUP($D914,$X$14:$Y$19,2,0)&lt;=0,1,IF(Q914&lt;0,1,ROUNDUP(IF(Q914*('Draft Center'!$L$28+'Draft Center'!$L$78-'Draft Center'!$L$82)&lt;1,1,Q914*('Draft Center'!$L$28+'Draft Center'!$L$78-'Draft Center'!$L$82)),0)))</f>
        <v>#N/A</v>
      </c>
      <c r="S914" s="11" t="e">
        <f>IF(A914&lt;Input!$B$10+0.1,IF(ROUNDUP(R914*Input!$C$10,0)=0,1,ROUNDUP(R914*Input!$C$10,0)),IF(A914&gt;Input!$B$11,IF(ROUNDUP(R914*Input!$C$11,0)=0,1,ROUNDUP(R914*Input!$C$11,0)),IF(ROUNDUP(R914,0)=0,1,ROUNDUP(R914,0))))</f>
        <v>#N/A</v>
      </c>
      <c r="T914" s="11" t="e">
        <f t="shared" si="155"/>
        <v>#N/A</v>
      </c>
      <c r="U914" s="11">
        <f>IFERROR(VLOOKUP($B914,Input!$AC$2:$AE$161,3,0),0)</f>
        <v>0</v>
      </c>
      <c r="V914" s="257" t="e">
        <f t="shared" si="156"/>
        <v>#N/A</v>
      </c>
      <c r="W914" s="264" t="e">
        <f t="shared" si="157"/>
        <v>#N/A</v>
      </c>
      <c r="X914" s="68"/>
      <c r="Y914" s="68"/>
      <c r="Z914" s="68"/>
      <c r="AA914" s="68"/>
      <c r="AB914" s="68"/>
      <c r="AC914" s="68"/>
      <c r="AD914" s="68"/>
      <c r="AE914" s="68"/>
      <c r="AF914" s="68"/>
      <c r="AG914" s="68"/>
      <c r="AH914" s="68"/>
      <c r="AI914" s="68"/>
      <c r="AJ914" s="68" t="e">
        <v>#N/A</v>
      </c>
      <c r="AL914" s="68" t="e">
        <v>#N/A</v>
      </c>
      <c r="AM914" s="68"/>
      <c r="AN914" s="68"/>
      <c r="AZ914" s="68"/>
      <c r="BB914" s="68"/>
      <c r="BC914" s="68"/>
      <c r="BJ914" s="68"/>
      <c r="BT914" t="e">
        <v>#N/A</v>
      </c>
      <c r="BV914" t="e">
        <v>#N/A</v>
      </c>
      <c r="BX914" s="68"/>
      <c r="BY914" s="68" t="e">
        <v>#N/A</v>
      </c>
      <c r="BZ914" s="68">
        <v>0</v>
      </c>
      <c r="CA914" s="68">
        <v>0</v>
      </c>
      <c r="CB914" s="68">
        <v>0</v>
      </c>
      <c r="CC914" s="68">
        <f t="shared" si="158"/>
        <v>0</v>
      </c>
      <c r="CD914" s="68">
        <f t="shared" si="159"/>
        <v>0</v>
      </c>
    </row>
    <row r="915" spans="1:82" ht="15.75" thickBot="1" x14ac:dyDescent="0.3">
      <c r="A915" s="6">
        <v>914</v>
      </c>
      <c r="B915" s="7"/>
      <c r="C915" s="7"/>
      <c r="D915" s="7"/>
      <c r="E915" s="50"/>
      <c r="F915" s="50"/>
      <c r="G915" s="50"/>
      <c r="H915" s="50"/>
      <c r="I915" s="8"/>
      <c r="J915" s="50"/>
      <c r="K915" s="248" t="str">
        <f>IFERROR(VLOOKUP(C915,Schedule!$T$3:$U$34,2,0),"FA")</f>
        <v>FA</v>
      </c>
      <c r="L915" s="7" t="str">
        <f>D915&amp;COUNTIF(D$2:$D915,D915)</f>
        <v>0</v>
      </c>
      <c r="M915" s="50">
        <f t="array" ref="M915">IFERROR(F915-AVERAGE(VLOOKUP(D915,$D$885:$F915,3,0),INDEX($F$885:$F915,SMALL(IF(D915=$D$885:$D915,ROW($D$885:$D915)-ROW(D915)),2))),0)</f>
        <v>0</v>
      </c>
      <c r="N915" s="50">
        <f>IFERROR(IF(VLOOKUP($B915,Input!$AC$2:$AC$162,1,0)=$B915,0),F915)</f>
        <v>0</v>
      </c>
      <c r="O915" s="50">
        <f>IFERROR(IF(VLOOKUP($B915,Input!$AC$2:$AC$162,1,0)=$B915,0,G915),G915)</f>
        <v>0</v>
      </c>
      <c r="P915" s="50">
        <f>IF(N915=0,0,F915-AVERAGE(INDEX(F:F,MATCH(VLOOKUP(D915,Input!$A$14:$L$22,10,0),L:L,0)),INDEX(F:F,MATCH(VLOOKUP(D915,Input!$A$14:$L$22,11,0),L:L,0)),INDEX(F:F,MATCH(VLOOKUP(D915,Input!$A$14:$L$22,12,0),L:L,0)))+(0.01-ROW()*0.01))</f>
        <v>0</v>
      </c>
      <c r="Q915" s="106">
        <f t="shared" si="154"/>
        <v>0</v>
      </c>
      <c r="R915" s="8" t="e">
        <f>IF(VLOOKUP($D915,$X$14:$Y$19,2,0)&lt;=0,1,IF(Q915&lt;0,1,ROUNDUP(IF(Q915*('Draft Center'!$L$28+'Draft Center'!$L$78-'Draft Center'!$L$82)&lt;1,1,Q915*('Draft Center'!$L$28+'Draft Center'!$L$78-'Draft Center'!$L$82)),0)))</f>
        <v>#N/A</v>
      </c>
      <c r="S915" s="8" t="e">
        <f>IF(A915&lt;Input!$B$10+0.1,IF(ROUNDUP(R915*Input!$C$10,0)=0,1,ROUNDUP(R915*Input!$C$10,0)),IF(A915&gt;Input!$B$11,IF(ROUNDUP(R915*Input!$C$11,0)=0,1,ROUNDUP(R915*Input!$C$11,0)),IF(ROUNDUP(R915,0)=0,1,ROUNDUP(R915,0))))</f>
        <v>#N/A</v>
      </c>
      <c r="T915" s="8" t="e">
        <f t="shared" si="155"/>
        <v>#N/A</v>
      </c>
      <c r="U915" s="8">
        <f>IFERROR(VLOOKUP($B915,Input!$AC$2:$AE$161,3,0),0)</f>
        <v>0</v>
      </c>
      <c r="V915" s="256" t="e">
        <f t="shared" si="156"/>
        <v>#N/A</v>
      </c>
      <c r="W915" s="263" t="e">
        <f t="shared" si="157"/>
        <v>#N/A</v>
      </c>
      <c r="X915" s="68"/>
      <c r="Y915" s="68"/>
      <c r="Z915" s="68"/>
      <c r="AA915" s="68"/>
      <c r="AB915" s="68"/>
      <c r="AC915" s="68"/>
      <c r="AD915" s="68"/>
      <c r="AE915" s="68"/>
      <c r="AF915" s="68"/>
      <c r="AG915" s="68"/>
      <c r="AH915" s="68"/>
      <c r="AI915" s="68"/>
      <c r="AJ915" s="68" t="e">
        <v>#N/A</v>
      </c>
      <c r="AL915" s="68" t="e">
        <v>#N/A</v>
      </c>
      <c r="AM915" s="68"/>
      <c r="AN915" s="68"/>
      <c r="AZ915" s="68"/>
      <c r="BB915" s="68"/>
      <c r="BC915" s="68"/>
      <c r="BJ915" s="68"/>
      <c r="BT915" t="e">
        <v>#N/A</v>
      </c>
      <c r="BV915" t="e">
        <v>#N/A</v>
      </c>
      <c r="BX915" s="68"/>
      <c r="BY915" s="68" t="e">
        <v>#N/A</v>
      </c>
      <c r="BZ915" s="68">
        <v>0</v>
      </c>
      <c r="CA915" s="68">
        <v>0</v>
      </c>
      <c r="CB915" s="68">
        <v>0</v>
      </c>
      <c r="CC915" s="68">
        <f t="shared" si="158"/>
        <v>0</v>
      </c>
      <c r="CD915" s="68">
        <f t="shared" si="159"/>
        <v>0</v>
      </c>
    </row>
    <row r="916" spans="1:82" ht="15.75" thickBot="1" x14ac:dyDescent="0.3">
      <c r="A916" s="9">
        <v>915</v>
      </c>
      <c r="B916" s="10"/>
      <c r="C916" s="10"/>
      <c r="D916" s="10"/>
      <c r="E916" s="51"/>
      <c r="F916" s="51"/>
      <c r="G916" s="51"/>
      <c r="H916" s="51"/>
      <c r="I916" s="11"/>
      <c r="J916" s="51"/>
      <c r="K916" s="249" t="str">
        <f>IFERROR(VLOOKUP(C916,Schedule!$T$3:$U$34,2,0),"FA")</f>
        <v>FA</v>
      </c>
      <c r="L916" s="10" t="str">
        <f>D916&amp;COUNTIF(D$2:$D916,D916)</f>
        <v>0</v>
      </c>
      <c r="M916" s="51">
        <f t="array" ref="M916">IFERROR(F916-AVERAGE(VLOOKUP(D916,$D$885:$F916,3,0),INDEX($F$885:$F916,SMALL(IF(D916=$D$885:$D916,ROW($D$885:$D916)-ROW(D916)),2))),0)</f>
        <v>0</v>
      </c>
      <c r="N916" s="51">
        <f>IFERROR(IF(VLOOKUP($B916,Input!$AC$2:$AC$162,1,0)=$B916,0),F916)</f>
        <v>0</v>
      </c>
      <c r="O916" s="51">
        <f>IFERROR(IF(VLOOKUP($B916,Input!$AC$2:$AC$162,1,0)=$B916,0,G916),G916)</f>
        <v>0</v>
      </c>
      <c r="P916" s="51">
        <f>IF(N916=0,0,F916-AVERAGE(INDEX(F:F,MATCH(VLOOKUP(D916,Input!$A$14:$L$22,10,0),L:L,0)),INDEX(F:F,MATCH(VLOOKUP(D916,Input!$A$14:$L$22,11,0),L:L,0)),INDEX(F:F,MATCH(VLOOKUP(D916,Input!$A$14:$L$22,12,0),L:L,0)))+(0.01-ROW()*0.01))</f>
        <v>0</v>
      </c>
      <c r="Q916" s="107">
        <f t="shared" si="154"/>
        <v>0</v>
      </c>
      <c r="R916" s="11" t="e">
        <f>IF(VLOOKUP($D916,$X$14:$Y$19,2,0)&lt;=0,1,IF(Q916&lt;0,1,ROUNDUP(IF(Q916*('Draft Center'!$L$28+'Draft Center'!$L$78-'Draft Center'!$L$82)&lt;1,1,Q916*('Draft Center'!$L$28+'Draft Center'!$L$78-'Draft Center'!$L$82)),0)))</f>
        <v>#N/A</v>
      </c>
      <c r="S916" s="11" t="e">
        <f>IF(A916&lt;Input!$B$10+0.1,IF(ROUNDUP(R916*Input!$C$10,0)=0,1,ROUNDUP(R916*Input!$C$10,0)),IF(A916&gt;Input!$B$11,IF(ROUNDUP(R916*Input!$C$11,0)=0,1,ROUNDUP(R916*Input!$C$11,0)),IF(ROUNDUP(R916,0)=0,1,ROUNDUP(R916,0))))</f>
        <v>#N/A</v>
      </c>
      <c r="T916" s="11" t="e">
        <f t="shared" si="155"/>
        <v>#N/A</v>
      </c>
      <c r="U916" s="11">
        <f>IFERROR(VLOOKUP($B916,Input!$AC$2:$AE$161,3,0),0)</f>
        <v>0</v>
      </c>
      <c r="V916" s="257" t="e">
        <f t="shared" si="156"/>
        <v>#N/A</v>
      </c>
      <c r="W916" s="264" t="e">
        <f t="shared" si="157"/>
        <v>#N/A</v>
      </c>
      <c r="X916" s="68"/>
      <c r="Y916" s="68"/>
      <c r="Z916" s="68"/>
      <c r="AA916" s="68"/>
      <c r="AB916" s="68"/>
      <c r="AC916" s="68"/>
      <c r="AD916" s="68"/>
      <c r="AE916" s="68"/>
      <c r="AF916" s="68"/>
      <c r="AG916" s="68"/>
      <c r="AH916" s="68"/>
      <c r="AI916" s="68"/>
      <c r="AJ916" s="68" t="e">
        <v>#N/A</v>
      </c>
      <c r="AL916" s="68" t="e">
        <v>#N/A</v>
      </c>
      <c r="AM916" s="68"/>
      <c r="AN916" s="68"/>
      <c r="AZ916" s="68"/>
      <c r="BB916" s="68"/>
      <c r="BC916" s="68"/>
      <c r="BJ916" s="68"/>
      <c r="BT916" t="e">
        <v>#N/A</v>
      </c>
      <c r="BV916" t="e">
        <v>#N/A</v>
      </c>
      <c r="BX916" s="68"/>
      <c r="BY916" s="68" t="e">
        <v>#N/A</v>
      </c>
      <c r="BZ916" s="68">
        <v>1</v>
      </c>
      <c r="CA916" s="68">
        <v>1</v>
      </c>
      <c r="CB916" s="68">
        <v>1</v>
      </c>
      <c r="CC916" s="68">
        <f t="shared" si="158"/>
        <v>1</v>
      </c>
      <c r="CD916" s="68">
        <f t="shared" si="159"/>
        <v>1</v>
      </c>
    </row>
    <row r="917" spans="1:82" ht="15.75" thickBot="1" x14ac:dyDescent="0.3">
      <c r="A917" s="6">
        <v>916</v>
      </c>
      <c r="B917" s="7"/>
      <c r="C917" s="7"/>
      <c r="D917" s="7"/>
      <c r="E917" s="50"/>
      <c r="F917" s="50"/>
      <c r="G917" s="50"/>
      <c r="H917" s="50"/>
      <c r="I917" s="8"/>
      <c r="J917" s="50"/>
      <c r="K917" s="248" t="str">
        <f>IFERROR(VLOOKUP(C917,Schedule!$T$3:$U$34,2,0),"FA")</f>
        <v>FA</v>
      </c>
      <c r="L917" s="7" t="str">
        <f>D917&amp;COUNTIF(D$2:$D917,D917)</f>
        <v>0</v>
      </c>
      <c r="M917" s="50">
        <f t="array" ref="M917">IFERROR(F917-AVERAGE(VLOOKUP(D917,$D$885:$F917,3,0),INDEX($F$885:$F917,SMALL(IF(D917=$D$885:$D917,ROW($D$885:$D917)-ROW(D917)),2))),0)</f>
        <v>0</v>
      </c>
      <c r="N917" s="50">
        <f>IFERROR(IF(VLOOKUP($B917,Input!$AC$2:$AC$162,1,0)=$B917,0),F917)</f>
        <v>0</v>
      </c>
      <c r="O917" s="50">
        <f>IFERROR(IF(VLOOKUP($B917,Input!$AC$2:$AC$162,1,0)=$B917,0,G917),G917)</f>
        <v>0</v>
      </c>
      <c r="P917" s="50">
        <f>IF(N917=0,0,F917-AVERAGE(INDEX(F:F,MATCH(VLOOKUP(D917,Input!$A$14:$L$22,10,0),L:L,0)),INDEX(F:F,MATCH(VLOOKUP(D917,Input!$A$14:$L$22,11,0),L:L,0)),INDEX(F:F,MATCH(VLOOKUP(D917,Input!$A$14:$L$22,12,0),L:L,0)))+(0.01-ROW()*0.01))</f>
        <v>0</v>
      </c>
      <c r="Q917" s="106">
        <f t="shared" si="154"/>
        <v>0</v>
      </c>
      <c r="R917" s="8" t="e">
        <f>IF(VLOOKUP($D917,$X$14:$Y$19,2,0)&lt;=0,1,IF(Q917&lt;0,1,ROUNDUP(IF(Q917*('Draft Center'!$L$28+'Draft Center'!$L$78-'Draft Center'!$L$82)&lt;1,1,Q917*('Draft Center'!$L$28+'Draft Center'!$L$78-'Draft Center'!$L$82)),0)))</f>
        <v>#N/A</v>
      </c>
      <c r="S917" s="8" t="e">
        <f>IF(A917&lt;Input!$B$10+0.1,IF(ROUNDUP(R917*Input!$C$10,0)=0,1,ROUNDUP(R917*Input!$C$10,0)),IF(A917&gt;Input!$B$11,IF(ROUNDUP(R917*Input!$C$11,0)=0,1,ROUNDUP(R917*Input!$C$11,0)),IF(ROUNDUP(R917,0)=0,1,ROUNDUP(R917,0))))</f>
        <v>#N/A</v>
      </c>
      <c r="T917" s="8" t="e">
        <f t="shared" si="155"/>
        <v>#N/A</v>
      </c>
      <c r="U917" s="8">
        <f>IFERROR(VLOOKUP($B917,Input!$AC$2:$AE$161,3,0),0)</f>
        <v>0</v>
      </c>
      <c r="V917" s="256" t="e">
        <f t="shared" si="156"/>
        <v>#N/A</v>
      </c>
      <c r="W917" s="263" t="e">
        <f t="shared" si="157"/>
        <v>#N/A</v>
      </c>
      <c r="X917" s="68"/>
      <c r="Y917" s="68"/>
      <c r="Z917" s="68"/>
      <c r="AA917" s="68"/>
      <c r="AB917" s="68"/>
      <c r="AC917" s="68"/>
      <c r="AD917" s="68"/>
      <c r="AE917" s="68"/>
      <c r="AF917" s="68"/>
      <c r="AG917" s="68"/>
      <c r="AH917" s="68"/>
      <c r="AI917" s="68"/>
      <c r="AJ917" s="68" t="e">
        <v>#N/A</v>
      </c>
      <c r="AL917" s="68" t="e">
        <v>#N/A</v>
      </c>
      <c r="AM917" s="68"/>
      <c r="AN917" s="68"/>
      <c r="AZ917" s="68"/>
      <c r="BB917" s="68"/>
      <c r="BC917" s="68"/>
      <c r="BJ917" s="68"/>
      <c r="BT917" t="e">
        <v>#N/A</v>
      </c>
      <c r="BV917" t="e">
        <v>#N/A</v>
      </c>
      <c r="BX917" s="68"/>
      <c r="BY917" s="68" t="e">
        <v>#N/A</v>
      </c>
      <c r="BZ917" s="68">
        <v>1</v>
      </c>
      <c r="CA917" s="68">
        <v>1</v>
      </c>
      <c r="CB917" s="68">
        <v>1</v>
      </c>
      <c r="CC917" s="68">
        <f t="shared" si="158"/>
        <v>1</v>
      </c>
      <c r="CD917" s="68">
        <f t="shared" si="159"/>
        <v>1</v>
      </c>
    </row>
    <row r="918" spans="1:82" ht="15.75" thickBot="1" x14ac:dyDescent="0.3">
      <c r="A918" s="9">
        <v>917</v>
      </c>
      <c r="B918" s="10"/>
      <c r="C918" s="10"/>
      <c r="D918" s="10"/>
      <c r="E918" s="51"/>
      <c r="F918" s="51"/>
      <c r="G918" s="51"/>
      <c r="H918" s="51"/>
      <c r="I918" s="11"/>
      <c r="J918" s="51"/>
      <c r="K918" s="249" t="str">
        <f>IFERROR(VLOOKUP(C918,Schedule!$T$3:$U$34,2,0),"FA")</f>
        <v>FA</v>
      </c>
      <c r="L918" s="10" t="str">
        <f>D918&amp;COUNTIF(D$2:$D918,D918)</f>
        <v>0</v>
      </c>
      <c r="M918" s="51">
        <f t="array" ref="M918">IFERROR(F918-AVERAGE(VLOOKUP(D918,$D$885:$F918,3,0),INDEX($F$885:$F918,SMALL(IF(D918=$D$885:$D918,ROW($D$885:$D918)-ROW(D918)),2))),0)</f>
        <v>0</v>
      </c>
      <c r="N918" s="51">
        <f>IFERROR(IF(VLOOKUP($B918,Input!$AC$2:$AC$162,1,0)=$B918,0),F918)</f>
        <v>0</v>
      </c>
      <c r="O918" s="51">
        <f>IFERROR(IF(VLOOKUP($B918,Input!$AC$2:$AC$162,1,0)=$B918,0,G918),G918)</f>
        <v>0</v>
      </c>
      <c r="P918" s="51">
        <f>IF(N918=0,0,F918-AVERAGE(INDEX(F:F,MATCH(VLOOKUP(D918,Input!$A$14:$L$22,10,0),L:L,0)),INDEX(F:F,MATCH(VLOOKUP(D918,Input!$A$14:$L$22,11,0),L:L,0)),INDEX(F:F,MATCH(VLOOKUP(D918,Input!$A$14:$L$22,12,0),L:L,0)))+(0.01-ROW()*0.01))</f>
        <v>0</v>
      </c>
      <c r="Q918" s="107">
        <f t="shared" si="154"/>
        <v>0</v>
      </c>
      <c r="R918" s="11" t="e">
        <f>IF(VLOOKUP($D918,$X$14:$Y$19,2,0)&lt;=0,1,IF(Q918&lt;0,1,ROUNDUP(IF(Q918*('Draft Center'!$L$28+'Draft Center'!$L$78-'Draft Center'!$L$82)&lt;1,1,Q918*('Draft Center'!$L$28+'Draft Center'!$L$78-'Draft Center'!$L$82)),0)))</f>
        <v>#N/A</v>
      </c>
      <c r="S918" s="11" t="e">
        <f>IF(A918&lt;Input!$B$10+0.1,IF(ROUNDUP(R918*Input!$C$10,0)=0,1,ROUNDUP(R918*Input!$C$10,0)),IF(A918&gt;Input!$B$11,IF(ROUNDUP(R918*Input!$C$11,0)=0,1,ROUNDUP(R918*Input!$C$11,0)),IF(ROUNDUP(R918,0)=0,1,ROUNDUP(R918,0))))</f>
        <v>#N/A</v>
      </c>
      <c r="T918" s="11" t="e">
        <f t="shared" si="155"/>
        <v>#N/A</v>
      </c>
      <c r="U918" s="11">
        <f>IFERROR(VLOOKUP($B918,Input!$AC$2:$AE$161,3,0),0)</f>
        <v>0</v>
      </c>
      <c r="V918" s="257" t="e">
        <f t="shared" si="156"/>
        <v>#N/A</v>
      </c>
      <c r="W918" s="264" t="e">
        <f t="shared" si="157"/>
        <v>#N/A</v>
      </c>
      <c r="X918" s="68"/>
      <c r="Y918" s="68"/>
      <c r="Z918" s="68"/>
      <c r="AA918" s="68"/>
      <c r="AB918" s="68"/>
      <c r="AC918" s="68"/>
      <c r="AD918" s="68"/>
      <c r="AE918" s="68"/>
      <c r="AF918" s="68"/>
      <c r="AG918" s="68"/>
      <c r="AH918" s="68"/>
      <c r="AI918" s="68"/>
      <c r="AJ918" s="68" t="e">
        <v>#N/A</v>
      </c>
      <c r="AL918" s="68" t="e">
        <v>#N/A</v>
      </c>
      <c r="AM918" s="68"/>
      <c r="AN918" s="68"/>
      <c r="AZ918" s="68"/>
      <c r="BB918" s="68"/>
      <c r="BC918" s="68"/>
      <c r="BJ918" s="68"/>
      <c r="BT918" t="e">
        <v>#N/A</v>
      </c>
      <c r="BV918" t="e">
        <v>#N/A</v>
      </c>
      <c r="BX918" s="68"/>
      <c r="BY918" s="68" t="e">
        <v>#N/A</v>
      </c>
      <c r="BZ918" s="68">
        <v>1</v>
      </c>
      <c r="CA918" s="68">
        <v>1</v>
      </c>
      <c r="CB918" s="68">
        <v>1</v>
      </c>
      <c r="CC918" s="68">
        <f t="shared" si="158"/>
        <v>1</v>
      </c>
      <c r="CD918" s="68">
        <f t="shared" si="159"/>
        <v>1</v>
      </c>
    </row>
    <row r="919" spans="1:82" ht="15.75" thickBot="1" x14ac:dyDescent="0.3">
      <c r="A919" s="6">
        <v>918</v>
      </c>
      <c r="B919" s="7"/>
      <c r="C919" s="7"/>
      <c r="D919" s="7"/>
      <c r="E919" s="50"/>
      <c r="F919" s="50"/>
      <c r="G919" s="50"/>
      <c r="H919" s="50"/>
      <c r="I919" s="8"/>
      <c r="J919" s="50"/>
      <c r="K919" s="248" t="str">
        <f>IFERROR(VLOOKUP(C919,Schedule!$T$3:$U$34,2,0),"FA")</f>
        <v>FA</v>
      </c>
      <c r="L919" s="7" t="str">
        <f>D919&amp;COUNTIF(D$2:$D919,D919)</f>
        <v>0</v>
      </c>
      <c r="M919" s="50">
        <f t="array" ref="M919">IFERROR(F919-AVERAGE(VLOOKUP(D919,$D$885:$F919,3,0),INDEX($F$885:$F919,SMALL(IF(D919=$D$885:$D919,ROW($D$885:$D919)-ROW(D919)),2))),0)</f>
        <v>0</v>
      </c>
      <c r="N919" s="50">
        <f>IFERROR(IF(VLOOKUP($B919,Input!$AC$2:$AC$162,1,0)=$B919,0),F919)</f>
        <v>0</v>
      </c>
      <c r="O919" s="50">
        <f>IFERROR(IF(VLOOKUP($B919,Input!$AC$2:$AC$162,1,0)=$B919,0,G919),G919)</f>
        <v>0</v>
      </c>
      <c r="P919" s="50">
        <f>IF(N919=0,0,F919-AVERAGE(INDEX(F:F,MATCH(VLOOKUP(D919,Input!$A$14:$L$22,10,0),L:L,0)),INDEX(F:F,MATCH(VLOOKUP(D919,Input!$A$14:$L$22,11,0),L:L,0)),INDEX(F:F,MATCH(VLOOKUP(D919,Input!$A$14:$L$22,12,0),L:L,0)))+(0.01-ROW()*0.01))</f>
        <v>0</v>
      </c>
      <c r="Q919" s="106">
        <f t="shared" si="154"/>
        <v>0</v>
      </c>
      <c r="R919" s="8" t="e">
        <f>IF(VLOOKUP($D919,$X$14:$Y$19,2,0)&lt;=0,1,IF(Q919&lt;0,1,ROUNDUP(IF(Q919*('Draft Center'!$L$28+'Draft Center'!$L$78-'Draft Center'!$L$82)&lt;1,1,Q919*('Draft Center'!$L$28+'Draft Center'!$L$78-'Draft Center'!$L$82)),0)))</f>
        <v>#N/A</v>
      </c>
      <c r="S919" s="8" t="e">
        <f>IF(A919&lt;Input!$B$10+0.1,IF(ROUNDUP(R919*Input!$C$10,0)=0,1,ROUNDUP(R919*Input!$C$10,0)),IF(A919&gt;Input!$B$11,IF(ROUNDUP(R919*Input!$C$11,0)=0,1,ROUNDUP(R919*Input!$C$11,0)),IF(ROUNDUP(R919,0)=0,1,ROUNDUP(R919,0))))</f>
        <v>#N/A</v>
      </c>
      <c r="T919" s="8" t="e">
        <f t="shared" si="155"/>
        <v>#N/A</v>
      </c>
      <c r="U919" s="8">
        <f>IFERROR(VLOOKUP($B919,Input!$AC$2:$AE$161,3,0),0)</f>
        <v>0</v>
      </c>
      <c r="V919" s="256" t="e">
        <f t="shared" si="156"/>
        <v>#N/A</v>
      </c>
      <c r="W919" s="263" t="e">
        <f t="shared" si="157"/>
        <v>#N/A</v>
      </c>
      <c r="X919" s="68"/>
      <c r="Y919" s="68"/>
      <c r="Z919" s="68"/>
      <c r="AA919" s="68"/>
      <c r="AB919" s="68"/>
      <c r="AC919" s="68"/>
      <c r="AD919" s="68"/>
      <c r="AE919" s="68"/>
      <c r="AF919" s="68"/>
      <c r="AG919" s="68"/>
      <c r="AH919" s="68"/>
      <c r="AI919" s="68"/>
      <c r="AJ919" s="68" t="e">
        <v>#N/A</v>
      </c>
      <c r="AL919" s="68" t="e">
        <v>#N/A</v>
      </c>
      <c r="AM919" s="68"/>
      <c r="AN919" s="68"/>
      <c r="AZ919" s="68"/>
      <c r="BB919" s="68"/>
      <c r="BC919" s="68"/>
      <c r="BJ919" s="68"/>
      <c r="BT919" t="e">
        <v>#N/A</v>
      </c>
      <c r="BV919" t="e">
        <v>#N/A</v>
      </c>
      <c r="BX919" s="68"/>
      <c r="BY919" s="68" t="e">
        <v>#N/A</v>
      </c>
      <c r="BZ919" s="68">
        <v>1</v>
      </c>
      <c r="CA919" s="68">
        <v>1</v>
      </c>
      <c r="CB919" s="68">
        <v>1</v>
      </c>
      <c r="CC919" s="68">
        <f t="shared" si="158"/>
        <v>1</v>
      </c>
      <c r="CD919" s="68">
        <f t="shared" si="159"/>
        <v>1</v>
      </c>
    </row>
    <row r="920" spans="1:82" ht="15.75" thickBot="1" x14ac:dyDescent="0.3">
      <c r="A920" s="9">
        <v>919</v>
      </c>
      <c r="B920" s="10"/>
      <c r="C920" s="10"/>
      <c r="D920" s="10"/>
      <c r="E920" s="51"/>
      <c r="F920" s="51"/>
      <c r="G920" s="51"/>
      <c r="H920" s="51"/>
      <c r="I920" s="11"/>
      <c r="J920" s="51"/>
      <c r="K920" s="249" t="str">
        <f>IFERROR(VLOOKUP(C920,Schedule!$T$3:$U$34,2,0),"FA")</f>
        <v>FA</v>
      </c>
      <c r="L920" s="10" t="str">
        <f>D920&amp;COUNTIF(D$2:$D920,D920)</f>
        <v>0</v>
      </c>
      <c r="M920" s="51">
        <f t="array" ref="M920">IFERROR(F920-AVERAGE(VLOOKUP(D920,$D$885:$F920,3,0),INDEX($F$885:$F920,SMALL(IF(D920=$D$885:$D920,ROW($D$885:$D920)-ROW(D920)),2))),0)</f>
        <v>0</v>
      </c>
      <c r="N920" s="51">
        <f>IFERROR(IF(VLOOKUP($B920,Input!$AC$2:$AC$162,1,0)=$B920,0),F920)</f>
        <v>0</v>
      </c>
      <c r="O920" s="51">
        <f>IFERROR(IF(VLOOKUP($B920,Input!$AC$2:$AC$162,1,0)=$B920,0,G920),G920)</f>
        <v>0</v>
      </c>
      <c r="P920" s="51">
        <f>IF(N920=0,0,F920-AVERAGE(INDEX(F:F,MATCH(VLOOKUP(D920,Input!$A$14:$L$22,10,0),L:L,0)),INDEX(F:F,MATCH(VLOOKUP(D920,Input!$A$14:$L$22,11,0),L:L,0)),INDEX(F:F,MATCH(VLOOKUP(D920,Input!$A$14:$L$22,12,0),L:L,0)))+(0.01-ROW()*0.01))</f>
        <v>0</v>
      </c>
      <c r="Q920" s="107">
        <f t="shared" si="154"/>
        <v>0</v>
      </c>
      <c r="R920" s="11" t="e">
        <f>IF(VLOOKUP($D920,$X$14:$Y$19,2,0)&lt;=0,1,IF(Q920&lt;0,1,ROUNDUP(IF(Q920*('Draft Center'!$L$28+'Draft Center'!$L$78-'Draft Center'!$L$82)&lt;1,1,Q920*('Draft Center'!$L$28+'Draft Center'!$L$78-'Draft Center'!$L$82)),0)))</f>
        <v>#N/A</v>
      </c>
      <c r="S920" s="11" t="e">
        <f>IF(A920&lt;Input!$B$10+0.1,IF(ROUNDUP(R920*Input!$C$10,0)=0,1,ROUNDUP(R920*Input!$C$10,0)),IF(A920&gt;Input!$B$11,IF(ROUNDUP(R920*Input!$C$11,0)=0,1,ROUNDUP(R920*Input!$C$11,0)),IF(ROUNDUP(R920,0)=0,1,ROUNDUP(R920,0))))</f>
        <v>#N/A</v>
      </c>
      <c r="T920" s="11" t="e">
        <f t="shared" si="155"/>
        <v>#N/A</v>
      </c>
      <c r="U920" s="11">
        <f>IFERROR(VLOOKUP($B920,Input!$AC$2:$AE$161,3,0),0)</f>
        <v>0</v>
      </c>
      <c r="V920" s="257" t="e">
        <f t="shared" si="156"/>
        <v>#N/A</v>
      </c>
      <c r="W920" s="264" t="e">
        <f t="shared" si="157"/>
        <v>#N/A</v>
      </c>
      <c r="X920" s="68"/>
      <c r="Y920" s="68"/>
      <c r="Z920" s="68"/>
      <c r="AA920" s="68"/>
      <c r="AB920" s="68"/>
      <c r="AC920" s="68"/>
      <c r="AD920" s="68"/>
      <c r="AE920" s="68"/>
      <c r="AF920" s="68"/>
      <c r="AG920" s="68"/>
      <c r="AH920" s="68"/>
      <c r="AI920" s="68"/>
      <c r="AJ920" s="68" t="e">
        <v>#N/A</v>
      </c>
      <c r="AL920" s="68" t="e">
        <v>#N/A</v>
      </c>
      <c r="AM920" s="68"/>
      <c r="AN920" s="68"/>
      <c r="AZ920" s="68"/>
      <c r="BB920" s="68"/>
      <c r="BC920" s="68"/>
      <c r="BJ920" s="68"/>
      <c r="BT920" t="e">
        <v>#N/A</v>
      </c>
      <c r="BV920" t="e">
        <v>#N/A</v>
      </c>
      <c r="BX920" s="68"/>
      <c r="BY920" s="68" t="e">
        <v>#N/A</v>
      </c>
      <c r="BZ920" s="68">
        <v>1</v>
      </c>
      <c r="CA920" s="68">
        <v>1</v>
      </c>
      <c r="CB920" s="68">
        <v>1</v>
      </c>
      <c r="CC920" s="68">
        <f t="shared" si="158"/>
        <v>1</v>
      </c>
      <c r="CD920" s="68">
        <f t="shared" si="159"/>
        <v>1</v>
      </c>
    </row>
    <row r="921" spans="1:82" ht="15.75" thickBot="1" x14ac:dyDescent="0.3">
      <c r="A921" s="6">
        <v>920</v>
      </c>
      <c r="B921" s="7"/>
      <c r="C921" s="7"/>
      <c r="D921" s="7"/>
      <c r="E921" s="50"/>
      <c r="F921" s="50"/>
      <c r="G921" s="50"/>
      <c r="H921" s="50"/>
      <c r="I921" s="8"/>
      <c r="J921" s="50"/>
      <c r="K921" s="248" t="str">
        <f>IFERROR(VLOOKUP(C921,Schedule!$T$3:$U$34,2,0),"FA")</f>
        <v>FA</v>
      </c>
      <c r="L921" s="7" t="str">
        <f>D921&amp;COUNTIF(D$2:$D921,D921)</f>
        <v>0</v>
      </c>
      <c r="M921" s="50">
        <f t="array" ref="M921">IFERROR(F921-AVERAGE(VLOOKUP(D921,$D$885:$F921,3,0),INDEX($F$885:$F921,SMALL(IF(D921=$D$885:$D921,ROW($D$885:$D921)-ROW(D921)),2))),0)</f>
        <v>0</v>
      </c>
      <c r="N921" s="50">
        <f>IFERROR(IF(VLOOKUP($B921,Input!$AC$2:$AC$162,1,0)=$B921,0),F921)</f>
        <v>0</v>
      </c>
      <c r="O921" s="50">
        <f>IFERROR(IF(VLOOKUP($B921,Input!$AC$2:$AC$162,1,0)=$B921,0,G921),G921)</f>
        <v>0</v>
      </c>
      <c r="P921" s="50">
        <f>IF(N921=0,0,F921-AVERAGE(INDEX(F:F,MATCH(VLOOKUP(D921,Input!$A$14:$L$22,10,0),L:L,0)),INDEX(F:F,MATCH(VLOOKUP(D921,Input!$A$14:$L$22,11,0),L:L,0)),INDEX(F:F,MATCH(VLOOKUP(D921,Input!$A$14:$L$22,12,0),L:L,0)))+(0.01-ROW()*0.01))</f>
        <v>0</v>
      </c>
      <c r="Q921" s="106">
        <f t="shared" si="154"/>
        <v>0</v>
      </c>
      <c r="R921" s="8" t="e">
        <f>IF(VLOOKUP($D921,$X$14:$Y$19,2,0)&lt;=0,1,IF(Q921&lt;0,1,ROUNDUP(IF(Q921*('Draft Center'!$L$28+'Draft Center'!$L$78-'Draft Center'!$L$82)&lt;1,1,Q921*('Draft Center'!$L$28+'Draft Center'!$L$78-'Draft Center'!$L$82)),0)))</f>
        <v>#N/A</v>
      </c>
      <c r="S921" s="8" t="e">
        <f>IF(A921&lt;Input!$B$10+0.1,IF(ROUNDUP(R921*Input!$C$10,0)=0,1,ROUNDUP(R921*Input!$C$10,0)),IF(A921&gt;Input!$B$11,IF(ROUNDUP(R921*Input!$C$11,0)=0,1,ROUNDUP(R921*Input!$C$11,0)),IF(ROUNDUP(R921,0)=0,1,ROUNDUP(R921,0))))</f>
        <v>#N/A</v>
      </c>
      <c r="T921" s="8" t="e">
        <f t="shared" si="155"/>
        <v>#N/A</v>
      </c>
      <c r="U921" s="8">
        <f>IFERROR(VLOOKUP($B921,Input!$AC$2:$AE$161,3,0),0)</f>
        <v>0</v>
      </c>
      <c r="V921" s="256" t="e">
        <f t="shared" si="156"/>
        <v>#N/A</v>
      </c>
      <c r="W921" s="263" t="e">
        <f t="shared" si="157"/>
        <v>#N/A</v>
      </c>
      <c r="X921" s="68"/>
      <c r="Y921" s="68"/>
      <c r="Z921" s="68"/>
      <c r="AA921" s="68"/>
      <c r="AB921" s="68"/>
      <c r="AC921" s="68"/>
      <c r="AD921" s="68"/>
      <c r="AE921" s="68"/>
      <c r="AF921" s="68"/>
      <c r="AG921" s="68"/>
      <c r="AH921" s="68"/>
      <c r="AI921" s="68"/>
      <c r="AJ921" s="68" t="e">
        <v>#N/A</v>
      </c>
      <c r="AL921" s="68" t="e">
        <v>#N/A</v>
      </c>
      <c r="AM921" s="68"/>
      <c r="AN921" s="68"/>
      <c r="AZ921" s="68"/>
      <c r="BB921" s="68"/>
      <c r="BC921" s="68"/>
      <c r="BJ921" s="68"/>
      <c r="BT921" t="e">
        <v>#N/A</v>
      </c>
      <c r="BV921" t="e">
        <v>#N/A</v>
      </c>
      <c r="BX921" s="68"/>
      <c r="BY921" s="68" t="e">
        <v>#N/A</v>
      </c>
      <c r="BZ921" s="68">
        <v>1</v>
      </c>
      <c r="CA921" s="68">
        <v>1</v>
      </c>
      <c r="CB921" s="68">
        <v>1</v>
      </c>
      <c r="CC921" s="68">
        <f t="shared" si="158"/>
        <v>1</v>
      </c>
      <c r="CD921" s="68">
        <f t="shared" si="159"/>
        <v>1</v>
      </c>
    </row>
    <row r="922" spans="1:82" ht="15.75" thickBot="1" x14ac:dyDescent="0.3">
      <c r="A922" s="9">
        <v>921</v>
      </c>
      <c r="B922" s="10"/>
      <c r="C922" s="10"/>
      <c r="D922" s="10"/>
      <c r="E922" s="51"/>
      <c r="F922" s="51"/>
      <c r="G922" s="51"/>
      <c r="H922" s="51"/>
      <c r="I922" s="11"/>
      <c r="J922" s="51"/>
      <c r="K922" s="249" t="str">
        <f>IFERROR(VLOOKUP(C922,Schedule!$T$3:$U$34,2,0),"FA")</f>
        <v>FA</v>
      </c>
      <c r="L922" s="10" t="str">
        <f>D922&amp;COUNTIF(D$2:$D922,D922)</f>
        <v>0</v>
      </c>
      <c r="M922" s="51">
        <f t="array" ref="M922">IFERROR(F922-AVERAGE(VLOOKUP(D922,$D$885:$F922,3,0),INDEX($F$885:$F922,SMALL(IF(D922=$D$885:$D922,ROW($D$885:$D922)-ROW(D922)),2))),0)</f>
        <v>0</v>
      </c>
      <c r="N922" s="51">
        <f>IFERROR(IF(VLOOKUP($B922,Input!$AC$2:$AC$162,1,0)=$B922,0),F922)</f>
        <v>0</v>
      </c>
      <c r="O922" s="51">
        <f>IFERROR(IF(VLOOKUP($B922,Input!$AC$2:$AC$162,1,0)=$B922,0,G922),G922)</f>
        <v>0</v>
      </c>
      <c r="P922" s="51">
        <f>IF(N922=0,0,F922-AVERAGE(INDEX(F:F,MATCH(VLOOKUP(D922,Input!$A$14:$L$22,10,0),L:L,0)),INDEX(F:F,MATCH(VLOOKUP(D922,Input!$A$14:$L$22,11,0),L:L,0)),INDEX(F:F,MATCH(VLOOKUP(D922,Input!$A$14:$L$22,12,0),L:L,0)))+(0.01-ROW()*0.01))</f>
        <v>0</v>
      </c>
      <c r="Q922" s="107">
        <f t="shared" si="154"/>
        <v>0</v>
      </c>
      <c r="R922" s="11" t="e">
        <f>IF(VLOOKUP($D922,$X$14:$Y$19,2,0)&lt;=0,1,IF(Q922&lt;0,1,ROUNDUP(IF(Q922*('Draft Center'!$L$28+'Draft Center'!$L$78-'Draft Center'!$L$82)&lt;1,1,Q922*('Draft Center'!$L$28+'Draft Center'!$L$78-'Draft Center'!$L$82)),0)))</f>
        <v>#N/A</v>
      </c>
      <c r="S922" s="11" t="e">
        <f>IF(A922&lt;Input!$B$10+0.1,IF(ROUNDUP(R922*Input!$C$10,0)=0,1,ROUNDUP(R922*Input!$C$10,0)),IF(A922&gt;Input!$B$11,IF(ROUNDUP(R922*Input!$C$11,0)=0,1,ROUNDUP(R922*Input!$C$11,0)),IF(ROUNDUP(R922,0)=0,1,ROUNDUP(R922,0))))</f>
        <v>#N/A</v>
      </c>
      <c r="T922" s="11" t="e">
        <f t="shared" si="155"/>
        <v>#N/A</v>
      </c>
      <c r="U922" s="11">
        <f>IFERROR(VLOOKUP($B922,Input!$AC$2:$AE$161,3,0),0)</f>
        <v>0</v>
      </c>
      <c r="V922" s="257" t="e">
        <f t="shared" si="156"/>
        <v>#N/A</v>
      </c>
      <c r="W922" s="264" t="e">
        <f t="shared" si="157"/>
        <v>#N/A</v>
      </c>
      <c r="X922" s="68"/>
      <c r="Y922" s="68"/>
      <c r="Z922" s="68"/>
      <c r="AA922" s="68"/>
      <c r="AB922" s="68"/>
      <c r="AC922" s="68"/>
      <c r="AD922" s="68"/>
      <c r="AE922" s="68"/>
      <c r="AF922" s="68"/>
      <c r="AG922" s="68"/>
      <c r="AH922" s="68"/>
      <c r="AI922" s="68"/>
      <c r="AJ922" s="68" t="e">
        <v>#N/A</v>
      </c>
      <c r="AL922" s="68" t="e">
        <v>#N/A</v>
      </c>
      <c r="AM922" s="68"/>
      <c r="AN922" s="68"/>
      <c r="AZ922" s="68"/>
      <c r="BB922" s="68"/>
      <c r="BC922" s="68"/>
      <c r="BJ922" s="68"/>
      <c r="BT922" t="e">
        <v>#N/A</v>
      </c>
      <c r="BV922" t="e">
        <v>#N/A</v>
      </c>
      <c r="BX922" s="68"/>
      <c r="BY922" s="68" t="e">
        <v>#N/A</v>
      </c>
      <c r="BZ922" s="68">
        <v>1</v>
      </c>
      <c r="CA922" s="68">
        <v>1</v>
      </c>
      <c r="CB922" s="68">
        <v>1</v>
      </c>
      <c r="CC922" s="68">
        <f t="shared" si="158"/>
        <v>1</v>
      </c>
      <c r="CD922" s="68">
        <f t="shared" si="159"/>
        <v>1</v>
      </c>
    </row>
    <row r="923" spans="1:82" ht="15.75" thickBot="1" x14ac:dyDescent="0.3">
      <c r="A923" s="6">
        <v>922</v>
      </c>
      <c r="B923" s="7"/>
      <c r="C923" s="7"/>
      <c r="D923" s="7"/>
      <c r="E923" s="50"/>
      <c r="F923" s="50"/>
      <c r="G923" s="50"/>
      <c r="H923" s="50"/>
      <c r="I923" s="8"/>
      <c r="J923" s="50"/>
      <c r="K923" s="248" t="str">
        <f>IFERROR(VLOOKUP(C923,Schedule!$T$3:$U$34,2,0),"FA")</f>
        <v>FA</v>
      </c>
      <c r="L923" s="7" t="str">
        <f>D923&amp;COUNTIF(D$2:$D923,D923)</f>
        <v>0</v>
      </c>
      <c r="M923" s="50">
        <f t="array" ref="M923">IFERROR(F923-AVERAGE(VLOOKUP(D923,$D$885:$F923,3,0),INDEX($F$885:$F923,SMALL(IF(D923=$D$885:$D923,ROW($D$885:$D923)-ROW(D923)),2))),0)</f>
        <v>0</v>
      </c>
      <c r="N923" s="50">
        <f>IFERROR(IF(VLOOKUP($B923,Input!$AC$2:$AC$162,1,0)=$B923,0),F923)</f>
        <v>0</v>
      </c>
      <c r="O923" s="50">
        <f>IFERROR(IF(VLOOKUP($B923,Input!$AC$2:$AC$162,1,0)=$B923,0,G923),G923)</f>
        <v>0</v>
      </c>
      <c r="P923" s="50">
        <f>IF(N923=0,0,F923-AVERAGE(INDEX(F:F,MATCH(VLOOKUP(D923,Input!$A$14:$L$22,10,0),L:L,0)),INDEX(F:F,MATCH(VLOOKUP(D923,Input!$A$14:$L$22,11,0),L:L,0)),INDEX(F:F,MATCH(VLOOKUP(D923,Input!$A$14:$L$22,12,0),L:L,0)))+(0.01-ROW()*0.01))</f>
        <v>0</v>
      </c>
      <c r="Q923" s="106">
        <f t="shared" si="154"/>
        <v>0</v>
      </c>
      <c r="R923" s="8" t="e">
        <f>IF(VLOOKUP($D923,$X$14:$Y$19,2,0)&lt;=0,1,IF(Q923&lt;0,1,ROUNDUP(IF(Q923*('Draft Center'!$L$28+'Draft Center'!$L$78-'Draft Center'!$L$82)&lt;1,1,Q923*('Draft Center'!$L$28+'Draft Center'!$L$78-'Draft Center'!$L$82)),0)))</f>
        <v>#N/A</v>
      </c>
      <c r="S923" s="8" t="e">
        <f>IF(A923&lt;Input!$B$10+0.1,IF(ROUNDUP(R923*Input!$C$10,0)=0,1,ROUNDUP(R923*Input!$C$10,0)),IF(A923&gt;Input!$B$11,IF(ROUNDUP(R923*Input!$C$11,0)=0,1,ROUNDUP(R923*Input!$C$11,0)),IF(ROUNDUP(R923,0)=0,1,ROUNDUP(R923,0))))</f>
        <v>#N/A</v>
      </c>
      <c r="T923" s="8" t="e">
        <f t="shared" si="155"/>
        <v>#N/A</v>
      </c>
      <c r="U923" s="8">
        <f>IFERROR(VLOOKUP($B923,Input!$AC$2:$AE$161,3,0),0)</f>
        <v>0</v>
      </c>
      <c r="V923" s="256" t="e">
        <f t="shared" si="156"/>
        <v>#N/A</v>
      </c>
      <c r="W923" s="263" t="e">
        <f t="shared" si="157"/>
        <v>#N/A</v>
      </c>
      <c r="X923" s="68"/>
      <c r="Y923" s="68"/>
      <c r="Z923" s="68"/>
      <c r="AA923" s="68"/>
      <c r="AB923" s="68"/>
      <c r="AC923" s="68"/>
      <c r="AD923" s="68"/>
      <c r="AE923" s="68"/>
      <c r="AF923" s="68"/>
      <c r="AG923" s="68"/>
      <c r="AH923" s="68"/>
      <c r="AI923" s="68"/>
      <c r="AJ923" s="68" t="e">
        <v>#N/A</v>
      </c>
      <c r="AL923" s="68" t="e">
        <v>#N/A</v>
      </c>
      <c r="AM923" s="68"/>
      <c r="AN923" s="68"/>
      <c r="AZ923" s="68"/>
      <c r="BB923" s="68"/>
      <c r="BC923" s="68"/>
      <c r="BJ923" s="68"/>
      <c r="BT923" t="e">
        <v>#N/A</v>
      </c>
      <c r="BV923" t="e">
        <v>#N/A</v>
      </c>
      <c r="BX923" s="68"/>
      <c r="BY923" s="68" t="e">
        <v>#N/A</v>
      </c>
      <c r="BZ923" s="68">
        <v>1</v>
      </c>
      <c r="CA923" s="68">
        <v>1</v>
      </c>
      <c r="CB923" s="68">
        <v>1</v>
      </c>
      <c r="CC923" s="68">
        <f t="shared" si="158"/>
        <v>1</v>
      </c>
      <c r="CD923" s="68">
        <f t="shared" si="159"/>
        <v>1</v>
      </c>
    </row>
    <row r="924" spans="1:82" ht="15.75" thickBot="1" x14ac:dyDescent="0.3">
      <c r="A924" s="9">
        <v>923</v>
      </c>
      <c r="B924" s="10"/>
      <c r="C924" s="10"/>
      <c r="D924" s="10"/>
      <c r="E924" s="51"/>
      <c r="F924" s="51"/>
      <c r="G924" s="51"/>
      <c r="H924" s="51"/>
      <c r="I924" s="11"/>
      <c r="J924" s="51"/>
      <c r="K924" s="249" t="str">
        <f>IFERROR(VLOOKUP(C924,Schedule!$T$3:$U$34,2,0),"FA")</f>
        <v>FA</v>
      </c>
      <c r="L924" s="10" t="str">
        <f>D924&amp;COUNTIF(D$2:$D924,D924)</f>
        <v>0</v>
      </c>
      <c r="M924" s="51">
        <f t="array" ref="M924">IFERROR(F924-AVERAGE(VLOOKUP(D924,$D$885:$F924,3,0),INDEX($F$885:$F924,SMALL(IF(D924=$D$885:$D924,ROW($D$885:$D924)-ROW(D924)),2))),0)</f>
        <v>0</v>
      </c>
      <c r="N924" s="51">
        <f>IFERROR(IF(VLOOKUP($B924,Input!$AC$2:$AC$162,1,0)=$B924,0),F924)</f>
        <v>0</v>
      </c>
      <c r="O924" s="51">
        <f>IFERROR(IF(VLOOKUP($B924,Input!$AC$2:$AC$162,1,0)=$B924,0,G924),G924)</f>
        <v>0</v>
      </c>
      <c r="P924" s="51">
        <f>IF(N924=0,0,F924-AVERAGE(INDEX(F:F,MATCH(VLOOKUP(D924,Input!$A$14:$L$22,10,0),L:L,0)),INDEX(F:F,MATCH(VLOOKUP(D924,Input!$A$14:$L$22,11,0),L:L,0)),INDEX(F:F,MATCH(VLOOKUP(D924,Input!$A$14:$L$22,12,0),L:L,0)))+(0.01-ROW()*0.01))</f>
        <v>0</v>
      </c>
      <c r="Q924" s="107">
        <f t="shared" si="154"/>
        <v>0</v>
      </c>
      <c r="R924" s="11" t="e">
        <f>IF(VLOOKUP($D924,$X$14:$Y$19,2,0)&lt;=0,1,IF(Q924&lt;0,1,ROUNDUP(IF(Q924*('Draft Center'!$L$28+'Draft Center'!$L$78-'Draft Center'!$L$82)&lt;1,1,Q924*('Draft Center'!$L$28+'Draft Center'!$L$78-'Draft Center'!$L$82)),0)))</f>
        <v>#N/A</v>
      </c>
      <c r="S924" s="11" t="e">
        <f>IF(A924&lt;Input!$B$10+0.1,IF(ROUNDUP(R924*Input!$C$10,0)=0,1,ROUNDUP(R924*Input!$C$10,0)),IF(A924&gt;Input!$B$11,IF(ROUNDUP(R924*Input!$C$11,0)=0,1,ROUNDUP(R924*Input!$C$11,0)),IF(ROUNDUP(R924,0)=0,1,ROUNDUP(R924,0))))</f>
        <v>#N/A</v>
      </c>
      <c r="T924" s="11" t="e">
        <f t="shared" si="155"/>
        <v>#N/A</v>
      </c>
      <c r="U924" s="11">
        <f>IFERROR(VLOOKUP($B924,Input!$AC$2:$AE$161,3,0),0)</f>
        <v>0</v>
      </c>
      <c r="V924" s="257" t="e">
        <f t="shared" si="156"/>
        <v>#N/A</v>
      </c>
      <c r="W924" s="264" t="e">
        <f t="shared" si="157"/>
        <v>#N/A</v>
      </c>
      <c r="X924" s="68"/>
      <c r="Y924" s="68"/>
      <c r="Z924" s="68"/>
      <c r="AA924" s="68"/>
      <c r="AB924" s="68"/>
      <c r="AC924" s="68"/>
      <c r="AD924" s="68"/>
      <c r="AE924" s="68"/>
      <c r="AF924" s="68"/>
      <c r="AG924" s="68"/>
      <c r="AH924" s="68"/>
      <c r="AI924" s="68"/>
      <c r="AJ924" s="68" t="e">
        <v>#N/A</v>
      </c>
      <c r="AL924" s="68" t="e">
        <v>#N/A</v>
      </c>
      <c r="AM924" s="68"/>
      <c r="AN924" s="68"/>
      <c r="AZ924" s="68"/>
      <c r="BB924" s="68"/>
      <c r="BC924" s="68"/>
      <c r="BJ924" s="68"/>
      <c r="BT924" t="e">
        <v>#N/A</v>
      </c>
      <c r="BV924" t="e">
        <v>#N/A</v>
      </c>
      <c r="BX924" s="68"/>
      <c r="BY924" s="68" t="e">
        <v>#N/A</v>
      </c>
      <c r="BZ924" s="68">
        <v>1</v>
      </c>
      <c r="CA924" s="68">
        <v>1</v>
      </c>
      <c r="CB924" s="68">
        <v>1</v>
      </c>
      <c r="CC924" s="68">
        <f t="shared" si="158"/>
        <v>1</v>
      </c>
      <c r="CD924" s="68">
        <f t="shared" si="159"/>
        <v>1</v>
      </c>
    </row>
    <row r="925" spans="1:82" ht="15.75" thickBot="1" x14ac:dyDescent="0.3">
      <c r="A925" s="6">
        <v>924</v>
      </c>
      <c r="B925" s="7"/>
      <c r="C925" s="7"/>
      <c r="D925" s="7"/>
      <c r="E925" s="50"/>
      <c r="F925" s="50"/>
      <c r="G925" s="50"/>
      <c r="H925" s="50"/>
      <c r="I925" s="8"/>
      <c r="J925" s="50"/>
      <c r="K925" s="248" t="str">
        <f>IFERROR(VLOOKUP(C925,Schedule!$T$3:$U$34,2,0),"FA")</f>
        <v>FA</v>
      </c>
      <c r="L925" s="7" t="str">
        <f>D925&amp;COUNTIF(D$2:$D925,D925)</f>
        <v>0</v>
      </c>
      <c r="M925" s="50">
        <f t="array" ref="M925">IFERROR(F925-AVERAGE(VLOOKUP(D925,$D$885:$F925,3,0),INDEX($F$885:$F925,SMALL(IF(D925=$D$885:$D925,ROW($D$885:$D925)-ROW(D925)),2))),0)</f>
        <v>0</v>
      </c>
      <c r="N925" s="50">
        <f>IFERROR(IF(VLOOKUP($B925,Input!$AC$2:$AC$162,1,0)=$B925,0),F925)</f>
        <v>0</v>
      </c>
      <c r="O925" s="50">
        <f>IFERROR(IF(VLOOKUP($B925,Input!$AC$2:$AC$162,1,0)=$B925,0,G925),G925)</f>
        <v>0</v>
      </c>
      <c r="P925" s="50">
        <f>IF(N925=0,0,F925-AVERAGE(INDEX(F:F,MATCH(VLOOKUP(D925,Input!$A$14:$L$22,10,0),L:L,0)),INDEX(F:F,MATCH(VLOOKUP(D925,Input!$A$14:$L$22,11,0),L:L,0)),INDEX(F:F,MATCH(VLOOKUP(D925,Input!$A$14:$L$22,12,0),L:L,0)))+(0.01-ROW()*0.01))</f>
        <v>0</v>
      </c>
      <c r="Q925" s="106">
        <f t="shared" si="154"/>
        <v>0</v>
      </c>
      <c r="R925" s="8" t="e">
        <f>IF(VLOOKUP($D925,$X$14:$Y$19,2,0)&lt;=0,1,IF(Q925&lt;0,1,ROUNDUP(IF(Q925*('Draft Center'!$L$28+'Draft Center'!$L$78-'Draft Center'!$L$82)&lt;1,1,Q925*('Draft Center'!$L$28+'Draft Center'!$L$78-'Draft Center'!$L$82)),0)))</f>
        <v>#N/A</v>
      </c>
      <c r="S925" s="8" t="e">
        <f>IF(A925&lt;Input!$B$10+0.1,IF(ROUNDUP(R925*Input!$C$10,0)=0,1,ROUNDUP(R925*Input!$C$10,0)),IF(A925&gt;Input!$B$11,IF(ROUNDUP(R925*Input!$C$11,0)=0,1,ROUNDUP(R925*Input!$C$11,0)),IF(ROUNDUP(R925,0)=0,1,ROUNDUP(R925,0))))</f>
        <v>#N/A</v>
      </c>
      <c r="T925" s="8" t="e">
        <f t="shared" si="155"/>
        <v>#N/A</v>
      </c>
      <c r="U925" s="8">
        <f>IFERROR(VLOOKUP($B925,Input!$AC$2:$AE$161,3,0),0)</f>
        <v>0</v>
      </c>
      <c r="V925" s="256" t="e">
        <f t="shared" si="156"/>
        <v>#N/A</v>
      </c>
      <c r="W925" s="263" t="e">
        <f t="shared" si="157"/>
        <v>#N/A</v>
      </c>
      <c r="X925" s="68"/>
      <c r="Y925" s="68"/>
      <c r="Z925" s="68"/>
      <c r="AA925" s="68"/>
      <c r="AB925" s="68"/>
      <c r="AC925" s="68"/>
      <c r="AD925" s="68"/>
      <c r="AE925" s="68"/>
      <c r="AF925" s="68"/>
      <c r="AG925" s="68"/>
      <c r="AH925" s="68"/>
      <c r="AI925" s="68"/>
      <c r="AJ925" s="68" t="e">
        <v>#N/A</v>
      </c>
      <c r="AL925" s="68" t="e">
        <v>#N/A</v>
      </c>
      <c r="AM925" s="68"/>
      <c r="AN925" s="68"/>
      <c r="AZ925" s="68"/>
      <c r="BB925" s="68"/>
      <c r="BC925" s="68"/>
      <c r="BJ925" s="68"/>
      <c r="BT925" t="e">
        <v>#N/A</v>
      </c>
      <c r="BV925" t="e">
        <v>#N/A</v>
      </c>
      <c r="BX925" s="68"/>
      <c r="BY925" s="68" t="e">
        <v>#N/A</v>
      </c>
      <c r="BZ925" s="68">
        <v>1</v>
      </c>
      <c r="CA925" s="68">
        <v>1</v>
      </c>
      <c r="CB925" s="68">
        <v>1</v>
      </c>
      <c r="CC925" s="68">
        <f t="shared" si="158"/>
        <v>1</v>
      </c>
      <c r="CD925" s="68">
        <f t="shared" si="159"/>
        <v>1</v>
      </c>
    </row>
    <row r="926" spans="1:82" ht="15.75" thickBot="1" x14ac:dyDescent="0.3">
      <c r="A926" s="9">
        <v>925</v>
      </c>
      <c r="B926" s="10"/>
      <c r="C926" s="10"/>
      <c r="D926" s="10"/>
      <c r="E926" s="51"/>
      <c r="F926" s="51"/>
      <c r="G926" s="51"/>
      <c r="H926" s="51"/>
      <c r="I926" s="11"/>
      <c r="J926" s="51"/>
      <c r="K926" s="249" t="str">
        <f>IFERROR(VLOOKUP(C926,Schedule!$T$3:$U$34,2,0),"FA")</f>
        <v>FA</v>
      </c>
      <c r="L926" s="10" t="str">
        <f>D926&amp;COUNTIF(D$2:$D926,D926)</f>
        <v>0</v>
      </c>
      <c r="M926" s="51">
        <f t="array" ref="M926">IFERROR(F926-AVERAGE(VLOOKUP(D926,$D$885:$F926,3,0),INDEX($F$885:$F926,SMALL(IF(D926=$D$885:$D926,ROW($D$885:$D926)-ROW(D926)),2))),0)</f>
        <v>0</v>
      </c>
      <c r="N926" s="51">
        <f>IFERROR(IF(VLOOKUP($B926,Input!$AC$2:$AC$162,1,0)=$B926,0),F926)</f>
        <v>0</v>
      </c>
      <c r="O926" s="51">
        <f>IFERROR(IF(VLOOKUP($B926,Input!$AC$2:$AC$162,1,0)=$B926,0,G926),G926)</f>
        <v>0</v>
      </c>
      <c r="P926" s="51">
        <f>IF(N926=0,0,F926-AVERAGE(INDEX(F:F,MATCH(VLOOKUP(D926,Input!$A$14:$L$22,10,0),L:L,0)),INDEX(F:F,MATCH(VLOOKUP(D926,Input!$A$14:$L$22,11,0),L:L,0)),INDEX(F:F,MATCH(VLOOKUP(D926,Input!$A$14:$L$22,12,0),L:L,0)))+(0.01-ROW()*0.01))</f>
        <v>0</v>
      </c>
      <c r="Q926" s="107">
        <f t="shared" si="154"/>
        <v>0</v>
      </c>
      <c r="R926" s="11" t="e">
        <f>IF(VLOOKUP($D926,$X$14:$Y$19,2,0)&lt;=0,1,IF(Q926&lt;0,1,ROUNDUP(IF(Q926*('Draft Center'!$L$28+'Draft Center'!$L$78-'Draft Center'!$L$82)&lt;1,1,Q926*('Draft Center'!$L$28+'Draft Center'!$L$78-'Draft Center'!$L$82)),0)))</f>
        <v>#N/A</v>
      </c>
      <c r="S926" s="11" t="e">
        <f>IF(A926&lt;Input!$B$10+0.1,IF(ROUNDUP(R926*Input!$C$10,0)=0,1,ROUNDUP(R926*Input!$C$10,0)),IF(A926&gt;Input!$B$11,IF(ROUNDUP(R926*Input!$C$11,0)=0,1,ROUNDUP(R926*Input!$C$11,0)),IF(ROUNDUP(R926,0)=0,1,ROUNDUP(R926,0))))</f>
        <v>#N/A</v>
      </c>
      <c r="T926" s="11" t="e">
        <f t="shared" si="155"/>
        <v>#N/A</v>
      </c>
      <c r="U926" s="11">
        <f>IFERROR(VLOOKUP($B926,Input!$AC$2:$AE$161,3,0),0)</f>
        <v>0</v>
      </c>
      <c r="V926" s="257" t="e">
        <f t="shared" si="156"/>
        <v>#N/A</v>
      </c>
      <c r="W926" s="264" t="e">
        <f t="shared" si="157"/>
        <v>#N/A</v>
      </c>
      <c r="X926" s="68"/>
      <c r="Y926" s="68"/>
      <c r="Z926" s="68"/>
      <c r="AA926" s="68"/>
      <c r="AB926" s="68"/>
      <c r="AC926" s="68"/>
      <c r="AD926" s="68"/>
      <c r="AE926" s="68"/>
      <c r="AF926" s="68"/>
      <c r="AG926" s="68"/>
      <c r="AH926" s="68"/>
      <c r="AI926" s="68"/>
      <c r="AJ926" s="68" t="e">
        <v>#N/A</v>
      </c>
      <c r="AL926" s="68" t="e">
        <v>#N/A</v>
      </c>
      <c r="AM926" s="68"/>
      <c r="AN926" s="68"/>
      <c r="AZ926" s="68"/>
      <c r="BB926" s="68"/>
      <c r="BC926" s="68"/>
      <c r="BJ926" s="68"/>
      <c r="BT926" t="e">
        <v>#N/A</v>
      </c>
      <c r="BV926" t="e">
        <v>#N/A</v>
      </c>
      <c r="BX926" s="68"/>
      <c r="BY926" s="68" t="e">
        <v>#N/A</v>
      </c>
      <c r="BZ926" s="68">
        <v>1</v>
      </c>
      <c r="CA926" s="68">
        <v>1</v>
      </c>
      <c r="CB926" s="68">
        <v>1</v>
      </c>
      <c r="CC926" s="68">
        <f t="shared" si="158"/>
        <v>1</v>
      </c>
      <c r="CD926" s="68">
        <f t="shared" si="159"/>
        <v>1</v>
      </c>
    </row>
    <row r="927" spans="1:82" ht="15.75" thickBot="1" x14ac:dyDescent="0.3">
      <c r="A927" s="6">
        <v>926</v>
      </c>
      <c r="B927" s="7"/>
      <c r="C927" s="7"/>
      <c r="D927" s="7"/>
      <c r="E927" s="50"/>
      <c r="F927" s="50"/>
      <c r="G927" s="50"/>
      <c r="H927" s="50"/>
      <c r="I927" s="8"/>
      <c r="J927" s="50"/>
      <c r="K927" s="248" t="str">
        <f>IFERROR(VLOOKUP(C927,Schedule!$T$3:$U$34,2,0),"FA")</f>
        <v>FA</v>
      </c>
      <c r="L927" s="7" t="str">
        <f>D927&amp;COUNTIF(D$2:$D927,D927)</f>
        <v>0</v>
      </c>
      <c r="M927" s="50">
        <f t="array" ref="M927">IFERROR(F927-AVERAGE(VLOOKUP(D927,$D$885:$F927,3,0),INDEX($F$885:$F927,SMALL(IF(D927=$D$885:$D927,ROW($D$885:$D927)-ROW(D927)),2))),0)</f>
        <v>0</v>
      </c>
      <c r="N927" s="50">
        <f>IFERROR(IF(VLOOKUP($B927,Input!$AC$2:$AC$162,1,0)=$B927,0),F927)</f>
        <v>0</v>
      </c>
      <c r="O927" s="50">
        <f>IFERROR(IF(VLOOKUP($B927,Input!$AC$2:$AC$162,1,0)=$B927,0,G927),G927)</f>
        <v>0</v>
      </c>
      <c r="P927" s="50">
        <f>IF(N927=0,0,F927-AVERAGE(INDEX(F:F,MATCH(VLOOKUP(D927,Input!$A$14:$L$22,10,0),L:L,0)),INDEX(F:F,MATCH(VLOOKUP(D927,Input!$A$14:$L$22,11,0),L:L,0)),INDEX(F:F,MATCH(VLOOKUP(D927,Input!$A$14:$L$22,12,0),L:L,0)))+(0.01-ROW()*0.01))</f>
        <v>0</v>
      </c>
      <c r="Q927" s="106">
        <f t="shared" si="154"/>
        <v>0</v>
      </c>
      <c r="R927" s="8" t="e">
        <f>IF(VLOOKUP($D927,$X$14:$Y$19,2,0)&lt;=0,1,IF(Q927&lt;0,1,ROUNDUP(IF(Q927*('Draft Center'!$L$28+'Draft Center'!$L$78-'Draft Center'!$L$82)&lt;1,1,Q927*('Draft Center'!$L$28+'Draft Center'!$L$78-'Draft Center'!$L$82)),0)))</f>
        <v>#N/A</v>
      </c>
      <c r="S927" s="8" t="e">
        <f>IF(A927&lt;Input!$B$10+0.1,IF(ROUNDUP(R927*Input!$C$10,0)=0,1,ROUNDUP(R927*Input!$C$10,0)),IF(A927&gt;Input!$B$11,IF(ROUNDUP(R927*Input!$C$11,0)=0,1,ROUNDUP(R927*Input!$C$11,0)),IF(ROUNDUP(R927,0)=0,1,ROUNDUP(R927,0))))</f>
        <v>#N/A</v>
      </c>
      <c r="T927" s="8" t="e">
        <f t="shared" si="155"/>
        <v>#N/A</v>
      </c>
      <c r="U927" s="8">
        <f>IFERROR(VLOOKUP($B927,Input!$AC$2:$AE$161,3,0),0)</f>
        <v>0</v>
      </c>
      <c r="V927" s="256" t="e">
        <f t="shared" si="156"/>
        <v>#N/A</v>
      </c>
      <c r="W927" s="263" t="e">
        <f t="shared" si="157"/>
        <v>#N/A</v>
      </c>
      <c r="X927" s="68"/>
      <c r="Y927" s="68"/>
      <c r="Z927" s="68"/>
      <c r="AA927" s="68"/>
      <c r="AB927" s="68"/>
      <c r="AC927" s="68"/>
      <c r="AD927" s="68"/>
      <c r="AE927" s="68"/>
      <c r="AF927" s="68"/>
      <c r="AG927" s="68"/>
      <c r="AH927" s="68"/>
      <c r="AI927" s="68"/>
      <c r="AJ927" s="68" t="e">
        <v>#N/A</v>
      </c>
      <c r="AL927" s="68" t="e">
        <v>#N/A</v>
      </c>
      <c r="AM927" s="68"/>
      <c r="AN927" s="68"/>
      <c r="AZ927" s="68"/>
      <c r="BB927" s="68"/>
      <c r="BC927" s="68"/>
      <c r="BJ927" s="68"/>
      <c r="BT927" t="e">
        <v>#N/A</v>
      </c>
      <c r="BV927" t="e">
        <v>#N/A</v>
      </c>
      <c r="BX927" s="68"/>
      <c r="BY927" s="68" t="e">
        <v>#N/A</v>
      </c>
      <c r="BZ927" s="68">
        <v>1</v>
      </c>
      <c r="CA927" s="68">
        <v>1</v>
      </c>
      <c r="CB927" s="68">
        <v>1</v>
      </c>
      <c r="CC927" s="68">
        <f t="shared" si="158"/>
        <v>1</v>
      </c>
      <c r="CD927" s="68">
        <f t="shared" si="159"/>
        <v>1</v>
      </c>
    </row>
    <row r="928" spans="1:82" ht="15.75" thickBot="1" x14ac:dyDescent="0.3">
      <c r="A928" s="9">
        <v>927</v>
      </c>
      <c r="B928" s="10"/>
      <c r="C928" s="10"/>
      <c r="D928" s="10"/>
      <c r="E928" s="51"/>
      <c r="F928" s="51"/>
      <c r="G928" s="51"/>
      <c r="H928" s="51"/>
      <c r="I928" s="11"/>
      <c r="J928" s="51"/>
      <c r="K928" s="249" t="str">
        <f>IFERROR(VLOOKUP(C928,Schedule!$T$3:$U$34,2,0),"FA")</f>
        <v>FA</v>
      </c>
      <c r="L928" s="10" t="str">
        <f>D928&amp;COUNTIF(D$2:$D928,D928)</f>
        <v>0</v>
      </c>
      <c r="M928" s="51">
        <f t="array" ref="M928">IFERROR(F928-AVERAGE(VLOOKUP(D928,$D$885:$F928,3,0),INDEX($F$885:$F928,SMALL(IF(D928=$D$885:$D928,ROW($D$885:$D928)-ROW(D928)),2))),0)</f>
        <v>0</v>
      </c>
      <c r="N928" s="51">
        <f>IFERROR(IF(VLOOKUP($B928,Input!$AC$2:$AC$162,1,0)=$B928,0),F928)</f>
        <v>0</v>
      </c>
      <c r="O928" s="51">
        <f>IFERROR(IF(VLOOKUP($B928,Input!$AC$2:$AC$162,1,0)=$B928,0,G928),G928)</f>
        <v>0</v>
      </c>
      <c r="P928" s="51">
        <f>IF(N928=0,0,F928-AVERAGE(INDEX(F:F,MATCH(VLOOKUP(D928,Input!$A$14:$L$22,10,0),L:L,0)),INDEX(F:F,MATCH(VLOOKUP(D928,Input!$A$14:$L$22,11,0),L:L,0)),INDEX(F:F,MATCH(VLOOKUP(D928,Input!$A$14:$L$22,12,0),L:L,0)))+(0.01-ROW()*0.01))</f>
        <v>0</v>
      </c>
      <c r="Q928" s="107">
        <f t="shared" si="154"/>
        <v>0</v>
      </c>
      <c r="R928" s="11" t="e">
        <f>IF(VLOOKUP($D928,$X$14:$Y$19,2,0)&lt;=0,1,IF(Q928&lt;0,1,ROUNDUP(IF(Q928*('Draft Center'!$L$28+'Draft Center'!$L$78-'Draft Center'!$L$82)&lt;1,1,Q928*('Draft Center'!$L$28+'Draft Center'!$L$78-'Draft Center'!$L$82)),0)))</f>
        <v>#N/A</v>
      </c>
      <c r="S928" s="11" t="e">
        <f>IF(A928&lt;Input!$B$10+0.1,IF(ROUNDUP(R928*Input!$C$10,0)=0,1,ROUNDUP(R928*Input!$C$10,0)),IF(A928&gt;Input!$B$11,IF(ROUNDUP(R928*Input!$C$11,0)=0,1,ROUNDUP(R928*Input!$C$11,0)),IF(ROUNDUP(R928,0)=0,1,ROUNDUP(R928,0))))</f>
        <v>#N/A</v>
      </c>
      <c r="T928" s="11" t="e">
        <f t="shared" si="155"/>
        <v>#N/A</v>
      </c>
      <c r="U928" s="11">
        <f>IFERROR(VLOOKUP($B928,Input!$AC$2:$AE$161,3,0),0)</f>
        <v>0</v>
      </c>
      <c r="V928" s="257" t="e">
        <f t="shared" si="156"/>
        <v>#N/A</v>
      </c>
      <c r="W928" s="264" t="e">
        <f t="shared" si="157"/>
        <v>#N/A</v>
      </c>
      <c r="X928" s="68"/>
      <c r="Y928" s="68"/>
      <c r="Z928" s="68"/>
      <c r="AA928" s="68"/>
      <c r="AB928" s="68"/>
      <c r="AC928" s="68"/>
      <c r="AD928" s="68"/>
      <c r="AE928" s="68"/>
      <c r="AF928" s="68"/>
      <c r="AG928" s="68"/>
      <c r="AH928" s="68"/>
      <c r="AI928" s="68"/>
      <c r="AJ928" s="68" t="e">
        <v>#N/A</v>
      </c>
      <c r="AL928" s="68" t="e">
        <v>#N/A</v>
      </c>
      <c r="AM928" s="68"/>
      <c r="AN928" s="68"/>
      <c r="AZ928" s="68"/>
      <c r="BB928" s="68"/>
      <c r="BC928" s="68"/>
      <c r="BJ928" s="68"/>
      <c r="BT928" t="e">
        <v>#N/A</v>
      </c>
      <c r="BV928" t="e">
        <v>#N/A</v>
      </c>
      <c r="BX928" s="68"/>
      <c r="BY928" s="68" t="e">
        <v>#N/A</v>
      </c>
      <c r="BZ928" s="68">
        <v>1</v>
      </c>
      <c r="CA928" s="68">
        <v>1</v>
      </c>
      <c r="CB928" s="68">
        <v>1</v>
      </c>
      <c r="CC928" s="68">
        <f t="shared" si="158"/>
        <v>1</v>
      </c>
      <c r="CD928" s="68">
        <f t="shared" si="159"/>
        <v>1</v>
      </c>
    </row>
    <row r="929" spans="1:82" ht="15.75" thickBot="1" x14ac:dyDescent="0.3">
      <c r="A929" s="6">
        <v>928</v>
      </c>
      <c r="B929" s="7"/>
      <c r="C929" s="7"/>
      <c r="D929" s="7"/>
      <c r="E929" s="50"/>
      <c r="F929" s="50"/>
      <c r="G929" s="50"/>
      <c r="H929" s="50"/>
      <c r="I929" s="8"/>
      <c r="J929" s="50"/>
      <c r="K929" s="248" t="str">
        <f>IFERROR(VLOOKUP(C929,Schedule!$T$3:$U$34,2,0),"FA")</f>
        <v>FA</v>
      </c>
      <c r="L929" s="7" t="str">
        <f>D929&amp;COUNTIF(D$2:$D929,D929)</f>
        <v>0</v>
      </c>
      <c r="M929" s="50">
        <f t="array" ref="M929">IFERROR(F929-AVERAGE(VLOOKUP(D929,$D$885:$F929,3,0),INDEX($F$885:$F929,SMALL(IF(D929=$D$885:$D929,ROW($D$885:$D929)-ROW(D929)),2))),0)</f>
        <v>0</v>
      </c>
      <c r="N929" s="50">
        <f>IFERROR(IF(VLOOKUP($B929,Input!$AC$2:$AC$162,1,0)=$B929,0),F929)</f>
        <v>0</v>
      </c>
      <c r="O929" s="50">
        <f>IFERROR(IF(VLOOKUP($B929,Input!$AC$2:$AC$162,1,0)=$B929,0,G929),G929)</f>
        <v>0</v>
      </c>
      <c r="P929" s="50">
        <f>IF(N929=0,0,F929-AVERAGE(INDEX(F:F,MATCH(VLOOKUP(D929,Input!$A$14:$L$22,10,0),L:L,0)),INDEX(F:F,MATCH(VLOOKUP(D929,Input!$A$14:$L$22,11,0),L:L,0)),INDEX(F:F,MATCH(VLOOKUP(D929,Input!$A$14:$L$22,12,0),L:L,0)))+(0.01-ROW()*0.01))</f>
        <v>0</v>
      </c>
      <c r="Q929" s="106">
        <f t="shared" si="154"/>
        <v>0</v>
      </c>
      <c r="R929" s="8" t="e">
        <f>IF(VLOOKUP($D929,$X$14:$Y$19,2,0)&lt;=0,1,IF(Q929&lt;0,1,ROUNDUP(IF(Q929*('Draft Center'!$L$28+'Draft Center'!$L$78-'Draft Center'!$L$82)&lt;1,1,Q929*('Draft Center'!$L$28+'Draft Center'!$L$78-'Draft Center'!$L$82)),0)))</f>
        <v>#N/A</v>
      </c>
      <c r="S929" s="8" t="e">
        <f>IF(A929&lt;Input!$B$10+0.1,IF(ROUNDUP(R929*Input!$C$10,0)=0,1,ROUNDUP(R929*Input!$C$10,0)),IF(A929&gt;Input!$B$11,IF(ROUNDUP(R929*Input!$C$11,0)=0,1,ROUNDUP(R929*Input!$C$11,0)),IF(ROUNDUP(R929,0)=0,1,ROUNDUP(R929,0))))</f>
        <v>#N/A</v>
      </c>
      <c r="T929" s="8" t="e">
        <f t="shared" si="155"/>
        <v>#N/A</v>
      </c>
      <c r="U929" s="8">
        <f>IFERROR(VLOOKUP($B929,Input!$AC$2:$AE$161,3,0),0)</f>
        <v>0</v>
      </c>
      <c r="V929" s="256" t="e">
        <f t="shared" si="156"/>
        <v>#N/A</v>
      </c>
      <c r="W929" s="263" t="e">
        <f t="shared" si="157"/>
        <v>#N/A</v>
      </c>
      <c r="X929" s="68"/>
      <c r="Y929" s="68"/>
      <c r="Z929" s="68"/>
      <c r="AA929" s="68"/>
      <c r="AB929" s="68"/>
      <c r="AC929" s="68"/>
      <c r="AD929" s="68"/>
      <c r="AE929" s="68"/>
      <c r="AF929" s="68"/>
      <c r="AG929" s="68"/>
      <c r="AH929" s="68"/>
      <c r="AI929" s="68"/>
      <c r="AJ929" s="68" t="e">
        <v>#N/A</v>
      </c>
      <c r="AL929" s="68" t="e">
        <v>#N/A</v>
      </c>
      <c r="AM929" s="68"/>
      <c r="AN929" s="68"/>
      <c r="AZ929" s="68"/>
      <c r="BB929" s="68"/>
      <c r="BC929" s="68"/>
      <c r="BJ929" s="68"/>
      <c r="BT929" t="e">
        <v>#N/A</v>
      </c>
      <c r="BV929" t="e">
        <v>#N/A</v>
      </c>
      <c r="BX929" s="68"/>
      <c r="BY929" s="68" t="e">
        <v>#N/A</v>
      </c>
      <c r="BZ929" s="68">
        <v>1</v>
      </c>
      <c r="CA929" s="68">
        <v>1</v>
      </c>
      <c r="CB929" s="68">
        <v>1</v>
      </c>
      <c r="CC929" s="68">
        <f t="shared" si="158"/>
        <v>1</v>
      </c>
      <c r="CD929" s="68">
        <f t="shared" si="159"/>
        <v>1</v>
      </c>
    </row>
    <row r="930" spans="1:82" ht="15.75" thickBot="1" x14ac:dyDescent="0.3">
      <c r="A930" s="12">
        <v>929</v>
      </c>
      <c r="B930" s="91"/>
      <c r="C930" s="91"/>
      <c r="D930" s="91"/>
      <c r="E930" s="92"/>
      <c r="F930" s="92"/>
      <c r="G930" s="92"/>
      <c r="H930" s="92"/>
      <c r="I930" s="93"/>
      <c r="J930" s="92"/>
      <c r="K930" s="251" t="str">
        <f>IFERROR(VLOOKUP(C930,Schedule!$T$3:$U$34,2,0),"FA")</f>
        <v>FA</v>
      </c>
      <c r="L930" s="91" t="str">
        <f>D930&amp;COUNTIF(D$2:$D930,D930)</f>
        <v>0</v>
      </c>
      <c r="M930" s="92">
        <f t="array" ref="M930">IFERROR(F930-AVERAGE(VLOOKUP(D930,$D$885:$F930,3,0),INDEX($F$885:$F930,SMALL(IF(D930=$D$885:$D930,ROW($D$885:$D930)-ROW(D930)),2))),0)</f>
        <v>0</v>
      </c>
      <c r="N930" s="92">
        <f>IFERROR(IF(VLOOKUP($B930,Input!$AC$2:$AC$162,1,0)=$B930,0),F930)</f>
        <v>0</v>
      </c>
      <c r="O930" s="92">
        <f>IFERROR(IF(VLOOKUP($B930,Input!$AC$2:$AC$162,1,0)=$B930,0,G930),G930)</f>
        <v>0</v>
      </c>
      <c r="P930" s="92">
        <f>IF(N930=0,0,F930-AVERAGE(INDEX(F:F,MATCH(VLOOKUP(D930,Input!$A$14:$L$22,10,0),L:L,0)),INDEX(F:F,MATCH(VLOOKUP(D930,Input!$A$14:$L$22,11,0),L:L,0)),INDEX(F:F,MATCH(VLOOKUP(D930,Input!$A$14:$L$22,12,0),L:L,0)))+(0.01-ROW()*0.01))</f>
        <v>0</v>
      </c>
      <c r="Q930" s="109">
        <f t="shared" si="154"/>
        <v>0</v>
      </c>
      <c r="R930" s="93" t="e">
        <f>IF(VLOOKUP($D930,$X$14:$Y$19,2,0)&lt;=0,1,IF(Q930&lt;0,1,ROUNDUP(IF(Q930*('Draft Center'!$L$28+'Draft Center'!$L$78-'Draft Center'!$L$82)&lt;1,1,Q930*('Draft Center'!$L$28+'Draft Center'!$L$78-'Draft Center'!$L$82)),0)))</f>
        <v>#N/A</v>
      </c>
      <c r="S930" s="93" t="e">
        <f>IF(A930&lt;Input!$B$10+0.1,IF(ROUNDUP(R930*Input!$C$10,0)=0,1,ROUNDUP(R930*Input!$C$10,0)),IF(A930&gt;Input!$B$11,IF(ROUNDUP(R930*Input!$C$11,0)=0,1,ROUNDUP(R930*Input!$C$11,0)),IF(ROUNDUP(R930,0)=0,1,ROUNDUP(R930,0))))</f>
        <v>#N/A</v>
      </c>
      <c r="T930" s="93" t="e">
        <f t="shared" si="155"/>
        <v>#N/A</v>
      </c>
      <c r="U930" s="93">
        <f>IFERROR(VLOOKUP($B930,Input!$AC$2:$AE$161,3,0),0)</f>
        <v>0</v>
      </c>
      <c r="V930" s="259" t="e">
        <f t="shared" si="156"/>
        <v>#N/A</v>
      </c>
      <c r="W930" s="268" t="e">
        <f t="shared" si="157"/>
        <v>#N/A</v>
      </c>
      <c r="X930" s="68"/>
      <c r="Y930" s="68"/>
      <c r="Z930" s="68"/>
      <c r="AA930" s="68"/>
      <c r="AB930" s="68"/>
      <c r="AC930" s="68"/>
      <c r="AD930" s="68"/>
      <c r="AE930" s="68"/>
      <c r="AF930" s="68"/>
      <c r="AG930" s="68"/>
      <c r="AH930" s="68"/>
      <c r="AI930" s="68"/>
      <c r="AJ930" s="68" t="e">
        <v>#N/A</v>
      </c>
      <c r="AL930" s="68" t="e">
        <v>#N/A</v>
      </c>
      <c r="AM930" s="68"/>
      <c r="AN930" s="68"/>
      <c r="AZ930" s="68"/>
      <c r="BB930" s="68"/>
      <c r="BC930" s="68"/>
      <c r="BJ930" s="68"/>
      <c r="BT930" t="e">
        <v>#N/A</v>
      </c>
      <c r="BV930" t="e">
        <v>#N/A</v>
      </c>
      <c r="BX930" s="68"/>
      <c r="BY930" s="68" t="e">
        <v>#N/A</v>
      </c>
      <c r="BZ930" s="68">
        <v>1</v>
      </c>
      <c r="CA930" s="68">
        <v>1</v>
      </c>
      <c r="CB930" s="68">
        <v>1</v>
      </c>
      <c r="CC930" s="68">
        <f t="shared" si="158"/>
        <v>1</v>
      </c>
      <c r="CD930" s="68">
        <f t="shared" si="159"/>
        <v>1</v>
      </c>
    </row>
  </sheetData>
  <autoFilter ref="A1:AI2433"/>
  <mergeCells count="7">
    <mergeCell ref="AO1:AP1"/>
    <mergeCell ref="AO19:AP19"/>
    <mergeCell ref="AO14:AP14"/>
    <mergeCell ref="AO15:AP15"/>
    <mergeCell ref="AO16:AP16"/>
    <mergeCell ref="AO17:AP17"/>
    <mergeCell ref="AO18:AP18"/>
  </mergeCells>
  <conditionalFormatting sqref="U2:U884">
    <cfRule type="expression" dxfId="32" priority="49">
      <formula>IF(AA2=1,1,0)</formula>
    </cfRule>
  </conditionalFormatting>
  <conditionalFormatting sqref="U885:U929">
    <cfRule type="expression" dxfId="31" priority="20">
      <formula>IF(AA885=1,1,0)</formula>
    </cfRule>
  </conditionalFormatting>
  <conditionalFormatting sqref="U930">
    <cfRule type="expression" dxfId="30" priority="7">
      <formula>IF(AA930=1,1,0)</formula>
    </cfRule>
  </conditionalFormatting>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expression" priority="41" id="{68517490-9543-4C52-A7BF-3105754167F8}">
            <xm:f>IF(L2=Input!$J$14,1,0)</xm:f>
            <x14:dxf>
              <font>
                <color rgb="FFFF0000"/>
              </font>
              <fill>
                <patternFill>
                  <bgColor rgb="FFFED5D4"/>
                </patternFill>
              </fill>
            </x14:dxf>
          </x14:cfRule>
          <xm:sqref>L5 L7 L9 L11 L13 L15 L17 L19 L21 L23 L25 L27 L29 L31 L33 L35 L37 L39 L41 L43 L45 L47 L49 L51 L53 L55 L57 L59 L61 L63 L65 L67 L69 L71 L73 L75 L77 L79 L81 L83 L85 L87 L89 L91 L93 L95 L97 L99 L101 L103 L105 L107 L109 L111 L113 L115 L117 L119 L121 L123 L125 L127 L129 L131 L133 L135 L137 L139 L141 L143 L145 L147 L149 L151 L153 L155 L157 L159 L161 L163 L165 L167 L169 L171 L173 L175 L177 L179 L181 L183 L185 L187 L189 L191 L193 L195 L197 L199 L201 L203 L205 L207 L209 L211 L213 L215 L217 L219 L221 L223 L225 L227 L229 L231 L233 L235 L237 L239 L241 L243 L245 L247 L249 L251 L253 L255 L257 L259 L261 L263 L265 L267 L269 L271 L273 L275 L277 L279 L281 L283 L285 L287 L289 L291 L293 L295 L297 L299 L301 L303 L305 L307 L309 L311 L313 L315 L317 L319 L321 L323 L325 L327 L329 L331 L333 L335 L337 L339 L341 L343 L345 L347 L349 L351 L353 L355 L357 L359 L361 L363 L365 L367 L369 L371 L373 L375 L377 L379 L381 L383 L385 L387 L389 L391 L393 L395 L397 L399 L401 L403 L405 L407 L409 L411 L413 L415 L417 L419 L421 L423 L425 L427 L429 L431 L433 L435 L437 L439 L441 L443 L445 L447 L449 L451 L453 L455 L457 L459 L461 L463 L465 L467 L469 L471 L473 L475 L477 L479 L481 L483 L485 L487 L489 L491 L493 L495 L497 L499 L501 L503 L505 L507 L509 L511 L513 L515 L517 L519 L521 L523 L525 L527 L529 L531 L533 L535 L537 L539 L541 L543 L545 L547 L549 L551 L553 L555 L557 L559 L561 L563 L565 L567 L569 L571 L573 L575 L577 L579 L581 L583 L585 L587 L589 L591 L593 L595 L597 L599 L601 L603 L605 L607 L609 L611 L613 L615 L617 L619 L621 L623 L625 L627 L629 L631 L633 L635 L637 L639 L641 L643 L645 L647 L649 L651 L653 L655 L657 L659 L661 L663 L665 L667 L669 L671 L673 L675 L677 L679 L681 L683 L685 L687 L689 L691 L693 L695 L697 L699 L701 L703 L705 L707 L709 L711 L713 L715 L717 L719 L721 L723 L725 L727 L729 L731 L733 L735 L737 L739 L741 L743 L745 L747 L749 L751 L753 L755 L757 L759 L761 L763 L765 L767 L769 L771 L773 L775 L777 L779 L781 L783 L785 L787 L789 L791 L793 L795 L797 L799 L801 L803 L805 L807 L809 L811 L813 L815 L817 L819 L821 L823 L825 L827 L829 L831 L833 L835 L837 L839 L841 L843 L845 L847 L849 L851 L853 L855 L857 L859 L861 L863 L865 L867 L869 L871 L873 L875 L877 L879 L881 L883 L2:L3</xm:sqref>
        </x14:conditionalFormatting>
        <x14:conditionalFormatting xmlns:xm="http://schemas.microsoft.com/office/excel/2006/main">
          <x14:cfRule type="expression" priority="40" id="{98D2BB98-E269-4643-A058-56BBDF4F8ABA}">
            <xm:f>IF(L4=Input!$J$14,1,0)</xm:f>
            <x14:dxf>
              <font>
                <color rgb="FFFF0000"/>
              </font>
              <fill>
                <patternFill>
                  <bgColor rgb="FFFFD3D3"/>
                </patternFill>
              </fill>
            </x14:dxf>
          </x14:cfRule>
          <xm:sqref>L4 L6 L8 L10 L12 L14 L16 L18 L20 L22 L24 L26 L28 L30 L32 L34 L36 L38 L40 L42 L44 L46 L48 L50 L52 L54 L56 L58 L60 L62 L64 L66 L68 L70 L72 L74 L76 L78 L80 L82 L84 L86 L88 L90 L92 L94 L96 L98 L100 L102 L104 L106 L108 L110 L112 L114 L116 L118 L120 L122 L124 L126 L128 L130 L132 L134 L136 L138 L140 L142 L144 L146 L148 L150 L152 L154 L156 L158 L160 L162 L164 L166 L168 L170 L172 L174 L176 L178 L180 L182 L184 L186 L188 L190 L192 L194 L196 L198 L200 L202 L204 L206 L208 L210 L212 L214 L216 L218 L220 L222 L224 L226 L228 L230 L232 L234 L236 L238 L240 L242 L244 L246 L248 L250 L252 L254 L256 L258 L260 L262 L264 L266 L268 L270 L272 L274 L276 L278 L280 L282 L284 L286 L288 L290 L292 L294 L296 L298 L300 L302 L304 L306 L308 L310 L312 L314 L316 L318 L320 L322 L324 L326 L328 L330 L332 L334 L336 L338 L340 L342 L344 L346 L348 L350 L352 L354 L356 L358 L360 L362 L364 L366 L368 L370 L372 L374 L376 L378 L380 L382 L384 L386 L388 L390 L392 L394 L396 L398 L400 L402 L404 L406 L408 L410 L412 L414 L416 L418 L420 L422 L424 L426 L428 L430 L432 L434 L436 L438 L440 L442 L444 L446 L448 L450 L452 L454 L456 L458 L460 L462 L464 L466 L468 L470 L472 L474 L476 L478 L480 L482 L484 L486 L488 L490 L492 L494 L496 L498 L500 L502 L504 L506 L508 L510 L512 L514 L516 L518 L520 L522 L524 L526 L528 L530 L532 L534 L536 L538 L540 L542 L544 L546 L548 L550 L552 L554 L556 L558 L560 L562 L564 L566 L568 L570 L572 L574 L576 L578 L580 L582 L584 L586 L588 L590 L592 L594 L596 L598 L600 L602 L604 L606 L608 L610 L612 L614 L616 L618 L620 L622 L624 L626 L628 L630 L632 L634 L636 L638 L640 L642 L644 L646 L648 L650 L652 L654 L656 L658 L660 L662 L664 L666 L668 L670 L672 L674 L676 L678 L680 L682 L684 L686 L688 L690 L692 L694 L696 L698 L700 L702 L704 L706 L708 L710 L712 L714 L716 L718 L720 L722 L724 L726 L728 L730 L732 L734 L736 L738 L740 L742 L744 L746 L748 L750 L752 L754 L756 L758 L760 L762 L764 L766 L768 L770 L772 L774 L776 L778 L780 L782 L784 L786 L788 L790 L792 L794 L796 L798 L800 L802 L804 L806 L808 L810 L812 L814 L816 L818 L820 L822 L824 L826 L828 L830 L832 L834 L836 L838 L840 L842 L844 L846 L848 L850 L852 L854 L856 L858 L860 L862 L864 L866 L868 L870 L872 L874 L876 L878 L880 L882 L884</xm:sqref>
        </x14:conditionalFormatting>
        <x14:conditionalFormatting xmlns:xm="http://schemas.microsoft.com/office/excel/2006/main">
          <x14:cfRule type="expression" priority="39" id="{82A6C4B7-538A-4B16-A9D6-94D4C0B4A062}">
            <xm:f>IF(L2=Input!$J$15,1,0)</xm:f>
            <x14:dxf>
              <font>
                <color rgb="FFFF0000"/>
              </font>
              <fill>
                <patternFill>
                  <bgColor rgb="FFFFD3D3"/>
                </patternFill>
              </fill>
            </x14:dxf>
          </x14:cfRule>
          <xm:sqref>L5 L7 L9 L11 L13 L15 L17 L19 L21 L23 L25 L27 L29 L31 L33 L35 L37 L39 L41 L43 L45 L47 L49 L51 L53 L55 L57 L59 L61 L63 L65 L67 L69 L71 L73 L75 L77 L79 L81 L83 L85 L87 L89 L91 L93 L95 L97 L99 L101 L103 L105 L107 L109 L111 L113 L115 L117 L119 L121 L123 L125 L127 L129 L131 L133 L135 L137 L139 L141 L143 L145 L147 L149 L151 L153 L155 L157 L159 L161 L163 L165 L167 L169 L171 L173 L175 L177 L179 L181 L183 L185 L187 L189 L191 L193 L195 L197 L199 L201 L203 L205 L207 L209 L211 L213 L215 L217 L219 L221 L223 L225 L227 L229 L231 L233 L235 L237 L239 L241 L243 L245 L247 L249 L251 L253 L255 L257 L259 L261 L263 L265 L267 L269 L271 L273 L275 L277 L279 L281 L283 L285 L287 L289 L291 L293 L295 L297 L299 L301 L303 L305 L307 L309 L311 L313 L315 L317 L319 L321 L323 L325 L327 L329 L331 L333 L335 L337 L339 L341 L343 L345 L347 L349 L351 L353 L355 L357 L359 L361 L363 L365 L367 L369 L371 L373 L375 L377 L379 L381 L383 L385 L387 L389 L391 L393 L395 L397 L399 L401 L403 L405 L407 L409 L411 L413 L415 L417 L419 L421 L423 L425 L427 L429 L431 L433 L435 L437 L439 L441 L443 L445 L447 L449 L451 L453 L455 L457 L459 L461 L463 L465 L467 L469 L471 L473 L475 L477 L479 L481 L483 L485 L487 L489 L491 L493 L495 L497 L499 L501 L503 L505 L507 L509 L511 L513 L515 L517 L519 L521 L523 L525 L527 L529 L531 L533 L535 L537 L539 L541 L543 L545 L547 L549 L551 L553 L555 L557 L559 L561 L563 L565 L567 L569 L571 L573 L575 L577 L579 L581 L583 L585 L587 L589 L591 L593 L595 L597 L599 L601 L603 L605 L607 L609 L611 L613 L615 L617 L619 L621 L623 L625 L627 L629 L631 L633 L635 L637 L639 L641 L643 L645 L647 L649 L651 L653 L655 L657 L659 L661 L663 L665 L667 L669 L671 L673 L675 L677 L679 L681 L683 L685 L687 L689 L691 L693 L695 L697 L699 L701 L703 L705 L707 L709 L711 L713 L715 L717 L719 L721 L723 L725 L727 L729 L731 L733 L735 L737 L739 L741 L743 L745 L747 L749 L751 L753 L755 L757 L759 L761 L763 L765 L767 L769 L771 L773 L775 L777 L779 L781 L783 L785 L787 L789 L791 L793 L795 L797 L799 L801 L803 L805 L807 L809 L811 L813 L815 L817 L819 L821 L823 L825 L827 L829 L831 L833 L835 L837 L839 L841 L843 L845 L847 L849 L851 L853 L855 L857 L859 L861 L863 L865 L867 L869 L871 L873 L875 L877 L879 L881 L883 L2:L3</xm:sqref>
        </x14:conditionalFormatting>
        <x14:conditionalFormatting xmlns:xm="http://schemas.microsoft.com/office/excel/2006/main">
          <x14:cfRule type="expression" priority="38" id="{9A344778-7D0F-4435-BC6C-5E192BE29DAB}">
            <xm:f>IF(L4=Input!$J$15,1,0)</xm:f>
            <x14:dxf>
              <font>
                <color rgb="FFFF0000"/>
              </font>
              <fill>
                <patternFill>
                  <bgColor rgb="FFFFD4D3"/>
                </patternFill>
              </fill>
            </x14:dxf>
          </x14:cfRule>
          <xm:sqref>L4 L6 L8 L10 L12 L14 L16 L18 L20 L22 L24 L26 L28 L30 L32 L34 L36 L38 L40 L42 L44 L46 L48 L50 L52 L54 L56 L58 L60 L62 L64 L66 L68 L70 L72 L74 L76 L78 L80 L82 L84 L86 L88 L90 L92 L94 L96 L98 L100 L102 L104 L106 L108 L110 L112 L114 L116 L118 L120 L122 L124 L126 L128 L130 L132 L134 L136 L138 L140 L142 L144 L146 L148 L150 L152 L154 L156 L158 L160 L162 L164 L166 L168 L170 L172 L174 L176 L178 L180 L182 L184 L186 L188 L190 L192 L194 L196 L198 L200 L202 L204 L206 L208 L210 L212 L214 L216 L218 L220 L222 L224 L226 L228 L230 L232 L234 L236 L238 L240 L242 L244 L246 L248 L250 L252 L254 L256 L258 L260 L262 L264 L266 L268 L270 L272 L274 L276 L278 L280 L282 L284 L286 L288 L290 L292 L294 L296 L298 L300 L302 L304 L306 L308 L310 L312 L314 L316 L318 L320 L322 L324 L326 L328 L330 L332 L334 L336 L338 L340 L342 L344 L346 L348 L350 L352 L354 L356 L358 L360 L362 L364 L366 L368 L370 L372 L374 L376 L378 L380 L382 L384 L386 L388 L390 L392 L394 L396 L398 L400 L402 L404 L406 L408 L410 L412 L414 L416 L418 L420 L422 L424 L426 L428 L430 L432 L434 L436 L438 L440 L442 L444 L446 L448 L450 L452 L454 L456 L458 L460 L462 L464 L466 L468 L470 L472 L474 L476 L478 L480 L482 L484 L486 L488 L490 L492 L494 L496 L498 L500 L502 L504 L506 L508 L510 L512 L514 L516 L518 L520 L522 L524 L526 L528 L530 L532 L534 L536 L538 L540 L542 L544 L546 L548 L550 L552 L554 L556 L558 L560 L562 L564 L566 L568 L570 L572 L574 L576 L578 L580 L582 L584 L586 L588 L590 L592 L594 L596 L598 L600 L602 L604 L606 L608 L610 L612 L614 L616 L618 L620 L622 L624 L626 L628 L630 L632 L634 L636 L638 L640 L642 L644 L646 L648 L650 L652 L654 L656 L658 L660 L662 L664 L666 L668 L670 L672 L674 L676 L678 L680 L682 L684 L686 L688 L690 L692 L694 L696 L698 L700 L702 L704 L706 L708 L710 L712 L714 L716 L718 L720 L722 L724 L726 L728 L730 L732 L734 L736 L738 L740 L742 L744 L746 L748 L750 L752 L754 L756 L758 L760 L762 L764 L766 L768 L770 L772 L774 L776 L778 L780 L782 L784 L786 L788 L790 L792 L794 L796 L798 L800 L802 L804 L806 L808 L810 L812 L814 L816 L818 L820 L822 L824 L826 L828 L830 L832 L834 L836 L838 L840 L842 L844 L846 L848 L850 L852 L854 L856 L858 L860 L862 L864 L866 L868 L870 L872 L874 L876 L878 L880 L882 L884</xm:sqref>
        </x14:conditionalFormatting>
        <x14:conditionalFormatting xmlns:xm="http://schemas.microsoft.com/office/excel/2006/main">
          <x14:cfRule type="expression" priority="33" id="{C634B199-804E-4450-A068-8FB206FB7EA9}">
            <xm:f>IF(L2=Input!$J$19,1,0)</xm:f>
            <x14:dxf>
              <font>
                <color rgb="FFFF0000"/>
              </font>
              <fill>
                <patternFill>
                  <bgColor rgb="FFFFD4D3"/>
                </patternFill>
              </fill>
            </x14:dxf>
          </x14:cfRule>
          <x14:cfRule type="expression" priority="34" id="{5046184F-0C1C-4A0C-92E5-0F07198B023A}">
            <xm:f>IF(L2=Input!$J$18,1,0)</xm:f>
            <x14:dxf>
              <font>
                <color rgb="FFFF0000"/>
              </font>
              <fill>
                <patternFill>
                  <bgColor rgb="FFFFD3D3"/>
                </patternFill>
              </fill>
            </x14:dxf>
          </x14:cfRule>
          <x14:cfRule type="expression" priority="35" id="{AD0FEBDA-8FE1-4363-ACA6-0E42226811CD}">
            <xm:f>IF(L2=Input!$J$17,1,0)</xm:f>
            <x14:dxf>
              <font>
                <color rgb="FFFF0000"/>
              </font>
              <fill>
                <patternFill>
                  <bgColor rgb="FFFFD7D3"/>
                </patternFill>
              </fill>
            </x14:dxf>
          </x14:cfRule>
          <x14:cfRule type="expression" priority="37" id="{F12EA487-5DBD-489C-9AF1-182D9AE58FF8}">
            <xm:f>IF(L2=Input!$J$16,1,0)</xm:f>
            <x14:dxf>
              <font>
                <color rgb="FFFF0000"/>
              </font>
              <fill>
                <patternFill>
                  <bgColor rgb="FFFFD6D3"/>
                </patternFill>
              </fill>
            </x14:dxf>
          </x14:cfRule>
          <xm:sqref>L5 L7 L9 L11 L13 L15 L17 L19 L21 L23 L25 L27 L29 L31 L33 L35 L37 L39 L41 L43 L45 L47 L49 L51 L53 L55 L57 L59 L61 L63 L65 L67 L69 L71 L73 L75 L77 L79 L81 L83 L85 L87 L89 L91 L93 L95 L97 L99 L101 L103 L105 L107 L109 L111 L113 L115 L117 L119 L121 L123 L125 L127 L129 L131 L133 L135 L137 L139 L141 L143 L145 L147 L149 L151 L153 L155 L157 L159 L161 L163 L165 L167 L169 L171 L173 L175 L177 L179 L181 L183 L185 L187 L189 L191 L193 L195 L197 L199 L201 L203 L205 L207 L209 L211 L213 L215 L217 L219 L221 L223 L225 L227 L229 L231 L233 L235 L237 L239 L241 L243 L245 L247 L249 L251 L253 L255 L257 L259 L261 L263 L265 L267 L269 L271 L273 L275 L277 L279 L281 L283 L285 L287 L289 L291 L293 L295 L297 L299 L301 L303 L305 L307 L309 L311 L313 L315 L317 L319 L321 L323 L325 L327 L329 L331 L333 L335 L337 L339 L341 L343 L345 L347 L349 L351 L353 L355 L357 L359 L361 L363 L365 L367 L369 L371 L373 L375 L377 L379 L381 L383 L385 L387 L389 L391 L393 L395 L397 L399 L401 L403 L405 L407 L409 L411 L413 L415 L417 L419 L421 L423 L425 L427 L429 L431 L433 L435 L437 L439 L441 L443 L445 L447 L449 L451 L453 L455 L457 L459 L461 L463 L465 L467 L469 L471 L473 L475 L477 L479 L481 L483 L485 L487 L489 L491 L493 L495 L497 L499 L501 L503 L505 L507 L509 L511 L513 L515 L517 L519 L521 L523 L525 L527 L529 L531 L533 L535 L537 L539 L541 L543 L545 L547 L549 L551 L553 L555 L557 L559 L561 L563 L565 L567 L569 L571 L573 L575 L577 L579 L581 L583 L585 L587 L589 L591 L593 L595 L597 L599 L601 L603 L605 L607 L609 L611 L613 L615 L617 L619 L621 L623 L625 L627 L629 L631 L633 L635 L637 L639 L641 L643 L645 L647 L649 L651 L653 L655 L657 L659 L661 L663 L665 L667 L669 L671 L673 L675 L677 L679 L681 L683 L685 L687 L689 L691 L693 L695 L697 L699 L701 L703 L705 L707 L709 L711 L713 L715 L717 L719 L721 L723 L725 L727 L729 L731 L733 L735 L737 L739 L741 L743 L745 L747 L749 L751 L753 L755 L757 L759 L761 L763 L765 L767 L769 L771 L773 L775 L777 L779 L781 L783 L785 L787 L789 L791 L793 L795 L797 L799 L801 L803 L805 L807 L809 L811 L813 L815 L817 L819 L821 L823 L825 L827 L829 L831 L833 L835 L837 L839 L841 L843 L845 L847 L849 L851 L853 L855 L857 L859 L861 L863 L865 L867 L869 L871 L873 L875 L877 L879 L881 L883 L2:L3</xm:sqref>
        </x14:conditionalFormatting>
        <x14:conditionalFormatting xmlns:xm="http://schemas.microsoft.com/office/excel/2006/main">
          <x14:cfRule type="expression" priority="30" id="{C4ED86AE-8548-4DF5-AF85-2310D8EB4275}">
            <xm:f>IF(L4=Input!$J$19,1,0)</xm:f>
            <x14:dxf>
              <font>
                <color rgb="FFFF0000"/>
              </font>
              <fill>
                <patternFill>
                  <bgColor rgb="FFFFD4D3"/>
                </patternFill>
              </fill>
            </x14:dxf>
          </x14:cfRule>
          <x14:cfRule type="expression" priority="31" id="{552DC05B-44BC-4497-BB8C-4CDE53CC431D}">
            <xm:f>IF(L4=Input!$J$18,1,0)</xm:f>
            <x14:dxf>
              <font>
                <color rgb="FFFF0000"/>
              </font>
              <fill>
                <patternFill>
                  <bgColor rgb="FFFFD6D3"/>
                </patternFill>
              </fill>
            </x14:dxf>
          </x14:cfRule>
          <x14:cfRule type="expression" priority="32" id="{74471F09-B90F-46A0-89F6-B288877B8669}">
            <xm:f>IF(L4=Input!$J$17,1,0)</xm:f>
            <x14:dxf>
              <font>
                <color rgb="FFFF0000"/>
              </font>
              <fill>
                <patternFill>
                  <bgColor rgb="FFFFD6D3"/>
                </patternFill>
              </fill>
            </x14:dxf>
          </x14:cfRule>
          <x14:cfRule type="expression" priority="36" id="{4D5F5418-5701-46CD-A619-1465D7A5B3F5}">
            <xm:f>IF(L4=Input!$J$16,1,0)</xm:f>
            <x14:dxf>
              <font>
                <color rgb="FFFF0000"/>
              </font>
              <fill>
                <patternFill>
                  <bgColor rgb="FFFFD4D3"/>
                </patternFill>
              </fill>
            </x14:dxf>
          </x14:cfRule>
          <xm:sqref>L4 L6 L8 L10 L12 L14 L16 L18 L20 L22 L24 L26 L28 L30 L32 L34 L36 L38 L40 L42 L44 L46 L48 L50 L52 L54 L56 L58 L60 L62 L64 L66 L68 L70 L72 L74 L76 L78 L80 L82 L84 L86 L88 L90 L92 L94 L96 L98 L100 L102 L104 L106 L108 L110 L112 L114 L116 L118 L120 L122 L124 L126 L128 L130 L132 L134 L136 L138 L140 L142 L144 L146 L148 L150 L152 L154 L156 L158 L160 L162 L164 L166 L168 L170 L172 L174 L176 L178 L180 L182 L184 L186 L188 L190 L192 L194 L196 L198 L200 L202 L204 L206 L208 L210 L212 L214 L216 L218 L220 L222 L224 L226 L228 L230 L232 L234 L236 L238 L240 L242 L244 L246 L248 L250 L252 L254 L256 L258 L260 L262 L264 L266 L268 L270 L272 L274 L276 L278 L280 L282 L284 L286 L288 L290 L292 L294 L296 L298 L300 L302 L304 L306 L308 L310 L312 L314 L316 L318 L320 L322 L324 L326 L328 L330 L332 L334 L336 L338 L340 L342 L344 L346 L348 L350 L352 L354 L356 L358 L360 L362 L364 L366 L368 L370 L372 L374 L376 L378 L380 L382 L384 L386 L388 L390 L392 L394 L396 L398 L400 L402 L404 L406 L408 L410 L412 L414 L416 L418 L420 L422 L424 L426 L428 L430 L432 L434 L436 L438 L440 L442 L444 L446 L448 L450 L452 L454 L456 L458 L460 L462 L464 L466 L468 L470 L472 L474 L476 L478 L480 L482 L484 L486 L488 L490 L492 L494 L496 L498 L500 L502 L504 L506 L508 L510 L512 L514 L516 L518 L520 L522 L524 L526 L528 L530 L532 L534 L536 L538 L540 L542 L544 L546 L548 L550 L552 L554 L556 L558 L560 L562 L564 L566 L568 L570 L572 L574 L576 L578 L580 L582 L584 L586 L588 L590 L592 L594 L596 L598 L600 L602 L604 L606 L608 L610 L612 L614 L616 L618 L620 L622 L624 L626 L628 L630 L632 L634 L636 L638 L640 L642 L644 L646 L648 L650 L652 L654 L656 L658 L660 L662 L664 L666 L668 L670 L672 L674 L676 L678 L680 L682 L684 L686 L688 L690 L692 L694 L696 L698 L700 L702 L704 L706 L708 L710 L712 L714 L716 L718 L720 L722 L724 L726 L728 L730 L732 L734 L736 L738 L740 L742 L744 L746 L748 L750 L752 L754 L756 L758 L760 L762 L764 L766 L768 L770 L772 L774 L776 L778 L780 L782 L784 L786 L788 L790 L792 L794 L796 L798 L800 L802 L804 L806 L808 L810 L812 L814 L816 L818 L820 L822 L824 L826 L828 L830 L832 L834 L836 L838 L840 L842 L844 L846 L848 L850 L852 L854 L856 L858 L860 L862 L864 L866 L868 L870 L872 L874 L876 L878 L880 L882 L884</xm:sqref>
        </x14:conditionalFormatting>
        <x14:conditionalFormatting xmlns:xm="http://schemas.microsoft.com/office/excel/2006/main">
          <x14:cfRule type="expression" priority="19" id="{9E3D65E7-940B-4D8E-B870-825F4C98D326}">
            <xm:f>IF(L885=Input!$J$14,1,0)</xm:f>
            <x14:dxf>
              <font>
                <color rgb="FFFF0000"/>
              </font>
              <fill>
                <patternFill>
                  <bgColor rgb="FFFED5D4"/>
                </patternFill>
              </fill>
            </x14:dxf>
          </x14:cfRule>
          <xm:sqref>L885 L887 L889 L891 L893 L895 L897 L899 L901 L903 L905 L907 L909 L911 L913 L915 L917 L919 L921 L923 L925 L927 L929</xm:sqref>
        </x14:conditionalFormatting>
        <x14:conditionalFormatting xmlns:xm="http://schemas.microsoft.com/office/excel/2006/main">
          <x14:cfRule type="expression" priority="18" id="{A4EB3009-DB3A-4EEB-B577-8FE867B12A78}">
            <xm:f>IF(L886=Input!$J$14,1,0)</xm:f>
            <x14:dxf>
              <font>
                <color rgb="FFFF0000"/>
              </font>
              <fill>
                <patternFill>
                  <bgColor rgb="FFFFD3D3"/>
                </patternFill>
              </fill>
            </x14:dxf>
          </x14:cfRule>
          <xm:sqref>L886 L888 L890 L892 L894 L896 L898 L900 L902 L904 L906 L908 L910 L912 L914 L916 L918 L920 L922 L924 L926 L928</xm:sqref>
        </x14:conditionalFormatting>
        <x14:conditionalFormatting xmlns:xm="http://schemas.microsoft.com/office/excel/2006/main">
          <x14:cfRule type="expression" priority="17" id="{41AA3938-5E19-4D7B-8E03-61BF6282307C}">
            <xm:f>IF(L885=Input!$J$15,1,0)</xm:f>
            <x14:dxf>
              <font>
                <color rgb="FFFF0000"/>
              </font>
              <fill>
                <patternFill>
                  <bgColor rgb="FFFFD3D3"/>
                </patternFill>
              </fill>
            </x14:dxf>
          </x14:cfRule>
          <xm:sqref>L885 L887 L889 L891 L893 L895 L897 L899 L901 L903 L905 L907 L909 L911 L913 L915 L917 L919 L921 L923 L925 L927 L929</xm:sqref>
        </x14:conditionalFormatting>
        <x14:conditionalFormatting xmlns:xm="http://schemas.microsoft.com/office/excel/2006/main">
          <x14:cfRule type="expression" priority="16" id="{9C32AF44-7315-4ECC-9055-6A4D78921DDA}">
            <xm:f>IF(L886=Input!$J$15,1,0)</xm:f>
            <x14:dxf>
              <font>
                <color rgb="FFFF0000"/>
              </font>
              <fill>
                <patternFill>
                  <bgColor rgb="FFFFD4D3"/>
                </patternFill>
              </fill>
            </x14:dxf>
          </x14:cfRule>
          <xm:sqref>L886 L888 L890 L892 L894 L896 L898 L900 L902 L904 L906 L908 L910 L912 L914 L916 L918 L920 L922 L924 L926 L928</xm:sqref>
        </x14:conditionalFormatting>
        <x14:conditionalFormatting xmlns:xm="http://schemas.microsoft.com/office/excel/2006/main">
          <x14:cfRule type="expression" priority="11" id="{CAED6202-0D5D-41E8-91D9-B89F50CBE949}">
            <xm:f>IF(L885=Input!$J$19,1,0)</xm:f>
            <x14:dxf>
              <font>
                <color rgb="FFFF0000"/>
              </font>
              <fill>
                <patternFill>
                  <bgColor rgb="FFFFD4D3"/>
                </patternFill>
              </fill>
            </x14:dxf>
          </x14:cfRule>
          <x14:cfRule type="expression" priority="12" id="{63A2EB18-2F13-4F93-9107-8C6F955EDB75}">
            <xm:f>IF(L885=Input!$J$18,1,0)</xm:f>
            <x14:dxf>
              <font>
                <color rgb="FFFF0000"/>
              </font>
              <fill>
                <patternFill>
                  <bgColor rgb="FFFFD3D3"/>
                </patternFill>
              </fill>
            </x14:dxf>
          </x14:cfRule>
          <x14:cfRule type="expression" priority="13" id="{F0E87A43-34F6-40B0-AC60-2D08CEC2EBD2}">
            <xm:f>IF(L885=Input!$J$17,1,0)</xm:f>
            <x14:dxf>
              <font>
                <color rgb="FFFF0000"/>
              </font>
              <fill>
                <patternFill>
                  <bgColor rgb="FFFFD7D3"/>
                </patternFill>
              </fill>
            </x14:dxf>
          </x14:cfRule>
          <x14:cfRule type="expression" priority="15" id="{75EBD42D-6FBF-4942-B85C-6B27D861D550}">
            <xm:f>IF(L885=Input!$J$16,1,0)</xm:f>
            <x14:dxf>
              <font>
                <color rgb="FFFF0000"/>
              </font>
              <fill>
                <patternFill>
                  <bgColor rgb="FFFFD6D3"/>
                </patternFill>
              </fill>
            </x14:dxf>
          </x14:cfRule>
          <xm:sqref>L885 L887 L889 L891 L893 L895 L897 L899 L901 L903 L905 L907 L909 L911 L913 L915 L917 L919 L921 L923 L925 L927 L929</xm:sqref>
        </x14:conditionalFormatting>
        <x14:conditionalFormatting xmlns:xm="http://schemas.microsoft.com/office/excel/2006/main">
          <x14:cfRule type="expression" priority="8" id="{0A1BD0E5-A7C9-4114-BC62-280A6279721E}">
            <xm:f>IF(L886=Input!$J$19,1,0)</xm:f>
            <x14:dxf>
              <font>
                <color rgb="FFFF0000"/>
              </font>
              <fill>
                <patternFill>
                  <bgColor rgb="FFFFD4D3"/>
                </patternFill>
              </fill>
            </x14:dxf>
          </x14:cfRule>
          <x14:cfRule type="expression" priority="9" id="{154AF999-EEBD-40B6-8615-3A2F15DD3C80}">
            <xm:f>IF(L886=Input!$J$18,1,0)</xm:f>
            <x14:dxf>
              <font>
                <color rgb="FFFF0000"/>
              </font>
              <fill>
                <patternFill>
                  <bgColor rgb="FFFFD6D3"/>
                </patternFill>
              </fill>
            </x14:dxf>
          </x14:cfRule>
          <x14:cfRule type="expression" priority="10" id="{EDF83769-E18C-455C-989A-F885635D9D38}">
            <xm:f>IF(L886=Input!$J$17,1,0)</xm:f>
            <x14:dxf>
              <font>
                <color rgb="FFFF0000"/>
              </font>
              <fill>
                <patternFill>
                  <bgColor rgb="FFFFD6D3"/>
                </patternFill>
              </fill>
            </x14:dxf>
          </x14:cfRule>
          <x14:cfRule type="expression" priority="14" id="{CB9601BB-D0D7-4959-8C71-86BDADCB2170}">
            <xm:f>IF(L886=Input!$J$16,1,0)</xm:f>
            <x14:dxf>
              <font>
                <color rgb="FFFF0000"/>
              </font>
              <fill>
                <patternFill>
                  <bgColor rgb="FFFFD4D3"/>
                </patternFill>
              </fill>
            </x14:dxf>
          </x14:cfRule>
          <xm:sqref>L886 L888 L890 L892 L894 L896 L898 L900 L902 L904 L906 L908 L910 L912 L914 L916 L918 L920 L922 L924 L926 L928</xm:sqref>
        </x14:conditionalFormatting>
        <x14:conditionalFormatting xmlns:xm="http://schemas.microsoft.com/office/excel/2006/main">
          <x14:cfRule type="expression" priority="6" id="{2FD1B409-782C-4AC3-951D-46D61D44F1F8}">
            <xm:f>IF(L930=Input!$J$14,1,0)</xm:f>
            <x14:dxf>
              <font>
                <color rgb="FFFF0000"/>
              </font>
              <fill>
                <patternFill>
                  <bgColor rgb="FFFFD3D3"/>
                </patternFill>
              </fill>
            </x14:dxf>
          </x14:cfRule>
          <xm:sqref>L930</xm:sqref>
        </x14:conditionalFormatting>
        <x14:conditionalFormatting xmlns:xm="http://schemas.microsoft.com/office/excel/2006/main">
          <x14:cfRule type="expression" priority="5" id="{171ADA4A-8CD1-4102-8ADD-ADDB8889E22F}">
            <xm:f>IF(L930=Input!$J$15,1,0)</xm:f>
            <x14:dxf>
              <font>
                <color rgb="FFFF0000"/>
              </font>
              <fill>
                <patternFill>
                  <bgColor rgb="FFFFD4D3"/>
                </patternFill>
              </fill>
            </x14:dxf>
          </x14:cfRule>
          <xm:sqref>L930</xm:sqref>
        </x14:conditionalFormatting>
        <x14:conditionalFormatting xmlns:xm="http://schemas.microsoft.com/office/excel/2006/main">
          <x14:cfRule type="expression" priority="1" id="{720E2869-73DB-4A17-9469-5969737DD7A2}">
            <xm:f>IF(L930=Input!$J$19,1,0)</xm:f>
            <x14:dxf>
              <font>
                <color rgb="FFFF0000"/>
              </font>
              <fill>
                <patternFill>
                  <bgColor rgb="FFFFD4D3"/>
                </patternFill>
              </fill>
            </x14:dxf>
          </x14:cfRule>
          <x14:cfRule type="expression" priority="2" id="{96EE3406-AE40-44CA-BA99-9A6DE4351E32}">
            <xm:f>IF(L930=Input!$J$18,1,0)</xm:f>
            <x14:dxf>
              <font>
                <color rgb="FFFF0000"/>
              </font>
              <fill>
                <patternFill>
                  <bgColor rgb="FFFFD6D3"/>
                </patternFill>
              </fill>
            </x14:dxf>
          </x14:cfRule>
          <x14:cfRule type="expression" priority="3" id="{E10E43B5-0528-41D9-82B6-47DDF4B8E794}">
            <xm:f>IF(L930=Input!$J$17,1,0)</xm:f>
            <x14:dxf>
              <font>
                <color rgb="FFFF0000"/>
              </font>
              <fill>
                <patternFill>
                  <bgColor rgb="FFFFD6D3"/>
                </patternFill>
              </fill>
            </x14:dxf>
          </x14:cfRule>
          <x14:cfRule type="expression" priority="4" id="{9F7BCAB8-0EF8-462C-AA64-E192F5CAE1F4}">
            <xm:f>IF(L930=Input!$J$16,1,0)</xm:f>
            <x14:dxf>
              <font>
                <color rgb="FFFF0000"/>
              </font>
              <fill>
                <patternFill>
                  <bgColor rgb="FFFFD4D3"/>
                </patternFill>
              </fill>
            </x14:dxf>
          </x14:cfRule>
          <xm:sqref>L930</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U35"/>
  <sheetViews>
    <sheetView zoomScale="85" zoomScaleNormal="85" workbookViewId="0">
      <selection activeCell="T34" sqref="T34"/>
    </sheetView>
  </sheetViews>
  <sheetFormatPr defaultRowHeight="15" x14ac:dyDescent="0.25"/>
  <cols>
    <col min="2" max="2" width="6.140625" bestFit="1" customWidth="1"/>
    <col min="3" max="4" width="7.140625" bestFit="1" customWidth="1"/>
    <col min="5" max="5" width="6.7109375" bestFit="1" customWidth="1"/>
    <col min="6" max="6" width="7.140625" bestFit="1" customWidth="1"/>
    <col min="7" max="7" width="6.7109375" bestFit="1" customWidth="1"/>
    <col min="8" max="8" width="7.140625" bestFit="1" customWidth="1"/>
    <col min="9" max="9" width="6.7109375" bestFit="1" customWidth="1"/>
    <col min="10" max="10" width="7" bestFit="1" customWidth="1"/>
    <col min="11" max="11" width="6.7109375" bestFit="1" customWidth="1"/>
    <col min="12" max="13" width="7.140625" bestFit="1" customWidth="1"/>
    <col min="14" max="14" width="7" bestFit="1" customWidth="1"/>
    <col min="15" max="16" width="6.7109375" bestFit="1" customWidth="1"/>
    <col min="17" max="17" width="7.140625" bestFit="1" customWidth="1"/>
    <col min="18" max="18" width="7" bestFit="1" customWidth="1"/>
    <col min="19" max="19" width="7.140625" bestFit="1" customWidth="1"/>
    <col min="20" max="20" width="5.85546875" bestFit="1" customWidth="1"/>
    <col min="21" max="21" width="3" style="68" bestFit="1" customWidth="1"/>
  </cols>
  <sheetData>
    <row r="1" spans="2:21" ht="15.75" thickBot="1" x14ac:dyDescent="0.3">
      <c r="B1" s="64" t="s">
        <v>863</v>
      </c>
    </row>
    <row r="2" spans="2:21" ht="15.75" thickBot="1" x14ac:dyDescent="0.3">
      <c r="B2" s="62" t="s">
        <v>692</v>
      </c>
      <c r="C2" s="63">
        <v>1</v>
      </c>
      <c r="D2" s="63">
        <v>2</v>
      </c>
      <c r="E2" s="63">
        <v>3</v>
      </c>
      <c r="F2" s="63">
        <v>4</v>
      </c>
      <c r="G2" s="63">
        <v>5</v>
      </c>
      <c r="H2" s="63">
        <v>6</v>
      </c>
      <c r="I2" s="63">
        <v>7</v>
      </c>
      <c r="J2" s="63">
        <v>8</v>
      </c>
      <c r="K2" s="63">
        <v>9</v>
      </c>
      <c r="L2" s="63">
        <v>10</v>
      </c>
      <c r="M2" s="63">
        <v>11</v>
      </c>
      <c r="N2" s="63">
        <v>12</v>
      </c>
      <c r="O2" s="63">
        <v>13</v>
      </c>
      <c r="P2" s="63">
        <v>14</v>
      </c>
      <c r="Q2" s="63">
        <v>15</v>
      </c>
      <c r="R2" s="63">
        <v>16</v>
      </c>
      <c r="S2" s="63">
        <v>17</v>
      </c>
      <c r="T2" s="62" t="s">
        <v>2</v>
      </c>
      <c r="U2" s="61"/>
    </row>
    <row r="3" spans="2:21" x14ac:dyDescent="0.25">
      <c r="B3" s="56" t="s">
        <v>68</v>
      </c>
      <c r="C3" s="54" t="s">
        <v>694</v>
      </c>
      <c r="D3" s="54" t="s">
        <v>723</v>
      </c>
      <c r="E3" s="54" t="s">
        <v>35</v>
      </c>
      <c r="F3" s="54" t="s">
        <v>80</v>
      </c>
      <c r="G3" s="54" t="s">
        <v>699</v>
      </c>
      <c r="H3" s="54" t="s">
        <v>57</v>
      </c>
      <c r="I3" s="54" t="s">
        <v>924</v>
      </c>
      <c r="J3" s="54" t="s">
        <v>589</v>
      </c>
      <c r="K3" s="54" t="s">
        <v>698</v>
      </c>
      <c r="L3" s="54" t="s">
        <v>38</v>
      </c>
      <c r="M3" s="54" t="s">
        <v>724</v>
      </c>
      <c r="N3" s="54" t="s">
        <v>711</v>
      </c>
      <c r="O3" s="54" t="s">
        <v>925</v>
      </c>
      <c r="P3" s="54" t="s">
        <v>117</v>
      </c>
      <c r="Q3" s="54" t="s">
        <v>717</v>
      </c>
      <c r="R3" s="54" t="s">
        <v>27</v>
      </c>
      <c r="S3" s="54" t="s">
        <v>697</v>
      </c>
      <c r="T3" s="56" t="s">
        <v>841</v>
      </c>
      <c r="U3" s="19">
        <f>HLOOKUP("BYE",C3:S$35,36-ROW(),0)</f>
        <v>8</v>
      </c>
    </row>
    <row r="4" spans="2:21" x14ac:dyDescent="0.25">
      <c r="B4" s="56" t="s">
        <v>23</v>
      </c>
      <c r="C4" s="54" t="s">
        <v>693</v>
      </c>
      <c r="D4" s="54" t="s">
        <v>29</v>
      </c>
      <c r="E4" s="54" t="s">
        <v>694</v>
      </c>
      <c r="F4" s="54" t="s">
        <v>50</v>
      </c>
      <c r="G4" s="54" t="s">
        <v>589</v>
      </c>
      <c r="H4" s="54" t="s">
        <v>64</v>
      </c>
      <c r="I4" s="54" t="s">
        <v>715</v>
      </c>
      <c r="J4" s="54" t="s">
        <v>714</v>
      </c>
      <c r="K4" s="54" t="s">
        <v>706</v>
      </c>
      <c r="L4" s="54" t="s">
        <v>35</v>
      </c>
      <c r="M4" s="54" t="s">
        <v>697</v>
      </c>
      <c r="N4" s="54" t="s">
        <v>57</v>
      </c>
      <c r="O4" s="54" t="s">
        <v>33</v>
      </c>
      <c r="P4" s="54" t="s">
        <v>61</v>
      </c>
      <c r="Q4" s="54" t="s">
        <v>705</v>
      </c>
      <c r="R4" s="54" t="s">
        <v>703</v>
      </c>
      <c r="S4" s="54" t="s">
        <v>85</v>
      </c>
      <c r="T4" s="56" t="s">
        <v>846</v>
      </c>
      <c r="U4" s="19">
        <f>HLOOKUP("BYE",C4:S$35,36-ROW(),0)</f>
        <v>5</v>
      </c>
    </row>
    <row r="5" spans="2:21" x14ac:dyDescent="0.25">
      <c r="B5" s="56" t="s">
        <v>48</v>
      </c>
      <c r="C5" s="54" t="s">
        <v>713</v>
      </c>
      <c r="D5" s="54" t="s">
        <v>143</v>
      </c>
      <c r="E5" s="54" t="s">
        <v>707</v>
      </c>
      <c r="F5" s="54" t="s">
        <v>16</v>
      </c>
      <c r="G5" s="54" t="s">
        <v>709</v>
      </c>
      <c r="H5" s="54" t="s">
        <v>31</v>
      </c>
      <c r="I5" s="54" t="s">
        <v>720</v>
      </c>
      <c r="J5" s="54" t="s">
        <v>64</v>
      </c>
      <c r="K5" s="54" t="s">
        <v>704</v>
      </c>
      <c r="L5" s="54" t="s">
        <v>589</v>
      </c>
      <c r="M5" s="54" t="s">
        <v>719</v>
      </c>
      <c r="N5" s="54" t="s">
        <v>66</v>
      </c>
      <c r="O5" s="54" t="s">
        <v>36</v>
      </c>
      <c r="P5" s="54" t="s">
        <v>695</v>
      </c>
      <c r="Q5" s="54" t="s">
        <v>696</v>
      </c>
      <c r="R5" s="54" t="s">
        <v>52</v>
      </c>
      <c r="S5" s="54" t="s">
        <v>45</v>
      </c>
      <c r="T5" s="56" t="s">
        <v>842</v>
      </c>
      <c r="U5" s="19">
        <f>HLOOKUP("BYE",C5:S$35,36-ROW(),0)</f>
        <v>10</v>
      </c>
    </row>
    <row r="6" spans="2:21" x14ac:dyDescent="0.25">
      <c r="B6" s="56" t="s">
        <v>50</v>
      </c>
      <c r="C6" s="54" t="s">
        <v>93</v>
      </c>
      <c r="D6" s="54" t="s">
        <v>706</v>
      </c>
      <c r="E6" s="54" t="s">
        <v>21</v>
      </c>
      <c r="F6" s="54" t="s">
        <v>718</v>
      </c>
      <c r="G6" s="54" t="s">
        <v>713</v>
      </c>
      <c r="H6" s="54" t="s">
        <v>589</v>
      </c>
      <c r="I6" s="54" t="s">
        <v>57</v>
      </c>
      <c r="J6" s="54" t="s">
        <v>75</v>
      </c>
      <c r="K6" s="54" t="s">
        <v>714</v>
      </c>
      <c r="L6" s="54" t="s">
        <v>61</v>
      </c>
      <c r="M6" s="54" t="s">
        <v>926</v>
      </c>
      <c r="N6" s="54" t="s">
        <v>716</v>
      </c>
      <c r="O6" s="54" t="s">
        <v>42</v>
      </c>
      <c r="P6" s="54" t="s">
        <v>52</v>
      </c>
      <c r="Q6" s="54" t="s">
        <v>64</v>
      </c>
      <c r="R6" s="54" t="s">
        <v>715</v>
      </c>
      <c r="S6" s="54" t="s">
        <v>712</v>
      </c>
      <c r="T6" s="56" t="s">
        <v>855</v>
      </c>
      <c r="U6" s="19">
        <f>HLOOKUP("BYE",C6:S$35,36-ROW(),0)</f>
        <v>6</v>
      </c>
    </row>
    <row r="7" spans="2:21" x14ac:dyDescent="0.25">
      <c r="B7" s="56" t="s">
        <v>85</v>
      </c>
      <c r="C7" s="54" t="s">
        <v>698</v>
      </c>
      <c r="D7" s="54" t="s">
        <v>50</v>
      </c>
      <c r="E7" s="54" t="s">
        <v>61</v>
      </c>
      <c r="F7" s="54" t="s">
        <v>715</v>
      </c>
      <c r="G7" s="54" t="s">
        <v>694</v>
      </c>
      <c r="H7" s="54" t="s">
        <v>47</v>
      </c>
      <c r="I7" s="54" t="s">
        <v>693</v>
      </c>
      <c r="J7" s="54" t="s">
        <v>705</v>
      </c>
      <c r="K7" s="54" t="s">
        <v>23</v>
      </c>
      <c r="L7" s="54" t="s">
        <v>64</v>
      </c>
      <c r="M7" s="54" t="s">
        <v>589</v>
      </c>
      <c r="N7" s="54" t="s">
        <v>714</v>
      </c>
      <c r="O7" s="54" t="s">
        <v>703</v>
      </c>
      <c r="P7" s="54" t="s">
        <v>33</v>
      </c>
      <c r="Q7" s="54" t="s">
        <v>29</v>
      </c>
      <c r="R7" s="54" t="s">
        <v>57</v>
      </c>
      <c r="S7" s="54" t="s">
        <v>718</v>
      </c>
      <c r="T7" s="56" t="s">
        <v>851</v>
      </c>
      <c r="U7" s="19">
        <f>HLOOKUP("BYE",C7:S$35,36-ROW(),0)</f>
        <v>11</v>
      </c>
    </row>
    <row r="8" spans="2:21" x14ac:dyDescent="0.25">
      <c r="B8" s="56" t="s">
        <v>31</v>
      </c>
      <c r="C8" s="54" t="s">
        <v>23</v>
      </c>
      <c r="D8" s="54" t="s">
        <v>705</v>
      </c>
      <c r="E8" s="54" t="s">
        <v>16</v>
      </c>
      <c r="F8" s="54" t="s">
        <v>719</v>
      </c>
      <c r="G8" s="54" t="s">
        <v>33</v>
      </c>
      <c r="H8" s="54" t="s">
        <v>721</v>
      </c>
      <c r="I8" s="54" t="s">
        <v>85</v>
      </c>
      <c r="J8" s="54" t="s">
        <v>703</v>
      </c>
      <c r="K8" s="54" t="s">
        <v>589</v>
      </c>
      <c r="L8" s="54" t="s">
        <v>29</v>
      </c>
      <c r="M8" s="54" t="s">
        <v>36</v>
      </c>
      <c r="N8" s="54" t="s">
        <v>699</v>
      </c>
      <c r="O8" s="54" t="s">
        <v>80</v>
      </c>
      <c r="P8" s="54" t="s">
        <v>713</v>
      </c>
      <c r="Q8" s="54" t="s">
        <v>694</v>
      </c>
      <c r="R8" s="54" t="s">
        <v>143</v>
      </c>
      <c r="S8" s="54" t="s">
        <v>720</v>
      </c>
      <c r="T8" s="56" t="s">
        <v>858</v>
      </c>
      <c r="U8" s="19">
        <f>HLOOKUP("BYE",C8:S$35,36-ROW(),0)</f>
        <v>9</v>
      </c>
    </row>
    <row r="9" spans="2:21" x14ac:dyDescent="0.25">
      <c r="B9" s="56" t="s">
        <v>45</v>
      </c>
      <c r="C9" s="54" t="s">
        <v>48</v>
      </c>
      <c r="D9" s="54" t="s">
        <v>66</v>
      </c>
      <c r="E9" s="54" t="s">
        <v>719</v>
      </c>
      <c r="F9" s="54" t="s">
        <v>696</v>
      </c>
      <c r="G9" s="54" t="s">
        <v>50</v>
      </c>
      <c r="H9" s="54" t="s">
        <v>589</v>
      </c>
      <c r="I9" s="54" t="s">
        <v>695</v>
      </c>
      <c r="J9" s="54" t="s">
        <v>52</v>
      </c>
      <c r="K9" s="54" t="s">
        <v>707</v>
      </c>
      <c r="L9" s="54" t="s">
        <v>704</v>
      </c>
      <c r="M9" s="54" t="s">
        <v>708</v>
      </c>
      <c r="N9" s="54" t="s">
        <v>143</v>
      </c>
      <c r="O9" s="54" t="s">
        <v>16</v>
      </c>
      <c r="P9" s="54" t="s">
        <v>31</v>
      </c>
      <c r="Q9" s="54" t="s">
        <v>720</v>
      </c>
      <c r="R9" s="54" t="s">
        <v>36</v>
      </c>
      <c r="S9" s="54" t="s">
        <v>721</v>
      </c>
      <c r="T9" s="56" t="s">
        <v>843</v>
      </c>
      <c r="U9" s="19">
        <f>HLOOKUP("BYE",C9:S$35,36-ROW(),0)</f>
        <v>6</v>
      </c>
    </row>
    <row r="10" spans="2:21" x14ac:dyDescent="0.25">
      <c r="B10" s="56" t="s">
        <v>143</v>
      </c>
      <c r="C10" s="54" t="s">
        <v>16</v>
      </c>
      <c r="D10" s="54" t="s">
        <v>721</v>
      </c>
      <c r="E10" s="54" t="s">
        <v>723</v>
      </c>
      <c r="F10" s="54" t="s">
        <v>45</v>
      </c>
      <c r="G10" s="54" t="s">
        <v>93</v>
      </c>
      <c r="H10" s="54" t="s">
        <v>724</v>
      </c>
      <c r="I10" s="54" t="s">
        <v>117</v>
      </c>
      <c r="J10" s="54" t="s">
        <v>33</v>
      </c>
      <c r="K10" s="54" t="s">
        <v>589</v>
      </c>
      <c r="L10" s="54" t="s">
        <v>694</v>
      </c>
      <c r="M10" s="54" t="s">
        <v>711</v>
      </c>
      <c r="N10" s="54" t="s">
        <v>713</v>
      </c>
      <c r="O10" s="54" t="s">
        <v>926</v>
      </c>
      <c r="P10" s="54" t="s">
        <v>29</v>
      </c>
      <c r="Q10" s="54" t="s">
        <v>48</v>
      </c>
      <c r="R10" s="54" t="s">
        <v>693</v>
      </c>
      <c r="S10" s="54" t="s">
        <v>695</v>
      </c>
      <c r="T10" s="56" t="s">
        <v>852</v>
      </c>
      <c r="U10" s="19">
        <f>HLOOKUP("BYE",C10:S$35,36-ROW(),0)</f>
        <v>9</v>
      </c>
    </row>
    <row r="11" spans="2:21" x14ac:dyDescent="0.25">
      <c r="B11" s="56" t="s">
        <v>35</v>
      </c>
      <c r="C11" s="54" t="s">
        <v>27</v>
      </c>
      <c r="D11" s="54" t="s">
        <v>708</v>
      </c>
      <c r="E11" s="54" t="s">
        <v>710</v>
      </c>
      <c r="F11" s="54" t="s">
        <v>925</v>
      </c>
      <c r="G11" s="54" t="s">
        <v>29</v>
      </c>
      <c r="H11" s="54" t="s">
        <v>589</v>
      </c>
      <c r="I11" s="54" t="s">
        <v>698</v>
      </c>
      <c r="J11" s="54" t="s">
        <v>717</v>
      </c>
      <c r="K11" s="54" t="s">
        <v>25</v>
      </c>
      <c r="L11" s="54" t="s">
        <v>718</v>
      </c>
      <c r="M11" s="54" t="s">
        <v>47</v>
      </c>
      <c r="N11" s="54" t="s">
        <v>927</v>
      </c>
      <c r="O11" s="54" t="s">
        <v>702</v>
      </c>
      <c r="P11" s="54" t="s">
        <v>700</v>
      </c>
      <c r="Q11" s="54" t="s">
        <v>709</v>
      </c>
      <c r="R11" s="54" t="s">
        <v>38</v>
      </c>
      <c r="S11" s="54" t="s">
        <v>699</v>
      </c>
      <c r="T11" s="56" t="s">
        <v>857</v>
      </c>
      <c r="U11" s="19">
        <f>HLOOKUP("BYE",C11:S$35,36-ROW(),0)</f>
        <v>6</v>
      </c>
    </row>
    <row r="12" spans="2:21" x14ac:dyDescent="0.25">
      <c r="B12" s="56" t="s">
        <v>21</v>
      </c>
      <c r="C12" s="54" t="s">
        <v>927</v>
      </c>
      <c r="D12" s="54" t="s">
        <v>35</v>
      </c>
      <c r="E12" s="54" t="s">
        <v>722</v>
      </c>
      <c r="F12" s="54" t="s">
        <v>75</v>
      </c>
      <c r="G12" s="54" t="s">
        <v>589</v>
      </c>
      <c r="H12" s="54" t="s">
        <v>27</v>
      </c>
      <c r="I12" s="54" t="s">
        <v>926</v>
      </c>
      <c r="J12" s="54" t="s">
        <v>716</v>
      </c>
      <c r="K12" s="54" t="s">
        <v>699</v>
      </c>
      <c r="L12" s="54" t="s">
        <v>42</v>
      </c>
      <c r="M12" s="54" t="s">
        <v>45</v>
      </c>
      <c r="N12" s="54" t="s">
        <v>709</v>
      </c>
      <c r="O12" s="54" t="s">
        <v>712</v>
      </c>
      <c r="P12" s="54" t="s">
        <v>93</v>
      </c>
      <c r="Q12" s="54" t="s">
        <v>723</v>
      </c>
      <c r="R12" s="54" t="s">
        <v>717</v>
      </c>
      <c r="S12" s="54" t="s">
        <v>25</v>
      </c>
      <c r="T12" s="56" t="s">
        <v>860</v>
      </c>
      <c r="U12" s="19">
        <f>HLOOKUP("BYE",C12:S$35,36-ROW(),0)</f>
        <v>5</v>
      </c>
    </row>
    <row r="13" spans="2:21" x14ac:dyDescent="0.25">
      <c r="B13" s="56" t="s">
        <v>36</v>
      </c>
      <c r="C13" s="54" t="s">
        <v>68</v>
      </c>
      <c r="D13" s="54" t="s">
        <v>700</v>
      </c>
      <c r="E13" s="54" t="s">
        <v>23</v>
      </c>
      <c r="F13" s="54" t="s">
        <v>720</v>
      </c>
      <c r="G13" s="54" t="s">
        <v>85</v>
      </c>
      <c r="H13" s="54" t="s">
        <v>703</v>
      </c>
      <c r="I13" s="54" t="s">
        <v>589</v>
      </c>
      <c r="J13" s="54" t="s">
        <v>16</v>
      </c>
      <c r="K13" s="54" t="s">
        <v>719</v>
      </c>
      <c r="L13" s="54" t="s">
        <v>143</v>
      </c>
      <c r="M13" s="54" t="s">
        <v>693</v>
      </c>
      <c r="N13" s="54" t="s">
        <v>33</v>
      </c>
      <c r="O13" s="54" t="s">
        <v>721</v>
      </c>
      <c r="P13" s="54" t="s">
        <v>705</v>
      </c>
      <c r="Q13" s="54" t="s">
        <v>31</v>
      </c>
      <c r="R13" s="54" t="s">
        <v>713</v>
      </c>
      <c r="S13" s="54" t="s">
        <v>29</v>
      </c>
      <c r="T13" s="56" t="s">
        <v>861</v>
      </c>
      <c r="U13" s="19">
        <f>HLOOKUP("BYE",C13:S$35,36-ROW(),0)</f>
        <v>7</v>
      </c>
    </row>
    <row r="14" spans="2:21" x14ac:dyDescent="0.25">
      <c r="B14" s="56" t="s">
        <v>29</v>
      </c>
      <c r="C14" s="54" t="s">
        <v>38</v>
      </c>
      <c r="D14" s="54" t="s">
        <v>718</v>
      </c>
      <c r="E14" s="54" t="s">
        <v>45</v>
      </c>
      <c r="F14" s="54" t="s">
        <v>31</v>
      </c>
      <c r="G14" s="54" t="s">
        <v>701</v>
      </c>
      <c r="H14" s="54" t="s">
        <v>720</v>
      </c>
      <c r="I14" s="54" t="s">
        <v>61</v>
      </c>
      <c r="J14" s="54" t="s">
        <v>589</v>
      </c>
      <c r="K14" s="54" t="s">
        <v>36</v>
      </c>
      <c r="L14" s="54" t="s">
        <v>693</v>
      </c>
      <c r="M14" s="54" t="s">
        <v>48</v>
      </c>
      <c r="N14" s="54" t="s">
        <v>695</v>
      </c>
      <c r="O14" s="54" t="s">
        <v>57</v>
      </c>
      <c r="P14" s="54" t="s">
        <v>696</v>
      </c>
      <c r="Q14" s="54" t="s">
        <v>706</v>
      </c>
      <c r="R14" s="54" t="s">
        <v>33</v>
      </c>
      <c r="S14" s="54" t="s">
        <v>694</v>
      </c>
      <c r="T14" s="56" t="s">
        <v>29</v>
      </c>
      <c r="U14" s="19">
        <f>HLOOKUP("BYE",C14:S$35,36-ROW(),0)</f>
        <v>8</v>
      </c>
    </row>
    <row r="15" spans="2:21" x14ac:dyDescent="0.25">
      <c r="B15" s="56" t="s">
        <v>66</v>
      </c>
      <c r="C15" s="54" t="s">
        <v>711</v>
      </c>
      <c r="D15" s="54" t="s">
        <v>713</v>
      </c>
      <c r="E15" s="54" t="s">
        <v>715</v>
      </c>
      <c r="F15" s="54" t="s">
        <v>117</v>
      </c>
      <c r="G15" s="54" t="s">
        <v>25</v>
      </c>
      <c r="H15" s="54" t="s">
        <v>143</v>
      </c>
      <c r="I15" s="54" t="s">
        <v>589</v>
      </c>
      <c r="J15" s="54" t="s">
        <v>697</v>
      </c>
      <c r="K15" s="54" t="s">
        <v>52</v>
      </c>
      <c r="L15" s="54" t="s">
        <v>924</v>
      </c>
      <c r="M15" s="54" t="s">
        <v>68</v>
      </c>
      <c r="N15" s="54" t="s">
        <v>721</v>
      </c>
      <c r="O15" s="54" t="s">
        <v>704</v>
      </c>
      <c r="P15" s="54" t="s">
        <v>80</v>
      </c>
      <c r="Q15" s="54" t="s">
        <v>707</v>
      </c>
      <c r="R15" s="54" t="s">
        <v>16</v>
      </c>
      <c r="S15" s="54" t="s">
        <v>723</v>
      </c>
      <c r="T15" s="56" t="s">
        <v>848</v>
      </c>
      <c r="U15" s="19">
        <f>HLOOKUP("BYE",C15:S$35,36-ROW(),0)</f>
        <v>7</v>
      </c>
    </row>
    <row r="16" spans="2:21" x14ac:dyDescent="0.25">
      <c r="B16" s="56" t="s">
        <v>52</v>
      </c>
      <c r="C16" s="54" t="s">
        <v>924</v>
      </c>
      <c r="D16" s="54" t="s">
        <v>68</v>
      </c>
      <c r="E16" s="54" t="s">
        <v>143</v>
      </c>
      <c r="F16" s="54" t="s">
        <v>697</v>
      </c>
      <c r="G16" s="54" t="s">
        <v>80</v>
      </c>
      <c r="H16" s="54" t="s">
        <v>704</v>
      </c>
      <c r="I16" s="54" t="s">
        <v>711</v>
      </c>
      <c r="J16" s="54" t="s">
        <v>713</v>
      </c>
      <c r="K16" s="54" t="s">
        <v>724</v>
      </c>
      <c r="L16" s="54" t="s">
        <v>16</v>
      </c>
      <c r="M16" s="54" t="s">
        <v>589</v>
      </c>
      <c r="N16" s="54" t="s">
        <v>117</v>
      </c>
      <c r="O16" s="54" t="s">
        <v>707</v>
      </c>
      <c r="P16" s="54" t="s">
        <v>722</v>
      </c>
      <c r="Q16" s="54" t="s">
        <v>21</v>
      </c>
      <c r="R16" s="54" t="s">
        <v>721</v>
      </c>
      <c r="S16" s="54" t="s">
        <v>66</v>
      </c>
      <c r="T16" s="56" t="s">
        <v>850</v>
      </c>
      <c r="U16" s="19">
        <f>HLOOKUP("BYE",C16:S$35,36-ROW(),0)</f>
        <v>11</v>
      </c>
    </row>
    <row r="17" spans="2:21" x14ac:dyDescent="0.25">
      <c r="B17" s="56" t="s">
        <v>711</v>
      </c>
      <c r="C17" s="54" t="s">
        <v>724</v>
      </c>
      <c r="D17" s="54" t="s">
        <v>117</v>
      </c>
      <c r="E17" s="54" t="s">
        <v>48</v>
      </c>
      <c r="F17" s="54" t="s">
        <v>714</v>
      </c>
      <c r="G17" s="54" t="s">
        <v>695</v>
      </c>
      <c r="H17" s="54" t="s">
        <v>925</v>
      </c>
      <c r="I17" s="54" t="s">
        <v>723</v>
      </c>
      <c r="J17" s="54" t="s">
        <v>589</v>
      </c>
      <c r="K17" s="54" t="s">
        <v>45</v>
      </c>
      <c r="L17" s="54" t="s">
        <v>927</v>
      </c>
      <c r="M17" s="54" t="s">
        <v>696</v>
      </c>
      <c r="N17" s="54" t="s">
        <v>710</v>
      </c>
      <c r="O17" s="54" t="s">
        <v>52</v>
      </c>
      <c r="P17" s="54" t="s">
        <v>38</v>
      </c>
      <c r="Q17" s="54" t="s">
        <v>66</v>
      </c>
      <c r="R17" s="54" t="s">
        <v>698</v>
      </c>
      <c r="S17" s="54" t="s">
        <v>704</v>
      </c>
      <c r="T17" s="56" t="s">
        <v>853</v>
      </c>
      <c r="U17" s="19">
        <f>HLOOKUP("BYE",C17:S$35,36-ROW(),0)</f>
        <v>8</v>
      </c>
    </row>
    <row r="18" spans="2:21" x14ac:dyDescent="0.25">
      <c r="B18" s="56" t="s">
        <v>25</v>
      </c>
      <c r="C18" s="54" t="s">
        <v>715</v>
      </c>
      <c r="D18" s="54" t="s">
        <v>47</v>
      </c>
      <c r="E18" s="54" t="s">
        <v>926</v>
      </c>
      <c r="F18" s="54" t="s">
        <v>702</v>
      </c>
      <c r="G18" s="54" t="s">
        <v>724</v>
      </c>
      <c r="H18" s="54" t="s">
        <v>16</v>
      </c>
      <c r="I18" s="54" t="s">
        <v>709</v>
      </c>
      <c r="J18" s="54" t="s">
        <v>21</v>
      </c>
      <c r="K18" s="54" t="s">
        <v>701</v>
      </c>
      <c r="L18" s="54" t="s">
        <v>589</v>
      </c>
      <c r="M18" s="54" t="s">
        <v>700</v>
      </c>
      <c r="N18" s="54" t="s">
        <v>50</v>
      </c>
      <c r="O18" s="54" t="s">
        <v>714</v>
      </c>
      <c r="P18" s="54" t="s">
        <v>75</v>
      </c>
      <c r="Q18" s="54" t="s">
        <v>927</v>
      </c>
      <c r="R18" s="54" t="s">
        <v>64</v>
      </c>
      <c r="S18" s="54" t="s">
        <v>708</v>
      </c>
      <c r="T18" s="56" t="s">
        <v>25</v>
      </c>
      <c r="U18" s="19">
        <f>HLOOKUP("BYE",C18:S$35,36-ROW(),0)</f>
        <v>10</v>
      </c>
    </row>
    <row r="19" spans="2:21" x14ac:dyDescent="0.25">
      <c r="B19" s="56" t="s">
        <v>925</v>
      </c>
      <c r="C19" s="54" t="s">
        <v>52</v>
      </c>
      <c r="D19" s="54" t="s">
        <v>702</v>
      </c>
      <c r="E19" s="54" t="s">
        <v>698</v>
      </c>
      <c r="F19" s="54" t="s">
        <v>701</v>
      </c>
      <c r="G19" s="54" t="s">
        <v>38</v>
      </c>
      <c r="H19" s="54" t="s">
        <v>707</v>
      </c>
      <c r="I19" s="54" t="s">
        <v>68</v>
      </c>
      <c r="J19" s="54" t="s">
        <v>589</v>
      </c>
      <c r="K19" s="54" t="s">
        <v>700</v>
      </c>
      <c r="L19" s="54" t="s">
        <v>66</v>
      </c>
      <c r="M19" s="54" t="s">
        <v>720</v>
      </c>
      <c r="N19" s="54" t="s">
        <v>61</v>
      </c>
      <c r="O19" s="54" t="s">
        <v>710</v>
      </c>
      <c r="P19" s="54" t="s">
        <v>47</v>
      </c>
      <c r="Q19" s="54" t="s">
        <v>697</v>
      </c>
      <c r="R19" s="54" t="s">
        <v>704</v>
      </c>
      <c r="S19" s="54" t="s">
        <v>80</v>
      </c>
      <c r="T19" s="56" t="s">
        <v>925</v>
      </c>
      <c r="U19" s="19">
        <f>HLOOKUP("BYE",C19:S$35,36-ROW(),0)</f>
        <v>8</v>
      </c>
    </row>
    <row r="20" spans="2:21" x14ac:dyDescent="0.25">
      <c r="B20" s="56" t="s">
        <v>927</v>
      </c>
      <c r="C20" s="54" t="s">
        <v>708</v>
      </c>
      <c r="D20" s="54" t="s">
        <v>64</v>
      </c>
      <c r="E20" s="54" t="s">
        <v>25</v>
      </c>
      <c r="F20" s="54" t="s">
        <v>47</v>
      </c>
      <c r="G20" s="54" t="s">
        <v>700</v>
      </c>
      <c r="H20" s="54" t="s">
        <v>709</v>
      </c>
      <c r="I20" s="54" t="s">
        <v>21</v>
      </c>
      <c r="J20" s="54" t="s">
        <v>715</v>
      </c>
      <c r="K20" s="54" t="s">
        <v>589</v>
      </c>
      <c r="L20" s="54" t="s">
        <v>707</v>
      </c>
      <c r="M20" s="54" t="s">
        <v>50</v>
      </c>
      <c r="N20" s="54" t="s">
        <v>701</v>
      </c>
      <c r="O20" s="54" t="s">
        <v>143</v>
      </c>
      <c r="P20" s="54" t="s">
        <v>702</v>
      </c>
      <c r="Q20" s="54" t="s">
        <v>716</v>
      </c>
      <c r="R20" s="54" t="s">
        <v>714</v>
      </c>
      <c r="S20" s="54" t="s">
        <v>75</v>
      </c>
      <c r="T20" s="56" t="s">
        <v>927</v>
      </c>
      <c r="U20" s="19">
        <f>HLOOKUP("BYE",C20:S$35,36-ROW(),0)</f>
        <v>9</v>
      </c>
    </row>
    <row r="21" spans="2:21" x14ac:dyDescent="0.25">
      <c r="B21" s="56" t="s">
        <v>64</v>
      </c>
      <c r="C21" s="54" t="s">
        <v>57</v>
      </c>
      <c r="D21" s="54" t="s">
        <v>926</v>
      </c>
      <c r="E21" s="54" t="s">
        <v>714</v>
      </c>
      <c r="F21" s="54" t="s">
        <v>61</v>
      </c>
      <c r="G21" s="54" t="s">
        <v>117</v>
      </c>
      <c r="H21" s="54" t="s">
        <v>718</v>
      </c>
      <c r="I21" s="54" t="s">
        <v>93</v>
      </c>
      <c r="J21" s="54" t="s">
        <v>721</v>
      </c>
      <c r="K21" s="54" t="s">
        <v>75</v>
      </c>
      <c r="L21" s="54" t="s">
        <v>706</v>
      </c>
      <c r="M21" s="54" t="s">
        <v>589</v>
      </c>
      <c r="N21" s="54" t="s">
        <v>715</v>
      </c>
      <c r="O21" s="54" t="s">
        <v>21</v>
      </c>
      <c r="P21" s="54" t="s">
        <v>42</v>
      </c>
      <c r="Q21" s="54" t="s">
        <v>722</v>
      </c>
      <c r="R21" s="54" t="s">
        <v>716</v>
      </c>
      <c r="S21" s="54" t="s">
        <v>50</v>
      </c>
      <c r="T21" s="56" t="s">
        <v>856</v>
      </c>
      <c r="U21" s="19">
        <f>HLOOKUP("BYE",C21:S$35,36-ROW(),0)</f>
        <v>11</v>
      </c>
    </row>
    <row r="22" spans="2:21" x14ac:dyDescent="0.25">
      <c r="B22" s="56" t="s">
        <v>33</v>
      </c>
      <c r="C22" s="54" t="s">
        <v>61</v>
      </c>
      <c r="D22" s="54" t="s">
        <v>695</v>
      </c>
      <c r="E22" s="54" t="s">
        <v>57</v>
      </c>
      <c r="F22" s="54" t="s">
        <v>36</v>
      </c>
      <c r="G22" s="54" t="s">
        <v>693</v>
      </c>
      <c r="H22" s="54" t="s">
        <v>29</v>
      </c>
      <c r="I22" s="54" t="s">
        <v>48</v>
      </c>
      <c r="J22" s="54" t="s">
        <v>696</v>
      </c>
      <c r="K22" s="54" t="s">
        <v>589</v>
      </c>
      <c r="L22" s="54" t="s">
        <v>717</v>
      </c>
      <c r="M22" s="54" t="s">
        <v>925</v>
      </c>
      <c r="N22" s="54" t="s">
        <v>694</v>
      </c>
      <c r="O22" s="54" t="s">
        <v>718</v>
      </c>
      <c r="P22" s="54" t="s">
        <v>706</v>
      </c>
      <c r="Q22" s="54" t="s">
        <v>45</v>
      </c>
      <c r="R22" s="54" t="s">
        <v>719</v>
      </c>
      <c r="S22" s="54" t="s">
        <v>31</v>
      </c>
      <c r="T22" s="56" t="s">
        <v>844</v>
      </c>
      <c r="U22" s="19">
        <f>HLOOKUP("BYE",C22:S$35,36-ROW(),0)</f>
        <v>9</v>
      </c>
    </row>
    <row r="23" spans="2:21" x14ac:dyDescent="0.25">
      <c r="B23" s="56" t="s">
        <v>42</v>
      </c>
      <c r="C23" s="54" t="s">
        <v>25</v>
      </c>
      <c r="D23" s="54" t="s">
        <v>703</v>
      </c>
      <c r="E23" s="54" t="s">
        <v>66</v>
      </c>
      <c r="F23" s="54" t="s">
        <v>85</v>
      </c>
      <c r="G23" s="54" t="s">
        <v>705</v>
      </c>
      <c r="H23" s="54" t="s">
        <v>714</v>
      </c>
      <c r="I23" s="54" t="s">
        <v>23</v>
      </c>
      <c r="J23" s="54" t="s">
        <v>927</v>
      </c>
      <c r="K23" s="54" t="s">
        <v>589</v>
      </c>
      <c r="L23" s="54" t="s">
        <v>708</v>
      </c>
      <c r="M23" s="54" t="s">
        <v>709</v>
      </c>
      <c r="N23" s="54" t="s">
        <v>64</v>
      </c>
      <c r="O23" s="54" t="s">
        <v>722</v>
      </c>
      <c r="P23" s="54" t="s">
        <v>712</v>
      </c>
      <c r="Q23" s="54" t="s">
        <v>695</v>
      </c>
      <c r="R23" s="54" t="s">
        <v>50</v>
      </c>
      <c r="S23" s="54" t="s">
        <v>93</v>
      </c>
      <c r="T23" s="56" t="s">
        <v>42</v>
      </c>
      <c r="U23" s="19">
        <f>HLOOKUP("BYE",C23:S$35,36-ROW(),0)</f>
        <v>9</v>
      </c>
    </row>
    <row r="24" spans="2:21" x14ac:dyDescent="0.25">
      <c r="B24" s="56" t="s">
        <v>61</v>
      </c>
      <c r="C24" s="54" t="s">
        <v>720</v>
      </c>
      <c r="D24" s="54" t="s">
        <v>42</v>
      </c>
      <c r="E24" s="54" t="s">
        <v>706</v>
      </c>
      <c r="F24" s="54" t="s">
        <v>712</v>
      </c>
      <c r="G24" s="54" t="s">
        <v>589</v>
      </c>
      <c r="H24" s="54" t="s">
        <v>36</v>
      </c>
      <c r="I24" s="54" t="s">
        <v>719</v>
      </c>
      <c r="J24" s="54" t="s">
        <v>31</v>
      </c>
      <c r="K24" s="54" t="s">
        <v>57</v>
      </c>
      <c r="L24" s="54" t="s">
        <v>722</v>
      </c>
      <c r="M24" s="54" t="s">
        <v>702</v>
      </c>
      <c r="N24" s="54" t="s">
        <v>924</v>
      </c>
      <c r="O24" s="54" t="s">
        <v>85</v>
      </c>
      <c r="P24" s="54" t="s">
        <v>718</v>
      </c>
      <c r="Q24" s="54" t="s">
        <v>93</v>
      </c>
      <c r="R24" s="54" t="s">
        <v>23</v>
      </c>
      <c r="S24" s="54" t="s">
        <v>705</v>
      </c>
      <c r="T24" s="56" t="s">
        <v>61</v>
      </c>
      <c r="U24" s="19">
        <f>HLOOKUP("BYE",C24:S$35,36-ROW(),0)</f>
        <v>5</v>
      </c>
    </row>
    <row r="25" spans="2:21" x14ac:dyDescent="0.25">
      <c r="B25" s="56" t="s">
        <v>27</v>
      </c>
      <c r="C25" s="54" t="s">
        <v>701</v>
      </c>
      <c r="D25" s="54" t="s">
        <v>36</v>
      </c>
      <c r="E25" s="54" t="s">
        <v>699</v>
      </c>
      <c r="F25" s="54" t="s">
        <v>705</v>
      </c>
      <c r="G25" s="54" t="s">
        <v>927</v>
      </c>
      <c r="H25" s="54" t="s">
        <v>708</v>
      </c>
      <c r="I25" s="54" t="s">
        <v>38</v>
      </c>
      <c r="J25" s="54" t="s">
        <v>589</v>
      </c>
      <c r="K25" s="54" t="s">
        <v>925</v>
      </c>
      <c r="L25" s="54" t="s">
        <v>698</v>
      </c>
      <c r="M25" s="54" t="s">
        <v>25</v>
      </c>
      <c r="N25" s="54" t="s">
        <v>717</v>
      </c>
      <c r="O25" s="54" t="s">
        <v>709</v>
      </c>
      <c r="P25" s="54" t="s">
        <v>35</v>
      </c>
      <c r="Q25" s="54" t="s">
        <v>47</v>
      </c>
      <c r="R25" s="54" t="s">
        <v>710</v>
      </c>
      <c r="S25" s="54" t="s">
        <v>702</v>
      </c>
      <c r="T25" s="56" t="s">
        <v>27</v>
      </c>
      <c r="U25" s="19">
        <f>HLOOKUP("BYE",C25:S$35,36-ROW(),0)</f>
        <v>8</v>
      </c>
    </row>
    <row r="26" spans="2:21" x14ac:dyDescent="0.25">
      <c r="B26" s="56" t="s">
        <v>93</v>
      </c>
      <c r="C26" s="54" t="s">
        <v>722</v>
      </c>
      <c r="D26" s="54" t="s">
        <v>709</v>
      </c>
      <c r="E26" s="54" t="s">
        <v>64</v>
      </c>
      <c r="F26" s="54" t="s">
        <v>711</v>
      </c>
      <c r="G26" s="54" t="s">
        <v>696</v>
      </c>
      <c r="H26" s="54" t="s">
        <v>42</v>
      </c>
      <c r="I26" s="54" t="s">
        <v>712</v>
      </c>
      <c r="J26" s="54" t="s">
        <v>23</v>
      </c>
      <c r="K26" s="54" t="s">
        <v>50</v>
      </c>
      <c r="L26" s="54" t="s">
        <v>705</v>
      </c>
      <c r="M26" s="54" t="s">
        <v>589</v>
      </c>
      <c r="N26" s="54" t="s">
        <v>85</v>
      </c>
      <c r="O26" s="54" t="s">
        <v>25</v>
      </c>
      <c r="P26" s="54" t="s">
        <v>708</v>
      </c>
      <c r="Q26" s="54" t="s">
        <v>703</v>
      </c>
      <c r="R26" s="54" t="s">
        <v>927</v>
      </c>
      <c r="S26" s="54" t="s">
        <v>715</v>
      </c>
      <c r="T26" s="56" t="s">
        <v>93</v>
      </c>
      <c r="U26" s="19">
        <f>HLOOKUP("BYE",C26:S$35,36-ROW(),0)</f>
        <v>11</v>
      </c>
    </row>
    <row r="27" spans="2:21" x14ac:dyDescent="0.25">
      <c r="B27" s="56" t="s">
        <v>75</v>
      </c>
      <c r="C27" s="54" t="s">
        <v>704</v>
      </c>
      <c r="D27" s="54" t="s">
        <v>93</v>
      </c>
      <c r="E27" s="54" t="s">
        <v>717</v>
      </c>
      <c r="F27" s="54" t="s">
        <v>708</v>
      </c>
      <c r="G27" s="54" t="s">
        <v>48</v>
      </c>
      <c r="H27" s="54" t="s">
        <v>927</v>
      </c>
      <c r="I27" s="54" t="s">
        <v>25</v>
      </c>
      <c r="J27" s="54" t="s">
        <v>722</v>
      </c>
      <c r="K27" s="54" t="s">
        <v>712</v>
      </c>
      <c r="L27" s="54" t="s">
        <v>589</v>
      </c>
      <c r="M27" s="54" t="s">
        <v>42</v>
      </c>
      <c r="N27" s="54" t="s">
        <v>21</v>
      </c>
      <c r="O27" s="54" t="s">
        <v>27</v>
      </c>
      <c r="P27" s="54" t="s">
        <v>716</v>
      </c>
      <c r="Q27" s="54" t="s">
        <v>35</v>
      </c>
      <c r="R27" s="54" t="s">
        <v>699</v>
      </c>
      <c r="S27" s="54" t="s">
        <v>926</v>
      </c>
      <c r="T27" s="56" t="s">
        <v>859</v>
      </c>
      <c r="U27" s="19">
        <f>HLOOKUP("BYE",C27:S$35,36-ROW(),0)</f>
        <v>10</v>
      </c>
    </row>
    <row r="28" spans="2:21" x14ac:dyDescent="0.25">
      <c r="B28" s="56" t="s">
        <v>47</v>
      </c>
      <c r="C28" s="54" t="s">
        <v>717</v>
      </c>
      <c r="D28" s="54" t="s">
        <v>716</v>
      </c>
      <c r="E28" s="54" t="s">
        <v>27</v>
      </c>
      <c r="F28" s="54" t="s">
        <v>926</v>
      </c>
      <c r="G28" s="54" t="s">
        <v>68</v>
      </c>
      <c r="H28" s="54" t="s">
        <v>706</v>
      </c>
      <c r="I28" s="54" t="s">
        <v>702</v>
      </c>
      <c r="J28" s="54" t="s">
        <v>80</v>
      </c>
      <c r="K28" s="54" t="s">
        <v>21</v>
      </c>
      <c r="L28" s="54" t="s">
        <v>589</v>
      </c>
      <c r="M28" s="54" t="s">
        <v>701</v>
      </c>
      <c r="N28" s="54" t="s">
        <v>31</v>
      </c>
      <c r="O28" s="54" t="s">
        <v>697</v>
      </c>
      <c r="P28" s="54" t="s">
        <v>924</v>
      </c>
      <c r="Q28" s="54" t="s">
        <v>700</v>
      </c>
      <c r="R28" s="54" t="s">
        <v>75</v>
      </c>
      <c r="S28" s="54" t="s">
        <v>35</v>
      </c>
      <c r="T28" s="56" t="s">
        <v>847</v>
      </c>
      <c r="U28" s="19">
        <f>HLOOKUP("BYE",C28:S$35,36-ROW(),0)</f>
        <v>10</v>
      </c>
    </row>
    <row r="29" spans="2:21" x14ac:dyDescent="0.25">
      <c r="B29" s="56" t="s">
        <v>16</v>
      </c>
      <c r="C29" s="54" t="s">
        <v>696</v>
      </c>
      <c r="D29" s="54" t="s">
        <v>33</v>
      </c>
      <c r="E29" s="54" t="s">
        <v>693</v>
      </c>
      <c r="F29" s="54" t="s">
        <v>721</v>
      </c>
      <c r="G29" s="54" t="s">
        <v>711</v>
      </c>
      <c r="H29" s="54" t="s">
        <v>716</v>
      </c>
      <c r="I29" s="54" t="s">
        <v>45</v>
      </c>
      <c r="J29" s="54" t="s">
        <v>694</v>
      </c>
      <c r="K29" s="54" t="s">
        <v>589</v>
      </c>
      <c r="L29" s="54" t="s">
        <v>723</v>
      </c>
      <c r="M29" s="54" t="s">
        <v>117</v>
      </c>
      <c r="N29" s="54" t="s">
        <v>29</v>
      </c>
      <c r="O29" s="54" t="s">
        <v>713</v>
      </c>
      <c r="P29" s="54" t="s">
        <v>48</v>
      </c>
      <c r="Q29" s="54" t="s">
        <v>42</v>
      </c>
      <c r="R29" s="54" t="s">
        <v>724</v>
      </c>
      <c r="S29" s="54" t="s">
        <v>143</v>
      </c>
      <c r="T29" s="56" t="s">
        <v>854</v>
      </c>
      <c r="U29" s="19">
        <f>HLOOKUP("BYE",C29:S$35,36-ROW(),0)</f>
        <v>9</v>
      </c>
    </row>
    <row r="30" spans="2:21" x14ac:dyDescent="0.25">
      <c r="B30" s="56" t="s">
        <v>80</v>
      </c>
      <c r="C30" s="54" t="s">
        <v>85</v>
      </c>
      <c r="D30" s="54" t="s">
        <v>697</v>
      </c>
      <c r="E30" s="54" t="s">
        <v>925</v>
      </c>
      <c r="F30" s="54" t="s">
        <v>710</v>
      </c>
      <c r="G30" s="54" t="s">
        <v>723</v>
      </c>
      <c r="H30" s="54" t="s">
        <v>717</v>
      </c>
      <c r="I30" s="54" t="s">
        <v>35</v>
      </c>
      <c r="J30" s="54" t="s">
        <v>699</v>
      </c>
      <c r="K30" s="54" t="s">
        <v>68</v>
      </c>
      <c r="L30" s="54" t="s">
        <v>27</v>
      </c>
      <c r="M30" s="54" t="s">
        <v>589</v>
      </c>
      <c r="N30" s="54" t="s">
        <v>38</v>
      </c>
      <c r="O30" s="54" t="s">
        <v>693</v>
      </c>
      <c r="P30" s="54" t="s">
        <v>724</v>
      </c>
      <c r="Q30" s="54" t="s">
        <v>117</v>
      </c>
      <c r="R30" s="54" t="s">
        <v>711</v>
      </c>
      <c r="S30" s="54" t="s">
        <v>924</v>
      </c>
      <c r="T30" s="56" t="s">
        <v>80</v>
      </c>
      <c r="U30" s="19">
        <f>HLOOKUP("BYE",C30:S$35,36-ROW(),0)</f>
        <v>11</v>
      </c>
    </row>
    <row r="31" spans="2:21" x14ac:dyDescent="0.25">
      <c r="B31" s="56" t="s">
        <v>38</v>
      </c>
      <c r="C31" s="54" t="s">
        <v>719</v>
      </c>
      <c r="D31" s="54" t="s">
        <v>80</v>
      </c>
      <c r="E31" s="54" t="s">
        <v>704</v>
      </c>
      <c r="F31" s="54" t="s">
        <v>52</v>
      </c>
      <c r="G31" s="54" t="s">
        <v>924</v>
      </c>
      <c r="H31" s="54" t="s">
        <v>589</v>
      </c>
      <c r="I31" s="54" t="s">
        <v>700</v>
      </c>
      <c r="J31" s="54" t="s">
        <v>66</v>
      </c>
      <c r="K31" s="54" t="s">
        <v>702</v>
      </c>
      <c r="L31" s="54" t="s">
        <v>710</v>
      </c>
      <c r="M31" s="54" t="s">
        <v>23</v>
      </c>
      <c r="N31" s="54" t="s">
        <v>698</v>
      </c>
      <c r="O31" s="54" t="s">
        <v>47</v>
      </c>
      <c r="P31" s="54" t="s">
        <v>707</v>
      </c>
      <c r="Q31" s="54" t="s">
        <v>925</v>
      </c>
      <c r="R31" s="54" t="s">
        <v>701</v>
      </c>
      <c r="S31" s="54" t="s">
        <v>68</v>
      </c>
      <c r="T31" s="56" t="s">
        <v>845</v>
      </c>
      <c r="U31" s="19">
        <f>HLOOKUP("BYE",C31:S$35,36-ROW(),0)</f>
        <v>6</v>
      </c>
    </row>
    <row r="32" spans="2:21" x14ac:dyDescent="0.25">
      <c r="B32" s="56" t="s">
        <v>57</v>
      </c>
      <c r="C32" s="54" t="s">
        <v>712</v>
      </c>
      <c r="D32" s="54" t="s">
        <v>31</v>
      </c>
      <c r="E32" s="54" t="s">
        <v>720</v>
      </c>
      <c r="F32" s="54" t="s">
        <v>27</v>
      </c>
      <c r="G32" s="54" t="s">
        <v>42</v>
      </c>
      <c r="H32" s="54" t="s">
        <v>710</v>
      </c>
      <c r="I32" s="54" t="s">
        <v>722</v>
      </c>
      <c r="J32" s="54" t="s">
        <v>85</v>
      </c>
      <c r="K32" s="54" t="s">
        <v>703</v>
      </c>
      <c r="L32" s="54" t="s">
        <v>93</v>
      </c>
      <c r="M32" s="54" t="s">
        <v>589</v>
      </c>
      <c r="N32" s="54" t="s">
        <v>718</v>
      </c>
      <c r="O32" s="54" t="s">
        <v>719</v>
      </c>
      <c r="P32" s="54" t="s">
        <v>36</v>
      </c>
      <c r="Q32" s="54" t="s">
        <v>23</v>
      </c>
      <c r="R32" s="54" t="s">
        <v>706</v>
      </c>
      <c r="S32" s="54" t="s">
        <v>61</v>
      </c>
      <c r="T32" s="56" t="s">
        <v>57</v>
      </c>
      <c r="U32" s="19">
        <f>HLOOKUP("BYE",C32:S$35,36-ROW(),0)</f>
        <v>11</v>
      </c>
    </row>
    <row r="33" spans="2:21" x14ac:dyDescent="0.25">
      <c r="B33" s="56" t="s">
        <v>117</v>
      </c>
      <c r="C33" s="54" t="s">
        <v>75</v>
      </c>
      <c r="D33" s="54" t="s">
        <v>707</v>
      </c>
      <c r="E33" s="54" t="s">
        <v>38</v>
      </c>
      <c r="F33" s="54" t="s">
        <v>724</v>
      </c>
      <c r="G33" s="54" t="s">
        <v>712</v>
      </c>
      <c r="H33" s="54" t="s">
        <v>52</v>
      </c>
      <c r="I33" s="54" t="s">
        <v>696</v>
      </c>
      <c r="J33" s="54" t="s">
        <v>589</v>
      </c>
      <c r="K33" s="54" t="s">
        <v>48</v>
      </c>
      <c r="L33" s="54" t="s">
        <v>45</v>
      </c>
      <c r="M33" s="54" t="s">
        <v>695</v>
      </c>
      <c r="N33" s="54" t="s">
        <v>723</v>
      </c>
      <c r="O33" s="54" t="s">
        <v>66</v>
      </c>
      <c r="P33" s="54" t="s">
        <v>710</v>
      </c>
      <c r="Q33" s="54" t="s">
        <v>698</v>
      </c>
      <c r="R33" s="54" t="s">
        <v>925</v>
      </c>
      <c r="S33" s="54" t="s">
        <v>711</v>
      </c>
      <c r="T33" s="56" t="s">
        <v>862</v>
      </c>
      <c r="U33" s="19">
        <f>HLOOKUP("BYE",C33:S$35,36-ROW(),0)</f>
        <v>8</v>
      </c>
    </row>
    <row r="34" spans="2:21" ht="15.75" thickBot="1" x14ac:dyDescent="0.3">
      <c r="B34" s="56" t="s">
        <v>702</v>
      </c>
      <c r="C34" s="54" t="s">
        <v>47</v>
      </c>
      <c r="D34" s="54" t="s">
        <v>924</v>
      </c>
      <c r="E34" s="54" t="s">
        <v>75</v>
      </c>
      <c r="F34" s="54" t="s">
        <v>716</v>
      </c>
      <c r="G34" s="54" t="s">
        <v>589</v>
      </c>
      <c r="H34" s="54" t="s">
        <v>80</v>
      </c>
      <c r="I34" s="54" t="s">
        <v>699</v>
      </c>
      <c r="J34" s="54" t="s">
        <v>35</v>
      </c>
      <c r="K34" s="54" t="s">
        <v>697</v>
      </c>
      <c r="L34" s="54" t="s">
        <v>33</v>
      </c>
      <c r="M34" s="54" t="s">
        <v>703</v>
      </c>
      <c r="N34" s="54" t="s">
        <v>27</v>
      </c>
      <c r="O34" s="54" t="s">
        <v>701</v>
      </c>
      <c r="P34" s="54" t="s">
        <v>926</v>
      </c>
      <c r="Q34" s="54" t="s">
        <v>68</v>
      </c>
      <c r="R34" s="54" t="s">
        <v>21</v>
      </c>
      <c r="S34" s="54" t="s">
        <v>700</v>
      </c>
      <c r="T34" s="56" t="s">
        <v>849</v>
      </c>
      <c r="U34" s="19">
        <f>HLOOKUP("BYE",C34:S$35,36-ROW(),0)</f>
        <v>5</v>
      </c>
    </row>
    <row r="35" spans="2:21" ht="15.75" thickBot="1" x14ac:dyDescent="0.3">
      <c r="B35" s="62" t="s">
        <v>692</v>
      </c>
      <c r="C35" s="63">
        <v>1</v>
      </c>
      <c r="D35" s="63">
        <v>2</v>
      </c>
      <c r="E35" s="63">
        <v>3</v>
      </c>
      <c r="F35" s="63">
        <v>4</v>
      </c>
      <c r="G35" s="63">
        <v>5</v>
      </c>
      <c r="H35" s="63">
        <v>6</v>
      </c>
      <c r="I35" s="63">
        <v>7</v>
      </c>
      <c r="J35" s="63">
        <v>8</v>
      </c>
      <c r="K35" s="63">
        <v>9</v>
      </c>
      <c r="L35" s="63">
        <v>10</v>
      </c>
      <c r="M35" s="63">
        <v>11</v>
      </c>
      <c r="N35" s="63">
        <v>12</v>
      </c>
      <c r="O35" s="63">
        <v>13</v>
      </c>
      <c r="P35" s="63">
        <v>14</v>
      </c>
      <c r="Q35" s="63">
        <v>15</v>
      </c>
      <c r="R35" s="63">
        <v>16</v>
      </c>
      <c r="S35" s="63">
        <v>17</v>
      </c>
      <c r="T35" s="62" t="s">
        <v>2</v>
      </c>
      <c r="U35" s="61"/>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Read Me</vt:lpstr>
      <vt:lpstr>Input</vt:lpstr>
      <vt:lpstr>Draft Center</vt:lpstr>
      <vt:lpstr>Players</vt:lpstr>
      <vt:lpstr>'Read Me'!Print_Area</vt:lpstr>
    </vt:vector>
  </TitlesOfParts>
  <Company>SG</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Crouch</dc:creator>
  <cp:lastModifiedBy>Stephen Crouch</cp:lastModifiedBy>
  <dcterms:created xsi:type="dcterms:W3CDTF">2015-09-22T18:08:55Z</dcterms:created>
  <dcterms:modified xsi:type="dcterms:W3CDTF">2017-08-05T04:24:54Z</dcterms:modified>
</cp:coreProperties>
</file>